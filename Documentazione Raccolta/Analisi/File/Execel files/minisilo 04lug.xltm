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530"/>
  <workbookPr defaultThemeVersion="124226"/>
  <mc:AlternateContent xmlns:mc="http://schemas.openxmlformats.org/markup-compatibility/2006">
    <mc:Choice Requires="x15">
      <x15ac:absPath xmlns:x15ac="http://schemas.microsoft.com/office/spreadsheetml/2010/11/ac" url="Q:\Excelmod\XLSTART\OLD\OLD 12.01.2026\"/>
    </mc:Choice>
  </mc:AlternateContent>
  <xr:revisionPtr revIDLastSave="0" documentId="13_ncr:1_{2AFFE64E-DDD4-43D5-AD36-6CB479AD1C91}" xr6:coauthVersionLast="47" xr6:coauthVersionMax="47" xr10:uidLastSave="{00000000-0000-0000-0000-000000000000}"/>
  <bookViews>
    <workbookView xWindow="-120" yWindow="-120" windowWidth="24240" windowHeight="13020" xr2:uid="{00000000-000D-0000-FFFF-FFFF00000000}"/>
  </bookViews>
  <sheets>
    <sheet name="MINISILO CONO VIBRANTE" sheetId="1" r:id="rId1"/>
    <sheet name="MINISILO CONO STANDARD" sheetId="4" r:id="rId2"/>
    <sheet name="Foglio2" sheetId="2" r:id="rId3"/>
    <sheet name="Foglio3" sheetId="3" r:id="rId4"/>
  </sheets>
  <definedNames>
    <definedName name="_xlnm.Print_Area" localSheetId="1">'MINISILO CONO STANDARD'!$A$1:$L$31</definedName>
    <definedName name="_xlnm.Print_Area" localSheetId="0">'MINISILO CONO VIBRANTE'!$A$1:$L$31</definedName>
    <definedName name="DIAMSILO" localSheetId="1">'MINISILO CONO STANDARD'!$S$2:$T$2</definedName>
    <definedName name="DIAMSILO">'MINISILO CONO VIBRANTE'!$S$2:$T$2</definedName>
    <definedName name="HCIL" localSheetId="1">'MINISILO CONO STANDARD'!$S$5:$U$5</definedName>
    <definedName name="HCIL">'MINISILO CONO VIBRANTE'!$S$5:$U$5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50" i="1" l="1"/>
  <c r="V49" i="1"/>
  <c r="U50" i="1"/>
  <c r="X50" i="1" s="1"/>
  <c r="U49" i="1"/>
  <c r="X49" i="1" s="1"/>
  <c r="AA46" i="1"/>
  <c r="AA45" i="1"/>
  <c r="Z46" i="1"/>
  <c r="Z45" i="1"/>
  <c r="Y46" i="1"/>
  <c r="Y45" i="1"/>
  <c r="X46" i="1"/>
  <c r="X45" i="1"/>
  <c r="U42" i="1"/>
  <c r="U41" i="1"/>
  <c r="U40" i="1"/>
  <c r="U39" i="1"/>
  <c r="U38" i="1"/>
  <c r="U37" i="1"/>
  <c r="AC30" i="1"/>
  <c r="AA30" i="1" s="1"/>
  <c r="AB30" i="1"/>
  <c r="AC29" i="1"/>
  <c r="AA29" i="1" s="1"/>
  <c r="AB29" i="1"/>
  <c r="AC28" i="1"/>
  <c r="AA28" i="1" s="1"/>
  <c r="AB28" i="1"/>
  <c r="U26" i="1"/>
  <c r="U25" i="1"/>
  <c r="U24" i="1"/>
  <c r="U23" i="1"/>
  <c r="U22" i="1"/>
  <c r="U21" i="1"/>
  <c r="AB17" i="1"/>
  <c r="AA17" i="1"/>
  <c r="AB16" i="1"/>
  <c r="AA16" i="1"/>
  <c r="AB15" i="1"/>
  <c r="AA15" i="1"/>
  <c r="U15" i="1" s="1"/>
  <c r="AB8" i="1"/>
  <c r="AA8" i="1"/>
  <c r="AB7" i="1"/>
  <c r="AA7" i="1"/>
  <c r="AB6" i="1"/>
  <c r="AA6" i="1"/>
  <c r="V50" i="4"/>
  <c r="V49" i="4"/>
  <c r="U50" i="4"/>
  <c r="X50" i="4" s="1"/>
  <c r="L5" i="4" s="1"/>
  <c r="U49" i="4"/>
  <c r="W49" i="4" s="1"/>
  <c r="AA46" i="4"/>
  <c r="AA45" i="4"/>
  <c r="Z46" i="4"/>
  <c r="Z45" i="4"/>
  <c r="K13" i="4" s="1"/>
  <c r="Y46" i="4"/>
  <c r="Y45" i="4"/>
  <c r="X46" i="4"/>
  <c r="X45" i="4"/>
  <c r="U42" i="4"/>
  <c r="U41" i="4"/>
  <c r="U40" i="4"/>
  <c r="U39" i="4"/>
  <c r="U38" i="4"/>
  <c r="U37" i="4"/>
  <c r="AC30" i="4"/>
  <c r="AB30" i="4"/>
  <c r="AC29" i="4"/>
  <c r="AB29" i="4"/>
  <c r="AC28" i="4"/>
  <c r="AA28" i="4" s="1"/>
  <c r="U28" i="4" s="1"/>
  <c r="AB28" i="4"/>
  <c r="U26" i="4"/>
  <c r="U25" i="4"/>
  <c r="U24" i="4"/>
  <c r="U23" i="4"/>
  <c r="U22" i="4"/>
  <c r="U21" i="4"/>
  <c r="AB17" i="4"/>
  <c r="AA17" i="4"/>
  <c r="AB16" i="4"/>
  <c r="U16" i="4" s="1"/>
  <c r="L8" i="4" s="1"/>
  <c r="AA15" i="4"/>
  <c r="U15" i="4" s="1"/>
  <c r="L7" i="4" s="1"/>
  <c r="AB8" i="4"/>
  <c r="U8" i="4" s="1"/>
  <c r="F9" i="4" s="1"/>
  <c r="AA7" i="4"/>
  <c r="U7" i="4" s="1"/>
  <c r="F8" i="4" s="1"/>
  <c r="AB6" i="4"/>
  <c r="AA6" i="4"/>
  <c r="C20" i="2"/>
  <c r="C24" i="2" s="1"/>
  <c r="C19" i="2"/>
  <c r="C18" i="2"/>
  <c r="C17" i="2"/>
  <c r="C16" i="2"/>
  <c r="C15" i="2"/>
  <c r="C11" i="2"/>
  <c r="C7" i="2"/>
  <c r="C6" i="2"/>
  <c r="C5" i="2"/>
  <c r="C4" i="2"/>
  <c r="C3" i="2"/>
  <c r="C2" i="2"/>
  <c r="C9" i="2" s="1"/>
  <c r="D5" i="4"/>
  <c r="E5" i="4"/>
  <c r="K21" i="4"/>
  <c r="I21" i="4"/>
  <c r="E21" i="4"/>
  <c r="C21" i="4"/>
  <c r="L18" i="4"/>
  <c r="F18" i="4"/>
  <c r="T17" i="4"/>
  <c r="J9" i="4" s="1"/>
  <c r="E13" i="4"/>
  <c r="I10" i="4"/>
  <c r="K15" i="4" s="1"/>
  <c r="K24" i="4" s="1"/>
  <c r="C10" i="4"/>
  <c r="F15" i="4" s="1"/>
  <c r="F24" i="4" s="1"/>
  <c r="K9" i="4"/>
  <c r="E9" i="4"/>
  <c r="D9" i="4"/>
  <c r="K8" i="4"/>
  <c r="J8" i="4"/>
  <c r="E8" i="4"/>
  <c r="D8" i="4"/>
  <c r="K7" i="4"/>
  <c r="J7" i="4"/>
  <c r="E7" i="4"/>
  <c r="D7" i="4"/>
  <c r="W6" i="4"/>
  <c r="K5" i="4"/>
  <c r="J5" i="4"/>
  <c r="AA30" i="4" l="1"/>
  <c r="C23" i="2"/>
  <c r="U6" i="4"/>
  <c r="C22" i="2"/>
  <c r="U45" i="1"/>
  <c r="U45" i="4"/>
  <c r="F13" i="4" s="1"/>
  <c r="U17" i="4"/>
  <c r="L9" i="4" s="1"/>
  <c r="X49" i="4"/>
  <c r="F5" i="4" s="1"/>
  <c r="W49" i="1"/>
  <c r="W50" i="1"/>
  <c r="F7" i="4"/>
  <c r="L5" i="1"/>
  <c r="F5" i="1"/>
  <c r="U46" i="1"/>
  <c r="U31" i="1"/>
  <c r="U29" i="1"/>
  <c r="U28" i="1"/>
  <c r="U6" i="1"/>
  <c r="W50" i="4"/>
  <c r="U46" i="4"/>
  <c r="L13" i="4" s="1"/>
  <c r="AA29" i="4"/>
  <c r="U30" i="4" s="1"/>
  <c r="U29" i="4"/>
  <c r="J15" i="4"/>
  <c r="J24" i="4" s="1"/>
  <c r="J28" i="4" s="1"/>
  <c r="L15" i="4"/>
  <c r="L24" i="4" s="1"/>
  <c r="D15" i="4"/>
  <c r="D24" i="4" s="1"/>
  <c r="D31" i="4" s="1"/>
  <c r="E15" i="4"/>
  <c r="E24" i="4" s="1"/>
  <c r="D9" i="1"/>
  <c r="E5" i="1"/>
  <c r="U32" i="4" l="1"/>
  <c r="U33" i="4"/>
  <c r="U31" i="4"/>
  <c r="J29" i="4"/>
  <c r="J31" i="4"/>
  <c r="J30" i="4"/>
  <c r="D29" i="4"/>
  <c r="D28" i="4"/>
  <c r="D30" i="4"/>
  <c r="E21" i="1"/>
  <c r="K21" i="1"/>
  <c r="L18" i="1"/>
  <c r="I21" i="1"/>
  <c r="C21" i="1"/>
  <c r="F18" i="1"/>
  <c r="I10" i="1"/>
  <c r="K15" i="1" s="1"/>
  <c r="C10" i="1"/>
  <c r="F15" i="1" s="1"/>
  <c r="F24" i="1" s="1"/>
  <c r="L15" i="1" l="1"/>
  <c r="L24" i="1" s="1"/>
  <c r="J15" i="1"/>
  <c r="J24" i="1" s="1"/>
  <c r="J5" i="1"/>
  <c r="D5" i="1"/>
  <c r="K13" i="1"/>
  <c r="E13" i="1"/>
  <c r="K9" i="1"/>
  <c r="K8" i="1"/>
  <c r="J8" i="1"/>
  <c r="K7" i="1"/>
  <c r="J7" i="1"/>
  <c r="E9" i="1"/>
  <c r="E8" i="1"/>
  <c r="E7" i="1"/>
  <c r="D8" i="1"/>
  <c r="D7" i="1"/>
  <c r="D15" i="1" s="1"/>
  <c r="W6" i="1"/>
  <c r="J28" i="1" l="1"/>
  <c r="J29" i="1"/>
  <c r="J30" i="1"/>
  <c r="J31" i="1"/>
  <c r="E15" i="1"/>
  <c r="E24" i="1" s="1"/>
  <c r="K24" i="1"/>
  <c r="D24" i="1"/>
  <c r="S50" i="1"/>
  <c r="K5" i="1" s="1"/>
  <c r="L13" i="1"/>
  <c r="F13" i="1"/>
  <c r="U32" i="1"/>
  <c r="U30" i="1"/>
  <c r="D28" i="1" l="1"/>
  <c r="D29" i="1"/>
  <c r="D30" i="1"/>
  <c r="D31" i="1"/>
  <c r="U33" i="1"/>
  <c r="T17" i="1"/>
  <c r="J9" i="1" s="1"/>
  <c r="U8" i="1" l="1"/>
  <c r="F9" i="1" s="1"/>
  <c r="U7" i="1"/>
  <c r="F8" i="1" s="1"/>
  <c r="F7" i="1"/>
  <c r="U17" i="1"/>
  <c r="L9" i="1" s="1"/>
  <c r="U16" i="1"/>
  <c r="L8" i="1" s="1"/>
  <c r="L7" i="1"/>
</calcChain>
</file>

<file path=xl/sharedStrings.xml><?xml version="1.0" encoding="utf-8"?>
<sst xmlns="http://schemas.openxmlformats.org/spreadsheetml/2006/main" count="299" uniqueCount="110">
  <si>
    <t>HCIL</t>
  </si>
  <si>
    <t>ØSILO</t>
  </si>
  <si>
    <t>FAP</t>
  </si>
  <si>
    <t>SUPER1200</t>
  </si>
  <si>
    <t>FAPH1200</t>
  </si>
  <si>
    <t>PREZFAP1200</t>
  </si>
  <si>
    <t>VOLCIL</t>
  </si>
  <si>
    <t>PREZCIL</t>
  </si>
  <si>
    <t>CV</t>
  </si>
  <si>
    <t>ID prodotto</t>
  </si>
  <si>
    <t>Nome prodotto italia</t>
  </si>
  <si>
    <t>Prezzo articolo euro</t>
  </si>
  <si>
    <t>Peso a vuoto</t>
  </si>
  <si>
    <t>Volume</t>
  </si>
  <si>
    <t>Altezza</t>
  </si>
  <si>
    <t>Profondità</t>
  </si>
  <si>
    <t>Diametro</t>
  </si>
  <si>
    <t>Lunghezza</t>
  </si>
  <si>
    <t>Portata</t>
  </si>
  <si>
    <t>Potenza installata</t>
  </si>
  <si>
    <t>Tipo</t>
  </si>
  <si>
    <t>perc_tipo</t>
  </si>
  <si>
    <t>CONO VIBR. Ø1200 INOX ASPIRAZIONE + VIBRATORE</t>
  </si>
  <si>
    <t>1</t>
  </si>
  <si>
    <t>CONO VIBR. Ø1200 INOX COCLEA + VIBRATORE</t>
  </si>
  <si>
    <t>CONO VIBR. Ø1200 INOX VALVOLA STELLARE + VIBRATORE</t>
  </si>
  <si>
    <t>CONO VIBR. Ø1500 INOX ASPIRAZIONE + VIBRATORE</t>
  </si>
  <si>
    <t>CONO VIBR. Ø1500 INOX COCLEA + VIBRATORE</t>
  </si>
  <si>
    <t>CONO VIBR. Ø1500 INOX VALVOLA STELLARE + VIBRATORE</t>
  </si>
  <si>
    <t>VOL</t>
  </si>
  <si>
    <t>PREZCV</t>
  </si>
  <si>
    <t>CIF12030AF</t>
  </si>
  <si>
    <t>FILTRO TRAM AUTOP Ø 1200 AF DA  3,90 MQ. INOX H 400</t>
  </si>
  <si>
    <t>CIF12050AF</t>
  </si>
  <si>
    <t>FILTRO TRAM AUTOP Ø 1200 AF DA  6,85 MQ. INOX H 600</t>
  </si>
  <si>
    <t>CIF12090AF</t>
  </si>
  <si>
    <t>FILTRO TRAM AUTOP Ø 1200 AF DA 12,60 MQ. INOX H 1000</t>
  </si>
  <si>
    <t>CIF12030</t>
  </si>
  <si>
    <t>FILTRO TRAM AUTOP Ø 1200 DA 1,95 MQ. INOX H 400</t>
  </si>
  <si>
    <t>CIF12050</t>
  </si>
  <si>
    <t>FILTRO TRAM AUTOP Ø 1200 DA 3,33 MQ. INOX H 600</t>
  </si>
  <si>
    <t>CIF12090</t>
  </si>
  <si>
    <t>FILTRO TRAM AUTOP Ø 1200 DA 6,12 MQ. INOX H 1000</t>
  </si>
  <si>
    <t>FAW01502</t>
  </si>
  <si>
    <t>FILTRO TRAM AUTOP Ø 1500 INOX</t>
  </si>
  <si>
    <t>CIL1200</t>
  </si>
  <si>
    <t>CIL1500</t>
  </si>
  <si>
    <t>FAP1200</t>
  </si>
  <si>
    <t>FAP1500</t>
  </si>
  <si>
    <t>CIL03022</t>
  </si>
  <si>
    <t>CILIND Ø 1200 h 300 INOX CAR MAN</t>
  </si>
  <si>
    <t>CIL05022</t>
  </si>
  <si>
    <t>CILIND Ø 1200 h 500 INOX CAR MAN</t>
  </si>
  <si>
    <t>CIL09022</t>
  </si>
  <si>
    <t>CILIND Ø 1200 h 900 INOX CAR MAN</t>
  </si>
  <si>
    <t>CIL03052</t>
  </si>
  <si>
    <t>CILIND Ø 1500 h 300 INOX CAR MAN</t>
  </si>
  <si>
    <t>CIL05052</t>
  </si>
  <si>
    <t>CILIND Ø 1500 h 500 INOX CAR MAN</t>
  </si>
  <si>
    <t>CIL09052</t>
  </si>
  <si>
    <t>CILIND Ø 1500 h 900 INOX CAR MAN</t>
  </si>
  <si>
    <t>ANELLO</t>
  </si>
  <si>
    <t>ANELLO+GUARNIZ</t>
  </si>
  <si>
    <t>HF</t>
  </si>
  <si>
    <t># CIL1200 VS 1500</t>
  </si>
  <si>
    <t>RIDUZ. 1500SU1200</t>
  </si>
  <si>
    <t>Totale #</t>
  </si>
  <si>
    <t>H</t>
  </si>
  <si>
    <t>COPERCHIO</t>
  </si>
  <si>
    <t>COP1200</t>
  </si>
  <si>
    <t>COP1500</t>
  </si>
  <si>
    <t xml:space="preserve">FLANGIA </t>
  </si>
  <si>
    <t>COPERCHIO NO RAGNO</t>
  </si>
  <si>
    <t>INNESTO</t>
  </si>
  <si>
    <t>PORTASONDA</t>
  </si>
  <si>
    <t>PREZ</t>
  </si>
  <si>
    <t>HCOP</t>
  </si>
  <si>
    <t xml:space="preserve">TB </t>
  </si>
  <si>
    <t>PTB</t>
  </si>
  <si>
    <t>VOLTB</t>
  </si>
  <si>
    <t>HTB LUCE500</t>
  </si>
  <si>
    <t>PREZZO</t>
  </si>
  <si>
    <t>Qtà</t>
  </si>
  <si>
    <t>QTA</t>
  </si>
  <si>
    <t>TOTALE</t>
  </si>
  <si>
    <t>TB LUCE 600</t>
  </si>
  <si>
    <t>Incluso Tb</t>
  </si>
  <si>
    <t>BF</t>
  </si>
  <si>
    <t>GRAN TOTALE</t>
  </si>
  <si>
    <t>Mq</t>
  </si>
  <si>
    <t>H  MM</t>
  </si>
  <si>
    <t>VOL LIT</t>
  </si>
  <si>
    <t>OFFERTA</t>
  </si>
  <si>
    <t>CLIENTE</t>
  </si>
  <si>
    <t>Ps</t>
  </si>
  <si>
    <t>Cap Kg</t>
  </si>
  <si>
    <t>Farina</t>
  </si>
  <si>
    <t>Semola</t>
  </si>
  <si>
    <t>Zucchero</t>
  </si>
  <si>
    <t>Altro</t>
  </si>
  <si>
    <t>Luce 600 sotto cono</t>
  </si>
  <si>
    <t>Luce 600 Sotto cono</t>
  </si>
  <si>
    <t>Caricamento</t>
  </si>
  <si>
    <t>ASP</t>
  </si>
  <si>
    <t>PRE/GRAV</t>
  </si>
  <si>
    <t>Sistema antidepressione per caricamento in aspirazione - bielle …</t>
  </si>
  <si>
    <t>DISTANZIALE</t>
  </si>
  <si>
    <t>cono + luce H 600</t>
  </si>
  <si>
    <t>ht cono</t>
  </si>
  <si>
    <t>Rinf asp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</si>
</sst>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43" formatCode="_-* #,##0.00_-;\-* #,##0.00_-;_-* &quot;-&quot;??_-;_-@_-"/>
    <numFmt numFmtId="164" formatCode="_-&quot;€&quot;\ * #,##0_-;\-&quot;€&quot;\ * #,##0_-;_-&quot;€&quot;\ * &quot;-&quot;_-;_-@_-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indexed="10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16"/>
      <color indexed="8"/>
      <name val="Calibri"/>
      <family val="2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6"/>
      <color theme="1"/>
      <name val="Calibri"/>
      <family val="2"/>
      <scheme val="minor"/>
    </font>
    <font>
      <sz val="10"/>
      <name val="Times New Roman"/>
      <family val="1"/>
    </font>
    <font>
      <sz val="16"/>
      <name val="Times New Roman"/>
      <family val="1"/>
    </font>
    <font>
      <i/>
      <sz val="10"/>
      <name val="Times New Roman"/>
      <family val="1"/>
    </font>
    <font>
      <sz val="16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5" fillId="0" borderId="0"/>
    <xf numFmtId="0" fontId="1" fillId="3" borderId="0" applyNumberFormat="0" applyBorder="0" applyAlignment="0" applyProtection="0"/>
    <xf numFmtId="0" fontId="14" fillId="0" borderId="0"/>
  </cellStyleXfs>
  <cellXfs count="52">
    <xf numFmtId="0" fontId="0" fillId="0" borderId="0" xfId="0"/>
    <xf numFmtId="0" fontId="4" fillId="2" borderId="1" xfId="2" applyFont="1" applyFill="1" applyBorder="1" applyAlignment="1">
      <alignment horizontal="center"/>
    </xf>
    <xf numFmtId="0" fontId="4" fillId="0" borderId="2" xfId="2" applyFont="1" applyBorder="1" applyAlignment="1">
      <alignment wrapText="1"/>
    </xf>
    <xf numFmtId="2" fontId="4" fillId="0" borderId="2" xfId="2" applyNumberFormat="1" applyFont="1" applyBorder="1" applyAlignment="1">
      <alignment horizontal="right" wrapText="1"/>
    </xf>
    <xf numFmtId="0" fontId="4" fillId="0" borderId="2" xfId="2" applyFont="1" applyBorder="1" applyAlignment="1">
      <alignment horizontal="right" wrapText="1"/>
    </xf>
    <xf numFmtId="2" fontId="0" fillId="0" borderId="0" xfId="0" applyNumberFormat="1"/>
    <xf numFmtId="0" fontId="0" fillId="4" borderId="3" xfId="0" applyFill="1" applyBorder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11" xfId="0" applyFill="1" applyBorder="1" applyProtection="1">
      <protection locked="0"/>
    </xf>
    <xf numFmtId="0" fontId="0" fillId="4" borderId="9" xfId="0" applyFill="1" applyBorder="1" applyProtection="1">
      <protection locked="0"/>
    </xf>
    <xf numFmtId="0" fontId="0" fillId="0" borderId="0" xfId="0" applyAlignment="1">
      <alignment horizontal="right"/>
    </xf>
    <xf numFmtId="0" fontId="12" fillId="0" borderId="3" xfId="0" applyFont="1" applyBorder="1"/>
    <xf numFmtId="0" fontId="12" fillId="0" borderId="0" xfId="0" applyFont="1"/>
    <xf numFmtId="0" fontId="7" fillId="0" borderId="0" xfId="0" applyFont="1" applyAlignment="1">
      <alignment horizontal="center"/>
    </xf>
    <xf numFmtId="41" fontId="0" fillId="0" borderId="3" xfId="1" applyNumberFormat="1" applyFont="1" applyBorder="1" applyProtection="1"/>
    <xf numFmtId="164" fontId="9" fillId="3" borderId="3" xfId="3" applyNumberFormat="1" applyFont="1" applyBorder="1" applyProtection="1"/>
    <xf numFmtId="0" fontId="0" fillId="0" borderId="3" xfId="0" applyBorder="1"/>
    <xf numFmtId="43" fontId="0" fillId="0" borderId="3" xfId="1" applyFont="1" applyBorder="1" applyProtection="1"/>
    <xf numFmtId="2" fontId="3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41" fontId="0" fillId="6" borderId="3" xfId="1" applyNumberFormat="1" applyFont="1" applyFill="1" applyBorder="1" applyAlignment="1" applyProtection="1">
      <alignment horizontal="center"/>
    </xf>
    <xf numFmtId="0" fontId="8" fillId="0" borderId="4" xfId="0" applyFont="1" applyBorder="1" applyAlignment="1">
      <alignment horizontal="right"/>
    </xf>
    <xf numFmtId="164" fontId="9" fillId="5" borderId="3" xfId="3" applyNumberFormat="1" applyFont="1" applyFill="1" applyBorder="1" applyProtection="1"/>
    <xf numFmtId="0" fontId="0" fillId="0" borderId="10" xfId="0" applyBorder="1" applyAlignment="1">
      <alignment horizontal="right"/>
    </xf>
    <xf numFmtId="0" fontId="6" fillId="0" borderId="2" xfId="2" applyFont="1" applyBorder="1" applyAlignment="1">
      <alignment wrapText="1"/>
    </xf>
    <xf numFmtId="0" fontId="4" fillId="0" borderId="0" xfId="2" applyFont="1" applyAlignment="1">
      <alignment wrapText="1"/>
    </xf>
    <xf numFmtId="0" fontId="4" fillId="0" borderId="0" xfId="2" applyFont="1" applyAlignment="1">
      <alignment horizontal="right" wrapText="1"/>
    </xf>
    <xf numFmtId="0" fontId="10" fillId="0" borderId="3" xfId="0" applyFont="1" applyBorder="1" applyAlignment="1">
      <alignment horizontal="right"/>
    </xf>
    <xf numFmtId="0" fontId="13" fillId="0" borderId="3" xfId="0" applyFont="1" applyBorder="1" applyAlignment="1">
      <alignment horizontal="right"/>
    </xf>
    <xf numFmtId="43" fontId="0" fillId="7" borderId="3" xfId="1" applyFont="1" applyFill="1" applyBorder="1" applyProtection="1"/>
    <xf numFmtId="0" fontId="11" fillId="4" borderId="3" xfId="0" applyFont="1" applyFill="1" applyBorder="1" applyAlignment="1" applyProtection="1">
      <alignment horizontal="center"/>
      <protection locked="0"/>
    </xf>
    <xf numFmtId="0" fontId="7" fillId="0" borderId="0" xfId="0" applyFont="1" applyAlignment="1">
      <alignment horizontal="center" vertical="center"/>
    </xf>
    <xf numFmtId="3" fontId="15" fillId="0" borderId="0" xfId="4" applyNumberFormat="1" applyFont="1" applyAlignment="1">
      <alignment horizontal="right"/>
    </xf>
    <xf numFmtId="0" fontId="16" fillId="8" borderId="3" xfId="4" applyFont="1" applyFill="1" applyBorder="1"/>
    <xf numFmtId="41" fontId="0" fillId="6" borderId="3" xfId="1" applyNumberFormat="1" applyFont="1" applyFill="1" applyBorder="1" applyProtection="1"/>
    <xf numFmtId="0" fontId="15" fillId="0" borderId="0" xfId="4" applyFont="1" applyAlignment="1">
      <alignment horizontal="right"/>
    </xf>
    <xf numFmtId="0" fontId="16" fillId="4" borderId="3" xfId="4" applyFont="1" applyFill="1" applyBorder="1" applyProtection="1">
      <protection locked="0"/>
    </xf>
    <xf numFmtId="0" fontId="13" fillId="0" borderId="12" xfId="0" applyFont="1" applyBorder="1" applyAlignment="1">
      <alignment horizontal="right"/>
    </xf>
    <xf numFmtId="0" fontId="12" fillId="0" borderId="13" xfId="0" applyFont="1" applyBorder="1"/>
    <xf numFmtId="0" fontId="11" fillId="4" borderId="14" xfId="0" applyFont="1" applyFill="1" applyBorder="1" applyAlignment="1" applyProtection="1">
      <alignment horizontal="center"/>
      <protection locked="0"/>
    </xf>
    <xf numFmtId="0" fontId="17" fillId="9" borderId="4" xfId="0" applyFont="1" applyFill="1" applyBorder="1" applyAlignment="1" applyProtection="1">
      <alignment horizontal="center" vertical="center"/>
      <protection locked="0"/>
    </xf>
    <xf numFmtId="0" fontId="0" fillId="10" borderId="0" xfId="0" applyFill="1"/>
    <xf numFmtId="43" fontId="4" fillId="10" borderId="2" xfId="1" applyFont="1" applyFill="1" applyBorder="1" applyAlignment="1" applyProtection="1">
      <alignment horizontal="right" wrapText="1"/>
    </xf>
    <xf numFmtId="2" fontId="0" fillId="10" borderId="0" xfId="0" applyNumberFormat="1" applyFill="1"/>
    <xf numFmtId="43" fontId="0" fillId="10" borderId="0" xfId="1" applyFont="1" applyFill="1" applyProtection="1"/>
    <xf numFmtId="0" fontId="0" fillId="10" borderId="0" xfId="0" applyFill="1" applyAlignment="1">
      <alignment horizontal="right"/>
    </xf>
    <xf numFmtId="0" fontId="0" fillId="10" borderId="0" xfId="0" applyFill="1" applyAlignment="1">
      <alignment wrapText="1"/>
    </xf>
    <xf numFmtId="0" fontId="0" fillId="10" borderId="0" xfId="0" applyFill="1" applyAlignment="1">
      <alignment horizontal="center"/>
    </xf>
    <xf numFmtId="0" fontId="10" fillId="0" borderId="6" xfId="0" applyFont="1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10" fillId="0" borderId="5" xfId="0" applyFont="1" applyBorder="1" applyAlignment="1">
      <alignment horizontal="center"/>
    </xf>
    <xf numFmtId="0" fontId="11" fillId="0" borderId="8" xfId="0" applyFont="1" applyBorder="1" applyAlignment="1">
      <alignment horizontal="center" vertical="center"/>
    </xf>
  </cellXfs>
  <cellStyles count="5">
    <cellStyle name="20% - Colore 6" xfId="3" builtinId="50"/>
    <cellStyle name="Migliaia" xfId="1" builtinId="3"/>
    <cellStyle name="Normale" xfId="0" builtinId="0"/>
    <cellStyle name="Normale_CICVIB1" xfId="4" xr:uid="{00000000-0005-0000-0000-000003000000}"/>
    <cellStyle name="Normale_Foglio2" xfId="2" xr:uid="{00000000-0005-0000-0000-000004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AE51"/>
  <sheetViews>
    <sheetView tabSelected="1" zoomScaleNormal="100" zoomScaleSheetLayoutView="85" workbookViewId="0">
      <selection activeCell="V50" sqref="V50"/>
    </sheetView>
  </sheetViews>
  <sheetFormatPr defaultRowHeight="15" x14ac:dyDescent="0.25"/>
  <cols>
    <col min="1" max="1" width="48.140625" bestFit="1" customWidth="1"/>
    <col min="2" max="2" width="47.7109375" customWidth="1"/>
    <col min="3" max="3" width="9.28515625" bestFit="1" customWidth="1"/>
    <col min="4" max="5" width="10.7109375" bestFit="1" customWidth="1"/>
    <col min="6" max="6" width="12.7109375" bestFit="1" customWidth="1"/>
    <col min="8" max="8" width="53.140625" bestFit="1" customWidth="1"/>
    <col min="9" max="9" width="9.28515625" bestFit="1" customWidth="1"/>
    <col min="10" max="11" width="10.42578125" customWidth="1"/>
    <col min="12" max="12" width="12.7109375" bestFit="1" customWidth="1"/>
    <col min="18" max="18" width="77" bestFit="1" customWidth="1"/>
    <col min="19" max="19" width="12.85546875" bestFit="1" customWidth="1"/>
    <col min="20" max="20" width="17" customWidth="1"/>
    <col min="21" max="21" width="12.7109375" style="41" bestFit="1" customWidth="1"/>
    <col min="22" max="22" width="9.140625" style="41"/>
    <col min="23" max="23" width="16" style="41" bestFit="1" customWidth="1"/>
    <col min="24" max="24" width="9.140625" style="41"/>
    <col min="27" max="29" width="9.140625" style="41"/>
  </cols>
  <sheetData>
    <row r="1" spans="1:31" ht="21.75" thickBot="1" x14ac:dyDescent="0.4">
      <c r="A1" s="27" t="s">
        <v>93</v>
      </c>
      <c r="B1" s="30"/>
      <c r="C1" s="48">
        <v>1200</v>
      </c>
      <c r="D1" s="48"/>
      <c r="E1" s="48"/>
      <c r="F1" s="49"/>
      <c r="H1" s="10"/>
      <c r="I1" s="50">
        <v>1500</v>
      </c>
      <c r="J1" s="48"/>
      <c r="K1" s="48"/>
      <c r="L1" s="49"/>
    </row>
    <row r="2" spans="1:31" ht="21.75" thickBot="1" x14ac:dyDescent="0.4">
      <c r="A2" s="28" t="s">
        <v>92</v>
      </c>
      <c r="B2" s="39"/>
      <c r="R2" t="s">
        <v>1</v>
      </c>
      <c r="S2">
        <v>1200</v>
      </c>
      <c r="T2">
        <v>1500</v>
      </c>
    </row>
    <row r="3" spans="1:31" ht="21.75" thickBot="1" x14ac:dyDescent="0.4">
      <c r="A3" s="37" t="s">
        <v>102</v>
      </c>
      <c r="B3" s="40"/>
      <c r="C3" s="38" t="s">
        <v>82</v>
      </c>
      <c r="D3" s="11" t="s">
        <v>91</v>
      </c>
      <c r="E3" s="11" t="s">
        <v>90</v>
      </c>
      <c r="F3" s="11" t="s">
        <v>81</v>
      </c>
      <c r="H3" s="40"/>
      <c r="I3" s="11" t="s">
        <v>82</v>
      </c>
      <c r="J3" s="11" t="s">
        <v>91</v>
      </c>
      <c r="K3" s="11" t="s">
        <v>90</v>
      </c>
      <c r="L3" s="11" t="s">
        <v>81</v>
      </c>
      <c r="R3" t="s">
        <v>102</v>
      </c>
      <c r="S3" t="s">
        <v>103</v>
      </c>
      <c r="T3" t="s">
        <v>104</v>
      </c>
    </row>
    <row r="4" spans="1:31" x14ac:dyDescent="0.25">
      <c r="C4" s="12"/>
      <c r="D4" s="12"/>
      <c r="E4" s="12" t="s">
        <v>101</v>
      </c>
      <c r="F4" s="12"/>
      <c r="I4" s="12"/>
      <c r="J4" s="12"/>
      <c r="K4" s="12" t="s">
        <v>100</v>
      </c>
      <c r="L4" s="12"/>
    </row>
    <row r="5" spans="1:31" ht="15.75" x14ac:dyDescent="0.25">
      <c r="A5" s="13" t="s">
        <v>85</v>
      </c>
      <c r="D5" s="14">
        <f>T49</f>
        <v>446</v>
      </c>
      <c r="E5" s="14">
        <f>S49</f>
        <v>1280</v>
      </c>
      <c r="F5" s="15">
        <f>IF(B3=S3,W49,X49)</f>
        <v>4299.6899999999996</v>
      </c>
      <c r="J5" s="14">
        <f>T50</f>
        <v>725</v>
      </c>
      <c r="K5" s="14">
        <f>S50</f>
        <v>1415</v>
      </c>
      <c r="L5" s="15">
        <f>IF(H3=S3,W50,X50)</f>
        <v>6157.2599999999993</v>
      </c>
      <c r="R5" t="s">
        <v>45</v>
      </c>
      <c r="S5" t="s">
        <v>0</v>
      </c>
      <c r="T5" t="s">
        <v>6</v>
      </c>
      <c r="U5" s="41" t="s">
        <v>7</v>
      </c>
      <c r="W5" s="41" t="s">
        <v>83</v>
      </c>
      <c r="AA5" s="41" t="s">
        <v>61</v>
      </c>
      <c r="AB5" s="41" t="s">
        <v>62</v>
      </c>
    </row>
    <row r="6" spans="1:31" ht="15.75" x14ac:dyDescent="0.25">
      <c r="B6" s="13"/>
      <c r="R6" t="s">
        <v>45</v>
      </c>
      <c r="S6">
        <v>300</v>
      </c>
      <c r="T6">
        <v>340</v>
      </c>
      <c r="U6" s="41">
        <f>AA6+AB6</f>
        <v>1037.9009999999998</v>
      </c>
      <c r="W6" s="41">
        <f>VLOOKUP(S6,B7:C9,2)</f>
        <v>0</v>
      </c>
      <c r="AA6" s="41">
        <f>660*Foglio3!A1</f>
        <v>857.33999999999992</v>
      </c>
      <c r="AB6" s="41">
        <f>139*Foglio3!A1</f>
        <v>180.56099999999998</v>
      </c>
    </row>
    <row r="7" spans="1:31" ht="15.75" customHeight="1" x14ac:dyDescent="0.25">
      <c r="A7" s="51" t="s">
        <v>0</v>
      </c>
      <c r="B7" s="16">
        <v>300</v>
      </c>
      <c r="C7" s="6"/>
      <c r="D7" s="14">
        <f>C7*T6</f>
        <v>0</v>
      </c>
      <c r="E7" s="14">
        <f>C7*B7</f>
        <v>0</v>
      </c>
      <c r="F7" s="15">
        <f>C7*U6</f>
        <v>0</v>
      </c>
      <c r="H7" s="16">
        <v>300</v>
      </c>
      <c r="I7" s="6"/>
      <c r="J7" s="17">
        <f>I7*T15</f>
        <v>0</v>
      </c>
      <c r="K7" s="17">
        <f>I7*H7</f>
        <v>0</v>
      </c>
      <c r="L7" s="15">
        <f>I7*U15</f>
        <v>0</v>
      </c>
      <c r="R7" t="s">
        <v>45</v>
      </c>
      <c r="S7">
        <v>500</v>
      </c>
      <c r="T7">
        <v>566</v>
      </c>
      <c r="U7" s="41">
        <f>AA7+AB7</f>
        <v>1401.6209999999999</v>
      </c>
      <c r="AA7" s="41">
        <f>940*Foglio3!A1</f>
        <v>1221.06</v>
      </c>
      <c r="AB7" s="41">
        <f>139*Foglio3!A1</f>
        <v>180.56099999999998</v>
      </c>
      <c r="AD7" s="18"/>
      <c r="AE7" s="19"/>
    </row>
    <row r="8" spans="1:31" ht="15.75" customHeight="1" x14ac:dyDescent="0.25">
      <c r="A8" s="51"/>
      <c r="B8" s="16">
        <v>500</v>
      </c>
      <c r="C8" s="6"/>
      <c r="D8" s="14">
        <f>C8*T7</f>
        <v>0</v>
      </c>
      <c r="E8" s="14">
        <f t="shared" ref="E8:E9" si="0">C8*B8</f>
        <v>0</v>
      </c>
      <c r="F8" s="15">
        <f>C8*U7</f>
        <v>0</v>
      </c>
      <c r="H8" s="16">
        <v>500</v>
      </c>
      <c r="I8" s="6"/>
      <c r="J8" s="17">
        <f>I8*T16</f>
        <v>0</v>
      </c>
      <c r="K8" s="17">
        <f t="shared" ref="K8:K9" si="1">I8*H8</f>
        <v>0</v>
      </c>
      <c r="L8" s="15">
        <f>I8*U16</f>
        <v>0</v>
      </c>
      <c r="R8" t="s">
        <v>45</v>
      </c>
      <c r="S8">
        <v>900</v>
      </c>
      <c r="T8">
        <v>1020</v>
      </c>
      <c r="U8" s="41">
        <f>AA8+AB8</f>
        <v>1726.3709999999999</v>
      </c>
      <c r="AA8" s="41">
        <f>1190*Foglio3!A1</f>
        <v>1545.81</v>
      </c>
      <c r="AB8" s="41">
        <f>139*Foglio3!A1</f>
        <v>180.56099999999998</v>
      </c>
      <c r="AD8" s="18"/>
      <c r="AE8" s="19"/>
    </row>
    <row r="9" spans="1:31" ht="15.75" customHeight="1" x14ac:dyDescent="0.25">
      <c r="A9" s="51"/>
      <c r="B9" s="16">
        <v>900</v>
      </c>
      <c r="C9" s="6"/>
      <c r="D9" s="14">
        <f>C9*T8</f>
        <v>0</v>
      </c>
      <c r="E9" s="14">
        <f t="shared" si="0"/>
        <v>0</v>
      </c>
      <c r="F9" s="15">
        <f>C9*U8</f>
        <v>0</v>
      </c>
      <c r="H9" s="16">
        <v>900</v>
      </c>
      <c r="I9" s="6"/>
      <c r="J9" s="17">
        <f>I9*T17</f>
        <v>0</v>
      </c>
      <c r="K9" s="17">
        <f t="shared" si="1"/>
        <v>0</v>
      </c>
      <c r="L9" s="15">
        <f>I9*U17</f>
        <v>0</v>
      </c>
      <c r="AD9" s="18"/>
      <c r="AE9" s="19"/>
    </row>
    <row r="10" spans="1:31" x14ac:dyDescent="0.25">
      <c r="C10" s="20">
        <f>SUM(C7:C9)</f>
        <v>0</v>
      </c>
      <c r="I10" s="20">
        <f>SUM(I7:I9)</f>
        <v>0</v>
      </c>
      <c r="AD10" s="18"/>
      <c r="AE10" s="19"/>
    </row>
    <row r="11" spans="1:31" x14ac:dyDescent="0.25">
      <c r="AD11" s="18"/>
      <c r="AE11" s="19"/>
    </row>
    <row r="12" spans="1:31" x14ac:dyDescent="0.25">
      <c r="AD12" s="18"/>
      <c r="AE12" s="19"/>
    </row>
    <row r="13" spans="1:31" ht="15.75" x14ac:dyDescent="0.25">
      <c r="A13" s="13" t="s">
        <v>68</v>
      </c>
      <c r="E13" s="14">
        <f>T45</f>
        <v>200</v>
      </c>
      <c r="F13" s="15">
        <f>U45</f>
        <v>1261.329</v>
      </c>
      <c r="K13" s="14">
        <f>Z45</f>
        <v>233.82</v>
      </c>
      <c r="L13" s="15">
        <f>U46</f>
        <v>1261.329</v>
      </c>
      <c r="AD13" s="18"/>
      <c r="AE13" s="19"/>
    </row>
    <row r="14" spans="1:31" ht="15.75" thickBot="1" x14ac:dyDescent="0.3">
      <c r="R14" t="s">
        <v>46</v>
      </c>
      <c r="S14" t="s">
        <v>0</v>
      </c>
      <c r="T14" t="s">
        <v>6</v>
      </c>
      <c r="U14" s="41" t="s">
        <v>7</v>
      </c>
      <c r="AD14" s="18"/>
      <c r="AE14" s="19"/>
    </row>
    <row r="15" spans="1:31" ht="16.5" thickBot="1" x14ac:dyDescent="0.3">
      <c r="B15" s="21" t="s">
        <v>84</v>
      </c>
      <c r="D15" s="14">
        <f>IF(C10=0,0,SUM(D5:D13))</f>
        <v>0</v>
      </c>
      <c r="E15" s="14">
        <f>IF(C10=0,0,SUM(E5:E13))</f>
        <v>0</v>
      </c>
      <c r="F15" s="22" t="str">
        <f>IF(B3="","Scegli carico",IF(C$10=0,"",SUM(F5:F13)))</f>
        <v>Scegli carico</v>
      </c>
      <c r="J15" s="14">
        <f t="shared" ref="J15" si="2">IF(I10=0,0,SUM(J5:J13))</f>
        <v>0</v>
      </c>
      <c r="K15" s="14">
        <f>IF(I10=0,0,SUM(K5:K13))</f>
        <v>0</v>
      </c>
      <c r="L15" s="22" t="str">
        <f>IF(B3="","Scegli carico",IF(I$10=0,"",SUM(L5:L13)))</f>
        <v>Scegli carico</v>
      </c>
      <c r="R15" t="s">
        <v>46</v>
      </c>
      <c r="S15">
        <v>300</v>
      </c>
      <c r="T15">
        <v>530</v>
      </c>
      <c r="U15" s="41">
        <f>AA15+AB15</f>
        <v>1431.498</v>
      </c>
      <c r="AA15" s="41">
        <f>957*Foglio3!A1</f>
        <v>1243.143</v>
      </c>
      <c r="AB15" s="41">
        <f>145*Foglio3!A1</f>
        <v>188.35499999999999</v>
      </c>
      <c r="AD15" s="18"/>
      <c r="AE15" s="19"/>
    </row>
    <row r="16" spans="1:31" x14ac:dyDescent="0.25">
      <c r="R16" t="s">
        <v>46</v>
      </c>
      <c r="S16">
        <v>500</v>
      </c>
      <c r="T16">
        <v>885</v>
      </c>
      <c r="U16" s="41">
        <f>AA16+AB16</f>
        <v>1845.8789999999999</v>
      </c>
      <c r="AA16" s="41">
        <f>1276*Foglio3!A1</f>
        <v>1657.5239999999999</v>
      </c>
      <c r="AB16" s="41">
        <f>145*Foglio3!A1</f>
        <v>188.35499999999999</v>
      </c>
      <c r="AD16" s="18"/>
      <c r="AE16" s="19"/>
    </row>
    <row r="17" spans="1:31" x14ac:dyDescent="0.25">
      <c r="R17" t="s">
        <v>46</v>
      </c>
      <c r="S17">
        <v>900</v>
      </c>
      <c r="T17">
        <f>T15*3</f>
        <v>1590</v>
      </c>
      <c r="U17" s="41">
        <f>AA17+AB17</f>
        <v>2688.93</v>
      </c>
      <c r="AA17" s="41">
        <f>1925*Foglio3!A1</f>
        <v>2500.5749999999998</v>
      </c>
      <c r="AB17" s="41">
        <f>145*Foglio3!A1</f>
        <v>188.35499999999999</v>
      </c>
      <c r="AD17" s="18"/>
      <c r="AE17" s="19"/>
    </row>
    <row r="18" spans="1:31" ht="31.5" customHeight="1" x14ac:dyDescent="0.25">
      <c r="A18" s="13" t="s">
        <v>8</v>
      </c>
      <c r="B18" s="7"/>
      <c r="D18" t="s">
        <v>86</v>
      </c>
      <c r="E18" t="s">
        <v>86</v>
      </c>
      <c r="F18" s="15">
        <f>IF(B18=0,0,VLOOKUP(B18,R37:U39,4))</f>
        <v>0</v>
      </c>
      <c r="H18" s="7"/>
      <c r="J18" t="s">
        <v>86</v>
      </c>
      <c r="K18" t="s">
        <v>86</v>
      </c>
      <c r="L18" s="15">
        <f>IF(H18=0,0,VLOOKUP(H18,R40:U42,4))</f>
        <v>0</v>
      </c>
      <c r="AC18" s="47"/>
      <c r="AD18" s="18"/>
      <c r="AE18" s="19"/>
    </row>
    <row r="19" spans="1:31" ht="15.75" thickBot="1" x14ac:dyDescent="0.3">
      <c r="AC19" s="47"/>
      <c r="AD19" s="18"/>
      <c r="AE19" s="19"/>
    </row>
    <row r="20" spans="1:31" x14ac:dyDescent="0.25">
      <c r="B20" s="23" t="s">
        <v>89</v>
      </c>
      <c r="H20" s="23" t="s">
        <v>89</v>
      </c>
      <c r="R20" t="s">
        <v>2</v>
      </c>
      <c r="S20" t="s">
        <v>3</v>
      </c>
      <c r="T20" t="s">
        <v>4</v>
      </c>
      <c r="U20" s="41" t="s">
        <v>5</v>
      </c>
      <c r="AC20" s="47"/>
      <c r="AD20" s="18"/>
      <c r="AE20" s="19"/>
    </row>
    <row r="21" spans="1:31" ht="16.5" thickBot="1" x14ac:dyDescent="0.3">
      <c r="A21" s="13" t="s">
        <v>2</v>
      </c>
      <c r="B21" s="8"/>
      <c r="C21" s="29">
        <f>IF(B21=0,0,VLOOKUP(B21,S21:V26,4,0))</f>
        <v>0</v>
      </c>
      <c r="E21" s="14">
        <f>IF(B21=0,0,VLOOKUP(B21,S21:T26,2))</f>
        <v>0</v>
      </c>
      <c r="F21" s="15"/>
      <c r="H21" s="9"/>
      <c r="I21" s="29">
        <f>IF(H21=0,0,VLOOKUP(H21,S28:V33,4))</f>
        <v>0</v>
      </c>
      <c r="K21" s="14">
        <f>IF(H21=0,0,VLOOKUP(H21,S28:T33,2))</f>
        <v>0</v>
      </c>
      <c r="L21" s="15"/>
      <c r="R21" t="s">
        <v>47</v>
      </c>
      <c r="S21" s="18">
        <v>1.95</v>
      </c>
      <c r="T21">
        <v>400</v>
      </c>
      <c r="U21" s="42">
        <f>3020*Foglio3!A1</f>
        <v>3922.98</v>
      </c>
      <c r="V21" s="41" t="s">
        <v>87</v>
      </c>
      <c r="AC21" s="47"/>
      <c r="AD21" s="18"/>
      <c r="AE21" s="19"/>
    </row>
    <row r="22" spans="1:31" x14ac:dyDescent="0.25">
      <c r="R22" t="s">
        <v>47</v>
      </c>
      <c r="S22" s="18">
        <v>4</v>
      </c>
      <c r="T22">
        <v>400</v>
      </c>
      <c r="U22" s="42">
        <f>4520*Foglio3!A1</f>
        <v>5871.48</v>
      </c>
      <c r="V22" s="41" t="s">
        <v>63</v>
      </c>
      <c r="AC22" s="47"/>
      <c r="AD22" s="18"/>
      <c r="AE22" s="19"/>
    </row>
    <row r="23" spans="1:31" ht="15.75" thickBot="1" x14ac:dyDescent="0.3">
      <c r="R23" t="s">
        <v>47</v>
      </c>
      <c r="S23" s="18">
        <v>3.33</v>
      </c>
      <c r="T23">
        <v>600</v>
      </c>
      <c r="U23" s="42">
        <f>3290*Foglio3!A1</f>
        <v>4273.71</v>
      </c>
      <c r="V23" s="41" t="s">
        <v>87</v>
      </c>
      <c r="AC23" s="47"/>
      <c r="AD23" s="18"/>
      <c r="AE23" s="19"/>
    </row>
    <row r="24" spans="1:31" ht="16.5" thickBot="1" x14ac:dyDescent="0.3">
      <c r="B24" s="21" t="s">
        <v>88</v>
      </c>
      <c r="D24" s="14">
        <f>SUM(D15:D21)</f>
        <v>0</v>
      </c>
      <c r="E24" s="14">
        <f>SUM(E15:E21)</f>
        <v>0</v>
      </c>
      <c r="F24" s="22" t="str">
        <f>IF(B3="","Scegli carico",IF(C$10=0,"",SUM(F15:F21)))</f>
        <v>Scegli carico</v>
      </c>
      <c r="J24" s="14">
        <f>SUM(J15:J21)</f>
        <v>0</v>
      </c>
      <c r="K24" s="14">
        <f>SUM(K15:K21)</f>
        <v>0</v>
      </c>
      <c r="L24" s="22" t="str">
        <f>IF(B3="","Scegli carico",IF(I$10=0,"",SUM(L15:L21)))</f>
        <v>Scegli carico</v>
      </c>
      <c r="R24" t="s">
        <v>47</v>
      </c>
      <c r="S24" s="18">
        <v>6.85</v>
      </c>
      <c r="T24">
        <v>600</v>
      </c>
      <c r="U24" s="42">
        <f>4990*Foglio3!A1</f>
        <v>6482.0099999999993</v>
      </c>
      <c r="V24" s="41" t="s">
        <v>63</v>
      </c>
      <c r="AC24" s="47"/>
      <c r="AD24" s="18"/>
      <c r="AE24" s="19"/>
    </row>
    <row r="25" spans="1:31" x14ac:dyDescent="0.25">
      <c r="R25" t="s">
        <v>47</v>
      </c>
      <c r="S25" s="18">
        <v>6.12</v>
      </c>
      <c r="T25">
        <v>1000</v>
      </c>
      <c r="U25" s="42">
        <f>3780*Foglio3!A1</f>
        <v>4910.2199999999993</v>
      </c>
      <c r="V25" s="41" t="s">
        <v>87</v>
      </c>
      <c r="AC25" s="47"/>
      <c r="AD25" s="18"/>
      <c r="AE25" s="19"/>
    </row>
    <row r="26" spans="1:31" x14ac:dyDescent="0.25">
      <c r="R26" t="s">
        <v>47</v>
      </c>
      <c r="S26" s="18">
        <v>12.6</v>
      </c>
      <c r="T26">
        <v>1000</v>
      </c>
      <c r="U26" s="42">
        <f>5320*Foglio3!A1</f>
        <v>6910.6799999999994</v>
      </c>
      <c r="V26" s="41" t="s">
        <v>63</v>
      </c>
      <c r="AC26" s="47"/>
      <c r="AD26" s="18"/>
      <c r="AE26" s="19"/>
    </row>
    <row r="27" spans="1:31" ht="44.25" customHeight="1" x14ac:dyDescent="0.25">
      <c r="C27" s="31" t="s">
        <v>94</v>
      </c>
      <c r="D27" s="31" t="s">
        <v>95</v>
      </c>
      <c r="I27" s="31" t="s">
        <v>94</v>
      </c>
      <c r="J27" s="31" t="s">
        <v>95</v>
      </c>
      <c r="U27" s="43"/>
      <c r="Z27" t="s">
        <v>67</v>
      </c>
      <c r="AA27" s="41" t="s">
        <v>66</v>
      </c>
      <c r="AB27" s="46" t="s">
        <v>64</v>
      </c>
      <c r="AC27" s="46" t="s">
        <v>65</v>
      </c>
      <c r="AD27" s="18"/>
      <c r="AE27" s="19"/>
    </row>
    <row r="28" spans="1:31" ht="20.25" x14ac:dyDescent="0.3">
      <c r="B28" s="32" t="s">
        <v>96</v>
      </c>
      <c r="C28" s="33">
        <v>0.56000000000000005</v>
      </c>
      <c r="D28" s="34">
        <f>ROUNDUP(D$24*C28,-1)</f>
        <v>0</v>
      </c>
      <c r="H28" s="32" t="s">
        <v>96</v>
      </c>
      <c r="I28" s="33">
        <v>0.56000000000000005</v>
      </c>
      <c r="J28" s="34">
        <f>ROUNDUP(J$24*I28,-1)</f>
        <v>0</v>
      </c>
      <c r="R28" t="s">
        <v>48</v>
      </c>
      <c r="S28" s="18">
        <v>1.95</v>
      </c>
      <c r="T28">
        <v>400</v>
      </c>
      <c r="U28" s="44">
        <f>U21+AA28</f>
        <v>5555.8230000000003</v>
      </c>
      <c r="V28" s="41" t="s">
        <v>87</v>
      </c>
      <c r="Z28">
        <v>300</v>
      </c>
      <c r="AA28" s="41">
        <f>AC28+AB28</f>
        <v>1632.8429999999998</v>
      </c>
      <c r="AB28" s="41">
        <f>297*Foglio3!A1</f>
        <v>385.803</v>
      </c>
      <c r="AC28" s="41">
        <f>960*Foglio3!A1</f>
        <v>1247.04</v>
      </c>
      <c r="AD28" s="18"/>
      <c r="AE28" s="19"/>
    </row>
    <row r="29" spans="1:31" ht="20.25" x14ac:dyDescent="0.3">
      <c r="B29" s="32" t="s">
        <v>97</v>
      </c>
      <c r="C29" s="33">
        <v>0.72</v>
      </c>
      <c r="D29" s="34">
        <f t="shared" ref="D29:D31" si="3">ROUNDUP(D$24*C29,-1)</f>
        <v>0</v>
      </c>
      <c r="H29" s="32" t="s">
        <v>97</v>
      </c>
      <c r="I29" s="33">
        <v>0.72</v>
      </c>
      <c r="J29" s="34">
        <f t="shared" ref="J29:J31" si="4">ROUNDUP(J$24*I29,-1)</f>
        <v>0</v>
      </c>
      <c r="R29" t="s">
        <v>48</v>
      </c>
      <c r="S29" s="18">
        <v>4</v>
      </c>
      <c r="T29">
        <v>400</v>
      </c>
      <c r="U29" s="44">
        <f>U22+AA28</f>
        <v>7504.3229999999994</v>
      </c>
      <c r="V29" s="41" t="s">
        <v>63</v>
      </c>
      <c r="Z29">
        <v>500</v>
      </c>
      <c r="AA29" s="41">
        <f>AC29+AB29</f>
        <v>1683.5039999999999</v>
      </c>
      <c r="AB29" s="41">
        <f>336*Foglio3!A1</f>
        <v>436.464</v>
      </c>
      <c r="AC29" s="41">
        <f>960*Foglio3!A1</f>
        <v>1247.04</v>
      </c>
    </row>
    <row r="30" spans="1:31" ht="20.25" x14ac:dyDescent="0.3">
      <c r="B30" s="32" t="s">
        <v>98</v>
      </c>
      <c r="C30" s="33">
        <v>0.9</v>
      </c>
      <c r="D30" s="34">
        <f t="shared" si="3"/>
        <v>0</v>
      </c>
      <c r="H30" s="32" t="s">
        <v>98</v>
      </c>
      <c r="I30" s="33">
        <v>0.9</v>
      </c>
      <c r="J30" s="34">
        <f t="shared" si="4"/>
        <v>0</v>
      </c>
      <c r="R30" t="s">
        <v>48</v>
      </c>
      <c r="S30" s="18">
        <v>3.33</v>
      </c>
      <c r="T30">
        <v>600</v>
      </c>
      <c r="U30" s="44">
        <f>U23+AA29</f>
        <v>5957.2139999999999</v>
      </c>
      <c r="V30" s="41" t="s">
        <v>87</v>
      </c>
      <c r="Z30">
        <v>900</v>
      </c>
      <c r="AA30" s="41">
        <f>AC30+AB30</f>
        <v>2201.8049999999998</v>
      </c>
      <c r="AB30" s="41">
        <f>735*Foglio3!A1</f>
        <v>954.76499999999999</v>
      </c>
      <c r="AC30" s="41">
        <f>960*Foglio3!A1</f>
        <v>1247.04</v>
      </c>
    </row>
    <row r="31" spans="1:31" ht="20.25" x14ac:dyDescent="0.3">
      <c r="B31" s="35" t="s">
        <v>99</v>
      </c>
      <c r="C31" s="36"/>
      <c r="D31" s="34">
        <f t="shared" si="3"/>
        <v>0</v>
      </c>
      <c r="H31" s="35" t="s">
        <v>99</v>
      </c>
      <c r="I31" s="36"/>
      <c r="J31" s="34">
        <f t="shared" si="4"/>
        <v>0</v>
      </c>
      <c r="R31" t="s">
        <v>48</v>
      </c>
      <c r="S31" s="18">
        <v>6.85</v>
      </c>
      <c r="T31">
        <v>600</v>
      </c>
      <c r="U31" s="44">
        <f>U24+AA29</f>
        <v>8165.5139999999992</v>
      </c>
      <c r="V31" s="41" t="s">
        <v>63</v>
      </c>
    </row>
    <row r="32" spans="1:31" x14ac:dyDescent="0.25">
      <c r="R32" t="s">
        <v>48</v>
      </c>
      <c r="S32" s="18">
        <v>6.12</v>
      </c>
      <c r="T32">
        <v>1000</v>
      </c>
      <c r="U32" s="44">
        <f>U25+AA30</f>
        <v>7112.0249999999996</v>
      </c>
      <c r="V32" s="41" t="s">
        <v>87</v>
      </c>
    </row>
    <row r="33" spans="18:27" x14ac:dyDescent="0.25">
      <c r="R33" t="s">
        <v>48</v>
      </c>
      <c r="S33" s="18">
        <v>12.6</v>
      </c>
      <c r="T33">
        <v>1000</v>
      </c>
      <c r="U33" s="44">
        <f>U26+AA30</f>
        <v>9112.4849999999988</v>
      </c>
      <c r="V33" s="41" t="s">
        <v>63</v>
      </c>
    </row>
    <row r="34" spans="18:27" x14ac:dyDescent="0.25">
      <c r="U34" s="43"/>
      <c r="X34" s="43"/>
    </row>
    <row r="36" spans="18:27" x14ac:dyDescent="0.25">
      <c r="R36" t="s">
        <v>8</v>
      </c>
      <c r="T36" t="s">
        <v>29</v>
      </c>
      <c r="U36" s="41" t="s">
        <v>30</v>
      </c>
    </row>
    <row r="37" spans="18:27" ht="26.25" customHeight="1" x14ac:dyDescent="0.35">
      <c r="R37" s="24" t="s">
        <v>22</v>
      </c>
      <c r="S37">
        <v>1200</v>
      </c>
      <c r="T37" s="4">
        <v>250</v>
      </c>
      <c r="U37" s="42">
        <f>2970*Foglio3!A1</f>
        <v>3858.0299999999997</v>
      </c>
    </row>
    <row r="38" spans="18:27" ht="26.25" customHeight="1" x14ac:dyDescent="0.35">
      <c r="R38" s="24" t="s">
        <v>24</v>
      </c>
      <c r="S38">
        <v>1200</v>
      </c>
      <c r="T38" s="4">
        <v>250</v>
      </c>
      <c r="U38" s="42">
        <f>3150*Foglio3!A1</f>
        <v>4091.85</v>
      </c>
    </row>
    <row r="39" spans="18:27" ht="26.25" customHeight="1" x14ac:dyDescent="0.35">
      <c r="R39" s="24" t="s">
        <v>25</v>
      </c>
      <c r="S39">
        <v>1200</v>
      </c>
      <c r="T39" s="4">
        <v>250</v>
      </c>
      <c r="U39" s="42">
        <f>2780*Foglio3!A1</f>
        <v>3611.22</v>
      </c>
    </row>
    <row r="40" spans="18:27" ht="26.25" customHeight="1" x14ac:dyDescent="0.35">
      <c r="R40" s="24" t="s">
        <v>26</v>
      </c>
      <c r="S40">
        <v>1500</v>
      </c>
      <c r="T40" s="4">
        <v>425</v>
      </c>
      <c r="U40" s="42">
        <f>3360*Foglio3!A1</f>
        <v>4364.6399999999994</v>
      </c>
    </row>
    <row r="41" spans="18:27" ht="26.25" customHeight="1" x14ac:dyDescent="0.35">
      <c r="R41" s="24" t="s">
        <v>27</v>
      </c>
      <c r="S41">
        <v>1500</v>
      </c>
      <c r="T41" s="4">
        <v>425</v>
      </c>
      <c r="U41" s="42">
        <f>3540*Foglio3!A1</f>
        <v>4598.46</v>
      </c>
    </row>
    <row r="42" spans="18:27" ht="26.25" customHeight="1" x14ac:dyDescent="0.35">
      <c r="R42" s="24" t="s">
        <v>28</v>
      </c>
      <c r="S42">
        <v>1500</v>
      </c>
      <c r="T42" s="4">
        <v>425</v>
      </c>
      <c r="U42" s="42">
        <f>3170*Foglio3!A1</f>
        <v>4117.83</v>
      </c>
    </row>
    <row r="44" spans="18:27" x14ac:dyDescent="0.25">
      <c r="R44" s="25" t="s">
        <v>68</v>
      </c>
      <c r="T44" t="s">
        <v>76</v>
      </c>
      <c r="U44" s="41" t="s">
        <v>75</v>
      </c>
      <c r="X44" s="41" t="s">
        <v>72</v>
      </c>
      <c r="Y44" t="s">
        <v>71</v>
      </c>
      <c r="Z44" t="s">
        <v>73</v>
      </c>
      <c r="AA44" s="41" t="s">
        <v>74</v>
      </c>
    </row>
    <row r="45" spans="18:27" x14ac:dyDescent="0.25">
      <c r="R45" s="25" t="s">
        <v>69</v>
      </c>
      <c r="T45" s="26">
        <v>200</v>
      </c>
      <c r="U45" s="41">
        <f>SUM(X45:AA45)</f>
        <v>1261.329</v>
      </c>
      <c r="X45" s="41">
        <f>726*Foglio3!A1</f>
        <v>943.07399999999996</v>
      </c>
      <c r="Y45">
        <f>25*Foglio3!A1</f>
        <v>32.475000000000001</v>
      </c>
      <c r="Z45">
        <f>180*Foglio3!A1</f>
        <v>233.82</v>
      </c>
      <c r="AA45" s="41">
        <f>40*Foglio3!A1</f>
        <v>51.959999999999994</v>
      </c>
    </row>
    <row r="46" spans="18:27" x14ac:dyDescent="0.25">
      <c r="R46" s="25" t="s">
        <v>70</v>
      </c>
      <c r="T46" s="26">
        <v>200</v>
      </c>
      <c r="U46" s="41">
        <f>SUM(X46:AA46)</f>
        <v>1261.329</v>
      </c>
      <c r="X46" s="41">
        <f>726*Foglio3!A1</f>
        <v>943.07399999999996</v>
      </c>
      <c r="Y46">
        <f>25*Foglio3!A1</f>
        <v>32.475000000000001</v>
      </c>
      <c r="Z46">
        <f>180*Foglio3!A1</f>
        <v>233.82</v>
      </c>
      <c r="AA46" s="41">
        <f>40*Foglio3!A1</f>
        <v>51.959999999999994</v>
      </c>
    </row>
    <row r="48" spans="18:27" x14ac:dyDescent="0.25">
      <c r="R48" s="25" t="s">
        <v>77</v>
      </c>
      <c r="S48" t="s">
        <v>80</v>
      </c>
      <c r="T48" t="s">
        <v>79</v>
      </c>
      <c r="U48" s="41" t="s">
        <v>78</v>
      </c>
      <c r="V48" s="41" t="s">
        <v>106</v>
      </c>
      <c r="W48" s="45" t="s">
        <v>103</v>
      </c>
      <c r="X48" s="41" t="s">
        <v>104</v>
      </c>
    </row>
    <row r="49" spans="18:24" x14ac:dyDescent="0.25">
      <c r="R49">
        <v>1200</v>
      </c>
      <c r="S49">
        <v>1280</v>
      </c>
      <c r="T49">
        <v>446</v>
      </c>
      <c r="U49" s="41">
        <f>3310*Foglio3!A1</f>
        <v>4299.6899999999996</v>
      </c>
      <c r="V49" s="41">
        <f>1249*Foglio3!A1</f>
        <v>1622.451</v>
      </c>
      <c r="W49" s="41">
        <f>U49+V49</f>
        <v>5922.1409999999996</v>
      </c>
      <c r="X49" s="41">
        <f>U49</f>
        <v>4299.6899999999996</v>
      </c>
    </row>
    <row r="50" spans="18:24" x14ac:dyDescent="0.25">
      <c r="R50">
        <v>1500</v>
      </c>
      <c r="S50">
        <f>S49+135</f>
        <v>1415</v>
      </c>
      <c r="T50">
        <v>725</v>
      </c>
      <c r="U50" s="41">
        <f>4740*Foglio3!A1</f>
        <v>6157.2599999999993</v>
      </c>
      <c r="V50" s="41">
        <f>2140*Foglio3!A1</f>
        <v>2779.8599999999997</v>
      </c>
      <c r="W50" s="41">
        <f>U50+V50</f>
        <v>8937.119999999999</v>
      </c>
      <c r="X50" s="41">
        <f>U50</f>
        <v>6157.2599999999993</v>
      </c>
    </row>
    <row r="51" spans="18:24" x14ac:dyDescent="0.25">
      <c r="R51" t="s">
        <v>105</v>
      </c>
    </row>
  </sheetData>
  <mergeCells count="3">
    <mergeCell ref="C1:F1"/>
    <mergeCell ref="I1:L1"/>
    <mergeCell ref="A7:A9"/>
  </mergeCells>
  <dataValidations disablePrompts="1" count="5">
    <dataValidation type="list" allowBlank="1" showInputMessage="1" showErrorMessage="1" sqref="B18" xr:uid="{00000000-0002-0000-0000-000000000000}">
      <formula1>$R$37:$R$39</formula1>
    </dataValidation>
    <dataValidation type="list" allowBlank="1" showInputMessage="1" showErrorMessage="1" sqref="B21" xr:uid="{00000000-0002-0000-0000-000001000000}">
      <formula1>$S$21:$S$26</formula1>
    </dataValidation>
    <dataValidation type="list" allowBlank="1" showInputMessage="1" showErrorMessage="1" sqref="H21" xr:uid="{00000000-0002-0000-0000-000002000000}">
      <formula1>$S$28:$S$33</formula1>
    </dataValidation>
    <dataValidation type="list" allowBlank="1" showInputMessage="1" showErrorMessage="1" sqref="H18" xr:uid="{00000000-0002-0000-0000-000003000000}">
      <formula1>$R$40:$R$42</formula1>
    </dataValidation>
    <dataValidation type="list" allowBlank="1" showInputMessage="1" showErrorMessage="1" sqref="B3 H3" xr:uid="{00000000-0002-0000-0000-000004000000}">
      <formula1>$S$3:$U$3</formula1>
    </dataValidation>
  </dataValidations>
  <pageMargins left="0.70866141732283472" right="0.70866141732283472" top="0.74803149606299213" bottom="0.74803149606299213" header="0.31496062992125984" footer="0.31496062992125984"/>
  <pageSetup paperSize="9" scale="53" fitToHeight="0" orientation="landscape" r:id="rId1"/>
  <headerFooter>
    <oddHeader>&amp;C&amp;F&amp;R&amp;D - &amp;T</oddHeader>
    <oddFooter>&amp;R&amp;G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AE51"/>
  <sheetViews>
    <sheetView zoomScaleNormal="100" zoomScaleSheetLayoutView="85" workbookViewId="0">
      <selection activeCell="X49" sqref="X49"/>
    </sheetView>
  </sheetViews>
  <sheetFormatPr defaultRowHeight="15" x14ac:dyDescent="0.25"/>
  <cols>
    <col min="1" max="1" width="48.140625" bestFit="1" customWidth="1"/>
    <col min="2" max="2" width="47.7109375" customWidth="1"/>
    <col min="3" max="3" width="9.28515625" bestFit="1" customWidth="1"/>
    <col min="4" max="5" width="10.7109375" bestFit="1" customWidth="1"/>
    <col min="6" max="6" width="12.7109375" bestFit="1" customWidth="1"/>
    <col min="8" max="8" width="53.140625" bestFit="1" customWidth="1"/>
    <col min="9" max="9" width="9.28515625" bestFit="1" customWidth="1"/>
    <col min="10" max="11" width="10.42578125" customWidth="1"/>
    <col min="12" max="12" width="12.7109375" bestFit="1" customWidth="1"/>
    <col min="18" max="18" width="77" bestFit="1" customWidth="1"/>
    <col min="19" max="19" width="12.85546875" bestFit="1" customWidth="1"/>
    <col min="21" max="21" width="12.7109375" style="41" bestFit="1" customWidth="1"/>
    <col min="22" max="22" width="9.140625" style="41"/>
    <col min="23" max="23" width="16" style="41" bestFit="1" customWidth="1"/>
    <col min="24" max="24" width="9.140625" style="41"/>
    <col min="27" max="29" width="9.140625" style="41"/>
  </cols>
  <sheetData>
    <row r="1" spans="1:31" ht="21.75" thickBot="1" x14ac:dyDescent="0.4">
      <c r="A1" s="27" t="s">
        <v>93</v>
      </c>
      <c r="B1" s="30"/>
      <c r="C1" s="48">
        <v>1200</v>
      </c>
      <c r="D1" s="48"/>
      <c r="E1" s="48"/>
      <c r="F1" s="49"/>
      <c r="H1" s="10"/>
      <c r="I1" s="50">
        <v>1500</v>
      </c>
      <c r="J1" s="48"/>
      <c r="K1" s="48"/>
      <c r="L1" s="49"/>
    </row>
    <row r="2" spans="1:31" ht="21.75" thickBot="1" x14ac:dyDescent="0.4">
      <c r="A2" s="28" t="s">
        <v>92</v>
      </c>
      <c r="B2" s="30"/>
      <c r="R2" t="s">
        <v>1</v>
      </c>
      <c r="S2">
        <v>1200</v>
      </c>
      <c r="T2">
        <v>1500</v>
      </c>
    </row>
    <row r="3" spans="1:31" ht="21.75" thickBot="1" x14ac:dyDescent="0.4">
      <c r="A3" s="37" t="s">
        <v>102</v>
      </c>
      <c r="B3" s="40"/>
      <c r="C3" s="38" t="s">
        <v>82</v>
      </c>
      <c r="D3" s="11" t="s">
        <v>91</v>
      </c>
      <c r="E3" s="11" t="s">
        <v>90</v>
      </c>
      <c r="F3" s="11" t="s">
        <v>81</v>
      </c>
      <c r="H3" s="40"/>
      <c r="I3" s="11" t="s">
        <v>82</v>
      </c>
      <c r="J3" s="11" t="s">
        <v>91</v>
      </c>
      <c r="K3" s="11" t="s">
        <v>90</v>
      </c>
      <c r="L3" s="11" t="s">
        <v>81</v>
      </c>
      <c r="R3" t="s">
        <v>102</v>
      </c>
      <c r="S3" t="s">
        <v>103</v>
      </c>
      <c r="T3" t="s">
        <v>104</v>
      </c>
    </row>
    <row r="4" spans="1:31" x14ac:dyDescent="0.25">
      <c r="C4" s="12"/>
      <c r="D4" s="12"/>
      <c r="E4" s="12" t="s">
        <v>101</v>
      </c>
      <c r="F4" s="12"/>
      <c r="I4" s="12"/>
      <c r="J4" s="12"/>
      <c r="K4" s="12" t="s">
        <v>100</v>
      </c>
      <c r="L4" s="12"/>
    </row>
    <row r="5" spans="1:31" ht="15.75" x14ac:dyDescent="0.25">
      <c r="A5" s="13" t="s">
        <v>107</v>
      </c>
      <c r="D5" s="14">
        <f>T49</f>
        <v>490</v>
      </c>
      <c r="E5" s="14">
        <f>S49</f>
        <v>1045</v>
      </c>
      <c r="F5" s="15">
        <f>IF(B3=S3,W49,X49)</f>
        <v>4663.41</v>
      </c>
      <c r="J5" s="14">
        <f>T50</f>
        <v>957</v>
      </c>
      <c r="K5" s="14">
        <f>S50</f>
        <v>1367</v>
      </c>
      <c r="L5" s="15">
        <f>IF(H3=S3,W50,X50)</f>
        <v>6092.3099999999995</v>
      </c>
      <c r="R5" t="s">
        <v>45</v>
      </c>
      <c r="S5" t="s">
        <v>0</v>
      </c>
      <c r="T5" t="s">
        <v>6</v>
      </c>
      <c r="U5" s="41" t="s">
        <v>7</v>
      </c>
      <c r="W5" s="41" t="s">
        <v>83</v>
      </c>
      <c r="AA5" s="41" t="s">
        <v>61</v>
      </c>
      <c r="AB5" s="41" t="s">
        <v>62</v>
      </c>
    </row>
    <row r="6" spans="1:31" ht="15.75" x14ac:dyDescent="0.25">
      <c r="B6" s="13"/>
      <c r="R6" t="s">
        <v>45</v>
      </c>
      <c r="S6">
        <v>300</v>
      </c>
      <c r="T6">
        <v>340</v>
      </c>
      <c r="U6" s="41">
        <f>AA6+AB6</f>
        <v>1037.9009999999998</v>
      </c>
      <c r="W6" s="41">
        <f>VLOOKUP(S6,B7:C9,2)</f>
        <v>0</v>
      </c>
      <c r="AA6" s="41">
        <f>660*Foglio3!A1</f>
        <v>857.33999999999992</v>
      </c>
      <c r="AB6" s="41">
        <f>139*Foglio3!A1</f>
        <v>180.56099999999998</v>
      </c>
    </row>
    <row r="7" spans="1:31" ht="15.75" customHeight="1" x14ac:dyDescent="0.25">
      <c r="A7" s="51" t="s">
        <v>0</v>
      </c>
      <c r="B7" s="16">
        <v>300</v>
      </c>
      <c r="C7" s="6"/>
      <c r="D7" s="14">
        <f>C7*T6</f>
        <v>0</v>
      </c>
      <c r="E7" s="14">
        <f>C7*B7</f>
        <v>0</v>
      </c>
      <c r="F7" s="15">
        <f>C7*U6</f>
        <v>0</v>
      </c>
      <c r="H7" s="16">
        <v>300</v>
      </c>
      <c r="I7" s="6"/>
      <c r="J7" s="17">
        <f>I7*T15</f>
        <v>0</v>
      </c>
      <c r="K7" s="17">
        <f>I7*H7</f>
        <v>0</v>
      </c>
      <c r="L7" s="15">
        <f>I7*U15</f>
        <v>0</v>
      </c>
      <c r="R7" t="s">
        <v>45</v>
      </c>
      <c r="S7">
        <v>500</v>
      </c>
      <c r="T7">
        <v>566</v>
      </c>
      <c r="U7" s="41">
        <f>AA7+AB7</f>
        <v>1360.06</v>
      </c>
      <c r="AA7" s="41">
        <f>940*Foglio3!A1</f>
        <v>1221.06</v>
      </c>
      <c r="AB7" s="41">
        <v>139</v>
      </c>
      <c r="AD7" s="18"/>
      <c r="AE7" s="19"/>
    </row>
    <row r="8" spans="1:31" ht="15.75" customHeight="1" x14ac:dyDescent="0.25">
      <c r="A8" s="51"/>
      <c r="B8" s="16">
        <v>500</v>
      </c>
      <c r="C8" s="6"/>
      <c r="D8" s="14">
        <f>C8*T7</f>
        <v>0</v>
      </c>
      <c r="E8" s="14">
        <f t="shared" ref="E8:E9" si="0">C8*B8</f>
        <v>0</v>
      </c>
      <c r="F8" s="15">
        <f>C8*U7</f>
        <v>0</v>
      </c>
      <c r="H8" s="16">
        <v>500</v>
      </c>
      <c r="I8" s="6"/>
      <c r="J8" s="17">
        <f>I8*T16</f>
        <v>0</v>
      </c>
      <c r="K8" s="17">
        <f t="shared" ref="K8:K9" si="1">I8*H8</f>
        <v>0</v>
      </c>
      <c r="L8" s="15">
        <f>I8*U16</f>
        <v>0</v>
      </c>
      <c r="R8" t="s">
        <v>45</v>
      </c>
      <c r="S8">
        <v>900</v>
      </c>
      <c r="T8">
        <v>1020</v>
      </c>
      <c r="U8" s="41">
        <f>AA8+AB8</f>
        <v>1370.5609999999999</v>
      </c>
      <c r="AA8" s="41">
        <v>1190</v>
      </c>
      <c r="AB8" s="41">
        <f>139*Foglio3!A1</f>
        <v>180.56099999999998</v>
      </c>
      <c r="AD8" s="18"/>
      <c r="AE8" s="19"/>
    </row>
    <row r="9" spans="1:31" ht="15.75" customHeight="1" x14ac:dyDescent="0.25">
      <c r="A9" s="51"/>
      <c r="B9" s="16">
        <v>900</v>
      </c>
      <c r="C9" s="6"/>
      <c r="D9" s="14">
        <f>C9*T8</f>
        <v>0</v>
      </c>
      <c r="E9" s="14">
        <f t="shared" si="0"/>
        <v>0</v>
      </c>
      <c r="F9" s="15">
        <f>C9*U8</f>
        <v>0</v>
      </c>
      <c r="H9" s="16">
        <v>900</v>
      </c>
      <c r="I9" s="6"/>
      <c r="J9" s="17">
        <f>I9*T17</f>
        <v>0</v>
      </c>
      <c r="K9" s="17">
        <f t="shared" si="1"/>
        <v>0</v>
      </c>
      <c r="L9" s="15">
        <f>I9*U17</f>
        <v>0</v>
      </c>
      <c r="AD9" s="18"/>
      <c r="AE9" s="19"/>
    </row>
    <row r="10" spans="1:31" x14ac:dyDescent="0.25">
      <c r="C10" s="20">
        <f>SUM(C7:C9)</f>
        <v>0</v>
      </c>
      <c r="I10" s="20">
        <f>SUM(I7:I9)</f>
        <v>0</v>
      </c>
      <c r="AD10" s="18"/>
      <c r="AE10" s="19"/>
    </row>
    <row r="11" spans="1:31" x14ac:dyDescent="0.25">
      <c r="AD11" s="18"/>
      <c r="AE11" s="19"/>
    </row>
    <row r="12" spans="1:31" x14ac:dyDescent="0.25">
      <c r="AD12" s="18"/>
      <c r="AE12" s="19"/>
    </row>
    <row r="13" spans="1:31" ht="15.75" x14ac:dyDescent="0.25">
      <c r="A13" s="13" t="s">
        <v>68</v>
      </c>
      <c r="E13" s="14">
        <f>T45</f>
        <v>200</v>
      </c>
      <c r="F13" s="15">
        <f>U45</f>
        <v>1261.329</v>
      </c>
      <c r="K13" s="14">
        <f>Z45</f>
        <v>233.82</v>
      </c>
      <c r="L13" s="15">
        <f>U46</f>
        <v>1261.329</v>
      </c>
      <c r="AD13" s="18"/>
      <c r="AE13" s="19"/>
    </row>
    <row r="14" spans="1:31" ht="15.75" thickBot="1" x14ac:dyDescent="0.3">
      <c r="R14" t="s">
        <v>46</v>
      </c>
      <c r="S14" t="s">
        <v>0</v>
      </c>
      <c r="T14" t="s">
        <v>6</v>
      </c>
      <c r="U14" s="41" t="s">
        <v>7</v>
      </c>
      <c r="AD14" s="18"/>
      <c r="AE14" s="19"/>
    </row>
    <row r="15" spans="1:31" ht="16.5" thickBot="1" x14ac:dyDescent="0.3">
      <c r="B15" s="21" t="s">
        <v>84</v>
      </c>
      <c r="D15" s="14">
        <f>IF(C10=0,0,SUM(D5:D13))</f>
        <v>0</v>
      </c>
      <c r="E15" s="14">
        <f>IF(C10=0,0,SUM(E5:E13))</f>
        <v>0</v>
      </c>
      <c r="F15" s="22" t="str">
        <f>IF(B3="","Scegli carico",IF(C$10=0,"",SUM(F5:F13)))</f>
        <v>Scegli carico</v>
      </c>
      <c r="J15" s="14">
        <f t="shared" ref="J15" si="2">IF(I10=0,0,SUM(J5:J13))</f>
        <v>0</v>
      </c>
      <c r="K15" s="14">
        <f>IF(I10=0,0,SUM(K5:K13))</f>
        <v>0</v>
      </c>
      <c r="L15" s="22" t="str">
        <f>IF(B3="","Scegli carico",IF(I$10=0,"",SUM(L5:L13)))</f>
        <v>Scegli carico</v>
      </c>
      <c r="R15" t="s">
        <v>46</v>
      </c>
      <c r="S15">
        <v>300</v>
      </c>
      <c r="T15">
        <v>530</v>
      </c>
      <c r="U15" s="41">
        <f>AA15+AB15</f>
        <v>1388.143</v>
      </c>
      <c r="AA15" s="41">
        <f>957*Foglio3!A1</f>
        <v>1243.143</v>
      </c>
      <c r="AB15" s="41">
        <v>145</v>
      </c>
      <c r="AD15" s="18"/>
      <c r="AE15" s="19"/>
    </row>
    <row r="16" spans="1:31" x14ac:dyDescent="0.25">
      <c r="R16" t="s">
        <v>46</v>
      </c>
      <c r="S16">
        <v>500</v>
      </c>
      <c r="T16">
        <v>885</v>
      </c>
      <c r="U16" s="41">
        <f>AA16+AB16</f>
        <v>1464.355</v>
      </c>
      <c r="AA16" s="41">
        <v>1276</v>
      </c>
      <c r="AB16" s="41">
        <f>145*Foglio3!A1</f>
        <v>188.35499999999999</v>
      </c>
      <c r="AD16" s="18"/>
      <c r="AE16" s="19"/>
    </row>
    <row r="17" spans="1:31" x14ac:dyDescent="0.25">
      <c r="R17" t="s">
        <v>46</v>
      </c>
      <c r="S17">
        <v>900</v>
      </c>
      <c r="T17">
        <f>T15*3</f>
        <v>1590</v>
      </c>
      <c r="U17" s="41">
        <f>AA17+AB17</f>
        <v>2688.93</v>
      </c>
      <c r="AA17" s="41">
        <f>1925*Foglio3!A1</f>
        <v>2500.5749999999998</v>
      </c>
      <c r="AB17" s="41">
        <f>145*Foglio3!A1</f>
        <v>188.35499999999999</v>
      </c>
      <c r="AD17" s="18"/>
      <c r="AE17" s="19"/>
    </row>
    <row r="18" spans="1:31" ht="31.5" customHeight="1" x14ac:dyDescent="0.25">
      <c r="A18" s="13" t="s">
        <v>8</v>
      </c>
      <c r="B18" s="7"/>
      <c r="D18" t="s">
        <v>86</v>
      </c>
      <c r="E18" t="s">
        <v>86</v>
      </c>
      <c r="F18" s="15">
        <f>IF(B18=0,0,VLOOKUP(B18,R37:U39,4))</f>
        <v>0</v>
      </c>
      <c r="H18" s="7"/>
      <c r="J18" t="s">
        <v>86</v>
      </c>
      <c r="K18" t="s">
        <v>86</v>
      </c>
      <c r="L18" s="15">
        <f>IF(H18=0,0,VLOOKUP(H18,R40:U42,4))</f>
        <v>0</v>
      </c>
      <c r="AC18" s="47"/>
      <c r="AD18" s="18"/>
      <c r="AE18" s="19"/>
    </row>
    <row r="19" spans="1:31" ht="15.75" thickBot="1" x14ac:dyDescent="0.3">
      <c r="AC19" s="47"/>
      <c r="AD19" s="18"/>
      <c r="AE19" s="19"/>
    </row>
    <row r="20" spans="1:31" x14ac:dyDescent="0.25">
      <c r="B20" s="23" t="s">
        <v>89</v>
      </c>
      <c r="H20" s="23" t="s">
        <v>89</v>
      </c>
      <c r="R20" t="s">
        <v>2</v>
      </c>
      <c r="S20" t="s">
        <v>3</v>
      </c>
      <c r="T20" t="s">
        <v>4</v>
      </c>
      <c r="U20" s="41" t="s">
        <v>5</v>
      </c>
      <c r="AC20" s="47"/>
      <c r="AD20" s="18"/>
      <c r="AE20" s="19"/>
    </row>
    <row r="21" spans="1:31" ht="16.5" thickBot="1" x14ac:dyDescent="0.3">
      <c r="A21" s="13" t="s">
        <v>2</v>
      </c>
      <c r="B21" s="8"/>
      <c r="C21" s="29">
        <f>IF(B21=0,0,VLOOKUP(B21,S21:V26,4,0))</f>
        <v>0</v>
      </c>
      <c r="E21" s="14">
        <f>IF(B21=0,0,VLOOKUP(B21,S21:T26,2))</f>
        <v>0</v>
      </c>
      <c r="F21" s="15"/>
      <c r="H21" s="9"/>
      <c r="I21" s="29">
        <f>IF(H21=0,0,VLOOKUP(H21,S28:V33,4))</f>
        <v>0</v>
      </c>
      <c r="K21" s="14">
        <f>IF(H21=0,0,VLOOKUP(H21,S28:T33,2))</f>
        <v>0</v>
      </c>
      <c r="L21" s="15"/>
      <c r="R21" t="s">
        <v>47</v>
      </c>
      <c r="S21" s="18">
        <v>1.95</v>
      </c>
      <c r="T21">
        <v>400</v>
      </c>
      <c r="U21" s="42">
        <f>3020*Foglio3!A1</f>
        <v>3922.98</v>
      </c>
      <c r="V21" s="41" t="s">
        <v>87</v>
      </c>
      <c r="AC21" s="47"/>
      <c r="AD21" s="18"/>
      <c r="AE21" s="19"/>
    </row>
    <row r="22" spans="1:31" x14ac:dyDescent="0.25">
      <c r="R22" t="s">
        <v>47</v>
      </c>
      <c r="S22" s="18">
        <v>4</v>
      </c>
      <c r="T22">
        <v>400</v>
      </c>
      <c r="U22" s="42">
        <f>4520*Foglio3!A1</f>
        <v>5871.48</v>
      </c>
      <c r="V22" s="41" t="s">
        <v>63</v>
      </c>
      <c r="AC22" s="47"/>
      <c r="AD22" s="18"/>
      <c r="AE22" s="19"/>
    </row>
    <row r="23" spans="1:31" ht="15.75" thickBot="1" x14ac:dyDescent="0.3">
      <c r="R23" t="s">
        <v>47</v>
      </c>
      <c r="S23" s="18">
        <v>3.33</v>
      </c>
      <c r="T23">
        <v>600</v>
      </c>
      <c r="U23" s="42">
        <f>3290*Foglio3!A1</f>
        <v>4273.71</v>
      </c>
      <c r="V23" s="41" t="s">
        <v>87</v>
      </c>
      <c r="AC23" s="47"/>
      <c r="AD23" s="18"/>
      <c r="AE23" s="19"/>
    </row>
    <row r="24" spans="1:31" ht="16.5" thickBot="1" x14ac:dyDescent="0.3">
      <c r="B24" s="21" t="s">
        <v>88</v>
      </c>
      <c r="D24" s="14">
        <f>SUM(D15:D21)</f>
        <v>0</v>
      </c>
      <c r="E24" s="14">
        <f>SUM(E15:E21)</f>
        <v>0</v>
      </c>
      <c r="F24" s="22" t="str">
        <f>IF(B3="","Scegli carico",IF(C$10=0,"",SUM(F15:F21)))</f>
        <v>Scegli carico</v>
      </c>
      <c r="J24" s="14">
        <f>SUM(J15:J21)</f>
        <v>0</v>
      </c>
      <c r="K24" s="14">
        <f>SUM(K15:K21)</f>
        <v>0</v>
      </c>
      <c r="L24" s="22" t="str">
        <f>IF(B3="","Scegli carico",IF(I$10=0,"",SUM(L15:L21)))</f>
        <v>Scegli carico</v>
      </c>
      <c r="R24" t="s">
        <v>47</v>
      </c>
      <c r="S24" s="18">
        <v>6.85</v>
      </c>
      <c r="T24">
        <v>600</v>
      </c>
      <c r="U24" s="42">
        <f>4990*Foglio3!A1</f>
        <v>6482.0099999999993</v>
      </c>
      <c r="V24" s="41" t="s">
        <v>63</v>
      </c>
      <c r="AC24" s="47"/>
      <c r="AD24" s="18"/>
      <c r="AE24" s="19"/>
    </row>
    <row r="25" spans="1:31" x14ac:dyDescent="0.25">
      <c r="R25" t="s">
        <v>47</v>
      </c>
      <c r="S25" s="18">
        <v>6.12</v>
      </c>
      <c r="T25">
        <v>1000</v>
      </c>
      <c r="U25" s="42">
        <f>3780*Foglio3!A1</f>
        <v>4910.2199999999993</v>
      </c>
      <c r="V25" s="41" t="s">
        <v>87</v>
      </c>
      <c r="AC25" s="47"/>
      <c r="AD25" s="18"/>
      <c r="AE25" s="19"/>
    </row>
    <row r="26" spans="1:31" x14ac:dyDescent="0.25">
      <c r="R26" t="s">
        <v>47</v>
      </c>
      <c r="S26" s="18">
        <v>12.6</v>
      </c>
      <c r="T26">
        <v>1000</v>
      </c>
      <c r="U26" s="42">
        <f>5320*Foglio3!A1</f>
        <v>6910.6799999999994</v>
      </c>
      <c r="V26" s="41" t="s">
        <v>63</v>
      </c>
      <c r="AC26" s="47"/>
      <c r="AD26" s="18"/>
      <c r="AE26" s="19"/>
    </row>
    <row r="27" spans="1:31" ht="44.25" customHeight="1" x14ac:dyDescent="0.25">
      <c r="C27" s="31" t="s">
        <v>94</v>
      </c>
      <c r="D27" s="31" t="s">
        <v>95</v>
      </c>
      <c r="I27" s="31" t="s">
        <v>94</v>
      </c>
      <c r="J27" s="31" t="s">
        <v>95</v>
      </c>
      <c r="U27" s="43"/>
      <c r="Z27" t="s">
        <v>67</v>
      </c>
      <c r="AA27" s="41" t="s">
        <v>66</v>
      </c>
      <c r="AB27" s="46" t="s">
        <v>64</v>
      </c>
      <c r="AC27" s="46" t="s">
        <v>65</v>
      </c>
      <c r="AD27" s="18"/>
      <c r="AE27" s="19"/>
    </row>
    <row r="28" spans="1:31" ht="20.25" x14ac:dyDescent="0.3">
      <c r="B28" s="32" t="s">
        <v>96</v>
      </c>
      <c r="C28" s="33">
        <v>0.56000000000000005</v>
      </c>
      <c r="D28" s="34">
        <f>ROUNDUP(D$24*C28,-1)</f>
        <v>0</v>
      </c>
      <c r="H28" s="32" t="s">
        <v>96</v>
      </c>
      <c r="I28" s="33">
        <v>0.56000000000000005</v>
      </c>
      <c r="J28" s="34">
        <f>ROUNDUP(J$24*I28,-1)</f>
        <v>0</v>
      </c>
      <c r="R28" t="s">
        <v>48</v>
      </c>
      <c r="S28" s="18">
        <v>1.95</v>
      </c>
      <c r="T28">
        <v>400</v>
      </c>
      <c r="U28" s="44">
        <f>U21+AA28</f>
        <v>5555.8230000000003</v>
      </c>
      <c r="V28" s="41" t="s">
        <v>87</v>
      </c>
      <c r="Z28">
        <v>300</v>
      </c>
      <c r="AA28" s="41">
        <f>AC28+AB28</f>
        <v>1632.8429999999998</v>
      </c>
      <c r="AB28" s="41">
        <f>297*Foglio3!A1</f>
        <v>385.803</v>
      </c>
      <c r="AC28" s="41">
        <f>960*Foglio3!A1</f>
        <v>1247.04</v>
      </c>
      <c r="AD28" s="18"/>
      <c r="AE28" s="19"/>
    </row>
    <row r="29" spans="1:31" ht="20.25" x14ac:dyDescent="0.3">
      <c r="B29" s="32" t="s">
        <v>97</v>
      </c>
      <c r="C29" s="33">
        <v>0.72</v>
      </c>
      <c r="D29" s="34">
        <f t="shared" ref="D29:D31" si="3">ROUNDUP(D$24*C29,-1)</f>
        <v>0</v>
      </c>
      <c r="H29" s="32" t="s">
        <v>97</v>
      </c>
      <c r="I29" s="33">
        <v>0.72</v>
      </c>
      <c r="J29" s="34">
        <f t="shared" ref="J29:J31" si="4">ROUNDUP(J$24*I29,-1)</f>
        <v>0</v>
      </c>
      <c r="R29" t="s">
        <v>48</v>
      </c>
      <c r="S29" s="18">
        <v>4</v>
      </c>
      <c r="T29">
        <v>400</v>
      </c>
      <c r="U29" s="44">
        <f>U22+AA28</f>
        <v>7504.3229999999994</v>
      </c>
      <c r="V29" s="41" t="s">
        <v>63</v>
      </c>
      <c r="Z29">
        <v>500</v>
      </c>
      <c r="AA29" s="41">
        <f t="shared" ref="AA29" si="5">AC29+AB29</f>
        <v>1683.5039999999999</v>
      </c>
      <c r="AB29" s="41">
        <f>336*Foglio3!A1</f>
        <v>436.464</v>
      </c>
      <c r="AC29" s="41">
        <f>960*Foglio3!A1</f>
        <v>1247.04</v>
      </c>
    </row>
    <row r="30" spans="1:31" ht="20.25" x14ac:dyDescent="0.3">
      <c r="B30" s="32" t="s">
        <v>98</v>
      </c>
      <c r="C30" s="33">
        <v>0.9</v>
      </c>
      <c r="D30" s="34">
        <f t="shared" si="3"/>
        <v>0</v>
      </c>
      <c r="H30" s="32" t="s">
        <v>98</v>
      </c>
      <c r="I30" s="33">
        <v>0.9</v>
      </c>
      <c r="J30" s="34">
        <f t="shared" si="4"/>
        <v>0</v>
      </c>
      <c r="R30" t="s">
        <v>48</v>
      </c>
      <c r="S30" s="18">
        <v>3.33</v>
      </c>
      <c r="T30">
        <v>600</v>
      </c>
      <c r="U30" s="44">
        <f>U23+AA29</f>
        <v>5957.2139999999999</v>
      </c>
      <c r="V30" s="41" t="s">
        <v>87</v>
      </c>
      <c r="Z30">
        <v>900</v>
      </c>
      <c r="AA30" s="41">
        <f>AC30+AB30</f>
        <v>2201.8049999999998</v>
      </c>
      <c r="AB30" s="41">
        <f>735*Foglio3!A1</f>
        <v>954.76499999999999</v>
      </c>
      <c r="AC30" s="41">
        <f>960*Foglio3!A1</f>
        <v>1247.04</v>
      </c>
    </row>
    <row r="31" spans="1:31" ht="20.25" x14ac:dyDescent="0.3">
      <c r="B31" s="35" t="s">
        <v>99</v>
      </c>
      <c r="C31" s="36"/>
      <c r="D31" s="34">
        <f t="shared" si="3"/>
        <v>0</v>
      </c>
      <c r="H31" s="35" t="s">
        <v>99</v>
      </c>
      <c r="I31" s="36"/>
      <c r="J31" s="34">
        <f t="shared" si="4"/>
        <v>0</v>
      </c>
      <c r="R31" t="s">
        <v>48</v>
      </c>
      <c r="S31" s="18">
        <v>6.85</v>
      </c>
      <c r="T31">
        <v>600</v>
      </c>
      <c r="U31" s="44">
        <f>U24+AA29</f>
        <v>8165.5139999999992</v>
      </c>
      <c r="V31" s="41" t="s">
        <v>63</v>
      </c>
    </row>
    <row r="32" spans="1:31" x14ac:dyDescent="0.25">
      <c r="R32" t="s">
        <v>48</v>
      </c>
      <c r="S32" s="18">
        <v>6.12</v>
      </c>
      <c r="T32">
        <v>1000</v>
      </c>
      <c r="U32" s="44">
        <f>U25+AA30</f>
        <v>7112.0249999999996</v>
      </c>
      <c r="V32" s="41" t="s">
        <v>87</v>
      </c>
    </row>
    <row r="33" spans="18:27" x14ac:dyDescent="0.25">
      <c r="R33" t="s">
        <v>48</v>
      </c>
      <c r="S33" s="18">
        <v>12.6</v>
      </c>
      <c r="T33">
        <v>1000</v>
      </c>
      <c r="U33" s="44">
        <f>U26+AA30</f>
        <v>9112.4849999999988</v>
      </c>
      <c r="V33" s="41" t="s">
        <v>63</v>
      </c>
    </row>
    <row r="34" spans="18:27" x14ac:dyDescent="0.25">
      <c r="U34" s="43"/>
      <c r="X34" s="43"/>
    </row>
    <row r="36" spans="18:27" x14ac:dyDescent="0.25">
      <c r="R36" t="s">
        <v>8</v>
      </c>
      <c r="T36" t="s">
        <v>29</v>
      </c>
      <c r="U36" s="41" t="s">
        <v>30</v>
      </c>
    </row>
    <row r="37" spans="18:27" ht="26.25" customHeight="1" x14ac:dyDescent="0.35">
      <c r="R37" s="24" t="s">
        <v>22</v>
      </c>
      <c r="S37">
        <v>1200</v>
      </c>
      <c r="T37" s="4">
        <v>250</v>
      </c>
      <c r="U37" s="42">
        <f>2970*Foglio3!A1</f>
        <v>3858.0299999999997</v>
      </c>
    </row>
    <row r="38" spans="18:27" ht="26.25" customHeight="1" x14ac:dyDescent="0.35">
      <c r="R38" s="24" t="s">
        <v>24</v>
      </c>
      <c r="S38">
        <v>1200</v>
      </c>
      <c r="T38" s="4">
        <v>250</v>
      </c>
      <c r="U38" s="42">
        <f>3150*Foglio3!A1</f>
        <v>4091.85</v>
      </c>
    </row>
    <row r="39" spans="18:27" ht="26.25" customHeight="1" x14ac:dyDescent="0.35">
      <c r="R39" s="24" t="s">
        <v>25</v>
      </c>
      <c r="S39">
        <v>1200</v>
      </c>
      <c r="T39" s="4">
        <v>250</v>
      </c>
      <c r="U39" s="42">
        <f>2780*Foglio3!A1</f>
        <v>3611.22</v>
      </c>
    </row>
    <row r="40" spans="18:27" ht="26.25" customHeight="1" x14ac:dyDescent="0.35">
      <c r="R40" s="24" t="s">
        <v>26</v>
      </c>
      <c r="S40">
        <v>1500</v>
      </c>
      <c r="T40" s="4">
        <v>425</v>
      </c>
      <c r="U40" s="42">
        <f>3360*Foglio3!A1</f>
        <v>4364.6399999999994</v>
      </c>
    </row>
    <row r="41" spans="18:27" ht="26.25" customHeight="1" x14ac:dyDescent="0.35">
      <c r="R41" s="24" t="s">
        <v>27</v>
      </c>
      <c r="S41">
        <v>1500</v>
      </c>
      <c r="T41" s="4">
        <v>425</v>
      </c>
      <c r="U41" s="42">
        <f>3540*Foglio3!A1</f>
        <v>4598.46</v>
      </c>
    </row>
    <row r="42" spans="18:27" ht="26.25" customHeight="1" x14ac:dyDescent="0.35">
      <c r="R42" s="24" t="s">
        <v>28</v>
      </c>
      <c r="S42">
        <v>1500</v>
      </c>
      <c r="T42" s="4">
        <v>425</v>
      </c>
      <c r="U42" s="42">
        <f>3170*Foglio3!A1</f>
        <v>4117.83</v>
      </c>
    </row>
    <row r="44" spans="18:27" x14ac:dyDescent="0.25">
      <c r="R44" s="25" t="s">
        <v>68</v>
      </c>
      <c r="T44" t="s">
        <v>76</v>
      </c>
      <c r="U44" s="41" t="s">
        <v>75</v>
      </c>
      <c r="X44" s="41" t="s">
        <v>72</v>
      </c>
      <c r="Y44" t="s">
        <v>71</v>
      </c>
      <c r="Z44" t="s">
        <v>73</v>
      </c>
      <c r="AA44" s="41" t="s">
        <v>74</v>
      </c>
    </row>
    <row r="45" spans="18:27" x14ac:dyDescent="0.25">
      <c r="R45" s="25" t="s">
        <v>69</v>
      </c>
      <c r="T45" s="26">
        <v>200</v>
      </c>
      <c r="U45" s="41">
        <f>SUM(X45:AA45)</f>
        <v>1261.329</v>
      </c>
      <c r="X45" s="41">
        <f>726*Foglio3!A1</f>
        <v>943.07399999999996</v>
      </c>
      <c r="Y45">
        <f>25*Foglio3!A1</f>
        <v>32.475000000000001</v>
      </c>
      <c r="Z45">
        <f>180*Foglio3!A1</f>
        <v>233.82</v>
      </c>
      <c r="AA45" s="41">
        <f>40*Foglio3!A1</f>
        <v>51.959999999999994</v>
      </c>
    </row>
    <row r="46" spans="18:27" x14ac:dyDescent="0.25">
      <c r="R46" s="25" t="s">
        <v>70</v>
      </c>
      <c r="T46" s="26">
        <v>200</v>
      </c>
      <c r="U46" s="41">
        <f>SUM(X46:AA46)</f>
        <v>1261.329</v>
      </c>
      <c r="X46" s="41">
        <f>726*Foglio3!A1</f>
        <v>943.07399999999996</v>
      </c>
      <c r="Y46">
        <f>25*Foglio3!A1</f>
        <v>32.475000000000001</v>
      </c>
      <c r="Z46">
        <f>180*Foglio3!A1</f>
        <v>233.82</v>
      </c>
      <c r="AA46" s="41">
        <f>40*Foglio3!A1</f>
        <v>51.959999999999994</v>
      </c>
    </row>
    <row r="48" spans="18:27" x14ac:dyDescent="0.25">
      <c r="R48" s="25" t="s">
        <v>107</v>
      </c>
      <c r="S48" t="s">
        <v>108</v>
      </c>
      <c r="T48" t="s">
        <v>13</v>
      </c>
      <c r="U48" s="41" t="s">
        <v>78</v>
      </c>
      <c r="V48" s="41" t="s">
        <v>109</v>
      </c>
      <c r="W48" s="45" t="s">
        <v>103</v>
      </c>
      <c r="X48" s="41" t="s">
        <v>104</v>
      </c>
    </row>
    <row r="49" spans="18:24" x14ac:dyDescent="0.25">
      <c r="R49">
        <v>1200</v>
      </c>
      <c r="S49">
        <v>1045</v>
      </c>
      <c r="T49">
        <v>490</v>
      </c>
      <c r="U49" s="41">
        <f>3590*Foglio3!A1</f>
        <v>4663.41</v>
      </c>
      <c r="V49" s="41">
        <f>450*Foglio3!A1</f>
        <v>584.54999999999995</v>
      </c>
      <c r="W49" s="41">
        <f>U49+V49</f>
        <v>5247.96</v>
      </c>
      <c r="X49" s="41">
        <f>U49</f>
        <v>4663.41</v>
      </c>
    </row>
    <row r="50" spans="18:24" x14ac:dyDescent="0.25">
      <c r="R50">
        <v>1500</v>
      </c>
      <c r="S50">
        <v>1367</v>
      </c>
      <c r="T50">
        <v>957</v>
      </c>
      <c r="U50" s="41">
        <f>4690*Foglio3!A1</f>
        <v>6092.3099999999995</v>
      </c>
      <c r="V50" s="41">
        <f>550*Foglio3!A1</f>
        <v>714.44999999999993</v>
      </c>
      <c r="W50" s="41">
        <f>U50+V50</f>
        <v>6806.7599999999993</v>
      </c>
      <c r="X50" s="41">
        <f>U50</f>
        <v>6092.3099999999995</v>
      </c>
    </row>
    <row r="51" spans="18:24" x14ac:dyDescent="0.25">
      <c r="R51" t="s">
        <v>105</v>
      </c>
    </row>
  </sheetData>
  <mergeCells count="3">
    <mergeCell ref="C1:F1"/>
    <mergeCell ref="I1:L1"/>
    <mergeCell ref="A7:A9"/>
  </mergeCells>
  <dataValidations disablePrompts="1" count="5">
    <dataValidation type="list" allowBlank="1" showInputMessage="1" showErrorMessage="1" sqref="B3 H3" xr:uid="{00000000-0002-0000-0100-000000000000}">
      <formula1>$S$3:$U$3</formula1>
    </dataValidation>
    <dataValidation type="list" allowBlank="1" showInputMessage="1" showErrorMessage="1" sqref="H18" xr:uid="{00000000-0002-0000-0100-000001000000}">
      <formula1>$R$40:$R$42</formula1>
    </dataValidation>
    <dataValidation type="list" allowBlank="1" showInputMessage="1" showErrorMessage="1" sqref="H21" xr:uid="{00000000-0002-0000-0100-000002000000}">
      <formula1>$S$28:$S$33</formula1>
    </dataValidation>
    <dataValidation type="list" allowBlank="1" showInputMessage="1" showErrorMessage="1" sqref="B21" xr:uid="{00000000-0002-0000-0100-000003000000}">
      <formula1>$S$21:$S$26</formula1>
    </dataValidation>
    <dataValidation type="list" allowBlank="1" showInputMessage="1" showErrorMessage="1" sqref="B18" xr:uid="{00000000-0002-0000-0100-000004000000}">
      <formula1>$R$37:$R$39</formula1>
    </dataValidation>
  </dataValidations>
  <pageMargins left="0.70866141732283472" right="0.70866141732283472" top="0.74803149606299213" bottom="0.74803149606299213" header="0.31496062992125984" footer="0.31496062992125984"/>
  <pageSetup paperSize="9" scale="53" fitToHeight="0" orientation="landscape" r:id="rId1"/>
  <headerFooter>
    <oddHeader>&amp;C&amp;F&amp;R&amp;D - &amp;T</oddHeader>
    <oddFooter>&amp;R&amp;G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24"/>
  <sheetViews>
    <sheetView workbookViewId="0">
      <selection activeCell="C3" sqref="C3"/>
    </sheetView>
  </sheetViews>
  <sheetFormatPr defaultRowHeight="15" x14ac:dyDescent="0.25"/>
  <cols>
    <col min="1" max="1" width="11.140625" bestFit="1" customWidth="1"/>
    <col min="2" max="2" width="53.85546875" bestFit="1" customWidth="1"/>
    <col min="3" max="3" width="22.140625" customWidth="1"/>
  </cols>
  <sheetData>
    <row r="1" spans="1:13" x14ac:dyDescent="0.25">
      <c r="A1" s="1" t="s">
        <v>9</v>
      </c>
      <c r="B1" s="1" t="s">
        <v>10</v>
      </c>
      <c r="C1" s="1" t="s">
        <v>11</v>
      </c>
      <c r="D1" s="1" t="s">
        <v>12</v>
      </c>
      <c r="E1" s="1" t="s">
        <v>13</v>
      </c>
      <c r="F1" s="1" t="s">
        <v>14</v>
      </c>
      <c r="G1" s="1" t="s">
        <v>15</v>
      </c>
      <c r="H1" s="1" t="s">
        <v>16</v>
      </c>
      <c r="I1" s="1" t="s">
        <v>17</v>
      </c>
      <c r="J1" s="1" t="s">
        <v>18</v>
      </c>
      <c r="K1" s="1" t="s">
        <v>19</v>
      </c>
      <c r="L1" s="1" t="s">
        <v>20</v>
      </c>
      <c r="M1" s="1" t="s">
        <v>21</v>
      </c>
    </row>
    <row r="2" spans="1:13" x14ac:dyDescent="0.25">
      <c r="A2" s="2" t="s">
        <v>31</v>
      </c>
      <c r="B2" s="2" t="s">
        <v>32</v>
      </c>
      <c r="C2" s="3">
        <f>_xlfn.CEILING.MATH(4520*Foglio3!A1)</f>
        <v>5872</v>
      </c>
      <c r="D2" s="4">
        <v>0</v>
      </c>
      <c r="E2" s="4">
        <v>0</v>
      </c>
      <c r="F2" s="4">
        <v>400</v>
      </c>
      <c r="G2" s="4">
        <v>0</v>
      </c>
      <c r="H2" s="4">
        <v>1200</v>
      </c>
      <c r="I2" s="4">
        <v>0</v>
      </c>
      <c r="J2" s="4">
        <v>0</v>
      </c>
      <c r="K2" s="4">
        <v>0</v>
      </c>
      <c r="L2" s="2" t="s">
        <v>23</v>
      </c>
      <c r="M2" s="4">
        <v>0</v>
      </c>
    </row>
    <row r="3" spans="1:13" x14ac:dyDescent="0.25">
      <c r="A3" s="2" t="s">
        <v>33</v>
      </c>
      <c r="B3" s="2" t="s">
        <v>34</v>
      </c>
      <c r="C3" s="3">
        <f>_xlfn.CEILING.MATH(4990*Foglio3!A1)</f>
        <v>6483</v>
      </c>
      <c r="D3" s="4">
        <v>0</v>
      </c>
      <c r="E3" s="4">
        <v>0</v>
      </c>
      <c r="F3" s="4">
        <v>600</v>
      </c>
      <c r="G3" s="4">
        <v>0</v>
      </c>
      <c r="H3" s="4">
        <v>1200</v>
      </c>
      <c r="I3" s="4">
        <v>0</v>
      </c>
      <c r="J3" s="4">
        <v>0</v>
      </c>
      <c r="K3" s="4">
        <v>0</v>
      </c>
      <c r="L3" s="2" t="s">
        <v>23</v>
      </c>
      <c r="M3" s="4">
        <v>0</v>
      </c>
    </row>
    <row r="4" spans="1:13" x14ac:dyDescent="0.25">
      <c r="A4" s="2" t="s">
        <v>35</v>
      </c>
      <c r="B4" s="2" t="s">
        <v>36</v>
      </c>
      <c r="C4" s="3">
        <f>_xlfn.CEILING.MATH(5320*Foglio3!A1)</f>
        <v>6911</v>
      </c>
      <c r="D4" s="4">
        <v>0</v>
      </c>
      <c r="E4" s="4">
        <v>0</v>
      </c>
      <c r="F4" s="4">
        <v>1000</v>
      </c>
      <c r="G4" s="4">
        <v>0</v>
      </c>
      <c r="H4" s="4">
        <v>1200</v>
      </c>
      <c r="I4" s="4">
        <v>0</v>
      </c>
      <c r="J4" s="4">
        <v>0</v>
      </c>
      <c r="K4" s="4">
        <v>0</v>
      </c>
      <c r="L4" s="2" t="s">
        <v>23</v>
      </c>
      <c r="M4" s="4">
        <v>0</v>
      </c>
    </row>
    <row r="5" spans="1:13" x14ac:dyDescent="0.25">
      <c r="A5" s="2" t="s">
        <v>37</v>
      </c>
      <c r="B5" s="2" t="s">
        <v>38</v>
      </c>
      <c r="C5" s="3">
        <f>_xlfn.CEILING.MATH(3020*Foglio3!A1)</f>
        <v>3923</v>
      </c>
      <c r="D5" s="4">
        <v>0</v>
      </c>
      <c r="E5" s="4">
        <v>0</v>
      </c>
      <c r="F5" s="4">
        <v>400</v>
      </c>
      <c r="G5" s="4">
        <v>0</v>
      </c>
      <c r="H5" s="4">
        <v>1200</v>
      </c>
      <c r="I5" s="4">
        <v>0</v>
      </c>
      <c r="J5" s="4">
        <v>0</v>
      </c>
      <c r="K5" s="4">
        <v>0</v>
      </c>
      <c r="L5" s="2" t="s">
        <v>23</v>
      </c>
      <c r="M5" s="4">
        <v>0</v>
      </c>
    </row>
    <row r="6" spans="1:13" x14ac:dyDescent="0.25">
      <c r="A6" s="2" t="s">
        <v>39</v>
      </c>
      <c r="B6" s="2" t="s">
        <v>40</v>
      </c>
      <c r="C6" s="3">
        <f>_xlfn.CEILING.MATH(3290*Foglio3!A1)</f>
        <v>4274</v>
      </c>
      <c r="D6" s="4">
        <v>0</v>
      </c>
      <c r="E6" s="4">
        <v>0</v>
      </c>
      <c r="F6" s="4">
        <v>600</v>
      </c>
      <c r="G6" s="4">
        <v>0</v>
      </c>
      <c r="H6" s="4">
        <v>1200</v>
      </c>
      <c r="I6" s="4">
        <v>0</v>
      </c>
      <c r="J6" s="4">
        <v>0</v>
      </c>
      <c r="K6" s="4">
        <v>0</v>
      </c>
      <c r="L6" s="2" t="s">
        <v>23</v>
      </c>
      <c r="M6" s="4">
        <v>0</v>
      </c>
    </row>
    <row r="7" spans="1:13" x14ac:dyDescent="0.25">
      <c r="A7" s="2" t="s">
        <v>41</v>
      </c>
      <c r="B7" s="2" t="s">
        <v>42</v>
      </c>
      <c r="C7" s="3">
        <f>_xlfn.CEILING.MATH(3780*Foglio3!A1)</f>
        <v>4911</v>
      </c>
      <c r="D7" s="4">
        <v>0</v>
      </c>
      <c r="E7" s="4">
        <v>0</v>
      </c>
      <c r="F7" s="4">
        <v>1000</v>
      </c>
      <c r="G7" s="4">
        <v>0</v>
      </c>
      <c r="H7" s="4">
        <v>1200</v>
      </c>
      <c r="I7" s="4">
        <v>0</v>
      </c>
      <c r="J7" s="4">
        <v>0</v>
      </c>
      <c r="K7" s="4">
        <v>0</v>
      </c>
      <c r="L7" s="2" t="s">
        <v>23</v>
      </c>
      <c r="M7" s="4">
        <v>0</v>
      </c>
    </row>
    <row r="8" spans="1:13" x14ac:dyDescent="0.25">
      <c r="A8" s="2"/>
      <c r="B8" s="2"/>
      <c r="C8" s="3"/>
      <c r="D8" s="4"/>
      <c r="E8" s="4"/>
      <c r="F8" s="4"/>
      <c r="G8" s="4"/>
      <c r="H8" s="4"/>
      <c r="I8" s="4"/>
      <c r="J8" s="4"/>
      <c r="K8" s="4"/>
      <c r="L8" s="2"/>
      <c r="M8" s="4"/>
    </row>
    <row r="9" spans="1:13" x14ac:dyDescent="0.25">
      <c r="A9" s="2"/>
      <c r="B9" s="2"/>
      <c r="C9" s="3">
        <f>SUM(C2:C8)</f>
        <v>32374</v>
      </c>
      <c r="D9" s="4"/>
      <c r="E9" s="4"/>
      <c r="F9" s="4"/>
      <c r="G9" s="4"/>
      <c r="H9" s="4"/>
      <c r="I9" s="4"/>
      <c r="J9" s="4"/>
      <c r="K9" s="4"/>
      <c r="L9" s="2"/>
      <c r="M9" s="4"/>
    </row>
    <row r="10" spans="1:13" x14ac:dyDescent="0.25">
      <c r="A10" s="2"/>
      <c r="B10" s="2"/>
      <c r="C10" s="3"/>
      <c r="D10" s="4"/>
      <c r="E10" s="4"/>
      <c r="F10" s="4"/>
      <c r="G10" s="4"/>
      <c r="H10" s="4"/>
      <c r="I10" s="4"/>
      <c r="J10" s="4"/>
      <c r="K10" s="4"/>
      <c r="L10" s="2"/>
      <c r="M10" s="4"/>
    </row>
    <row r="11" spans="1:13" x14ac:dyDescent="0.25">
      <c r="A11" s="2" t="s">
        <v>43</v>
      </c>
      <c r="B11" s="2" t="s">
        <v>44</v>
      </c>
      <c r="C11" s="3">
        <f>_xlfn.CEILING.MATH(3660*Foglio3!A1)</f>
        <v>4755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2" t="s">
        <v>23</v>
      </c>
      <c r="M11" s="4">
        <v>0</v>
      </c>
    </row>
    <row r="14" spans="1:13" x14ac:dyDescent="0.25">
      <c r="A14" s="1" t="s">
        <v>9</v>
      </c>
      <c r="B14" s="1" t="s">
        <v>10</v>
      </c>
      <c r="C14" s="1" t="s">
        <v>11</v>
      </c>
      <c r="D14" s="1" t="s">
        <v>12</v>
      </c>
      <c r="E14" s="1" t="s">
        <v>13</v>
      </c>
      <c r="F14" s="1" t="s">
        <v>14</v>
      </c>
      <c r="G14" s="1" t="s">
        <v>15</v>
      </c>
      <c r="H14" s="1" t="s">
        <v>16</v>
      </c>
      <c r="I14" s="1" t="s">
        <v>17</v>
      </c>
      <c r="J14" s="1" t="s">
        <v>18</v>
      </c>
      <c r="K14" s="1" t="s">
        <v>19</v>
      </c>
      <c r="L14" s="1" t="s">
        <v>20</v>
      </c>
      <c r="M14" s="1" t="s">
        <v>21</v>
      </c>
    </row>
    <row r="15" spans="1:13" x14ac:dyDescent="0.25">
      <c r="A15" s="2" t="s">
        <v>49</v>
      </c>
      <c r="B15" s="2" t="s">
        <v>50</v>
      </c>
      <c r="C15" s="3">
        <f>_xlfn.CEILING.MATH(660*Foglio3!A1)</f>
        <v>858</v>
      </c>
      <c r="D15" s="4">
        <v>36</v>
      </c>
      <c r="E15" s="4">
        <v>340</v>
      </c>
      <c r="F15" s="4">
        <v>300</v>
      </c>
      <c r="G15" s="4">
        <v>0</v>
      </c>
      <c r="H15" s="4">
        <v>1200</v>
      </c>
      <c r="I15" s="4">
        <v>0</v>
      </c>
      <c r="J15" s="4">
        <v>0</v>
      </c>
      <c r="K15" s="4">
        <v>0</v>
      </c>
      <c r="L15" s="2" t="s">
        <v>23</v>
      </c>
      <c r="M15" s="4">
        <v>0</v>
      </c>
    </row>
    <row r="16" spans="1:13" x14ac:dyDescent="0.25">
      <c r="A16" s="2" t="s">
        <v>51</v>
      </c>
      <c r="B16" s="2" t="s">
        <v>52</v>
      </c>
      <c r="C16" s="3">
        <f>_xlfn.CEILING.MATH(940*Foglio3!A1)</f>
        <v>1222</v>
      </c>
      <c r="D16" s="4">
        <v>42</v>
      </c>
      <c r="E16" s="4">
        <v>565</v>
      </c>
      <c r="F16" s="4">
        <v>500</v>
      </c>
      <c r="G16" s="4">
        <v>0</v>
      </c>
      <c r="H16" s="4">
        <v>1200</v>
      </c>
      <c r="I16" s="4">
        <v>0</v>
      </c>
      <c r="J16" s="4">
        <v>0</v>
      </c>
      <c r="K16" s="4">
        <v>0</v>
      </c>
      <c r="L16" s="2" t="s">
        <v>23</v>
      </c>
      <c r="M16" s="4">
        <v>0</v>
      </c>
    </row>
    <row r="17" spans="1:13" x14ac:dyDescent="0.25">
      <c r="A17" s="2" t="s">
        <v>53</v>
      </c>
      <c r="B17" s="2" t="s">
        <v>54</v>
      </c>
      <c r="C17" s="3">
        <f>_xlfn.CEILING.MATH(1190*Foglio3!A1)</f>
        <v>1546</v>
      </c>
      <c r="D17" s="4">
        <v>60</v>
      </c>
      <c r="E17" s="4">
        <v>1015</v>
      </c>
      <c r="F17" s="4">
        <v>900</v>
      </c>
      <c r="G17" s="4">
        <v>0</v>
      </c>
      <c r="H17" s="4">
        <v>1200</v>
      </c>
      <c r="I17" s="4">
        <v>0</v>
      </c>
      <c r="J17" s="4">
        <v>0</v>
      </c>
      <c r="K17" s="4">
        <v>0</v>
      </c>
      <c r="L17" s="2" t="s">
        <v>23</v>
      </c>
      <c r="M17" s="4">
        <v>0</v>
      </c>
    </row>
    <row r="18" spans="1:13" x14ac:dyDescent="0.25">
      <c r="A18" s="2" t="s">
        <v>55</v>
      </c>
      <c r="B18" s="2" t="s">
        <v>56</v>
      </c>
      <c r="C18" s="3">
        <f>_xlfn.CEILING.MATH(957*Foglio3!A1)</f>
        <v>1244</v>
      </c>
      <c r="D18" s="4">
        <v>50</v>
      </c>
      <c r="E18" s="4">
        <v>525</v>
      </c>
      <c r="F18" s="4">
        <v>300</v>
      </c>
      <c r="G18" s="4">
        <v>0</v>
      </c>
      <c r="H18" s="4">
        <v>1500</v>
      </c>
      <c r="I18" s="4">
        <v>0</v>
      </c>
      <c r="J18" s="4">
        <v>0</v>
      </c>
      <c r="K18" s="4">
        <v>0</v>
      </c>
      <c r="L18" s="2" t="s">
        <v>23</v>
      </c>
      <c r="M18" s="4">
        <v>0</v>
      </c>
    </row>
    <row r="19" spans="1:13" x14ac:dyDescent="0.25">
      <c r="A19" s="2" t="s">
        <v>57</v>
      </c>
      <c r="B19" s="2" t="s">
        <v>58</v>
      </c>
      <c r="C19" s="3">
        <f>_xlfn.CEILING.MATH(1276*Foglio3!A1)</f>
        <v>1658</v>
      </c>
      <c r="D19" s="4">
        <v>120</v>
      </c>
      <c r="E19" s="4">
        <v>880</v>
      </c>
      <c r="F19" s="4">
        <v>500</v>
      </c>
      <c r="G19" s="4">
        <v>0</v>
      </c>
      <c r="H19" s="4">
        <v>1500</v>
      </c>
      <c r="I19" s="4">
        <v>0</v>
      </c>
      <c r="J19" s="4">
        <v>0</v>
      </c>
      <c r="K19" s="4">
        <v>0</v>
      </c>
      <c r="L19" s="2" t="s">
        <v>23</v>
      </c>
      <c r="M19" s="4">
        <v>0</v>
      </c>
    </row>
    <row r="20" spans="1:13" x14ac:dyDescent="0.25">
      <c r="A20" s="2" t="s">
        <v>59</v>
      </c>
      <c r="B20" s="2" t="s">
        <v>60</v>
      </c>
      <c r="C20" s="3">
        <f>_xlfn.CEILING.MATH(1925*Foglio3!A1)</f>
        <v>2501</v>
      </c>
      <c r="D20" s="4">
        <v>120</v>
      </c>
      <c r="E20" s="4">
        <v>1585</v>
      </c>
      <c r="F20" s="4">
        <v>900</v>
      </c>
      <c r="G20" s="4">
        <v>0</v>
      </c>
      <c r="H20" s="4">
        <v>1500</v>
      </c>
      <c r="I20" s="4">
        <v>0</v>
      </c>
      <c r="J20" s="4">
        <v>0</v>
      </c>
      <c r="K20" s="4">
        <v>0</v>
      </c>
      <c r="L20" s="2" t="s">
        <v>23</v>
      </c>
      <c r="M20" s="4">
        <v>0</v>
      </c>
    </row>
    <row r="22" spans="1:13" x14ac:dyDescent="0.25">
      <c r="C22" s="5">
        <f>C18-C15</f>
        <v>386</v>
      </c>
    </row>
    <row r="23" spans="1:13" x14ac:dyDescent="0.25">
      <c r="C23" s="5">
        <f>C19-C16</f>
        <v>436</v>
      </c>
    </row>
    <row r="24" spans="1:13" x14ac:dyDescent="0.25">
      <c r="C24" s="5">
        <f>C20-C17</f>
        <v>955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B1" workbookViewId="0">
      <selection sqref="A1:A1048576"/>
    </sheetView>
  </sheetViews>
  <sheetFormatPr defaultRowHeight="15" x14ac:dyDescent="0.25"/>
  <cols>
    <col min="1" max="1" width="8.85546875" hidden="1" customWidth="1"/>
    <col min="2" max="2" width="9.140625" customWidth="1"/>
  </cols>
  <sheetData>
    <row r="1" spans="1:1" x14ac:dyDescent="0.25">
      <c r="A1">
        <v>1.2989999999999999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4</vt:i4>
      </vt:variant>
      <vt:variant>
        <vt:lpstr>Intervalli denominati</vt:lpstr>
      </vt:variant>
      <vt:variant>
        <vt:i4>6</vt:i4>
      </vt:variant>
    </vt:vector>
  </HeadingPairs>
  <TitlesOfParts>
    <vt:vector size="10" baseType="lpstr">
      <vt:lpstr>MINISILO CONO VIBRANTE</vt:lpstr>
      <vt:lpstr>MINISILO CONO STANDARD</vt:lpstr>
      <vt:lpstr>Foglio2</vt:lpstr>
      <vt:lpstr>Foglio3</vt:lpstr>
      <vt:lpstr>'MINISILO CONO STANDARD'!Area_stampa</vt:lpstr>
      <vt:lpstr>'MINISILO CONO VIBRANTE'!Area_stampa</vt:lpstr>
      <vt:lpstr>'MINISILO CONO STANDARD'!DIAMSILO</vt:lpstr>
      <vt:lpstr>DIAMSILO</vt:lpstr>
      <vt:lpstr>'MINISILO CONO STANDARD'!HCIL</vt:lpstr>
      <vt:lpstr>HCIL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Marino Montalti</dc:creator>
  <cp:lastModifiedBy>Sandra Ceccarelli</cp:lastModifiedBy>
  <cp:lastPrinted>2016-07-04T16:52:27Z</cp:lastPrinted>
  <dcterms:created xsi:type="dcterms:W3CDTF">2016-03-31T13:59:54Z</dcterms:created>
  <dcterms:modified xsi:type="dcterms:W3CDTF">2026-01-15T12:05:32Z</dcterms:modified>
</cp:coreProperties>
</file>