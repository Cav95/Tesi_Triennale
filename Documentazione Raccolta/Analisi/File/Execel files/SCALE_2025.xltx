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6AA7415E-BA71-4057-9B2B-EE6C2C94BB07}" xr6:coauthVersionLast="47" xr6:coauthVersionMax="47" xr10:uidLastSave="{00000000-0000-0000-0000-000000000000}"/>
  <workbookProtection workbookAlgorithmName="SHA-512" workbookHashValue="Y8CK/ZY7Xmmm942Y0HviSylCnVtEE5yTM8B8TO1IC8nlPYVEMhYKDrmvJ4zxbFys1O+8Slim6lA8k9rQ/30c3w==" workbookSaltValue="5twNWbnhOucMK29ca5Of7Q==" workbookSpinCount="100000" lockStructure="1"/>
  <bookViews>
    <workbookView xWindow="-120" yWindow="-120" windowWidth="24240" windowHeight="13020" xr2:uid="{00000000-000D-0000-FFFF-FFFF00000000}"/>
  </bookViews>
  <sheets>
    <sheet name="FEBBRAIO 2022" sheetId="1" r:id="rId1"/>
    <sheet name="foglio" sheetId="2" state="hidden" r:id="rId2"/>
    <sheet name="Foglio3" sheetId="3" r:id="rId3"/>
  </sheets>
  <definedNames>
    <definedName name="_xlnm.Print_Area" localSheetId="0">'FEBBRAIO 2022'!$A$1:$J$39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3" i="1" l="1"/>
  <c r="F32" i="1"/>
  <c r="F31" i="1"/>
  <c r="F27" i="1"/>
  <c r="F23" i="1"/>
  <c r="B23" i="1"/>
  <c r="F15" i="1"/>
  <c r="B15" i="1"/>
  <c r="B5" i="1"/>
  <c r="B18" i="1"/>
  <c r="B24" i="1"/>
  <c r="C24" i="1" l="1"/>
  <c r="F34" i="1"/>
  <c r="F24" i="1" l="1"/>
  <c r="G24" i="1" s="1"/>
  <c r="F18" i="1"/>
  <c r="D5" i="1" l="1"/>
  <c r="C5" i="1"/>
  <c r="E5" i="1"/>
  <c r="F5" i="1"/>
  <c r="G18" i="1"/>
  <c r="C19" i="1" l="1"/>
  <c r="C18" i="1"/>
  <c r="G33" i="1"/>
  <c r="F28" i="1"/>
  <c r="G28" i="1" s="1"/>
  <c r="F16" i="1"/>
  <c r="B16" i="1"/>
  <c r="C16" i="1" s="1"/>
  <c r="C20" i="1" s="1"/>
  <c r="G31" i="1" l="1"/>
  <c r="G32" i="1"/>
  <c r="G16" i="1"/>
  <c r="G19" i="1" s="1"/>
  <c r="G34" i="1" l="1"/>
  <c r="G35" i="1" s="1"/>
  <c r="B11" i="1" s="1"/>
  <c r="C28" i="1" l="1"/>
  <c r="C35" i="1" s="1"/>
  <c r="B10" i="1" l="1"/>
  <c r="G10" i="1" s="1"/>
</calcChain>
</file>

<file path=xl/sharedStrings.xml><?xml version="1.0" encoding="utf-8"?>
<sst xmlns="http://schemas.openxmlformats.org/spreadsheetml/2006/main" count="58" uniqueCount="44">
  <si>
    <t>Scala</t>
  </si>
  <si>
    <t>Ht</t>
  </si>
  <si>
    <t>Ø silo</t>
  </si>
  <si>
    <t>H silo</t>
  </si>
  <si>
    <t>H scala</t>
  </si>
  <si>
    <t>N* silo</t>
  </si>
  <si>
    <t>Totale generale</t>
  </si>
  <si>
    <t>Euro mt</t>
  </si>
  <si>
    <t>GLOBOSILO N° SILOS</t>
  </si>
  <si>
    <t xml:space="preserve">Indicare </t>
  </si>
  <si>
    <t>Ø speciale</t>
  </si>
  <si>
    <t>GBL</t>
  </si>
  <si>
    <t>Euro/cad</t>
  </si>
  <si>
    <t>Totale GLOBOSILO</t>
  </si>
  <si>
    <t>N° scale</t>
  </si>
  <si>
    <t>Piano riposo € piano</t>
  </si>
  <si>
    <t>Totale</t>
  </si>
  <si>
    <t>Incluso nel prezzo al mt</t>
  </si>
  <si>
    <t>NUMERO SCALE</t>
  </si>
  <si>
    <t>Montaggio staffe fissaggio</t>
  </si>
  <si>
    <t>SBX/STL</t>
  </si>
  <si>
    <t>Passerella tra silo</t>
  </si>
  <si>
    <t>Ringhiera dx e sx</t>
  </si>
  <si>
    <t>Totale  SBX</t>
  </si>
  <si>
    <t>SBX N° SILOS</t>
  </si>
  <si>
    <t>Totale IMP MIX GBL+SBX</t>
  </si>
  <si>
    <t>Staffaggi</t>
  </si>
  <si>
    <t>Euro/cad =&lt;10 mt</t>
  </si>
  <si>
    <t>&lt;--comprende: cancelletto inf., sbarco scala e cancelletto sup.</t>
  </si>
  <si>
    <t>Euro/cad (10-15 mt)</t>
  </si>
  <si>
    <t>Kit Fisso scala</t>
  </si>
  <si>
    <t>Euro/cad &gt;15mt</t>
  </si>
  <si>
    <t>Passerella appoggio + cancelletti e sbarco</t>
  </si>
  <si>
    <t>Vedi riquadro globo</t>
  </si>
  <si>
    <t>&lt;--da compilare</t>
  </si>
  <si>
    <t>DATI DA COMPILARE IN VERDE</t>
  </si>
  <si>
    <t>5% giugno 21</t>
  </si>
  <si>
    <t>10% febb 2022</t>
  </si>
  <si>
    <t>10% AGOSTO 2025</t>
  </si>
  <si>
    <t>3% gennaio 2026</t>
  </si>
  <si>
    <t>(aumento del 3% in proporzione al mancato aumento precedente)</t>
  </si>
  <si>
    <t>e' diverso da</t>
  </si>
  <si>
    <t>5+10+10</t>
  </si>
  <si>
    <t>Quindi ho aumentato di 3,99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</si>
</sst>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* #,##0.00_-;\-* #,##0.00_-;_-* &quot;-&quot;_-;_-@_-"/>
    <numFmt numFmtId="165" formatCode="_-* #,##0.00000_-;\-* #,##0.00000_-;_-* &quot;-&quot;_-;_-@_-"/>
    <numFmt numFmtId="166" formatCode="#,##0_ ;\-#,##0\ 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14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6">
    <xf numFmtId="0" fontId="0" fillId="0" borderId="0" xfId="0"/>
    <xf numFmtId="41" fontId="0" fillId="0" borderId="0" xfId="1" applyFont="1" applyProtection="1"/>
    <xf numFmtId="41" fontId="0" fillId="0" borderId="1" xfId="1" applyFont="1" applyBorder="1" applyProtection="1"/>
    <xf numFmtId="41" fontId="0" fillId="0" borderId="0" xfId="1" applyFont="1" applyBorder="1" applyProtection="1"/>
    <xf numFmtId="165" fontId="0" fillId="0" borderId="0" xfId="1" applyNumberFormat="1" applyFont="1" applyProtection="1"/>
    <xf numFmtId="41" fontId="0" fillId="2" borderId="1" xfId="1" applyFont="1" applyFill="1" applyBorder="1" applyProtection="1"/>
    <xf numFmtId="4" fontId="0" fillId="3" borderId="1" xfId="0" applyNumberFormat="1" applyFill="1" applyBorder="1"/>
    <xf numFmtId="41" fontId="2" fillId="0" borderId="1" xfId="1" applyFont="1" applyBorder="1" applyAlignment="1" applyProtection="1">
      <alignment horizontal="center"/>
    </xf>
    <xf numFmtId="41" fontId="0" fillId="0" borderId="1" xfId="1" applyFont="1" applyFill="1" applyBorder="1" applyProtection="1"/>
    <xf numFmtId="0" fontId="0" fillId="0" borderId="1" xfId="0" applyBorder="1"/>
    <xf numFmtId="41" fontId="2" fillId="0" borderId="2" xfId="1" applyFont="1" applyBorder="1" applyAlignment="1" applyProtection="1">
      <alignment horizontal="center"/>
    </xf>
    <xf numFmtId="164" fontId="0" fillId="0" borderId="1" xfId="1" applyNumberFormat="1" applyFont="1" applyBorder="1" applyProtection="1"/>
    <xf numFmtId="164" fontId="0" fillId="4" borderId="1" xfId="1" applyNumberFormat="1" applyFont="1" applyFill="1" applyBorder="1" applyProtection="1"/>
    <xf numFmtId="164" fontId="0" fillId="2" borderId="1" xfId="1" applyNumberFormat="1" applyFont="1" applyFill="1" applyBorder="1" applyProtection="1"/>
    <xf numFmtId="164" fontId="2" fillId="5" borderId="1" xfId="0" applyNumberFormat="1" applyFont="1" applyFill="1" applyBorder="1"/>
    <xf numFmtId="164" fontId="0" fillId="0" borderId="0" xfId="0" applyNumberFormat="1"/>
    <xf numFmtId="164" fontId="0" fillId="0" borderId="0" xfId="1" applyNumberFormat="1" applyFont="1" applyProtection="1"/>
    <xf numFmtId="164" fontId="3" fillId="5" borderId="3" xfId="1" applyNumberFormat="1" applyFont="1" applyFill="1" applyBorder="1" applyProtection="1"/>
    <xf numFmtId="41" fontId="2" fillId="0" borderId="0" xfId="1" applyFont="1" applyProtection="1"/>
    <xf numFmtId="41" fontId="3" fillId="0" borderId="1" xfId="1" applyFont="1" applyFill="1" applyBorder="1" applyProtection="1"/>
    <xf numFmtId="41" fontId="2" fillId="2" borderId="1" xfId="1" applyFont="1" applyFill="1" applyBorder="1" applyAlignment="1" applyProtection="1">
      <alignment horizontal="center"/>
      <protection locked="0"/>
    </xf>
    <xf numFmtId="164" fontId="0" fillId="0" borderId="1" xfId="0" applyNumberFormat="1" applyBorder="1"/>
    <xf numFmtId="164" fontId="4" fillId="0" borderId="3" xfId="1" applyNumberFormat="1" applyFont="1" applyBorder="1" applyProtection="1"/>
    <xf numFmtId="166" fontId="2" fillId="2" borderId="1" xfId="1" applyNumberFormat="1" applyFont="1" applyFill="1" applyBorder="1" applyAlignment="1" applyProtection="1">
      <alignment horizontal="center"/>
    </xf>
    <xf numFmtId="41" fontId="2" fillId="0" borderId="0" xfId="1" applyFont="1" applyAlignment="1" applyProtection="1">
      <alignment horizontal="center"/>
    </xf>
    <xf numFmtId="43" fontId="0" fillId="0" borderId="0" xfId="2" applyFont="1" applyProtection="1"/>
    <xf numFmtId="43" fontId="0" fillId="0" borderId="0" xfId="0" applyNumberFormat="1"/>
    <xf numFmtId="164" fontId="1" fillId="0" borderId="0" xfId="0" applyNumberFormat="1" applyFont="1"/>
    <xf numFmtId="41" fontId="0" fillId="0" borderId="0" xfId="1" applyFont="1" applyFill="1" applyBorder="1" applyProtection="1"/>
    <xf numFmtId="41" fontId="1" fillId="0" borderId="1" xfId="1" applyFont="1" applyFill="1" applyBorder="1" applyProtection="1"/>
    <xf numFmtId="4" fontId="0" fillId="6" borderId="7" xfId="1" applyNumberFormat="1" applyFont="1" applyFill="1" applyBorder="1" applyProtection="1"/>
    <xf numFmtId="4" fontId="0" fillId="6" borderId="8" xfId="0" applyNumberFormat="1" applyFill="1" applyBorder="1"/>
    <xf numFmtId="4" fontId="0" fillId="6" borderId="8" xfId="1" applyNumberFormat="1" applyFont="1" applyFill="1" applyBorder="1" applyProtection="1"/>
    <xf numFmtId="41" fontId="0" fillId="7" borderId="1" xfId="1" applyFont="1" applyFill="1" applyBorder="1" applyProtection="1"/>
    <xf numFmtId="41" fontId="2" fillId="7" borderId="1" xfId="1" applyFont="1" applyFill="1" applyBorder="1" applyProtection="1"/>
    <xf numFmtId="41" fontId="5" fillId="8" borderId="1" xfId="1" applyFont="1" applyFill="1" applyBorder="1" applyProtection="1"/>
    <xf numFmtId="4" fontId="5" fillId="8" borderId="1" xfId="0" applyNumberFormat="1" applyFont="1" applyFill="1" applyBorder="1"/>
    <xf numFmtId="164" fontId="5" fillId="8" borderId="1" xfId="1" applyNumberFormat="1" applyFont="1" applyFill="1" applyBorder="1" applyProtection="1"/>
    <xf numFmtId="41" fontId="2" fillId="0" borderId="2" xfId="1" applyFont="1" applyBorder="1" applyAlignment="1" applyProtection="1">
      <alignment horizontal="left"/>
    </xf>
    <xf numFmtId="41" fontId="6" fillId="8" borderId="0" xfId="1" applyFont="1" applyFill="1" applyBorder="1" applyAlignment="1" applyProtection="1">
      <alignment horizontal="center"/>
    </xf>
    <xf numFmtId="0" fontId="5" fillId="8" borderId="0" xfId="0" applyFont="1" applyFill="1"/>
    <xf numFmtId="164" fontId="5" fillId="8" borderId="0" xfId="0" applyNumberFormat="1" applyFont="1" applyFill="1"/>
    <xf numFmtId="164" fontId="5" fillId="8" borderId="1" xfId="0" applyNumberFormat="1" applyFont="1" applyFill="1" applyBorder="1"/>
    <xf numFmtId="41" fontId="1" fillId="0" borderId="2" xfId="1" applyFont="1" applyFill="1" applyBorder="1" applyProtection="1"/>
    <xf numFmtId="41" fontId="1" fillId="0" borderId="0" xfId="1" applyFont="1" applyFill="1" applyBorder="1" applyProtection="1"/>
    <xf numFmtId="164" fontId="2" fillId="8" borderId="1" xfId="0" applyNumberFormat="1" applyFont="1" applyFill="1" applyBorder="1"/>
    <xf numFmtId="41" fontId="7" fillId="0" borderId="5" xfId="1" applyFont="1" applyBorder="1" applyProtection="1"/>
    <xf numFmtId="41" fontId="7" fillId="0" borderId="6" xfId="1" applyFont="1" applyBorder="1" applyProtection="1"/>
    <xf numFmtId="164" fontId="8" fillId="0" borderId="3" xfId="1" applyNumberFormat="1" applyFont="1" applyBorder="1" applyProtection="1"/>
    <xf numFmtId="41" fontId="3" fillId="9" borderId="4" xfId="1" applyFont="1" applyFill="1" applyBorder="1" applyProtection="1">
      <protection locked="0"/>
    </xf>
    <xf numFmtId="41" fontId="2" fillId="9" borderId="1" xfId="1" applyFont="1" applyFill="1" applyBorder="1" applyProtection="1">
      <protection locked="0"/>
    </xf>
    <xf numFmtId="41" fontId="2" fillId="9" borderId="2" xfId="1" applyFont="1" applyFill="1" applyBorder="1" applyProtection="1">
      <protection locked="0"/>
    </xf>
    <xf numFmtId="41" fontId="0" fillId="10" borderId="0" xfId="1" applyFont="1" applyFill="1" applyProtection="1"/>
    <xf numFmtId="41" fontId="9" fillId="0" borderId="0" xfId="1" applyFont="1" applyAlignment="1" applyProtection="1">
      <alignment wrapText="1"/>
    </xf>
    <xf numFmtId="41" fontId="2" fillId="0" borderId="3" xfId="1" applyFont="1" applyFill="1" applyBorder="1" applyProtection="1"/>
    <xf numFmtId="0" fontId="1" fillId="0" borderId="0" xfId="0" applyFont="1"/>
  </cellXfs>
  <cellStyles count="3">
    <cellStyle name="Migliaia" xfId="2" builtinId="3"/>
    <cellStyle name="Migliaia [0]" xfId="1" builtinId="6"/>
    <cellStyle name="Normale" xfId="0" builtinId="0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78441</xdr:colOff>
      <xdr:row>1</xdr:row>
      <xdr:rowOff>11206</xdr:rowOff>
    </xdr:from>
    <xdr:to>
      <xdr:col>33</xdr:col>
      <xdr:colOff>323386</xdr:colOff>
      <xdr:row>44</xdr:row>
      <xdr:rowOff>119264</xdr:rowOff>
    </xdr:to>
    <xdr:pic>
      <xdr:nvPicPr>
        <xdr:cNvPr id="3" name="Immagine 2" descr="SCALASBX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609794" y="168088"/>
          <a:ext cx="8716592" cy="7459117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7</xdr:col>
      <xdr:colOff>127589</xdr:colOff>
      <xdr:row>0</xdr:row>
      <xdr:rowOff>49146</xdr:rowOff>
    </xdr:from>
    <xdr:to>
      <xdr:col>18</xdr:col>
      <xdr:colOff>390385</xdr:colOff>
      <xdr:row>45</xdr:row>
      <xdr:rowOff>93163</xdr:rowOff>
    </xdr:to>
    <xdr:pic>
      <xdr:nvPicPr>
        <xdr:cNvPr id="4" name="Immagine 3" descr="SCALA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341501" y="49146"/>
          <a:ext cx="6975119" cy="770884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4"/>
  <sheetViews>
    <sheetView tabSelected="1" zoomScale="85" zoomScaleNormal="85" workbookViewId="0">
      <selection activeCell="B15" sqref="B15"/>
    </sheetView>
  </sheetViews>
  <sheetFormatPr defaultColWidth="9.140625" defaultRowHeight="12.75" x14ac:dyDescent="0.2"/>
  <cols>
    <col min="1" max="1" width="23.140625" style="1" customWidth="1"/>
    <col min="2" max="2" width="15.7109375" style="1" bestFit="1" customWidth="1"/>
    <col min="3" max="3" width="12.7109375" style="1" customWidth="1"/>
    <col min="4" max="4" width="12.28515625" style="1" customWidth="1"/>
    <col min="5" max="5" width="15.28515625" style="1" customWidth="1"/>
    <col min="6" max="6" width="15.7109375" style="1" customWidth="1"/>
    <col min="7" max="7" width="27.85546875" style="1" customWidth="1"/>
    <col min="8" max="10" width="9.28515625" style="1" customWidth="1"/>
    <col min="11" max="12" width="9.28515625" customWidth="1"/>
  </cols>
  <sheetData>
    <row r="1" spans="1:15" x14ac:dyDescent="0.2">
      <c r="A1"/>
      <c r="B1"/>
      <c r="C1"/>
      <c r="D1"/>
      <c r="E1"/>
      <c r="F1" t="s">
        <v>9</v>
      </c>
      <c r="L1" s="1"/>
      <c r="M1" s="1"/>
      <c r="N1" s="4"/>
    </row>
    <row r="2" spans="1:15" x14ac:dyDescent="0.2">
      <c r="E2"/>
      <c r="F2" t="s">
        <v>10</v>
      </c>
      <c r="L2" s="1"/>
      <c r="M2" s="1"/>
      <c r="N2" s="1"/>
      <c r="O2" s="1"/>
    </row>
    <row r="3" spans="1:15" x14ac:dyDescent="0.2">
      <c r="A3" s="2" t="s">
        <v>2</v>
      </c>
      <c r="B3" s="23">
        <v>2500</v>
      </c>
      <c r="C3" s="23">
        <v>2500</v>
      </c>
      <c r="D3" s="23">
        <v>3000</v>
      </c>
      <c r="E3" s="23">
        <v>3000</v>
      </c>
      <c r="F3" s="20"/>
      <c r="L3" s="1"/>
      <c r="M3" s="1"/>
      <c r="N3" s="1"/>
      <c r="O3" s="1"/>
    </row>
    <row r="4" spans="1:15" x14ac:dyDescent="0.2">
      <c r="A4" s="2" t="s">
        <v>3</v>
      </c>
      <c r="B4" s="49"/>
      <c r="C4" s="49"/>
      <c r="D4" s="49"/>
      <c r="E4" s="49"/>
      <c r="F4" s="49"/>
      <c r="G4" s="18" t="s">
        <v>34</v>
      </c>
      <c r="L4" s="1"/>
      <c r="M4" s="1"/>
      <c r="N4" s="1"/>
    </row>
    <row r="5" spans="1:15" x14ac:dyDescent="0.2">
      <c r="A5" s="2" t="s">
        <v>4</v>
      </c>
      <c r="B5" s="19">
        <f>IF(B4=0,0,ROUNDUP(B4+500,-3))</f>
        <v>0</v>
      </c>
      <c r="C5" s="19">
        <f>IF(C4=0,0,ROUNDUP(C4+500,-3))</f>
        <v>0</v>
      </c>
      <c r="D5" s="19">
        <f>IF(D4=0,0,ROUNDUP(D4+500,-3))</f>
        <v>0</v>
      </c>
      <c r="E5" s="19">
        <f>IF(E4=0,0,ROUNDUP(E4+500,-3))</f>
        <v>0</v>
      </c>
      <c r="F5" s="19">
        <f>IF(F4=0,0,ROUNDUP(F4+500,-3))</f>
        <v>0</v>
      </c>
      <c r="L5" s="1"/>
      <c r="M5" s="1"/>
      <c r="N5" s="4"/>
    </row>
    <row r="6" spans="1:15" x14ac:dyDescent="0.2">
      <c r="A6" s="2" t="s">
        <v>24</v>
      </c>
      <c r="B6" s="50"/>
      <c r="C6" s="50"/>
      <c r="D6" s="50"/>
      <c r="E6" s="50"/>
      <c r="F6" s="50"/>
      <c r="G6" s="18" t="s">
        <v>34</v>
      </c>
      <c r="L6" s="1"/>
      <c r="M6" s="1"/>
      <c r="N6" s="1"/>
      <c r="O6" s="1"/>
    </row>
    <row r="7" spans="1:15" ht="13.5" thickBot="1" x14ac:dyDescent="0.25">
      <c r="A7" s="2" t="s">
        <v>8</v>
      </c>
      <c r="B7" s="51"/>
      <c r="C7" s="50"/>
      <c r="D7" s="50"/>
      <c r="E7" s="50"/>
      <c r="F7" s="50"/>
      <c r="G7" s="18" t="s">
        <v>34</v>
      </c>
    </row>
    <row r="8" spans="1:15" ht="13.5" thickBot="1" x14ac:dyDescent="0.25">
      <c r="A8" s="1" t="s">
        <v>18</v>
      </c>
      <c r="B8" s="54">
        <v>1</v>
      </c>
      <c r="L8" s="1"/>
      <c r="N8" s="4"/>
    </row>
    <row r="9" spans="1:15" ht="13.5" thickBot="1" x14ac:dyDescent="0.25">
      <c r="L9" s="1"/>
      <c r="M9" s="1"/>
      <c r="N9" s="1"/>
      <c r="O9" s="1"/>
    </row>
    <row r="10" spans="1:15" ht="18.75" thickBot="1" x14ac:dyDescent="0.3">
      <c r="A10" s="18" t="s">
        <v>23</v>
      </c>
      <c r="B10" s="22">
        <f>C35</f>
        <v>0</v>
      </c>
      <c r="E10" s="46" t="s">
        <v>25</v>
      </c>
      <c r="F10" s="47"/>
      <c r="G10" s="48">
        <f>B10+B11</f>
        <v>0</v>
      </c>
    </row>
    <row r="11" spans="1:15" ht="18.75" thickBot="1" x14ac:dyDescent="0.3">
      <c r="A11" s="18" t="s">
        <v>13</v>
      </c>
      <c r="B11" s="22">
        <f>IF((MAX($B$5:$F$5)/1000)=0,0,G35)</f>
        <v>0</v>
      </c>
    </row>
    <row r="13" spans="1:15" x14ac:dyDescent="0.2">
      <c r="C13" s="7" t="s">
        <v>20</v>
      </c>
      <c r="D13" s="3"/>
      <c r="G13" s="24" t="s">
        <v>11</v>
      </c>
      <c r="I13"/>
    </row>
    <row r="14" spans="1:15" x14ac:dyDescent="0.2">
      <c r="A14" s="7" t="s">
        <v>0</v>
      </c>
      <c r="B14" s="2"/>
      <c r="C14" s="11"/>
      <c r="E14" s="7" t="s">
        <v>0</v>
      </c>
      <c r="F14" s="2"/>
      <c r="G14" s="11"/>
    </row>
    <row r="15" spans="1:15" x14ac:dyDescent="0.2">
      <c r="A15" s="2" t="s">
        <v>7</v>
      </c>
      <c r="B15" s="6">
        <f>315*Foglio3!A1</f>
        <v>409.185</v>
      </c>
      <c r="C15" s="11"/>
      <c r="D15"/>
      <c r="E15" s="2" t="s">
        <v>7</v>
      </c>
      <c r="F15" s="6">
        <f>425*Foglio3!A1</f>
        <v>552.07499999999993</v>
      </c>
      <c r="G15" s="11"/>
    </row>
    <row r="16" spans="1:15" x14ac:dyDescent="0.2">
      <c r="A16" s="2" t="s">
        <v>1</v>
      </c>
      <c r="B16" s="2">
        <f>MAX(B5:F5)/1000</f>
        <v>0</v>
      </c>
      <c r="C16" s="12">
        <f>IF(SUM(B6:F6)=0,0,B15*B16)</f>
        <v>0</v>
      </c>
      <c r="D16"/>
      <c r="E16" s="2" t="s">
        <v>1</v>
      </c>
      <c r="F16" s="2">
        <f>MAX(B5:F5)/1000</f>
        <v>0</v>
      </c>
      <c r="G16" s="12">
        <f>IF(SUM(B7:F7)=0,0,F15*F16)</f>
        <v>0</v>
      </c>
    </row>
    <row r="17" spans="1:10" x14ac:dyDescent="0.2">
      <c r="A17" s="2" t="s">
        <v>15</v>
      </c>
      <c r="B17" s="6">
        <v>0</v>
      </c>
      <c r="C17" s="1" t="s">
        <v>17</v>
      </c>
      <c r="E17" s="2" t="s">
        <v>15</v>
      </c>
      <c r="F17" s="6">
        <v>0</v>
      </c>
      <c r="G17" s="1" t="s">
        <v>17</v>
      </c>
    </row>
    <row r="18" spans="1:10" x14ac:dyDescent="0.2">
      <c r="A18" s="2" t="s">
        <v>14</v>
      </c>
      <c r="B18" s="5">
        <f>IF(SUM(B6:F6)=0,0,B8)</f>
        <v>0</v>
      </c>
      <c r="C18" s="13">
        <f>B17*B18</f>
        <v>0</v>
      </c>
      <c r="E18" s="2" t="s">
        <v>14</v>
      </c>
      <c r="F18" s="5">
        <f>IF(SUM(B6:F7)=0,0,B8)</f>
        <v>0</v>
      </c>
      <c r="G18" s="13">
        <f>F17*F18</f>
        <v>0</v>
      </c>
    </row>
    <row r="19" spans="1:10" x14ac:dyDescent="0.2">
      <c r="A19" s="35" t="s">
        <v>19</v>
      </c>
      <c r="B19" s="36">
        <v>0</v>
      </c>
      <c r="C19" s="37">
        <f>B18*B19</f>
        <v>0</v>
      </c>
      <c r="D19" s="3"/>
      <c r="E19" s="8" t="s">
        <v>16</v>
      </c>
      <c r="F19" s="9"/>
      <c r="G19" s="14">
        <f>SUM(G16:G18)*F18</f>
        <v>0</v>
      </c>
    </row>
    <row r="20" spans="1:10" x14ac:dyDescent="0.2">
      <c r="A20" s="8" t="s">
        <v>16</v>
      </c>
      <c r="B20" s="9"/>
      <c r="C20" s="14">
        <f>SUM(C16:C19)</f>
        <v>0</v>
      </c>
      <c r="D20" s="3"/>
      <c r="G20" s="1">
        <v>1</v>
      </c>
    </row>
    <row r="21" spans="1:10" x14ac:dyDescent="0.2">
      <c r="E21" s="25"/>
    </row>
    <row r="22" spans="1:10" x14ac:dyDescent="0.2">
      <c r="A22" s="38" t="s">
        <v>32</v>
      </c>
      <c r="B22"/>
      <c r="C22" s="15"/>
      <c r="D22"/>
      <c r="E22" s="10" t="s">
        <v>21</v>
      </c>
      <c r="F22"/>
      <c r="G22" s="15"/>
    </row>
    <row r="23" spans="1:10" x14ac:dyDescent="0.2">
      <c r="A23" s="29" t="s">
        <v>12</v>
      </c>
      <c r="B23" s="6">
        <f>6100*Foglio3!A1</f>
        <v>7923.9</v>
      </c>
      <c r="C23" s="21"/>
      <c r="E23" s="8" t="s">
        <v>12</v>
      </c>
      <c r="F23" s="6">
        <f>870*Foglio3!A1</f>
        <v>1130.1299999999999</v>
      </c>
      <c r="G23" s="21"/>
      <c r="J23" s="25"/>
    </row>
    <row r="24" spans="1:10" x14ac:dyDescent="0.2">
      <c r="A24" s="2" t="s">
        <v>5</v>
      </c>
      <c r="B24" s="2">
        <f>IF(SUM(B6:F6)=0,0,SUM(B6:F6))</f>
        <v>0</v>
      </c>
      <c r="C24" s="14">
        <f>B24*B23</f>
        <v>0</v>
      </c>
      <c r="E24" s="2" t="s">
        <v>5</v>
      </c>
      <c r="F24" s="2">
        <f>IF(SUM(B7:H7)=0,0,SUM(B7:F7)-1)</f>
        <v>0</v>
      </c>
      <c r="G24" s="14">
        <f>F24*F23</f>
        <v>0</v>
      </c>
    </row>
    <row r="25" spans="1:10" x14ac:dyDescent="0.2">
      <c r="C25" s="16"/>
      <c r="D25"/>
    </row>
    <row r="26" spans="1:10" ht="12.75" customHeight="1" x14ac:dyDescent="0.2">
      <c r="A26" s="39" t="s">
        <v>22</v>
      </c>
      <c r="B26" s="40"/>
      <c r="C26" s="41"/>
      <c r="E26" s="10" t="s">
        <v>30</v>
      </c>
      <c r="F26"/>
      <c r="G26" s="27"/>
    </row>
    <row r="27" spans="1:10" ht="43.5" customHeight="1" x14ac:dyDescent="0.25">
      <c r="A27" s="7" t="s">
        <v>26</v>
      </c>
      <c r="B27" s="36"/>
      <c r="C27" s="42"/>
      <c r="E27" s="8" t="s">
        <v>12</v>
      </c>
      <c r="F27" s="6">
        <f>1920*Foglio3!A1</f>
        <v>2494.08</v>
      </c>
      <c r="G27" s="53" t="s">
        <v>28</v>
      </c>
    </row>
    <row r="28" spans="1:10" x14ac:dyDescent="0.2">
      <c r="A28" s="29" t="s">
        <v>33</v>
      </c>
      <c r="B28" s="35"/>
      <c r="C28" s="45">
        <f>G34</f>
        <v>0</v>
      </c>
      <c r="E28" s="2"/>
      <c r="F28" s="2">
        <f>IF((MAX($B$5:$F$5)/1000)=0,0,B8)</f>
        <v>0</v>
      </c>
      <c r="G28" s="14">
        <f>F28*F27</f>
        <v>0</v>
      </c>
    </row>
    <row r="29" spans="1:10" x14ac:dyDescent="0.2">
      <c r="A29" s="43"/>
      <c r="B29" s="2"/>
      <c r="C29" s="11"/>
      <c r="J29" s="25"/>
    </row>
    <row r="30" spans="1:10" x14ac:dyDescent="0.2">
      <c r="A30" s="44"/>
      <c r="C30" s="16"/>
      <c r="E30" s="10" t="s">
        <v>26</v>
      </c>
      <c r="F30"/>
      <c r="G30" s="27"/>
      <c r="J30" s="25"/>
    </row>
    <row r="31" spans="1:10" x14ac:dyDescent="0.2">
      <c r="C31" s="16"/>
      <c r="E31" s="29" t="s">
        <v>27</v>
      </c>
      <c r="F31" s="31">
        <f>270*Foglio3!A1</f>
        <v>350.72999999999996</v>
      </c>
      <c r="G31" s="33">
        <f>IF(AND(F16&lt;=10,F16&gt;0),F31,0)</f>
        <v>0</v>
      </c>
      <c r="I31" s="25"/>
      <c r="J31"/>
    </row>
    <row r="32" spans="1:10" x14ac:dyDescent="0.2">
      <c r="C32" s="16"/>
      <c r="E32" s="29" t="s">
        <v>29</v>
      </c>
      <c r="F32" s="32">
        <f>350*Foglio3!A1</f>
        <v>454.65</v>
      </c>
      <c r="G32" s="33">
        <f>IF(AND(F16&gt;10,F16&lt;=15),F32, 0)</f>
        <v>0</v>
      </c>
      <c r="I32" s="25"/>
      <c r="J32"/>
    </row>
    <row r="33" spans="1:12" x14ac:dyDescent="0.2">
      <c r="C33" s="16"/>
      <c r="E33" s="29" t="s">
        <v>31</v>
      </c>
      <c r="F33" s="30">
        <f>450*Foglio3!A1</f>
        <v>584.54999999999995</v>
      </c>
      <c r="G33" s="33">
        <f>IF((MAX($B$5:$F$5)/1000)&gt;15,F33,0)</f>
        <v>0</v>
      </c>
      <c r="I33" s="25"/>
      <c r="J33"/>
    </row>
    <row r="34" spans="1:12" ht="13.5" thickBot="1" x14ac:dyDescent="0.25">
      <c r="C34" s="16"/>
      <c r="E34" s="28"/>
      <c r="F34" s="28">
        <f>B8</f>
        <v>1</v>
      </c>
      <c r="G34" s="1">
        <f>SUM(G31:G33)*F34</f>
        <v>0</v>
      </c>
      <c r="J34" s="25"/>
    </row>
    <row r="35" spans="1:12" ht="13.5" thickBot="1" x14ac:dyDescent="0.25">
      <c r="A35" s="1" t="s">
        <v>6</v>
      </c>
      <c r="B35"/>
      <c r="C35" s="17">
        <f>IF(MAX(B6:F6)=0,0,C20+C24++C28)</f>
        <v>0</v>
      </c>
      <c r="E35" s="1" t="s">
        <v>6</v>
      </c>
      <c r="G35" s="34">
        <f>IF(MAX(B7:F7)=0,0,G34+G28+G24+G19)</f>
        <v>0</v>
      </c>
    </row>
    <row r="36" spans="1:12" x14ac:dyDescent="0.2">
      <c r="D36"/>
      <c r="E36"/>
      <c r="F36"/>
    </row>
    <row r="37" spans="1:12" x14ac:dyDescent="0.2">
      <c r="L37" s="26"/>
    </row>
    <row r="38" spans="1:12" x14ac:dyDescent="0.2">
      <c r="A38"/>
      <c r="L38" s="26"/>
    </row>
    <row r="44" spans="1:12" x14ac:dyDescent="0.2">
      <c r="A44" s="52"/>
      <c r="B44" s="18" t="s">
        <v>35</v>
      </c>
    </row>
  </sheetData>
  <phoneticPr fontId="0" type="noConversion"/>
  <pageMargins left="0.75" right="0.75" top="1" bottom="1" header="0.5" footer="0.5"/>
  <pageSetup paperSize="9" orientation="landscape" r:id="rId1"/>
  <headerFooter alignWithMargins="0">
    <oddHeader>&amp;C&amp;F</oddHeader>
    <oddFooter>&amp;C&amp;A&amp;R&amp;D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2.75" x14ac:dyDescent="0.2"/>
  <sheetData/>
  <sheetProtection algorithmName="SHA-512" hashValue="hPtX/6PFchjaDAMfYdcAcusR77QElbuNShvl8iAhy/vlNifMd5HfPZ5h05liLVqQx/HW0cf+K7kN8QCkqhLJZw==" saltValue="YGRTNpQ6lfqKtJuqMOaXvA==" spinCount="100000" sheet="1" objects="1" scenarios="1"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1"/>
  <sheetViews>
    <sheetView topLeftCell="H1" workbookViewId="0">
      <selection sqref="A1:G1048576"/>
    </sheetView>
  </sheetViews>
  <sheetFormatPr defaultRowHeight="12.75" x14ac:dyDescent="0.2"/>
  <cols>
    <col min="1" max="1" width="18.7109375" hidden="1" customWidth="1"/>
    <col min="2" max="2" width="8.85546875" hidden="1" customWidth="1"/>
    <col min="3" max="7" width="0" hidden="1" customWidth="1"/>
  </cols>
  <sheetData>
    <row r="1" spans="1:2" x14ac:dyDescent="0.2">
      <c r="A1">
        <v>1.2989999999999999</v>
      </c>
    </row>
    <row r="2" spans="1:2" x14ac:dyDescent="0.2">
      <c r="A2" s="55" t="s">
        <v>36</v>
      </c>
    </row>
    <row r="3" spans="1:2" x14ac:dyDescent="0.2">
      <c r="A3" s="55" t="s">
        <v>37</v>
      </c>
    </row>
    <row r="4" spans="1:2" x14ac:dyDescent="0.2">
      <c r="A4" s="55" t="s">
        <v>38</v>
      </c>
    </row>
    <row r="5" spans="1:2" x14ac:dyDescent="0.2">
      <c r="A5" s="55" t="s">
        <v>39</v>
      </c>
      <c r="B5" s="55" t="s">
        <v>40</v>
      </c>
    </row>
    <row r="8" spans="1:2" x14ac:dyDescent="0.2">
      <c r="A8">
        <v>1.25</v>
      </c>
    </row>
    <row r="9" spans="1:2" x14ac:dyDescent="0.2">
      <c r="A9" s="55" t="s">
        <v>41</v>
      </c>
    </row>
    <row r="10" spans="1:2" x14ac:dyDescent="0.2">
      <c r="A10" s="55" t="s">
        <v>42</v>
      </c>
    </row>
    <row r="11" spans="1:2" x14ac:dyDescent="0.2">
      <c r="A11" s="55" t="s">
        <v>43</v>
      </c>
    </row>
  </sheetData>
  <sheetProtection algorithmName="SHA-512" hashValue="diU+f/xz4/a+TSafw0L5dWfBjLzDGw5m78JS6elZCq7CJQsExv/Bd4eV3UaeiBTP88TKmNOam2MmIgJF74s6aA==" saltValue="V+k1Y0F/prYxsSdI4xSZ+A==" spinCount="100000" sheet="1" objects="1" scenario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FEBBRAIO 2022</vt:lpstr>
      <vt:lpstr>foglio</vt:lpstr>
      <vt:lpstr>Foglio3</vt:lpstr>
      <vt:lpstr>'FEBBRAIO 2022'!Area_stampa</vt:lpstr>
    </vt:vector>
  </TitlesOfParts>
  <Company>CEPI SRL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Ceccarelli</dc:creator>
  <cp:lastModifiedBy>Sandra Ceccarelli</cp:lastModifiedBy>
  <cp:lastPrinted>2004-02-10T14:06:23Z</cp:lastPrinted>
  <dcterms:created xsi:type="dcterms:W3CDTF">2000-07-14T10:09:50Z</dcterms:created>
  <dcterms:modified xsi:type="dcterms:W3CDTF">2026-01-15T12:00:03Z</dcterms:modified>
</cp:coreProperties>
</file>