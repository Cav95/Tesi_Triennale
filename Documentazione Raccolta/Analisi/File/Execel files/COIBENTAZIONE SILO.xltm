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F63EE9F0-28EC-41C6-B763-9C0B98B5E96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COIBENTAZIONE" sheetId="1" r:id="rId1"/>
    <sheet name="Foglio1" sheetId="2" r:id="rId2"/>
  </sheets>
  <externalReferences>
    <externalReference r:id="rId3"/>
  </externalReferences>
  <definedNames>
    <definedName name="_xlnm.Print_Area" localSheetId="0">COIBENTAZIONE!$U$1:$V$6</definedName>
    <definedName name="DHL_TIPO">'[1]COSTO TRASPORTO VETTORE'!$C$22:$C$26</definedName>
    <definedName name="Lavorazione">[1]GENERALE!$H$36:$H$45</definedName>
    <definedName name="TIPO_TECNICO">[1]GENERALE!$H$29:$H$32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2" l="1"/>
  <c r="D12" i="2"/>
  <c r="F12" i="2" s="1"/>
  <c r="D21" i="2"/>
  <c r="D20" i="2"/>
  <c r="D19" i="2"/>
  <c r="D18" i="2"/>
  <c r="H8" i="2"/>
  <c r="F8" i="2"/>
  <c r="D8" i="2"/>
  <c r="A12" i="2"/>
  <c r="D10" i="2"/>
  <c r="H4" i="2"/>
  <c r="J8" i="2"/>
  <c r="A10" i="2"/>
  <c r="A8" i="2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4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2" i="1"/>
  <c r="Z14" i="1"/>
  <c r="R54" i="1"/>
  <c r="R49" i="1"/>
  <c r="R28" i="1"/>
  <c r="R27" i="1"/>
  <c r="R9" i="1"/>
  <c r="R5" i="1"/>
  <c r="R2" i="1"/>
  <c r="Z11" i="1"/>
  <c r="N2" i="1"/>
  <c r="O2" i="1" s="1"/>
  <c r="P2" i="1"/>
  <c r="Q2" i="1" s="1"/>
  <c r="AE2" i="1"/>
  <c r="N3" i="1"/>
  <c r="O3" i="1" s="1"/>
  <c r="P3" i="1"/>
  <c r="Q3" i="1" s="1"/>
  <c r="AE3" i="1"/>
  <c r="N4" i="1"/>
  <c r="O4" i="1" s="1"/>
  <c r="P4" i="1"/>
  <c r="Q4" i="1" s="1"/>
  <c r="AE4" i="1"/>
  <c r="N5" i="1"/>
  <c r="O5" i="1" s="1"/>
  <c r="P5" i="1"/>
  <c r="Q5" i="1" s="1"/>
  <c r="AE5" i="1"/>
  <c r="N6" i="1"/>
  <c r="O6" i="1" s="1"/>
  <c r="P6" i="1"/>
  <c r="Q6" i="1" s="1"/>
  <c r="N7" i="1"/>
  <c r="O7" i="1" s="1"/>
  <c r="M7" i="1" s="1"/>
  <c r="L7" i="1" s="1"/>
  <c r="P7" i="1"/>
  <c r="Q7" i="1" s="1"/>
  <c r="N8" i="1"/>
  <c r="O8" i="1" s="1"/>
  <c r="P8" i="1"/>
  <c r="R8" i="1" s="1"/>
  <c r="Q8" i="1"/>
  <c r="AC8" i="1"/>
  <c r="AC20" i="1" s="1"/>
  <c r="AG20" i="1" s="1"/>
  <c r="N9" i="1"/>
  <c r="O9" i="1" s="1"/>
  <c r="P9" i="1"/>
  <c r="Q9" i="1" s="1"/>
  <c r="AC9" i="1"/>
  <c r="N10" i="1"/>
  <c r="O10" i="1" s="1"/>
  <c r="P10" i="1"/>
  <c r="Q10" i="1" s="1"/>
  <c r="AC10" i="1"/>
  <c r="N11" i="1"/>
  <c r="O11" i="1" s="1"/>
  <c r="P11" i="1"/>
  <c r="Q11" i="1" s="1"/>
  <c r="AC11" i="1"/>
  <c r="AC23" i="1" s="1"/>
  <c r="N12" i="1"/>
  <c r="O12" i="1"/>
  <c r="P12" i="1"/>
  <c r="Q12" i="1" s="1"/>
  <c r="N13" i="1"/>
  <c r="O13" i="1" s="1"/>
  <c r="P13" i="1"/>
  <c r="Q13" i="1" s="1"/>
  <c r="N14" i="1"/>
  <c r="O14" i="1" s="1"/>
  <c r="P14" i="1"/>
  <c r="R14" i="1" s="1"/>
  <c r="N15" i="1"/>
  <c r="O15" i="1" s="1"/>
  <c r="P15" i="1"/>
  <c r="Q15" i="1" s="1"/>
  <c r="N16" i="1"/>
  <c r="O16" i="1" s="1"/>
  <c r="P16" i="1"/>
  <c r="Q16" i="1" s="1"/>
  <c r="N17" i="1"/>
  <c r="O17" i="1" s="1"/>
  <c r="P17" i="1"/>
  <c r="Q17" i="1" s="1"/>
  <c r="N18" i="1"/>
  <c r="O18" i="1" s="1"/>
  <c r="P18" i="1"/>
  <c r="Q18" i="1" s="1"/>
  <c r="N19" i="1"/>
  <c r="O19" i="1" s="1"/>
  <c r="P19" i="1"/>
  <c r="Q19" i="1" s="1"/>
  <c r="N20" i="1"/>
  <c r="O20" i="1" s="1"/>
  <c r="P20" i="1"/>
  <c r="Q20" i="1" s="1"/>
  <c r="N21" i="1"/>
  <c r="O21" i="1" s="1"/>
  <c r="P21" i="1"/>
  <c r="Q21" i="1" s="1"/>
  <c r="N22" i="1"/>
  <c r="O22" i="1" s="1"/>
  <c r="P22" i="1"/>
  <c r="Q22" i="1" s="1"/>
  <c r="AC22" i="1"/>
  <c r="N23" i="1"/>
  <c r="O23" i="1" s="1"/>
  <c r="M23" i="1" s="1"/>
  <c r="L23" i="1" s="1"/>
  <c r="P23" i="1"/>
  <c r="Q23" i="1" s="1"/>
  <c r="N24" i="1"/>
  <c r="O24" i="1" s="1"/>
  <c r="P24" i="1"/>
  <c r="Q24" i="1" s="1"/>
  <c r="N25" i="1"/>
  <c r="O25" i="1" s="1"/>
  <c r="P25" i="1"/>
  <c r="Q25" i="1" s="1"/>
  <c r="N26" i="1"/>
  <c r="O26" i="1" s="1"/>
  <c r="P26" i="1"/>
  <c r="Q26" i="1" s="1"/>
  <c r="N27" i="1"/>
  <c r="O27" i="1" s="1"/>
  <c r="P27" i="1"/>
  <c r="Q27" i="1" s="1"/>
  <c r="Z3" i="1"/>
  <c r="N28" i="1"/>
  <c r="O28" i="1" s="1"/>
  <c r="P28" i="1"/>
  <c r="Q28" i="1" s="1"/>
  <c r="N29" i="1"/>
  <c r="O29" i="1" s="1"/>
  <c r="P29" i="1"/>
  <c r="Q29" i="1" s="1"/>
  <c r="Z5" i="1"/>
  <c r="N30" i="1"/>
  <c r="O30" i="1" s="1"/>
  <c r="M30" i="1" s="1"/>
  <c r="L30" i="1" s="1"/>
  <c r="P30" i="1"/>
  <c r="Q30" i="1" s="1"/>
  <c r="N31" i="1"/>
  <c r="O31" i="1"/>
  <c r="P31" i="1"/>
  <c r="Q31" i="1" s="1"/>
  <c r="N32" i="1"/>
  <c r="O32" i="1" s="1"/>
  <c r="P32" i="1"/>
  <c r="Q32" i="1" s="1"/>
  <c r="N33" i="1"/>
  <c r="O33" i="1" s="1"/>
  <c r="P33" i="1"/>
  <c r="R33" i="1" s="1"/>
  <c r="N34" i="1"/>
  <c r="O34" i="1" s="1"/>
  <c r="M34" i="1" s="1"/>
  <c r="L34" i="1" s="1"/>
  <c r="P34" i="1"/>
  <c r="Q34" i="1" s="1"/>
  <c r="N35" i="1"/>
  <c r="O35" i="1" s="1"/>
  <c r="P35" i="1"/>
  <c r="Q35" i="1" s="1"/>
  <c r="N36" i="1"/>
  <c r="O36" i="1" s="1"/>
  <c r="P36" i="1"/>
  <c r="Q36" i="1" s="1"/>
  <c r="N37" i="1"/>
  <c r="O37" i="1" s="1"/>
  <c r="P37" i="1"/>
  <c r="Q37" i="1" s="1"/>
  <c r="N38" i="1"/>
  <c r="O38" i="1" s="1"/>
  <c r="P38" i="1"/>
  <c r="Q38" i="1" s="1"/>
  <c r="N39" i="1"/>
  <c r="O39" i="1" s="1"/>
  <c r="P39" i="1"/>
  <c r="Q39" i="1" s="1"/>
  <c r="N40" i="1"/>
  <c r="O40" i="1" s="1"/>
  <c r="P40" i="1"/>
  <c r="Q40" i="1" s="1"/>
  <c r="N41" i="1"/>
  <c r="O41" i="1" s="1"/>
  <c r="P41" i="1"/>
  <c r="Q41" i="1" s="1"/>
  <c r="N43" i="1"/>
  <c r="O43" i="1" s="1"/>
  <c r="P43" i="1"/>
  <c r="R43" i="1" s="1"/>
  <c r="N44" i="1"/>
  <c r="O44" i="1"/>
  <c r="P44" i="1"/>
  <c r="Q44" i="1" s="1"/>
  <c r="N45" i="1"/>
  <c r="O45" i="1" s="1"/>
  <c r="P45" i="1"/>
  <c r="Q45" i="1" s="1"/>
  <c r="N46" i="1"/>
  <c r="O46" i="1" s="1"/>
  <c r="P46" i="1"/>
  <c r="Q46" i="1" s="1"/>
  <c r="N47" i="1"/>
  <c r="O47" i="1" s="1"/>
  <c r="P47" i="1"/>
  <c r="R47" i="1" s="1"/>
  <c r="N48" i="1"/>
  <c r="O48" i="1" s="1"/>
  <c r="P48" i="1"/>
  <c r="Q48" i="1" s="1"/>
  <c r="N49" i="1"/>
  <c r="O49" i="1" s="1"/>
  <c r="P49" i="1"/>
  <c r="Q49" i="1" s="1"/>
  <c r="N50" i="1"/>
  <c r="O50" i="1" s="1"/>
  <c r="M50" i="1" s="1"/>
  <c r="L50" i="1" s="1"/>
  <c r="P50" i="1"/>
  <c r="Q50" i="1" s="1"/>
  <c r="N51" i="1"/>
  <c r="O51" i="1" s="1"/>
  <c r="P51" i="1"/>
  <c r="R51" i="1" s="1"/>
  <c r="Q51" i="1"/>
  <c r="N52" i="1"/>
  <c r="O52" i="1" s="1"/>
  <c r="P52" i="1"/>
  <c r="Q52" i="1" s="1"/>
  <c r="N53" i="1"/>
  <c r="O53" i="1" s="1"/>
  <c r="M53" i="1" s="1"/>
  <c r="L53" i="1" s="1"/>
  <c r="P53" i="1"/>
  <c r="Q53" i="1" s="1"/>
  <c r="N54" i="1"/>
  <c r="O54" i="1" s="1"/>
  <c r="P54" i="1"/>
  <c r="Q54" i="1" s="1"/>
  <c r="N55" i="1"/>
  <c r="O55" i="1" s="1"/>
  <c r="P55" i="1"/>
  <c r="R55" i="1" s="1"/>
  <c r="Q55" i="1"/>
  <c r="N56" i="1"/>
  <c r="O56" i="1" s="1"/>
  <c r="P56" i="1"/>
  <c r="Q56" i="1" s="1"/>
  <c r="N57" i="1"/>
  <c r="O57" i="1" s="1"/>
  <c r="M57" i="1" s="1"/>
  <c r="L57" i="1" s="1"/>
  <c r="P57" i="1"/>
  <c r="Q57" i="1" s="1"/>
  <c r="M52" i="1" l="1"/>
  <c r="L52" i="1" s="1"/>
  <c r="M3" i="1"/>
  <c r="M11" i="1"/>
  <c r="L11" i="1" s="1"/>
  <c r="R11" i="1"/>
  <c r="M31" i="1"/>
  <c r="L31" i="1" s="1"/>
  <c r="R13" i="1"/>
  <c r="M38" i="1"/>
  <c r="L38" i="1" s="1"/>
  <c r="M10" i="1"/>
  <c r="L10" i="1" s="1"/>
  <c r="R17" i="1"/>
  <c r="M39" i="1"/>
  <c r="L39" i="1" s="1"/>
  <c r="M25" i="1"/>
  <c r="L25" i="1" s="1"/>
  <c r="M5" i="1"/>
  <c r="L5" i="1" s="1"/>
  <c r="M16" i="1"/>
  <c r="L16" i="1" s="1"/>
  <c r="M4" i="1"/>
  <c r="L4" i="1" s="1"/>
  <c r="R20" i="1"/>
  <c r="M32" i="1"/>
  <c r="L32" i="1" s="1"/>
  <c r="M17" i="1"/>
  <c r="L17" i="1" s="1"/>
  <c r="R25" i="1"/>
  <c r="M44" i="1"/>
  <c r="L44" i="1" s="1"/>
  <c r="M29" i="1"/>
  <c r="L29" i="1" s="1"/>
  <c r="R29" i="1"/>
  <c r="M35" i="1"/>
  <c r="L35" i="1" s="1"/>
  <c r="M8" i="1"/>
  <c r="M2" i="1"/>
  <c r="L2" i="1" s="1"/>
  <c r="R45" i="1"/>
  <c r="M22" i="1"/>
  <c r="L22" i="1" s="1"/>
  <c r="R36" i="1"/>
  <c r="M51" i="1"/>
  <c r="L51" i="1" s="1"/>
  <c r="M13" i="1"/>
  <c r="L13" i="1" s="1"/>
  <c r="R46" i="1"/>
  <c r="M36" i="1"/>
  <c r="L36" i="1" s="1"/>
  <c r="M41" i="1"/>
  <c r="L41" i="1" s="1"/>
  <c r="M27" i="1"/>
  <c r="L27" i="1" s="1"/>
  <c r="R3" i="1"/>
  <c r="R52" i="1"/>
  <c r="M56" i="1"/>
  <c r="L56" i="1" s="1"/>
  <c r="M49" i="1"/>
  <c r="L49" i="1" s="1"/>
  <c r="M6" i="1"/>
  <c r="L6" i="1" s="1"/>
  <c r="R4" i="1"/>
  <c r="R53" i="1"/>
  <c r="M24" i="1"/>
  <c r="L24" i="1" s="1"/>
  <c r="Q47" i="1"/>
  <c r="M43" i="1"/>
  <c r="L43" i="1" s="1"/>
  <c r="M20" i="1"/>
  <c r="L20" i="1" s="1"/>
  <c r="M46" i="1"/>
  <c r="L46" i="1" s="1"/>
  <c r="R16" i="1"/>
  <c r="R24" i="1"/>
  <c r="R32" i="1"/>
  <c r="R40" i="1"/>
  <c r="R57" i="1"/>
  <c r="M55" i="1"/>
  <c r="L55" i="1" s="1"/>
  <c r="Q43" i="1"/>
  <c r="Q33" i="1"/>
  <c r="M33" i="1" s="1"/>
  <c r="L33" i="1" s="1"/>
  <c r="Q14" i="1"/>
  <c r="M14" i="1" s="1"/>
  <c r="L14" i="1" s="1"/>
  <c r="AG23" i="1"/>
  <c r="R7" i="1"/>
  <c r="R15" i="1"/>
  <c r="R23" i="1"/>
  <c r="R31" i="1"/>
  <c r="R39" i="1"/>
  <c r="R48" i="1"/>
  <c r="R56" i="1"/>
  <c r="M40" i="1"/>
  <c r="L40" i="1" s="1"/>
  <c r="M37" i="1"/>
  <c r="L37" i="1" s="1"/>
  <c r="M26" i="1"/>
  <c r="L26" i="1" s="1"/>
  <c r="M21" i="1"/>
  <c r="L21" i="1" s="1"/>
  <c r="M18" i="1"/>
  <c r="L18" i="1" s="1"/>
  <c r="M15" i="1"/>
  <c r="L15" i="1" s="1"/>
  <c r="R6" i="1"/>
  <c r="R22" i="1"/>
  <c r="R30" i="1"/>
  <c r="R38" i="1"/>
  <c r="R21" i="1"/>
  <c r="R12" i="1"/>
  <c r="R19" i="1"/>
  <c r="R35" i="1"/>
  <c r="R44" i="1"/>
  <c r="M47" i="1"/>
  <c r="L47" i="1" s="1"/>
  <c r="M54" i="1"/>
  <c r="L54" i="1" s="1"/>
  <c r="R10" i="1"/>
  <c r="R18" i="1"/>
  <c r="R26" i="1"/>
  <c r="R34" i="1"/>
  <c r="R37" i="1"/>
  <c r="M19" i="1"/>
  <c r="L19" i="1" s="1"/>
  <c r="Z1" i="1"/>
  <c r="Z4" i="1" s="1"/>
  <c r="Z6" i="1" s="1"/>
  <c r="R41" i="1"/>
  <c r="R50" i="1"/>
  <c r="AG10" i="1"/>
  <c r="I26" i="1" s="1"/>
  <c r="L8" i="1"/>
  <c r="L3" i="1"/>
  <c r="AG9" i="1"/>
  <c r="I10" i="1" s="1"/>
  <c r="M48" i="1"/>
  <c r="L48" i="1" s="1"/>
  <c r="M45" i="1"/>
  <c r="L45" i="1" s="1"/>
  <c r="M28" i="1"/>
  <c r="L28" i="1" s="1"/>
  <c r="M12" i="1"/>
  <c r="L12" i="1" s="1"/>
  <c r="M9" i="1"/>
  <c r="L9" i="1" s="1"/>
  <c r="I31" i="1"/>
  <c r="AC21" i="1"/>
  <c r="I33" i="1" l="1"/>
  <c r="AG11" i="1"/>
  <c r="I12" i="1" s="1"/>
  <c r="I13" i="1"/>
  <c r="I38" i="1"/>
  <c r="I55" i="1"/>
  <c r="I4" i="1"/>
  <c r="I2" i="1"/>
  <c r="I53" i="1"/>
  <c r="I28" i="1"/>
  <c r="I9" i="1"/>
  <c r="I23" i="1"/>
  <c r="I11" i="1"/>
  <c r="I35" i="1"/>
  <c r="I51" i="1"/>
  <c r="I37" i="1"/>
  <c r="I49" i="1"/>
  <c r="I50" i="1"/>
  <c r="I52" i="1"/>
  <c r="I17" i="1"/>
  <c r="I46" i="1"/>
  <c r="I48" i="1"/>
  <c r="I6" i="1"/>
  <c r="I54" i="1"/>
  <c r="I56" i="1"/>
  <c r="I47" i="1"/>
  <c r="I25" i="1"/>
  <c r="I29" i="1"/>
  <c r="AG8" i="1"/>
  <c r="I22" i="1"/>
  <c r="I7" i="1"/>
  <c r="I27" i="1"/>
  <c r="I8" i="1"/>
  <c r="I30" i="1"/>
  <c r="I5" i="1"/>
  <c r="I24" i="1"/>
  <c r="I45" i="1"/>
  <c r="I3" i="1"/>
  <c r="I43" i="1"/>
  <c r="I57" i="1"/>
  <c r="I15" i="1"/>
  <c r="I44" i="1"/>
  <c r="I40" i="1"/>
  <c r="I14" i="1"/>
  <c r="J3" i="1"/>
  <c r="J5" i="1"/>
  <c r="J22" i="1"/>
  <c r="J28" i="1"/>
  <c r="J30" i="1"/>
  <c r="J39" i="1"/>
  <c r="J45" i="1"/>
  <c r="J53" i="1"/>
  <c r="J52" i="1"/>
  <c r="J2" i="1"/>
  <c r="J6" i="1"/>
  <c r="G6" i="1" s="1"/>
  <c r="J17" i="1"/>
  <c r="J49" i="1"/>
  <c r="J57" i="1"/>
  <c r="J7" i="1"/>
  <c r="J9" i="1"/>
  <c r="J10" i="1"/>
  <c r="G10" i="1" s="1"/>
  <c r="J11" i="1"/>
  <c r="J13" i="1"/>
  <c r="J18" i="1"/>
  <c r="J32" i="1"/>
  <c r="J41" i="1"/>
  <c r="J50" i="1"/>
  <c r="J23" i="1"/>
  <c r="J27" i="1"/>
  <c r="J15" i="1"/>
  <c r="J20" i="1"/>
  <c r="J47" i="1"/>
  <c r="J55" i="1"/>
  <c r="J25" i="1"/>
  <c r="J34" i="1"/>
  <c r="Z10" i="1"/>
  <c r="J36" i="1"/>
  <c r="J44" i="1"/>
  <c r="J21" i="1"/>
  <c r="J40" i="1"/>
  <c r="J46" i="1"/>
  <c r="J54" i="1"/>
  <c r="J8" i="1"/>
  <c r="J14" i="1"/>
  <c r="J19" i="1"/>
  <c r="J24" i="1"/>
  <c r="J33" i="1"/>
  <c r="G33" i="1" s="1"/>
  <c r="J43" i="1"/>
  <c r="J51" i="1"/>
  <c r="G51" i="1" s="1"/>
  <c r="J16" i="1"/>
  <c r="J26" i="1"/>
  <c r="G26" i="1" s="1"/>
  <c r="J35" i="1"/>
  <c r="J37" i="1"/>
  <c r="J48" i="1"/>
  <c r="J56" i="1"/>
  <c r="J4" i="1"/>
  <c r="G4" i="1" s="1"/>
  <c r="J12" i="1"/>
  <c r="J29" i="1"/>
  <c r="J31" i="1"/>
  <c r="G31" i="1" s="1"/>
  <c r="J38" i="1"/>
  <c r="Z12" i="1" l="1"/>
  <c r="V6" i="1" s="1"/>
  <c r="I21" i="1"/>
  <c r="G21" i="1" s="1"/>
  <c r="I32" i="1"/>
  <c r="G32" i="1" s="1"/>
  <c r="I18" i="1"/>
  <c r="I20" i="1"/>
  <c r="I39" i="1"/>
  <c r="I36" i="1"/>
  <c r="I16" i="1"/>
  <c r="G16" i="1" s="1"/>
  <c r="I41" i="1"/>
  <c r="G13" i="1"/>
  <c r="G12" i="1"/>
  <c r="I34" i="1"/>
  <c r="I19" i="1"/>
  <c r="G19" i="1" s="1"/>
  <c r="G23" i="1"/>
  <c r="G9" i="1"/>
  <c r="G5" i="1"/>
  <c r="G18" i="1"/>
  <c r="G38" i="1"/>
  <c r="G35" i="1"/>
  <c r="G53" i="1"/>
  <c r="G3" i="1"/>
  <c r="G2" i="1"/>
  <c r="G22" i="1"/>
  <c r="G43" i="1"/>
  <c r="G28" i="1"/>
  <c r="G55" i="1"/>
  <c r="G45" i="1"/>
  <c r="G46" i="1"/>
  <c r="G29" i="1"/>
  <c r="G54" i="1"/>
  <c r="G57" i="1"/>
  <c r="G11" i="1"/>
  <c r="G37" i="1"/>
  <c r="G25" i="1"/>
  <c r="G48" i="1"/>
  <c r="G7" i="1"/>
  <c r="G8" i="1"/>
  <c r="G50" i="1"/>
  <c r="G52" i="1"/>
  <c r="G44" i="1"/>
  <c r="G56" i="1"/>
  <c r="G47" i="1"/>
  <c r="G17" i="1"/>
  <c r="G49" i="1"/>
  <c r="G39" i="1"/>
  <c r="G30" i="1"/>
  <c r="G34" i="1"/>
  <c r="G27" i="1"/>
  <c r="G24" i="1"/>
  <c r="G15" i="1"/>
  <c r="G40" i="1"/>
  <c r="G41" i="1"/>
  <c r="G14" i="1"/>
  <c r="G36" i="1"/>
  <c r="G20" i="1"/>
</calcChain>
</file>

<file path=xl/sharedStrings.xml><?xml version="1.0" encoding="utf-8"?>
<sst xmlns="http://schemas.openxmlformats.org/spreadsheetml/2006/main" count="177" uniqueCount="161">
  <si>
    <t>Ø</t>
  </si>
  <si>
    <t>GLOBOSILO FLU 105 Mc Ø 2950 H 16560 INOX</t>
  </si>
  <si>
    <t>GBF029100</t>
  </si>
  <si>
    <t>GLOBOSILO FLU  94 Mc Ø 2950 H 15450 INOX</t>
  </si>
  <si>
    <t>GBF02993</t>
  </si>
  <si>
    <t>GLOBOSILO FLU  82 Mc Ø 2950 H 13550 INOX</t>
  </si>
  <si>
    <t>GBF02981</t>
  </si>
  <si>
    <t>GLOBOSILO FLU  73 Mc Ø 2950 H 12300 INOX</t>
  </si>
  <si>
    <t>GBF02972</t>
  </si>
  <si>
    <t>GLOBOSILO FLU  63 Mc Ø 2950 H 10800 INOX</t>
  </si>
  <si>
    <t>GBF02962</t>
  </si>
  <si>
    <t>GLOBOSILO FLU  56 Mc Ø 2450 H 13500 INOX</t>
  </si>
  <si>
    <t>GBF02456</t>
  </si>
  <si>
    <t>GLOBOSILO FLU  52 Mc Ø 2950 H 9300 INOX</t>
  </si>
  <si>
    <t>GBF02952</t>
  </si>
  <si>
    <t>GLOBOSILO FLU  50 Mc Ø 2450 H 12300 INOX</t>
  </si>
  <si>
    <t>GBF02450</t>
  </si>
  <si>
    <t>GLOBOSILO FLU  43 Mc Ø 2450 H 10800 INOX</t>
  </si>
  <si>
    <t>GBF02443</t>
  </si>
  <si>
    <t>GLOBOSILO FLU  42 Mc Ø 2950 H 7800 INOX</t>
  </si>
  <si>
    <t>GBF02942</t>
  </si>
  <si>
    <t>GLOBOSILO FLU  35 Mc Ø 2450 H 9300 INOX</t>
  </si>
  <si>
    <t>GBF02435</t>
  </si>
  <si>
    <t>GLOBOSILO FLU  31 Mc Ø 2950 H 6300 INOX</t>
  </si>
  <si>
    <t>GBF02931</t>
  </si>
  <si>
    <t>GLOBOSILO FLU  29 Mc Ø 2450 H 7800 INOX</t>
  </si>
  <si>
    <t>GBF02429</t>
  </si>
  <si>
    <t>GLOBOSILO FLU  22 Mc Ø 2450 H 6300 INOX</t>
  </si>
  <si>
    <t>GBF02422</t>
  </si>
  <si>
    <t>GLOBOSILO FLU  14,5 Mc Ø 2450 H 4800 INOX</t>
  </si>
  <si>
    <t>GBF02414</t>
  </si>
  <si>
    <t>GLOBOSILO DIST CV  140,4 MC Ø 3.450 H 18.400 INOX</t>
  </si>
  <si>
    <t>GBS034146DIS</t>
  </si>
  <si>
    <t>TOTALE COIBENTAZIONE</t>
  </si>
  <si>
    <t>GLOBOSILO DIST CV  126,4 MC Ø 3.450 H 16.900 INOX</t>
  </si>
  <si>
    <t>GBS034132DIS</t>
  </si>
  <si>
    <t>GLOBOSILO DIST CV  112,4 MC Ø 3.450 H 15.400 INOX</t>
  </si>
  <si>
    <t>GBS034118DIS</t>
  </si>
  <si>
    <t>Tetto coib</t>
  </si>
  <si>
    <t>GLOBOSILO DIST CV   98,4 MC Ø 3.450 H 13.900 INOX</t>
  </si>
  <si>
    <t>GBS034104DIS</t>
  </si>
  <si>
    <t>GLOBOSILO DIST CV   95,9 Mc Ø 2.950 H 16.500 INOX</t>
  </si>
  <si>
    <t>GBS03100DIS</t>
  </si>
  <si>
    <t>Totale angolari fissaggio</t>
  </si>
  <si>
    <t>GLOBOSILO DIST CV   84,4 Mc Ø 3.450 H 12.400 INOX</t>
  </si>
  <si>
    <t>GBS03490DIS</t>
  </si>
  <si>
    <t>GLOBOSILO DIST CV   72,9 Mc Ø 2.950 H 13.500 INOX</t>
  </si>
  <si>
    <t>GBS03077DIS</t>
  </si>
  <si>
    <t>GLOBOSILO DIST CV   70,4 Mc Ø 3.450 H 10.900 INOX</t>
  </si>
  <si>
    <t>GBS03476DIS</t>
  </si>
  <si>
    <t>Angolari di fissaggio</t>
  </si>
  <si>
    <t>GLOBOSILO DIST CV   64,9 Mc Ø 2.950 H 12.300 INOX</t>
  </si>
  <si>
    <t>GBS03069DIS</t>
  </si>
  <si>
    <t>GLOBOSILO DIST CV   56,4 Mc Ø 3.450 H  9.400 INOX</t>
  </si>
  <si>
    <t>GBS03462DIS</t>
  </si>
  <si>
    <t>GLOBOSILO DIST CV   54,9 Mc Ø 2.950 H 10.800 INOX</t>
  </si>
  <si>
    <t>GBS03059DIS</t>
  </si>
  <si>
    <t>Totale coib vert</t>
  </si>
  <si>
    <t>GLOBOSILO DIST CV   51,2 Mc Ø 2.450 H 13500 INOX</t>
  </si>
  <si>
    <t>GBS02452DIS</t>
  </si>
  <si>
    <t>Prezzo mq</t>
  </si>
  <si>
    <t>GLOBOSILO DIST CV   45,2 Mc Ø 2.450 H 12300 INOX</t>
  </si>
  <si>
    <t>GBS02448DIS</t>
  </si>
  <si>
    <t>AREA SILO</t>
  </si>
  <si>
    <t>GLOBOSILO DIST CV   43,9 Mc Ø 2.950 H 9.300 INOX</t>
  </si>
  <si>
    <t>GBS03048DIS</t>
  </si>
  <si>
    <t>H SILO ARR.TO</t>
  </si>
  <si>
    <t>GLOBOSILO DIST CV   38,2 Mc Ø 2.450 H 10800 INOX</t>
  </si>
  <si>
    <t>GBS02441DIS</t>
  </si>
  <si>
    <t>H SILO</t>
  </si>
  <si>
    <t>GLOBOSILO DIST CV   33,9 Mc Ø 2.950 H 7.800 INOX</t>
  </si>
  <si>
    <t>GBS03038DIS</t>
  </si>
  <si>
    <t>CIRCONFERENZA</t>
  </si>
  <si>
    <t>GLOBOSILO DIST CV   31,2 Mc Ø 2.450 H 9.300 INOX</t>
  </si>
  <si>
    <t>GBS02434DIS</t>
  </si>
  <si>
    <t>GLOBOSILO DIST CV   24,2 Mc Ø 2.450 H 7800 INOX</t>
  </si>
  <si>
    <t>GBS02427DIS</t>
  </si>
  <si>
    <t>DA COSTIFICARE</t>
  </si>
  <si>
    <t>GLOBOSILO DIST CV   23,9 Mc Ø 2.950 H 6.300 INOX</t>
  </si>
  <si>
    <t>GBS03028DIS</t>
  </si>
  <si>
    <t>GLOBOSILO DIST CV   17,2 Mc Ø 2.450 H 6300 INOX</t>
  </si>
  <si>
    <t>GBS02420DIS</t>
  </si>
  <si>
    <t>GLOBOSILO CV 146 MC Ø 3.450 H 18.400 INOX</t>
  </si>
  <si>
    <t>GBS034146</t>
  </si>
  <si>
    <t>GLOBOSILO CV 132 MC Ø 3.450 H 16.900 INOX</t>
  </si>
  <si>
    <t>GBS034132</t>
  </si>
  <si>
    <t>GLOBOSILO CV 118 MC Ø 3.450 H 15.400 INOX</t>
  </si>
  <si>
    <t>GBS034118</t>
  </si>
  <si>
    <t>GLOBOSILO CV 104 Mc Ø 3.450 H 13.900 INOX</t>
  </si>
  <si>
    <t>GBS034104</t>
  </si>
  <si>
    <t>GLOBOSILO CV 100 Mc Ø 2.950 H 16.500 INOX</t>
  </si>
  <si>
    <t>GBS03100</t>
  </si>
  <si>
    <t>GLOBOSILO CV  90 Mc Ø 3.450 H 12.400 INOX</t>
  </si>
  <si>
    <t>GBS03490</t>
  </si>
  <si>
    <t>GLOBOSILO CV  77 Mc Ø 2.950 H 13.500 INOX</t>
  </si>
  <si>
    <t>GBS03077</t>
  </si>
  <si>
    <t>Coibentazione al mq</t>
  </si>
  <si>
    <t>GLOBOSILO CV  76 Mc Ø 3.450 H 10.900 INOX</t>
  </si>
  <si>
    <t>GBS03476</t>
  </si>
  <si>
    <t>GLOBOSILO CV  69 Mc Ø 2.950 H 12.300 INOX</t>
  </si>
  <si>
    <t>GBS03069</t>
  </si>
  <si>
    <t>GLOBOSILO CV  62 Mc Ø 3.450 H  9.400 INOX</t>
  </si>
  <si>
    <t>GBS03462</t>
  </si>
  <si>
    <t>GLOBOSILO CV  59 Mc Ø 2.950 H 10.800 INOX</t>
  </si>
  <si>
    <t>GBS03059</t>
  </si>
  <si>
    <t>GLOBOSILO CV  54 Mc Ø 2.450 H 13500 INOX</t>
  </si>
  <si>
    <t>GBS02452</t>
  </si>
  <si>
    <t>GLOBOSILO  CV  48 Mc Ø 2.950 H 9.300 INOX</t>
  </si>
  <si>
    <t>GBS03048</t>
  </si>
  <si>
    <t>GLOBOSILO  CV  48 Mc Ø 2.450 H 12300 INOX</t>
  </si>
  <si>
    <t>GBS02448</t>
  </si>
  <si>
    <t>Totale</t>
  </si>
  <si>
    <t>tetto infer</t>
  </si>
  <si>
    <t>Prolunghe</t>
  </si>
  <si>
    <t>coib tetto</t>
  </si>
  <si>
    <t>Magg percoib tetto</t>
  </si>
  <si>
    <t>GLOBOSILO  CV  41 Mc Ø 2.450 H 10800 INOX</t>
  </si>
  <si>
    <t>GBS02441</t>
  </si>
  <si>
    <t>GLOBOSILO  CV  38 Mc Ø 2.950 H 7.800 INOX</t>
  </si>
  <si>
    <t>GBS03038</t>
  </si>
  <si>
    <t>GLOBOSILO  CV  34 Mc Ø 2.450 H 9300 INOX</t>
  </si>
  <si>
    <t>GBS02434</t>
  </si>
  <si>
    <t>GLOBOSILO  CV  28 Mc Ø 2.950 H 6.300 INOX</t>
  </si>
  <si>
    <t>GBS03028</t>
  </si>
  <si>
    <t>GLOBOSILO  CV  27 Mc Ø 2.450 H 7800 INOX</t>
  </si>
  <si>
    <t>GBS02427</t>
  </si>
  <si>
    <t>GLOBOSILO  CV  20 Mc Ø 2.450 H 6300 INOX</t>
  </si>
  <si>
    <t>GBS02420</t>
  </si>
  <si>
    <t>TRONCA H</t>
  </si>
  <si>
    <t>Alezza arrotondata</t>
  </si>
  <si>
    <t>Altezza</t>
  </si>
  <si>
    <t>circonferenza</t>
  </si>
  <si>
    <t>DIAMETRO MT</t>
  </si>
  <si>
    <t>Area coibe</t>
  </si>
  <si>
    <t>€ mq coib</t>
  </si>
  <si>
    <t>ANGOLARE</t>
  </si>
  <si>
    <t>TETTO</t>
  </si>
  <si>
    <t>Totale coib</t>
  </si>
  <si>
    <t>Diametro</t>
  </si>
  <si>
    <t>Volume</t>
  </si>
  <si>
    <t>Prezzo articolo euro</t>
  </si>
  <si>
    <t>Nome prodotto italia</t>
  </si>
  <si>
    <t>ID prodotto</t>
  </si>
  <si>
    <t>Magg per arrot. Altezza</t>
  </si>
  <si>
    <t>Prezzo ad angolare di fissaggio</t>
  </si>
  <si>
    <t>Numero Angolari</t>
  </si>
  <si>
    <t>ANGOLARE PER FISS. COIBENT.</t>
  </si>
  <si>
    <t xml:space="preserve">OGNI </t>
  </si>
  <si>
    <t>METRI</t>
  </si>
  <si>
    <t>SILO/TANK</t>
  </si>
  <si>
    <t>Magg 5%</t>
  </si>
  <si>
    <t>Magg 10%</t>
  </si>
  <si>
    <t>Magg 10% agosto 2025</t>
  </si>
  <si>
    <t>base</t>
  </si>
  <si>
    <t>prima</t>
  </si>
  <si>
    <t>nuovo algoritmo</t>
  </si>
  <si>
    <t>come doveva essere</t>
  </si>
  <si>
    <t>5%'</t>
  </si>
  <si>
    <t>10%'</t>
  </si>
  <si>
    <t>3%'</t>
  </si>
  <si>
    <t>Maggiorazione 3% (con peso) gennaio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</si>
</sst>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00"/>
    <numFmt numFmtId="166" formatCode="_-* #,##0.00\ _€_-;\-* #,##0.00\ _€_-;_-* &quot;-&quot;??\ _€_-;_-@_-"/>
  </numFmts>
  <fonts count="16" x14ac:knownFonts="1">
    <font>
      <sz val="10"/>
      <name val="Times New Roman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b/>
      <sz val="10"/>
      <name val="MS Sans Serif"/>
      <family val="2"/>
    </font>
    <font>
      <sz val="9"/>
      <name val="Verdana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3.5"/>
      <color theme="1"/>
      <name val="MS Sans Serif"/>
      <family val="2"/>
    </font>
    <font>
      <b/>
      <sz val="18"/>
      <name val="MS Sans Serif"/>
      <family val="2"/>
    </font>
    <font>
      <sz val="13.5"/>
      <name val="MS Sans Serif"/>
      <family val="2"/>
    </font>
    <font>
      <b/>
      <sz val="11"/>
      <color rgb="FF000000"/>
      <name val="Calibri"/>
      <family val="2"/>
    </font>
    <font>
      <sz val="12"/>
      <name val="MS Sans Serif"/>
      <family val="2"/>
    </font>
    <font>
      <b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C0C0C0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0D7E5"/>
      </left>
      <right/>
      <top style="thin">
        <color rgb="FFD0D7E5"/>
      </top>
      <bottom style="thin">
        <color rgb="FFD0D7E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0" fontId="1" fillId="0" borderId="0"/>
    <xf numFmtId="0" fontId="9" fillId="0" borderId="0"/>
  </cellStyleXfs>
  <cellXfs count="49">
    <xf numFmtId="0" fontId="0" fillId="0" borderId="0" xfId="0"/>
    <xf numFmtId="0" fontId="3" fillId="0" borderId="0" xfId="3"/>
    <xf numFmtId="10" fontId="3" fillId="0" borderId="0" xfId="2" applyNumberFormat="1" applyFont="1"/>
    <xf numFmtId="0" fontId="5" fillId="0" borderId="0" xfId="3" applyFont="1" applyAlignment="1">
      <alignment horizontal="right" vertical="center" wrapText="1"/>
    </xf>
    <xf numFmtId="0" fontId="5" fillId="0" borderId="1" xfId="3" applyFont="1" applyBorder="1" applyAlignment="1">
      <alignment horizontal="right" vertical="center" wrapText="1"/>
    </xf>
    <xf numFmtId="0" fontId="5" fillId="0" borderId="1" xfId="3" applyFont="1" applyBorder="1" applyAlignment="1">
      <alignment vertical="center" wrapText="1"/>
    </xf>
    <xf numFmtId="10" fontId="5" fillId="0" borderId="1" xfId="2" applyNumberFormat="1" applyFont="1" applyFill="1" applyBorder="1" applyAlignment="1" applyProtection="1">
      <alignment horizontal="right" vertical="center" wrapText="1"/>
    </xf>
    <xf numFmtId="2" fontId="5" fillId="0" borderId="1" xfId="3" applyNumberFormat="1" applyFont="1" applyBorder="1" applyAlignment="1">
      <alignment horizontal="right" vertical="center" wrapText="1"/>
    </xf>
    <xf numFmtId="2" fontId="3" fillId="0" borderId="0" xfId="3" applyNumberFormat="1"/>
    <xf numFmtId="43" fontId="5" fillId="0" borderId="2" xfId="3" applyNumberFormat="1" applyFont="1" applyBorder="1" applyAlignment="1">
      <alignment horizontal="right" vertical="center" wrapText="1"/>
    </xf>
    <xf numFmtId="164" fontId="6" fillId="3" borderId="3" xfId="3" applyNumberFormat="1" applyFont="1" applyFill="1" applyBorder="1"/>
    <xf numFmtId="43" fontId="3" fillId="0" borderId="0" xfId="3" applyNumberFormat="1"/>
    <xf numFmtId="165" fontId="3" fillId="0" borderId="0" xfId="3" applyNumberFormat="1"/>
    <xf numFmtId="43" fontId="3" fillId="2" borderId="0" xfId="3" applyNumberFormat="1" applyFill="1"/>
    <xf numFmtId="0" fontId="5" fillId="0" borderId="2" xfId="3" applyFont="1" applyBorder="1" applyAlignment="1">
      <alignment horizontal="right" vertical="center" wrapText="1"/>
    </xf>
    <xf numFmtId="0" fontId="8" fillId="4" borderId="0" xfId="3" applyFont="1" applyFill="1" applyAlignment="1">
      <alignment horizontal="center" vertical="center"/>
    </xf>
    <xf numFmtId="0" fontId="8" fillId="4" borderId="4" xfId="3" applyFont="1" applyFill="1" applyBorder="1" applyAlignment="1">
      <alignment horizontal="center" vertical="center"/>
    </xf>
    <xf numFmtId="0" fontId="8" fillId="4" borderId="5" xfId="3" applyFont="1" applyFill="1" applyBorder="1" applyAlignment="1">
      <alignment horizontal="center" vertical="center"/>
    </xf>
    <xf numFmtId="0" fontId="8" fillId="5" borderId="5" xfId="3" applyFont="1" applyFill="1" applyBorder="1" applyAlignment="1">
      <alignment horizontal="center" vertical="center"/>
    </xf>
    <xf numFmtId="10" fontId="8" fillId="4" borderId="5" xfId="2" applyNumberFormat="1" applyFont="1" applyFill="1" applyBorder="1" applyAlignment="1" applyProtection="1">
      <alignment horizontal="center" vertical="center"/>
    </xf>
    <xf numFmtId="164" fontId="11" fillId="3" borderId="3" xfId="3" applyNumberFormat="1" applyFont="1" applyFill="1" applyBorder="1"/>
    <xf numFmtId="164" fontId="12" fillId="2" borderId="0" xfId="1" applyNumberFormat="1" applyFont="1" applyFill="1" applyProtection="1">
      <protection locked="0"/>
    </xf>
    <xf numFmtId="3" fontId="10" fillId="6" borderId="3" xfId="3" applyNumberFormat="1" applyFont="1" applyFill="1" applyBorder="1" applyProtection="1">
      <protection locked="0"/>
    </xf>
    <xf numFmtId="0" fontId="8" fillId="4" borderId="6" xfId="3" applyFont="1" applyFill="1" applyBorder="1" applyAlignment="1">
      <alignment horizontal="center" vertical="center"/>
    </xf>
    <xf numFmtId="0" fontId="5" fillId="0" borderId="7" xfId="3" applyFont="1" applyBorder="1" applyAlignment="1">
      <alignment vertical="center" wrapText="1"/>
    </xf>
    <xf numFmtId="0" fontId="8" fillId="4" borderId="8" xfId="3" applyFont="1" applyFill="1" applyBorder="1" applyAlignment="1">
      <alignment horizontal="center" vertical="center"/>
    </xf>
    <xf numFmtId="0" fontId="5" fillId="0" borderId="9" xfId="3" applyFont="1" applyBorder="1" applyAlignment="1">
      <alignment horizontal="right" vertical="center" wrapText="1"/>
    </xf>
    <xf numFmtId="0" fontId="5" fillId="0" borderId="10" xfId="3" applyFont="1" applyBorder="1" applyAlignment="1">
      <alignment vertical="center" wrapText="1"/>
    </xf>
    <xf numFmtId="2" fontId="5" fillId="0" borderId="10" xfId="3" applyNumberFormat="1" applyFont="1" applyBorder="1" applyAlignment="1">
      <alignment horizontal="right" vertical="center" wrapText="1"/>
    </xf>
    <xf numFmtId="0" fontId="5" fillId="0" borderId="10" xfId="3" applyFont="1" applyBorder="1" applyAlignment="1">
      <alignment horizontal="right" vertical="center" wrapText="1"/>
    </xf>
    <xf numFmtId="10" fontId="5" fillId="0" borderId="10" xfId="2" applyNumberFormat="1" applyFont="1" applyFill="1" applyBorder="1" applyAlignment="1" applyProtection="1">
      <alignment horizontal="right" vertical="center" wrapText="1"/>
    </xf>
    <xf numFmtId="43" fontId="5" fillId="0" borderId="10" xfId="3" applyNumberFormat="1" applyFont="1" applyBorder="1" applyAlignment="1">
      <alignment horizontal="right" vertical="center" wrapText="1"/>
    </xf>
    <xf numFmtId="0" fontId="5" fillId="0" borderId="5" xfId="3" applyFont="1" applyBorder="1" applyAlignment="1">
      <alignment vertical="center" wrapText="1"/>
    </xf>
    <xf numFmtId="2" fontId="5" fillId="0" borderId="5" xfId="3" applyNumberFormat="1" applyFont="1" applyBorder="1" applyAlignment="1">
      <alignment horizontal="right" vertical="center" wrapText="1"/>
    </xf>
    <xf numFmtId="10" fontId="5" fillId="0" borderId="5" xfId="2" applyNumberFormat="1" applyFont="1" applyFill="1" applyBorder="1" applyAlignment="1" applyProtection="1">
      <alignment horizontal="right" vertical="center" wrapText="1"/>
    </xf>
    <xf numFmtId="164" fontId="13" fillId="2" borderId="5" xfId="3" applyNumberFormat="1" applyFont="1" applyFill="1" applyBorder="1" applyAlignment="1">
      <alignment horizontal="right" vertical="center" wrapText="1"/>
    </xf>
    <xf numFmtId="3" fontId="5" fillId="0" borderId="5" xfId="3" applyNumberFormat="1" applyFont="1" applyBorder="1" applyAlignment="1">
      <alignment horizontal="right" vertical="center" wrapText="1"/>
    </xf>
    <xf numFmtId="0" fontId="7" fillId="0" borderId="5" xfId="0" applyFont="1" applyBorder="1"/>
    <xf numFmtId="0" fontId="3" fillId="0" borderId="5" xfId="3" applyBorder="1"/>
    <xf numFmtId="0" fontId="14" fillId="0" borderId="5" xfId="3" applyFont="1" applyBorder="1" applyAlignment="1">
      <alignment horizontal="center"/>
    </xf>
    <xf numFmtId="0" fontId="3" fillId="0" borderId="0" xfId="3" applyAlignment="1">
      <alignment horizontal="center"/>
    </xf>
    <xf numFmtId="0" fontId="6" fillId="0" borderId="3" xfId="3" applyFont="1" applyBorder="1" applyAlignment="1">
      <alignment horizontal="center"/>
    </xf>
    <xf numFmtId="0" fontId="4" fillId="0" borderId="0" xfId="0" applyFont="1"/>
    <xf numFmtId="166" fontId="0" fillId="0" borderId="0" xfId="0" applyNumberFormat="1"/>
    <xf numFmtId="9" fontId="0" fillId="0" borderId="0" xfId="0" applyNumberFormat="1"/>
    <xf numFmtId="0" fontId="0" fillId="2" borderId="0" xfId="0" applyFill="1"/>
    <xf numFmtId="166" fontId="0" fillId="2" borderId="0" xfId="0" applyNumberFormat="1" applyFill="1"/>
    <xf numFmtId="0" fontId="0" fillId="0" borderId="0" xfId="0" quotePrefix="1"/>
    <xf numFmtId="0" fontId="15" fillId="0" borderId="0" xfId="0" applyFont="1"/>
  </cellXfs>
  <cellStyles count="7">
    <cellStyle name="Migliaia" xfId="1" builtinId="3"/>
    <cellStyle name="Migliaia 2" xfId="4" xr:uid="{00000000-0005-0000-0000-000001000000}"/>
    <cellStyle name="Normale" xfId="0" builtinId="0"/>
    <cellStyle name="Normale 2" xfId="5" xr:uid="{00000000-0005-0000-0000-000003000000}"/>
    <cellStyle name="Normale 3" xfId="6" xr:uid="{00000000-0005-0000-0000-000004000000}"/>
    <cellStyle name="Normale 4" xfId="3" xr:uid="{00000000-0005-0000-0000-000005000000}"/>
    <cellStyle name="Percentual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NOD%20+%20COMPONENTI%20+%20TRASPORTO%20+%20TELEFONO%2011MA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E"/>
      <sheetName val="COSTO TELEFONICO"/>
      <sheetName val="COSTO TRASPORTO VETTORE"/>
      <sheetName val="COMPONENTI"/>
    </sheetNames>
    <sheetDataSet>
      <sheetData sheetId="0">
        <row r="29">
          <cell r="H29" t="str">
            <v>Std</v>
          </cell>
        </row>
        <row r="30">
          <cell r="H30" t="str">
            <v>Spe</v>
          </cell>
        </row>
        <row r="31">
          <cell r="H31" t="str">
            <v>Prog</v>
          </cell>
        </row>
        <row r="32">
          <cell r="H32" t="str">
            <v>Spv</v>
          </cell>
        </row>
        <row r="36">
          <cell r="H36" t="str">
            <v>Collaudo</v>
          </cell>
        </row>
        <row r="37">
          <cell r="H37" t="str">
            <v>Elettrico</v>
          </cell>
        </row>
        <row r="38">
          <cell r="H38" t="str">
            <v>Formazione</v>
          </cell>
        </row>
        <row r="39">
          <cell r="H39" t="str">
            <v>Meccanico</v>
          </cell>
        </row>
        <row r="40">
          <cell r="H40" t="str">
            <v>Mezzi Pubblici</v>
          </cell>
        </row>
        <row r="41">
          <cell r="H41" t="str">
            <v>Post Vendita</v>
          </cell>
        </row>
        <row r="42">
          <cell r="H42" t="str">
            <v>Progetto</v>
          </cell>
        </row>
        <row r="43">
          <cell r="H43" t="str">
            <v>Programma</v>
          </cell>
        </row>
        <row r="44">
          <cell r="H44" t="str">
            <v>Teleassistenza</v>
          </cell>
        </row>
        <row r="45">
          <cell r="H45" t="str">
            <v>Uscita / trasf</v>
          </cell>
        </row>
      </sheetData>
      <sheetData sheetId="1"/>
      <sheetData sheetId="2">
        <row r="22">
          <cell r="C22" t="str">
            <v>DHL EXPRESS</v>
          </cell>
        </row>
        <row r="23">
          <cell r="C23" t="str">
            <v>DHL EUROPLUS CAMIONISTIC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68"/>
  <sheetViews>
    <sheetView tabSelected="1" topLeftCell="B1" zoomScale="115" zoomScaleNormal="115" zoomScaleSheetLayoutView="115" workbookViewId="0">
      <selection activeCell="H2" sqref="H2"/>
    </sheetView>
  </sheetViews>
  <sheetFormatPr defaultColWidth="9.33203125" defaultRowHeight="12.75" x14ac:dyDescent="0.2"/>
  <cols>
    <col min="1" max="1" width="16" style="1" hidden="1" customWidth="1"/>
    <col min="2" max="2" width="55.33203125" style="1" customWidth="1"/>
    <col min="3" max="3" width="15.5" style="1" hidden="1" customWidth="1"/>
    <col min="4" max="4" width="13.5" style="1" customWidth="1"/>
    <col min="5" max="5" width="13" style="1" customWidth="1"/>
    <col min="6" max="6" width="14.1640625" style="1" customWidth="1"/>
    <col min="7" max="7" width="15.5" style="2" hidden="1" customWidth="1"/>
    <col min="8" max="8" width="15.5" style="1" customWidth="1"/>
    <col min="9" max="10" width="15.5" style="1" hidden="1" customWidth="1"/>
    <col min="11" max="11" width="6.6640625" style="1" hidden="1" customWidth="1"/>
    <col min="12" max="15" width="15.5" style="1" hidden="1" customWidth="1"/>
    <col min="16" max="16" width="9.33203125" style="1" hidden="1" customWidth="1"/>
    <col min="17" max="17" width="8.1640625" style="1" hidden="1" customWidth="1"/>
    <col min="18" max="19" width="13.5" style="1" hidden="1" customWidth="1"/>
    <col min="20" max="20" width="5.1640625" style="1" customWidth="1"/>
    <col min="21" max="21" width="33.83203125" style="1" customWidth="1"/>
    <col min="22" max="22" width="17.83203125" style="1" customWidth="1"/>
    <col min="23" max="23" width="10.5" style="1" bestFit="1" customWidth="1"/>
    <col min="24" max="24" width="10.5" style="1" hidden="1" customWidth="1"/>
    <col min="25" max="25" width="13.33203125" style="1" hidden="1" customWidth="1"/>
    <col min="26" max="26" width="14.33203125" style="1" hidden="1" customWidth="1"/>
    <col min="27" max="31" width="9.33203125" style="1" hidden="1" customWidth="1"/>
    <col min="32" max="33" width="10.5" style="1" hidden="1" customWidth="1"/>
    <col min="34" max="35" width="9.33203125" style="1" hidden="1" customWidth="1"/>
    <col min="36" max="36" width="9.33203125" style="1" customWidth="1"/>
    <col min="37" max="16384" width="9.33203125" style="1"/>
  </cols>
  <sheetData>
    <row r="1" spans="1:34" ht="15.75" thickBot="1" x14ac:dyDescent="0.25">
      <c r="A1" s="23" t="s">
        <v>142</v>
      </c>
      <c r="B1" s="17" t="s">
        <v>141</v>
      </c>
      <c r="C1" s="17" t="s">
        <v>140</v>
      </c>
      <c r="D1" s="17" t="s">
        <v>139</v>
      </c>
      <c r="E1" s="17" t="s">
        <v>130</v>
      </c>
      <c r="F1" s="17" t="s">
        <v>138</v>
      </c>
      <c r="G1" s="19"/>
      <c r="H1" s="18" t="s">
        <v>137</v>
      </c>
      <c r="I1" s="25" t="s">
        <v>136</v>
      </c>
      <c r="J1" s="17" t="s">
        <v>135</v>
      </c>
      <c r="K1" s="16"/>
      <c r="L1" s="16" t="s">
        <v>134</v>
      </c>
      <c r="M1" s="15" t="s">
        <v>133</v>
      </c>
      <c r="N1" s="15" t="s">
        <v>132</v>
      </c>
      <c r="O1" s="15" t="s">
        <v>131</v>
      </c>
      <c r="P1" s="15" t="s">
        <v>130</v>
      </c>
      <c r="Q1" s="15" t="s">
        <v>129</v>
      </c>
      <c r="R1" s="15" t="s">
        <v>128</v>
      </c>
      <c r="U1" s="40" t="s">
        <v>149</v>
      </c>
      <c r="X1" s="1" t="s">
        <v>72</v>
      </c>
      <c r="Z1" s="8" t="e">
        <f>VLOOKUP(V2,AC2:AE5,3,0)</f>
        <v>#N/A</v>
      </c>
      <c r="AA1" s="1">
        <v>1.05</v>
      </c>
    </row>
    <row r="2" spans="1:34" ht="24" customHeight="1" thickBot="1" x14ac:dyDescent="0.4">
      <c r="A2" s="24" t="s">
        <v>127</v>
      </c>
      <c r="B2" s="32" t="s">
        <v>126</v>
      </c>
      <c r="C2" s="33">
        <v>25402</v>
      </c>
      <c r="D2" s="36">
        <v>20000</v>
      </c>
      <c r="E2" s="36">
        <v>6300</v>
      </c>
      <c r="F2" s="36">
        <v>2450</v>
      </c>
      <c r="G2" s="34">
        <f t="shared" ref="G2:G41" si="0">H2/C2</f>
        <v>0.518982914967002</v>
      </c>
      <c r="H2" s="35">
        <f>(I2+J2+L2)*Foglio1!$A$1</f>
        <v>13183.204005991785</v>
      </c>
      <c r="I2" s="26">
        <f>IF(F2=$AC$9,$AG$9,IF(E2=$AC$10,$AG$10,IF(E2=$AC$11,$AG$11,IF(E2=$AC$8,$AG$8,"CALCOLARE"))))</f>
        <v>3205</v>
      </c>
      <c r="J2" s="4">
        <f t="shared" ref="J2:J41" si="1">IF(F2=$AC$21,R2*$AG$21,IF(F2=$AC$22,R2*$AG$22,IF(F2=$AC$23,R2*$AG$23,IF(F2=$AC$20,R2*$AG$20,"CALCOLARE"))))</f>
        <v>690</v>
      </c>
      <c r="K2" s="14"/>
      <c r="L2" s="9">
        <f t="shared" ref="L2:L41" si="2">M2*$AE$14</f>
        <v>6253.7328760521832</v>
      </c>
      <c r="M2" s="8">
        <f t="shared" ref="M2:M41" si="3">O2*Q2</f>
        <v>50.029863008417465</v>
      </c>
      <c r="N2" s="1">
        <f t="shared" ref="N2:N41" si="4">F2/1000</f>
        <v>2.4500000000000002</v>
      </c>
      <c r="O2" s="8">
        <f t="shared" ref="O2:O41" si="5">(N2)*PI()</f>
        <v>7.696902001294994</v>
      </c>
      <c r="P2" s="1">
        <f t="shared" ref="P2:P41" si="6">E2/1000</f>
        <v>6.3</v>
      </c>
      <c r="Q2" s="1">
        <f t="shared" ref="Q2:Q41" si="7">ROUNDUP(P2,1)+0.2</f>
        <v>6.5</v>
      </c>
      <c r="R2" s="1">
        <f t="shared" ref="R2:R41" si="8">ROUNDUP(P2/$AG$19,0)</f>
        <v>3</v>
      </c>
      <c r="U2" s="41" t="s">
        <v>0</v>
      </c>
      <c r="V2" s="21"/>
      <c r="X2" s="1" t="s">
        <v>143</v>
      </c>
      <c r="Z2" s="1">
        <v>200</v>
      </c>
      <c r="AB2" s="1" t="s">
        <v>72</v>
      </c>
      <c r="AC2" s="1">
        <v>2200</v>
      </c>
      <c r="AE2" s="8">
        <f>AC2/1000*PI()</f>
        <v>6.9115038378975457</v>
      </c>
    </row>
    <row r="3" spans="1:34" ht="24" customHeight="1" thickBot="1" x14ac:dyDescent="0.25">
      <c r="A3" s="24" t="s">
        <v>125</v>
      </c>
      <c r="B3" s="32" t="s">
        <v>124</v>
      </c>
      <c r="C3" s="33">
        <v>27521</v>
      </c>
      <c r="D3" s="36">
        <v>27000</v>
      </c>
      <c r="E3" s="36">
        <v>7800</v>
      </c>
      <c r="F3" s="36">
        <v>2450</v>
      </c>
      <c r="G3" s="34">
        <f t="shared" si="0"/>
        <v>0.54714148103928628</v>
      </c>
      <c r="H3" s="35">
        <f>(I3+J3+L3)*Foglio1!$A$1</f>
        <v>15057.880699682199</v>
      </c>
      <c r="I3" s="26">
        <f>IF(F3=$AC$9,$AG$9,IF(E3=$AC$10,$AG$10,IF(E3=$AC$11,$AG$11,IF(E3=$AC$8,$AG$8,"CALCOLARE"))))</f>
        <v>3205</v>
      </c>
      <c r="J3" s="4">
        <f t="shared" si="1"/>
        <v>690</v>
      </c>
      <c r="K3" s="3"/>
      <c r="L3" s="9">
        <f t="shared" si="2"/>
        <v>7696.9020012949941</v>
      </c>
      <c r="M3" s="8">
        <f t="shared" si="3"/>
        <v>61.575216010359952</v>
      </c>
      <c r="N3" s="1">
        <f t="shared" si="4"/>
        <v>2.4500000000000002</v>
      </c>
      <c r="O3" s="8">
        <f t="shared" si="5"/>
        <v>7.696902001294994</v>
      </c>
      <c r="P3" s="1">
        <f t="shared" si="6"/>
        <v>7.8</v>
      </c>
      <c r="Q3" s="1">
        <f t="shared" si="7"/>
        <v>8</v>
      </c>
      <c r="R3" s="1">
        <f t="shared" si="8"/>
        <v>3</v>
      </c>
      <c r="X3" s="1" t="s">
        <v>66</v>
      </c>
      <c r="Z3" s="1">
        <f>IF(V4=0,0,V4+Z2)</f>
        <v>0</v>
      </c>
      <c r="AC3" s="1">
        <v>2450</v>
      </c>
      <c r="AE3" s="8">
        <f>AC3/1000*PI()</f>
        <v>7.696902001294994</v>
      </c>
    </row>
    <row r="4" spans="1:34" ht="24" customHeight="1" thickBot="1" x14ac:dyDescent="0.4">
      <c r="A4" s="24" t="s">
        <v>123</v>
      </c>
      <c r="B4" s="32" t="s">
        <v>122</v>
      </c>
      <c r="C4" s="33">
        <v>30024</v>
      </c>
      <c r="D4" s="36">
        <v>28000</v>
      </c>
      <c r="E4" s="36">
        <v>6300</v>
      </c>
      <c r="F4" s="36">
        <v>2950</v>
      </c>
      <c r="G4" s="34">
        <f t="shared" si="0"/>
        <v>0.55206655855826581</v>
      </c>
      <c r="H4" s="35">
        <f>(I4+J4+L4)*Foglio1!$A$1</f>
        <v>16575.246354153373</v>
      </c>
      <c r="I4" s="26">
        <f t="shared" ref="I4:I41" si="9">IF(F4=$AC$9,$AG$9,IF(F4=$AC$10,$AG$10,IF(F4=$AC$11,$AG$11,IF(F4=$AC$8,$AG$8,"CALCOLARE"))))</f>
        <v>4465</v>
      </c>
      <c r="J4" s="4">
        <f t="shared" si="1"/>
        <v>765</v>
      </c>
      <c r="K4" s="3"/>
      <c r="L4" s="9">
        <f t="shared" si="2"/>
        <v>7530.0048915730358</v>
      </c>
      <c r="M4" s="8">
        <f t="shared" si="3"/>
        <v>60.240039132584286</v>
      </c>
      <c r="N4" s="1">
        <f t="shared" si="4"/>
        <v>2.95</v>
      </c>
      <c r="O4" s="8">
        <f t="shared" si="5"/>
        <v>9.2676983280898906</v>
      </c>
      <c r="P4" s="1">
        <f t="shared" si="6"/>
        <v>6.3</v>
      </c>
      <c r="Q4" s="1">
        <f t="shared" si="7"/>
        <v>6.5</v>
      </c>
      <c r="R4" s="1">
        <f t="shared" si="8"/>
        <v>3</v>
      </c>
      <c r="U4" s="41" t="s">
        <v>69</v>
      </c>
      <c r="V4" s="22"/>
      <c r="X4" s="1" t="s">
        <v>63</v>
      </c>
      <c r="Z4" s="12" t="e">
        <f>Z1*Z3/1000</f>
        <v>#N/A</v>
      </c>
      <c r="AC4" s="1">
        <v>2950</v>
      </c>
      <c r="AE4" s="8">
        <f>AC4/1000*PI()</f>
        <v>9.2676983280898906</v>
      </c>
    </row>
    <row r="5" spans="1:34" ht="24" customHeight="1" thickBot="1" x14ac:dyDescent="0.25">
      <c r="A5" s="24" t="s">
        <v>121</v>
      </c>
      <c r="B5" s="32" t="s">
        <v>120</v>
      </c>
      <c r="C5" s="33">
        <v>29640</v>
      </c>
      <c r="D5" s="36">
        <v>34000</v>
      </c>
      <c r="E5" s="36">
        <v>9300</v>
      </c>
      <c r="F5" s="36">
        <v>2450</v>
      </c>
      <c r="G5" s="34">
        <f t="shared" si="0"/>
        <v>0.58135382568733496</v>
      </c>
      <c r="H5" s="35">
        <f>(I5+J5+L5)*Foglio1!$A$1</f>
        <v>17231.327393372609</v>
      </c>
      <c r="I5" s="26">
        <f t="shared" si="9"/>
        <v>3205</v>
      </c>
      <c r="J5" s="4">
        <f t="shared" si="1"/>
        <v>920</v>
      </c>
      <c r="K5" s="3"/>
      <c r="L5" s="9">
        <f t="shared" si="2"/>
        <v>9140.071126537805</v>
      </c>
      <c r="M5" s="8">
        <f t="shared" si="3"/>
        <v>73.12056901230244</v>
      </c>
      <c r="N5" s="1">
        <f t="shared" si="4"/>
        <v>2.4500000000000002</v>
      </c>
      <c r="O5" s="8">
        <f t="shared" si="5"/>
        <v>7.696902001294994</v>
      </c>
      <c r="P5" s="1">
        <f t="shared" si="6"/>
        <v>9.3000000000000007</v>
      </c>
      <c r="Q5" s="1">
        <f t="shared" si="7"/>
        <v>9.5</v>
      </c>
      <c r="R5" s="1">
        <f t="shared" si="8"/>
        <v>4</v>
      </c>
      <c r="X5" s="1" t="s">
        <v>60</v>
      </c>
      <c r="Z5" s="11">
        <f>AE14</f>
        <v>125</v>
      </c>
      <c r="AC5" s="1">
        <v>3450</v>
      </c>
      <c r="AE5" s="8">
        <f>AC5/1000*PI()</f>
        <v>10.838494654884787</v>
      </c>
    </row>
    <row r="6" spans="1:34" ht="24" customHeight="1" thickBot="1" x14ac:dyDescent="0.4">
      <c r="A6" s="24" t="s">
        <v>119</v>
      </c>
      <c r="B6" s="32" t="s">
        <v>118</v>
      </c>
      <c r="C6" s="33">
        <v>32602</v>
      </c>
      <c r="D6" s="36">
        <v>38000</v>
      </c>
      <c r="E6" s="36">
        <v>7800</v>
      </c>
      <c r="F6" s="36">
        <v>2950</v>
      </c>
      <c r="G6" s="34">
        <f t="shared" si="0"/>
        <v>0.57764892117627042</v>
      </c>
      <c r="H6" s="35">
        <f>(I6+J6+L6)*Foglio1!$A$1</f>
        <v>18832.510128188769</v>
      </c>
      <c r="I6" s="26">
        <f t="shared" si="9"/>
        <v>4465</v>
      </c>
      <c r="J6" s="4">
        <f t="shared" si="1"/>
        <v>765</v>
      </c>
      <c r="K6" s="3"/>
      <c r="L6" s="9">
        <f t="shared" si="2"/>
        <v>9267.6983280898912</v>
      </c>
      <c r="M6" s="8">
        <f t="shared" si="3"/>
        <v>74.141586624719125</v>
      </c>
      <c r="N6" s="1">
        <f t="shared" si="4"/>
        <v>2.95</v>
      </c>
      <c r="O6" s="8">
        <f t="shared" si="5"/>
        <v>9.2676983280898906</v>
      </c>
      <c r="P6" s="1">
        <f t="shared" si="6"/>
        <v>7.8</v>
      </c>
      <c r="Q6" s="1">
        <f t="shared" si="7"/>
        <v>8</v>
      </c>
      <c r="R6" s="1">
        <f t="shared" si="8"/>
        <v>3</v>
      </c>
      <c r="U6" s="41" t="s">
        <v>33</v>
      </c>
      <c r="V6" s="20" t="str">
        <f>IF(V2="","",(Z6+Z12+Z14)*Foglio1!A1)</f>
        <v/>
      </c>
      <c r="X6" s="1" t="s">
        <v>57</v>
      </c>
      <c r="Z6" s="10" t="e">
        <f>(Z5*Z4)*AA1</f>
        <v>#N/A</v>
      </c>
    </row>
    <row r="7" spans="1:34" ht="24" customHeight="1" x14ac:dyDescent="0.2">
      <c r="A7" s="24" t="s">
        <v>117</v>
      </c>
      <c r="B7" s="32" t="s">
        <v>116</v>
      </c>
      <c r="C7" s="33">
        <v>31759</v>
      </c>
      <c r="D7" s="36">
        <v>41000</v>
      </c>
      <c r="E7" s="36">
        <v>10800</v>
      </c>
      <c r="F7" s="36">
        <v>2450</v>
      </c>
      <c r="G7" s="34">
        <f t="shared" si="0"/>
        <v>0.60159337784763445</v>
      </c>
      <c r="H7" s="35">
        <f>(I7+J7+L7)*Foglio1!$A$1</f>
        <v>19106.004087063022</v>
      </c>
      <c r="I7" s="26">
        <f t="shared" si="9"/>
        <v>3205</v>
      </c>
      <c r="J7" s="4">
        <f t="shared" si="1"/>
        <v>920</v>
      </c>
      <c r="K7" s="3"/>
      <c r="L7" s="9">
        <f t="shared" si="2"/>
        <v>10583.240251780617</v>
      </c>
      <c r="M7" s="8">
        <f t="shared" si="3"/>
        <v>84.665922014244927</v>
      </c>
      <c r="N7" s="1">
        <f t="shared" si="4"/>
        <v>2.4500000000000002</v>
      </c>
      <c r="O7" s="8">
        <f t="shared" si="5"/>
        <v>7.696902001294994</v>
      </c>
      <c r="P7" s="1">
        <f t="shared" si="6"/>
        <v>10.8</v>
      </c>
      <c r="Q7" s="1">
        <f t="shared" si="7"/>
        <v>11</v>
      </c>
      <c r="R7" s="1">
        <f t="shared" si="8"/>
        <v>4</v>
      </c>
      <c r="AB7" s="1" t="s">
        <v>115</v>
      </c>
      <c r="AD7" s="1" t="s">
        <v>114</v>
      </c>
      <c r="AE7" s="1" t="s">
        <v>113</v>
      </c>
      <c r="AF7" s="1" t="s">
        <v>112</v>
      </c>
      <c r="AG7" s="1" t="s">
        <v>111</v>
      </c>
    </row>
    <row r="8" spans="1:34" ht="24" customHeight="1" x14ac:dyDescent="0.2">
      <c r="A8" s="24" t="s">
        <v>110</v>
      </c>
      <c r="B8" s="32" t="s">
        <v>109</v>
      </c>
      <c r="C8" s="33">
        <v>33878</v>
      </c>
      <c r="D8" s="36">
        <v>48000</v>
      </c>
      <c r="E8" s="36">
        <v>12300</v>
      </c>
      <c r="F8" s="36">
        <v>2450</v>
      </c>
      <c r="G8" s="34">
        <f t="shared" si="0"/>
        <v>0.62812004193734672</v>
      </c>
      <c r="H8" s="35">
        <f>(I8+J8+L8)*Foglio1!$A$1</f>
        <v>21279.450780753432</v>
      </c>
      <c r="I8" s="26">
        <f t="shared" si="9"/>
        <v>3205</v>
      </c>
      <c r="J8" s="4">
        <f t="shared" si="1"/>
        <v>1150</v>
      </c>
      <c r="K8" s="3"/>
      <c r="L8" s="9">
        <f t="shared" si="2"/>
        <v>12026.409377023429</v>
      </c>
      <c r="M8" s="8">
        <f t="shared" si="3"/>
        <v>96.211275016187429</v>
      </c>
      <c r="N8" s="1">
        <f t="shared" si="4"/>
        <v>2.4500000000000002</v>
      </c>
      <c r="O8" s="8">
        <f t="shared" si="5"/>
        <v>7.696902001294994</v>
      </c>
      <c r="P8" s="1">
        <f t="shared" si="6"/>
        <v>12.3</v>
      </c>
      <c r="Q8" s="1">
        <f t="shared" si="7"/>
        <v>12.5</v>
      </c>
      <c r="R8" s="1">
        <f t="shared" si="8"/>
        <v>5</v>
      </c>
      <c r="AB8" s="1" t="s">
        <v>0</v>
      </c>
      <c r="AC8" s="1">
        <f>AC2</f>
        <v>2200</v>
      </c>
      <c r="AG8" s="13">
        <f>ROUNDUP(AG9*AC8/AC11,0)</f>
        <v>2044</v>
      </c>
      <c r="AH8" s="1" t="s">
        <v>77</v>
      </c>
    </row>
    <row r="9" spans="1:34" ht="24" customHeight="1" x14ac:dyDescent="0.2">
      <c r="A9" s="24" t="s">
        <v>108</v>
      </c>
      <c r="B9" s="32" t="s">
        <v>107</v>
      </c>
      <c r="C9" s="33">
        <v>35194</v>
      </c>
      <c r="D9" s="36">
        <v>48000</v>
      </c>
      <c r="E9" s="36">
        <v>9300</v>
      </c>
      <c r="F9" s="36">
        <v>2950</v>
      </c>
      <c r="G9" s="34">
        <f t="shared" si="0"/>
        <v>0.60865542144184126</v>
      </c>
      <c r="H9" s="35">
        <f>(I9+J9+L9)*Foglio1!$A$1</f>
        <v>21421.018902224161</v>
      </c>
      <c r="I9" s="26">
        <f t="shared" si="9"/>
        <v>4465</v>
      </c>
      <c r="J9" s="4">
        <f t="shared" si="1"/>
        <v>1020</v>
      </c>
      <c r="K9" s="3"/>
      <c r="L9" s="9">
        <f t="shared" si="2"/>
        <v>11005.391764606746</v>
      </c>
      <c r="M9" s="8">
        <f t="shared" si="3"/>
        <v>88.043134116853963</v>
      </c>
      <c r="N9" s="1">
        <f t="shared" si="4"/>
        <v>2.95</v>
      </c>
      <c r="O9" s="8">
        <f t="shared" si="5"/>
        <v>9.2676983280898906</v>
      </c>
      <c r="P9" s="1">
        <f t="shared" si="6"/>
        <v>9.3000000000000007</v>
      </c>
      <c r="Q9" s="1">
        <f t="shared" si="7"/>
        <v>9.5</v>
      </c>
      <c r="R9" s="1">
        <f t="shared" si="8"/>
        <v>4</v>
      </c>
      <c r="X9" s="1" t="s">
        <v>50</v>
      </c>
      <c r="AB9" s="1" t="s">
        <v>0</v>
      </c>
      <c r="AC9" s="1">
        <f>AC3</f>
        <v>2450</v>
      </c>
      <c r="AD9" s="11">
        <v>560</v>
      </c>
      <c r="AE9" s="11">
        <v>505</v>
      </c>
      <c r="AF9" s="11">
        <v>2140</v>
      </c>
      <c r="AG9" s="11">
        <f>AF9+AE9+AD9</f>
        <v>3205</v>
      </c>
    </row>
    <row r="10" spans="1:34" ht="24" customHeight="1" x14ac:dyDescent="0.2">
      <c r="A10" s="24" t="s">
        <v>106</v>
      </c>
      <c r="B10" s="32" t="s">
        <v>105</v>
      </c>
      <c r="C10" s="33">
        <v>35698</v>
      </c>
      <c r="D10" s="36">
        <v>54000</v>
      </c>
      <c r="E10" s="36">
        <v>13500</v>
      </c>
      <c r="F10" s="36">
        <v>2450</v>
      </c>
      <c r="G10" s="34">
        <f t="shared" si="0"/>
        <v>0.63810835721064929</v>
      </c>
      <c r="H10" s="35">
        <f>(I10+J10+L10)*Foglio1!$A$1</f>
        <v>22779.192135705758</v>
      </c>
      <c r="I10" s="26">
        <f t="shared" si="9"/>
        <v>3205</v>
      </c>
      <c r="J10" s="4">
        <f t="shared" si="1"/>
        <v>1150</v>
      </c>
      <c r="K10" s="3"/>
      <c r="L10" s="9">
        <f t="shared" si="2"/>
        <v>13180.944677217676</v>
      </c>
      <c r="M10" s="8">
        <f t="shared" si="3"/>
        <v>105.44755741774141</v>
      </c>
      <c r="N10" s="1">
        <f t="shared" si="4"/>
        <v>2.4500000000000002</v>
      </c>
      <c r="O10" s="8">
        <f t="shared" si="5"/>
        <v>7.696902001294994</v>
      </c>
      <c r="P10" s="1">
        <f t="shared" si="6"/>
        <v>13.5</v>
      </c>
      <c r="Q10" s="1">
        <f t="shared" si="7"/>
        <v>13.7</v>
      </c>
      <c r="R10" s="1">
        <f t="shared" si="8"/>
        <v>5</v>
      </c>
      <c r="X10" s="1" t="s">
        <v>144</v>
      </c>
      <c r="Z10" s="1" t="e">
        <f>VLOOKUP(V2,AC20:AG23,5,0)</f>
        <v>#N/A</v>
      </c>
      <c r="AB10" s="1" t="s">
        <v>0</v>
      </c>
      <c r="AC10" s="1">
        <f>AC4</f>
        <v>2950</v>
      </c>
      <c r="AD10" s="11">
        <v>830</v>
      </c>
      <c r="AE10" s="11">
        <v>505</v>
      </c>
      <c r="AF10" s="11">
        <v>3130</v>
      </c>
      <c r="AG10" s="11">
        <f>AF10+AE10+AD10</f>
        <v>4465</v>
      </c>
    </row>
    <row r="11" spans="1:34" ht="24" customHeight="1" thickBot="1" x14ac:dyDescent="0.25">
      <c r="A11" s="24" t="s">
        <v>104</v>
      </c>
      <c r="B11" s="32" t="s">
        <v>103</v>
      </c>
      <c r="C11" s="33">
        <v>37773</v>
      </c>
      <c r="D11" s="36">
        <v>59000</v>
      </c>
      <c r="E11" s="36">
        <v>10800</v>
      </c>
      <c r="F11" s="36">
        <v>2950</v>
      </c>
      <c r="G11" s="34">
        <f t="shared" si="0"/>
        <v>0.62685734985994113</v>
      </c>
      <c r="H11" s="35">
        <f>(I11+J11+L11)*Foglio1!$A$1</f>
        <v>23678.282676259554</v>
      </c>
      <c r="I11" s="26">
        <f t="shared" si="9"/>
        <v>4465</v>
      </c>
      <c r="J11" s="4">
        <f t="shared" si="1"/>
        <v>1020</v>
      </c>
      <c r="K11" s="3"/>
      <c r="L11" s="9">
        <f t="shared" si="2"/>
        <v>12743.0852011236</v>
      </c>
      <c r="M11" s="8">
        <f t="shared" si="3"/>
        <v>101.9446816089888</v>
      </c>
      <c r="N11" s="1">
        <f t="shared" si="4"/>
        <v>2.95</v>
      </c>
      <c r="O11" s="8">
        <f t="shared" si="5"/>
        <v>9.2676983280898906</v>
      </c>
      <c r="P11" s="1">
        <f t="shared" si="6"/>
        <v>10.8</v>
      </c>
      <c r="Q11" s="1">
        <f t="shared" si="7"/>
        <v>11</v>
      </c>
      <c r="R11" s="1">
        <f t="shared" si="8"/>
        <v>4</v>
      </c>
      <c r="X11" s="1" t="s">
        <v>145</v>
      </c>
      <c r="Z11" s="1">
        <f>ROUNDUP(V4/1000/AG19,0)</f>
        <v>0</v>
      </c>
      <c r="AB11" s="1" t="s">
        <v>0</v>
      </c>
      <c r="AC11" s="1">
        <f>AC5</f>
        <v>3450</v>
      </c>
      <c r="AG11" s="13">
        <f>ROUNDUP(AG10*AC11/AC10,0)</f>
        <v>5222</v>
      </c>
      <c r="AH11" s="1" t="s">
        <v>77</v>
      </c>
    </row>
    <row r="12" spans="1:34" ht="24" customHeight="1" thickBot="1" x14ac:dyDescent="0.25">
      <c r="A12" s="24" t="s">
        <v>102</v>
      </c>
      <c r="B12" s="32" t="s">
        <v>101</v>
      </c>
      <c r="C12" s="33">
        <v>55650</v>
      </c>
      <c r="D12" s="36">
        <v>62000</v>
      </c>
      <c r="E12" s="36">
        <v>9400</v>
      </c>
      <c r="F12" s="36">
        <v>3450</v>
      </c>
      <c r="G12" s="34">
        <f t="shared" si="0"/>
        <v>0.45340570472658409</v>
      </c>
      <c r="H12" s="35">
        <f>(I12+J12+L12)*Foglio1!$A$1</f>
        <v>25232.027468034405</v>
      </c>
      <c r="I12" s="26">
        <f t="shared" si="9"/>
        <v>5222</v>
      </c>
      <c r="J12" s="4">
        <f t="shared" si="1"/>
        <v>1196</v>
      </c>
      <c r="K12" s="3"/>
      <c r="L12" s="9">
        <f t="shared" si="2"/>
        <v>13006.193585861745</v>
      </c>
      <c r="M12" s="8">
        <f t="shared" si="3"/>
        <v>104.04954868689396</v>
      </c>
      <c r="N12" s="1">
        <f t="shared" si="4"/>
        <v>3.45</v>
      </c>
      <c r="O12" s="8">
        <f t="shared" si="5"/>
        <v>10.838494654884787</v>
      </c>
      <c r="P12" s="1">
        <f t="shared" si="6"/>
        <v>9.4</v>
      </c>
      <c r="Q12" s="1">
        <f t="shared" si="7"/>
        <v>9.6</v>
      </c>
      <c r="R12" s="1">
        <f t="shared" si="8"/>
        <v>4</v>
      </c>
      <c r="X12" s="1" t="s">
        <v>43</v>
      </c>
      <c r="Z12" s="10" t="e">
        <f>(Z10*Z11)*AA1</f>
        <v>#N/A</v>
      </c>
    </row>
    <row r="13" spans="1:34" ht="24" customHeight="1" thickBot="1" x14ac:dyDescent="0.25">
      <c r="A13" s="24" t="s">
        <v>100</v>
      </c>
      <c r="B13" s="32" t="s">
        <v>99</v>
      </c>
      <c r="C13" s="33">
        <v>40351</v>
      </c>
      <c r="D13" s="36">
        <v>69000</v>
      </c>
      <c r="E13" s="36">
        <v>12300</v>
      </c>
      <c r="F13" s="36">
        <v>2950</v>
      </c>
      <c r="G13" s="34">
        <f t="shared" si="0"/>
        <v>0.65095763302755694</v>
      </c>
      <c r="H13" s="35">
        <f>(I13+J13+L13)*Foglio1!$A$1</f>
        <v>26266.79145029495</v>
      </c>
      <c r="I13" s="26">
        <f t="shared" si="9"/>
        <v>4465</v>
      </c>
      <c r="J13" s="4">
        <f t="shared" si="1"/>
        <v>1275</v>
      </c>
      <c r="K13" s="3"/>
      <c r="L13" s="9">
        <f t="shared" si="2"/>
        <v>14480.778637640453</v>
      </c>
      <c r="M13" s="8">
        <f t="shared" si="3"/>
        <v>115.84622910112363</v>
      </c>
      <c r="N13" s="1">
        <f t="shared" si="4"/>
        <v>2.95</v>
      </c>
      <c r="O13" s="8">
        <f t="shared" si="5"/>
        <v>9.2676983280898906</v>
      </c>
      <c r="P13" s="1">
        <f t="shared" si="6"/>
        <v>12.3</v>
      </c>
      <c r="Q13" s="1">
        <f t="shared" si="7"/>
        <v>12.5</v>
      </c>
      <c r="R13" s="1">
        <f t="shared" si="8"/>
        <v>5</v>
      </c>
    </row>
    <row r="14" spans="1:34" ht="24" customHeight="1" thickBot="1" x14ac:dyDescent="0.25">
      <c r="A14" s="24" t="s">
        <v>98</v>
      </c>
      <c r="B14" s="32" t="s">
        <v>97</v>
      </c>
      <c r="C14" s="33">
        <v>58780</v>
      </c>
      <c r="D14" s="36">
        <v>76000</v>
      </c>
      <c r="E14" s="36">
        <v>10900</v>
      </c>
      <c r="F14" s="36">
        <v>3450</v>
      </c>
      <c r="G14" s="34">
        <f t="shared" si="0"/>
        <v>0.47417281936738315</v>
      </c>
      <c r="H14" s="35">
        <f>(I14+J14+L14)*Foglio1!$A$1</f>
        <v>27871.878322414781</v>
      </c>
      <c r="I14" s="26">
        <f t="shared" si="9"/>
        <v>5222</v>
      </c>
      <c r="J14" s="4">
        <f t="shared" si="1"/>
        <v>1196</v>
      </c>
      <c r="K14" s="3"/>
      <c r="L14" s="9">
        <f t="shared" si="2"/>
        <v>15038.411333652641</v>
      </c>
      <c r="M14" s="8">
        <f t="shared" si="3"/>
        <v>120.30729066922113</v>
      </c>
      <c r="N14" s="1">
        <f t="shared" si="4"/>
        <v>3.45</v>
      </c>
      <c r="O14" s="8">
        <f t="shared" si="5"/>
        <v>10.838494654884787</v>
      </c>
      <c r="P14" s="1">
        <f t="shared" si="6"/>
        <v>10.9</v>
      </c>
      <c r="Q14" s="1">
        <f t="shared" si="7"/>
        <v>11.1</v>
      </c>
      <c r="R14" s="1">
        <f t="shared" si="8"/>
        <v>4</v>
      </c>
      <c r="X14" s="1" t="s">
        <v>38</v>
      </c>
      <c r="Z14" s="10" t="e">
        <f>(VLOOKUP(V2,AC8:AG11,5,0))*AA1</f>
        <v>#N/A</v>
      </c>
      <c r="AB14" s="1" t="s">
        <v>96</v>
      </c>
      <c r="AE14" s="11">
        <v>125</v>
      </c>
      <c r="AG14" s="11"/>
    </row>
    <row r="15" spans="1:34" ht="24" customHeight="1" x14ac:dyDescent="0.2">
      <c r="A15" s="24" t="s">
        <v>95</v>
      </c>
      <c r="B15" s="32" t="s">
        <v>94</v>
      </c>
      <c r="C15" s="33">
        <v>42822</v>
      </c>
      <c r="D15" s="36">
        <v>77000</v>
      </c>
      <c r="E15" s="36">
        <v>13500</v>
      </c>
      <c r="F15" s="36">
        <v>2950</v>
      </c>
      <c r="G15" s="34">
        <f t="shared" si="0"/>
        <v>0.65556495421800154</v>
      </c>
      <c r="H15" s="35">
        <f>(I15+J15+L15)*Foglio1!$A$1</f>
        <v>28072.602469523263</v>
      </c>
      <c r="I15" s="26">
        <f t="shared" si="9"/>
        <v>4465</v>
      </c>
      <c r="J15" s="4">
        <f t="shared" si="1"/>
        <v>1275</v>
      </c>
      <c r="K15" s="3"/>
      <c r="L15" s="9">
        <f t="shared" si="2"/>
        <v>15870.933386853936</v>
      </c>
      <c r="M15" s="8">
        <f t="shared" si="3"/>
        <v>126.96746709483149</v>
      </c>
      <c r="N15" s="1">
        <f t="shared" si="4"/>
        <v>2.95</v>
      </c>
      <c r="O15" s="8">
        <f t="shared" si="5"/>
        <v>9.2676983280898906</v>
      </c>
      <c r="P15" s="1">
        <f t="shared" si="6"/>
        <v>13.5</v>
      </c>
      <c r="Q15" s="1">
        <f t="shared" si="7"/>
        <v>13.7</v>
      </c>
      <c r="R15" s="1">
        <f t="shared" si="8"/>
        <v>5</v>
      </c>
      <c r="AG15" s="11"/>
    </row>
    <row r="16" spans="1:34" ht="24" customHeight="1" x14ac:dyDescent="0.2">
      <c r="A16" s="24" t="s">
        <v>93</v>
      </c>
      <c r="B16" s="32" t="s">
        <v>92</v>
      </c>
      <c r="C16" s="33">
        <v>61849</v>
      </c>
      <c r="D16" s="36">
        <v>90000</v>
      </c>
      <c r="E16" s="36">
        <v>12400</v>
      </c>
      <c r="F16" s="36">
        <v>3450</v>
      </c>
      <c r="G16" s="34">
        <f t="shared" si="0"/>
        <v>0.49960597870289181</v>
      </c>
      <c r="H16" s="35">
        <f>(I16+J16+L16)*Foglio1!$A$1</f>
        <v>30900.130176795155</v>
      </c>
      <c r="I16" s="26">
        <f t="shared" si="9"/>
        <v>5222</v>
      </c>
      <c r="J16" s="4">
        <f t="shared" si="1"/>
        <v>1495</v>
      </c>
      <c r="K16" s="3"/>
      <c r="L16" s="9">
        <f t="shared" si="2"/>
        <v>17070.629081443538</v>
      </c>
      <c r="M16" s="8">
        <f t="shared" si="3"/>
        <v>136.56503265154831</v>
      </c>
      <c r="N16" s="1">
        <f t="shared" si="4"/>
        <v>3.45</v>
      </c>
      <c r="O16" s="8">
        <f t="shared" si="5"/>
        <v>10.838494654884787</v>
      </c>
      <c r="P16" s="1">
        <f t="shared" si="6"/>
        <v>12.4</v>
      </c>
      <c r="Q16" s="1">
        <f t="shared" si="7"/>
        <v>12.6</v>
      </c>
      <c r="R16" s="1">
        <f t="shared" si="8"/>
        <v>5</v>
      </c>
      <c r="AG16" s="11"/>
    </row>
    <row r="17" spans="1:34" ht="24" customHeight="1" x14ac:dyDescent="0.2">
      <c r="A17" s="24" t="s">
        <v>91</v>
      </c>
      <c r="B17" s="32" t="s">
        <v>90</v>
      </c>
      <c r="C17" s="33">
        <v>57213</v>
      </c>
      <c r="D17" s="36">
        <v>100000</v>
      </c>
      <c r="E17" s="36">
        <v>16500</v>
      </c>
      <c r="F17" s="36">
        <v>2950</v>
      </c>
      <c r="G17" s="34">
        <f t="shared" si="0"/>
        <v>0.57536530189981383</v>
      </c>
      <c r="H17" s="35">
        <f>(I17+J17+L17)*Foglio1!$A$1</f>
        <v>32918.375017594051</v>
      </c>
      <c r="I17" s="26">
        <f t="shared" si="9"/>
        <v>4465</v>
      </c>
      <c r="J17" s="4">
        <f t="shared" si="1"/>
        <v>1530</v>
      </c>
      <c r="K17" s="3"/>
      <c r="L17" s="9">
        <f t="shared" si="2"/>
        <v>19346.320259887645</v>
      </c>
      <c r="M17" s="8">
        <f t="shared" si="3"/>
        <v>154.77056207910115</v>
      </c>
      <c r="N17" s="1">
        <f t="shared" si="4"/>
        <v>2.95</v>
      </c>
      <c r="O17" s="8">
        <f t="shared" si="5"/>
        <v>9.2676983280898906</v>
      </c>
      <c r="P17" s="1">
        <f t="shared" si="6"/>
        <v>16.5</v>
      </c>
      <c r="Q17" s="1">
        <f t="shared" si="7"/>
        <v>16.7</v>
      </c>
      <c r="R17" s="1">
        <f t="shared" si="8"/>
        <v>6</v>
      </c>
      <c r="AG17" s="11"/>
    </row>
    <row r="18" spans="1:34" ht="24" customHeight="1" x14ac:dyDescent="0.2">
      <c r="A18" s="24" t="s">
        <v>89</v>
      </c>
      <c r="B18" s="32" t="s">
        <v>88</v>
      </c>
      <c r="C18" s="33">
        <v>65920</v>
      </c>
      <c r="D18" s="36">
        <v>104000</v>
      </c>
      <c r="E18" s="36">
        <v>13900</v>
      </c>
      <c r="F18" s="36">
        <v>3450</v>
      </c>
      <c r="G18" s="34">
        <f t="shared" si="0"/>
        <v>0.50879825593409478</v>
      </c>
      <c r="H18" s="35">
        <f>(I18+J18+L18)*Foglio1!$A$1</f>
        <v>33539.981031175528</v>
      </c>
      <c r="I18" s="26">
        <f t="shared" si="9"/>
        <v>5222</v>
      </c>
      <c r="J18" s="4">
        <f t="shared" si="1"/>
        <v>1495</v>
      </c>
      <c r="K18" s="3"/>
      <c r="L18" s="9">
        <f t="shared" si="2"/>
        <v>19102.846829234437</v>
      </c>
      <c r="M18" s="8">
        <f t="shared" si="3"/>
        <v>152.8227746338755</v>
      </c>
      <c r="N18" s="1">
        <f t="shared" si="4"/>
        <v>3.45</v>
      </c>
      <c r="O18" s="8">
        <f t="shared" si="5"/>
        <v>10.838494654884787</v>
      </c>
      <c r="P18" s="1">
        <f t="shared" si="6"/>
        <v>13.9</v>
      </c>
      <c r="Q18" s="1">
        <f t="shared" si="7"/>
        <v>14.1</v>
      </c>
      <c r="R18" s="1">
        <f t="shared" si="8"/>
        <v>5</v>
      </c>
    </row>
    <row r="19" spans="1:34" ht="24" customHeight="1" x14ac:dyDescent="0.25">
      <c r="A19" s="24" t="s">
        <v>87</v>
      </c>
      <c r="B19" s="32" t="s">
        <v>86</v>
      </c>
      <c r="C19" s="33">
        <v>70039</v>
      </c>
      <c r="D19" s="36">
        <v>118000</v>
      </c>
      <c r="E19" s="36">
        <v>15400</v>
      </c>
      <c r="F19" s="36">
        <v>3450</v>
      </c>
      <c r="G19" s="34">
        <f t="shared" si="0"/>
        <v>0.5221124357223248</v>
      </c>
      <c r="H19" s="35">
        <f>(I19+J19+L19)*Foglio1!$A$1</f>
        <v>36568.23288555591</v>
      </c>
      <c r="I19" s="26">
        <f t="shared" si="9"/>
        <v>5222</v>
      </c>
      <c r="J19" s="4">
        <f t="shared" si="1"/>
        <v>1794</v>
      </c>
      <c r="K19" s="3"/>
      <c r="L19" s="9">
        <f t="shared" si="2"/>
        <v>21135.064577025336</v>
      </c>
      <c r="M19" s="8">
        <f t="shared" si="3"/>
        <v>169.08051661620269</v>
      </c>
      <c r="N19" s="1">
        <f t="shared" si="4"/>
        <v>3.45</v>
      </c>
      <c r="O19" s="8">
        <f t="shared" si="5"/>
        <v>10.838494654884787</v>
      </c>
      <c r="P19" s="1">
        <f t="shared" si="6"/>
        <v>15.4</v>
      </c>
      <c r="Q19" s="1">
        <f t="shared" si="7"/>
        <v>15.6</v>
      </c>
      <c r="R19" s="1">
        <f t="shared" si="8"/>
        <v>6</v>
      </c>
      <c r="AB19" s="37" t="s">
        <v>146</v>
      </c>
      <c r="AC19" s="38"/>
      <c r="AD19" s="38"/>
      <c r="AE19" s="38"/>
      <c r="AF19" s="38" t="s">
        <v>147</v>
      </c>
      <c r="AG19" s="39">
        <v>3</v>
      </c>
      <c r="AH19" s="38" t="s">
        <v>148</v>
      </c>
    </row>
    <row r="20" spans="1:34" ht="24" customHeight="1" x14ac:dyDescent="0.2">
      <c r="A20" s="24" t="s">
        <v>85</v>
      </c>
      <c r="B20" s="32" t="s">
        <v>84</v>
      </c>
      <c r="C20" s="33">
        <v>74218</v>
      </c>
      <c r="D20" s="36">
        <v>132000</v>
      </c>
      <c r="E20" s="36">
        <v>16900</v>
      </c>
      <c r="F20" s="36">
        <v>3450</v>
      </c>
      <c r="G20" s="34">
        <f t="shared" si="0"/>
        <v>0.52828267724724831</v>
      </c>
      <c r="H20" s="35">
        <f>(I20+J20+L20)*Foglio1!$A$1</f>
        <v>39208.083739936279</v>
      </c>
      <c r="I20" s="26">
        <f t="shared" si="9"/>
        <v>5222</v>
      </c>
      <c r="J20" s="4">
        <f t="shared" si="1"/>
        <v>1794</v>
      </c>
      <c r="K20" s="3"/>
      <c r="L20" s="9">
        <f t="shared" si="2"/>
        <v>23167.282324816231</v>
      </c>
      <c r="M20" s="8">
        <f t="shared" si="3"/>
        <v>185.33825859852985</v>
      </c>
      <c r="N20" s="1">
        <f t="shared" si="4"/>
        <v>3.45</v>
      </c>
      <c r="O20" s="8">
        <f t="shared" si="5"/>
        <v>10.838494654884787</v>
      </c>
      <c r="P20" s="1">
        <f t="shared" si="6"/>
        <v>16.899999999999999</v>
      </c>
      <c r="Q20" s="1">
        <f t="shared" si="7"/>
        <v>17.099999999999998</v>
      </c>
      <c r="R20" s="1">
        <f t="shared" si="8"/>
        <v>6</v>
      </c>
      <c r="AB20" s="1" t="s">
        <v>0</v>
      </c>
      <c r="AC20" s="1">
        <f>AC8</f>
        <v>2200</v>
      </c>
      <c r="AG20" s="13">
        <f>ROUNDUP(AG21*AC20/AC23,0)</f>
        <v>147</v>
      </c>
      <c r="AH20" s="1" t="s">
        <v>77</v>
      </c>
    </row>
    <row r="21" spans="1:34" ht="24" customHeight="1" x14ac:dyDescent="0.2">
      <c r="A21" s="24" t="s">
        <v>83</v>
      </c>
      <c r="B21" s="32" t="s">
        <v>82</v>
      </c>
      <c r="C21" s="33">
        <v>80377</v>
      </c>
      <c r="D21" s="36">
        <v>146000</v>
      </c>
      <c r="E21" s="36">
        <v>18400</v>
      </c>
      <c r="F21" s="36">
        <v>3450</v>
      </c>
      <c r="G21" s="34">
        <f t="shared" si="0"/>
        <v>0.52547788041749077</v>
      </c>
      <c r="H21" s="35">
        <f>(I21+J21+L21)*Foglio1!$A$1</f>
        <v>42236.335594316653</v>
      </c>
      <c r="I21" s="26">
        <f t="shared" si="9"/>
        <v>5222</v>
      </c>
      <c r="J21" s="4">
        <f t="shared" si="1"/>
        <v>2093</v>
      </c>
      <c r="K21" s="3"/>
      <c r="L21" s="9">
        <f t="shared" si="2"/>
        <v>25199.500072607127</v>
      </c>
      <c r="M21" s="8">
        <f t="shared" si="3"/>
        <v>201.59600058085701</v>
      </c>
      <c r="N21" s="1">
        <f t="shared" si="4"/>
        <v>3.45</v>
      </c>
      <c r="O21" s="8">
        <f t="shared" si="5"/>
        <v>10.838494654884787</v>
      </c>
      <c r="P21" s="1">
        <f t="shared" si="6"/>
        <v>18.399999999999999</v>
      </c>
      <c r="Q21" s="1">
        <f t="shared" si="7"/>
        <v>18.599999999999998</v>
      </c>
      <c r="R21" s="1">
        <f t="shared" si="8"/>
        <v>7</v>
      </c>
      <c r="AB21" s="1" t="s">
        <v>0</v>
      </c>
      <c r="AC21" s="1">
        <f>AC9</f>
        <v>2450</v>
      </c>
      <c r="AG21" s="11">
        <v>230</v>
      </c>
    </row>
    <row r="22" spans="1:34" ht="24" customHeight="1" x14ac:dyDescent="0.2">
      <c r="A22" s="24" t="s">
        <v>81</v>
      </c>
      <c r="B22" s="32" t="s">
        <v>80</v>
      </c>
      <c r="C22" s="33">
        <v>25402</v>
      </c>
      <c r="D22" s="36">
        <v>17200</v>
      </c>
      <c r="E22" s="36">
        <v>6300</v>
      </c>
      <c r="F22" s="36">
        <v>2450</v>
      </c>
      <c r="G22" s="34">
        <f t="shared" si="0"/>
        <v>0.518982914967002</v>
      </c>
      <c r="H22" s="35">
        <f>(I22+J22+L22)*Foglio1!$A$1</f>
        <v>13183.204005991785</v>
      </c>
      <c r="I22" s="26">
        <f t="shared" si="9"/>
        <v>3205</v>
      </c>
      <c r="J22" s="4">
        <f t="shared" si="1"/>
        <v>690</v>
      </c>
      <c r="K22" s="3"/>
      <c r="L22" s="9">
        <f t="shared" si="2"/>
        <v>6253.7328760521832</v>
      </c>
      <c r="M22" s="8">
        <f t="shared" si="3"/>
        <v>50.029863008417465</v>
      </c>
      <c r="N22" s="1">
        <f t="shared" si="4"/>
        <v>2.4500000000000002</v>
      </c>
      <c r="O22" s="8">
        <f t="shared" si="5"/>
        <v>7.696902001294994</v>
      </c>
      <c r="P22" s="1">
        <f t="shared" si="6"/>
        <v>6.3</v>
      </c>
      <c r="Q22" s="1">
        <f t="shared" si="7"/>
        <v>6.5</v>
      </c>
      <c r="R22" s="1">
        <f t="shared" si="8"/>
        <v>3</v>
      </c>
      <c r="AB22" s="1" t="s">
        <v>0</v>
      </c>
      <c r="AC22" s="1">
        <f>AC10</f>
        <v>2950</v>
      </c>
      <c r="AG22" s="11">
        <v>255</v>
      </c>
    </row>
    <row r="23" spans="1:34" ht="24" customHeight="1" x14ac:dyDescent="0.2">
      <c r="A23" s="24" t="s">
        <v>79</v>
      </c>
      <c r="B23" s="32" t="s">
        <v>78</v>
      </c>
      <c r="C23" s="33">
        <v>30024</v>
      </c>
      <c r="D23" s="36">
        <v>23900</v>
      </c>
      <c r="E23" s="36">
        <v>6300</v>
      </c>
      <c r="F23" s="36">
        <v>2950</v>
      </c>
      <c r="G23" s="34">
        <f t="shared" si="0"/>
        <v>0.55206655855826581</v>
      </c>
      <c r="H23" s="35">
        <f>(I23+J23+L23)*Foglio1!$A$1</f>
        <v>16575.246354153373</v>
      </c>
      <c r="I23" s="26">
        <f t="shared" si="9"/>
        <v>4465</v>
      </c>
      <c r="J23" s="4">
        <f t="shared" si="1"/>
        <v>765</v>
      </c>
      <c r="K23" s="3"/>
      <c r="L23" s="9">
        <f t="shared" si="2"/>
        <v>7530.0048915730358</v>
      </c>
      <c r="M23" s="8">
        <f t="shared" si="3"/>
        <v>60.240039132584286</v>
      </c>
      <c r="N23" s="1">
        <f t="shared" si="4"/>
        <v>2.95</v>
      </c>
      <c r="O23" s="8">
        <f t="shared" si="5"/>
        <v>9.2676983280898906</v>
      </c>
      <c r="P23" s="1">
        <f t="shared" si="6"/>
        <v>6.3</v>
      </c>
      <c r="Q23" s="1">
        <f t="shared" si="7"/>
        <v>6.5</v>
      </c>
      <c r="R23" s="1">
        <f t="shared" si="8"/>
        <v>3</v>
      </c>
      <c r="AB23" s="1" t="s">
        <v>0</v>
      </c>
      <c r="AC23" s="1">
        <f>AC11</f>
        <v>3450</v>
      </c>
      <c r="AG23" s="13">
        <f>ROUNDUP(AG22*AC23/AC22,0)</f>
        <v>299</v>
      </c>
      <c r="AH23" s="1" t="s">
        <v>77</v>
      </c>
    </row>
    <row r="24" spans="1:34" ht="24" customHeight="1" x14ac:dyDescent="0.2">
      <c r="A24" s="24" t="s">
        <v>76</v>
      </c>
      <c r="B24" s="32" t="s">
        <v>75</v>
      </c>
      <c r="C24" s="33">
        <v>27521</v>
      </c>
      <c r="D24" s="36">
        <v>24200</v>
      </c>
      <c r="E24" s="36">
        <v>6300</v>
      </c>
      <c r="F24" s="36">
        <v>2450</v>
      </c>
      <c r="G24" s="34">
        <f t="shared" si="0"/>
        <v>0.47902343686609444</v>
      </c>
      <c r="H24" s="35">
        <f>(I24+J24+L24)*Foglio1!$A$1</f>
        <v>13183.204005991785</v>
      </c>
      <c r="I24" s="26">
        <f t="shared" si="9"/>
        <v>3205</v>
      </c>
      <c r="J24" s="4">
        <f t="shared" si="1"/>
        <v>690</v>
      </c>
      <c r="K24" s="3"/>
      <c r="L24" s="9">
        <f t="shared" si="2"/>
        <v>6253.7328760521832</v>
      </c>
      <c r="M24" s="8">
        <f t="shared" si="3"/>
        <v>50.029863008417465</v>
      </c>
      <c r="N24" s="1">
        <f t="shared" si="4"/>
        <v>2.4500000000000002</v>
      </c>
      <c r="O24" s="8">
        <f t="shared" si="5"/>
        <v>7.696902001294994</v>
      </c>
      <c r="P24" s="1">
        <f t="shared" si="6"/>
        <v>6.3</v>
      </c>
      <c r="Q24" s="1">
        <f t="shared" si="7"/>
        <v>6.5</v>
      </c>
      <c r="R24" s="1">
        <f t="shared" si="8"/>
        <v>3</v>
      </c>
    </row>
    <row r="25" spans="1:34" ht="24" customHeight="1" x14ac:dyDescent="0.2">
      <c r="A25" s="24" t="s">
        <v>74</v>
      </c>
      <c r="B25" s="32" t="s">
        <v>73</v>
      </c>
      <c r="C25" s="33">
        <v>29640</v>
      </c>
      <c r="D25" s="36">
        <v>31200</v>
      </c>
      <c r="E25" s="36">
        <v>9300</v>
      </c>
      <c r="F25" s="36">
        <v>2450</v>
      </c>
      <c r="G25" s="34">
        <f t="shared" si="0"/>
        <v>0.58135382568733496</v>
      </c>
      <c r="H25" s="35">
        <f>(I25+J25+L25)*Foglio1!$A$1</f>
        <v>17231.327393372609</v>
      </c>
      <c r="I25" s="26">
        <f t="shared" si="9"/>
        <v>3205</v>
      </c>
      <c r="J25" s="4">
        <f t="shared" si="1"/>
        <v>920</v>
      </c>
      <c r="K25" s="3"/>
      <c r="L25" s="9">
        <f t="shared" si="2"/>
        <v>9140.071126537805</v>
      </c>
      <c r="M25" s="8">
        <f t="shared" si="3"/>
        <v>73.12056901230244</v>
      </c>
      <c r="N25" s="1">
        <f t="shared" si="4"/>
        <v>2.4500000000000002</v>
      </c>
      <c r="O25" s="8">
        <f t="shared" si="5"/>
        <v>7.696902001294994</v>
      </c>
      <c r="P25" s="1">
        <f t="shared" si="6"/>
        <v>9.3000000000000007</v>
      </c>
      <c r="Q25" s="1">
        <f t="shared" si="7"/>
        <v>9.5</v>
      </c>
      <c r="R25" s="1">
        <f t="shared" si="8"/>
        <v>4</v>
      </c>
    </row>
    <row r="26" spans="1:34" ht="24" customHeight="1" x14ac:dyDescent="0.2">
      <c r="A26" s="24" t="s">
        <v>71</v>
      </c>
      <c r="B26" s="32" t="s">
        <v>70</v>
      </c>
      <c r="C26" s="33">
        <v>32602</v>
      </c>
      <c r="D26" s="36">
        <v>33900</v>
      </c>
      <c r="E26" s="36">
        <v>7800</v>
      </c>
      <c r="F26" s="36">
        <v>2950</v>
      </c>
      <c r="G26" s="34">
        <f t="shared" si="0"/>
        <v>0.57764892117627042</v>
      </c>
      <c r="H26" s="35">
        <f>(I26+J26+L26)*Foglio1!$A$1</f>
        <v>18832.510128188769</v>
      </c>
      <c r="I26" s="26">
        <f t="shared" si="9"/>
        <v>4465</v>
      </c>
      <c r="J26" s="4">
        <f t="shared" si="1"/>
        <v>765</v>
      </c>
      <c r="K26" s="3"/>
      <c r="L26" s="9">
        <f t="shared" si="2"/>
        <v>9267.6983280898912</v>
      </c>
      <c r="M26" s="8">
        <f t="shared" si="3"/>
        <v>74.141586624719125</v>
      </c>
      <c r="N26" s="1">
        <f t="shared" si="4"/>
        <v>2.95</v>
      </c>
      <c r="O26" s="8">
        <f t="shared" si="5"/>
        <v>9.2676983280898906</v>
      </c>
      <c r="P26" s="1">
        <f t="shared" si="6"/>
        <v>7.8</v>
      </c>
      <c r="Q26" s="1">
        <f t="shared" si="7"/>
        <v>8</v>
      </c>
      <c r="R26" s="1">
        <f t="shared" si="8"/>
        <v>3</v>
      </c>
    </row>
    <row r="27" spans="1:34" ht="24" customHeight="1" x14ac:dyDescent="0.2">
      <c r="A27" s="24" t="s">
        <v>68</v>
      </c>
      <c r="B27" s="32" t="s">
        <v>67</v>
      </c>
      <c r="C27" s="33">
        <v>31759</v>
      </c>
      <c r="D27" s="36">
        <v>38200</v>
      </c>
      <c r="E27" s="36">
        <v>10800</v>
      </c>
      <c r="F27" s="36">
        <v>2450</v>
      </c>
      <c r="G27" s="34">
        <f t="shared" si="0"/>
        <v>0.60159337784763445</v>
      </c>
      <c r="H27" s="35">
        <f>(I27+J27+L27)*Foglio1!$A$1</f>
        <v>19106.004087063022</v>
      </c>
      <c r="I27" s="26">
        <f t="shared" si="9"/>
        <v>3205</v>
      </c>
      <c r="J27" s="4">
        <f t="shared" si="1"/>
        <v>920</v>
      </c>
      <c r="K27" s="3"/>
      <c r="L27" s="9">
        <f t="shared" si="2"/>
        <v>10583.240251780617</v>
      </c>
      <c r="M27" s="8">
        <f t="shared" si="3"/>
        <v>84.665922014244927</v>
      </c>
      <c r="N27" s="1">
        <f t="shared" si="4"/>
        <v>2.4500000000000002</v>
      </c>
      <c r="O27" s="8">
        <f t="shared" si="5"/>
        <v>7.696902001294994</v>
      </c>
      <c r="P27" s="1">
        <f t="shared" si="6"/>
        <v>10.8</v>
      </c>
      <c r="Q27" s="1">
        <f t="shared" si="7"/>
        <v>11</v>
      </c>
      <c r="R27" s="1">
        <f t="shared" si="8"/>
        <v>4</v>
      </c>
    </row>
    <row r="28" spans="1:34" ht="24" customHeight="1" x14ac:dyDescent="0.2">
      <c r="A28" s="24" t="s">
        <v>65</v>
      </c>
      <c r="B28" s="32" t="s">
        <v>64</v>
      </c>
      <c r="C28" s="33">
        <v>35194</v>
      </c>
      <c r="D28" s="36">
        <v>43900</v>
      </c>
      <c r="E28" s="36">
        <v>9300</v>
      </c>
      <c r="F28" s="36">
        <v>2950</v>
      </c>
      <c r="G28" s="34">
        <f t="shared" si="0"/>
        <v>0.60865542144184126</v>
      </c>
      <c r="H28" s="35">
        <f>(I28+J28+L28)*Foglio1!$A$1</f>
        <v>21421.018902224161</v>
      </c>
      <c r="I28" s="26">
        <f t="shared" si="9"/>
        <v>4465</v>
      </c>
      <c r="J28" s="4">
        <f t="shared" si="1"/>
        <v>1020</v>
      </c>
      <c r="K28" s="3"/>
      <c r="L28" s="9">
        <f t="shared" si="2"/>
        <v>11005.391764606746</v>
      </c>
      <c r="M28" s="8">
        <f t="shared" si="3"/>
        <v>88.043134116853963</v>
      </c>
      <c r="N28" s="1">
        <f t="shared" si="4"/>
        <v>2.95</v>
      </c>
      <c r="O28" s="8">
        <f t="shared" si="5"/>
        <v>9.2676983280898906</v>
      </c>
      <c r="P28" s="1">
        <f t="shared" si="6"/>
        <v>9.3000000000000007</v>
      </c>
      <c r="Q28" s="1">
        <f t="shared" si="7"/>
        <v>9.5</v>
      </c>
      <c r="R28" s="1">
        <f t="shared" si="8"/>
        <v>4</v>
      </c>
    </row>
    <row r="29" spans="1:34" ht="24" customHeight="1" x14ac:dyDescent="0.2">
      <c r="A29" s="24" t="s">
        <v>62</v>
      </c>
      <c r="B29" s="32" t="s">
        <v>61</v>
      </c>
      <c r="C29" s="33">
        <v>33878</v>
      </c>
      <c r="D29" s="36">
        <v>45200</v>
      </c>
      <c r="E29" s="36">
        <v>12300</v>
      </c>
      <c r="F29" s="36">
        <v>2450</v>
      </c>
      <c r="G29" s="34">
        <f t="shared" si="0"/>
        <v>0.62812004193734672</v>
      </c>
      <c r="H29" s="35">
        <f>(I29+J29+L29)*Foglio1!$A$1</f>
        <v>21279.450780753432</v>
      </c>
      <c r="I29" s="26">
        <f t="shared" si="9"/>
        <v>3205</v>
      </c>
      <c r="J29" s="4">
        <f t="shared" si="1"/>
        <v>1150</v>
      </c>
      <c r="K29" s="3"/>
      <c r="L29" s="9">
        <f t="shared" si="2"/>
        <v>12026.409377023429</v>
      </c>
      <c r="M29" s="8">
        <f t="shared" si="3"/>
        <v>96.211275016187429</v>
      </c>
      <c r="N29" s="1">
        <f t="shared" si="4"/>
        <v>2.4500000000000002</v>
      </c>
      <c r="O29" s="8">
        <f t="shared" si="5"/>
        <v>7.696902001294994</v>
      </c>
      <c r="P29" s="1">
        <f t="shared" si="6"/>
        <v>12.3</v>
      </c>
      <c r="Q29" s="1">
        <f t="shared" si="7"/>
        <v>12.5</v>
      </c>
      <c r="R29" s="1">
        <f t="shared" si="8"/>
        <v>5</v>
      </c>
    </row>
    <row r="30" spans="1:34" ht="24" customHeight="1" x14ac:dyDescent="0.2">
      <c r="A30" s="24" t="s">
        <v>59</v>
      </c>
      <c r="B30" s="32" t="s">
        <v>58</v>
      </c>
      <c r="C30" s="33">
        <v>35698</v>
      </c>
      <c r="D30" s="36">
        <v>51200</v>
      </c>
      <c r="E30" s="36">
        <v>13500</v>
      </c>
      <c r="F30" s="36">
        <v>2450</v>
      </c>
      <c r="G30" s="34">
        <f t="shared" si="0"/>
        <v>0.63810835721064929</v>
      </c>
      <c r="H30" s="35">
        <f>(I30+J30+L30)*Foglio1!$A$1</f>
        <v>22779.192135705758</v>
      </c>
      <c r="I30" s="26">
        <f t="shared" si="9"/>
        <v>3205</v>
      </c>
      <c r="J30" s="4">
        <f t="shared" si="1"/>
        <v>1150</v>
      </c>
      <c r="K30" s="3"/>
      <c r="L30" s="9">
        <f t="shared" si="2"/>
        <v>13180.944677217676</v>
      </c>
      <c r="M30" s="8">
        <f t="shared" si="3"/>
        <v>105.44755741774141</v>
      </c>
      <c r="N30" s="1">
        <f t="shared" si="4"/>
        <v>2.4500000000000002</v>
      </c>
      <c r="O30" s="8">
        <f t="shared" si="5"/>
        <v>7.696902001294994</v>
      </c>
      <c r="P30" s="1">
        <f t="shared" si="6"/>
        <v>13.5</v>
      </c>
      <c r="Q30" s="1">
        <f t="shared" si="7"/>
        <v>13.7</v>
      </c>
      <c r="R30" s="1">
        <f t="shared" si="8"/>
        <v>5</v>
      </c>
    </row>
    <row r="31" spans="1:34" ht="24" customHeight="1" x14ac:dyDescent="0.2">
      <c r="A31" s="24" t="s">
        <v>56</v>
      </c>
      <c r="B31" s="32" t="s">
        <v>55</v>
      </c>
      <c r="C31" s="33">
        <v>37773</v>
      </c>
      <c r="D31" s="36">
        <v>54900</v>
      </c>
      <c r="E31" s="36">
        <v>10800</v>
      </c>
      <c r="F31" s="36">
        <v>2950</v>
      </c>
      <c r="G31" s="34">
        <f t="shared" si="0"/>
        <v>0.62685734985994113</v>
      </c>
      <c r="H31" s="35">
        <f>(I31+J31+L31)*Foglio1!$A$1</f>
        <v>23678.282676259554</v>
      </c>
      <c r="I31" s="26">
        <f t="shared" si="9"/>
        <v>4465</v>
      </c>
      <c r="J31" s="4">
        <f t="shared" si="1"/>
        <v>1020</v>
      </c>
      <c r="K31" s="3"/>
      <c r="L31" s="9">
        <f t="shared" si="2"/>
        <v>12743.0852011236</v>
      </c>
      <c r="M31" s="8">
        <f t="shared" si="3"/>
        <v>101.9446816089888</v>
      </c>
      <c r="N31" s="1">
        <f t="shared" si="4"/>
        <v>2.95</v>
      </c>
      <c r="O31" s="8">
        <f t="shared" si="5"/>
        <v>9.2676983280898906</v>
      </c>
      <c r="P31" s="1">
        <f t="shared" si="6"/>
        <v>10.8</v>
      </c>
      <c r="Q31" s="1">
        <f t="shared" si="7"/>
        <v>11</v>
      </c>
      <c r="R31" s="1">
        <f t="shared" si="8"/>
        <v>4</v>
      </c>
    </row>
    <row r="32" spans="1:34" ht="24" customHeight="1" x14ac:dyDescent="0.2">
      <c r="A32" s="24" t="s">
        <v>54</v>
      </c>
      <c r="B32" s="32" t="s">
        <v>53</v>
      </c>
      <c r="C32" s="33">
        <v>55650</v>
      </c>
      <c r="D32" s="36">
        <v>56400</v>
      </c>
      <c r="E32" s="36">
        <v>9400</v>
      </c>
      <c r="F32" s="36">
        <v>3450</v>
      </c>
      <c r="G32" s="34">
        <f t="shared" si="0"/>
        <v>0.45340570472658409</v>
      </c>
      <c r="H32" s="35">
        <f>(I32+J32+L32)*Foglio1!$A$1</f>
        <v>25232.027468034405</v>
      </c>
      <c r="I32" s="26">
        <f t="shared" si="9"/>
        <v>5222</v>
      </c>
      <c r="J32" s="4">
        <f t="shared" si="1"/>
        <v>1196</v>
      </c>
      <c r="K32" s="3"/>
      <c r="L32" s="9">
        <f t="shared" si="2"/>
        <v>13006.193585861745</v>
      </c>
      <c r="M32" s="8">
        <f t="shared" si="3"/>
        <v>104.04954868689396</v>
      </c>
      <c r="N32" s="1">
        <f t="shared" si="4"/>
        <v>3.45</v>
      </c>
      <c r="O32" s="8">
        <f t="shared" si="5"/>
        <v>10.838494654884787</v>
      </c>
      <c r="P32" s="1">
        <f t="shared" si="6"/>
        <v>9.4</v>
      </c>
      <c r="Q32" s="1">
        <f t="shared" si="7"/>
        <v>9.6</v>
      </c>
      <c r="R32" s="1">
        <f t="shared" si="8"/>
        <v>4</v>
      </c>
    </row>
    <row r="33" spans="1:18" ht="24" customHeight="1" x14ac:dyDescent="0.2">
      <c r="A33" s="24" t="s">
        <v>52</v>
      </c>
      <c r="B33" s="32" t="s">
        <v>51</v>
      </c>
      <c r="C33" s="33">
        <v>40351</v>
      </c>
      <c r="D33" s="36">
        <v>64900</v>
      </c>
      <c r="E33" s="36">
        <v>12300</v>
      </c>
      <c r="F33" s="36">
        <v>2950</v>
      </c>
      <c r="G33" s="34">
        <f t="shared" si="0"/>
        <v>0.65095763302755694</v>
      </c>
      <c r="H33" s="35">
        <f>(I33+J33+L33)*Foglio1!$A$1</f>
        <v>26266.79145029495</v>
      </c>
      <c r="I33" s="26">
        <f t="shared" si="9"/>
        <v>4465</v>
      </c>
      <c r="J33" s="4">
        <f t="shared" si="1"/>
        <v>1275</v>
      </c>
      <c r="K33" s="3"/>
      <c r="L33" s="9">
        <f t="shared" si="2"/>
        <v>14480.778637640453</v>
      </c>
      <c r="M33" s="8">
        <f t="shared" si="3"/>
        <v>115.84622910112363</v>
      </c>
      <c r="N33" s="1">
        <f t="shared" si="4"/>
        <v>2.95</v>
      </c>
      <c r="O33" s="8">
        <f t="shared" si="5"/>
        <v>9.2676983280898906</v>
      </c>
      <c r="P33" s="1">
        <f t="shared" si="6"/>
        <v>12.3</v>
      </c>
      <c r="Q33" s="1">
        <f t="shared" si="7"/>
        <v>12.5</v>
      </c>
      <c r="R33" s="1">
        <f t="shared" si="8"/>
        <v>5</v>
      </c>
    </row>
    <row r="34" spans="1:18" ht="24" customHeight="1" x14ac:dyDescent="0.2">
      <c r="A34" s="24" t="s">
        <v>49</v>
      </c>
      <c r="B34" s="32" t="s">
        <v>48</v>
      </c>
      <c r="C34" s="33">
        <v>58780</v>
      </c>
      <c r="D34" s="36">
        <v>70400</v>
      </c>
      <c r="E34" s="36">
        <v>10900</v>
      </c>
      <c r="F34" s="36">
        <v>3450</v>
      </c>
      <c r="G34" s="34">
        <f t="shared" si="0"/>
        <v>0.47417281936738315</v>
      </c>
      <c r="H34" s="35">
        <f>(I34+J34+L34)*Foglio1!$A$1</f>
        <v>27871.878322414781</v>
      </c>
      <c r="I34" s="26">
        <f t="shared" si="9"/>
        <v>5222</v>
      </c>
      <c r="J34" s="4">
        <f t="shared" si="1"/>
        <v>1196</v>
      </c>
      <c r="K34" s="3"/>
      <c r="L34" s="9">
        <f t="shared" si="2"/>
        <v>15038.411333652641</v>
      </c>
      <c r="M34" s="8">
        <f t="shared" si="3"/>
        <v>120.30729066922113</v>
      </c>
      <c r="N34" s="1">
        <f t="shared" si="4"/>
        <v>3.45</v>
      </c>
      <c r="O34" s="8">
        <f t="shared" si="5"/>
        <v>10.838494654884787</v>
      </c>
      <c r="P34" s="1">
        <f t="shared" si="6"/>
        <v>10.9</v>
      </c>
      <c r="Q34" s="1">
        <f t="shared" si="7"/>
        <v>11.1</v>
      </c>
      <c r="R34" s="1">
        <f t="shared" si="8"/>
        <v>4</v>
      </c>
    </row>
    <row r="35" spans="1:18" ht="24" customHeight="1" x14ac:dyDescent="0.2">
      <c r="A35" s="24" t="s">
        <v>47</v>
      </c>
      <c r="B35" s="32" t="s">
        <v>46</v>
      </c>
      <c r="C35" s="33">
        <v>42822</v>
      </c>
      <c r="D35" s="36">
        <v>72900</v>
      </c>
      <c r="E35" s="36">
        <v>13500</v>
      </c>
      <c r="F35" s="36">
        <v>2950</v>
      </c>
      <c r="G35" s="34">
        <f t="shared" si="0"/>
        <v>0.65556495421800154</v>
      </c>
      <c r="H35" s="35">
        <f>(I35+J35+L35)*Foglio1!$A$1</f>
        <v>28072.602469523263</v>
      </c>
      <c r="I35" s="26">
        <f t="shared" si="9"/>
        <v>4465</v>
      </c>
      <c r="J35" s="4">
        <f t="shared" si="1"/>
        <v>1275</v>
      </c>
      <c r="K35" s="3"/>
      <c r="L35" s="9">
        <f t="shared" si="2"/>
        <v>15870.933386853936</v>
      </c>
      <c r="M35" s="8">
        <f t="shared" si="3"/>
        <v>126.96746709483149</v>
      </c>
      <c r="N35" s="1">
        <f t="shared" si="4"/>
        <v>2.95</v>
      </c>
      <c r="O35" s="8">
        <f t="shared" si="5"/>
        <v>9.2676983280898906</v>
      </c>
      <c r="P35" s="1">
        <f t="shared" si="6"/>
        <v>13.5</v>
      </c>
      <c r="Q35" s="1">
        <f t="shared" si="7"/>
        <v>13.7</v>
      </c>
      <c r="R35" s="1">
        <f t="shared" si="8"/>
        <v>5</v>
      </c>
    </row>
    <row r="36" spans="1:18" ht="24" customHeight="1" x14ac:dyDescent="0.2">
      <c r="A36" s="24" t="s">
        <v>45</v>
      </c>
      <c r="B36" s="32" t="s">
        <v>44</v>
      </c>
      <c r="C36" s="33">
        <v>61849</v>
      </c>
      <c r="D36" s="36">
        <v>84400</v>
      </c>
      <c r="E36" s="36">
        <v>12400</v>
      </c>
      <c r="F36" s="36">
        <v>3450</v>
      </c>
      <c r="G36" s="34">
        <f t="shared" si="0"/>
        <v>0.49960597870289181</v>
      </c>
      <c r="H36" s="35">
        <f>(I36+J36+L36)*Foglio1!$A$1</f>
        <v>30900.130176795155</v>
      </c>
      <c r="I36" s="26">
        <f t="shared" si="9"/>
        <v>5222</v>
      </c>
      <c r="J36" s="4">
        <f t="shared" si="1"/>
        <v>1495</v>
      </c>
      <c r="K36" s="3"/>
      <c r="L36" s="9">
        <f t="shared" si="2"/>
        <v>17070.629081443538</v>
      </c>
      <c r="M36" s="8">
        <f t="shared" si="3"/>
        <v>136.56503265154831</v>
      </c>
      <c r="N36" s="1">
        <f t="shared" si="4"/>
        <v>3.45</v>
      </c>
      <c r="O36" s="8">
        <f t="shared" si="5"/>
        <v>10.838494654884787</v>
      </c>
      <c r="P36" s="1">
        <f t="shared" si="6"/>
        <v>12.4</v>
      </c>
      <c r="Q36" s="1">
        <f t="shared" si="7"/>
        <v>12.6</v>
      </c>
      <c r="R36" s="1">
        <f t="shared" si="8"/>
        <v>5</v>
      </c>
    </row>
    <row r="37" spans="1:18" ht="24" customHeight="1" x14ac:dyDescent="0.2">
      <c r="A37" s="24" t="s">
        <v>42</v>
      </c>
      <c r="B37" s="32" t="s">
        <v>41</v>
      </c>
      <c r="C37" s="33">
        <v>57213</v>
      </c>
      <c r="D37" s="36">
        <v>95900</v>
      </c>
      <c r="E37" s="36">
        <v>16500</v>
      </c>
      <c r="F37" s="36">
        <v>2950</v>
      </c>
      <c r="G37" s="34">
        <f t="shared" si="0"/>
        <v>0.57536530189981383</v>
      </c>
      <c r="H37" s="35">
        <f>(I37+J37+L37)*Foglio1!$A$1</f>
        <v>32918.375017594051</v>
      </c>
      <c r="I37" s="26">
        <f t="shared" si="9"/>
        <v>4465</v>
      </c>
      <c r="J37" s="4">
        <f t="shared" si="1"/>
        <v>1530</v>
      </c>
      <c r="K37" s="3"/>
      <c r="L37" s="9">
        <f t="shared" si="2"/>
        <v>19346.320259887645</v>
      </c>
      <c r="M37" s="8">
        <f t="shared" si="3"/>
        <v>154.77056207910115</v>
      </c>
      <c r="N37" s="1">
        <f t="shared" si="4"/>
        <v>2.95</v>
      </c>
      <c r="O37" s="8">
        <f t="shared" si="5"/>
        <v>9.2676983280898906</v>
      </c>
      <c r="P37" s="1">
        <f t="shared" si="6"/>
        <v>16.5</v>
      </c>
      <c r="Q37" s="1">
        <f t="shared" si="7"/>
        <v>16.7</v>
      </c>
      <c r="R37" s="1">
        <f t="shared" si="8"/>
        <v>6</v>
      </c>
    </row>
    <row r="38" spans="1:18" ht="24" customHeight="1" x14ac:dyDescent="0.2">
      <c r="A38" s="24" t="s">
        <v>40</v>
      </c>
      <c r="B38" s="32" t="s">
        <v>39</v>
      </c>
      <c r="C38" s="33">
        <v>65920</v>
      </c>
      <c r="D38" s="36">
        <v>98400</v>
      </c>
      <c r="E38" s="36">
        <v>13900</v>
      </c>
      <c r="F38" s="36">
        <v>3450</v>
      </c>
      <c r="G38" s="34">
        <f t="shared" si="0"/>
        <v>0.50879825593409478</v>
      </c>
      <c r="H38" s="35">
        <f>(I38+J38+L38)*Foglio1!$A$1</f>
        <v>33539.981031175528</v>
      </c>
      <c r="I38" s="26">
        <f t="shared" si="9"/>
        <v>5222</v>
      </c>
      <c r="J38" s="4">
        <f t="shared" si="1"/>
        <v>1495</v>
      </c>
      <c r="K38" s="3"/>
      <c r="L38" s="9">
        <f t="shared" si="2"/>
        <v>19102.846829234437</v>
      </c>
      <c r="M38" s="8">
        <f t="shared" si="3"/>
        <v>152.8227746338755</v>
      </c>
      <c r="N38" s="1">
        <f t="shared" si="4"/>
        <v>3.45</v>
      </c>
      <c r="O38" s="8">
        <f t="shared" si="5"/>
        <v>10.838494654884787</v>
      </c>
      <c r="P38" s="1">
        <f t="shared" si="6"/>
        <v>13.9</v>
      </c>
      <c r="Q38" s="1">
        <f t="shared" si="7"/>
        <v>14.1</v>
      </c>
      <c r="R38" s="1">
        <f t="shared" si="8"/>
        <v>5</v>
      </c>
    </row>
    <row r="39" spans="1:18" ht="24" customHeight="1" x14ac:dyDescent="0.2">
      <c r="A39" s="24" t="s">
        <v>37</v>
      </c>
      <c r="B39" s="32" t="s">
        <v>36</v>
      </c>
      <c r="C39" s="33">
        <v>70039</v>
      </c>
      <c r="D39" s="36">
        <v>112400</v>
      </c>
      <c r="E39" s="36">
        <v>15400</v>
      </c>
      <c r="F39" s="36">
        <v>3450</v>
      </c>
      <c r="G39" s="34">
        <f t="shared" si="0"/>
        <v>0.5221124357223248</v>
      </c>
      <c r="H39" s="35">
        <f>(I39+J39+L39)*Foglio1!$A$1</f>
        <v>36568.23288555591</v>
      </c>
      <c r="I39" s="26">
        <f t="shared" si="9"/>
        <v>5222</v>
      </c>
      <c r="J39" s="4">
        <f t="shared" si="1"/>
        <v>1794</v>
      </c>
      <c r="K39" s="3"/>
      <c r="L39" s="9">
        <f t="shared" si="2"/>
        <v>21135.064577025336</v>
      </c>
      <c r="M39" s="8">
        <f t="shared" si="3"/>
        <v>169.08051661620269</v>
      </c>
      <c r="N39" s="1">
        <f t="shared" si="4"/>
        <v>3.45</v>
      </c>
      <c r="O39" s="8">
        <f t="shared" si="5"/>
        <v>10.838494654884787</v>
      </c>
      <c r="P39" s="1">
        <f t="shared" si="6"/>
        <v>15.4</v>
      </c>
      <c r="Q39" s="1">
        <f t="shared" si="7"/>
        <v>15.6</v>
      </c>
      <c r="R39" s="1">
        <f t="shared" si="8"/>
        <v>6</v>
      </c>
    </row>
    <row r="40" spans="1:18" ht="24" customHeight="1" x14ac:dyDescent="0.2">
      <c r="A40" s="24" t="s">
        <v>35</v>
      </c>
      <c r="B40" s="32" t="s">
        <v>34</v>
      </c>
      <c r="C40" s="33">
        <v>74218</v>
      </c>
      <c r="D40" s="36">
        <v>126400</v>
      </c>
      <c r="E40" s="36">
        <v>16900</v>
      </c>
      <c r="F40" s="36">
        <v>3450</v>
      </c>
      <c r="G40" s="34">
        <f t="shared" si="0"/>
        <v>0.52828267724724831</v>
      </c>
      <c r="H40" s="35">
        <f>(I40+J40+L40)*Foglio1!$A$1</f>
        <v>39208.083739936279</v>
      </c>
      <c r="I40" s="26">
        <f t="shared" si="9"/>
        <v>5222</v>
      </c>
      <c r="J40" s="4">
        <f t="shared" si="1"/>
        <v>1794</v>
      </c>
      <c r="K40" s="3"/>
      <c r="L40" s="9">
        <f t="shared" si="2"/>
        <v>23167.282324816231</v>
      </c>
      <c r="M40" s="8">
        <f t="shared" si="3"/>
        <v>185.33825859852985</v>
      </c>
      <c r="N40" s="1">
        <f t="shared" si="4"/>
        <v>3.45</v>
      </c>
      <c r="O40" s="8">
        <f t="shared" si="5"/>
        <v>10.838494654884787</v>
      </c>
      <c r="P40" s="1">
        <f t="shared" si="6"/>
        <v>16.899999999999999</v>
      </c>
      <c r="Q40" s="1">
        <f t="shared" si="7"/>
        <v>17.099999999999998</v>
      </c>
      <c r="R40" s="1">
        <f t="shared" si="8"/>
        <v>6</v>
      </c>
    </row>
    <row r="41" spans="1:18" ht="24" customHeight="1" x14ac:dyDescent="0.2">
      <c r="A41" s="24" t="s">
        <v>32</v>
      </c>
      <c r="B41" s="32" t="s">
        <v>31</v>
      </c>
      <c r="C41" s="33">
        <v>80377</v>
      </c>
      <c r="D41" s="36">
        <v>140400</v>
      </c>
      <c r="E41" s="36">
        <v>18400</v>
      </c>
      <c r="F41" s="36">
        <v>3450</v>
      </c>
      <c r="G41" s="34">
        <f t="shared" si="0"/>
        <v>0.52547788041749077</v>
      </c>
      <c r="H41" s="35">
        <f>(I41+J41+L41)*Foglio1!$A$1</f>
        <v>42236.335594316653</v>
      </c>
      <c r="I41" s="26">
        <f t="shared" si="9"/>
        <v>5222</v>
      </c>
      <c r="J41" s="4">
        <f t="shared" si="1"/>
        <v>2093</v>
      </c>
      <c r="K41" s="3"/>
      <c r="L41" s="9">
        <f t="shared" si="2"/>
        <v>25199.500072607127</v>
      </c>
      <c r="M41" s="8">
        <f t="shared" si="3"/>
        <v>201.59600058085701</v>
      </c>
      <c r="N41" s="1">
        <f t="shared" si="4"/>
        <v>3.45</v>
      </c>
      <c r="O41" s="8">
        <f t="shared" si="5"/>
        <v>10.838494654884787</v>
      </c>
      <c r="P41" s="1">
        <f t="shared" si="6"/>
        <v>18.399999999999999</v>
      </c>
      <c r="Q41" s="1">
        <f t="shared" si="7"/>
        <v>18.599999999999998</v>
      </c>
      <c r="R41" s="1">
        <f t="shared" si="8"/>
        <v>7</v>
      </c>
    </row>
    <row r="42" spans="1:18" ht="15" x14ac:dyDescent="0.2">
      <c r="A42" s="5"/>
      <c r="B42" s="27"/>
      <c r="C42" s="28"/>
      <c r="D42" s="29"/>
      <c r="E42" s="29"/>
      <c r="F42" s="29"/>
      <c r="G42" s="30"/>
      <c r="H42" s="31"/>
      <c r="I42" s="4"/>
      <c r="J42" s="4"/>
      <c r="K42" s="3"/>
      <c r="L42" s="9"/>
      <c r="M42" s="8"/>
      <c r="O42" s="8"/>
    </row>
    <row r="43" spans="1:18" ht="15" x14ac:dyDescent="0.2">
      <c r="A43" s="5" t="s">
        <v>30</v>
      </c>
      <c r="B43" s="5" t="s">
        <v>29</v>
      </c>
      <c r="C43" s="7">
        <v>22550</v>
      </c>
      <c r="D43" s="4">
        <v>14500</v>
      </c>
      <c r="E43" s="4">
        <v>4800</v>
      </c>
      <c r="F43" s="4">
        <v>2450</v>
      </c>
      <c r="G43" s="6">
        <f t="shared" ref="G43:G57" si="10">H43/C43</f>
        <v>0.4882375748248946</v>
      </c>
      <c r="H43" s="35">
        <f>(I43+J43+L43)*Foglio1!$A$1</f>
        <v>11009.757312301374</v>
      </c>
      <c r="I43" s="4">
        <f t="shared" ref="I43:I57" si="11">IF(F43=$AC$9,$AG$9,IF(F43=$AC$10,$AG$10,IF(F43=$AC$11,$AG$11,IF(F43=$AC$8,$AG$8,"CALCOLARE"))))</f>
        <v>3205</v>
      </c>
      <c r="J43" s="4">
        <f t="shared" ref="J43:J57" si="12">IF(F43=$AC$21,R43*$AG$21,IF(F43=$AC$22,R43*$AG$22,IF(F43=$AC$23,R43*$AG$23,IF(F43=$AC$20,R43*$AG$20,"CALCOLARE"))))</f>
        <v>460</v>
      </c>
      <c r="K43" s="3"/>
      <c r="L43" s="9">
        <f t="shared" ref="L43:L57" si="13">M43*$AE$14</f>
        <v>4810.5637508093714</v>
      </c>
      <c r="M43" s="8">
        <f t="shared" ref="M43:M57" si="14">O43*Q43</f>
        <v>38.48451000647497</v>
      </c>
      <c r="N43" s="1">
        <f t="shared" ref="N43:N57" si="15">F43/1000</f>
        <v>2.4500000000000002</v>
      </c>
      <c r="O43" s="8">
        <f t="shared" ref="O43:O57" si="16">(N43)*PI()</f>
        <v>7.696902001294994</v>
      </c>
      <c r="P43" s="1">
        <f t="shared" ref="P43:P57" si="17">E43/1000</f>
        <v>4.8</v>
      </c>
      <c r="Q43" s="1">
        <f t="shared" ref="Q43:Q57" si="18">ROUNDUP(P43,1)+0.2</f>
        <v>5</v>
      </c>
      <c r="R43" s="1">
        <f t="shared" ref="R43:R57" si="19">ROUNDUP(P43/$AG$19,0)</f>
        <v>2</v>
      </c>
    </row>
    <row r="44" spans="1:18" ht="15" x14ac:dyDescent="0.2">
      <c r="A44" s="5" t="s">
        <v>28</v>
      </c>
      <c r="B44" s="5" t="s">
        <v>27</v>
      </c>
      <c r="C44" s="7">
        <v>24587</v>
      </c>
      <c r="D44" s="4">
        <v>22000</v>
      </c>
      <c r="E44" s="4">
        <v>6300</v>
      </c>
      <c r="F44" s="4">
        <v>2450</v>
      </c>
      <c r="G44" s="6">
        <f t="shared" si="10"/>
        <v>0.5361859521695117</v>
      </c>
      <c r="H44" s="35">
        <f>(I44+J44+L44)*Foglio1!$A$1</f>
        <v>13183.204005991785</v>
      </c>
      <c r="I44" s="4">
        <f t="shared" si="11"/>
        <v>3205</v>
      </c>
      <c r="J44" s="4">
        <f t="shared" si="12"/>
        <v>690</v>
      </c>
      <c r="K44" s="3"/>
      <c r="L44" s="9">
        <f t="shared" si="13"/>
        <v>6253.7328760521832</v>
      </c>
      <c r="M44" s="8">
        <f t="shared" si="14"/>
        <v>50.029863008417465</v>
      </c>
      <c r="N44" s="1">
        <f t="shared" si="15"/>
        <v>2.4500000000000002</v>
      </c>
      <c r="O44" s="8">
        <f t="shared" si="16"/>
        <v>7.696902001294994</v>
      </c>
      <c r="P44" s="1">
        <f t="shared" si="17"/>
        <v>6.3</v>
      </c>
      <c r="Q44" s="1">
        <f t="shared" si="18"/>
        <v>6.5</v>
      </c>
      <c r="R44" s="1">
        <f t="shared" si="19"/>
        <v>3</v>
      </c>
    </row>
    <row r="45" spans="1:18" ht="15" x14ac:dyDescent="0.2">
      <c r="A45" s="5" t="s">
        <v>26</v>
      </c>
      <c r="B45" s="5" t="s">
        <v>25</v>
      </c>
      <c r="C45" s="7">
        <v>26625</v>
      </c>
      <c r="D45" s="4">
        <v>29000</v>
      </c>
      <c r="E45" s="4">
        <v>7800</v>
      </c>
      <c r="F45" s="4">
        <v>2450</v>
      </c>
      <c r="G45" s="6">
        <f t="shared" si="10"/>
        <v>0.56555420468289952</v>
      </c>
      <c r="H45" s="35">
        <f>(I45+J45+L45)*Foglio1!$A$1</f>
        <v>15057.880699682199</v>
      </c>
      <c r="I45" s="4">
        <f t="shared" si="11"/>
        <v>3205</v>
      </c>
      <c r="J45" s="4">
        <f t="shared" si="12"/>
        <v>690</v>
      </c>
      <c r="K45" s="3"/>
      <c r="L45" s="9">
        <f t="shared" si="13"/>
        <v>7696.9020012949941</v>
      </c>
      <c r="M45" s="8">
        <f t="shared" si="14"/>
        <v>61.575216010359952</v>
      </c>
      <c r="N45" s="1">
        <f t="shared" si="15"/>
        <v>2.4500000000000002</v>
      </c>
      <c r="O45" s="8">
        <f t="shared" si="16"/>
        <v>7.696902001294994</v>
      </c>
      <c r="P45" s="1">
        <f t="shared" si="17"/>
        <v>7.8</v>
      </c>
      <c r="Q45" s="1">
        <f t="shared" si="18"/>
        <v>8</v>
      </c>
      <c r="R45" s="1">
        <f t="shared" si="19"/>
        <v>3</v>
      </c>
    </row>
    <row r="46" spans="1:18" ht="15" x14ac:dyDescent="0.2">
      <c r="A46" s="5" t="s">
        <v>24</v>
      </c>
      <c r="B46" s="5" t="s">
        <v>23</v>
      </c>
      <c r="C46" s="7">
        <v>33974</v>
      </c>
      <c r="D46" s="4">
        <v>31000</v>
      </c>
      <c r="E46" s="4">
        <v>6300</v>
      </c>
      <c r="F46" s="4">
        <v>2950</v>
      </c>
      <c r="G46" s="6">
        <f t="shared" si="10"/>
        <v>0.48788033066914027</v>
      </c>
      <c r="H46" s="35">
        <f>(I46+J46+L46)*Foglio1!$A$1</f>
        <v>16575.246354153373</v>
      </c>
      <c r="I46" s="4">
        <f t="shared" si="11"/>
        <v>4465</v>
      </c>
      <c r="J46" s="4">
        <f t="shared" si="12"/>
        <v>765</v>
      </c>
      <c r="K46" s="3"/>
      <c r="L46" s="9">
        <f t="shared" si="13"/>
        <v>7530.0048915730358</v>
      </c>
      <c r="M46" s="8">
        <f t="shared" si="14"/>
        <v>60.240039132584286</v>
      </c>
      <c r="N46" s="1">
        <f t="shared" si="15"/>
        <v>2.95</v>
      </c>
      <c r="O46" s="8">
        <f t="shared" si="16"/>
        <v>9.2676983280898906</v>
      </c>
      <c r="P46" s="1">
        <f t="shared" si="17"/>
        <v>6.3</v>
      </c>
      <c r="Q46" s="1">
        <f t="shared" si="18"/>
        <v>6.5</v>
      </c>
      <c r="R46" s="1">
        <f t="shared" si="19"/>
        <v>3</v>
      </c>
    </row>
    <row r="47" spans="1:18" ht="15" x14ac:dyDescent="0.2">
      <c r="A47" s="5" t="s">
        <v>22</v>
      </c>
      <c r="B47" s="5" t="s">
        <v>21</v>
      </c>
      <c r="C47" s="7">
        <v>28662</v>
      </c>
      <c r="D47" s="4">
        <v>35000</v>
      </c>
      <c r="E47" s="4">
        <v>9300</v>
      </c>
      <c r="F47" s="4">
        <v>2450</v>
      </c>
      <c r="G47" s="6">
        <f t="shared" si="10"/>
        <v>0.60119068429881406</v>
      </c>
      <c r="H47" s="35">
        <f>(I47+J47+L47)*Foglio1!$A$1</f>
        <v>17231.327393372609</v>
      </c>
      <c r="I47" s="4">
        <f t="shared" si="11"/>
        <v>3205</v>
      </c>
      <c r="J47" s="4">
        <f t="shared" si="12"/>
        <v>920</v>
      </c>
      <c r="K47" s="3"/>
      <c r="L47" s="9">
        <f t="shared" si="13"/>
        <v>9140.071126537805</v>
      </c>
      <c r="M47" s="8">
        <f t="shared" si="14"/>
        <v>73.12056901230244</v>
      </c>
      <c r="N47" s="1">
        <f t="shared" si="15"/>
        <v>2.4500000000000002</v>
      </c>
      <c r="O47" s="8">
        <f t="shared" si="16"/>
        <v>7.696902001294994</v>
      </c>
      <c r="P47" s="1">
        <f t="shared" si="17"/>
        <v>9.3000000000000007</v>
      </c>
      <c r="Q47" s="1">
        <f t="shared" si="18"/>
        <v>9.5</v>
      </c>
      <c r="R47" s="1">
        <f t="shared" si="19"/>
        <v>4</v>
      </c>
    </row>
    <row r="48" spans="1:18" ht="15" x14ac:dyDescent="0.2">
      <c r="A48" s="5" t="s">
        <v>20</v>
      </c>
      <c r="B48" s="5" t="s">
        <v>19</v>
      </c>
      <c r="C48" s="7">
        <v>36339</v>
      </c>
      <c r="D48" s="4">
        <v>42000</v>
      </c>
      <c r="E48" s="4">
        <v>7800</v>
      </c>
      <c r="F48" s="4">
        <v>2950</v>
      </c>
      <c r="G48" s="6">
        <f t="shared" si="10"/>
        <v>0.51824513960727503</v>
      </c>
      <c r="H48" s="35">
        <f>(I48+J48+L48)*Foglio1!$A$1</f>
        <v>18832.510128188769</v>
      </c>
      <c r="I48" s="4">
        <f t="shared" si="11"/>
        <v>4465</v>
      </c>
      <c r="J48" s="4">
        <f t="shared" si="12"/>
        <v>765</v>
      </c>
      <c r="K48" s="3"/>
      <c r="L48" s="9">
        <f t="shared" si="13"/>
        <v>9267.6983280898912</v>
      </c>
      <c r="M48" s="8">
        <f t="shared" si="14"/>
        <v>74.141586624719125</v>
      </c>
      <c r="N48" s="1">
        <f t="shared" si="15"/>
        <v>2.95</v>
      </c>
      <c r="O48" s="8">
        <f t="shared" si="16"/>
        <v>9.2676983280898906</v>
      </c>
      <c r="P48" s="1">
        <f t="shared" si="17"/>
        <v>7.8</v>
      </c>
      <c r="Q48" s="1">
        <f t="shared" si="18"/>
        <v>8</v>
      </c>
      <c r="R48" s="1">
        <f t="shared" si="19"/>
        <v>3</v>
      </c>
    </row>
    <row r="49" spans="1:18" ht="15" x14ac:dyDescent="0.2">
      <c r="A49" s="5" t="s">
        <v>18</v>
      </c>
      <c r="B49" s="5" t="s">
        <v>17</v>
      </c>
      <c r="C49" s="7">
        <v>30700</v>
      </c>
      <c r="D49" s="4">
        <v>43000</v>
      </c>
      <c r="E49" s="4">
        <v>10800</v>
      </c>
      <c r="F49" s="4">
        <v>2450</v>
      </c>
      <c r="G49" s="6">
        <f t="shared" si="10"/>
        <v>0.62234541000205279</v>
      </c>
      <c r="H49" s="35">
        <f>(I49+J49+L49)*Foglio1!$A$1</f>
        <v>19106.004087063022</v>
      </c>
      <c r="I49" s="4">
        <f t="shared" si="11"/>
        <v>3205</v>
      </c>
      <c r="J49" s="4">
        <f t="shared" si="12"/>
        <v>920</v>
      </c>
      <c r="K49" s="3"/>
      <c r="L49" s="9">
        <f t="shared" si="13"/>
        <v>10583.240251780617</v>
      </c>
      <c r="M49" s="8">
        <f t="shared" si="14"/>
        <v>84.665922014244927</v>
      </c>
      <c r="N49" s="1">
        <f t="shared" si="15"/>
        <v>2.4500000000000002</v>
      </c>
      <c r="O49" s="8">
        <f t="shared" si="16"/>
        <v>7.696902001294994</v>
      </c>
      <c r="P49" s="1">
        <f t="shared" si="17"/>
        <v>10.8</v>
      </c>
      <c r="Q49" s="1">
        <f t="shared" si="18"/>
        <v>11</v>
      </c>
      <c r="R49" s="1">
        <f t="shared" si="19"/>
        <v>4</v>
      </c>
    </row>
    <row r="50" spans="1:18" ht="15" x14ac:dyDescent="0.2">
      <c r="A50" s="5" t="s">
        <v>16</v>
      </c>
      <c r="B50" s="5" t="s">
        <v>15</v>
      </c>
      <c r="C50" s="7">
        <v>32738</v>
      </c>
      <c r="D50" s="4">
        <v>50000</v>
      </c>
      <c r="E50" s="4">
        <v>12300</v>
      </c>
      <c r="F50" s="4">
        <v>2450</v>
      </c>
      <c r="G50" s="6">
        <f t="shared" si="10"/>
        <v>0.64999238746268651</v>
      </c>
      <c r="H50" s="35">
        <f>(I50+J50+L50)*Foglio1!$A$1</f>
        <v>21279.450780753432</v>
      </c>
      <c r="I50" s="4">
        <f t="shared" si="11"/>
        <v>3205</v>
      </c>
      <c r="J50" s="4">
        <f t="shared" si="12"/>
        <v>1150</v>
      </c>
      <c r="K50" s="3"/>
      <c r="L50" s="9">
        <f t="shared" si="13"/>
        <v>12026.409377023429</v>
      </c>
      <c r="M50" s="8">
        <f t="shared" si="14"/>
        <v>96.211275016187429</v>
      </c>
      <c r="N50" s="1">
        <f t="shared" si="15"/>
        <v>2.4500000000000002</v>
      </c>
      <c r="O50" s="8">
        <f t="shared" si="16"/>
        <v>7.696902001294994</v>
      </c>
      <c r="P50" s="1">
        <f t="shared" si="17"/>
        <v>12.3</v>
      </c>
      <c r="Q50" s="1">
        <f t="shared" si="18"/>
        <v>12.5</v>
      </c>
      <c r="R50" s="1">
        <f t="shared" si="19"/>
        <v>5</v>
      </c>
    </row>
    <row r="51" spans="1:18" ht="15" x14ac:dyDescent="0.2">
      <c r="A51" s="5" t="s">
        <v>14</v>
      </c>
      <c r="B51" s="5" t="s">
        <v>13</v>
      </c>
      <c r="C51" s="7">
        <v>38947</v>
      </c>
      <c r="D51" s="4">
        <v>52000</v>
      </c>
      <c r="E51" s="4">
        <v>9300</v>
      </c>
      <c r="F51" s="4">
        <v>2950</v>
      </c>
      <c r="G51" s="6">
        <f t="shared" si="10"/>
        <v>0.55000433671975146</v>
      </c>
      <c r="H51" s="35">
        <f>(I51+J51+L51)*Foglio1!$A$1</f>
        <v>21421.018902224161</v>
      </c>
      <c r="I51" s="4">
        <f t="shared" si="11"/>
        <v>4465</v>
      </c>
      <c r="J51" s="4">
        <f t="shared" si="12"/>
        <v>1020</v>
      </c>
      <c r="K51" s="3"/>
      <c r="L51" s="9">
        <f t="shared" si="13"/>
        <v>11005.391764606746</v>
      </c>
      <c r="M51" s="8">
        <f t="shared" si="14"/>
        <v>88.043134116853963</v>
      </c>
      <c r="N51" s="1">
        <f t="shared" si="15"/>
        <v>2.95</v>
      </c>
      <c r="O51" s="8">
        <f t="shared" si="16"/>
        <v>9.2676983280898906</v>
      </c>
      <c r="P51" s="1">
        <f t="shared" si="17"/>
        <v>9.3000000000000007</v>
      </c>
      <c r="Q51" s="1">
        <f t="shared" si="18"/>
        <v>9.5</v>
      </c>
      <c r="R51" s="1">
        <f t="shared" si="19"/>
        <v>4</v>
      </c>
    </row>
    <row r="52" spans="1:18" ht="15" x14ac:dyDescent="0.2">
      <c r="A52" s="5" t="s">
        <v>12</v>
      </c>
      <c r="B52" s="5" t="s">
        <v>11</v>
      </c>
      <c r="C52" s="7">
        <v>34475</v>
      </c>
      <c r="D52" s="4">
        <v>56000</v>
      </c>
      <c r="E52" s="4">
        <v>13500</v>
      </c>
      <c r="F52" s="4">
        <v>2450</v>
      </c>
      <c r="G52" s="6">
        <f t="shared" si="10"/>
        <v>0.66074523961438025</v>
      </c>
      <c r="H52" s="35">
        <f>(I52+J52+L52)*Foglio1!$A$1</f>
        <v>22779.192135705758</v>
      </c>
      <c r="I52" s="4">
        <f t="shared" si="11"/>
        <v>3205</v>
      </c>
      <c r="J52" s="4">
        <f t="shared" si="12"/>
        <v>1150</v>
      </c>
      <c r="K52" s="3"/>
      <c r="L52" s="9">
        <f t="shared" si="13"/>
        <v>13180.944677217676</v>
      </c>
      <c r="M52" s="8">
        <f t="shared" si="14"/>
        <v>105.44755741774141</v>
      </c>
      <c r="N52" s="1">
        <f t="shared" si="15"/>
        <v>2.4500000000000002</v>
      </c>
      <c r="O52" s="8">
        <f t="shared" si="16"/>
        <v>7.696902001294994</v>
      </c>
      <c r="P52" s="1">
        <f t="shared" si="17"/>
        <v>13.5</v>
      </c>
      <c r="Q52" s="1">
        <f t="shared" si="18"/>
        <v>13.7</v>
      </c>
      <c r="R52" s="1">
        <f t="shared" si="19"/>
        <v>5</v>
      </c>
    </row>
    <row r="53" spans="1:18" ht="15" x14ac:dyDescent="0.2">
      <c r="A53" s="5" t="s">
        <v>10</v>
      </c>
      <c r="B53" s="5" t="s">
        <v>9</v>
      </c>
      <c r="C53" s="7">
        <v>41080</v>
      </c>
      <c r="D53" s="4">
        <v>63000</v>
      </c>
      <c r="E53" s="4">
        <v>10800</v>
      </c>
      <c r="F53" s="4">
        <v>2950</v>
      </c>
      <c r="G53" s="6">
        <f t="shared" si="10"/>
        <v>0.57639441763046628</v>
      </c>
      <c r="H53" s="35">
        <f>(I53+J53+L53)*Foglio1!$A$1</f>
        <v>23678.282676259554</v>
      </c>
      <c r="I53" s="4">
        <f t="shared" si="11"/>
        <v>4465</v>
      </c>
      <c r="J53" s="4">
        <f t="shared" si="12"/>
        <v>1020</v>
      </c>
      <c r="K53" s="3"/>
      <c r="L53" s="9">
        <f t="shared" si="13"/>
        <v>12743.0852011236</v>
      </c>
      <c r="M53" s="8">
        <f t="shared" si="14"/>
        <v>101.9446816089888</v>
      </c>
      <c r="N53" s="1">
        <f t="shared" si="15"/>
        <v>2.95</v>
      </c>
      <c r="O53" s="8">
        <f t="shared" si="16"/>
        <v>9.2676983280898906</v>
      </c>
      <c r="P53" s="1">
        <f t="shared" si="17"/>
        <v>10.8</v>
      </c>
      <c r="Q53" s="1">
        <f t="shared" si="18"/>
        <v>11</v>
      </c>
      <c r="R53" s="1">
        <f t="shared" si="19"/>
        <v>4</v>
      </c>
    </row>
    <row r="54" spans="1:18" ht="15" x14ac:dyDescent="0.2">
      <c r="A54" s="5" t="s">
        <v>8</v>
      </c>
      <c r="B54" s="5" t="s">
        <v>7</v>
      </c>
      <c r="C54" s="7">
        <v>43156</v>
      </c>
      <c r="D54" s="4">
        <v>72000</v>
      </c>
      <c r="E54" s="4">
        <v>12300</v>
      </c>
      <c r="F54" s="4">
        <v>2950</v>
      </c>
      <c r="G54" s="6">
        <f t="shared" si="10"/>
        <v>0.60864749861652956</v>
      </c>
      <c r="H54" s="35">
        <f>(I54+J54+L54)*Foglio1!$A$1</f>
        <v>26266.79145029495</v>
      </c>
      <c r="I54" s="4">
        <f t="shared" si="11"/>
        <v>4465</v>
      </c>
      <c r="J54" s="4">
        <f t="shared" si="12"/>
        <v>1275</v>
      </c>
      <c r="K54" s="3"/>
      <c r="L54" s="9">
        <f t="shared" si="13"/>
        <v>14480.778637640453</v>
      </c>
      <c r="M54" s="8">
        <f t="shared" si="14"/>
        <v>115.84622910112363</v>
      </c>
      <c r="N54" s="1">
        <f t="shared" si="15"/>
        <v>2.95</v>
      </c>
      <c r="O54" s="8">
        <f t="shared" si="16"/>
        <v>9.2676983280898906</v>
      </c>
      <c r="P54" s="1">
        <f t="shared" si="17"/>
        <v>12.3</v>
      </c>
      <c r="Q54" s="1">
        <f t="shared" si="18"/>
        <v>12.5</v>
      </c>
      <c r="R54" s="1">
        <f t="shared" si="19"/>
        <v>5</v>
      </c>
    </row>
    <row r="55" spans="1:18" ht="15" x14ac:dyDescent="0.2">
      <c r="A55" s="5" t="s">
        <v>6</v>
      </c>
      <c r="B55" s="5" t="s">
        <v>5</v>
      </c>
      <c r="C55" s="7">
        <v>47855</v>
      </c>
      <c r="D55" s="4">
        <v>82000</v>
      </c>
      <c r="E55" s="4">
        <v>13550</v>
      </c>
      <c r="F55" s="4">
        <v>2950</v>
      </c>
      <c r="G55" s="6">
        <f t="shared" si="10"/>
        <v>0.58976254771968706</v>
      </c>
      <c r="H55" s="35">
        <f>(I55+J55+L55)*Foglio1!$A$1</f>
        <v>28223.086721125623</v>
      </c>
      <c r="I55" s="4">
        <f t="shared" si="11"/>
        <v>4465</v>
      </c>
      <c r="J55" s="4">
        <f t="shared" si="12"/>
        <v>1275</v>
      </c>
      <c r="K55" s="3"/>
      <c r="L55" s="9">
        <f t="shared" si="13"/>
        <v>15986.77961595506</v>
      </c>
      <c r="M55" s="8">
        <f t="shared" si="14"/>
        <v>127.89423692764048</v>
      </c>
      <c r="N55" s="1">
        <f t="shared" si="15"/>
        <v>2.95</v>
      </c>
      <c r="O55" s="8">
        <f t="shared" si="16"/>
        <v>9.2676983280898906</v>
      </c>
      <c r="P55" s="1">
        <f t="shared" si="17"/>
        <v>13.55</v>
      </c>
      <c r="Q55" s="1">
        <f t="shared" si="18"/>
        <v>13.799999999999999</v>
      </c>
      <c r="R55" s="1">
        <f t="shared" si="19"/>
        <v>5</v>
      </c>
    </row>
    <row r="56" spans="1:18" ht="15" x14ac:dyDescent="0.2">
      <c r="A56" s="5" t="s">
        <v>4</v>
      </c>
      <c r="B56" s="5" t="s">
        <v>3</v>
      </c>
      <c r="C56" s="7">
        <v>52024</v>
      </c>
      <c r="D56" s="4">
        <v>94000</v>
      </c>
      <c r="E56" s="4">
        <v>15450</v>
      </c>
      <c r="F56" s="4">
        <v>2950</v>
      </c>
      <c r="G56" s="6">
        <f t="shared" si="10"/>
        <v>0.6038277045511774</v>
      </c>
      <c r="H56" s="35">
        <f>(I56+J56+L56)*Foglio1!$A$1</f>
        <v>31413.532501570451</v>
      </c>
      <c r="I56" s="4">
        <f t="shared" si="11"/>
        <v>4465</v>
      </c>
      <c r="J56" s="4">
        <f t="shared" si="12"/>
        <v>1530</v>
      </c>
      <c r="K56" s="3"/>
      <c r="L56" s="9">
        <f t="shared" si="13"/>
        <v>18187.857968876408</v>
      </c>
      <c r="M56" s="8">
        <f t="shared" si="14"/>
        <v>145.50286375101126</v>
      </c>
      <c r="N56" s="1">
        <f t="shared" si="15"/>
        <v>2.95</v>
      </c>
      <c r="O56" s="8">
        <f t="shared" si="16"/>
        <v>9.2676983280898906</v>
      </c>
      <c r="P56" s="1">
        <f t="shared" si="17"/>
        <v>15.45</v>
      </c>
      <c r="Q56" s="1">
        <f t="shared" si="18"/>
        <v>15.7</v>
      </c>
      <c r="R56" s="1">
        <f t="shared" si="19"/>
        <v>6</v>
      </c>
    </row>
    <row r="57" spans="1:18" ht="15" x14ac:dyDescent="0.2">
      <c r="A57" s="5" t="s">
        <v>2</v>
      </c>
      <c r="B57" s="5" t="s">
        <v>1</v>
      </c>
      <c r="C57" s="7">
        <v>64000</v>
      </c>
      <c r="D57" s="4">
        <v>105000</v>
      </c>
      <c r="E57" s="4">
        <v>16560</v>
      </c>
      <c r="F57" s="4">
        <v>2950</v>
      </c>
      <c r="G57" s="6">
        <f t="shared" si="10"/>
        <v>0.516700926081194</v>
      </c>
      <c r="H57" s="35">
        <f>(I57+J57+L57)*Foglio1!$A$1</f>
        <v>33068.859269196415</v>
      </c>
      <c r="I57" s="4">
        <f t="shared" si="11"/>
        <v>4465</v>
      </c>
      <c r="J57" s="4">
        <f t="shared" si="12"/>
        <v>1530</v>
      </c>
      <c r="K57" s="3"/>
      <c r="L57" s="9">
        <f t="shared" si="13"/>
        <v>19462.166488988772</v>
      </c>
      <c r="M57" s="8">
        <f t="shared" si="14"/>
        <v>155.69733191191017</v>
      </c>
      <c r="N57" s="1">
        <f t="shared" si="15"/>
        <v>2.95</v>
      </c>
      <c r="O57" s="8">
        <f t="shared" si="16"/>
        <v>9.2676983280898906</v>
      </c>
      <c r="P57" s="1">
        <f t="shared" si="17"/>
        <v>16.559999999999999</v>
      </c>
      <c r="Q57" s="1">
        <f t="shared" si="18"/>
        <v>16.8</v>
      </c>
      <c r="R57" s="1">
        <f t="shared" si="19"/>
        <v>6</v>
      </c>
    </row>
    <row r="58" spans="1:18" ht="15" x14ac:dyDescent="0.2">
      <c r="A58" s="5"/>
      <c r="B58" s="5"/>
      <c r="C58" s="7"/>
      <c r="D58" s="4"/>
      <c r="E58" s="4"/>
      <c r="F58" s="4"/>
      <c r="G58" s="6"/>
      <c r="H58" s="4"/>
      <c r="I58" s="5"/>
      <c r="J58" s="4"/>
      <c r="K58" s="3"/>
    </row>
    <row r="59" spans="1:18" ht="15" x14ac:dyDescent="0.2">
      <c r="A59" s="5"/>
      <c r="B59" s="5"/>
      <c r="C59" s="7"/>
      <c r="D59" s="4"/>
      <c r="E59" s="4"/>
      <c r="F59" s="4"/>
      <c r="G59" s="6"/>
      <c r="H59" s="4"/>
      <c r="I59" s="5"/>
      <c r="J59" s="4"/>
      <c r="K59" s="3"/>
    </row>
    <row r="60" spans="1:18" ht="15" x14ac:dyDescent="0.2">
      <c r="A60" s="5"/>
      <c r="B60" s="5"/>
      <c r="C60" s="7"/>
      <c r="D60" s="4"/>
      <c r="E60" s="4"/>
      <c r="F60" s="4"/>
      <c r="G60" s="6"/>
      <c r="H60" s="4"/>
      <c r="I60" s="5"/>
      <c r="J60" s="4"/>
      <c r="K60" s="3"/>
    </row>
    <row r="61" spans="1:18" ht="15" x14ac:dyDescent="0.2">
      <c r="A61" s="5"/>
      <c r="B61" s="5"/>
      <c r="C61" s="7"/>
      <c r="D61" s="4"/>
      <c r="E61" s="4"/>
      <c r="F61" s="4"/>
      <c r="G61" s="6"/>
      <c r="H61" s="4"/>
      <c r="I61" s="5"/>
      <c r="J61" s="4"/>
      <c r="K61" s="3"/>
    </row>
    <row r="62" spans="1:18" ht="15" x14ac:dyDescent="0.2">
      <c r="A62" s="5" t="s">
        <v>0</v>
      </c>
      <c r="B62" s="5"/>
      <c r="C62" s="5" t="s">
        <v>0</v>
      </c>
      <c r="D62" s="4"/>
      <c r="E62" s="4"/>
      <c r="F62" s="4"/>
      <c r="G62" s="6"/>
      <c r="H62" s="4"/>
      <c r="I62" s="5"/>
      <c r="J62" s="4"/>
      <c r="K62" s="3"/>
    </row>
    <row r="63" spans="1:18" ht="15" x14ac:dyDescent="0.2">
      <c r="A63" s="5"/>
      <c r="B63" s="5"/>
      <c r="C63" s="7"/>
      <c r="D63" s="4"/>
      <c r="E63" s="4"/>
      <c r="F63" s="4"/>
      <c r="G63" s="6"/>
      <c r="H63" s="4"/>
      <c r="I63" s="5"/>
      <c r="J63" s="4"/>
      <c r="K63" s="3"/>
    </row>
    <row r="64" spans="1:18" ht="15" x14ac:dyDescent="0.2">
      <c r="A64" s="5"/>
      <c r="B64" s="5"/>
      <c r="C64" s="7"/>
      <c r="D64" s="4"/>
      <c r="E64" s="4"/>
      <c r="F64" s="4"/>
      <c r="G64" s="6"/>
      <c r="H64" s="4"/>
      <c r="I64" s="5"/>
      <c r="J64" s="4"/>
      <c r="K64" s="3"/>
    </row>
    <row r="65" spans="1:11" ht="15" x14ac:dyDescent="0.2">
      <c r="A65" s="5"/>
      <c r="B65" s="5"/>
      <c r="C65" s="7"/>
      <c r="D65" s="4"/>
      <c r="E65" s="4"/>
      <c r="F65" s="4"/>
      <c r="G65" s="6"/>
      <c r="H65" s="4"/>
      <c r="I65" s="5"/>
      <c r="J65" s="4"/>
      <c r="K65" s="3"/>
    </row>
    <row r="66" spans="1:11" ht="15" x14ac:dyDescent="0.2">
      <c r="A66" s="5"/>
      <c r="B66" s="5"/>
      <c r="C66" s="7"/>
      <c r="D66" s="4"/>
      <c r="E66" s="4"/>
      <c r="F66" s="4"/>
      <c r="G66" s="6"/>
      <c r="H66" s="4"/>
      <c r="I66" s="5"/>
      <c r="J66" s="4"/>
      <c r="K66" s="3"/>
    </row>
    <row r="67" spans="1:11" ht="15" x14ac:dyDescent="0.2">
      <c r="A67" s="5"/>
      <c r="B67" s="5"/>
      <c r="C67" s="7"/>
      <c r="D67" s="4"/>
      <c r="E67" s="4"/>
      <c r="F67" s="4"/>
      <c r="G67" s="6"/>
      <c r="H67" s="4"/>
      <c r="I67" s="5"/>
      <c r="J67" s="4"/>
      <c r="K67" s="3"/>
    </row>
    <row r="68" spans="1:11" ht="15" x14ac:dyDescent="0.2">
      <c r="A68" s="5"/>
      <c r="B68" s="5"/>
      <c r="C68" s="7"/>
      <c r="D68" s="4"/>
      <c r="E68" s="4"/>
      <c r="F68" s="4"/>
      <c r="G68" s="6"/>
      <c r="H68" s="4"/>
      <c r="I68" s="5"/>
      <c r="J68" s="4"/>
      <c r="K68" s="3"/>
    </row>
  </sheetData>
  <sheetProtection algorithmName="SHA-512" hashValue="DdTR1RGZOJF0JZEMdDOT4l5fICNduWtaB4oOVdAKdVFnZZS3JvcDmfhdIsdNzxdHDouOw4Haa3ea41nCm3AKWA==" saltValue="UNhgMjPXFE5qPAYuUA3qFA==" spinCount="100000" sheet="1" objects="1" scenarios="1"/>
  <dataValidations count="1">
    <dataValidation type="list" allowBlank="1" showInputMessage="1" showErrorMessage="1" sqref="V2" xr:uid="{00000000-0002-0000-0000-000000000000}">
      <formula1>$AC$2:$AC$5</formula1>
    </dataValidation>
  </dataValidations>
  <pageMargins left="2.1259842519685042" right="0.74803149606299213" top="1.9685039370078741" bottom="0.98425196850393704" header="0.51181102362204722" footer="0.51181102362204722"/>
  <pageSetup paperSize="9" orientation="portrait" r:id="rId1"/>
  <headerFooter alignWithMargins="0">
    <oddHeader>&amp;L&amp;F / &amp;A&amp;R&amp;D / &amp;T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D519B-03A7-4B04-B07A-C11F73687242}">
  <dimension ref="A1:J21"/>
  <sheetViews>
    <sheetView topLeftCell="K1" workbookViewId="0">
      <selection sqref="A1:J1048576"/>
    </sheetView>
  </sheetViews>
  <sheetFormatPr defaultRowHeight="12.75" x14ac:dyDescent="0.2"/>
  <cols>
    <col min="1" max="1" width="24.83203125" hidden="1" customWidth="1"/>
    <col min="2" max="3" width="0" hidden="1" customWidth="1"/>
    <col min="4" max="4" width="12" hidden="1" customWidth="1"/>
    <col min="5" max="5" width="0" hidden="1" customWidth="1"/>
    <col min="6" max="6" width="12" hidden="1" customWidth="1"/>
    <col min="7" max="7" width="0" hidden="1" customWidth="1"/>
    <col min="8" max="8" width="12" hidden="1" customWidth="1"/>
    <col min="9" max="9" width="0" hidden="1" customWidth="1"/>
    <col min="10" max="10" width="12" hidden="1" customWidth="1"/>
  </cols>
  <sheetData>
    <row r="1" spans="1:10" x14ac:dyDescent="0.2">
      <c r="A1">
        <v>1.2989999999999999</v>
      </c>
    </row>
    <row r="2" spans="1:10" x14ac:dyDescent="0.2">
      <c r="A2" t="s">
        <v>150</v>
      </c>
      <c r="H2" s="45">
        <v>12686</v>
      </c>
      <c r="I2" t="s">
        <v>153</v>
      </c>
    </row>
    <row r="3" spans="1:10" x14ac:dyDescent="0.2">
      <c r="A3" t="s">
        <v>151</v>
      </c>
    </row>
    <row r="4" spans="1:10" x14ac:dyDescent="0.2">
      <c r="A4" s="42" t="s">
        <v>152</v>
      </c>
      <c r="H4">
        <f>ROUND(H2*1.03,0)</f>
        <v>13067</v>
      </c>
      <c r="I4" s="44">
        <v>0.03</v>
      </c>
    </row>
    <row r="5" spans="1:10" x14ac:dyDescent="0.2">
      <c r="A5" s="42" t="s">
        <v>160</v>
      </c>
    </row>
    <row r="7" spans="1:10" x14ac:dyDescent="0.2">
      <c r="D7" s="47" t="s">
        <v>157</v>
      </c>
      <c r="F7" s="47" t="s">
        <v>158</v>
      </c>
      <c r="H7" s="47" t="s">
        <v>158</v>
      </c>
      <c r="J7" s="47" t="s">
        <v>159</v>
      </c>
    </row>
    <row r="8" spans="1:10" x14ac:dyDescent="0.2">
      <c r="A8" s="43">
        <f>COIBENTAZIONE!I2+COIBENTAZIONE!J2+COIBENTAZIONE!L2</f>
        <v>10148.732876052183</v>
      </c>
      <c r="B8" t="s">
        <v>156</v>
      </c>
      <c r="D8" s="43">
        <f>A8*1.05</f>
        <v>10656.169519854793</v>
      </c>
      <c r="F8" s="43">
        <f>D8*1.1</f>
        <v>11721.786471840274</v>
      </c>
      <c r="H8" s="43">
        <f>F8*1.1</f>
        <v>12893.965119024302</v>
      </c>
      <c r="J8" s="43">
        <f>H8*1.03</f>
        <v>13280.784072595032</v>
      </c>
    </row>
    <row r="10" spans="1:10" x14ac:dyDescent="0.2">
      <c r="A10" s="46">
        <f>ROUND(A8*1.25,0)</f>
        <v>12686</v>
      </c>
      <c r="B10" t="s">
        <v>154</v>
      </c>
      <c r="D10" s="43">
        <f>ROUND(A10*1.03,0)</f>
        <v>13067</v>
      </c>
      <c r="F10" s="43"/>
      <c r="H10" s="43"/>
    </row>
    <row r="12" spans="1:10" x14ac:dyDescent="0.2">
      <c r="A12" s="46">
        <f>A10</f>
        <v>12686</v>
      </c>
      <c r="B12" t="s">
        <v>155</v>
      </c>
      <c r="D12" s="43">
        <f>ROUND(A8*1.299,0)</f>
        <v>13183</v>
      </c>
      <c r="F12">
        <f>D12/A10</f>
        <v>1.0391770455620368</v>
      </c>
    </row>
    <row r="17" spans="1:4" x14ac:dyDescent="0.2">
      <c r="A17">
        <v>50000</v>
      </c>
      <c r="D17" s="48">
        <f>A17*1.299</f>
        <v>64950</v>
      </c>
    </row>
    <row r="18" spans="1:4" x14ac:dyDescent="0.2">
      <c r="D18">
        <f>A17*1.05</f>
        <v>52500</v>
      </c>
    </row>
    <row r="19" spans="1:4" x14ac:dyDescent="0.2">
      <c r="D19">
        <f>D18*1.1</f>
        <v>57750.000000000007</v>
      </c>
    </row>
    <row r="20" spans="1:4" x14ac:dyDescent="0.2">
      <c r="D20">
        <f>D19*1.1</f>
        <v>63525.000000000015</v>
      </c>
    </row>
    <row r="21" spans="1:4" x14ac:dyDescent="0.2">
      <c r="D21" s="48">
        <f>D20*1.03</f>
        <v>65430.750000000015</v>
      </c>
    </row>
  </sheetData>
  <sheetProtection algorithmName="SHA-512" hashValue="7d0s3RQINLaYg1Zx0BAzCZimhbZU5S7+Y9dlquE2DfeqBi8k9gSyLpfNEzaTYe45HqxgxPZ7fUhiJYidTVeV/g==" saltValue="hWY3+b3uOm0eEtrCqvmuL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COIBENTAZIONE</vt:lpstr>
      <vt:lpstr>Foglio1</vt:lpstr>
      <vt:lpstr>COIBENTAZIONE!Area_stampa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Marino Montalti</dc:creator>
  <cp:lastModifiedBy>Sandra Ceccarelli</cp:lastModifiedBy>
  <cp:lastPrinted>2016-03-23T15:36:52Z</cp:lastPrinted>
  <dcterms:created xsi:type="dcterms:W3CDTF">2016-02-14T10:40:12Z</dcterms:created>
  <dcterms:modified xsi:type="dcterms:W3CDTF">2026-01-14T10:10:42Z</dcterms:modified>
</cp:coreProperties>
</file>