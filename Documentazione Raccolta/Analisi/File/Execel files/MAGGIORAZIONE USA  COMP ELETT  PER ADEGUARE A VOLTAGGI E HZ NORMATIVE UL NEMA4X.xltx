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B474ED19-D6B6-4231-AC87-B06C55D5E4D9}" xr6:coauthVersionLast="47" xr6:coauthVersionMax="47" xr10:uidLastSave="{00000000-0000-0000-0000-000000000000}"/>
  <workbookProtection workbookAlgorithmName="SHA-512" workbookHashValue="DksSnJCN9oTZYEc/xOAGIERoa4TDhRSYdcGstsMaJ8GZvBl4H5FVNwsrskXEZBiRacyMUz8oaMUo718PMds/pw==" workbookSaltValue="G7OjGDg3RD+Bozjr+JQsrg==" workbookSpinCount="100000" lockStructure="1"/>
  <bookViews>
    <workbookView xWindow="-120" yWindow="-120" windowWidth="24240" windowHeight="13020" xr2:uid="{00000000-000D-0000-FFFF-FFFF00000000}"/>
  </bookViews>
  <sheets>
    <sheet name="RIAVV USA 60 HZ" sheetId="2" r:id="rId1"/>
    <sheet name="Foglio3" sheetId="3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26" i="2"/>
  <c r="B25" i="2"/>
  <c r="B24" i="2"/>
  <c r="B21" i="2"/>
  <c r="D21" i="2" s="1"/>
  <c r="B19" i="2"/>
  <c r="B17" i="2"/>
  <c r="B15" i="2"/>
  <c r="B13" i="2"/>
  <c r="B11" i="2"/>
  <c r="B9" i="2"/>
  <c r="B7" i="2"/>
  <c r="D26" i="2" l="1"/>
  <c r="D25" i="2"/>
  <c r="D24" i="2"/>
  <c r="D19" i="2"/>
  <c r="D17" i="2"/>
  <c r="D15" i="2"/>
  <c r="D13" i="2"/>
  <c r="D11" i="2"/>
  <c r="D9" i="2"/>
  <c r="D7" i="2"/>
  <c r="D5" i="2"/>
  <c r="D29" i="2" l="1"/>
</calcChain>
</file>

<file path=xl/sharedStrings.xml><?xml version="1.0" encoding="utf-8"?>
<sst xmlns="http://schemas.openxmlformats.org/spreadsheetml/2006/main" count="39" uniqueCount="20">
  <si>
    <t>Tmx</t>
  </si>
  <si>
    <t>coclea</t>
  </si>
  <si>
    <t>ts</t>
  </si>
  <si>
    <t>Vibrovaglio</t>
  </si>
  <si>
    <t>eva flu ( fap…)</t>
  </si>
  <si>
    <t>vft</t>
  </si>
  <si>
    <t>vsf</t>
  </si>
  <si>
    <t>sws</t>
  </si>
  <si>
    <t>pesatura 3 celle</t>
  </si>
  <si>
    <t>monocella</t>
  </si>
  <si>
    <t>celle sws e pesature extra unitari</t>
  </si>
  <si>
    <t xml:space="preserve">VST - </t>
  </si>
  <si>
    <t>Pl IMP</t>
  </si>
  <si>
    <t/>
  </si>
  <si>
    <t>Qta in offerta</t>
  </si>
  <si>
    <t xml:space="preserve">Totale </t>
  </si>
  <si>
    <t>Descrizione componente</t>
  </si>
  <si>
    <t>MAGGIORAZIONE PREZZI PER ADEGUAMENTO VOLT E NORME USA</t>
  </si>
  <si>
    <t>Totale generale</t>
  </si>
  <si>
    <t>snd Capacitive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</si>
</sst>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43" fontId="0" fillId="0" borderId="0" xfId="1" applyFont="1"/>
    <xf numFmtId="0" fontId="0" fillId="2" borderId="1" xfId="0" applyFill="1" applyBorder="1"/>
    <xf numFmtId="43" fontId="0" fillId="2" borderId="1" xfId="1" applyFont="1" applyFill="1" applyBorder="1"/>
    <xf numFmtId="0" fontId="0" fillId="4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43" fontId="0" fillId="3" borderId="1" xfId="0" applyNumberForma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0" borderId="1" xfId="0" applyBorder="1"/>
    <xf numFmtId="43" fontId="0" fillId="0" borderId="1" xfId="1" applyFont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2">
    <cellStyle name="Migliaia" xfId="1" builtinId="3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9"/>
  <sheetViews>
    <sheetView tabSelected="1" workbookViewId="0">
      <selection activeCell="G1" sqref="G1:G1048576"/>
    </sheetView>
  </sheetViews>
  <sheetFormatPr defaultRowHeight="15" x14ac:dyDescent="0.25"/>
  <cols>
    <col min="1" max="1" width="30.85546875" bestFit="1" customWidth="1"/>
    <col min="2" max="2" width="10.42578125" style="1" customWidth="1"/>
    <col min="3" max="3" width="15.7109375" customWidth="1"/>
    <col min="4" max="4" width="15" style="6" customWidth="1"/>
    <col min="7" max="7" width="0" hidden="1" customWidth="1"/>
  </cols>
  <sheetData>
    <row r="1" spans="1:10" x14ac:dyDescent="0.25">
      <c r="A1" s="12" t="s">
        <v>17</v>
      </c>
      <c r="B1" s="13"/>
      <c r="C1" s="13"/>
      <c r="D1" s="14"/>
    </row>
    <row r="3" spans="1:10" x14ac:dyDescent="0.25">
      <c r="A3" s="9" t="s">
        <v>16</v>
      </c>
      <c r="B3" s="10" t="s">
        <v>12</v>
      </c>
      <c r="C3" s="9" t="s">
        <v>14</v>
      </c>
      <c r="D3" s="11" t="s">
        <v>15</v>
      </c>
    </row>
    <row r="5" spans="1:10" x14ac:dyDescent="0.25">
      <c r="A5" s="2" t="s">
        <v>11</v>
      </c>
      <c r="B5" s="3">
        <f>MROUND(G5*Foglio3!$A$1,1)</f>
        <v>84</v>
      </c>
      <c r="C5" s="4"/>
      <c r="D5" s="7">
        <f>B5*C5</f>
        <v>0</v>
      </c>
      <c r="G5">
        <v>82</v>
      </c>
      <c r="J5" s="5"/>
    </row>
    <row r="6" spans="1:10" x14ac:dyDescent="0.25">
      <c r="A6" s="2"/>
      <c r="B6" s="3" t="s">
        <v>13</v>
      </c>
      <c r="C6" s="4"/>
      <c r="D6" s="8"/>
      <c r="G6" t="s">
        <v>13</v>
      </c>
    </row>
    <row r="7" spans="1:10" x14ac:dyDescent="0.25">
      <c r="A7" s="2" t="s">
        <v>0</v>
      </c>
      <c r="B7" s="3">
        <f>MROUND(G7*Foglio3!$A$1,1)</f>
        <v>237</v>
      </c>
      <c r="C7" s="4"/>
      <c r="D7" s="7">
        <f>B7*C7</f>
        <v>0</v>
      </c>
      <c r="G7">
        <v>230</v>
      </c>
    </row>
    <row r="8" spans="1:10" x14ac:dyDescent="0.25">
      <c r="A8" s="2"/>
      <c r="B8" s="3" t="s">
        <v>13</v>
      </c>
      <c r="C8" s="4"/>
      <c r="D8" s="8"/>
      <c r="G8" t="s">
        <v>13</v>
      </c>
    </row>
    <row r="9" spans="1:10" x14ac:dyDescent="0.25">
      <c r="A9" s="2" t="s">
        <v>1</v>
      </c>
      <c r="B9" s="3">
        <f>MROUND(G9*Foglio3!$A$1,1)</f>
        <v>278</v>
      </c>
      <c r="C9" s="4"/>
      <c r="D9" s="7">
        <f>B9*C9</f>
        <v>0</v>
      </c>
      <c r="G9">
        <v>270</v>
      </c>
    </row>
    <row r="10" spans="1:10" x14ac:dyDescent="0.25">
      <c r="A10" s="2"/>
      <c r="B10" s="3" t="s">
        <v>13</v>
      </c>
      <c r="C10" s="4"/>
      <c r="D10" s="8"/>
      <c r="G10" t="s">
        <v>13</v>
      </c>
    </row>
    <row r="11" spans="1:10" x14ac:dyDescent="0.25">
      <c r="A11" s="2" t="s">
        <v>2</v>
      </c>
      <c r="B11" s="3">
        <f>MROUND(G11*Foglio3!$A$1,1)</f>
        <v>515</v>
      </c>
      <c r="C11" s="4"/>
      <c r="D11" s="7">
        <f>B11*C11</f>
        <v>0</v>
      </c>
      <c r="G11">
        <v>500</v>
      </c>
    </row>
    <row r="12" spans="1:10" x14ac:dyDescent="0.25">
      <c r="A12" s="2"/>
      <c r="B12" s="3" t="s">
        <v>13</v>
      </c>
      <c r="C12" s="4"/>
      <c r="D12" s="8"/>
      <c r="G12" t="s">
        <v>13</v>
      </c>
    </row>
    <row r="13" spans="1:10" x14ac:dyDescent="0.25">
      <c r="A13" s="2" t="s">
        <v>3</v>
      </c>
      <c r="B13" s="3">
        <f>MROUND(G13*Foglio3!$A$1,1)</f>
        <v>78</v>
      </c>
      <c r="C13" s="4"/>
      <c r="D13" s="7">
        <f>B13*C13</f>
        <v>0</v>
      </c>
      <c r="G13">
        <v>76</v>
      </c>
    </row>
    <row r="14" spans="1:10" x14ac:dyDescent="0.25">
      <c r="A14" s="2"/>
      <c r="B14" s="3" t="s">
        <v>13</v>
      </c>
      <c r="C14" s="4"/>
      <c r="D14" s="8"/>
      <c r="G14" t="s">
        <v>13</v>
      </c>
    </row>
    <row r="15" spans="1:10" x14ac:dyDescent="0.25">
      <c r="A15" s="2" t="s">
        <v>4</v>
      </c>
      <c r="B15" s="3">
        <f>MROUND(G15*Foglio3!$A$1,1)</f>
        <v>98</v>
      </c>
      <c r="C15" s="4"/>
      <c r="D15" s="7">
        <f>B15*C15</f>
        <v>0</v>
      </c>
      <c r="G15">
        <v>95</v>
      </c>
    </row>
    <row r="16" spans="1:10" x14ac:dyDescent="0.25">
      <c r="A16" s="2"/>
      <c r="B16" s="3" t="s">
        <v>13</v>
      </c>
      <c r="C16" s="4"/>
      <c r="D16" s="8"/>
      <c r="G16" t="s">
        <v>13</v>
      </c>
    </row>
    <row r="17" spans="1:7" x14ac:dyDescent="0.25">
      <c r="A17" s="2" t="s">
        <v>5</v>
      </c>
      <c r="B17" s="3">
        <f>MROUND(G17*Foglio3!$A$1,1)</f>
        <v>78</v>
      </c>
      <c r="C17" s="4"/>
      <c r="D17" s="7">
        <f>B17*C17</f>
        <v>0</v>
      </c>
      <c r="G17">
        <v>76</v>
      </c>
    </row>
    <row r="18" spans="1:7" x14ac:dyDescent="0.25">
      <c r="A18" s="2"/>
      <c r="B18" s="3" t="s">
        <v>13</v>
      </c>
      <c r="C18" s="4"/>
      <c r="D18" s="8"/>
      <c r="G18" t="s">
        <v>13</v>
      </c>
    </row>
    <row r="19" spans="1:7" x14ac:dyDescent="0.25">
      <c r="A19" s="2" t="s">
        <v>6</v>
      </c>
      <c r="B19" s="3">
        <f>MROUND(G19*Foglio3!$A$1,1)</f>
        <v>78</v>
      </c>
      <c r="C19" s="4"/>
      <c r="D19" s="7">
        <f>B19*C19</f>
        <v>0</v>
      </c>
      <c r="G19">
        <v>76</v>
      </c>
    </row>
    <row r="20" spans="1:7" x14ac:dyDescent="0.25">
      <c r="A20" s="2"/>
      <c r="B20" s="3" t="s">
        <v>13</v>
      </c>
      <c r="C20" s="4"/>
      <c r="D20" s="8"/>
      <c r="G20" t="s">
        <v>13</v>
      </c>
    </row>
    <row r="21" spans="1:7" x14ac:dyDescent="0.25">
      <c r="A21" s="2" t="s">
        <v>19</v>
      </c>
      <c r="B21" s="3">
        <f>MROUND(G21*Foglio3!$A$1,1)</f>
        <v>114</v>
      </c>
      <c r="C21" s="4"/>
      <c r="D21" s="7">
        <f>B21*C21</f>
        <v>0</v>
      </c>
      <c r="G21">
        <v>111</v>
      </c>
    </row>
    <row r="22" spans="1:7" x14ac:dyDescent="0.25">
      <c r="A22" s="2"/>
      <c r="B22" s="3" t="s">
        <v>13</v>
      </c>
      <c r="C22" s="4"/>
      <c r="D22" s="8"/>
      <c r="G22" t="s">
        <v>13</v>
      </c>
    </row>
    <row r="23" spans="1:7" x14ac:dyDescent="0.25">
      <c r="A23" s="2" t="s">
        <v>10</v>
      </c>
      <c r="B23" s="3" t="s">
        <v>13</v>
      </c>
      <c r="C23" s="4"/>
      <c r="D23" s="8"/>
      <c r="G23" t="s">
        <v>13</v>
      </c>
    </row>
    <row r="24" spans="1:7" x14ac:dyDescent="0.25">
      <c r="A24" s="2" t="s">
        <v>7</v>
      </c>
      <c r="B24" s="3">
        <f>MROUND(G24*Foglio3!$A$1,1)</f>
        <v>721</v>
      </c>
      <c r="C24" s="4"/>
      <c r="D24" s="7">
        <f>B24*C24</f>
        <v>0</v>
      </c>
      <c r="G24">
        <v>700</v>
      </c>
    </row>
    <row r="25" spans="1:7" x14ac:dyDescent="0.25">
      <c r="A25" s="2" t="s">
        <v>8</v>
      </c>
      <c r="B25" s="3">
        <f>MROUND(G25*Foglio3!$A$1,1)</f>
        <v>536</v>
      </c>
      <c r="C25" s="4"/>
      <c r="D25" s="7">
        <f>B25*C25</f>
        <v>0</v>
      </c>
      <c r="G25">
        <v>520</v>
      </c>
    </row>
    <row r="26" spans="1:7" x14ac:dyDescent="0.25">
      <c r="A26" s="2" t="s">
        <v>9</v>
      </c>
      <c r="B26" s="3">
        <f>MROUND(G26*Foglio3!$A$1,1)</f>
        <v>179</v>
      </c>
      <c r="C26" s="4"/>
      <c r="D26" s="7">
        <f>B26*C26</f>
        <v>0</v>
      </c>
      <c r="G26">
        <v>174</v>
      </c>
    </row>
    <row r="29" spans="1:7" x14ac:dyDescent="0.25">
      <c r="C29" t="s">
        <v>18</v>
      </c>
      <c r="D29" s="7">
        <f>SUM(D5:D26)</f>
        <v>0</v>
      </c>
    </row>
  </sheetData>
  <sheetProtection algorithmName="SHA-512" hashValue="LBXXrC8XQP/TRaIRxnl93x6Q09NVCQou8dZIrkbWDVzAtP548O7nR/t5dGg5bppvQ2gIzGNe+2uLo3sTAcXPQg==" saltValue="wG6kELTF2vo2LnLo8k+wBA==" spinCount="100000" sheet="1" objects="1" scenarios="1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1.03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RIAVV USA 60 HZ</vt:lpstr>
      <vt:lpstr>Foglio3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Marino Montalti</dc:creator>
  <cp:lastModifiedBy>Sandra Ceccarelli</cp:lastModifiedBy>
  <dcterms:created xsi:type="dcterms:W3CDTF">2012-07-11T12:31:49Z</dcterms:created>
  <dcterms:modified xsi:type="dcterms:W3CDTF">2026-01-14T10:33:05Z</dcterms:modified>
</cp:coreProperties>
</file>