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drawings/drawing3.xml" ContentType="application/vnd.openxmlformats-officedocument.drawing+xml"/>
  <Override PartName="/xl/embeddings/oleObject8.bin" ContentType="application/vnd.openxmlformats-officedocument.oleObject"/>
  <Override PartName="/xl/drawings/drawing4.xml" ContentType="application/vnd.openxmlformats-officedocument.drawing+xml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embeddings/oleObject16.bin" ContentType="application/vnd.openxmlformats-officedocument.oleObject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/>
  <workbookPr/>
  <mc:AlternateContent xmlns:mc="http://schemas.openxmlformats.org/markup-compatibility/2006">
    <mc:Choice Requires="x15">
      <x15ac:absPath xmlns:x15ac="http://schemas.microsoft.com/office/spreadsheetml/2010/11/ac" url="Q:\Excelmod\XLSTART\OLD\OLD 12.01.2026\"/>
    </mc:Choice>
  </mc:AlternateContent>
  <xr:revisionPtr revIDLastSave="0" documentId="13_ncr:1_{9B4F7E04-2A4D-4088-A97C-D2DC379ED9F8}" xr6:coauthVersionLast="47" xr6:coauthVersionMax="47" xr10:uidLastSave="{00000000-0000-0000-0000-000000000000}"/>
  <workbookProtection workbookAlgorithmName="SHA-512" workbookHashValue="+DcXP3jizKx1rQA/HDNQM0MQO0t8vS2U5NUkIUhZVq/WenIK0lfeqYP4x9RleldwQjVkNNOvtBtw+YBQO2Klew==" workbookSaltValue="cKXl67IrHdFl1xqiDIU1Gg==" workbookSpinCount="100000" lockStructure="1"/>
  <bookViews>
    <workbookView xWindow="-120" yWindow="-120" windowWidth="24240" windowHeight="13020" xr2:uid="{00000000-000D-0000-FFFF-FFFF00000000}"/>
  </bookViews>
  <sheets>
    <sheet name="STXVOLUME" sheetId="1" r:id="rId1"/>
    <sheet name="STXVOLUME (2)" sheetId="9" state="hidden" r:id="rId2"/>
    <sheet name="CONVERSIONE" sheetId="10" state="hidden" r:id="rId3"/>
    <sheet name="Foglio3" sheetId="17" state="hidden" r:id="rId4"/>
    <sheet name="PREZZI" sheetId="8" state="hidden" r:id="rId5"/>
    <sheet name="MAGGIORAZIONI" sheetId="18" state="hidden" r:id="rId6"/>
    <sheet name="PREZZI 2018" sheetId="16" state="hidden" r:id="rId7"/>
    <sheet name="sacco (2)" sheetId="11" state="hidden" r:id="rId8"/>
    <sheet name="Calcolo1" sheetId="2" state="hidden" r:id="rId9"/>
    <sheet name="calcoloPunti" sheetId="5" state="hidden" r:id="rId10"/>
    <sheet name="Sviluppo lato lungo" sheetId="3" state="hidden" r:id="rId11"/>
    <sheet name="Sviluppo lato corto" sheetId="4" state="hidden" r:id="rId12"/>
    <sheet name="sacco" sheetId="7" state="hidden" r:id="rId13"/>
    <sheet name="CalcoloVolume" sheetId="6" state="hidden" r:id="rId14"/>
    <sheet name="Foglio1" sheetId="13" state="hidden" r:id="rId15"/>
    <sheet name="Foglio2" sheetId="14" state="hidden" r:id="rId16"/>
    <sheet name="VERIFICA RIALZO PIEDI" sheetId="15" state="hidden" r:id="rId17"/>
  </sheets>
  <definedNames>
    <definedName name="_xlnm._FilterDatabase" localSheetId="16" hidden="1">'VERIFICA RIALZO PIEDI'!$A$1:$AS$4</definedName>
    <definedName name="_xlnm.Print_Area" localSheetId="12">sacco!$A$1:$L$30</definedName>
    <definedName name="_xlnm.Print_Area" localSheetId="7">'sacco (2)'!$A$1:$L$30</definedName>
    <definedName name="_xlnm.Print_Area" localSheetId="0">STXVOLUME!$A$8:$AR$55</definedName>
    <definedName name="_xlnm.Print_Area" localSheetId="1">'STXVOLUME (2)'!$A$1:$M$63</definedName>
    <definedName name="_xlnm.Print_Area" localSheetId="11">'Sviluppo lato corto'!$A$1:$Z$53</definedName>
    <definedName name="_xlnm.Print_Area" localSheetId="10">'Sviluppo lato lungo'!$A$1:$AF$58</definedName>
    <definedName name="LINGUE" localSheetId="12">sacco!$N$1:$P$30</definedName>
    <definedName name="LINGUE" localSheetId="7">'sacco (2)'!$N$1:$P$30</definedName>
    <definedName name="LINGUE">STXVOLUME!$Y$9:$AC$151</definedName>
    <definedName name="LINGUEBIS">'STXVOLUME (2)'!$O$1:$S$113</definedName>
    <definedName name="SACCONI">PREZZI!$F$32:$H$40</definedName>
    <definedName name="SILO">PREZZI!$F$119:$H$127</definedName>
    <definedName name="STRUTTURA">PREZZI!$F$90:$H$98</definedName>
    <definedName name="TC">PREZZI!$F$61:$H$69</definedName>
    <definedName name="volumi">PREZZI!$F$32:$F$40</definedName>
    <definedName name="volumint">PREZZI!$B$44:$D$51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7" i="8" l="1"/>
  <c r="Y7" i="8"/>
  <c r="U8" i="8"/>
  <c r="X8" i="8"/>
  <c r="U9" i="8"/>
  <c r="X9" i="8"/>
  <c r="Y9" i="8"/>
  <c r="U10" i="8"/>
  <c r="X10" i="8"/>
  <c r="U11" i="8"/>
  <c r="X11" i="8"/>
  <c r="Y11" i="8"/>
  <c r="U12" i="8"/>
  <c r="X12" i="8"/>
  <c r="U13" i="8"/>
  <c r="X13" i="8"/>
  <c r="Y13" i="8"/>
  <c r="U14" i="8"/>
  <c r="X14" i="8"/>
  <c r="U15" i="8"/>
  <c r="X15" i="8"/>
  <c r="Y15" i="8"/>
  <c r="U16" i="8"/>
  <c r="X16" i="8"/>
  <c r="U17" i="8"/>
  <c r="X17" i="8"/>
  <c r="Y17" i="8"/>
  <c r="U18" i="8"/>
  <c r="X18" i="8"/>
  <c r="U19" i="8"/>
  <c r="X19" i="8"/>
  <c r="Y19" i="8"/>
  <c r="U20" i="8"/>
  <c r="X20" i="8"/>
  <c r="U21" i="8"/>
  <c r="X21" i="8"/>
  <c r="Y21" i="8"/>
  <c r="U22" i="8"/>
  <c r="X22" i="8"/>
  <c r="Y23" i="8"/>
  <c r="H3" i="18"/>
  <c r="H5" i="18"/>
  <c r="H7" i="18"/>
  <c r="H9" i="18"/>
  <c r="H11" i="18"/>
  <c r="H13" i="18"/>
  <c r="H15" i="18"/>
  <c r="H17" i="18"/>
  <c r="H1" i="18"/>
  <c r="C3" i="18"/>
  <c r="C5" i="18"/>
  <c r="C7" i="18"/>
  <c r="C9" i="18"/>
  <c r="C11" i="18"/>
  <c r="C13" i="18"/>
  <c r="C15" i="18"/>
  <c r="C17" i="18"/>
  <c r="C1" i="18"/>
  <c r="D142" i="1" l="1"/>
  <c r="D141" i="1"/>
  <c r="D140" i="1"/>
  <c r="D139" i="1"/>
  <c r="D138" i="1"/>
  <c r="D137" i="1"/>
  <c r="D136" i="1"/>
  <c r="J124" i="1"/>
  <c r="D118" i="1"/>
  <c r="D117" i="1"/>
  <c r="D116" i="1"/>
  <c r="D115" i="1"/>
  <c r="D114" i="1"/>
  <c r="D113" i="1"/>
  <c r="D112" i="1"/>
  <c r="D111" i="1"/>
  <c r="D110" i="1"/>
  <c r="L105" i="1"/>
  <c r="I105" i="1"/>
  <c r="D105" i="1"/>
  <c r="C105" i="1"/>
  <c r="B105" i="1"/>
  <c r="L104" i="1"/>
  <c r="I104" i="1"/>
  <c r="L103" i="1"/>
  <c r="I103" i="1"/>
  <c r="L102" i="1"/>
  <c r="I102" i="1"/>
  <c r="L101" i="1"/>
  <c r="I101" i="1"/>
  <c r="D101" i="1"/>
  <c r="B101" i="1"/>
  <c r="L100" i="1"/>
  <c r="D100" i="1"/>
  <c r="D84" i="1"/>
  <c r="B83" i="1"/>
  <c r="B82" i="1"/>
  <c r="B81" i="1"/>
  <c r="I80" i="1"/>
  <c r="I34" i="1" s="1"/>
  <c r="B80" i="1"/>
  <c r="B79" i="1"/>
  <c r="B78" i="1"/>
  <c r="B77" i="1"/>
  <c r="B76" i="1"/>
  <c r="B75" i="1"/>
  <c r="I74" i="1"/>
  <c r="B74" i="1"/>
  <c r="I73" i="1"/>
  <c r="C122" i="1" s="1"/>
  <c r="B73" i="1"/>
  <c r="B72" i="1"/>
  <c r="B71" i="1"/>
  <c r="H70" i="1"/>
  <c r="B69" i="1"/>
  <c r="B68" i="1"/>
  <c r="B67" i="1"/>
  <c r="H66" i="1"/>
  <c r="B66" i="1"/>
  <c r="H65" i="1"/>
  <c r="B65" i="1"/>
  <c r="X64" i="1"/>
  <c r="G64" i="1"/>
  <c r="F64" i="1"/>
  <c r="B64" i="1"/>
  <c r="D63" i="1"/>
  <c r="B63" i="1"/>
  <c r="J60" i="1"/>
  <c r="I75" i="1" l="1"/>
  <c r="C131" i="1"/>
  <c r="C133" i="1"/>
  <c r="C132" i="1"/>
  <c r="C134" i="1"/>
  <c r="D109" i="1"/>
  <c r="C123" i="1"/>
  <c r="C124" i="1"/>
  <c r="C125" i="1"/>
  <c r="C126" i="1"/>
  <c r="C127" i="1"/>
  <c r="C129" i="1"/>
  <c r="D121" i="1" s="1"/>
  <c r="C130" i="1"/>
  <c r="H69" i="1"/>
  <c r="M74" i="8" l="1"/>
  <c r="G61" i="8"/>
  <c r="H61" i="8"/>
  <c r="J61" i="8"/>
  <c r="G9" i="16"/>
  <c r="E2" i="16"/>
  <c r="E3" i="16"/>
  <c r="E4" i="16"/>
  <c r="E20" i="16" s="1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AB114" i="8" l="1"/>
  <c r="AC115" i="8"/>
  <c r="AC116" i="8"/>
  <c r="AC117" i="8"/>
  <c r="AC118" i="8"/>
  <c r="AC119" i="8"/>
  <c r="AC120" i="8"/>
  <c r="AC121" i="8"/>
  <c r="AC122" i="8"/>
  <c r="AC114" i="8"/>
  <c r="AB115" i="8"/>
  <c r="AB116" i="8"/>
  <c r="AB117" i="8"/>
  <c r="AB118" i="8"/>
  <c r="AB119" i="8"/>
  <c r="AB120" i="8"/>
  <c r="AB121" i="8"/>
  <c r="AB122" i="8"/>
  <c r="AB100" i="8"/>
  <c r="AC89" i="8"/>
  <c r="AA102" i="8"/>
  <c r="S50" i="8"/>
  <c r="S49" i="8"/>
  <c r="S48" i="8"/>
  <c r="S47" i="8"/>
  <c r="J69" i="8"/>
  <c r="G69" i="8"/>
  <c r="J68" i="8"/>
  <c r="G68" i="8"/>
  <c r="J67" i="8"/>
  <c r="G67" i="8"/>
  <c r="J66" i="8"/>
  <c r="G66" i="8"/>
  <c r="J65" i="8"/>
  <c r="G65" i="8"/>
  <c r="J64" i="8"/>
  <c r="G64" i="8"/>
  <c r="J63" i="8"/>
  <c r="G63" i="8"/>
  <c r="J62" i="8"/>
  <c r="G62" i="8"/>
  <c r="X6" i="8" l="1"/>
  <c r="H69" i="8" l="1"/>
  <c r="H68" i="8"/>
  <c r="H67" i="8"/>
  <c r="H66" i="8"/>
  <c r="H65" i="8"/>
  <c r="H64" i="8"/>
  <c r="H63" i="8"/>
  <c r="H62" i="8"/>
  <c r="Q101" i="8" s="1"/>
  <c r="X29" i="8"/>
  <c r="AC90" i="8"/>
  <c r="AC91" i="8"/>
  <c r="AC92" i="8"/>
  <c r="AC93" i="8"/>
  <c r="AC94" i="8"/>
  <c r="AC95" i="8"/>
  <c r="AC96" i="8"/>
  <c r="AC97" i="8"/>
  <c r="AB90" i="8"/>
  <c r="AB91" i="8"/>
  <c r="AB92" i="8"/>
  <c r="AB93" i="8"/>
  <c r="AB94" i="8"/>
  <c r="AB95" i="8"/>
  <c r="AB96" i="8"/>
  <c r="AB97" i="8"/>
  <c r="AS23" i="15"/>
  <c r="AS31" i="15" s="1"/>
  <c r="AS17" i="15"/>
  <c r="AS30" i="15" s="1"/>
  <c r="AS11" i="15"/>
  <c r="AS28" i="15" s="1"/>
  <c r="AS5" i="15"/>
  <c r="AS27" i="15" s="1"/>
  <c r="U57" i="8"/>
  <c r="X57" i="8"/>
  <c r="Y57" i="8"/>
  <c r="X58" i="8"/>
  <c r="U59" i="8"/>
  <c r="X59" i="8"/>
  <c r="Y59" i="8"/>
  <c r="X60" i="8"/>
  <c r="G146" i="8"/>
  <c r="G51" i="8" l="1"/>
  <c r="G80" i="8"/>
  <c r="G108" i="8"/>
  <c r="G137" i="8"/>
  <c r="P8" i="1" l="1"/>
  <c r="P48" i="1" s="1"/>
  <c r="L47" i="1" s="1"/>
  <c r="R53" i="8"/>
  <c r="D8" i="9"/>
  <c r="D7" i="9"/>
  <c r="D6" i="9"/>
  <c r="I52" i="9" s="1"/>
  <c r="H51" i="8"/>
  <c r="B6" i="9"/>
  <c r="B5" i="9"/>
  <c r="H43" i="9" s="1"/>
  <c r="L1" i="11"/>
  <c r="K16" i="11"/>
  <c r="K18" i="11"/>
  <c r="D39" i="11"/>
  <c r="J39" i="11"/>
  <c r="J43" i="11"/>
  <c r="D42" i="11"/>
  <c r="D3" i="10"/>
  <c r="D4" i="10"/>
  <c r="F4" i="10"/>
  <c r="D6" i="10"/>
  <c r="D7" i="10"/>
  <c r="B10" i="10"/>
  <c r="D10" i="10" s="1"/>
  <c r="C10" i="10"/>
  <c r="B11" i="10"/>
  <c r="D11" i="10" s="1"/>
  <c r="C11" i="10"/>
  <c r="B12" i="10"/>
  <c r="D12" i="10" s="1"/>
  <c r="C12" i="10"/>
  <c r="B15" i="10"/>
  <c r="H16" i="10"/>
  <c r="I16" i="10"/>
  <c r="J18" i="10" s="1"/>
  <c r="G29" i="10" s="1"/>
  <c r="E31" i="10" s="1"/>
  <c r="J16" i="10"/>
  <c r="I19" i="10" s="1"/>
  <c r="C18" i="10"/>
  <c r="C19" i="10"/>
  <c r="D23" i="10"/>
  <c r="D24" i="10"/>
  <c r="D29" i="10"/>
  <c r="D30" i="10"/>
  <c r="D31" i="10"/>
  <c r="D1" i="9"/>
  <c r="K1" i="9"/>
  <c r="M1" i="9"/>
  <c r="N1" i="9"/>
  <c r="D2" i="9"/>
  <c r="K2" i="9"/>
  <c r="D3" i="9"/>
  <c r="K3" i="9"/>
  <c r="K4" i="9"/>
  <c r="A5" i="9"/>
  <c r="C5" i="9"/>
  <c r="A6" i="9"/>
  <c r="C6" i="9"/>
  <c r="A7" i="9"/>
  <c r="AM7" i="9"/>
  <c r="BA7" i="9"/>
  <c r="BN7" i="9"/>
  <c r="CA7" i="9"/>
  <c r="A8" i="9"/>
  <c r="K9" i="9"/>
  <c r="J11" i="9"/>
  <c r="J12" i="9"/>
  <c r="J13" i="9"/>
  <c r="J14" i="9"/>
  <c r="J15" i="9"/>
  <c r="J16" i="9"/>
  <c r="J17" i="9"/>
  <c r="L17" i="9"/>
  <c r="J18" i="9"/>
  <c r="J19" i="9"/>
  <c r="J20" i="9"/>
  <c r="J21" i="9"/>
  <c r="W26" i="9"/>
  <c r="Z26" i="9"/>
  <c r="AK26" i="9"/>
  <c r="AN26" i="9"/>
  <c r="AY26" i="9"/>
  <c r="BB26" i="9"/>
  <c r="BL26" i="9"/>
  <c r="BO26" i="9"/>
  <c r="BY26" i="9"/>
  <c r="CB26" i="9"/>
  <c r="CM26" i="9"/>
  <c r="CP26" i="9"/>
  <c r="Z27" i="9"/>
  <c r="AN27" i="9"/>
  <c r="BB27" i="9"/>
  <c r="BO27" i="9"/>
  <c r="CB27" i="9"/>
  <c r="CP27" i="9"/>
  <c r="Z28" i="9"/>
  <c r="AN28" i="9"/>
  <c r="BB28" i="9"/>
  <c r="BO28" i="9"/>
  <c r="CB28" i="9"/>
  <c r="CP28" i="9"/>
  <c r="Z29" i="9"/>
  <c r="AN29" i="9"/>
  <c r="BB29" i="9"/>
  <c r="BO29" i="9"/>
  <c r="CB29" i="9"/>
  <c r="CP29" i="9"/>
  <c r="Z30" i="9"/>
  <c r="AN30" i="9"/>
  <c r="BB30" i="9"/>
  <c r="BO30" i="9"/>
  <c r="CB30" i="9"/>
  <c r="CP30" i="9"/>
  <c r="A41" i="9"/>
  <c r="D41" i="9"/>
  <c r="C98" i="9" s="1"/>
  <c r="A42" i="9"/>
  <c r="E42" i="9"/>
  <c r="F42" i="9"/>
  <c r="G42" i="9"/>
  <c r="J42" i="9"/>
  <c r="K42" i="9"/>
  <c r="L42" i="9"/>
  <c r="M42" i="9"/>
  <c r="N42" i="9"/>
  <c r="A43" i="9"/>
  <c r="G43" i="9"/>
  <c r="CE43" i="9"/>
  <c r="A44" i="9"/>
  <c r="G44" i="9"/>
  <c r="J44" i="9"/>
  <c r="K44" i="9"/>
  <c r="M44" i="9" s="1"/>
  <c r="L44" i="9"/>
  <c r="A45" i="9"/>
  <c r="G45" i="9"/>
  <c r="A46" i="9"/>
  <c r="G46" i="9"/>
  <c r="A47" i="9"/>
  <c r="G47" i="9"/>
  <c r="G48" i="9"/>
  <c r="A49" i="9"/>
  <c r="G49" i="9"/>
  <c r="A50" i="9"/>
  <c r="G50" i="9"/>
  <c r="A51" i="9"/>
  <c r="G51" i="9"/>
  <c r="A52" i="9"/>
  <c r="G52" i="9"/>
  <c r="A53" i="9"/>
  <c r="A54" i="9"/>
  <c r="A55" i="9"/>
  <c r="A56" i="9"/>
  <c r="A57" i="9"/>
  <c r="A58" i="9"/>
  <c r="A59" i="9"/>
  <c r="A60" i="9"/>
  <c r="A61" i="9"/>
  <c r="A62" i="9"/>
  <c r="A63" i="9"/>
  <c r="A66" i="9"/>
  <c r="C66" i="9"/>
  <c r="H66" i="9"/>
  <c r="J66" i="9"/>
  <c r="A67" i="9"/>
  <c r="C67" i="9"/>
  <c r="H67" i="9"/>
  <c r="J67" i="9"/>
  <c r="H68" i="9"/>
  <c r="J68" i="9"/>
  <c r="H69" i="9"/>
  <c r="J69" i="9"/>
  <c r="H70" i="9"/>
  <c r="J70" i="9"/>
  <c r="A71" i="9"/>
  <c r="B71" i="9"/>
  <c r="C71" i="9"/>
  <c r="H71" i="9"/>
  <c r="J71" i="9"/>
  <c r="K73" i="9"/>
  <c r="K74" i="9"/>
  <c r="M74" i="9"/>
  <c r="K75" i="9"/>
  <c r="M75" i="9"/>
  <c r="K76" i="9"/>
  <c r="M76" i="9"/>
  <c r="K77" i="9"/>
  <c r="M77" i="9"/>
  <c r="K78" i="9"/>
  <c r="M78" i="9"/>
  <c r="K79" i="9"/>
  <c r="M79" i="9"/>
  <c r="K80" i="9"/>
  <c r="M80" i="9"/>
  <c r="K81" i="9"/>
  <c r="F88" i="9"/>
  <c r="G88" i="9"/>
  <c r="F89" i="9"/>
  <c r="G89" i="9"/>
  <c r="C99" i="9"/>
  <c r="C100" i="9"/>
  <c r="C104" i="9"/>
  <c r="U6" i="8"/>
  <c r="U28" i="8"/>
  <c r="X28" i="8"/>
  <c r="Y29" i="8"/>
  <c r="F30" i="8"/>
  <c r="U30" i="8"/>
  <c r="X30" i="8"/>
  <c r="X31" i="8"/>
  <c r="Y31" i="8"/>
  <c r="U32" i="8"/>
  <c r="U53" i="8" s="1"/>
  <c r="X32" i="8"/>
  <c r="X33" i="8"/>
  <c r="Y33" i="8"/>
  <c r="U34" i="8"/>
  <c r="X34" i="8"/>
  <c r="Q35" i="8"/>
  <c r="X35" i="8"/>
  <c r="Y35" i="8"/>
  <c r="Q36" i="8"/>
  <c r="U36" i="8"/>
  <c r="U58" i="8" s="1"/>
  <c r="X36" i="8"/>
  <c r="Q37" i="8"/>
  <c r="R37" i="8"/>
  <c r="X37" i="8"/>
  <c r="Y37" i="8"/>
  <c r="Q38" i="8"/>
  <c r="U38" i="8"/>
  <c r="U60" i="8" s="1"/>
  <c r="X38" i="8"/>
  <c r="Q39" i="8"/>
  <c r="X39" i="8"/>
  <c r="Y39" i="8"/>
  <c r="Q40" i="8"/>
  <c r="R40" i="8"/>
  <c r="U40" i="8"/>
  <c r="X40" i="8"/>
  <c r="Q41" i="8"/>
  <c r="X41" i="8"/>
  <c r="Y41" i="8"/>
  <c r="Q42" i="8"/>
  <c r="U42" i="8"/>
  <c r="U64" i="8" s="1"/>
  <c r="X42" i="8"/>
  <c r="X43" i="8"/>
  <c r="Y43" i="8"/>
  <c r="C44" i="8"/>
  <c r="B44" i="8" s="1"/>
  <c r="U44" i="8"/>
  <c r="X44" i="8"/>
  <c r="C45" i="8"/>
  <c r="B45" i="8" s="1"/>
  <c r="X45" i="8"/>
  <c r="Y45" i="8"/>
  <c r="C46" i="8"/>
  <c r="B46" i="8" s="1"/>
  <c r="D45" i="8"/>
  <c r="B47" i="8"/>
  <c r="C47" i="8"/>
  <c r="D46" i="8"/>
  <c r="D47" i="8"/>
  <c r="B48" i="8"/>
  <c r="C48" i="8"/>
  <c r="B49" i="8"/>
  <c r="C49" i="8"/>
  <c r="D48" i="8" s="1"/>
  <c r="U49" i="8"/>
  <c r="X49" i="8"/>
  <c r="C50" i="8"/>
  <c r="D49" i="8" s="1"/>
  <c r="X50" i="8"/>
  <c r="Y50" i="8"/>
  <c r="C51" i="8"/>
  <c r="B51" i="8" s="1"/>
  <c r="U51" i="8"/>
  <c r="X51" i="8"/>
  <c r="B52" i="8"/>
  <c r="C52" i="8"/>
  <c r="D51" i="8"/>
  <c r="U52" i="8"/>
  <c r="Y52" i="8"/>
  <c r="X53" i="8"/>
  <c r="U54" i="8"/>
  <c r="X54" i="8"/>
  <c r="Y54" i="8"/>
  <c r="U55" i="8"/>
  <c r="X55" i="8"/>
  <c r="F58" i="8"/>
  <c r="U61" i="8"/>
  <c r="X61" i="8"/>
  <c r="Y61" i="8"/>
  <c r="U62" i="8"/>
  <c r="X62" i="8"/>
  <c r="U63" i="8"/>
  <c r="X63" i="8"/>
  <c r="Y63" i="8"/>
  <c r="X64" i="8"/>
  <c r="U65" i="8"/>
  <c r="X65" i="8"/>
  <c r="Y65" i="8"/>
  <c r="U66" i="8"/>
  <c r="X66" i="8"/>
  <c r="Y67" i="8"/>
  <c r="H80" i="8"/>
  <c r="F87" i="8"/>
  <c r="Q90" i="8"/>
  <c r="Q91" i="8"/>
  <c r="Q92" i="8"/>
  <c r="Q93" i="8"/>
  <c r="Q94" i="8"/>
  <c r="Q95" i="8"/>
  <c r="Q96" i="8"/>
  <c r="Q97" i="8"/>
  <c r="Q98" i="8"/>
  <c r="Q100" i="8"/>
  <c r="Q102" i="8"/>
  <c r="Q103" i="8"/>
  <c r="Q104" i="8"/>
  <c r="Q105" i="8"/>
  <c r="Q106" i="8"/>
  <c r="Q107" i="8"/>
  <c r="H108" i="8"/>
  <c r="Q108" i="8"/>
  <c r="F116" i="8"/>
  <c r="H137" i="8"/>
  <c r="D50" i="8"/>
  <c r="C96" i="1"/>
  <c r="N13" i="1"/>
  <c r="AA38" i="1"/>
  <c r="AA37" i="1"/>
  <c r="AA36" i="1"/>
  <c r="M39" i="7"/>
  <c r="M44" i="7" s="1"/>
  <c r="D39" i="7"/>
  <c r="J39" i="7"/>
  <c r="J43" i="7" s="1"/>
  <c r="D42" i="7"/>
  <c r="N46" i="1"/>
  <c r="N42" i="1"/>
  <c r="D8" i="6"/>
  <c r="F6" i="4"/>
  <c r="H14" i="1"/>
  <c r="C90" i="1"/>
  <c r="N41" i="1"/>
  <c r="H68" i="1"/>
  <c r="L12" i="9" l="1"/>
  <c r="C79" i="9"/>
  <c r="C82" i="9"/>
  <c r="C84" i="9"/>
  <c r="C83" i="9"/>
  <c r="I46" i="9"/>
  <c r="H46" i="9"/>
  <c r="E30" i="10"/>
  <c r="E29" i="10"/>
  <c r="E32" i="10" s="1"/>
  <c r="C103" i="9"/>
  <c r="C102" i="9"/>
  <c r="H48" i="9"/>
  <c r="C101" i="9"/>
  <c r="D44" i="8"/>
  <c r="B50" i="8"/>
  <c r="I47" i="9"/>
  <c r="I43" i="9"/>
  <c r="C76" i="9"/>
  <c r="I89" i="9"/>
  <c r="L21" i="9" s="1"/>
  <c r="K13" i="11" s="1"/>
  <c r="H47" i="9"/>
  <c r="L47" i="9" s="1"/>
  <c r="I51" i="9"/>
  <c r="I55" i="9" s="1"/>
  <c r="C80" i="9"/>
  <c r="L13" i="9"/>
  <c r="C78" i="9"/>
  <c r="C77" i="9"/>
  <c r="C81" i="9"/>
  <c r="N50" i="1"/>
  <c r="P24" i="1"/>
  <c r="I14" i="1" s="1"/>
  <c r="F21" i="1"/>
  <c r="G22" i="1"/>
  <c r="P27" i="1"/>
  <c r="C24" i="1" s="1"/>
  <c r="E21" i="1"/>
  <c r="P44" i="1"/>
  <c r="L43" i="1" s="1"/>
  <c r="P36" i="1"/>
  <c r="H27" i="1" s="1"/>
  <c r="P12" i="1"/>
  <c r="P23" i="1"/>
  <c r="B18" i="1" s="1"/>
  <c r="P42" i="1"/>
  <c r="L41" i="1" s="1"/>
  <c r="P22" i="1"/>
  <c r="B16" i="1" s="1"/>
  <c r="P50" i="1"/>
  <c r="L49" i="1" s="1"/>
  <c r="F22" i="1"/>
  <c r="P20" i="1"/>
  <c r="B15" i="1" s="1"/>
  <c r="P19" i="1"/>
  <c r="D14" i="1" s="1"/>
  <c r="P14" i="1"/>
  <c r="E12" i="1" s="1"/>
  <c r="E22" i="1"/>
  <c r="G21" i="1"/>
  <c r="P32" i="1"/>
  <c r="L29" i="1" s="1"/>
  <c r="P15" i="1"/>
  <c r="D22" i="1" s="1"/>
  <c r="D26" i="1" s="1"/>
  <c r="P47" i="1"/>
  <c r="L46" i="1" s="1"/>
  <c r="P26" i="1"/>
  <c r="P25" i="1"/>
  <c r="P17" i="1"/>
  <c r="P9" i="1"/>
  <c r="E9" i="1" s="1"/>
  <c r="P16" i="1"/>
  <c r="P28" i="1"/>
  <c r="D24" i="1" s="1"/>
  <c r="P40" i="1"/>
  <c r="B17" i="1" s="1"/>
  <c r="P39" i="1"/>
  <c r="J34" i="1" s="1"/>
  <c r="P18" i="1"/>
  <c r="P34" i="1"/>
  <c r="B26" i="1" s="1"/>
  <c r="B31" i="1" s="1"/>
  <c r="P21" i="1"/>
  <c r="D15" i="1" s="1"/>
  <c r="P45" i="1"/>
  <c r="L44" i="1" s="1"/>
  <c r="P37" i="1"/>
  <c r="L26" i="1" s="1"/>
  <c r="P29" i="1"/>
  <c r="H25" i="1" s="1"/>
  <c r="J43" i="9"/>
  <c r="K43" i="9"/>
  <c r="L43" i="9"/>
  <c r="P11" i="1"/>
  <c r="P31" i="1"/>
  <c r="L25" i="1" s="1"/>
  <c r="P43" i="1"/>
  <c r="L42" i="1" s="1"/>
  <c r="P51" i="1"/>
  <c r="L50" i="1" s="1"/>
  <c r="P10" i="1"/>
  <c r="E10" i="1" s="1"/>
  <c r="P30" i="1"/>
  <c r="C29" i="1" s="1"/>
  <c r="P38" i="1"/>
  <c r="P46" i="1"/>
  <c r="L45" i="1" s="1"/>
  <c r="P13" i="1"/>
  <c r="M17" i="1" s="1"/>
  <c r="P33" i="1"/>
  <c r="B25" i="1" s="1"/>
  <c r="B30" i="1" s="1"/>
  <c r="P41" i="1"/>
  <c r="L40" i="1" s="1"/>
  <c r="P49" i="1"/>
  <c r="L48" i="1" s="1"/>
  <c r="P35" i="1"/>
  <c r="H26" i="1" s="1"/>
  <c r="D10" i="2" l="1"/>
  <c r="D16" i="2" s="1"/>
  <c r="C149" i="1"/>
  <c r="H67" i="1"/>
  <c r="N45" i="1" s="1"/>
  <c r="B14" i="1"/>
  <c r="K46" i="9"/>
  <c r="J46" i="9"/>
  <c r="L46" i="9"/>
  <c r="J47" i="9"/>
  <c r="K47" i="9"/>
  <c r="M47" i="9" s="1"/>
  <c r="I53" i="9"/>
  <c r="C75" i="9"/>
  <c r="I49" i="9" s="1"/>
  <c r="K13" i="7"/>
  <c r="B111" i="9"/>
  <c r="B120" i="9" s="1"/>
  <c r="G120" i="9" s="1"/>
  <c r="D21" i="1"/>
  <c r="C21" i="1" s="1"/>
  <c r="M43" i="9"/>
  <c r="L27" i="1"/>
  <c r="L30" i="1"/>
  <c r="D9" i="6" l="1"/>
  <c r="D10" i="6" s="1"/>
  <c r="D10" i="5"/>
  <c r="D12" i="5" s="1"/>
  <c r="C160" i="1"/>
  <c r="H160" i="1" s="1"/>
  <c r="H149" i="1"/>
  <c r="M46" i="9"/>
  <c r="I56" i="9"/>
  <c r="G111" i="9"/>
  <c r="N12" i="1"/>
  <c r="K10" i="5" l="1"/>
  <c r="K11" i="5" s="1"/>
  <c r="D11" i="5"/>
  <c r="J9" i="6"/>
  <c r="N9" i="6" s="1"/>
  <c r="J26" i="6"/>
  <c r="D15" i="6"/>
  <c r="K12" i="5" l="1"/>
  <c r="AB89" i="8"/>
  <c r="I1" i="1" l="1"/>
  <c r="H74" i="1" l="1"/>
  <c r="H73" i="1"/>
  <c r="N49" i="1"/>
  <c r="C94" i="1"/>
  <c r="C95" i="1" s="1"/>
  <c r="T9" i="3"/>
  <c r="T9" i="4"/>
  <c r="R52" i="8"/>
  <c r="S52" i="8" s="1"/>
  <c r="S53" i="8" s="1"/>
  <c r="T34" i="8" s="1"/>
  <c r="K20" i="7"/>
  <c r="K14" i="7" s="1"/>
  <c r="C147" i="1" l="1"/>
  <c r="D8" i="2"/>
  <c r="D4" i="6" s="1"/>
  <c r="C158" i="1"/>
  <c r="H158" i="1" s="1"/>
  <c r="H147" i="1"/>
  <c r="K11" i="7"/>
  <c r="C148" i="1"/>
  <c r="H77" i="1"/>
  <c r="H71" i="1"/>
  <c r="C157" i="1" s="1"/>
  <c r="H75" i="1"/>
  <c r="H79" i="1" s="1"/>
  <c r="C92" i="1"/>
  <c r="C93" i="1" s="1"/>
  <c r="D9" i="2"/>
  <c r="D5" i="6" s="1"/>
  <c r="J7" i="6" s="1"/>
  <c r="AA92" i="1"/>
  <c r="H16" i="1"/>
  <c r="L86" i="1"/>
  <c r="K10" i="7"/>
  <c r="T11" i="4"/>
  <c r="T10" i="4" s="1"/>
  <c r="T11" i="3"/>
  <c r="T10" i="3" s="1"/>
  <c r="T12" i="3"/>
  <c r="T13" i="3"/>
  <c r="D3" i="5" l="1"/>
  <c r="U4" i="3"/>
  <c r="D7" i="5"/>
  <c r="K26" i="5" s="1"/>
  <c r="K26" i="7"/>
  <c r="K29" i="7" s="1"/>
  <c r="J40" i="7" s="1"/>
  <c r="J41" i="7" s="1"/>
  <c r="J42" i="7" s="1"/>
  <c r="C159" i="1"/>
  <c r="H159" i="1" s="1"/>
  <c r="L157" i="1" s="1"/>
  <c r="H148" i="1"/>
  <c r="L146" i="1" s="1"/>
  <c r="H157" i="1"/>
  <c r="C163" i="1"/>
  <c r="N60" i="1" s="1"/>
  <c r="O60" i="1" s="1"/>
  <c r="N44" i="1"/>
  <c r="H78" i="1"/>
  <c r="H72" i="1"/>
  <c r="H76" i="1" s="1"/>
  <c r="T13" i="4"/>
  <c r="T12" i="4"/>
  <c r="U4" i="4"/>
  <c r="K3" i="5"/>
  <c r="K5" i="5" s="1"/>
  <c r="D4" i="5"/>
  <c r="D5" i="5"/>
  <c r="D6" i="5"/>
  <c r="J6" i="6"/>
  <c r="J13" i="6" s="1"/>
  <c r="J25" i="6"/>
  <c r="N6" i="6"/>
  <c r="N14" i="6" s="1"/>
  <c r="L160" i="1" l="1"/>
  <c r="C164" i="1"/>
  <c r="L158" i="1"/>
  <c r="C162" i="1" s="1"/>
  <c r="H80" i="1"/>
  <c r="M40" i="7"/>
  <c r="M41" i="7" s="1"/>
  <c r="M42" i="7" s="1"/>
  <c r="D40" i="7"/>
  <c r="D41" i="7" s="1"/>
  <c r="K30" i="7"/>
  <c r="K31" i="7" s="1"/>
  <c r="N43" i="1"/>
  <c r="K12" i="7" s="1"/>
  <c r="K7" i="5"/>
  <c r="D18" i="5" s="1"/>
  <c r="K4" i="5"/>
  <c r="K27" i="5" s="1"/>
  <c r="K6" i="5"/>
  <c r="K18" i="5" s="1"/>
  <c r="K17" i="5"/>
  <c r="J11" i="6"/>
  <c r="J12" i="6" s="1"/>
  <c r="J14" i="6"/>
  <c r="N7" i="6"/>
  <c r="N13" i="6" s="1"/>
  <c r="K28" i="5"/>
  <c r="H84" i="1" l="1"/>
  <c r="I2" i="1"/>
  <c r="I4" i="1" s="1"/>
  <c r="N48" i="1"/>
  <c r="I79" i="1"/>
  <c r="N1" i="1" s="1"/>
  <c r="N17" i="1" s="1"/>
  <c r="N19" i="1" s="1"/>
  <c r="L92" i="1" s="1"/>
  <c r="H82" i="1"/>
  <c r="H81" i="1"/>
  <c r="H83" i="1"/>
  <c r="M43" i="7"/>
  <c r="D16" i="5"/>
  <c r="D21" i="5" s="1"/>
  <c r="D38" i="5" s="1"/>
  <c r="D19" i="5"/>
  <c r="D24" i="5" s="1"/>
  <c r="D62" i="5" s="1"/>
  <c r="D17" i="5"/>
  <c r="N61" i="1"/>
  <c r="L91" i="1" s="1"/>
  <c r="K19" i="5"/>
  <c r="K24" i="5" s="1"/>
  <c r="K62" i="5" s="1"/>
  <c r="K16" i="5"/>
  <c r="K21" i="5" s="1"/>
  <c r="K38" i="5" s="1"/>
  <c r="D26" i="5"/>
  <c r="D27" i="5" s="1"/>
  <c r="K30" i="5"/>
  <c r="K29" i="5"/>
  <c r="K23" i="5"/>
  <c r="K54" i="5" s="1"/>
  <c r="N11" i="6"/>
  <c r="N12" i="6" s="1"/>
  <c r="D22" i="5" l="1"/>
  <c r="D46" i="5" s="1"/>
  <c r="D23" i="5"/>
  <c r="D54" i="5" s="1"/>
  <c r="D30" i="5"/>
  <c r="K22" i="5"/>
  <c r="K46" i="5" s="1"/>
  <c r="D29" i="5"/>
  <c r="D28" i="5"/>
  <c r="N5" i="1"/>
  <c r="N6" i="1"/>
  <c r="N7" i="1"/>
  <c r="F10" i="10"/>
  <c r="C26" i="1"/>
  <c r="G10" i="10" l="1"/>
  <c r="H10" i="10"/>
  <c r="I10" i="10"/>
  <c r="L87" i="1"/>
  <c r="L89" i="1"/>
  <c r="N59" i="1"/>
  <c r="C146" i="1" s="1"/>
  <c r="J94" i="1"/>
  <c r="C152" i="1" l="1"/>
  <c r="H146" i="1"/>
  <c r="L149" i="1" s="1"/>
  <c r="C153" i="1"/>
  <c r="L83" i="1"/>
  <c r="N58" i="1" s="1"/>
  <c r="K21" i="7"/>
  <c r="D11" i="2"/>
  <c r="AA7" i="3"/>
  <c r="D7" i="2" s="1"/>
  <c r="L147" i="1" l="1"/>
  <c r="C151" i="1" s="1"/>
  <c r="U6" i="3"/>
  <c r="U6" i="4"/>
  <c r="Y6" i="4" s="1"/>
  <c r="D6" i="6"/>
  <c r="D13" i="6" s="1"/>
  <c r="D15" i="2"/>
  <c r="D9" i="5" s="1"/>
  <c r="D7" i="6"/>
  <c r="J8" i="6" s="1"/>
  <c r="D32" i="5" l="1"/>
  <c r="D37" i="5" s="1"/>
  <c r="K9" i="5"/>
  <c r="D13" i="5"/>
  <c r="U5" i="3" s="1"/>
  <c r="Y5" i="3" s="1"/>
  <c r="D33" i="5"/>
  <c r="D45" i="5" s="1"/>
  <c r="D34" i="5"/>
  <c r="D53" i="5" s="1"/>
  <c r="D35" i="5"/>
  <c r="J16" i="6"/>
  <c r="J17" i="6"/>
  <c r="N8" i="6"/>
  <c r="J15" i="6"/>
  <c r="J27" i="6"/>
  <c r="J19" i="6" l="1"/>
  <c r="Y9" i="3"/>
  <c r="D61" i="5"/>
  <c r="N17" i="6"/>
  <c r="N16" i="6"/>
  <c r="N15" i="6"/>
  <c r="K32" i="5"/>
  <c r="K37" i="5" s="1"/>
  <c r="K33" i="5"/>
  <c r="K45" i="5" s="1"/>
  <c r="K13" i="5"/>
  <c r="K34" i="5"/>
  <c r="K53" i="5" s="1"/>
  <c r="K35" i="5"/>
  <c r="E13" i="5"/>
  <c r="W4" i="3"/>
  <c r="Y4" i="3" s="1"/>
  <c r="D39" i="5"/>
  <c r="D40" i="5" s="1"/>
  <c r="D41" i="5" s="1"/>
  <c r="N19" i="6" l="1"/>
  <c r="J21" i="6" s="1"/>
  <c r="U5" i="4"/>
  <c r="Y5" i="4" s="1"/>
  <c r="W4" i="4"/>
  <c r="Y4" i="4" s="1"/>
  <c r="L13" i="5"/>
  <c r="K39" i="5"/>
  <c r="K40" i="5" s="1"/>
  <c r="K61" i="5"/>
  <c r="D43" i="5"/>
  <c r="F43" i="5" s="1"/>
  <c r="F25" i="2" s="1"/>
  <c r="D42" i="5"/>
  <c r="M26" i="6" l="1"/>
  <c r="L150" i="1"/>
  <c r="D20" i="6"/>
  <c r="Q16" i="2" s="1"/>
  <c r="Y8" i="3" s="1"/>
  <c r="N21" i="6"/>
  <c r="K41" i="5"/>
  <c r="K43" i="5" s="1"/>
  <c r="M43" i="5" s="1"/>
  <c r="I25" i="2" s="1"/>
  <c r="F42" i="5"/>
  <c r="E25" i="2" s="1"/>
  <c r="D47" i="5"/>
  <c r="Y10" i="3" l="1"/>
  <c r="Y11" i="3" s="1"/>
  <c r="W21" i="4" s="1"/>
  <c r="K42" i="5"/>
  <c r="D48" i="5"/>
  <c r="D49" i="5" s="1"/>
  <c r="W22" i="3" l="1"/>
  <c r="Y7" i="4"/>
  <c r="X7" i="4"/>
  <c r="Y7" i="3"/>
  <c r="X7" i="3"/>
  <c r="D51" i="5"/>
  <c r="F51" i="5" s="1"/>
  <c r="F28" i="2" s="1"/>
  <c r="D50" i="5"/>
  <c r="M42" i="5"/>
  <c r="H25" i="2" s="1"/>
  <c r="K47" i="5"/>
  <c r="K48" i="5" l="1"/>
  <c r="F50" i="5"/>
  <c r="E28" i="2" s="1"/>
  <c r="D55" i="5"/>
  <c r="D56" i="5" l="1"/>
  <c r="D57" i="5" s="1"/>
  <c r="K49" i="5"/>
  <c r="K50" i="5" s="1"/>
  <c r="M50" i="5" l="1"/>
  <c r="H28" i="2" s="1"/>
  <c r="K51" i="5"/>
  <c r="M51" i="5" s="1"/>
  <c r="I28" i="2" s="1"/>
  <c r="D59" i="5"/>
  <c r="F59" i="5" s="1"/>
  <c r="F31" i="2" s="1"/>
  <c r="D58" i="5"/>
  <c r="F58" i="5" l="1"/>
  <c r="E31" i="2" s="1"/>
  <c r="D63" i="5"/>
  <c r="K55" i="5"/>
  <c r="D64" i="5" l="1"/>
  <c r="D65" i="5" s="1"/>
  <c r="K56" i="5"/>
  <c r="K57" i="5" s="1"/>
  <c r="K59" i="5" l="1"/>
  <c r="M59" i="5" s="1"/>
  <c r="I31" i="2" s="1"/>
  <c r="K58" i="5"/>
  <c r="D67" i="5"/>
  <c r="F67" i="5" s="1"/>
  <c r="F34" i="2" s="1"/>
  <c r="D66" i="5"/>
  <c r="F66" i="5" s="1"/>
  <c r="E34" i="2" s="1"/>
  <c r="M58" i="5" l="1"/>
  <c r="H31" i="2" s="1"/>
  <c r="K63" i="5"/>
  <c r="K64" i="5" l="1"/>
  <c r="K65" i="5" l="1"/>
  <c r="K67" i="5" s="1"/>
  <c r="M67" i="5" s="1"/>
  <c r="I34" i="2" s="1"/>
  <c r="K66" i="5" l="1"/>
  <c r="M66" i="5" s="1"/>
  <c r="H34" i="2" s="1"/>
  <c r="C25" i="1" l="1"/>
  <c r="C27" i="1"/>
  <c r="D27" i="1"/>
  <c r="E44" i="8"/>
  <c r="L1" i="9"/>
  <c r="L2" i="9"/>
  <c r="L3" i="9"/>
  <c r="N3" i="9"/>
  <c r="L4" i="9"/>
  <c r="N4" i="9"/>
  <c r="N7" i="9"/>
  <c r="C30" i="1" s="1"/>
  <c r="N8" i="9"/>
  <c r="C31" i="1" s="1"/>
  <c r="L20" i="9"/>
  <c r="H51" i="9"/>
  <c r="J51" i="9"/>
  <c r="K51" i="9"/>
  <c r="L51" i="9"/>
  <c r="M51" i="9"/>
  <c r="H55" i="9"/>
  <c r="J55" i="9"/>
  <c r="K55" i="9"/>
  <c r="B88" i="9"/>
  <c r="B89" i="9"/>
  <c r="B90" i="9"/>
  <c r="B91" i="9"/>
  <c r="C87" i="9" s="1"/>
  <c r="B92" i="9"/>
  <c r="B93" i="9"/>
  <c r="B94" i="9"/>
  <c r="B95" i="9"/>
  <c r="B96" i="9"/>
  <c r="B109" i="9"/>
  <c r="G109" i="9"/>
  <c r="B118" i="9"/>
  <c r="G118" i="9"/>
  <c r="F44" i="8" l="1"/>
  <c r="G44" i="8"/>
  <c r="H44" i="8"/>
  <c r="F45" i="8"/>
  <c r="F47" i="8"/>
  <c r="G48" i="8"/>
  <c r="H48" i="8"/>
  <c r="G52" i="8"/>
  <c r="E73" i="8"/>
  <c r="N2" i="9"/>
  <c r="D25" i="1" s="1"/>
  <c r="N14" i="9"/>
  <c r="I26" i="1" s="1"/>
  <c r="N15" i="9"/>
  <c r="I27" i="1" s="1"/>
  <c r="N18" i="9"/>
  <c r="M26" i="1" s="1"/>
  <c r="N19" i="9"/>
  <c r="M27" i="1" s="1"/>
  <c r="N22" i="9"/>
  <c r="M30" i="1" s="1"/>
  <c r="N25" i="9"/>
  <c r="K10" i="11"/>
  <c r="L9" i="9"/>
  <c r="L10" i="9"/>
  <c r="H49" i="9"/>
  <c r="I45" i="9"/>
  <c r="I50" i="9" s="1"/>
  <c r="I54" i="9" s="1"/>
  <c r="I58" i="9" s="1"/>
  <c r="H45" i="9"/>
  <c r="F74" i="8" l="1"/>
  <c r="H45" i="8"/>
  <c r="H47" i="8" s="1"/>
  <c r="G45" i="8"/>
  <c r="G47" i="8" s="1"/>
  <c r="F76" i="8"/>
  <c r="F48" i="8"/>
  <c r="G53" i="8"/>
  <c r="H52" i="8"/>
  <c r="E101" i="8"/>
  <c r="C80" i="8"/>
  <c r="G77" i="8"/>
  <c r="G81" i="8"/>
  <c r="H77" i="8"/>
  <c r="H73" i="8"/>
  <c r="G73" i="8"/>
  <c r="L15" i="9"/>
  <c r="B117" i="9"/>
  <c r="L49" i="9"/>
  <c r="K49" i="9"/>
  <c r="M49" i="9" s="1"/>
  <c r="J49" i="9"/>
  <c r="R30" i="8"/>
  <c r="R29" i="8"/>
  <c r="I63" i="9"/>
  <c r="I62" i="9"/>
  <c r="I61" i="9"/>
  <c r="I60" i="9"/>
  <c r="I59" i="9"/>
  <c r="L16" i="9"/>
  <c r="H50" i="9"/>
  <c r="L45" i="9"/>
  <c r="K45" i="9"/>
  <c r="M45" i="9" s="1"/>
  <c r="M50" i="9" s="1"/>
  <c r="J45" i="9"/>
  <c r="F73" i="8"/>
  <c r="F49" i="8"/>
  <c r="F101" i="8" l="1"/>
  <c r="F130" i="8" s="1"/>
  <c r="F78" i="8"/>
  <c r="F102" i="8"/>
  <c r="H74" i="8"/>
  <c r="H76" i="8" s="1"/>
  <c r="G74" i="8"/>
  <c r="G76" i="8" s="1"/>
  <c r="F104" i="8"/>
  <c r="F77" i="8"/>
  <c r="H53" i="8"/>
  <c r="X52" i="8"/>
  <c r="E130" i="8"/>
  <c r="F106" i="8"/>
  <c r="H101" i="8"/>
  <c r="G109" i="8"/>
  <c r="H105" i="8"/>
  <c r="H106" i="8" s="1"/>
  <c r="G105" i="8"/>
  <c r="G106" i="8" s="1"/>
  <c r="G101" i="8"/>
  <c r="H81" i="8"/>
  <c r="H82" i="8" s="1"/>
  <c r="G82" i="8"/>
  <c r="J118" i="9"/>
  <c r="B122" i="9" s="1"/>
  <c r="L36" i="9" s="1"/>
  <c r="K22" i="11" s="1"/>
  <c r="G117" i="9"/>
  <c r="R39" i="8"/>
  <c r="AB31" i="8"/>
  <c r="AB39" i="8"/>
  <c r="AB43" i="8"/>
  <c r="AB41" i="8"/>
  <c r="AB46" i="8"/>
  <c r="AB45" i="8"/>
  <c r="AB37" i="8"/>
  <c r="AB35" i="8"/>
  <c r="AB33" i="8"/>
  <c r="AA28" i="8"/>
  <c r="W28" i="8"/>
  <c r="R38" i="8"/>
  <c r="AA36" i="8"/>
  <c r="W43" i="8"/>
  <c r="AA40" i="8"/>
  <c r="W36" i="8"/>
  <c r="W40" i="8"/>
  <c r="AA42" i="8"/>
  <c r="AA46" i="8"/>
  <c r="W45" i="8"/>
  <c r="AA44" i="8"/>
  <c r="W44" i="8"/>
  <c r="W41" i="8"/>
  <c r="W32" i="8"/>
  <c r="W29" i="8"/>
  <c r="W39" i="8"/>
  <c r="W38" i="8"/>
  <c r="W34" i="8"/>
  <c r="W33" i="8"/>
  <c r="AA32" i="8"/>
  <c r="W31" i="8"/>
  <c r="W30" i="8"/>
  <c r="W42" i="8"/>
  <c r="AA38" i="8"/>
  <c r="W37" i="8"/>
  <c r="W35" i="8"/>
  <c r="AA34" i="8"/>
  <c r="AA30" i="8"/>
  <c r="L14" i="9"/>
  <c r="L50" i="9"/>
  <c r="K50" i="9"/>
  <c r="J50" i="9"/>
  <c r="H49" i="8"/>
  <c r="G49" i="8"/>
  <c r="G55" i="8" s="1"/>
  <c r="G78" i="8" l="1"/>
  <c r="G84" i="8" s="1"/>
  <c r="H78" i="8"/>
  <c r="H84" i="8" s="1"/>
  <c r="F131" i="8"/>
  <c r="G102" i="8"/>
  <c r="G104" i="8" s="1"/>
  <c r="H102" i="8"/>
  <c r="H104" i="8" s="1"/>
  <c r="F133" i="8"/>
  <c r="F134" i="8" s="1"/>
  <c r="F105" i="8"/>
  <c r="G138" i="8"/>
  <c r="F135" i="8"/>
  <c r="G130" i="8"/>
  <c r="H134" i="8"/>
  <c r="H135" i="8" s="1"/>
  <c r="G134" i="8"/>
  <c r="G135" i="8" s="1"/>
  <c r="H130" i="8"/>
  <c r="H109" i="8"/>
  <c r="H110" i="8" s="1"/>
  <c r="H112" i="8" s="1"/>
  <c r="G110" i="8"/>
  <c r="G112" i="8" s="1"/>
  <c r="K12" i="11"/>
  <c r="L19" i="9"/>
  <c r="S29" i="8"/>
  <c r="S38" i="8" s="1"/>
  <c r="H55" i="8"/>
  <c r="G131" i="8" l="1"/>
  <c r="G133" i="8" s="1"/>
  <c r="H131" i="8"/>
  <c r="H133" i="8" s="1"/>
  <c r="G139" i="8"/>
  <c r="G141" i="8" s="1"/>
  <c r="H138" i="8"/>
  <c r="H139" i="8" s="1"/>
  <c r="H141" i="8" s="1"/>
  <c r="K11" i="11"/>
  <c r="K26" i="11"/>
  <c r="K29" i="11" s="1"/>
  <c r="H52" i="9"/>
  <c r="J52" i="9"/>
  <c r="K52" i="9"/>
  <c r="L52" i="9"/>
  <c r="M52" i="9"/>
  <c r="H53" i="9"/>
  <c r="H56" i="9" s="1"/>
  <c r="J56" i="9" s="1"/>
  <c r="K56" i="9" s="1"/>
  <c r="J53" i="9"/>
  <c r="J54" i="9" s="1"/>
  <c r="K53" i="9"/>
  <c r="H54" i="9"/>
  <c r="H58" i="9" s="1"/>
  <c r="J108" i="9"/>
  <c r="B110" i="9"/>
  <c r="G110" i="9"/>
  <c r="J117" i="9"/>
  <c r="B119" i="9"/>
  <c r="G119" i="9"/>
  <c r="J120" i="9"/>
  <c r="K30" i="11" l="1"/>
  <c r="K31" i="11" s="1"/>
  <c r="J40" i="11"/>
  <c r="J41" i="11" s="1"/>
  <c r="J42" i="11" s="1"/>
  <c r="D40" i="11"/>
  <c r="D41" i="11" s="1"/>
  <c r="J58" i="9"/>
  <c r="K58" i="9" s="1"/>
  <c r="K63" i="9" s="1"/>
  <c r="K54" i="9"/>
  <c r="I98" i="9"/>
  <c r="R27" i="8"/>
  <c r="R26" i="8"/>
  <c r="I101" i="9"/>
  <c r="I99" i="9"/>
  <c r="I96" i="9"/>
  <c r="I94" i="9"/>
  <c r="L80" i="9"/>
  <c r="L78" i="9"/>
  <c r="L76" i="9"/>
  <c r="H63" i="9"/>
  <c r="H62" i="9"/>
  <c r="I100" i="9"/>
  <c r="I97" i="9"/>
  <c r="I95" i="9"/>
  <c r="I93" i="9"/>
  <c r="L81" i="9"/>
  <c r="L79" i="9"/>
  <c r="L77" i="9"/>
  <c r="L75" i="9"/>
  <c r="L74" i="9"/>
  <c r="L73" i="9"/>
  <c r="H61" i="9"/>
  <c r="H60" i="9"/>
  <c r="H59" i="9"/>
  <c r="AB24" i="8" l="1"/>
  <c r="AB21" i="8"/>
  <c r="W21" i="8"/>
  <c r="AB19" i="8"/>
  <c r="W19" i="8"/>
  <c r="AB23" i="8"/>
  <c r="AB17" i="8"/>
  <c r="W17" i="8"/>
  <c r="AB15" i="8"/>
  <c r="W15" i="8"/>
  <c r="AB13" i="8"/>
  <c r="W13" i="8"/>
  <c r="AB29" i="8"/>
  <c r="S30" i="8" s="1"/>
  <c r="S39" i="8" s="1"/>
  <c r="W23" i="8"/>
  <c r="AB11" i="8"/>
  <c r="W11" i="8"/>
  <c r="AB9" i="8"/>
  <c r="W9" i="8"/>
  <c r="AB7" i="8"/>
  <c r="W7" i="8"/>
  <c r="R36" i="8"/>
  <c r="AA12" i="8"/>
  <c r="W12" i="8"/>
  <c r="AA10" i="8"/>
  <c r="W10" i="8"/>
  <c r="AA8" i="8"/>
  <c r="W8" i="8"/>
  <c r="AA6" i="8"/>
  <c r="W6" i="8"/>
  <c r="R35" i="8"/>
  <c r="AA24" i="8"/>
  <c r="AA22" i="8"/>
  <c r="W22" i="8"/>
  <c r="AA20" i="8"/>
  <c r="W20" i="8"/>
  <c r="AA18" i="8"/>
  <c r="R32" i="8"/>
  <c r="W18" i="8"/>
  <c r="AA16" i="8"/>
  <c r="W16" i="8"/>
  <c r="AA14" i="8"/>
  <c r="W14" i="8"/>
  <c r="I92" i="9"/>
  <c r="L72" i="9"/>
  <c r="L34" i="9" s="1"/>
  <c r="L35" i="9" s="1"/>
  <c r="AA49" i="8" l="1"/>
  <c r="W49" i="8"/>
  <c r="AA68" i="8"/>
  <c r="W67" i="8"/>
  <c r="AA66" i="8"/>
  <c r="W66" i="8"/>
  <c r="W65" i="8"/>
  <c r="AA64" i="8"/>
  <c r="W64" i="8"/>
  <c r="W63" i="8"/>
  <c r="W62" i="8"/>
  <c r="W61" i="8"/>
  <c r="W57" i="8"/>
  <c r="AA62" i="8"/>
  <c r="AA60" i="8"/>
  <c r="W60" i="8"/>
  <c r="W59" i="8"/>
  <c r="AA58" i="8"/>
  <c r="W58" i="8"/>
  <c r="AA55" i="8"/>
  <c r="W55" i="8"/>
  <c r="W54" i="8"/>
  <c r="AA53" i="8"/>
  <c r="W53" i="8"/>
  <c r="W52" i="8"/>
  <c r="AA51" i="8"/>
  <c r="W51" i="8"/>
  <c r="W50" i="8"/>
  <c r="R41" i="8"/>
  <c r="R33" i="8"/>
  <c r="I33" i="9"/>
  <c r="L33" i="9"/>
  <c r="K20" i="11" s="1"/>
  <c r="K14" i="11" s="1"/>
  <c r="B108" i="9"/>
  <c r="K21" i="11"/>
  <c r="S27" i="8"/>
  <c r="S26" i="8"/>
  <c r="R42" i="8" l="1"/>
  <c r="AB68" i="8"/>
  <c r="AB67" i="8"/>
  <c r="AB65" i="8"/>
  <c r="AB63" i="8"/>
  <c r="AB61" i="8"/>
  <c r="AB59" i="8"/>
  <c r="AB57" i="8"/>
  <c r="AB54" i="8"/>
  <c r="AB52" i="8"/>
  <c r="AB50" i="8"/>
  <c r="G108" i="9"/>
  <c r="L3" i="11"/>
  <c r="S36" i="8"/>
  <c r="S35" i="8"/>
  <c r="L2" i="11"/>
  <c r="L4" i="11" s="1"/>
  <c r="S32" i="8"/>
  <c r="S41" i="8" l="1"/>
  <c r="M2" i="9"/>
  <c r="M4" i="9" s="1"/>
  <c r="S33" i="8"/>
  <c r="J111" i="9"/>
  <c r="J109" i="9"/>
  <c r="B113" i="9" s="1"/>
  <c r="L37" i="9" s="1"/>
  <c r="K23" i="11" s="1"/>
  <c r="S42" i="8" l="1"/>
  <c r="M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Massimiliano Valmori</author>
    <author>CAROLI PATRIZIO</author>
    <author>MVALMORI</author>
  </authors>
  <commentList>
    <comment ref="N1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Massimiliano Valmori:</t>
        </r>
        <r>
          <rPr>
            <sz val="8"/>
            <color indexed="81"/>
            <rFont val="Tahoma"/>
            <family val="2"/>
          </rPr>
          <t xml:space="preserve">
VOLUME INTERNO ALLA STRUTTURA TOGLIENDO I VOLUMI NON UTILIZZABILI</t>
        </r>
      </text>
    </comment>
    <comment ref="N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Massimiliano Valmori:</t>
        </r>
        <r>
          <rPr>
            <sz val="8"/>
            <color indexed="81"/>
            <rFont val="Tahoma"/>
            <family val="2"/>
          </rPr>
          <t xml:space="preserve">
VOLUME COMPLESSIVO CONSIDERANDO LA STRUTTURA</t>
        </r>
      </text>
    </comment>
    <comment ref="N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Massimiliano Valmori:</t>
        </r>
        <r>
          <rPr>
            <sz val="8"/>
            <color indexed="81"/>
            <rFont val="Tahoma"/>
            <family val="2"/>
          </rPr>
          <t xml:space="preserve">
STIMA DEL VOLUME NON UTILIZZABILE RISPETTO AL MASSIMO TEORICO</t>
        </r>
      </text>
    </comment>
    <comment ref="M12" authorId="0" shapeId="0" xr:uid="{00000000-0006-0000-0000-000004000000}">
      <text>
        <r>
          <rPr>
            <sz val="8"/>
            <color indexed="81"/>
            <rFont val="Tahoma"/>
            <family val="2"/>
          </rPr>
          <t>CUSTOM  specific weight kg/m3</t>
        </r>
      </text>
    </comment>
    <comment ref="E14" authorId="1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VS
VS180
VS230
VS270
VS300
VS350
ASP </t>
        </r>
        <r>
          <rPr>
            <sz val="8"/>
            <color indexed="81"/>
            <rFont val="Tahoma"/>
            <family val="2"/>
          </rPr>
          <t>(Aspirazione STD)</t>
        </r>
        <r>
          <rPr>
            <b/>
            <sz val="8"/>
            <color indexed="81"/>
            <rFont val="Tahoma"/>
            <family val="2"/>
          </rPr>
          <t xml:space="preserve">
VF </t>
        </r>
        <r>
          <rPr>
            <sz val="8"/>
            <color indexed="81"/>
            <rFont val="Tahoma"/>
            <family val="2"/>
          </rPr>
          <t>(Aspirazione con valvola a farfalla)</t>
        </r>
        <r>
          <rPr>
            <b/>
            <sz val="8"/>
            <color indexed="81"/>
            <rFont val="Tahoma"/>
            <family val="2"/>
          </rPr>
          <t xml:space="preserve">
RILSAN45 </t>
        </r>
        <r>
          <rPr>
            <sz val="8"/>
            <color indexed="81"/>
            <rFont val="Tahoma"/>
            <family val="2"/>
          </rPr>
          <t>(Tipo con Barilotto 45°)</t>
        </r>
        <r>
          <rPr>
            <b/>
            <sz val="8"/>
            <color indexed="81"/>
            <rFont val="Tahoma"/>
            <family val="2"/>
          </rPr>
          <t xml:space="preserve">
RILSAN30 </t>
        </r>
        <r>
          <rPr>
            <sz val="8"/>
            <color indexed="81"/>
            <rFont val="Tahoma"/>
            <family val="2"/>
          </rPr>
          <t>(Tipo con Barilotto 30°)</t>
        </r>
        <r>
          <rPr>
            <b/>
            <sz val="8"/>
            <color indexed="81"/>
            <rFont val="Tahoma"/>
            <family val="2"/>
          </rPr>
          <t xml:space="preserve">
RILSAN  P</t>
        </r>
        <r>
          <rPr>
            <sz val="8"/>
            <color indexed="81"/>
            <rFont val="Tahoma"/>
            <family val="2"/>
          </rPr>
          <t xml:space="preserve">(Tipo con Barilotto Rilsan piana)
</t>
        </r>
        <r>
          <rPr>
            <b/>
            <sz val="8"/>
            <color indexed="81"/>
            <rFont val="Tahoma"/>
            <family val="2"/>
          </rPr>
          <t>RILSAN</t>
        </r>
      </text>
    </comment>
    <comment ref="I34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Massimiliano Valmori:</t>
        </r>
        <r>
          <rPr>
            <sz val="8"/>
            <color indexed="81"/>
            <rFont val="Tahoma"/>
            <family val="2"/>
          </rPr>
          <t xml:space="preserve">
dimensione tubolare struttura. Può essere automatico o imposto</t>
        </r>
      </text>
    </comment>
    <comment ref="N34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Massimiliano Valmori:</t>
        </r>
        <r>
          <rPr>
            <sz val="8"/>
            <color indexed="81"/>
            <rFont val="Tahoma"/>
            <family val="2"/>
          </rPr>
          <t xml:space="preserve">
Dimensione tubolare da inserire manualmente se diverso da quello calcolato in automatico</t>
        </r>
      </text>
    </comment>
    <comment ref="AA36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Massimiliano Valmori:</t>
        </r>
        <r>
          <rPr>
            <sz val="8"/>
            <color indexed="81"/>
            <rFont val="Tahoma"/>
            <family val="2"/>
          </rPr>
          <t xml:space="preserve">
ANGOLO DI ATTRITO STIMATO PER CALCOLO PERDITA DI CARICO = TEORICO -15 °
</t>
        </r>
      </text>
    </comment>
    <comment ref="AA3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Massimiliano Valmori:</t>
        </r>
        <r>
          <rPr>
            <sz val="8"/>
            <color indexed="81"/>
            <rFont val="Tahoma"/>
            <family val="2"/>
          </rPr>
          <t xml:space="preserve">
ANGOLO DI ATTRITO STIMATO PER CALCOLO PERDITA DI CARICO = TEORICO -15 °
</t>
        </r>
      </text>
    </comment>
    <comment ref="AN37" authorId="1" shapeId="0" xr:uid="{00000000-0006-0000-0000-00000A000000}">
      <text>
        <r>
          <rPr>
            <sz val="8"/>
            <color indexed="81"/>
            <rFont val="Tahoma"/>
            <family val="2"/>
          </rPr>
          <t>con barilotto</t>
        </r>
      </text>
    </comment>
    <comment ref="AA38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Massimiliano Valmori:</t>
        </r>
        <r>
          <rPr>
            <sz val="8"/>
            <color indexed="81"/>
            <rFont val="Tahoma"/>
            <family val="2"/>
          </rPr>
          <t xml:space="preserve">
ANGOLO DI ATTRITO STIMATO PER CALCOLO PERDITA DI CARICO = TEORICO -15 °
</t>
        </r>
      </text>
    </comment>
    <comment ref="AN38" authorId="1" shapeId="0" xr:uid="{00000000-0006-0000-0000-00000C000000}">
      <text>
        <r>
          <rPr>
            <sz val="8"/>
            <color indexed="81"/>
            <rFont val="Tahoma"/>
            <family val="2"/>
          </rPr>
          <t xml:space="preserve">con barilotto
</t>
        </r>
      </text>
    </comment>
    <comment ref="AN39" authorId="1" shapeId="0" xr:uid="{00000000-0006-0000-0000-00000D000000}">
      <text>
        <r>
          <rPr>
            <sz val="8"/>
            <color indexed="81"/>
            <rFont val="Tahoma"/>
            <family val="2"/>
          </rPr>
          <t xml:space="preserve">rilsan piana con barilotto
</t>
        </r>
      </text>
    </comment>
    <comment ref="AN40" authorId="1" shapeId="0" xr:uid="{00000000-0006-0000-0000-00000E000000}">
      <text>
        <r>
          <rPr>
            <sz val="8"/>
            <color indexed="81"/>
            <rFont val="Tahoma"/>
            <family val="2"/>
          </rPr>
          <t xml:space="preserve">Rilsan con pipetta vecchio tipo
</t>
        </r>
      </text>
    </comment>
    <comment ref="M58" authorId="2" shapeId="0" xr:uid="{8340640B-E0BA-4C8E-B8F4-EE949613151E}">
      <text>
        <r>
          <rPr>
            <b/>
            <sz val="9"/>
            <color indexed="81"/>
            <rFont val="Tahoma"/>
            <family val="2"/>
          </rPr>
          <t>MVALMORI:</t>
        </r>
        <r>
          <rPr>
            <sz val="9"/>
            <color indexed="81"/>
            <rFont val="Tahoma"/>
            <family val="2"/>
          </rPr>
          <t xml:space="preserve">
Si considera per il cono solo un abbassamento nel caso di forma rettangolare</t>
        </r>
      </text>
    </comment>
    <comment ref="N59" authorId="1" shapeId="0" xr:uid="{53ADBB94-5D7D-4804-8DE1-D7A894002BFB}">
      <text>
        <r>
          <rPr>
            <sz val="8"/>
            <color indexed="81"/>
            <rFont val="Tahoma"/>
            <family val="2"/>
          </rPr>
          <t xml:space="preserve">Altezza cono saccone
</t>
        </r>
      </text>
    </comment>
    <comment ref="C87" authorId="0" shapeId="0" xr:uid="{00000000-0006-0000-0000-000011000000}">
      <text>
        <r>
          <rPr>
            <sz val="8"/>
            <color indexed="81"/>
            <rFont val="Tahoma"/>
            <family val="2"/>
          </rPr>
          <t>Valore ottenuto dalle prove sul tessuto</t>
        </r>
      </text>
    </comment>
    <comment ref="C88" authorId="0" shapeId="0" xr:uid="{00000000-0006-0000-0000-000012000000}">
      <text>
        <r>
          <rPr>
            <sz val="8"/>
            <color indexed="81"/>
            <rFont val="Tahoma"/>
            <family val="2"/>
          </rPr>
          <t>Valore ottenuto dalle prove sul tessuto</t>
        </r>
      </text>
    </comment>
    <comment ref="C89" authorId="0" shapeId="0" xr:uid="{00000000-0006-0000-0000-000013000000}">
      <text>
        <r>
          <rPr>
            <b/>
            <sz val="8"/>
            <color indexed="81"/>
            <rFont val="Tahoma"/>
            <family val="2"/>
          </rPr>
          <t>Valore scelto per il coeff. di sicurezza rispetto la rottura</t>
        </r>
      </text>
    </comment>
    <comment ref="C91" authorId="0" shapeId="0" xr:uid="{00000000-0006-0000-0000-000014000000}">
      <text>
        <r>
          <rPr>
            <sz val="8"/>
            <color indexed="81"/>
            <rFont val="Tahoma"/>
            <family val="2"/>
          </rPr>
          <t xml:space="preserve">Inserire valutandolo rispetto a quello calcolato
</t>
        </r>
      </text>
    </comment>
    <comment ref="L92" authorId="2" shapeId="0" xr:uid="{00000000-0006-0000-0000-000015000000}">
      <text>
        <r>
          <rPr>
            <b/>
            <sz val="9"/>
            <color indexed="81"/>
            <rFont val="Tahoma"/>
            <family val="2"/>
          </rPr>
          <t>MVALMORI:</t>
        </r>
        <r>
          <rPr>
            <sz val="9"/>
            <color indexed="81"/>
            <rFont val="Tahoma"/>
            <family val="2"/>
          </rPr>
          <t xml:space="preserve">
Si considera per l'allungamento del cono il caso di rettangolarità e il 30% del valore teorico</t>
        </r>
      </text>
    </comment>
    <comment ref="B124" authorId="1" shapeId="0" xr:uid="{9680B9C5-2646-498F-BF33-7D6FF6557B63}">
      <text>
        <r>
          <rPr>
            <sz val="8"/>
            <color indexed="81"/>
            <rFont val="Tahoma"/>
            <family val="2"/>
          </rPr>
          <t>con barilotto</t>
        </r>
      </text>
    </comment>
    <comment ref="B125" authorId="1" shapeId="0" xr:uid="{A22D9271-36D3-4C9A-9590-DB2382E0C0D3}">
      <text>
        <r>
          <rPr>
            <sz val="8"/>
            <color indexed="81"/>
            <rFont val="Tahoma"/>
            <family val="2"/>
          </rPr>
          <t xml:space="preserve">con barilotto
</t>
        </r>
      </text>
    </comment>
    <comment ref="B126" authorId="1" shapeId="0" xr:uid="{A3C46B3D-5F47-47C8-A64D-9D171648465B}">
      <text>
        <r>
          <rPr>
            <sz val="8"/>
            <color indexed="81"/>
            <rFont val="Tahoma"/>
            <family val="2"/>
          </rPr>
          <t xml:space="preserve">rilsan piana con barilotto
</t>
        </r>
      </text>
    </comment>
    <comment ref="B127" authorId="1" shapeId="0" xr:uid="{CE42EC5C-57DA-402B-873A-3311B41C6E33}">
      <text>
        <r>
          <rPr>
            <sz val="8"/>
            <color indexed="81"/>
            <rFont val="Tahoma"/>
            <family val="2"/>
          </rPr>
          <t xml:space="preserve">Rilsan con pipetta vecchio tipo
</t>
        </r>
      </text>
    </comment>
  </commentList>
</comments>
</file>

<file path=xl/sharedStrings.xml><?xml version="1.0" encoding="utf-8"?>
<sst xmlns="http://schemas.openxmlformats.org/spreadsheetml/2006/main" count="2554" uniqueCount="922">
  <si>
    <t>COMM</t>
  </si>
  <si>
    <t>POS</t>
  </si>
  <si>
    <t>Descrizione</t>
  </si>
  <si>
    <t>Standard</t>
  </si>
  <si>
    <t>A</t>
  </si>
  <si>
    <t>Lato lungo</t>
  </si>
  <si>
    <t>Lato corto</t>
  </si>
  <si>
    <t>B</t>
  </si>
  <si>
    <t>Altezza corpo</t>
  </si>
  <si>
    <t>C</t>
  </si>
  <si>
    <t>D</t>
  </si>
  <si>
    <t>I</t>
  </si>
  <si>
    <t>H</t>
  </si>
  <si>
    <t>Ingombro totale silo altezza</t>
  </si>
  <si>
    <t>L</t>
  </si>
  <si>
    <t>Lunghezza tubo di carico</t>
  </si>
  <si>
    <t>E</t>
  </si>
  <si>
    <t>Diametro cono</t>
  </si>
  <si>
    <t>G</t>
  </si>
  <si>
    <t>Inclinazione coclea</t>
  </si>
  <si>
    <t>Capacità silo Mc</t>
  </si>
  <si>
    <t>Farina Ps 600 kg/m3 Ton.</t>
  </si>
  <si>
    <t>Zucchero Ps 950 Kg/m3 Ton.</t>
  </si>
  <si>
    <t>ESTRAZIONE</t>
  </si>
  <si>
    <t>Rilassa.sacco per carico</t>
  </si>
  <si>
    <t>Luce</t>
  </si>
  <si>
    <t>Calo per silos &gt;30 Mc</t>
  </si>
  <si>
    <t>DATI</t>
  </si>
  <si>
    <t>STX</t>
  </si>
  <si>
    <t>Inches</t>
  </si>
  <si>
    <t>h cono trevira</t>
  </si>
  <si>
    <t>Ingombro totale silo in altezza</t>
  </si>
  <si>
    <t>Ht cono vibrante</t>
  </si>
  <si>
    <t>Ht valvola stellare</t>
  </si>
  <si>
    <t xml:space="preserve">Luce da cono vib a terra </t>
  </si>
  <si>
    <t>Ht corpo Trevira</t>
  </si>
  <si>
    <t xml:space="preserve">AREA BASE </t>
  </si>
  <si>
    <t>Ø</t>
  </si>
  <si>
    <t>Discriminante Ø cono vib</t>
  </si>
  <si>
    <t>VOLUME CORPO TREVIRA</t>
  </si>
  <si>
    <t>H CONO VIBR</t>
  </si>
  <si>
    <t>ASP</t>
  </si>
  <si>
    <t>VOLUME CONO TREVIRA</t>
  </si>
  <si>
    <t>COC 0</t>
  </si>
  <si>
    <t>COC 20</t>
  </si>
  <si>
    <t>VOLUME TOTALE</t>
  </si>
  <si>
    <t>COC 45</t>
  </si>
  <si>
    <t>VS CEPI</t>
  </si>
  <si>
    <t>LUCE</t>
  </si>
  <si>
    <t>CODE IN C29</t>
  </si>
  <si>
    <t>Estrazione</t>
  </si>
  <si>
    <t>VS180</t>
  </si>
  <si>
    <t>&gt;</t>
  </si>
  <si>
    <t>Aspirazione</t>
  </si>
  <si>
    <t>VS</t>
  </si>
  <si>
    <t>VS230</t>
  </si>
  <si>
    <t>&lt;</t>
  </si>
  <si>
    <t>Coclea incl. 0°</t>
  </si>
  <si>
    <t>Valvola stellare DSF 180</t>
  </si>
  <si>
    <t>VS270</t>
  </si>
  <si>
    <t>Coclea incl 20°</t>
  </si>
  <si>
    <t>Valvola stellare DSF 230</t>
  </si>
  <si>
    <t>VS300</t>
  </si>
  <si>
    <t>Coclea incl 45°</t>
  </si>
  <si>
    <t>Valvola stellare DSF 270</t>
  </si>
  <si>
    <t>VS350</t>
  </si>
  <si>
    <t>Valvola stellare DSF 300</t>
  </si>
  <si>
    <t>RID "CALO"</t>
  </si>
  <si>
    <t>&gt;30 MC</t>
  </si>
  <si>
    <t>2Incl.22°/45°</t>
  </si>
  <si>
    <t>PREZZO</t>
  </si>
  <si>
    <t>Offerta</t>
  </si>
  <si>
    <t>Valvola stellare ALLUMINIO</t>
  </si>
  <si>
    <t>Piedi</t>
  </si>
  <si>
    <t>MM</t>
  </si>
  <si>
    <t>Mm</t>
  </si>
  <si>
    <t>M²</t>
  </si>
  <si>
    <t>M³</t>
  </si>
  <si>
    <t>AREA INFER CONO TREVIRA</t>
  </si>
  <si>
    <t>Kg</t>
  </si>
  <si>
    <t>Lbs</t>
  </si>
  <si>
    <t>Litri</t>
  </si>
  <si>
    <t>LINGUA</t>
  </si>
  <si>
    <t>MC RIF</t>
  </si>
  <si>
    <t>METRI</t>
  </si>
  <si>
    <t>KG FARINA</t>
  </si>
  <si>
    <t>KG ZUCCHERO</t>
  </si>
  <si>
    <t>Zucchero Lbs /FT³</t>
  </si>
  <si>
    <t>Zucchero Kg/M³</t>
  </si>
  <si>
    <t>Farina Lbs /Ft³</t>
  </si>
  <si>
    <t xml:space="preserve">Semola Kg/M³ </t>
  </si>
  <si>
    <t xml:space="preserve">Farina Kg/M³ </t>
  </si>
  <si>
    <t>CLIENTE</t>
  </si>
  <si>
    <t>H VALV  STELLARE</t>
  </si>
  <si>
    <t>incluso spazio per sfiato silo</t>
  </si>
  <si>
    <t>Ht corpo non utilizzabile (carico)</t>
  </si>
  <si>
    <t>Ht per sfiato silo</t>
  </si>
  <si>
    <t>RILSAN</t>
  </si>
  <si>
    <t>RIGIDA</t>
  </si>
  <si>
    <t>Rilassamento cono TREVIRA</t>
  </si>
  <si>
    <t xml:space="preserve">Ht cono Trevira </t>
  </si>
  <si>
    <t>H silo non utilizzabile</t>
  </si>
  <si>
    <t>COCLEA 30°</t>
  </si>
  <si>
    <t>Cono senza rilassamento - produzione</t>
  </si>
  <si>
    <t>CALCOLO ANGOLO INCLINAZIONE  OBELISCO</t>
  </si>
  <si>
    <t>Mt</t>
  </si>
  <si>
    <t>Diagonale lunga</t>
  </si>
  <si>
    <t>LG AG</t>
  </si>
  <si>
    <t>Lato grande area Grande</t>
  </si>
  <si>
    <t>Arcotang radianti</t>
  </si>
  <si>
    <t>Lp AG</t>
  </si>
  <si>
    <t>Lato piccolo area Grande</t>
  </si>
  <si>
    <t>Ø CV</t>
  </si>
  <si>
    <t>Diametro Cono vibrante</t>
  </si>
  <si>
    <t>Volume cono</t>
  </si>
  <si>
    <t>b °</t>
  </si>
  <si>
    <t>°</t>
  </si>
  <si>
    <t>CALCOLO ANGOLO INCLINAZIONE  OBELISCO - SILO VUOTO</t>
  </si>
  <si>
    <t>CALCOLO ANGOLO INCLINAZIONE  OBELISCO - SILO PIENO</t>
  </si>
  <si>
    <t>H SILO</t>
  </si>
  <si>
    <t>Eventuale luce extra sotto cono</t>
  </si>
  <si>
    <t>Valvola di sovrapressione su tetto  (S)</t>
  </si>
  <si>
    <t>RILSAN45</t>
  </si>
  <si>
    <t>RILSAN20</t>
  </si>
  <si>
    <t>VF</t>
  </si>
  <si>
    <t>RILSAN P</t>
  </si>
  <si>
    <t>Ht cono trevira a terra a silo pieno</t>
  </si>
  <si>
    <t>Altezza cono trevira pieno</t>
  </si>
  <si>
    <t xml:space="preserve">ASP </t>
  </si>
  <si>
    <t>mm</t>
  </si>
  <si>
    <t>% di allungamento a rottura</t>
  </si>
  <si>
    <t>mm Allungamento max ammesso dalle bretelle</t>
  </si>
  <si>
    <t>S coefficiente sicurezza voluto rispetto alla rottura</t>
  </si>
  <si>
    <t>Calcolo coordinate per lo sviluppo in piano delle parti del silos</t>
  </si>
  <si>
    <t>(misure in mm)</t>
  </si>
  <si>
    <t>Inserire i dati con sfondo in giallo</t>
  </si>
  <si>
    <t>Altezza corpo        A =</t>
  </si>
  <si>
    <t xml:space="preserve">Lato lungo            L1 = </t>
  </si>
  <si>
    <t xml:space="preserve">Lato corto            L2 = </t>
  </si>
  <si>
    <t>Diametro apertura da =</t>
  </si>
  <si>
    <t xml:space="preserve">Altezza Cono  C = </t>
  </si>
  <si>
    <t>Altezza anello a =</t>
  </si>
  <si>
    <t xml:space="preserve"> Volume geometrico </t>
  </si>
  <si>
    <t xml:space="preserve">Altezza cono geometrico </t>
  </si>
  <si>
    <t xml:space="preserve">totale silos </t>
  </si>
  <si>
    <t>Diametro aumentato =</t>
  </si>
  <si>
    <r>
      <t>m</t>
    </r>
    <r>
      <rPr>
        <b/>
        <vertAlign val="superscript"/>
        <sz val="14"/>
        <rFont val="Arial"/>
        <family val="2"/>
      </rPr>
      <t>3</t>
    </r>
  </si>
  <si>
    <t>Orlo superiore =</t>
  </si>
  <si>
    <t>PUNTO 1</t>
  </si>
  <si>
    <t xml:space="preserve">X1 </t>
  </si>
  <si>
    <t>Y1</t>
  </si>
  <si>
    <t xml:space="preserve">PUNTO 2 </t>
  </si>
  <si>
    <t>X2</t>
  </si>
  <si>
    <t>Y2</t>
  </si>
  <si>
    <t>PUNTO 3</t>
  </si>
  <si>
    <t xml:space="preserve">X3 </t>
  </si>
  <si>
    <t>Y3</t>
  </si>
  <si>
    <t>PUNTO 4</t>
  </si>
  <si>
    <t>X4</t>
  </si>
  <si>
    <t>Y4</t>
  </si>
  <si>
    <t xml:space="preserve">Ingombro sviluppo </t>
  </si>
  <si>
    <t>X</t>
  </si>
  <si>
    <t>H1</t>
  </si>
  <si>
    <t>Y</t>
  </si>
  <si>
    <t>Sormonto cuciture (mm)</t>
  </si>
  <si>
    <t>=</t>
  </si>
  <si>
    <t>Altezza Ferro</t>
  </si>
  <si>
    <t>H Parte superiore</t>
  </si>
  <si>
    <t>Sviluppo bretelle Sv</t>
  </si>
  <si>
    <t>Lunghezza bretelle inferiori</t>
  </si>
  <si>
    <t>Lunghezza bretelle superiori</t>
  </si>
  <si>
    <t>N° FASCE DI RINFORZO CONO CALCOLATE</t>
  </si>
  <si>
    <t xml:space="preserve">Ingombro massimo sviluppo </t>
  </si>
  <si>
    <t xml:space="preserve">Lato lungo L1 = </t>
  </si>
  <si>
    <t xml:space="preserve">Lato corto L2 = </t>
  </si>
  <si>
    <t>Ottavo lato lungo L1/8 =</t>
  </si>
  <si>
    <t>Ottavo lato corto L2/8 =</t>
  </si>
  <si>
    <t>Quarto lato lungo L1/4 =</t>
  </si>
  <si>
    <t>Quarto lato corto L2/4 =</t>
  </si>
  <si>
    <t>TreQuarti lato lungo L1*3/8 =</t>
  </si>
  <si>
    <t>TreQuarti lato corto L2*3/8 =</t>
  </si>
  <si>
    <t>Metà lato lungo L1/2 =</t>
  </si>
  <si>
    <t>Metà lato corto L2/2 =</t>
  </si>
  <si>
    <t>Altezza cono C =</t>
  </si>
  <si>
    <t>Raggio apertura    ra =</t>
  </si>
  <si>
    <t>Raggio aumentato</t>
  </si>
  <si>
    <t>Spigolo corto Sc =</t>
  </si>
  <si>
    <t>Angoli dei vari spicchi di circonferenza</t>
  </si>
  <si>
    <t>a1 =</t>
  </si>
  <si>
    <t>a2 =</t>
  </si>
  <si>
    <t>a3 =</t>
  </si>
  <si>
    <t>a4 =</t>
  </si>
  <si>
    <t>Lunghezze dei vari spicchi di circonferenza</t>
  </si>
  <si>
    <t>r1 =</t>
  </si>
  <si>
    <t>r2 =</t>
  </si>
  <si>
    <t>r3 =</t>
  </si>
  <si>
    <t>r4 =</t>
  </si>
  <si>
    <t>Lunghezze delle relative diagonali</t>
  </si>
  <si>
    <t>k =</t>
  </si>
  <si>
    <t>t1 =</t>
  </si>
  <si>
    <t>t2 =</t>
  </si>
  <si>
    <t>t3 =</t>
  </si>
  <si>
    <t>t4 =</t>
  </si>
  <si>
    <t>Lunghezze delle direttrici relative</t>
  </si>
  <si>
    <t>d1 =</t>
  </si>
  <si>
    <t>d2 =</t>
  </si>
  <si>
    <t>d3 =</t>
  </si>
  <si>
    <t>d4 =</t>
  </si>
  <si>
    <t>Spigolo lungo</t>
  </si>
  <si>
    <t>Calcolo  scostamento primo punto</t>
  </si>
  <si>
    <t>r11 =</t>
  </si>
  <si>
    <t>r21 =</t>
  </si>
  <si>
    <t>r31 =</t>
  </si>
  <si>
    <t xml:space="preserve">c1 = </t>
  </si>
  <si>
    <t>c2 =</t>
  </si>
  <si>
    <t>xg1 =</t>
  </si>
  <si>
    <t>Xp1 =</t>
  </si>
  <si>
    <t>yg1 =</t>
  </si>
  <si>
    <t>Yp1 =</t>
  </si>
  <si>
    <t xml:space="preserve">Calcolo spostamento secondo punto </t>
  </si>
  <si>
    <t>r12 =</t>
  </si>
  <si>
    <t>r22 =</t>
  </si>
  <si>
    <t>r32 =</t>
  </si>
  <si>
    <t>xg2 =</t>
  </si>
  <si>
    <t>Xp2 =</t>
  </si>
  <si>
    <t>yg2 =</t>
  </si>
  <si>
    <t>Yp2 =</t>
  </si>
  <si>
    <t>Calcolo spostamento terzo punto</t>
  </si>
  <si>
    <t>r13 =</t>
  </si>
  <si>
    <t>r23 =</t>
  </si>
  <si>
    <t>r33 =</t>
  </si>
  <si>
    <t>xg3 =</t>
  </si>
  <si>
    <t>Xp3 =</t>
  </si>
  <si>
    <t>yg3 =</t>
  </si>
  <si>
    <t>Yp3 =</t>
  </si>
  <si>
    <t>Calcolo spostamento quarto punto</t>
  </si>
  <si>
    <t>r14 =</t>
  </si>
  <si>
    <t>r24 =</t>
  </si>
  <si>
    <t>r34 =</t>
  </si>
  <si>
    <t>xg4 =</t>
  </si>
  <si>
    <t>Xp4 =</t>
  </si>
  <si>
    <t>yg4 =</t>
  </si>
  <si>
    <t>Yp4 =</t>
  </si>
  <si>
    <t>Calcolo volume totale silos</t>
  </si>
  <si>
    <t>Calcolo volume cono</t>
  </si>
  <si>
    <t>Lato lungo L1 =</t>
  </si>
  <si>
    <t>Lato corto L2 =</t>
  </si>
  <si>
    <t>Spicchio di base lato corto</t>
  </si>
  <si>
    <t>Spicchio di base lato lungo</t>
  </si>
  <si>
    <t>Altezza corpo A =</t>
  </si>
  <si>
    <t>Altezza totale cono C =</t>
  </si>
  <si>
    <t>Altezza geometrica Cono</t>
  </si>
  <si>
    <t>Diametro apertura Da =</t>
  </si>
  <si>
    <t>Raggio Ra =</t>
  </si>
  <si>
    <t>raggio apertura Ra =</t>
  </si>
  <si>
    <t>Angolo alfa a =</t>
  </si>
  <si>
    <t>Costante b =</t>
  </si>
  <si>
    <t xml:space="preserve">Volume corpo </t>
  </si>
  <si>
    <t>Costante n =</t>
  </si>
  <si>
    <t xml:space="preserve">Vat </t>
  </si>
  <si>
    <t xml:space="preserve">Volume anello  </t>
  </si>
  <si>
    <t>Va -</t>
  </si>
  <si>
    <t>Va+</t>
  </si>
  <si>
    <t>Volume spicchio =</t>
  </si>
  <si>
    <t>Volume Totale</t>
  </si>
  <si>
    <r>
      <t>Silos (m</t>
    </r>
    <r>
      <rPr>
        <b/>
        <vertAlign val="superscript"/>
        <sz val="14"/>
        <rFont val="Arial"/>
        <family val="2"/>
      </rPr>
      <t>3</t>
    </r>
    <r>
      <rPr>
        <b/>
        <sz val="14"/>
        <rFont val="Arial"/>
        <family val="2"/>
      </rPr>
      <t>)</t>
    </r>
  </si>
  <si>
    <t xml:space="preserve">Volume totale cono </t>
  </si>
  <si>
    <t>Volume cono m3</t>
  </si>
  <si>
    <t>Volume tronco di piramide con le stesse aeree di base</t>
  </si>
  <si>
    <t>Ab1 =</t>
  </si>
  <si>
    <t>Rapporto volume cono/troncopiramide</t>
  </si>
  <si>
    <t>Ab2 =</t>
  </si>
  <si>
    <t xml:space="preserve">Volume </t>
  </si>
  <si>
    <t>Volume approssimato cono litri</t>
  </si>
  <si>
    <t>Volume geometrico calcolato</t>
  </si>
  <si>
    <t>Gradi inclinazione Diagonale lunga cono</t>
  </si>
  <si>
    <t>Gradi inclinazione su lato lungo rettangolo</t>
  </si>
  <si>
    <t>Gradi inclinazione su lato corto rettangolo</t>
  </si>
  <si>
    <t>angolo inclinaz. cono visto da lato lungo</t>
  </si>
  <si>
    <t>angolo inclinaz. cono visto da lato corto</t>
  </si>
  <si>
    <t>CALCOLO ABBASSAMENTO CONO</t>
  </si>
  <si>
    <t>PER CUCITURA BRETELLA IN CIMA AL CONO</t>
  </si>
  <si>
    <t>LATO LUNGO</t>
  </si>
  <si>
    <t>LATO CORTO</t>
  </si>
  <si>
    <t>ALTEZZA CORPO</t>
  </si>
  <si>
    <t>DIAMETRO CONO</t>
  </si>
  <si>
    <t>Altezza bocca di carico</t>
  </si>
  <si>
    <t>Valore fisso bocca di carico</t>
  </si>
  <si>
    <t>Dimensione tubulare struttura</t>
  </si>
  <si>
    <t>DIAGONALE</t>
  </si>
  <si>
    <t>PARTENZA ELASTICI</t>
  </si>
  <si>
    <t>LIMITE DIAGONALE</t>
  </si>
  <si>
    <t>DIAGONALE SENZA PARTENZA</t>
  </si>
  <si>
    <t>Gradi</t>
  </si>
  <si>
    <t>DISTANZA ELASTICI</t>
  </si>
  <si>
    <t>NUMERO ELASTICI</t>
  </si>
  <si>
    <t>PRODOTTO</t>
  </si>
  <si>
    <t>FARINA</t>
  </si>
  <si>
    <t>F</t>
  </si>
  <si>
    <t>ZUCCHERO</t>
  </si>
  <si>
    <t>SEMOLA</t>
  </si>
  <si>
    <t>TOT</t>
  </si>
  <si>
    <t>Forzare H cono C (cfr angolo)</t>
  </si>
  <si>
    <t>LATERALE</t>
  </si>
  <si>
    <t>CENTRALE</t>
  </si>
  <si>
    <t>STL</t>
  </si>
  <si>
    <t>VOLUME MAX UTILIZZABILE INTERNO</t>
  </si>
  <si>
    <t>STIMATO</t>
  </si>
  <si>
    <t>ANGOLO</t>
  </si>
  <si>
    <t>ATTRITO</t>
  </si>
  <si>
    <t>TEORICO</t>
  </si>
  <si>
    <t>Volume  perduto M³</t>
  </si>
  <si>
    <t>STRUTT</t>
  </si>
  <si>
    <t xml:space="preserve">  Dimensione tubolare struttura verificato con calcolo</t>
  </si>
  <si>
    <t>volumi</t>
  </si>
  <si>
    <t>tubolari</t>
  </si>
  <si>
    <t>CUSTOM</t>
  </si>
  <si>
    <t>Custom</t>
  </si>
  <si>
    <t>verifica rettangolarità cono</t>
  </si>
  <si>
    <t xml:space="preserve">N/cm costante elastica tessuto E </t>
  </si>
  <si>
    <t>mm Perimetro lati saccone</t>
  </si>
  <si>
    <t>mm CALCOLO CALO SACCONE SU PERIMETRO</t>
  </si>
  <si>
    <t>mm Meta' allung. Bretelle superiori</t>
  </si>
  <si>
    <t>mm Lungh. Lato corto cono</t>
  </si>
  <si>
    <t xml:space="preserve">N - valore max forza / cm </t>
  </si>
  <si>
    <t>N - valore amm./cm calcolato con S</t>
  </si>
  <si>
    <t>N - valore amm./cm scelto</t>
  </si>
  <si>
    <t>cm Lunghezza totale calcolata bretelle superiori</t>
  </si>
  <si>
    <t>mm Lunghezza calcolata superiori</t>
  </si>
  <si>
    <t>Rilassamento totale corpo+bretella+cono</t>
  </si>
  <si>
    <t>N Forza massima ammessa tessuto bretelle</t>
  </si>
  <si>
    <t>mm  allung. cono+</t>
  </si>
  <si>
    <t>s</t>
  </si>
  <si>
    <t xml:space="preserve">mm Calo massimo </t>
  </si>
  <si>
    <t>totale silo calcolato da carico</t>
  </si>
  <si>
    <t>SILO SM</t>
  </si>
  <si>
    <t xml:space="preserve">PL </t>
  </si>
  <si>
    <t>Tot Sm</t>
  </si>
  <si>
    <t>Forfait</t>
  </si>
  <si>
    <t>Min</t>
  </si>
  <si>
    <t>Sm</t>
  </si>
  <si>
    <t># MQ</t>
  </si>
  <si>
    <t>Str Zuc</t>
  </si>
  <si>
    <t>Strut Fa</t>
  </si>
  <si>
    <t>silo completo da fare</t>
  </si>
  <si>
    <t>SM SILO</t>
  </si>
  <si>
    <t>&lt;5,7</t>
  </si>
  <si>
    <t>&gt;55 ix</t>
  </si>
  <si>
    <t>&gt;55  fa</t>
  </si>
  <si>
    <t>Val forf mc</t>
  </si>
  <si>
    <t>Cap Max</t>
  </si>
  <si>
    <t>Cap Min</t>
  </si>
  <si>
    <t>Strut sm</t>
  </si>
  <si>
    <t>struttura</t>
  </si>
  <si>
    <t>Strutt TC</t>
  </si>
  <si>
    <t>Tc sm</t>
  </si>
  <si>
    <t>&gt;50</t>
  </si>
  <si>
    <t>Z</t>
  </si>
  <si>
    <t>44&lt;&gt;50</t>
  </si>
  <si>
    <t>33&lt;&gt;44</t>
  </si>
  <si>
    <t>27&lt;&gt;33</t>
  </si>
  <si>
    <t>20&lt;&gt;27</t>
  </si>
  <si>
    <t>Tc ix</t>
  </si>
  <si>
    <t>Tc vn</t>
  </si>
  <si>
    <t>TC</t>
  </si>
  <si>
    <t>16&lt;&gt;20</t>
  </si>
  <si>
    <t>SM TC</t>
  </si>
  <si>
    <t>\</t>
  </si>
  <si>
    <t>12&lt;&gt;16</t>
  </si>
  <si>
    <t>PL Saccone</t>
  </si>
  <si>
    <t>8&lt;&gt;12</t>
  </si>
  <si>
    <t>5&lt;&gt;8</t>
  </si>
  <si>
    <t>&lt;5</t>
  </si>
  <si>
    <t>Maggiorazione sacco su misura</t>
  </si>
  <si>
    <t>CON PIEDI RIALZATI</t>
  </si>
  <si>
    <t>Zucchero</t>
  </si>
  <si>
    <t>Farina</t>
  </si>
  <si>
    <t>saccone</t>
  </si>
  <si>
    <t>Zucc</t>
  </si>
  <si>
    <t>Far</t>
  </si>
  <si>
    <t>Sm saccone</t>
  </si>
  <si>
    <t>Under 5,7</t>
  </si>
  <si>
    <t xml:space="preserve"> Over 55</t>
  </si>
  <si>
    <t>Over 55</t>
  </si>
  <si>
    <t>SOPRA 15.000</t>
  </si>
  <si>
    <t>STXJ+COM</t>
  </si>
  <si>
    <t>DA 5.000 A 15.000 LT.</t>
  </si>
  <si>
    <t>Extra per silos con piedi rialzati</t>
  </si>
  <si>
    <t>MC</t>
  </si>
  <si>
    <t>SM</t>
  </si>
  <si>
    <t>LIT.</t>
  </si>
  <si>
    <t>CAPACITA'</t>
  </si>
  <si>
    <t>SILOS SU MISURA</t>
  </si>
  <si>
    <t>ARTICOLI SU MISURA</t>
  </si>
  <si>
    <t>40000-42000</t>
  </si>
  <si>
    <t>STL1VS550</t>
  </si>
  <si>
    <t>30000-32000</t>
  </si>
  <si>
    <t>STL0VS550</t>
  </si>
  <si>
    <t>35000-36000</t>
  </si>
  <si>
    <t>STL1VS440</t>
  </si>
  <si>
    <t>26000-28000</t>
  </si>
  <si>
    <t>STL0VS440</t>
  </si>
  <si>
    <t>26000-27000</t>
  </si>
  <si>
    <t>STL1VS350</t>
  </si>
  <si>
    <t>20000-22000</t>
  </si>
  <si>
    <t>STL0VS350</t>
  </si>
  <si>
    <t>21000-22000</t>
  </si>
  <si>
    <t>STL1VS290</t>
  </si>
  <si>
    <t>16000-17000</t>
  </si>
  <si>
    <t>STL0VS290</t>
  </si>
  <si>
    <t>STL1VS220</t>
  </si>
  <si>
    <t>12000-13000</t>
  </si>
  <si>
    <t>STL0VS220</t>
  </si>
  <si>
    <t>12500-13000</t>
  </si>
  <si>
    <t>STL1VS165</t>
  </si>
  <si>
    <t>9500/10000</t>
  </si>
  <si>
    <t>STL0VS165</t>
  </si>
  <si>
    <t>10000-11000</t>
  </si>
  <si>
    <t>STL1VS128</t>
  </si>
  <si>
    <t>7000-7200</t>
  </si>
  <si>
    <t>STL0VS128</t>
  </si>
  <si>
    <t>6500-7000</t>
  </si>
  <si>
    <t>STL1VS088</t>
  </si>
  <si>
    <t>4800-5000</t>
  </si>
  <si>
    <t>STL0VS088</t>
  </si>
  <si>
    <t>4000-4500</t>
  </si>
  <si>
    <t>STL1VS057</t>
  </si>
  <si>
    <t>STL0VS057</t>
  </si>
  <si>
    <t>€</t>
  </si>
  <si>
    <t>Densità 0,95</t>
  </si>
  <si>
    <t>Densità 0,6</t>
  </si>
  <si>
    <t xml:space="preserve"> D</t>
  </si>
  <si>
    <t>VOL</t>
  </si>
  <si>
    <t>ART.</t>
  </si>
  <si>
    <t xml:space="preserve"> </t>
  </si>
  <si>
    <t>SILSYSTEM BASE</t>
  </si>
  <si>
    <t>Gradi inclinazione Obelisco</t>
  </si>
  <si>
    <t xml:space="preserve">VS </t>
  </si>
  <si>
    <t>DIM STRUTTURA SILO</t>
  </si>
  <si>
    <t>Diametro cono vib</t>
  </si>
  <si>
    <t>INCHES</t>
  </si>
  <si>
    <t>22°</t>
  </si>
  <si>
    <t>Calo silo da carico</t>
  </si>
  <si>
    <t>Valvola estrela DSF 300</t>
  </si>
  <si>
    <t>Rotary valve  DSF 300</t>
  </si>
  <si>
    <t>Ecluse DSF 300</t>
  </si>
  <si>
    <t>Valvola estrela DSF 270</t>
  </si>
  <si>
    <t>Rosca incl 45°</t>
  </si>
  <si>
    <t>Rotary valve  DSF 270</t>
  </si>
  <si>
    <t>Screw  Encl. 45°</t>
  </si>
  <si>
    <t>Ecluse DSF 270</t>
  </si>
  <si>
    <t>Vis incl. 45°</t>
  </si>
  <si>
    <t>Valvola estrela DSF 230</t>
  </si>
  <si>
    <t>Rosca incl 20°</t>
  </si>
  <si>
    <t>Rotary valve  DSF 230</t>
  </si>
  <si>
    <t>Screw  Encl. 20°</t>
  </si>
  <si>
    <t>Ecluse DSF 230</t>
  </si>
  <si>
    <t>Vis incl. 20°</t>
  </si>
  <si>
    <t>Valvola estrela DSF 180</t>
  </si>
  <si>
    <t>Rosca incl. 0°</t>
  </si>
  <si>
    <t>Rotary valve  DSF 180</t>
  </si>
  <si>
    <t>Screw  Encl. 0°</t>
  </si>
  <si>
    <t>Ecluse DSF 180</t>
  </si>
  <si>
    <t>Vis incl. 0°</t>
  </si>
  <si>
    <t>Valvola estrela ALUMINIO</t>
  </si>
  <si>
    <t>Aspiração</t>
  </si>
  <si>
    <t>Rotary valve ALUMINIUM</t>
  </si>
  <si>
    <t>Suction</t>
  </si>
  <si>
    <t>Ecluse ALUMINIUM</t>
  </si>
  <si>
    <t>Aspiration</t>
  </si>
  <si>
    <t>Estração</t>
  </si>
  <si>
    <t>Extraction mode</t>
  </si>
  <si>
    <t>Extraction</t>
  </si>
  <si>
    <t>CODE DANS C29</t>
  </si>
  <si>
    <t>Zucker Lbs /FT³</t>
  </si>
  <si>
    <t>Açucar Lbs /FT³</t>
  </si>
  <si>
    <t>Sugar  Lbs/FT³</t>
  </si>
  <si>
    <t>Sucre Lbs/Ft³</t>
  </si>
  <si>
    <t>Zucker Kg/M³</t>
  </si>
  <si>
    <t>Açucar Kg/M³</t>
  </si>
  <si>
    <t>Sugar Kg/M³</t>
  </si>
  <si>
    <t>Sucre Kg/m³</t>
  </si>
  <si>
    <t>Mehl Lbs /Ft³</t>
  </si>
  <si>
    <t>Farinha Lbs /Ft³</t>
  </si>
  <si>
    <t>Flour Lbs/Ft³</t>
  </si>
  <si>
    <t>Farine Lbs/Ft³</t>
  </si>
  <si>
    <t xml:space="preserve">Gries Kg/M³ </t>
  </si>
  <si>
    <t xml:space="preserve">Semolina Kg/M³ </t>
  </si>
  <si>
    <t>Semoule Kg/m³</t>
  </si>
  <si>
    <t xml:space="preserve">Mehl Kg/M³ </t>
  </si>
  <si>
    <t xml:space="preserve">Farinha Kg/M³ </t>
  </si>
  <si>
    <t xml:space="preserve">Flour Kg/M³ </t>
  </si>
  <si>
    <t>Farine Kg/m³</t>
  </si>
  <si>
    <t>VOLUME TOTAL</t>
  </si>
  <si>
    <t>TOTAL VOLUME</t>
  </si>
  <si>
    <t>Volume TREVIRA Konus</t>
  </si>
  <si>
    <t>VOLUME CONE TREVIRA</t>
  </si>
  <si>
    <t>VOLUME TREVIRA CONE</t>
  </si>
  <si>
    <t>VOLUME CÔNE TREVIRA</t>
  </si>
  <si>
    <t>Fläche unten Silo</t>
  </si>
  <si>
    <t>AREA INFER CONE TREVIRA</t>
  </si>
  <si>
    <t>LOWER SURFACE TREVIRA CONE</t>
  </si>
  <si>
    <t>SURF BASE INF. TREVIRA</t>
  </si>
  <si>
    <t>Volum Trevira Körper</t>
  </si>
  <si>
    <t>VOLUM OF TREVIRA BODY</t>
  </si>
  <si>
    <t>VOLUME CORPS TREVIRA</t>
  </si>
  <si>
    <t>BASE FLÄCHE</t>
  </si>
  <si>
    <t>BASE SURFACE</t>
  </si>
  <si>
    <t>SURFACE BASE</t>
  </si>
  <si>
    <t>Kurze Seite</t>
  </si>
  <si>
    <t>Lato curto</t>
  </si>
  <si>
    <t>Short side</t>
  </si>
  <si>
    <t>Côté court</t>
  </si>
  <si>
    <t>Lange Seite</t>
  </si>
  <si>
    <t>Lado longo</t>
  </si>
  <si>
    <t>Long side</t>
  </si>
  <si>
    <t>Côté Long</t>
  </si>
  <si>
    <t>Ht Trevira Körper</t>
  </si>
  <si>
    <t>Heigth of body of silo</t>
  </si>
  <si>
    <t>Hauteur corps Trevira</t>
  </si>
  <si>
    <t>Ht  Trevira Konus</t>
  </si>
  <si>
    <t>Ht cone Trevira</t>
  </si>
  <si>
    <t>Heigth of Trevira cone</t>
  </si>
  <si>
    <t>Hauteur cône Trevira</t>
  </si>
  <si>
    <t xml:space="preserve">Höhe von Kuns bis Boden </t>
  </si>
  <si>
    <t xml:space="preserve">Dist da cone vib a terra </t>
  </si>
  <si>
    <t>Space from Vib cone to floor</t>
  </si>
  <si>
    <t>Espace libre cône/terre</t>
  </si>
  <si>
    <t>Ht Schleuse</t>
  </si>
  <si>
    <t>Ht valvola estrela</t>
  </si>
  <si>
    <t>Ht rotary valve</t>
  </si>
  <si>
    <t>Hauteur écluse</t>
  </si>
  <si>
    <t>Ht Vibrierend Konus</t>
  </si>
  <si>
    <t>Ht cone vibrante</t>
  </si>
  <si>
    <t>Ht vibranting cone</t>
  </si>
  <si>
    <t>Hauteur cône vibrant</t>
  </si>
  <si>
    <t xml:space="preserve">Nicht Befullbar Hohe </t>
  </si>
  <si>
    <t>Ht nao utilisable (carga silo)</t>
  </si>
  <si>
    <t>Ht Body not available (loading)</t>
  </si>
  <si>
    <t>Hauteur corps non utilisable (charg)</t>
  </si>
  <si>
    <t xml:space="preserve">Altura total silo </t>
  </si>
  <si>
    <t xml:space="preserve">Total heigth of silo </t>
  </si>
  <si>
    <t>Hauteur totale silo</t>
  </si>
  <si>
    <t xml:space="preserve"> Inches</t>
  </si>
  <si>
    <t>Us Inches</t>
  </si>
  <si>
    <t>Us Feet</t>
  </si>
  <si>
    <t>Metern</t>
  </si>
  <si>
    <t>Polegadas</t>
  </si>
  <si>
    <t>US Polegada</t>
  </si>
  <si>
    <t>US Pes</t>
  </si>
  <si>
    <t>METROS</t>
  </si>
  <si>
    <t>Polegada</t>
  </si>
  <si>
    <t>Pes</t>
  </si>
  <si>
    <t>DADOS</t>
  </si>
  <si>
    <t>TOT Inches</t>
  </si>
  <si>
    <t>US INCHES</t>
  </si>
  <si>
    <t>US FEET</t>
  </si>
  <si>
    <t>METERS</t>
  </si>
  <si>
    <t>Feet</t>
  </si>
  <si>
    <t>DATA</t>
  </si>
  <si>
    <t>POUCES TOT</t>
  </si>
  <si>
    <t>POUCES US</t>
  </si>
  <si>
    <t>PIEDS US</t>
  </si>
  <si>
    <t>METRES</t>
  </si>
  <si>
    <t>Pieds</t>
  </si>
  <si>
    <t>Données</t>
  </si>
  <si>
    <t>US Inches</t>
  </si>
  <si>
    <t>US PIEDI</t>
  </si>
  <si>
    <t>ESTRAÇÃO</t>
  </si>
  <si>
    <t>EXTRACTION MODE</t>
  </si>
  <si>
    <t>Angolo cono trevira diag lunga - vuoto</t>
  </si>
  <si>
    <t>Angolo cono trevira diag lunga - pieno</t>
  </si>
  <si>
    <t>Rilassamento</t>
  </si>
  <si>
    <t>Erlangerung des Silo</t>
  </si>
  <si>
    <t>Masse Struktur des Silo</t>
  </si>
  <si>
    <t>Tc inox</t>
  </si>
  <si>
    <t>DURCHMESSER KONUS</t>
  </si>
  <si>
    <t>Diametro cone</t>
  </si>
  <si>
    <t>Ø Vibrating cone</t>
  </si>
  <si>
    <t>Ø cône</t>
  </si>
  <si>
    <t>SACCO + TC ZUCCHERO</t>
  </si>
  <si>
    <t>HÖHE BEFÜLLEITUNG</t>
  </si>
  <si>
    <t>Comprimento tubo de carga</t>
  </si>
  <si>
    <t>Length of loading pipe</t>
  </si>
  <si>
    <t>Longueur tuyau chargement</t>
  </si>
  <si>
    <t>Inkl Höhe für Entluftung</t>
  </si>
  <si>
    <t>incluso altura para fluidificacion</t>
  </si>
  <si>
    <t>(including space for venting)</t>
  </si>
  <si>
    <t>Inclu espace pour event</t>
  </si>
  <si>
    <t>GESAMT HÖHE SILO</t>
  </si>
  <si>
    <t>Tc vern</t>
  </si>
  <si>
    <t>HÖHE FÜR ENTLUFTUNG</t>
  </si>
  <si>
    <t>Ht para ventilacion</t>
  </si>
  <si>
    <t>Ht for silo venting</t>
  </si>
  <si>
    <t>Hauteur event</t>
  </si>
  <si>
    <t>SACCO + TC FA/SEMOLA</t>
  </si>
  <si>
    <t>HÖHE WENN SILO LEER IST</t>
  </si>
  <si>
    <t>Ht cone trevira a terra a silo vazio</t>
  </si>
  <si>
    <t>Ht from Trevira cone to floor - if silo empty</t>
  </si>
  <si>
    <t>Hauteur cône trevira à terre - silo vide</t>
  </si>
  <si>
    <t>Ht cono trevira a terra a silo vuoto</t>
  </si>
  <si>
    <t xml:space="preserve">HÖHE TREVIRA KONUS </t>
  </si>
  <si>
    <t>Altura cone trevira</t>
  </si>
  <si>
    <t xml:space="preserve">Hauteur cône trevira </t>
  </si>
  <si>
    <t>Altezza cono trevira rilassato</t>
  </si>
  <si>
    <t>Inox</t>
  </si>
  <si>
    <t>HÖHE KÖRPER</t>
  </si>
  <si>
    <t>Altura corpo</t>
  </si>
  <si>
    <t>Hauteur corps</t>
  </si>
  <si>
    <t>Vern</t>
  </si>
  <si>
    <t>KURZE SEITE</t>
  </si>
  <si>
    <t>Lado curto</t>
  </si>
  <si>
    <t>PREZZO TC</t>
  </si>
  <si>
    <t>LANGE SEITE</t>
  </si>
  <si>
    <t xml:space="preserve">Beschreibung </t>
  </si>
  <si>
    <t>Descrição</t>
  </si>
  <si>
    <t>Description</t>
  </si>
  <si>
    <t>MC RIF OLD</t>
  </si>
  <si>
    <t xml:space="preserve">Bestimmte Hoehe der Konus </t>
  </si>
  <si>
    <t>Forzata H con Cfr Angolo</t>
  </si>
  <si>
    <t>Forced H of cone Cfr Angle</t>
  </si>
  <si>
    <t>H cone forcée cfr angle</t>
  </si>
  <si>
    <t>Forzare H cono cfr angolo</t>
  </si>
  <si>
    <t>ZUC</t>
  </si>
  <si>
    <t>Eventuele extra Hoehe unten Konus</t>
  </si>
  <si>
    <t>Extra spazio sotto cono</t>
  </si>
  <si>
    <t>Extra space under cone</t>
  </si>
  <si>
    <t>Extra espace sous cone</t>
  </si>
  <si>
    <t>FA/SEM</t>
  </si>
  <si>
    <t>PREZZO STRUTTURA</t>
  </si>
  <si>
    <t>Austragung</t>
  </si>
  <si>
    <t xml:space="preserve">Extraction </t>
  </si>
  <si>
    <t>Grieß Kg</t>
  </si>
  <si>
    <t>KG MOEDURA</t>
  </si>
  <si>
    <t>KG DURUM</t>
  </si>
  <si>
    <t>KG SEMOULE</t>
  </si>
  <si>
    <t>KG SEMOLA</t>
  </si>
  <si>
    <t>Zucker Kg</t>
  </si>
  <si>
    <t>Sprache</t>
  </si>
  <si>
    <t>KG AÇUCAR</t>
  </si>
  <si>
    <t>LBS SUGAR</t>
  </si>
  <si>
    <t>KG SUGAR</t>
  </si>
  <si>
    <t>KG SUCRE</t>
  </si>
  <si>
    <t>Mehl Kg</t>
  </si>
  <si>
    <t>Angebot</t>
  </si>
  <si>
    <t>KG FARINHA</t>
  </si>
  <si>
    <t>Oferta</t>
  </si>
  <si>
    <t>LBS FLOUR</t>
  </si>
  <si>
    <t>OFFER</t>
  </si>
  <si>
    <t>KG FLOUR</t>
  </si>
  <si>
    <t>KG FARINE</t>
  </si>
  <si>
    <t>Offre</t>
  </si>
  <si>
    <t>PREIS SACK</t>
  </si>
  <si>
    <t>PREIS SILO</t>
  </si>
  <si>
    <t>KM REF</t>
  </si>
  <si>
    <t>Kunde</t>
  </si>
  <si>
    <t>PREÇO SACO</t>
  </si>
  <si>
    <t>PREÇO SILO</t>
  </si>
  <si>
    <t>M³ RIF</t>
  </si>
  <si>
    <t>PRICE BAG</t>
  </si>
  <si>
    <t>PRICE SILO</t>
  </si>
  <si>
    <t>Ft³  REF</t>
  </si>
  <si>
    <t>CLIENT</t>
  </si>
  <si>
    <t>CM REF</t>
  </si>
  <si>
    <t>PRIX SAC</t>
  </si>
  <si>
    <t>PRIX SILO</t>
  </si>
  <si>
    <t>MC REF</t>
  </si>
  <si>
    <t>PREZZO SACCO</t>
  </si>
  <si>
    <t>PREZZO SILO</t>
  </si>
  <si>
    <t>Tot</t>
  </si>
  <si>
    <t>Varie</t>
  </si>
  <si>
    <t>Lit in Cub Foot</t>
  </si>
  <si>
    <t>Cb feet</t>
  </si>
  <si>
    <t>Ps lbs/f³</t>
  </si>
  <si>
    <t>US</t>
  </si>
  <si>
    <t>Lit</t>
  </si>
  <si>
    <t>Ps Kg/lit</t>
  </si>
  <si>
    <t>METRICO</t>
  </si>
  <si>
    <t>Cfoot</t>
  </si>
  <si>
    <t>MMC</t>
  </si>
  <si>
    <t>MMQ</t>
  </si>
  <si>
    <t>Lbs/sp.in.</t>
  </si>
  <si>
    <t>ATMOSFERE BAR</t>
  </si>
  <si>
    <t>Us ft</t>
  </si>
  <si>
    <t>Lbs Far</t>
  </si>
  <si>
    <t>Kg Far</t>
  </si>
  <si>
    <t>Mc</t>
  </si>
  <si>
    <t>Tot Inches</t>
  </si>
  <si>
    <t>SBX DIM MM</t>
  </si>
  <si>
    <t>Gallons</t>
  </si>
  <si>
    <t>KG</t>
  </si>
  <si>
    <t>LBS FAR US</t>
  </si>
  <si>
    <t>LBS</t>
  </si>
  <si>
    <t>METRICO / USA</t>
  </si>
  <si>
    <t>CONVERSIONE</t>
  </si>
  <si>
    <t>semola</t>
  </si>
  <si>
    <t>zucchero</t>
  </si>
  <si>
    <t>farina</t>
  </si>
  <si>
    <t>Peso specifico</t>
  </si>
  <si>
    <t>Prodotto</t>
  </si>
  <si>
    <t>VOLUME</t>
  </si>
  <si>
    <t>Volume medio STX</t>
  </si>
  <si>
    <t>VOLUME MEDIO STL</t>
  </si>
  <si>
    <t>h</t>
  </si>
  <si>
    <t>dim piedi</t>
  </si>
  <si>
    <t>H rialzo</t>
  </si>
  <si>
    <t>VOLIME MEDIO STX</t>
  </si>
  <si>
    <t>Extra altezza sotto cono</t>
  </si>
  <si>
    <t>TIPO CARICO</t>
  </si>
  <si>
    <t>SILO</t>
  </si>
  <si>
    <t>SACCO</t>
  </si>
  <si>
    <t>STRUTTURA</t>
  </si>
  <si>
    <t>SACCO+TC STL</t>
  </si>
  <si>
    <t>SACCO TC STX</t>
  </si>
  <si>
    <t>FAR/SEM</t>
  </si>
  <si>
    <t>VERN</t>
  </si>
  <si>
    <t>INOX</t>
  </si>
  <si>
    <t>TC VERN</t>
  </si>
  <si>
    <t>TC INOX</t>
  </si>
  <si>
    <t>ALLARME: imporre altezza cono per avere beta &gt; 45°</t>
  </si>
  <si>
    <t>PROJECT</t>
  </si>
  <si>
    <t>VOLUME UTILE</t>
  </si>
  <si>
    <t>VOLUME LOAD</t>
  </si>
  <si>
    <t>PRODUCT</t>
  </si>
  <si>
    <t>FLOUR</t>
  </si>
  <si>
    <t>SUGAR</t>
  </si>
  <si>
    <t>DURUM</t>
  </si>
  <si>
    <t>EXTRACTION</t>
  </si>
  <si>
    <t>LONG SIDE</t>
  </si>
  <si>
    <t>SHORT SIDE</t>
  </si>
  <si>
    <t>EXTRA HEIGHT UNDER CONE</t>
  </si>
  <si>
    <t>OVERPRESSURE VALVE</t>
  </si>
  <si>
    <t>LOAD MODE</t>
  </si>
  <si>
    <t>LATERAL</t>
  </si>
  <si>
    <t>CENTRAL</t>
  </si>
  <si>
    <t>SACK</t>
  </si>
  <si>
    <t>LOAD. PIPE</t>
  </si>
  <si>
    <t>STRUCTURE</t>
  </si>
  <si>
    <t>SACK+LOAD PIPE STL</t>
  </si>
  <si>
    <t>SACK+LOAD PIPE STX</t>
  </si>
  <si>
    <t>FLOUR/DURUM</t>
  </si>
  <si>
    <t>PAINTED STEEL</t>
  </si>
  <si>
    <t>LOAD PIPE PAINTED</t>
  </si>
  <si>
    <t>LOAD PIPE INOX</t>
  </si>
  <si>
    <t>Height cone of silo stretched</t>
  </si>
  <si>
    <t>Distance silo trevira from ground</t>
  </si>
  <si>
    <t>Heigth square silo</t>
  </si>
  <si>
    <t>Ht for venting top silo</t>
  </si>
  <si>
    <t>Overall height of silo</t>
  </si>
  <si>
    <t>Including venting space</t>
  </si>
  <si>
    <t>Heigth of loading pipe</t>
  </si>
  <si>
    <t>Diameter of cone</t>
  </si>
  <si>
    <t>OFFRE</t>
  </si>
  <si>
    <t>OFFERTA/COMMESSA</t>
  </si>
  <si>
    <t>PRODUIT</t>
  </si>
  <si>
    <t>FARINE</t>
  </si>
  <si>
    <t>SUCRE</t>
  </si>
  <si>
    <t>SEMOULE</t>
  </si>
  <si>
    <t>SPECIAL</t>
  </si>
  <si>
    <t>COTE LONG</t>
  </si>
  <si>
    <t>COTE COURT</t>
  </si>
  <si>
    <t>EXTRA HAUTEUR SOUS CONE</t>
  </si>
  <si>
    <t>VALVE DE SURPRESSION</t>
  </si>
  <si>
    <t>TYPE DE CHARGEMENT</t>
  </si>
  <si>
    <t>SAC</t>
  </si>
  <si>
    <t>TUYAU DE CHARGEMENT</t>
  </si>
  <si>
    <t>SAC ET TC STL</t>
  </si>
  <si>
    <t>SAC ET TC STX</t>
  </si>
  <si>
    <t>FARINE/SEM</t>
  </si>
  <si>
    <t>ACIER PAINT</t>
  </si>
  <si>
    <t>TC AC PAINT</t>
  </si>
  <si>
    <t>TC AC INOX</t>
  </si>
  <si>
    <t>DIMEN STRUCTURE SILO STX</t>
  </si>
  <si>
    <t>Cote long</t>
  </si>
  <si>
    <t>Cote court</t>
  </si>
  <si>
    <t>Hauteur corps silo</t>
  </si>
  <si>
    <t>Hauteur cone silo relaxe plein</t>
  </si>
  <si>
    <t>Distance cone trevira a terre</t>
  </si>
  <si>
    <t>Hauteur pour event</t>
  </si>
  <si>
    <t>Hauteur total du silo</t>
  </si>
  <si>
    <t>Incluant espace d'event</t>
  </si>
  <si>
    <t>Hauteur du tc</t>
  </si>
  <si>
    <t>Diametre du cone</t>
  </si>
  <si>
    <t>Language</t>
  </si>
  <si>
    <t>Forzare H cono - C (cfr angolo)</t>
  </si>
  <si>
    <t>"-"</t>
  </si>
  <si>
    <t>DIM STRUCTURE FRAME SILO</t>
  </si>
  <si>
    <t>To force heigth cone</t>
  </si>
  <si>
    <t>Forcer Hauteur</t>
  </si>
  <si>
    <t>S</t>
  </si>
  <si>
    <t>KUNDE</t>
  </si>
  <si>
    <t>ANGEB- A/B</t>
  </si>
  <si>
    <t>OFERTA/ORDEN</t>
  </si>
  <si>
    <t>VOLUMEN PROMEDIO STX</t>
  </si>
  <si>
    <t>VOLUMEN PROMEDIO STL</t>
  </si>
  <si>
    <t>VOLUM</t>
  </si>
  <si>
    <t>VOLUMEN UTIL</t>
  </si>
  <si>
    <t>PRODUKT</t>
  </si>
  <si>
    <t>PRODUCTO</t>
  </si>
  <si>
    <t>WEISS MEHL</t>
  </si>
  <si>
    <t>HARINA</t>
  </si>
  <si>
    <t>ZUCKER</t>
  </si>
  <si>
    <t>AZUCAR</t>
  </si>
  <si>
    <t>GRIESS</t>
  </si>
  <si>
    <t>BESONDER</t>
  </si>
  <si>
    <t>ESPECIAL</t>
  </si>
  <si>
    <t>AUSTRAGUNG</t>
  </si>
  <si>
    <t>EXTRACCION</t>
  </si>
  <si>
    <t>LADO LARGO</t>
  </si>
  <si>
    <t>LADO CORTO</t>
  </si>
  <si>
    <t>EXTRA HOEHE UNTEN KONUS</t>
  </si>
  <si>
    <t>Extra altura bajo cono</t>
  </si>
  <si>
    <t>UBERDRUCK VENTIL</t>
  </si>
  <si>
    <t>Válvula de sobrepresión en techo</t>
  </si>
  <si>
    <t>BEFULLEUNG TYP</t>
  </si>
  <si>
    <t>TIPO CARGA</t>
  </si>
  <si>
    <t>SEITLICHE - STL</t>
  </si>
  <si>
    <t>ZENTRAL VON OBEN</t>
  </si>
  <si>
    <t>SACO</t>
  </si>
  <si>
    <t>BEFUELLEITUNG</t>
  </si>
  <si>
    <t>STRUKTUR</t>
  </si>
  <si>
    <t>ESTRUCTURA</t>
  </si>
  <si>
    <t>SACK UND BEF LEIT. STL</t>
  </si>
  <si>
    <t>SACO+TC STL</t>
  </si>
  <si>
    <t>SACK UND BEF LEIT. STX</t>
  </si>
  <si>
    <t>SACO+TC STX</t>
  </si>
  <si>
    <t>MEHL/GRIESS</t>
  </si>
  <si>
    <t>HARINA/SEMOLA</t>
  </si>
  <si>
    <t>LACK STAHL</t>
  </si>
  <si>
    <t>PINTADO</t>
  </si>
  <si>
    <t>EDEL STAHL</t>
  </si>
  <si>
    <t>B.L. LACK. STAHL</t>
  </si>
  <si>
    <t>TC PINTADO</t>
  </si>
  <si>
    <t>B.L. EDEL STAHL</t>
  </si>
  <si>
    <t>MASSE STRUKTUR DER SILO</t>
  </si>
  <si>
    <t xml:space="preserve">Dimensión tubular estructura </t>
  </si>
  <si>
    <t>Beschreibung</t>
  </si>
  <si>
    <t>Descripción</t>
  </si>
  <si>
    <t>Lado largo</t>
  </si>
  <si>
    <t>Lado corto</t>
  </si>
  <si>
    <t>Altura cuerpo silo</t>
  </si>
  <si>
    <t>Altura cono trevira relajado</t>
  </si>
  <si>
    <t>Ht cono trevira al suelo a silo vacío</t>
  </si>
  <si>
    <t>Ht para venteo silo</t>
  </si>
  <si>
    <t>Dimensión total en altura</t>
  </si>
  <si>
    <t>incluido espacio para venteo silo</t>
  </si>
  <si>
    <t>Longitud tubo de carga</t>
  </si>
  <si>
    <t>Diámetro cono vibrante</t>
  </si>
  <si>
    <t>FUORI MASSIMO</t>
  </si>
  <si>
    <t>FARINA/SEMOLA</t>
  </si>
  <si>
    <t>Totale</t>
  </si>
  <si>
    <t>VSS00108</t>
  </si>
  <si>
    <t>KIT COMP.VALV.SOVRAP. PER STL</t>
  </si>
  <si>
    <t>fa</t>
  </si>
  <si>
    <t>inox</t>
  </si>
  <si>
    <t>sa fa</t>
  </si>
  <si>
    <t>sa ix</t>
  </si>
  <si>
    <t>tc fe</t>
  </si>
  <si>
    <t>tc ix</t>
  </si>
  <si>
    <t>compl</t>
  </si>
  <si>
    <t>TBQ12003</t>
  </si>
  <si>
    <t>TUBOLARE FERRO 120X120X3</t>
  </si>
  <si>
    <t/>
  </si>
  <si>
    <t>*</t>
  </si>
  <si>
    <t>N</t>
  </si>
  <si>
    <t>MP</t>
  </si>
  <si>
    <t>PROVA_DIBA</t>
  </si>
  <si>
    <t>MT</t>
  </si>
  <si>
    <t>AAB.  1</t>
  </si>
  <si>
    <t>ANG05003</t>
  </si>
  <si>
    <t>ANGOLARE FERRO 50X50X3</t>
  </si>
  <si>
    <t>AAB.  2</t>
  </si>
  <si>
    <t>ZINCATUR</t>
  </si>
  <si>
    <t>ZINCATURA ESTERNA</t>
  </si>
  <si>
    <t>AAB.  3</t>
  </si>
  <si>
    <t>M.O.INT.</t>
  </si>
  <si>
    <t>MANO D'OPERA INTERNA</t>
  </si>
  <si>
    <t>MA</t>
  </si>
  <si>
    <t>HR</t>
  </si>
  <si>
    <t>AAB.  4</t>
  </si>
  <si>
    <t>COSTO RIALZO PIEDI PER H1000MM TUBOLARE DA 120</t>
  </si>
  <si>
    <t xml:space="preserve">TUBOLARE FERRO 100X100X3                </t>
  </si>
  <si>
    <t xml:space="preserve">TBQ10003   </t>
  </si>
  <si>
    <t xml:space="preserve">TUBOLARE FERRO 150X150X3           </t>
  </si>
  <si>
    <t xml:space="preserve">TBQ15003 </t>
  </si>
  <si>
    <t>TBQ07003</t>
  </si>
  <si>
    <t xml:space="preserve">TUBOLARE FERRO  70X70X3       </t>
  </si>
  <si>
    <t>DIAM120</t>
  </si>
  <si>
    <t>DIAM100</t>
  </si>
  <si>
    <t>DIAM150</t>
  </si>
  <si>
    <t>DIAM70</t>
  </si>
  <si>
    <t>COSTO RIALZO PIEDI PER H1000MM TUBOLARE DA 100</t>
  </si>
  <si>
    <t>COSTO RIALZO PIEDI PER H1000MM TUBOLARE DA 150</t>
  </si>
  <si>
    <t>COSTO RIALZO PIEDI PER H1000MM TUBOLARE DA 70</t>
  </si>
  <si>
    <t>pl</t>
  </si>
  <si>
    <t>Magg ix su vn</t>
  </si>
  <si>
    <t>old tc ix</t>
  </si>
  <si>
    <t>Cielo Inox</t>
  </si>
  <si>
    <t>CIELO INOX</t>
  </si>
  <si>
    <t>Mc Rif Sacco (Lato corto/Lato lungo)</t>
  </si>
  <si>
    <t>STX12005</t>
  </si>
  <si>
    <t>STX12108</t>
  </si>
  <si>
    <t>STX12512</t>
  </si>
  <si>
    <t>STX12616</t>
  </si>
  <si>
    <t>STX13020</t>
  </si>
  <si>
    <t>STX13027</t>
  </si>
  <si>
    <t>STX13133</t>
  </si>
  <si>
    <t>STX13244</t>
  </si>
  <si>
    <t>STX13650</t>
  </si>
  <si>
    <t>OLD</t>
  </si>
  <si>
    <t>NEW</t>
  </si>
  <si>
    <t>agg. 2018</t>
  </si>
  <si>
    <t>SAS FARINA</t>
  </si>
  <si>
    <t>SAS ZUCCHERO</t>
  </si>
  <si>
    <t>5% 06/2021</t>
  </si>
  <si>
    <t>10% 02/2022</t>
  </si>
  <si>
    <t>DIFF FAR</t>
  </si>
  <si>
    <t>DIFF ZUCC</t>
  </si>
  <si>
    <t>DIFFERENZE DA APPLICARE AL PREZZO DEL SILO SPOT</t>
  </si>
  <si>
    <t>PIU' 3% FARINA</t>
  </si>
  <si>
    <t>PIU' 3% ZUCCHERO</t>
  </si>
  <si>
    <t>alla fine ho inserito il listino di access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</si>
</sst>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64" formatCode="_-&quot;L.&quot;\ * #,##0_-;\-&quot;L.&quot;\ * #,##0_-;_-&quot;L.&quot;\ * &quot;-&quot;_-;_-@_-"/>
    <numFmt numFmtId="165" formatCode="0.0"/>
    <numFmt numFmtId="166" formatCode="0_ ;[Red]\-0\ "/>
    <numFmt numFmtId="167" formatCode="0.0000000000"/>
    <numFmt numFmtId="168" formatCode="0.000"/>
    <numFmt numFmtId="169" formatCode="#,##0.00_ ;[Red]\-#,##0.00\ "/>
    <numFmt numFmtId="170" formatCode="0.0000"/>
    <numFmt numFmtId="171" formatCode="_-* #,##0_-;\-* #,##0_-;_-* &quot;-&quot;??_-;_-@_-"/>
    <numFmt numFmtId="172" formatCode="0.000000"/>
    <numFmt numFmtId="173" formatCode="#,##0.00_ ;\-#,##0.00\ "/>
    <numFmt numFmtId="174" formatCode="_-[$€-410]\ * #,##0.00_-;\-[$€-410]\ * #,##0.00_-;_-[$€-410]\ * &quot;-&quot;??_-;_-@_-"/>
    <numFmt numFmtId="175" formatCode="_-* #,##0.00\ [$€-410]_-;\-* #,##0.00\ [$€-410]_-;_-* &quot;-&quot;??\ [$€-410]_-;_-@_-"/>
    <numFmt numFmtId="176" formatCode="_-* #,##0\ [$€-410]_-;\-* #,##0\ [$€-410]_-;_-* &quot;-&quot;??\ [$€-410]_-;_-@_-"/>
  </numFmts>
  <fonts count="63" x14ac:knownFonts="1">
    <font>
      <sz val="10"/>
      <name val="Times New Roman"/>
    </font>
    <font>
      <sz val="10"/>
      <name val="MS Sans Serif"/>
      <family val="2"/>
    </font>
    <font>
      <sz val="8"/>
      <name val="MS Sans Serif"/>
      <family val="2"/>
    </font>
    <font>
      <sz val="10"/>
      <name val="Tms Rmn"/>
    </font>
    <font>
      <sz val="10"/>
      <name val="Times New Roman"/>
      <family val="1"/>
    </font>
    <font>
      <sz val="9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sz val="12"/>
      <name val="Times New Roman"/>
      <family val="1"/>
    </font>
    <font>
      <sz val="14"/>
      <name val="Times New Roman"/>
      <family val="1"/>
    </font>
    <font>
      <b/>
      <i/>
      <sz val="14"/>
      <name val="Times New Roman"/>
      <family val="1"/>
    </font>
    <font>
      <b/>
      <sz val="14"/>
      <name val="Times New Roman"/>
      <family val="1"/>
    </font>
    <font>
      <sz val="10"/>
      <name val="Symbol"/>
      <family val="1"/>
      <charset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u/>
      <sz val="16"/>
      <color indexed="10"/>
      <name val="Arial"/>
      <family val="2"/>
    </font>
    <font>
      <b/>
      <sz val="10"/>
      <color indexed="10"/>
      <name val="Arial"/>
      <family val="2"/>
    </font>
    <font>
      <b/>
      <u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vertAlign val="superscript"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2"/>
      <color indexed="8"/>
      <name val="Arial"/>
      <family val="2"/>
    </font>
    <font>
      <b/>
      <u/>
      <sz val="9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20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Times New Roman"/>
      <family val="1"/>
    </font>
    <font>
      <sz val="24"/>
      <name val="Times New Roman"/>
      <family val="1"/>
    </font>
    <font>
      <sz val="24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  <font>
      <i/>
      <sz val="12"/>
      <name val="Arial"/>
      <family val="2"/>
    </font>
    <font>
      <sz val="9"/>
      <color indexed="8"/>
      <name val="Times New Roman"/>
      <family val="1"/>
    </font>
    <font>
      <sz val="10"/>
      <color indexed="42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b/>
      <i/>
      <sz val="11"/>
      <name val="Times New Roman"/>
      <family val="1"/>
    </font>
    <font>
      <sz val="10"/>
      <name val="Tahoma"/>
      <family val="2"/>
    </font>
    <font>
      <b/>
      <sz val="22"/>
      <name val="Times New Roman"/>
      <family val="1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b/>
      <i/>
      <u/>
      <sz val="11"/>
      <color rgb="FFFF0000"/>
      <name val="Times New Roman"/>
      <family val="1"/>
    </font>
    <font>
      <b/>
      <u/>
      <sz val="11"/>
      <color rgb="FFFF0000"/>
      <name val="Times New Roman"/>
      <family val="1"/>
    </font>
    <font>
      <b/>
      <sz val="11"/>
      <color rgb="FFFF0000"/>
      <name val="Times New Roman"/>
      <family val="1"/>
    </font>
    <font>
      <sz val="11"/>
      <color theme="0"/>
      <name val="Times New Roman"/>
      <family val="1"/>
    </font>
    <font>
      <b/>
      <sz val="11"/>
      <color theme="1"/>
      <name val="Times New Roman"/>
      <family val="1"/>
    </font>
    <font>
      <b/>
      <sz val="20"/>
      <color theme="1"/>
      <name val="Arial"/>
      <family val="2"/>
    </font>
    <font>
      <sz val="10"/>
      <color theme="4" tint="0.39997558519241921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b/>
      <sz val="10"/>
      <name val="Verdana"/>
      <family val="2"/>
    </font>
    <font>
      <b/>
      <sz val="22"/>
      <name val="Verdana"/>
      <family val="2"/>
    </font>
    <font>
      <sz val="10"/>
      <color indexed="8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B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gradientFill degree="90">
        <stop position="0">
          <color theme="0"/>
        </stop>
        <stop position="1">
          <color theme="0"/>
        </stop>
      </gradientFill>
    </fill>
    <fill>
      <patternFill patternType="solid">
        <fgColor theme="0"/>
        <bgColor auto="1"/>
      </patternFill>
    </fill>
    <fill>
      <patternFill patternType="solid">
        <fgColor rgb="FF00B0F0"/>
        <bgColor indexed="64"/>
      </patternFill>
    </fill>
    <fill>
      <patternFill patternType="solid">
        <fgColor indexed="22"/>
        <bgColor indexed="0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3">
    <xf numFmtId="0" fontId="0" fillId="0" borderId="0"/>
    <xf numFmtId="43" fontId="34" fillId="0" borderId="0" applyFont="0" applyFill="0" applyBorder="0" applyAlignment="0" applyProtection="0"/>
    <xf numFmtId="41" fontId="6" fillId="0" borderId="0" applyFont="0" applyFill="0" applyBorder="0" applyAlignment="0" applyProtection="0"/>
    <xf numFmtId="38" fontId="1" fillId="0" borderId="0" applyFont="0" applyFill="0" applyBorder="0" applyAlignment="0" applyProtection="0"/>
    <xf numFmtId="40" fontId="1" fillId="0" borderId="0" applyFont="0" applyFill="0" applyBorder="0" applyAlignment="0" applyProtection="0"/>
    <xf numFmtId="0" fontId="15" fillId="0" borderId="0"/>
    <xf numFmtId="0" fontId="6" fillId="0" borderId="0"/>
    <xf numFmtId="0" fontId="4" fillId="0" borderId="0"/>
    <xf numFmtId="0" fontId="6" fillId="0" borderId="0"/>
    <xf numFmtId="164" fontId="6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6" fillId="0" borderId="0"/>
    <xf numFmtId="0" fontId="38" fillId="0" borderId="0"/>
  </cellStyleXfs>
  <cellXfs count="604">
    <xf numFmtId="0" fontId="0" fillId="0" borderId="0" xfId="0"/>
    <xf numFmtId="0" fontId="0" fillId="0" borderId="0" xfId="0" applyAlignment="1">
      <alignment horizontal="right"/>
    </xf>
    <xf numFmtId="38" fontId="0" fillId="2" borderId="1" xfId="3" applyFont="1" applyFill="1" applyBorder="1" applyProtection="1"/>
    <xf numFmtId="38" fontId="0" fillId="2" borderId="2" xfId="3" applyFont="1" applyFill="1" applyBorder="1" applyProtection="1"/>
    <xf numFmtId="38" fontId="0" fillId="0" borderId="2" xfId="3" applyFont="1" applyBorder="1" applyProtection="1"/>
    <xf numFmtId="38" fontId="0" fillId="0" borderId="1" xfId="3" applyFont="1" applyBorder="1" applyProtection="1"/>
    <xf numFmtId="38" fontId="9" fillId="3" borderId="2" xfId="3" applyFont="1" applyFill="1" applyBorder="1" applyProtection="1"/>
    <xf numFmtId="38" fontId="0" fillId="4" borderId="2" xfId="3" applyFont="1" applyFill="1" applyBorder="1" applyProtection="1"/>
    <xf numFmtId="0" fontId="15" fillId="0" borderId="0" xfId="5" applyAlignment="1">
      <alignment horizontal="center" vertical="center"/>
    </xf>
    <xf numFmtId="0" fontId="15" fillId="0" borderId="0" xfId="5"/>
    <xf numFmtId="0" fontId="16" fillId="0" borderId="0" xfId="5" applyFont="1"/>
    <xf numFmtId="0" fontId="17" fillId="0" borderId="0" xfId="5" applyFont="1"/>
    <xf numFmtId="0" fontId="18" fillId="0" borderId="0" xfId="5" applyFont="1"/>
    <xf numFmtId="0" fontId="19" fillId="0" borderId="0" xfId="5" applyFont="1"/>
    <xf numFmtId="0" fontId="19" fillId="0" borderId="0" xfId="5" applyFont="1" applyAlignment="1">
      <alignment horizontal="center" vertical="center"/>
    </xf>
    <xf numFmtId="0" fontId="20" fillId="5" borderId="3" xfId="5" applyFont="1" applyFill="1" applyBorder="1"/>
    <xf numFmtId="0" fontId="20" fillId="5" borderId="4" xfId="5" applyFont="1" applyFill="1" applyBorder="1"/>
    <xf numFmtId="1" fontId="21" fillId="5" borderId="5" xfId="5" applyNumberFormat="1" applyFont="1" applyFill="1" applyBorder="1" applyAlignment="1">
      <alignment horizontal="center"/>
    </xf>
    <xf numFmtId="1" fontId="21" fillId="5" borderId="5" xfId="5" applyNumberFormat="1" applyFont="1" applyFill="1" applyBorder="1" applyAlignment="1">
      <alignment horizontal="center" vertical="center"/>
    </xf>
    <xf numFmtId="0" fontId="15" fillId="0" borderId="4" xfId="5" applyBorder="1"/>
    <xf numFmtId="0" fontId="20" fillId="5" borderId="0" xfId="5" applyFont="1" applyFill="1"/>
    <xf numFmtId="0" fontId="21" fillId="0" borderId="6" xfId="5" applyFont="1" applyBorder="1"/>
    <xf numFmtId="0" fontId="15" fillId="0" borderId="7" xfId="5" applyBorder="1"/>
    <xf numFmtId="0" fontId="15" fillId="0" borderId="8" xfId="5" applyBorder="1"/>
    <xf numFmtId="1" fontId="21" fillId="5" borderId="0" xfId="5" applyNumberFormat="1" applyFont="1" applyFill="1" applyAlignment="1">
      <alignment horizontal="center" vertical="center"/>
    </xf>
    <xf numFmtId="0" fontId="15" fillId="0" borderId="9" xfId="5" applyBorder="1"/>
    <xf numFmtId="0" fontId="21" fillId="0" borderId="0" xfId="5" applyFont="1"/>
    <xf numFmtId="0" fontId="15" fillId="0" borderId="10" xfId="5" applyBorder="1"/>
    <xf numFmtId="165" fontId="22" fillId="0" borderId="0" xfId="5" applyNumberFormat="1" applyFont="1"/>
    <xf numFmtId="0" fontId="21" fillId="0" borderId="10" xfId="5" applyFont="1" applyBorder="1"/>
    <xf numFmtId="0" fontId="15" fillId="0" borderId="11" xfId="5" applyBorder="1"/>
    <xf numFmtId="0" fontId="15" fillId="0" borderId="12" xfId="5" applyBorder="1"/>
    <xf numFmtId="0" fontId="15" fillId="0" borderId="13" xfId="5" applyBorder="1"/>
    <xf numFmtId="0" fontId="24" fillId="0" borderId="14" xfId="5" applyFont="1" applyBorder="1" applyAlignment="1">
      <alignment horizontal="left" vertical="center"/>
    </xf>
    <xf numFmtId="0" fontId="25" fillId="0" borderId="15" xfId="5" applyFont="1" applyBorder="1" applyAlignment="1">
      <alignment horizontal="center" vertical="center"/>
    </xf>
    <xf numFmtId="0" fontId="24" fillId="0" borderId="16" xfId="5" applyFont="1" applyBorder="1" applyAlignment="1">
      <alignment horizontal="left" vertical="center"/>
    </xf>
    <xf numFmtId="0" fontId="25" fillId="0" borderId="17" xfId="5" applyFont="1" applyBorder="1" applyAlignment="1">
      <alignment horizontal="center" vertical="center"/>
    </xf>
    <xf numFmtId="0" fontId="26" fillId="5" borderId="18" xfId="5" applyFont="1" applyFill="1" applyBorder="1" applyAlignment="1">
      <alignment horizontal="center" vertical="center"/>
    </xf>
    <xf numFmtId="0" fontId="26" fillId="5" borderId="19" xfId="5" applyFont="1" applyFill="1" applyBorder="1" applyAlignment="1">
      <alignment horizontal="center" vertical="center"/>
    </xf>
    <xf numFmtId="0" fontId="26" fillId="5" borderId="20" xfId="5" applyFont="1" applyFill="1" applyBorder="1" applyAlignment="1">
      <alignment horizontal="center" vertical="center"/>
    </xf>
    <xf numFmtId="1" fontId="24" fillId="0" borderId="21" xfId="5" applyNumberFormat="1" applyFont="1" applyBorder="1" applyAlignment="1">
      <alignment horizontal="center" vertical="center"/>
    </xf>
    <xf numFmtId="1" fontId="24" fillId="0" borderId="22" xfId="5" applyNumberFormat="1" applyFont="1" applyBorder="1" applyAlignment="1">
      <alignment horizontal="center" vertical="center"/>
    </xf>
    <xf numFmtId="1" fontId="24" fillId="0" borderId="23" xfId="5" applyNumberFormat="1" applyFont="1" applyBorder="1" applyAlignment="1">
      <alignment horizontal="center" vertical="center"/>
    </xf>
    <xf numFmtId="1" fontId="24" fillId="0" borderId="24" xfId="5" applyNumberFormat="1" applyFont="1" applyBorder="1" applyAlignment="1">
      <alignment horizontal="center" vertical="center"/>
    </xf>
    <xf numFmtId="1" fontId="24" fillId="0" borderId="14" xfId="5" applyNumberFormat="1" applyFont="1" applyBorder="1" applyAlignment="1">
      <alignment horizontal="left" vertical="center"/>
    </xf>
    <xf numFmtId="1" fontId="25" fillId="0" borderId="15" xfId="5" applyNumberFormat="1" applyFont="1" applyBorder="1" applyAlignment="1">
      <alignment horizontal="center" vertical="center"/>
    </xf>
    <xf numFmtId="1" fontId="24" fillId="0" borderId="16" xfId="5" applyNumberFormat="1" applyFont="1" applyBorder="1" applyAlignment="1">
      <alignment horizontal="left" vertical="center"/>
    </xf>
    <xf numFmtId="1" fontId="25" fillId="0" borderId="17" xfId="5" applyNumberFormat="1" applyFont="1" applyBorder="1" applyAlignment="1">
      <alignment horizontal="center" vertical="center"/>
    </xf>
    <xf numFmtId="1" fontId="26" fillId="5" borderId="25" xfId="5" applyNumberFormat="1" applyFont="1" applyFill="1" applyBorder="1" applyAlignment="1">
      <alignment horizontal="center" vertical="center"/>
    </xf>
    <xf numFmtId="1" fontId="26" fillId="5" borderId="26" xfId="5" applyNumberFormat="1" applyFont="1" applyFill="1" applyBorder="1" applyAlignment="1">
      <alignment horizontal="center" vertical="center"/>
    </xf>
    <xf numFmtId="0" fontId="25" fillId="0" borderId="0" xfId="5" applyFont="1" applyAlignment="1">
      <alignment horizontal="center" vertical="center"/>
    </xf>
    <xf numFmtId="0" fontId="47" fillId="0" borderId="0" xfId="5" applyFont="1"/>
    <xf numFmtId="0" fontId="25" fillId="0" borderId="0" xfId="5" applyFont="1"/>
    <xf numFmtId="0" fontId="48" fillId="0" borderId="0" xfId="5" applyFont="1"/>
    <xf numFmtId="0" fontId="27" fillId="0" borderId="0" xfId="5" applyFont="1"/>
    <xf numFmtId="1" fontId="25" fillId="0" borderId="0" xfId="5" applyNumberFormat="1" applyFont="1" applyAlignment="1">
      <alignment horizontal="center"/>
    </xf>
    <xf numFmtId="1" fontId="49" fillId="0" borderId="0" xfId="5" applyNumberFormat="1" applyFont="1" applyAlignment="1">
      <alignment horizontal="center"/>
    </xf>
    <xf numFmtId="0" fontId="28" fillId="0" borderId="0" xfId="5" applyFont="1"/>
    <xf numFmtId="3" fontId="21" fillId="0" borderId="27" xfId="5" applyNumberFormat="1" applyFont="1" applyBorder="1" applyAlignment="1">
      <alignment horizontal="center"/>
    </xf>
    <xf numFmtId="0" fontId="21" fillId="0" borderId="0" xfId="5" applyFont="1" applyAlignment="1">
      <alignment horizontal="left"/>
    </xf>
    <xf numFmtId="0" fontId="21" fillId="0" borderId="28" xfId="5" applyFont="1" applyBorder="1" applyAlignment="1">
      <alignment horizontal="center"/>
    </xf>
    <xf numFmtId="0" fontId="21" fillId="0" borderId="29" xfId="5" applyFont="1" applyBorder="1" applyAlignment="1">
      <alignment horizontal="center"/>
    </xf>
    <xf numFmtId="1" fontId="47" fillId="0" borderId="0" xfId="5" applyNumberFormat="1" applyFont="1"/>
    <xf numFmtId="0" fontId="15" fillId="0" borderId="30" xfId="5" applyBorder="1"/>
    <xf numFmtId="0" fontId="15" fillId="0" borderId="31" xfId="5" applyBorder="1"/>
    <xf numFmtId="0" fontId="15" fillId="0" borderId="32" xfId="5" applyBorder="1"/>
    <xf numFmtId="0" fontId="15" fillId="0" borderId="33" xfId="5" applyBorder="1"/>
    <xf numFmtId="0" fontId="15" fillId="0" borderId="34" xfId="5" applyBorder="1"/>
    <xf numFmtId="0" fontId="29" fillId="5" borderId="35" xfId="5" applyFont="1" applyFill="1" applyBorder="1" applyAlignment="1">
      <alignment horizontal="center"/>
    </xf>
    <xf numFmtId="1" fontId="21" fillId="0" borderId="28" xfId="5" applyNumberFormat="1" applyFont="1" applyBorder="1" applyAlignment="1">
      <alignment horizontal="center"/>
    </xf>
    <xf numFmtId="1" fontId="21" fillId="0" borderId="29" xfId="5" applyNumberFormat="1" applyFont="1" applyBorder="1" applyAlignment="1">
      <alignment horizontal="center"/>
    </xf>
    <xf numFmtId="1" fontId="15" fillId="0" borderId="0" xfId="5" applyNumberFormat="1"/>
    <xf numFmtId="0" fontId="6" fillId="0" borderId="36" xfId="6" applyBorder="1" applyAlignment="1">
      <alignment horizontal="center" vertical="center"/>
    </xf>
    <xf numFmtId="0" fontId="25" fillId="0" borderId="37" xfId="6" applyFont="1" applyBorder="1" applyAlignment="1">
      <alignment horizontal="center" vertical="center"/>
    </xf>
    <xf numFmtId="0" fontId="6" fillId="0" borderId="37" xfId="6" applyBorder="1" applyAlignment="1">
      <alignment horizontal="center" vertical="center"/>
    </xf>
    <xf numFmtId="0" fontId="6" fillId="0" borderId="37" xfId="6" applyBorder="1"/>
    <xf numFmtId="0" fontId="6" fillId="0" borderId="38" xfId="6" applyBorder="1"/>
    <xf numFmtId="0" fontId="6" fillId="0" borderId="0" xfId="6"/>
    <xf numFmtId="0" fontId="6" fillId="0" borderId="36" xfId="6" applyBorder="1"/>
    <xf numFmtId="0" fontId="6" fillId="0" borderId="0" xfId="6" applyAlignment="1">
      <alignment horizontal="center" vertical="center"/>
    </xf>
    <xf numFmtId="0" fontId="6" fillId="0" borderId="31" xfId="6" applyBorder="1" applyAlignment="1">
      <alignment horizontal="center" vertical="center"/>
    </xf>
    <xf numFmtId="0" fontId="6" fillId="0" borderId="30" xfId="6" applyBorder="1" applyAlignment="1">
      <alignment horizontal="center" vertical="center"/>
    </xf>
    <xf numFmtId="0" fontId="21" fillId="0" borderId="0" xfId="6" applyFont="1" applyAlignment="1">
      <alignment horizontal="left"/>
    </xf>
    <xf numFmtId="0" fontId="6" fillId="0" borderId="31" xfId="6" applyBorder="1"/>
    <xf numFmtId="0" fontId="6" fillId="0" borderId="30" xfId="6" applyBorder="1"/>
    <xf numFmtId="1" fontId="6" fillId="0" borderId="0" xfId="6" applyNumberFormat="1" applyAlignment="1">
      <alignment horizontal="center" vertical="center"/>
    </xf>
    <xf numFmtId="0" fontId="6" fillId="0" borderId="30" xfId="6" applyBorder="1" applyAlignment="1">
      <alignment horizontal="center" vertical="center" wrapText="1"/>
    </xf>
    <xf numFmtId="2" fontId="6" fillId="0" borderId="0" xfId="6" applyNumberFormat="1" applyAlignment="1">
      <alignment horizontal="center" vertical="center"/>
    </xf>
    <xf numFmtId="0" fontId="18" fillId="5" borderId="0" xfId="6" applyFont="1" applyFill="1" applyAlignment="1">
      <alignment horizontal="left" vertical="center"/>
    </xf>
    <xf numFmtId="0" fontId="6" fillId="5" borderId="0" xfId="6" applyFill="1"/>
    <xf numFmtId="0" fontId="25" fillId="0" borderId="0" xfId="6" applyFont="1"/>
    <xf numFmtId="1" fontId="6" fillId="5" borderId="0" xfId="6" applyNumberFormat="1" applyFill="1" applyAlignment="1">
      <alignment horizontal="center"/>
    </xf>
    <xf numFmtId="1" fontId="6" fillId="5" borderId="0" xfId="6" applyNumberFormat="1" applyFill="1"/>
    <xf numFmtId="2" fontId="6" fillId="5" borderId="0" xfId="6" applyNumberFormat="1" applyFill="1" applyAlignment="1">
      <alignment horizontal="center" vertical="center"/>
    </xf>
    <xf numFmtId="2" fontId="6" fillId="0" borderId="31" xfId="6" applyNumberFormat="1" applyBorder="1" applyAlignment="1">
      <alignment horizontal="center" vertical="center"/>
    </xf>
    <xf numFmtId="2" fontId="6" fillId="5" borderId="31" xfId="6" applyNumberFormat="1" applyFill="1" applyBorder="1" applyAlignment="1">
      <alignment horizontal="center" vertical="center"/>
    </xf>
    <xf numFmtId="2" fontId="6" fillId="5" borderId="0" xfId="6" applyNumberFormat="1" applyFill="1" applyAlignment="1">
      <alignment horizontal="left" vertical="center"/>
    </xf>
    <xf numFmtId="0" fontId="6" fillId="0" borderId="0" xfId="6" applyAlignment="1">
      <alignment horizontal="left"/>
    </xf>
    <xf numFmtId="0" fontId="18" fillId="0" borderId="31" xfId="6" applyFont="1" applyBorder="1"/>
    <xf numFmtId="0" fontId="18" fillId="0" borderId="0" xfId="6" applyFont="1"/>
    <xf numFmtId="0" fontId="25" fillId="0" borderId="0" xfId="6" applyFont="1" applyAlignment="1">
      <alignment horizontal="center" vertical="center"/>
    </xf>
    <xf numFmtId="2" fontId="6" fillId="0" borderId="0" xfId="6" applyNumberFormat="1" applyAlignment="1">
      <alignment horizontal="left"/>
    </xf>
    <xf numFmtId="1" fontId="6" fillId="5" borderId="0" xfId="6" applyNumberFormat="1" applyFill="1" applyAlignment="1">
      <alignment horizontal="center" vertical="center"/>
    </xf>
    <xf numFmtId="2" fontId="25" fillId="0" borderId="0" xfId="6" applyNumberFormat="1" applyFont="1" applyAlignment="1">
      <alignment horizontal="left" vertical="center"/>
    </xf>
    <xf numFmtId="2" fontId="6" fillId="0" borderId="0" xfId="6" applyNumberFormat="1"/>
    <xf numFmtId="2" fontId="25" fillId="5" borderId="0" xfId="6" applyNumberFormat="1" applyFont="1" applyFill="1" applyAlignment="1">
      <alignment horizontal="center" vertical="center"/>
    </xf>
    <xf numFmtId="0" fontId="6" fillId="5" borderId="0" xfId="6" applyFill="1" applyAlignment="1">
      <alignment horizontal="center" vertical="center"/>
    </xf>
    <xf numFmtId="0" fontId="6" fillId="5" borderId="0" xfId="6" applyFill="1" applyAlignment="1">
      <alignment horizontal="left"/>
    </xf>
    <xf numFmtId="167" fontId="6" fillId="5" borderId="0" xfId="6" applyNumberFormat="1" applyFill="1" applyAlignment="1">
      <alignment horizontal="center" vertical="center"/>
    </xf>
    <xf numFmtId="1" fontId="6" fillId="5" borderId="0" xfId="6" applyNumberFormat="1" applyFill="1" applyAlignment="1">
      <alignment horizontal="left"/>
    </xf>
    <xf numFmtId="165" fontId="6" fillId="5" borderId="0" xfId="6" applyNumberFormat="1" applyFill="1" applyAlignment="1">
      <alignment horizontal="left" vertical="center"/>
    </xf>
    <xf numFmtId="0" fontId="6" fillId="5" borderId="0" xfId="6" applyFill="1" applyAlignment="1">
      <alignment horizontal="right" vertical="center"/>
    </xf>
    <xf numFmtId="2" fontId="6" fillId="5" borderId="0" xfId="6" applyNumberFormat="1" applyFill="1" applyAlignment="1">
      <alignment horizontal="left"/>
    </xf>
    <xf numFmtId="2" fontId="25" fillId="0" borderId="0" xfId="6" applyNumberFormat="1" applyFont="1" applyAlignment="1">
      <alignment horizontal="center" vertical="center"/>
    </xf>
    <xf numFmtId="0" fontId="6" fillId="0" borderId="32" xfId="6" applyBorder="1"/>
    <xf numFmtId="2" fontId="6" fillId="0" borderId="33" xfId="6" applyNumberFormat="1" applyBorder="1" applyAlignment="1">
      <alignment horizontal="center" vertical="center"/>
    </xf>
    <xf numFmtId="0" fontId="6" fillId="0" borderId="34" xfId="6" applyBorder="1"/>
    <xf numFmtId="1" fontId="25" fillId="5" borderId="1" xfId="6" applyNumberFormat="1" applyFont="1" applyFill="1" applyBorder="1" applyAlignment="1">
      <alignment horizontal="center"/>
    </xf>
    <xf numFmtId="0" fontId="6" fillId="0" borderId="0" xfId="6" applyAlignment="1">
      <alignment horizontal="center"/>
    </xf>
    <xf numFmtId="3" fontId="25" fillId="5" borderId="1" xfId="6" applyNumberFormat="1" applyFont="1" applyFill="1" applyBorder="1" applyAlignment="1">
      <alignment horizontal="center"/>
    </xf>
    <xf numFmtId="0" fontId="31" fillId="0" borderId="0" xfId="6" applyFont="1"/>
    <xf numFmtId="3" fontId="25" fillId="5" borderId="39" xfId="6" applyNumberFormat="1" applyFont="1" applyFill="1" applyBorder="1" applyAlignment="1">
      <alignment horizontal="center"/>
    </xf>
    <xf numFmtId="1" fontId="6" fillId="0" borderId="0" xfId="6" applyNumberFormat="1"/>
    <xf numFmtId="0" fontId="21" fillId="0" borderId="6" xfId="6" applyFont="1" applyBorder="1"/>
    <xf numFmtId="0" fontId="6" fillId="0" borderId="7" xfId="6" applyBorder="1"/>
    <xf numFmtId="0" fontId="6" fillId="0" borderId="8" xfId="6" applyBorder="1"/>
    <xf numFmtId="0" fontId="21" fillId="0" borderId="9" xfId="6" applyFont="1" applyBorder="1"/>
    <xf numFmtId="2" fontId="28" fillId="0" borderId="10" xfId="6" applyNumberFormat="1" applyFont="1" applyBorder="1" applyAlignment="1">
      <alignment horizontal="center"/>
    </xf>
    <xf numFmtId="168" fontId="25" fillId="0" borderId="2" xfId="6" applyNumberFormat="1" applyFont="1" applyBorder="1" applyAlignment="1">
      <alignment horizontal="center"/>
    </xf>
    <xf numFmtId="0" fontId="6" fillId="0" borderId="11" xfId="6" applyBorder="1"/>
    <xf numFmtId="0" fontId="6" fillId="0" borderId="12" xfId="6" applyBorder="1"/>
    <xf numFmtId="0" fontId="6" fillId="0" borderId="13" xfId="6" applyBorder="1"/>
    <xf numFmtId="0" fontId="6" fillId="0" borderId="33" xfId="6" applyBorder="1"/>
    <xf numFmtId="1" fontId="25" fillId="5" borderId="40" xfId="6" applyNumberFormat="1" applyFont="1" applyFill="1" applyBorder="1" applyAlignment="1">
      <alignment horizontal="center"/>
    </xf>
    <xf numFmtId="1" fontId="6" fillId="0" borderId="0" xfId="6" applyNumberFormat="1" applyAlignment="1">
      <alignment horizontal="center"/>
    </xf>
    <xf numFmtId="0" fontId="4" fillId="0" borderId="0" xfId="0" applyFont="1"/>
    <xf numFmtId="0" fontId="49" fillId="0" borderId="0" xfId="5" applyFont="1" applyAlignment="1">
      <alignment horizontal="center"/>
    </xf>
    <xf numFmtId="0" fontId="49" fillId="0" borderId="0" xfId="5" applyFont="1"/>
    <xf numFmtId="0" fontId="47" fillId="0" borderId="0" xfId="5" applyFont="1" applyAlignment="1">
      <alignment horizontal="center"/>
    </xf>
    <xf numFmtId="0" fontId="47" fillId="0" borderId="30" xfId="5" applyFont="1" applyBorder="1"/>
    <xf numFmtId="0" fontId="47" fillId="0" borderId="31" xfId="5" applyFont="1" applyBorder="1"/>
    <xf numFmtId="0" fontId="50" fillId="0" borderId="0" xfId="5" applyFont="1"/>
    <xf numFmtId="3" fontId="21" fillId="4" borderId="2" xfId="5" applyNumberFormat="1" applyFont="1" applyFill="1" applyBorder="1" applyAlignment="1" applyProtection="1">
      <alignment horizontal="center" vertical="center"/>
      <protection locked="0"/>
    </xf>
    <xf numFmtId="0" fontId="29" fillId="4" borderId="35" xfId="5" applyFont="1" applyFill="1" applyBorder="1" applyAlignment="1" applyProtection="1">
      <alignment horizontal="center"/>
      <protection locked="0"/>
    </xf>
    <xf numFmtId="0" fontId="4" fillId="0" borderId="0" xfId="7"/>
    <xf numFmtId="0" fontId="4" fillId="0" borderId="2" xfId="7" applyBorder="1" applyAlignment="1">
      <alignment horizontal="center"/>
    </xf>
    <xf numFmtId="3" fontId="4" fillId="0" borderId="0" xfId="7" applyNumberFormat="1"/>
    <xf numFmtId="0" fontId="4" fillId="0" borderId="2" xfId="7" applyBorder="1"/>
    <xf numFmtId="3" fontId="4" fillId="0" borderId="2" xfId="7" applyNumberFormat="1" applyBorder="1"/>
    <xf numFmtId="0" fontId="4" fillId="0" borderId="2" xfId="7" applyBorder="1" applyAlignment="1">
      <alignment horizontal="left"/>
    </xf>
    <xf numFmtId="3" fontId="4" fillId="2" borderId="2" xfId="3" applyNumberFormat="1" applyFont="1" applyFill="1" applyBorder="1" applyProtection="1"/>
    <xf numFmtId="3" fontId="4" fillId="0" borderId="2" xfId="3" applyNumberFormat="1" applyFont="1" applyBorder="1" applyProtection="1"/>
    <xf numFmtId="0" fontId="4" fillId="0" borderId="0" xfId="7" applyAlignment="1">
      <alignment horizontal="left"/>
    </xf>
    <xf numFmtId="3" fontId="4" fillId="0" borderId="0" xfId="3" applyNumberFormat="1" applyFont="1" applyBorder="1" applyProtection="1"/>
    <xf numFmtId="4" fontId="4" fillId="0" borderId="2" xfId="7" applyNumberFormat="1" applyBorder="1"/>
    <xf numFmtId="4" fontId="4" fillId="2" borderId="2" xfId="7" applyNumberFormat="1" applyFill="1" applyBorder="1"/>
    <xf numFmtId="0" fontId="4" fillId="4" borderId="0" xfId="7" applyFill="1"/>
    <xf numFmtId="3" fontId="4" fillId="4" borderId="0" xfId="7" applyNumberFormat="1" applyFill="1"/>
    <xf numFmtId="1" fontId="4" fillId="4" borderId="0" xfId="7" applyNumberFormat="1" applyFill="1"/>
    <xf numFmtId="1" fontId="48" fillId="0" borderId="0" xfId="5" applyNumberFormat="1" applyFont="1"/>
    <xf numFmtId="2" fontId="48" fillId="0" borderId="0" xfId="5" applyNumberFormat="1" applyFont="1"/>
    <xf numFmtId="1" fontId="48" fillId="0" borderId="0" xfId="5" applyNumberFormat="1" applyFont="1" applyAlignment="1">
      <alignment horizontal="center"/>
    </xf>
    <xf numFmtId="0" fontId="6" fillId="0" borderId="0" xfId="8"/>
    <xf numFmtId="3" fontId="19" fillId="0" borderId="0" xfId="8" applyNumberFormat="1" applyFont="1"/>
    <xf numFmtId="0" fontId="19" fillId="0" borderId="0" xfId="8" applyFont="1"/>
    <xf numFmtId="0" fontId="19" fillId="11" borderId="2" xfId="8" applyFont="1" applyFill="1" applyBorder="1"/>
    <xf numFmtId="0" fontId="19" fillId="0" borderId="2" xfId="8" applyFont="1" applyBorder="1"/>
    <xf numFmtId="4" fontId="19" fillId="11" borderId="2" xfId="8" applyNumberFormat="1" applyFont="1" applyFill="1" applyBorder="1"/>
    <xf numFmtId="0" fontId="24" fillId="11" borderId="2" xfId="8" applyFont="1" applyFill="1" applyBorder="1"/>
    <xf numFmtId="4" fontId="24" fillId="11" borderId="2" xfId="8" applyNumberFormat="1" applyFont="1" applyFill="1" applyBorder="1"/>
    <xf numFmtId="4" fontId="19" fillId="12" borderId="2" xfId="8" applyNumberFormat="1" applyFont="1" applyFill="1" applyBorder="1"/>
    <xf numFmtId="40" fontId="37" fillId="0" borderId="0" xfId="4" applyFont="1"/>
    <xf numFmtId="169" fontId="6" fillId="0" borderId="0" xfId="8" applyNumberFormat="1"/>
    <xf numFmtId="0" fontId="19" fillId="0" borderId="39" xfId="8" applyFont="1" applyBorder="1"/>
    <xf numFmtId="0" fontId="19" fillId="0" borderId="40" xfId="8" applyFont="1" applyBorder="1"/>
    <xf numFmtId="4" fontId="19" fillId="0" borderId="0" xfId="8" applyNumberFormat="1" applyFont="1"/>
    <xf numFmtId="3" fontId="19" fillId="0" borderId="2" xfId="8" applyNumberFormat="1" applyFont="1" applyBorder="1"/>
    <xf numFmtId="0" fontId="6" fillId="0" borderId="29" xfId="8" applyBorder="1"/>
    <xf numFmtId="1" fontId="6" fillId="0" borderId="0" xfId="8" applyNumberFormat="1"/>
    <xf numFmtId="0" fontId="6" fillId="0" borderId="35" xfId="8" applyBorder="1"/>
    <xf numFmtId="3" fontId="38" fillId="4" borderId="35" xfId="8" applyNumberFormat="1" applyFont="1" applyFill="1" applyBorder="1"/>
    <xf numFmtId="2" fontId="6" fillId="0" borderId="35" xfId="8" applyNumberFormat="1" applyBorder="1" applyProtection="1">
      <protection locked="0"/>
    </xf>
    <xf numFmtId="40" fontId="19" fillId="11" borderId="2" xfId="8" applyNumberFormat="1" applyFont="1" applyFill="1" applyBorder="1"/>
    <xf numFmtId="40" fontId="19" fillId="11" borderId="2" xfId="4" applyFont="1" applyFill="1" applyBorder="1"/>
    <xf numFmtId="3" fontId="38" fillId="6" borderId="29" xfId="8" applyNumberFormat="1" applyFont="1" applyFill="1" applyBorder="1"/>
    <xf numFmtId="0" fontId="4" fillId="11" borderId="2" xfId="7" applyFill="1" applyBorder="1"/>
    <xf numFmtId="0" fontId="19" fillId="0" borderId="13" xfId="8" applyFont="1" applyBorder="1"/>
    <xf numFmtId="0" fontId="19" fillId="0" borderId="12" xfId="8" applyFont="1" applyBorder="1"/>
    <xf numFmtId="0" fontId="24" fillId="0" borderId="12" xfId="8" applyFont="1" applyBorder="1"/>
    <xf numFmtId="0" fontId="19" fillId="0" borderId="11" xfId="8" applyFont="1" applyBorder="1"/>
    <xf numFmtId="0" fontId="19" fillId="0" borderId="10" xfId="8" applyFont="1" applyBorder="1"/>
    <xf numFmtId="0" fontId="24" fillId="0" borderId="0" xfId="8" applyFont="1"/>
    <xf numFmtId="0" fontId="19" fillId="0" borderId="9" xfId="8" applyFont="1" applyBorder="1"/>
    <xf numFmtId="170" fontId="24" fillId="0" borderId="0" xfId="8" applyNumberFormat="1" applyFont="1"/>
    <xf numFmtId="1" fontId="24" fillId="0" borderId="0" xfId="8" applyNumberFormat="1" applyFont="1"/>
    <xf numFmtId="0" fontId="39" fillId="0" borderId="0" xfId="8" applyFont="1"/>
    <xf numFmtId="0" fontId="19" fillId="0" borderId="8" xfId="8" applyFont="1" applyBorder="1"/>
    <xf numFmtId="0" fontId="19" fillId="0" borderId="7" xfId="8" applyFont="1" applyBorder="1"/>
    <xf numFmtId="0" fontId="19" fillId="0" borderId="6" xfId="8" applyFont="1" applyBorder="1"/>
    <xf numFmtId="2" fontId="4" fillId="7" borderId="2" xfId="7" applyNumberFormat="1" applyFill="1" applyBorder="1"/>
    <xf numFmtId="0" fontId="12" fillId="0" borderId="0" xfId="7" applyFont="1" applyAlignment="1">
      <alignment horizontal="right"/>
    </xf>
    <xf numFmtId="2" fontId="4" fillId="0" borderId="0" xfId="7" applyNumberFormat="1" applyAlignment="1">
      <alignment horizontal="center"/>
    </xf>
    <xf numFmtId="0" fontId="4" fillId="0" borderId="0" xfId="7" applyAlignment="1">
      <alignment horizontal="right"/>
    </xf>
    <xf numFmtId="38" fontId="0" fillId="7" borderId="2" xfId="3" applyFont="1" applyFill="1" applyBorder="1" applyProtection="1"/>
    <xf numFmtId="0" fontId="4" fillId="0" borderId="0" xfId="7" applyAlignment="1">
      <alignment horizontal="center"/>
    </xf>
    <xf numFmtId="2" fontId="4" fillId="0" borderId="0" xfId="7" applyNumberFormat="1"/>
    <xf numFmtId="0" fontId="11" fillId="0" borderId="0" xfId="7" applyFont="1"/>
    <xf numFmtId="3" fontId="4" fillId="0" borderId="0" xfId="7" applyNumberFormat="1" applyAlignment="1">
      <alignment horizontal="center"/>
    </xf>
    <xf numFmtId="0" fontId="4" fillId="0" borderId="35" xfId="7" applyBorder="1" applyAlignment="1">
      <alignment horizontal="center"/>
    </xf>
    <xf numFmtId="3" fontId="4" fillId="4" borderId="2" xfId="7" applyNumberFormat="1" applyFill="1" applyBorder="1"/>
    <xf numFmtId="0" fontId="4" fillId="0" borderId="0" xfId="7" applyAlignment="1">
      <alignment horizontal="center" shrinkToFit="1"/>
    </xf>
    <xf numFmtId="0" fontId="4" fillId="4" borderId="2" xfId="7" applyFill="1" applyBorder="1"/>
    <xf numFmtId="0" fontId="4" fillId="0" borderId="35" xfId="7" applyBorder="1"/>
    <xf numFmtId="0" fontId="4" fillId="0" borderId="41" xfId="7" applyBorder="1" applyAlignment="1">
      <alignment horizontal="right"/>
    </xf>
    <xf numFmtId="0" fontId="4" fillId="4" borderId="34" xfId="7" applyFill="1" applyBorder="1"/>
    <xf numFmtId="0" fontId="4" fillId="4" borderId="32" xfId="7" applyFill="1" applyBorder="1"/>
    <xf numFmtId="0" fontId="4" fillId="4" borderId="35" xfId="7" applyFill="1" applyBorder="1"/>
    <xf numFmtId="0" fontId="4" fillId="0" borderId="5" xfId="7" applyBorder="1"/>
    <xf numFmtId="0" fontId="4" fillId="0" borderId="3" xfId="7" applyBorder="1"/>
    <xf numFmtId="1" fontId="4" fillId="0" borderId="0" xfId="7" applyNumberFormat="1"/>
    <xf numFmtId="1" fontId="3" fillId="0" borderId="0" xfId="7" applyNumberFormat="1" applyFont="1" applyAlignment="1">
      <alignment horizontal="left"/>
    </xf>
    <xf numFmtId="37" fontId="4" fillId="0" borderId="0" xfId="7" applyNumberFormat="1"/>
    <xf numFmtId="1" fontId="4" fillId="0" borderId="2" xfId="7" applyNumberFormat="1" applyBorder="1"/>
    <xf numFmtId="0" fontId="4" fillId="0" borderId="5" xfId="7" applyBorder="1" applyAlignment="1">
      <alignment horizontal="right"/>
    </xf>
    <xf numFmtId="0" fontId="4" fillId="0" borderId="4" xfId="7" applyBorder="1"/>
    <xf numFmtId="1" fontId="4" fillId="0" borderId="4" xfId="7" applyNumberFormat="1" applyBorder="1"/>
    <xf numFmtId="0" fontId="4" fillId="0" borderId="4" xfId="7" applyBorder="1" applyAlignment="1">
      <alignment horizontal="center"/>
    </xf>
    <xf numFmtId="1" fontId="4" fillId="0" borderId="5" xfId="7" applyNumberFormat="1" applyBorder="1" applyAlignment="1">
      <alignment horizontal="right"/>
    </xf>
    <xf numFmtId="1" fontId="4" fillId="0" borderId="39" xfId="7" applyNumberFormat="1" applyBorder="1"/>
    <xf numFmtId="1" fontId="4" fillId="0" borderId="33" xfId="7" applyNumberFormat="1" applyBorder="1"/>
    <xf numFmtId="1" fontId="4" fillId="0" borderId="33" xfId="7" applyNumberFormat="1" applyBorder="1" applyAlignment="1">
      <alignment horizontal="right"/>
    </xf>
    <xf numFmtId="0" fontId="4" fillId="0" borderId="33" xfId="7" applyBorder="1"/>
    <xf numFmtId="0" fontId="4" fillId="0" borderId="32" xfId="7" applyBorder="1"/>
    <xf numFmtId="0" fontId="4" fillId="0" borderId="33" xfId="7" applyBorder="1" applyAlignment="1">
      <alignment horizontal="center"/>
    </xf>
    <xf numFmtId="2" fontId="4" fillId="0" borderId="2" xfId="7" applyNumberFormat="1" applyBorder="1"/>
    <xf numFmtId="37" fontId="4" fillId="0" borderId="4" xfId="7" applyNumberFormat="1" applyBorder="1" applyAlignment="1">
      <alignment horizontal="right"/>
    </xf>
    <xf numFmtId="2" fontId="4" fillId="0" borderId="5" xfId="7" applyNumberFormat="1" applyBorder="1" applyAlignment="1">
      <alignment horizontal="right"/>
    </xf>
    <xf numFmtId="2" fontId="4" fillId="0" borderId="4" xfId="7" applyNumberFormat="1" applyBorder="1"/>
    <xf numFmtId="2" fontId="4" fillId="0" borderId="1" xfId="7" applyNumberFormat="1" applyBorder="1" applyAlignment="1">
      <alignment horizontal="center"/>
    </xf>
    <xf numFmtId="37" fontId="4" fillId="0" borderId="33" xfId="7" applyNumberFormat="1" applyBorder="1"/>
    <xf numFmtId="2" fontId="4" fillId="0" borderId="33" xfId="7" applyNumberFormat="1" applyBorder="1"/>
    <xf numFmtId="37" fontId="4" fillId="0" borderId="4" xfId="7" applyNumberFormat="1" applyBorder="1"/>
    <xf numFmtId="2" fontId="4" fillId="0" borderId="3" xfId="7" applyNumberFormat="1" applyBorder="1"/>
    <xf numFmtId="37" fontId="4" fillId="3" borderId="2" xfId="7" applyNumberFormat="1" applyFill="1" applyBorder="1"/>
    <xf numFmtId="0" fontId="4" fillId="3" borderId="2" xfId="7" applyFill="1" applyBorder="1"/>
    <xf numFmtId="0" fontId="40" fillId="0" borderId="3" xfId="7" applyFont="1" applyBorder="1"/>
    <xf numFmtId="0" fontId="4" fillId="4" borderId="3" xfId="7" applyFill="1" applyBorder="1"/>
    <xf numFmtId="0" fontId="5" fillId="0" borderId="3" xfId="7" applyFont="1" applyBorder="1"/>
    <xf numFmtId="0" fontId="4" fillId="0" borderId="35" xfId="7" applyBorder="1" applyAlignment="1">
      <alignment horizontal="right"/>
    </xf>
    <xf numFmtId="0" fontId="4" fillId="0" borderId="42" xfId="7" applyBorder="1" applyAlignment="1">
      <alignment horizontal="right"/>
    </xf>
    <xf numFmtId="0" fontId="4" fillId="0" borderId="43" xfId="7" applyBorder="1" applyAlignment="1">
      <alignment horizontal="right"/>
    </xf>
    <xf numFmtId="0" fontId="4" fillId="0" borderId="29" xfId="7" applyBorder="1" applyAlignment="1">
      <alignment horizontal="right"/>
    </xf>
    <xf numFmtId="0" fontId="4" fillId="0" borderId="44" xfId="7" applyBorder="1" applyAlignment="1">
      <alignment horizontal="right"/>
    </xf>
    <xf numFmtId="0" fontId="4" fillId="0" borderId="11" xfId="7" applyBorder="1" applyAlignment="1">
      <alignment horizontal="right"/>
    </xf>
    <xf numFmtId="0" fontId="4" fillId="0" borderId="1" xfId="7" applyBorder="1"/>
    <xf numFmtId="0" fontId="2" fillId="0" borderId="0" xfId="7" applyFont="1" applyAlignment="1">
      <alignment horizontal="right"/>
    </xf>
    <xf numFmtId="0" fontId="2" fillId="0" borderId="40" xfId="7" applyFont="1" applyBorder="1" applyAlignment="1">
      <alignment horizontal="center"/>
    </xf>
    <xf numFmtId="37" fontId="4" fillId="0" borderId="0" xfId="7" applyNumberFormat="1" applyAlignment="1">
      <alignment horizontal="right"/>
    </xf>
    <xf numFmtId="37" fontId="2" fillId="0" borderId="0" xfId="7" applyNumberFormat="1" applyFont="1" applyAlignment="1">
      <alignment horizontal="right"/>
    </xf>
    <xf numFmtId="0" fontId="2" fillId="0" borderId="0" xfId="7" applyFont="1" applyAlignment="1">
      <alignment horizontal="center"/>
    </xf>
    <xf numFmtId="0" fontId="4" fillId="4" borderId="35" xfId="7" applyFill="1" applyBorder="1" applyAlignment="1">
      <alignment horizontal="center"/>
    </xf>
    <xf numFmtId="0" fontId="5" fillId="0" borderId="0" xfId="7" applyFont="1"/>
    <xf numFmtId="0" fontId="5" fillId="0" borderId="2" xfId="7" applyFont="1" applyBorder="1"/>
    <xf numFmtId="38" fontId="11" fillId="13" borderId="39" xfId="3" applyFont="1" applyFill="1" applyBorder="1" applyProtection="1"/>
    <xf numFmtId="0" fontId="4" fillId="0" borderId="2" xfId="7" applyBorder="1" applyAlignment="1">
      <alignment horizontal="right"/>
    </xf>
    <xf numFmtId="3" fontId="0" fillId="0" borderId="2" xfId="3" applyNumberFormat="1" applyFont="1" applyBorder="1" applyProtection="1"/>
    <xf numFmtId="0" fontId="5" fillId="0" borderId="33" xfId="7" applyFont="1" applyBorder="1"/>
    <xf numFmtId="38" fontId="11" fillId="13" borderId="2" xfId="3" applyFont="1" applyFill="1" applyBorder="1" applyProtection="1"/>
    <xf numFmtId="3" fontId="0" fillId="4" borderId="1" xfId="3" applyNumberFormat="1" applyFont="1" applyFill="1" applyBorder="1" applyProtection="1"/>
    <xf numFmtId="0" fontId="4" fillId="0" borderId="34" xfId="7" applyBorder="1"/>
    <xf numFmtId="0" fontId="4" fillId="0" borderId="30" xfId="7" applyBorder="1"/>
    <xf numFmtId="0" fontId="4" fillId="0" borderId="38" xfId="7" applyBorder="1"/>
    <xf numFmtId="0" fontId="4" fillId="0" borderId="40" xfId="7" applyBorder="1"/>
    <xf numFmtId="3" fontId="0" fillId="2" borderId="2" xfId="3" applyNumberFormat="1" applyFont="1" applyFill="1" applyBorder="1" applyProtection="1"/>
    <xf numFmtId="3" fontId="5" fillId="0" borderId="0" xfId="7" applyNumberFormat="1" applyFont="1"/>
    <xf numFmtId="0" fontId="5" fillId="0" borderId="4" xfId="7" applyFont="1" applyBorder="1"/>
    <xf numFmtId="4" fontId="11" fillId="8" borderId="2" xfId="7" applyNumberFormat="1" applyFont="1" applyFill="1" applyBorder="1" applyAlignment="1">
      <alignment horizontal="right"/>
    </xf>
    <xf numFmtId="0" fontId="4" fillId="4" borderId="2" xfId="7" applyFill="1" applyBorder="1" applyProtection="1">
      <protection locked="0"/>
    </xf>
    <xf numFmtId="0" fontId="7" fillId="4" borderId="2" xfId="7" applyFont="1" applyFill="1" applyBorder="1" applyAlignment="1" applyProtection="1">
      <alignment horizontal="center"/>
      <protection locked="0"/>
    </xf>
    <xf numFmtId="38" fontId="4" fillId="0" borderId="0" xfId="7" applyNumberFormat="1"/>
    <xf numFmtId="0" fontId="4" fillId="0" borderId="1" xfId="7" applyBorder="1" applyAlignment="1">
      <alignment horizontal="center"/>
    </xf>
    <xf numFmtId="38" fontId="11" fillId="3" borderId="2" xfId="3" applyFont="1" applyFill="1" applyBorder="1" applyProtection="1"/>
    <xf numFmtId="3" fontId="11" fillId="9" borderId="2" xfId="7" applyNumberFormat="1" applyFont="1" applyFill="1" applyBorder="1" applyAlignment="1">
      <alignment horizontal="right"/>
    </xf>
    <xf numFmtId="3" fontId="9" fillId="7" borderId="2" xfId="7" applyNumberFormat="1" applyFont="1" applyFill="1" applyBorder="1" applyAlignment="1">
      <alignment horizontal="right"/>
    </xf>
    <xf numFmtId="0" fontId="11" fillId="4" borderId="2" xfId="7" applyFont="1" applyFill="1" applyBorder="1" applyAlignment="1">
      <alignment horizontal="center"/>
    </xf>
    <xf numFmtId="0" fontId="11" fillId="4" borderId="2" xfId="7" applyFont="1" applyFill="1" applyBorder="1" applyAlignment="1" applyProtection="1">
      <alignment horizontal="center"/>
      <protection locked="0"/>
    </xf>
    <xf numFmtId="0" fontId="8" fillId="4" borderId="2" xfId="7" applyFont="1" applyFill="1" applyBorder="1" applyAlignment="1">
      <alignment horizontal="center"/>
    </xf>
    <xf numFmtId="0" fontId="4" fillId="0" borderId="2" xfId="7" applyBorder="1" applyAlignment="1">
      <alignment shrinkToFit="1"/>
    </xf>
    <xf numFmtId="0" fontId="4" fillId="3" borderId="2" xfId="7" applyFill="1" applyBorder="1" applyAlignment="1">
      <alignment horizontal="center"/>
    </xf>
    <xf numFmtId="2" fontId="10" fillId="7" borderId="2" xfId="7" applyNumberFormat="1" applyFont="1" applyFill="1" applyBorder="1" applyAlignment="1">
      <alignment horizontal="right"/>
    </xf>
    <xf numFmtId="2" fontId="4" fillId="4" borderId="2" xfId="7" applyNumberFormat="1" applyFill="1" applyBorder="1"/>
    <xf numFmtId="37" fontId="4" fillId="3" borderId="2" xfId="7" applyNumberFormat="1" applyFill="1" applyBorder="1" applyProtection="1">
      <protection locked="0"/>
    </xf>
    <xf numFmtId="0" fontId="4" fillId="4" borderId="2" xfId="7" applyFill="1" applyBorder="1" applyAlignment="1" applyProtection="1">
      <alignment horizontal="center"/>
      <protection locked="0"/>
    </xf>
    <xf numFmtId="0" fontId="4" fillId="3" borderId="2" xfId="7" applyFill="1" applyBorder="1" applyProtection="1">
      <protection locked="0"/>
    </xf>
    <xf numFmtId="0" fontId="41" fillId="6" borderId="2" xfId="7" applyFont="1" applyFill="1" applyBorder="1"/>
    <xf numFmtId="1" fontId="4" fillId="4" borderId="2" xfId="7" applyNumberFormat="1" applyFill="1" applyBorder="1"/>
    <xf numFmtId="38" fontId="4" fillId="4" borderId="2" xfId="3" applyFont="1" applyFill="1" applyBorder="1" applyProtection="1"/>
    <xf numFmtId="0" fontId="4" fillId="6" borderId="2" xfId="7" applyFill="1" applyBorder="1"/>
    <xf numFmtId="38" fontId="4" fillId="10" borderId="2" xfId="3" applyFont="1" applyFill="1" applyBorder="1" applyProtection="1">
      <protection locked="0"/>
    </xf>
    <xf numFmtId="0" fontId="4" fillId="10" borderId="2" xfId="3" applyNumberFormat="1" applyFont="1" applyFill="1" applyBorder="1" applyProtection="1">
      <protection locked="0"/>
    </xf>
    <xf numFmtId="0" fontId="4" fillId="0" borderId="0" xfId="3" applyNumberFormat="1" applyFont="1" applyProtection="1"/>
    <xf numFmtId="2" fontId="4" fillId="0" borderId="0" xfId="7" applyNumberFormat="1" applyAlignment="1">
      <alignment horizontal="right"/>
    </xf>
    <xf numFmtId="40" fontId="4" fillId="4" borderId="2" xfId="4" applyFont="1" applyFill="1" applyBorder="1" applyProtection="1"/>
    <xf numFmtId="3" fontId="4" fillId="4" borderId="2" xfId="7" applyNumberFormat="1" applyFill="1" applyBorder="1" applyProtection="1">
      <protection locked="0"/>
    </xf>
    <xf numFmtId="4" fontId="6" fillId="0" borderId="0" xfId="3" applyNumberFormat="1" applyFont="1"/>
    <xf numFmtId="4" fontId="11" fillId="8" borderId="0" xfId="7" applyNumberFormat="1" applyFont="1" applyFill="1" applyAlignment="1">
      <alignment horizontal="right"/>
    </xf>
    <xf numFmtId="0" fontId="42" fillId="0" borderId="0" xfId="0" applyFont="1"/>
    <xf numFmtId="0" fontId="42" fillId="0" borderId="2" xfId="0" applyFont="1" applyBorder="1" applyAlignment="1">
      <alignment horizontal="center"/>
    </xf>
    <xf numFmtId="43" fontId="43" fillId="14" borderId="19" xfId="1" applyFont="1" applyFill="1" applyBorder="1" applyAlignment="1" applyProtection="1">
      <alignment shrinkToFit="1"/>
    </xf>
    <xf numFmtId="0" fontId="42" fillId="0" borderId="14" xfId="0" applyFont="1" applyBorder="1" applyAlignment="1">
      <alignment horizontal="left"/>
    </xf>
    <xf numFmtId="0" fontId="42" fillId="0" borderId="45" xfId="0" applyFont="1" applyBorder="1"/>
    <xf numFmtId="0" fontId="42" fillId="0" borderId="46" xfId="0" applyFont="1" applyBorder="1"/>
    <xf numFmtId="2" fontId="43" fillId="15" borderId="41" xfId="0" applyNumberFormat="1" applyFont="1" applyFill="1" applyBorder="1" applyAlignment="1">
      <alignment horizontal="center"/>
    </xf>
    <xf numFmtId="0" fontId="42" fillId="0" borderId="0" xfId="0" applyFont="1" applyAlignment="1">
      <alignment horizontal="left"/>
    </xf>
    <xf numFmtId="3" fontId="42" fillId="0" borderId="0" xfId="0" applyNumberFormat="1" applyFont="1"/>
    <xf numFmtId="0" fontId="42" fillId="0" borderId="18" xfId="0" applyFont="1" applyBorder="1" applyAlignment="1">
      <alignment horizontal="left"/>
    </xf>
    <xf numFmtId="0" fontId="42" fillId="0" borderId="2" xfId="0" applyFont="1" applyBorder="1"/>
    <xf numFmtId="0" fontId="42" fillId="0" borderId="3" xfId="0" applyFont="1" applyBorder="1"/>
    <xf numFmtId="2" fontId="43" fillId="15" borderId="47" xfId="0" applyNumberFormat="1" applyFont="1" applyFill="1" applyBorder="1" applyAlignment="1">
      <alignment horizontal="center"/>
    </xf>
    <xf numFmtId="0" fontId="42" fillId="0" borderId="23" xfId="0" applyFont="1" applyBorder="1" applyAlignment="1">
      <alignment horizontal="left"/>
    </xf>
    <xf numFmtId="0" fontId="42" fillId="0" borderId="48" xfId="0" applyFont="1" applyBorder="1"/>
    <xf numFmtId="0" fontId="42" fillId="0" borderId="49" xfId="0" applyFont="1" applyBorder="1"/>
    <xf numFmtId="2" fontId="43" fillId="15" borderId="50" xfId="0" applyNumberFormat="1" applyFont="1" applyFill="1" applyBorder="1" applyAlignment="1">
      <alignment horizontal="center"/>
    </xf>
    <xf numFmtId="3" fontId="42" fillId="0" borderId="0" xfId="0" applyNumberFormat="1" applyFont="1" applyAlignment="1">
      <alignment horizontal="left"/>
    </xf>
    <xf numFmtId="171" fontId="43" fillId="16" borderId="0" xfId="1" applyNumberFormat="1" applyFont="1" applyFill="1" applyBorder="1" applyAlignment="1" applyProtection="1">
      <alignment horizontal="left"/>
    </xf>
    <xf numFmtId="171" fontId="43" fillId="16" borderId="0" xfId="1" applyNumberFormat="1" applyFont="1" applyFill="1" applyBorder="1" applyAlignment="1" applyProtection="1">
      <alignment horizontal="center"/>
    </xf>
    <xf numFmtId="2" fontId="44" fillId="7" borderId="2" xfId="0" applyNumberFormat="1" applyFont="1" applyFill="1" applyBorder="1" applyAlignment="1">
      <alignment horizontal="right"/>
    </xf>
    <xf numFmtId="0" fontId="42" fillId="3" borderId="2" xfId="0" applyFont="1" applyFill="1" applyBorder="1" applyAlignment="1">
      <alignment horizontal="center"/>
    </xf>
    <xf numFmtId="4" fontId="43" fillId="8" borderId="0" xfId="7" applyNumberFormat="1" applyFont="1" applyFill="1" applyAlignment="1">
      <alignment horizontal="right"/>
    </xf>
    <xf numFmtId="0" fontId="42" fillId="0" borderId="2" xfId="0" applyFont="1" applyBorder="1" applyAlignment="1">
      <alignment shrinkToFit="1"/>
    </xf>
    <xf numFmtId="0" fontId="42" fillId="4" borderId="2" xfId="0" applyFont="1" applyFill="1" applyBorder="1" applyAlignment="1">
      <alignment horizontal="center"/>
    </xf>
    <xf numFmtId="3" fontId="42" fillId="7" borderId="2" xfId="0" applyNumberFormat="1" applyFont="1" applyFill="1" applyBorder="1" applyAlignment="1">
      <alignment horizontal="right"/>
    </xf>
    <xf numFmtId="38" fontId="42" fillId="3" borderId="2" xfId="3" applyFont="1" applyFill="1" applyBorder="1" applyProtection="1"/>
    <xf numFmtId="0" fontId="42" fillId="0" borderId="0" xfId="0" applyFont="1" applyAlignment="1">
      <alignment shrinkToFit="1"/>
    </xf>
    <xf numFmtId="0" fontId="42" fillId="4" borderId="0" xfId="0" applyFont="1" applyFill="1" applyAlignment="1">
      <alignment horizontal="center"/>
    </xf>
    <xf numFmtId="0" fontId="42" fillId="0" borderId="0" xfId="0" applyFont="1" applyAlignment="1">
      <alignment horizontal="right"/>
    </xf>
    <xf numFmtId="0" fontId="43" fillId="4" borderId="2" xfId="0" applyFont="1" applyFill="1" applyBorder="1" applyAlignment="1">
      <alignment horizontal="center"/>
    </xf>
    <xf numFmtId="0" fontId="43" fillId="4" borderId="2" xfId="0" applyFont="1" applyFill="1" applyBorder="1" applyAlignment="1" applyProtection="1">
      <alignment horizontal="center"/>
      <protection locked="0"/>
    </xf>
    <xf numFmtId="0" fontId="43" fillId="0" borderId="2" xfId="0" applyFont="1" applyBorder="1" applyAlignment="1">
      <alignment horizontal="left"/>
    </xf>
    <xf numFmtId="171" fontId="43" fillId="0" borderId="2" xfId="0" applyNumberFormat="1" applyFont="1" applyBorder="1" applyAlignment="1">
      <alignment horizontal="left"/>
    </xf>
    <xf numFmtId="0" fontId="43" fillId="4" borderId="2" xfId="0" applyFont="1" applyFill="1" applyBorder="1" applyAlignment="1" applyProtection="1">
      <alignment horizontal="left"/>
      <protection locked="0"/>
    </xf>
    <xf numFmtId="0" fontId="51" fillId="0" borderId="0" xfId="0" applyFont="1"/>
    <xf numFmtId="0" fontId="42" fillId="0" borderId="0" xfId="0" applyFont="1" applyAlignment="1">
      <alignment horizontal="center"/>
    </xf>
    <xf numFmtId="171" fontId="42" fillId="0" borderId="2" xfId="0" applyNumberFormat="1" applyFont="1" applyBorder="1" applyAlignment="1">
      <alignment horizontal="left"/>
    </xf>
    <xf numFmtId="0" fontId="42" fillId="0" borderId="4" xfId="0" applyFont="1" applyBorder="1"/>
    <xf numFmtId="0" fontId="42" fillId="0" borderId="5" xfId="0" applyFont="1" applyBorder="1"/>
    <xf numFmtId="0" fontId="42" fillId="17" borderId="2" xfId="0" applyFont="1" applyFill="1" applyBorder="1" applyProtection="1">
      <protection locked="0"/>
    </xf>
    <xf numFmtId="3" fontId="42" fillId="0" borderId="0" xfId="0" applyNumberFormat="1" applyFont="1" applyAlignment="1">
      <alignment horizontal="center"/>
    </xf>
    <xf numFmtId="0" fontId="43" fillId="17" borderId="2" xfId="0" applyFont="1" applyFill="1" applyBorder="1" applyAlignment="1" applyProtection="1">
      <alignment horizontal="center"/>
      <protection locked="0"/>
    </xf>
    <xf numFmtId="0" fontId="43" fillId="0" borderId="0" xfId="0" applyFont="1" applyAlignment="1">
      <alignment horizontal="left" shrinkToFit="1"/>
    </xf>
    <xf numFmtId="0" fontId="43" fillId="0" borderId="14" xfId="0" applyFont="1" applyBorder="1" applyAlignment="1">
      <alignment horizontal="left" shrinkToFit="1"/>
    </xf>
    <xf numFmtId="0" fontId="43" fillId="0" borderId="23" xfId="0" applyFont="1" applyBorder="1" applyAlignment="1">
      <alignment horizontal="left" shrinkToFit="1"/>
    </xf>
    <xf numFmtId="43" fontId="43" fillId="0" borderId="48" xfId="1" applyFont="1" applyBorder="1" applyAlignment="1" applyProtection="1">
      <alignment shrinkToFit="1"/>
    </xf>
    <xf numFmtId="0" fontId="43" fillId="0" borderId="2" xfId="0" applyFont="1" applyBorder="1" applyAlignment="1">
      <alignment horizontal="left" shrinkToFit="1"/>
    </xf>
    <xf numFmtId="0" fontId="42" fillId="16" borderId="5" xfId="0" applyFont="1" applyFill="1" applyBorder="1"/>
    <xf numFmtId="0" fontId="43" fillId="0" borderId="25" xfId="0" applyFont="1" applyBorder="1" applyAlignment="1">
      <alignment horizontal="left" shrinkToFit="1"/>
    </xf>
    <xf numFmtId="1" fontId="43" fillId="15" borderId="41" xfId="0" applyNumberFormat="1" applyFont="1" applyFill="1" applyBorder="1" applyAlignment="1">
      <alignment horizontal="center"/>
    </xf>
    <xf numFmtId="3" fontId="42" fillId="0" borderId="2" xfId="0" applyNumberFormat="1" applyFont="1" applyBorder="1"/>
    <xf numFmtId="0" fontId="42" fillId="0" borderId="33" xfId="0" applyFont="1" applyBorder="1"/>
    <xf numFmtId="38" fontId="42" fillId="2" borderId="2" xfId="3" applyFont="1" applyFill="1" applyBorder="1" applyProtection="1"/>
    <xf numFmtId="0" fontId="52" fillId="0" borderId="0" xfId="0" applyFont="1"/>
    <xf numFmtId="38" fontId="42" fillId="0" borderId="2" xfId="3" applyFont="1" applyBorder="1" applyProtection="1"/>
    <xf numFmtId="0" fontId="42" fillId="0" borderId="3" xfId="0" applyFont="1" applyBorder="1" applyAlignment="1">
      <alignment horizontal="center"/>
    </xf>
    <xf numFmtId="0" fontId="42" fillId="0" borderId="5" xfId="0" applyFont="1" applyBorder="1" applyAlignment="1">
      <alignment horizontal="center"/>
    </xf>
    <xf numFmtId="0" fontId="42" fillId="0" borderId="2" xfId="0" applyFont="1" applyBorder="1" applyAlignment="1">
      <alignment horizontal="left"/>
    </xf>
    <xf numFmtId="3" fontId="42" fillId="0" borderId="2" xfId="0" applyNumberFormat="1" applyFont="1" applyBorder="1" applyAlignment="1">
      <alignment horizontal="right"/>
    </xf>
    <xf numFmtId="0" fontId="43" fillId="0" borderId="3" xfId="0" applyFont="1" applyBorder="1" applyAlignment="1">
      <alignment horizontal="center"/>
    </xf>
    <xf numFmtId="0" fontId="43" fillId="0" borderId="5" xfId="0" applyFont="1" applyBorder="1" applyAlignment="1">
      <alignment horizontal="center"/>
    </xf>
    <xf numFmtId="3" fontId="43" fillId="2" borderId="2" xfId="3" applyNumberFormat="1" applyFont="1" applyFill="1" applyBorder="1" applyProtection="1"/>
    <xf numFmtId="0" fontId="42" fillId="0" borderId="1" xfId="0" applyFont="1" applyBorder="1"/>
    <xf numFmtId="38" fontId="42" fillId="0" borderId="1" xfId="3" applyFont="1" applyBorder="1" applyProtection="1"/>
    <xf numFmtId="38" fontId="42" fillId="2" borderId="1" xfId="3" applyFont="1" applyFill="1" applyBorder="1" applyProtection="1"/>
    <xf numFmtId="3" fontId="43" fillId="0" borderId="2" xfId="3" applyNumberFormat="1" applyFont="1" applyBorder="1" applyProtection="1"/>
    <xf numFmtId="0" fontId="42" fillId="0" borderId="40" xfId="0" applyFont="1" applyBorder="1"/>
    <xf numFmtId="3" fontId="43" fillId="0" borderId="40" xfId="3" applyNumberFormat="1" applyFont="1" applyBorder="1" applyProtection="1"/>
    <xf numFmtId="0" fontId="43" fillId="0" borderId="30" xfId="0" applyFont="1" applyBorder="1" applyAlignment="1">
      <alignment horizontal="center"/>
    </xf>
    <xf numFmtId="0" fontId="43" fillId="0" borderId="31" xfId="0" applyFont="1" applyBorder="1" applyAlignment="1">
      <alignment horizontal="center"/>
    </xf>
    <xf numFmtId="0" fontId="42" fillId="0" borderId="36" xfId="0" applyFont="1" applyBorder="1" applyAlignment="1">
      <alignment horizontal="left"/>
    </xf>
    <xf numFmtId="0" fontId="42" fillId="0" borderId="37" xfId="0" applyFont="1" applyBorder="1"/>
    <xf numFmtId="0" fontId="42" fillId="0" borderId="39" xfId="0" applyFont="1" applyBorder="1" applyAlignment="1">
      <alignment horizontal="left"/>
    </xf>
    <xf numFmtId="3" fontId="43" fillId="0" borderId="39" xfId="3" applyNumberFormat="1" applyFont="1" applyBorder="1" applyProtection="1"/>
    <xf numFmtId="38" fontId="42" fillId="0" borderId="2" xfId="3" applyFont="1" applyBorder="1" applyAlignment="1" applyProtection="1">
      <alignment horizontal="right"/>
    </xf>
    <xf numFmtId="2" fontId="42" fillId="0" borderId="2" xfId="0" applyNumberFormat="1" applyFont="1" applyBorder="1"/>
    <xf numFmtId="165" fontId="42" fillId="2" borderId="2" xfId="0" applyNumberFormat="1" applyFont="1" applyFill="1" applyBorder="1"/>
    <xf numFmtId="0" fontId="42" fillId="0" borderId="38" xfId="0" applyFont="1" applyBorder="1"/>
    <xf numFmtId="0" fontId="52" fillId="0" borderId="0" xfId="0" applyFont="1" applyAlignment="1">
      <alignment horizontal="left"/>
    </xf>
    <xf numFmtId="0" fontId="42" fillId="0" borderId="36" xfId="0" applyFont="1" applyBorder="1"/>
    <xf numFmtId="0" fontId="42" fillId="0" borderId="4" xfId="0" applyFont="1" applyBorder="1" applyAlignment="1">
      <alignment horizontal="left"/>
    </xf>
    <xf numFmtId="0" fontId="42" fillId="0" borderId="32" xfId="0" applyFont="1" applyBorder="1"/>
    <xf numFmtId="0" fontId="42" fillId="0" borderId="34" xfId="0" applyFont="1" applyBorder="1"/>
    <xf numFmtId="0" fontId="42" fillId="0" borderId="5" xfId="0" applyFont="1" applyBorder="1" applyAlignment="1">
      <alignment horizontal="left"/>
    </xf>
    <xf numFmtId="3" fontId="43" fillId="0" borderId="2" xfId="0" applyNumberFormat="1" applyFont="1" applyBorder="1"/>
    <xf numFmtId="0" fontId="44" fillId="0" borderId="32" xfId="0" applyFont="1" applyBorder="1" applyAlignment="1">
      <alignment horizontal="center"/>
    </xf>
    <xf numFmtId="0" fontId="42" fillId="0" borderId="3" xfId="0" applyFont="1" applyBorder="1" applyAlignment="1">
      <alignment horizontal="left"/>
    </xf>
    <xf numFmtId="3" fontId="43" fillId="0" borderId="2" xfId="0" applyNumberFormat="1" applyFont="1" applyBorder="1" applyAlignment="1">
      <alignment horizontal="center"/>
    </xf>
    <xf numFmtId="0" fontId="42" fillId="0" borderId="2" xfId="0" applyFont="1" applyBorder="1" applyAlignment="1">
      <alignment horizontal="left" vertical="center"/>
    </xf>
    <xf numFmtId="0" fontId="42" fillId="0" borderId="5" xfId="0" applyFont="1" applyBorder="1" applyAlignment="1">
      <alignment vertical="center"/>
    </xf>
    <xf numFmtId="2" fontId="43" fillId="15" borderId="2" xfId="0" applyNumberFormat="1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2" fillId="4" borderId="35" xfId="0" applyFont="1" applyFill="1" applyBorder="1" applyAlignment="1">
      <alignment horizontal="center"/>
    </xf>
    <xf numFmtId="37" fontId="42" fillId="0" borderId="0" xfId="0" applyNumberFormat="1" applyFont="1" applyAlignment="1">
      <alignment horizontal="right"/>
    </xf>
    <xf numFmtId="0" fontId="42" fillId="0" borderId="40" xfId="0" applyFont="1" applyBorder="1" applyAlignment="1">
      <alignment horizontal="center"/>
    </xf>
    <xf numFmtId="2" fontId="42" fillId="0" borderId="0" xfId="0" applyNumberFormat="1" applyFont="1"/>
    <xf numFmtId="37" fontId="42" fillId="0" borderId="4" xfId="0" applyNumberFormat="1" applyFont="1" applyBorder="1"/>
    <xf numFmtId="0" fontId="42" fillId="0" borderId="5" xfId="0" applyFont="1" applyBorder="1" applyAlignment="1">
      <alignment horizontal="right"/>
    </xf>
    <xf numFmtId="0" fontId="42" fillId="3" borderId="2" xfId="0" applyFont="1" applyFill="1" applyBorder="1"/>
    <xf numFmtId="37" fontId="42" fillId="3" borderId="3" xfId="0" applyNumberFormat="1" applyFont="1" applyFill="1" applyBorder="1"/>
    <xf numFmtId="0" fontId="43" fillId="0" borderId="2" xfId="0" applyFont="1" applyBorder="1" applyAlignment="1">
      <alignment horizontal="center"/>
    </xf>
    <xf numFmtId="37" fontId="42" fillId="3" borderId="2" xfId="0" applyNumberFormat="1" applyFont="1" applyFill="1" applyBorder="1"/>
    <xf numFmtId="0" fontId="42" fillId="4" borderId="2" xfId="0" applyFont="1" applyFill="1" applyBorder="1"/>
    <xf numFmtId="1" fontId="42" fillId="0" borderId="0" xfId="0" applyNumberFormat="1" applyFont="1"/>
    <xf numFmtId="1" fontId="42" fillId="0" borderId="2" xfId="0" applyNumberFormat="1" applyFont="1" applyBorder="1" applyAlignment="1">
      <alignment horizontal="center"/>
    </xf>
    <xf numFmtId="2" fontId="42" fillId="0" borderId="2" xfId="0" applyNumberFormat="1" applyFont="1" applyBorder="1" applyAlignment="1">
      <alignment horizontal="center"/>
    </xf>
    <xf numFmtId="0" fontId="42" fillId="0" borderId="29" xfId="0" applyFont="1" applyBorder="1" applyAlignment="1">
      <alignment horizontal="right"/>
    </xf>
    <xf numFmtId="0" fontId="42" fillId="0" borderId="40" xfId="0" applyFont="1" applyBorder="1" applyAlignment="1">
      <alignment horizontal="left"/>
    </xf>
    <xf numFmtId="37" fontId="42" fillId="0" borderId="37" xfId="0" applyNumberFormat="1" applyFont="1" applyBorder="1"/>
    <xf numFmtId="0" fontId="42" fillId="0" borderId="38" xfId="0" applyFont="1" applyBorder="1" applyAlignment="1">
      <alignment horizontal="right"/>
    </xf>
    <xf numFmtId="0" fontId="42" fillId="0" borderId="35" xfId="0" applyFont="1" applyBorder="1" applyAlignment="1">
      <alignment horizontal="right"/>
    </xf>
    <xf numFmtId="0" fontId="42" fillId="3" borderId="5" xfId="0" applyFont="1" applyFill="1" applyBorder="1"/>
    <xf numFmtId="0" fontId="43" fillId="18" borderId="2" xfId="0" applyFont="1" applyFill="1" applyBorder="1" applyAlignment="1">
      <alignment horizontal="center"/>
    </xf>
    <xf numFmtId="37" fontId="42" fillId="0" borderId="33" xfId="0" applyNumberFormat="1" applyFont="1" applyBorder="1"/>
    <xf numFmtId="0" fontId="42" fillId="0" borderId="34" xfId="0" applyFont="1" applyBorder="1" applyAlignment="1">
      <alignment horizontal="right"/>
    </xf>
    <xf numFmtId="2" fontId="42" fillId="0" borderId="0" xfId="0" applyNumberFormat="1" applyFont="1" applyAlignment="1">
      <alignment horizontal="center"/>
    </xf>
    <xf numFmtId="2" fontId="42" fillId="0" borderId="5" xfId="0" applyNumberFormat="1" applyFont="1" applyBorder="1" applyAlignment="1">
      <alignment horizontal="right"/>
    </xf>
    <xf numFmtId="2" fontId="42" fillId="0" borderId="37" xfId="0" applyNumberFormat="1" applyFont="1" applyBorder="1"/>
    <xf numFmtId="2" fontId="42" fillId="0" borderId="38" xfId="0" applyNumberFormat="1" applyFont="1" applyBorder="1" applyAlignment="1">
      <alignment horizontal="right"/>
    </xf>
    <xf numFmtId="2" fontId="42" fillId="0" borderId="4" xfId="0" applyNumberFormat="1" applyFont="1" applyBorder="1"/>
    <xf numFmtId="37" fontId="42" fillId="0" borderId="0" xfId="0" applyNumberFormat="1" applyFont="1"/>
    <xf numFmtId="2" fontId="42" fillId="0" borderId="33" xfId="0" applyNumberFormat="1" applyFont="1" applyBorder="1"/>
    <xf numFmtId="2" fontId="42" fillId="0" borderId="1" xfId="0" applyNumberFormat="1" applyFont="1" applyBorder="1" applyAlignment="1">
      <alignment horizontal="center"/>
    </xf>
    <xf numFmtId="2" fontId="42" fillId="0" borderId="34" xfId="0" applyNumberFormat="1" applyFont="1" applyBorder="1" applyAlignment="1">
      <alignment horizontal="right"/>
    </xf>
    <xf numFmtId="37" fontId="42" fillId="0" borderId="4" xfId="0" applyNumberFormat="1" applyFont="1" applyBorder="1" applyAlignment="1">
      <alignment horizontal="right"/>
    </xf>
    <xf numFmtId="2" fontId="42" fillId="0" borderId="0" xfId="0" applyNumberFormat="1" applyFont="1" applyAlignment="1">
      <alignment horizontal="left"/>
    </xf>
    <xf numFmtId="1" fontId="42" fillId="0" borderId="33" xfId="0" applyNumberFormat="1" applyFont="1" applyBorder="1"/>
    <xf numFmtId="0" fontId="42" fillId="0" borderId="33" xfId="0" applyFont="1" applyBorder="1" applyAlignment="1">
      <alignment horizontal="center"/>
    </xf>
    <xf numFmtId="1" fontId="42" fillId="0" borderId="33" xfId="0" applyNumberFormat="1" applyFont="1" applyBorder="1" applyAlignment="1">
      <alignment horizontal="right"/>
    </xf>
    <xf numFmtId="1" fontId="42" fillId="0" borderId="39" xfId="0" applyNumberFormat="1" applyFont="1" applyBorder="1" applyAlignment="1">
      <alignment horizontal="center"/>
    </xf>
    <xf numFmtId="1" fontId="42" fillId="0" borderId="39" xfId="0" applyNumberFormat="1" applyFont="1" applyBorder="1"/>
    <xf numFmtId="1" fontId="42" fillId="0" borderId="4" xfId="0" applyNumberFormat="1" applyFont="1" applyBorder="1"/>
    <xf numFmtId="0" fontId="42" fillId="0" borderId="4" xfId="0" applyFont="1" applyBorder="1" applyAlignment="1">
      <alignment horizontal="center"/>
    </xf>
    <xf numFmtId="1" fontId="42" fillId="0" borderId="5" xfId="0" applyNumberFormat="1" applyFont="1" applyBorder="1" applyAlignment="1">
      <alignment horizontal="right"/>
    </xf>
    <xf numFmtId="1" fontId="42" fillId="0" borderId="37" xfId="0" applyNumberFormat="1" applyFont="1" applyBorder="1"/>
    <xf numFmtId="1" fontId="42" fillId="0" borderId="38" xfId="0" applyNumberFormat="1" applyFont="1" applyBorder="1" applyAlignment="1">
      <alignment horizontal="right"/>
    </xf>
    <xf numFmtId="1" fontId="42" fillId="0" borderId="40" xfId="0" applyNumberFormat="1" applyFont="1" applyBorder="1"/>
    <xf numFmtId="1" fontId="43" fillId="15" borderId="2" xfId="0" applyNumberFormat="1" applyFont="1" applyFill="1" applyBorder="1" applyAlignment="1">
      <alignment horizontal="center" vertical="center"/>
    </xf>
    <xf numFmtId="1" fontId="42" fillId="0" borderId="34" xfId="0" applyNumberFormat="1" applyFont="1" applyBorder="1" applyAlignment="1">
      <alignment horizontal="right"/>
    </xf>
    <xf numFmtId="1" fontId="42" fillId="0" borderId="2" xfId="0" applyNumberFormat="1" applyFont="1" applyBorder="1"/>
    <xf numFmtId="1" fontId="42" fillId="0" borderId="38" xfId="0" applyNumberFormat="1" applyFont="1" applyBorder="1"/>
    <xf numFmtId="1" fontId="43" fillId="4" borderId="2" xfId="0" applyNumberFormat="1" applyFont="1" applyFill="1" applyBorder="1" applyAlignment="1">
      <alignment horizontal="center" vertical="center"/>
    </xf>
    <xf numFmtId="0" fontId="42" fillId="0" borderId="31" xfId="0" applyFont="1" applyBorder="1"/>
    <xf numFmtId="1" fontId="42" fillId="0" borderId="31" xfId="0" applyNumberFormat="1" applyFont="1" applyBorder="1"/>
    <xf numFmtId="165" fontId="43" fillId="4" borderId="2" xfId="0" applyNumberFormat="1" applyFont="1" applyFill="1" applyBorder="1" applyAlignment="1">
      <alignment horizontal="center" vertical="center"/>
    </xf>
    <xf numFmtId="2" fontId="43" fillId="4" borderId="2" xfId="0" applyNumberFormat="1" applyFont="1" applyFill="1" applyBorder="1" applyAlignment="1">
      <alignment horizontal="center" vertical="center"/>
    </xf>
    <xf numFmtId="1" fontId="53" fillId="0" borderId="31" xfId="0" applyNumberFormat="1" applyFont="1" applyBorder="1"/>
    <xf numFmtId="1" fontId="42" fillId="0" borderId="30" xfId="0" applyNumberFormat="1" applyFont="1" applyBorder="1"/>
    <xf numFmtId="1" fontId="42" fillId="0" borderId="34" xfId="0" applyNumberFormat="1" applyFont="1" applyBorder="1"/>
    <xf numFmtId="1" fontId="42" fillId="0" borderId="0" xfId="0" applyNumberFormat="1" applyFont="1" applyAlignment="1">
      <alignment horizontal="left"/>
    </xf>
    <xf numFmtId="0" fontId="42" fillId="0" borderId="41" xfId="0" applyFont="1" applyBorder="1" applyAlignment="1">
      <alignment horizontal="right"/>
    </xf>
    <xf numFmtId="0" fontId="42" fillId="18" borderId="35" xfId="0" applyFont="1" applyFill="1" applyBorder="1"/>
    <xf numFmtId="0" fontId="43" fillId="18" borderId="32" xfId="0" applyFont="1" applyFill="1" applyBorder="1"/>
    <xf numFmtId="0" fontId="43" fillId="18" borderId="34" xfId="0" applyFont="1" applyFill="1" applyBorder="1"/>
    <xf numFmtId="0" fontId="43" fillId="18" borderId="2" xfId="0" applyFont="1" applyFill="1" applyBorder="1"/>
    <xf numFmtId="3" fontId="42" fillId="0" borderId="38" xfId="0" applyNumberFormat="1" applyFont="1" applyBorder="1"/>
    <xf numFmtId="0" fontId="42" fillId="0" borderId="35" xfId="0" applyFont="1" applyBorder="1" applyAlignment="1">
      <alignment horizontal="center"/>
    </xf>
    <xf numFmtId="0" fontId="42" fillId="0" borderId="30" xfId="0" applyFont="1" applyBorder="1"/>
    <xf numFmtId="3" fontId="42" fillId="0" borderId="31" xfId="0" applyNumberFormat="1" applyFont="1" applyBorder="1"/>
    <xf numFmtId="0" fontId="42" fillId="0" borderId="30" xfId="0" applyFont="1" applyBorder="1" applyAlignment="1">
      <alignment horizontal="center" shrinkToFit="1"/>
    </xf>
    <xf numFmtId="0" fontId="42" fillId="0" borderId="0" xfId="0" applyFont="1" applyAlignment="1">
      <alignment horizontal="center" shrinkToFit="1"/>
    </xf>
    <xf numFmtId="0" fontId="42" fillId="0" borderId="32" xfId="0" applyFont="1" applyBorder="1" applyAlignment="1">
      <alignment horizontal="center" shrinkToFit="1"/>
    </xf>
    <xf numFmtId="0" fontId="42" fillId="0" borderId="33" xfId="0" applyFont="1" applyBorder="1" applyAlignment="1">
      <alignment horizontal="center" shrinkToFit="1"/>
    </xf>
    <xf numFmtId="3" fontId="42" fillId="0" borderId="33" xfId="0" applyNumberFormat="1" applyFont="1" applyBorder="1"/>
    <xf numFmtId="0" fontId="43" fillId="0" borderId="0" xfId="0" applyFont="1"/>
    <xf numFmtId="38" fontId="42" fillId="4" borderId="2" xfId="3" applyFont="1" applyFill="1" applyBorder="1" applyProtection="1"/>
    <xf numFmtId="166" fontId="42" fillId="7" borderId="2" xfId="3" applyNumberFormat="1" applyFont="1" applyFill="1" applyBorder="1" applyProtection="1"/>
    <xf numFmtId="2" fontId="42" fillId="7" borderId="2" xfId="0" applyNumberFormat="1" applyFont="1" applyFill="1" applyBorder="1"/>
    <xf numFmtId="171" fontId="42" fillId="19" borderId="45" xfId="0" applyNumberFormat="1" applyFont="1" applyFill="1" applyBorder="1"/>
    <xf numFmtId="171" fontId="42" fillId="19" borderId="15" xfId="0" applyNumberFormat="1" applyFont="1" applyFill="1" applyBorder="1"/>
    <xf numFmtId="171" fontId="42" fillId="16" borderId="2" xfId="0" applyNumberFormat="1" applyFont="1" applyFill="1" applyBorder="1"/>
    <xf numFmtId="171" fontId="43" fillId="0" borderId="23" xfId="0" applyNumberFormat="1" applyFont="1" applyBorder="1" applyAlignment="1">
      <alignment horizontal="left" shrinkToFit="1"/>
    </xf>
    <xf numFmtId="171" fontId="42" fillId="0" borderId="36" xfId="0" applyNumberFormat="1" applyFont="1" applyBorder="1" applyAlignment="1">
      <alignment horizontal="left"/>
    </xf>
    <xf numFmtId="171" fontId="42" fillId="0" borderId="39" xfId="0" applyNumberFormat="1" applyFont="1" applyBorder="1" applyAlignment="1">
      <alignment horizontal="left"/>
    </xf>
    <xf numFmtId="171" fontId="43" fillId="0" borderId="18" xfId="0" applyNumberFormat="1" applyFont="1" applyBorder="1" applyAlignment="1">
      <alignment horizontal="left" shrinkToFit="1"/>
    </xf>
    <xf numFmtId="43" fontId="7" fillId="0" borderId="2" xfId="1" applyFont="1" applyFill="1" applyBorder="1" applyAlignment="1" applyProtection="1">
      <alignment shrinkToFit="1"/>
    </xf>
    <xf numFmtId="43" fontId="43" fillId="0" borderId="2" xfId="1" applyFont="1" applyFill="1" applyBorder="1" applyAlignment="1" applyProtection="1">
      <alignment shrinkToFit="1"/>
    </xf>
    <xf numFmtId="0" fontId="45" fillId="0" borderId="0" xfId="0" applyFont="1"/>
    <xf numFmtId="0" fontId="42" fillId="11" borderId="2" xfId="0" applyFont="1" applyFill="1" applyBorder="1" applyProtection="1">
      <protection locked="0"/>
    </xf>
    <xf numFmtId="0" fontId="4" fillId="0" borderId="0" xfId="7" applyProtection="1">
      <protection hidden="1"/>
    </xf>
    <xf numFmtId="172" fontId="42" fillId="0" borderId="0" xfId="0" applyNumberFormat="1" applyFont="1"/>
    <xf numFmtId="171" fontId="54" fillId="18" borderId="0" xfId="0" applyNumberFormat="1" applyFont="1" applyFill="1"/>
    <xf numFmtId="171" fontId="43" fillId="14" borderId="2" xfId="1" applyNumberFormat="1" applyFont="1" applyFill="1" applyBorder="1" applyAlignment="1" applyProtection="1">
      <alignment shrinkToFit="1"/>
    </xf>
    <xf numFmtId="171" fontId="43" fillId="0" borderId="48" xfId="1" applyNumberFormat="1" applyFont="1" applyBorder="1" applyAlignment="1" applyProtection="1">
      <alignment shrinkToFit="1"/>
    </xf>
    <xf numFmtId="171" fontId="43" fillId="14" borderId="19" xfId="1" applyNumberFormat="1" applyFont="1" applyFill="1" applyBorder="1" applyAlignment="1" applyProtection="1">
      <alignment shrinkToFit="1"/>
    </xf>
    <xf numFmtId="0" fontId="55" fillId="0" borderId="2" xfId="0" applyFont="1" applyBorder="1" applyAlignment="1">
      <alignment horizontal="center"/>
    </xf>
    <xf numFmtId="171" fontId="43" fillId="0" borderId="2" xfId="0" applyNumberFormat="1" applyFont="1" applyBorder="1"/>
    <xf numFmtId="43" fontId="46" fillId="14" borderId="2" xfId="1" applyFont="1" applyFill="1" applyBorder="1" applyAlignment="1" applyProtection="1">
      <alignment shrinkToFit="1"/>
    </xf>
    <xf numFmtId="171" fontId="46" fillId="16" borderId="2" xfId="1" applyNumberFormat="1" applyFont="1" applyFill="1" applyBorder="1" applyAlignment="1" applyProtection="1">
      <alignment horizontal="center"/>
    </xf>
    <xf numFmtId="3" fontId="42" fillId="11" borderId="2" xfId="0" applyNumberFormat="1" applyFont="1" applyFill="1" applyBorder="1" applyAlignment="1" applyProtection="1">
      <alignment horizontal="center"/>
      <protection locked="0"/>
    </xf>
    <xf numFmtId="43" fontId="42" fillId="0" borderId="0" xfId="0" applyNumberFormat="1" applyFont="1"/>
    <xf numFmtId="0" fontId="43" fillId="0" borderId="35" xfId="0" applyFont="1" applyBorder="1"/>
    <xf numFmtId="173" fontId="43" fillId="14" borderId="19" xfId="1" applyNumberFormat="1" applyFont="1" applyFill="1" applyBorder="1" applyAlignment="1" applyProtection="1">
      <alignment shrinkToFit="1"/>
    </xf>
    <xf numFmtId="0" fontId="42" fillId="21" borderId="0" xfId="0" applyFont="1" applyFill="1" applyAlignment="1">
      <alignment shrinkToFit="1"/>
    </xf>
    <xf numFmtId="0" fontId="42" fillId="21" borderId="0" xfId="0" applyFont="1" applyFill="1"/>
    <xf numFmtId="3" fontId="54" fillId="0" borderId="0" xfId="0" applyNumberFormat="1" applyFont="1" applyProtection="1">
      <protection hidden="1"/>
    </xf>
    <xf numFmtId="0" fontId="37" fillId="0" borderId="0" xfId="8" applyFont="1"/>
    <xf numFmtId="0" fontId="37" fillId="11" borderId="0" xfId="8" applyFont="1" applyFill="1"/>
    <xf numFmtId="169" fontId="19" fillId="0" borderId="2" xfId="8" applyNumberFormat="1" applyFont="1" applyBorder="1"/>
    <xf numFmtId="0" fontId="57" fillId="0" borderId="0" xfId="8" applyFont="1"/>
    <xf numFmtId="22" fontId="0" fillId="0" borderId="0" xfId="0" applyNumberFormat="1"/>
    <xf numFmtId="43" fontId="0" fillId="0" borderId="0" xfId="1" applyFont="1"/>
    <xf numFmtId="0" fontId="58" fillId="11" borderId="2" xfId="8" applyFont="1" applyFill="1" applyBorder="1"/>
    <xf numFmtId="40" fontId="58" fillId="11" borderId="2" xfId="4" applyFont="1" applyFill="1" applyBorder="1"/>
    <xf numFmtId="0" fontId="6" fillId="11" borderId="0" xfId="11" applyFill="1"/>
    <xf numFmtId="0" fontId="24" fillId="0" borderId="2" xfId="8" applyFont="1" applyBorder="1"/>
    <xf numFmtId="0" fontId="42" fillId="18" borderId="0" xfId="0" applyFont="1" applyFill="1" applyAlignment="1">
      <alignment shrinkToFit="1"/>
    </xf>
    <xf numFmtId="0" fontId="43" fillId="18" borderId="0" xfId="0" applyFont="1" applyFill="1" applyAlignment="1">
      <alignment horizontal="left"/>
    </xf>
    <xf numFmtId="43" fontId="4" fillId="3" borderId="5" xfId="7" applyNumberForma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2" fillId="11" borderId="2" xfId="0" applyFont="1" applyFill="1" applyBorder="1" applyAlignment="1" applyProtection="1">
      <alignment horizontal="center"/>
      <protection locked="0"/>
    </xf>
    <xf numFmtId="0" fontId="59" fillId="0" borderId="0" xfId="0" applyFont="1"/>
    <xf numFmtId="0" fontId="60" fillId="0" borderId="0" xfId="0" applyFont="1"/>
    <xf numFmtId="0" fontId="61" fillId="0" borderId="0" xfId="0" applyFont="1"/>
    <xf numFmtId="174" fontId="60" fillId="0" borderId="0" xfId="0" applyNumberFormat="1" applyFont="1"/>
    <xf numFmtId="174" fontId="59" fillId="0" borderId="0" xfId="0" applyNumberFormat="1" applyFont="1"/>
    <xf numFmtId="0" fontId="19" fillId="23" borderId="0" xfId="8" applyFont="1" applyFill="1"/>
    <xf numFmtId="174" fontId="57" fillId="0" borderId="0" xfId="8" applyNumberFormat="1" applyFont="1"/>
    <xf numFmtId="0" fontId="60" fillId="0" borderId="0" xfId="8" applyFont="1"/>
    <xf numFmtId="0" fontId="59" fillId="0" borderId="0" xfId="8" applyFont="1"/>
    <xf numFmtId="3" fontId="59" fillId="0" borderId="0" xfId="8" applyNumberFormat="1" applyFont="1"/>
    <xf numFmtId="40" fontId="59" fillId="11" borderId="2" xfId="4" applyFont="1" applyFill="1" applyBorder="1"/>
    <xf numFmtId="174" fontId="59" fillId="0" borderId="0" xfId="8" applyNumberFormat="1" applyFont="1"/>
    <xf numFmtId="174" fontId="6" fillId="0" borderId="0" xfId="8" applyNumberFormat="1"/>
    <xf numFmtId="174" fontId="19" fillId="0" borderId="2" xfId="8" applyNumberFormat="1" applyFont="1" applyBorder="1"/>
    <xf numFmtId="174" fontId="4" fillId="0" borderId="0" xfId="7" applyNumberFormat="1"/>
    <xf numFmtId="4" fontId="4" fillId="0" borderId="0" xfId="7" applyNumberFormat="1"/>
    <xf numFmtId="0" fontId="62" fillId="24" borderId="51" xfId="12" applyFont="1" applyFill="1" applyBorder="1" applyAlignment="1">
      <alignment horizontal="center"/>
    </xf>
    <xf numFmtId="0" fontId="62" fillId="0" borderId="52" xfId="12" applyFont="1" applyBorder="1" applyAlignment="1">
      <alignment wrapText="1"/>
    </xf>
    <xf numFmtId="2" fontId="62" fillId="0" borderId="52" xfId="12" applyNumberFormat="1" applyFont="1" applyBorder="1" applyAlignment="1">
      <alignment horizontal="right" wrapText="1"/>
    </xf>
    <xf numFmtId="175" fontId="19" fillId="0" borderId="0" xfId="8" applyNumberFormat="1" applyFont="1"/>
    <xf numFmtId="176" fontId="24" fillId="0" borderId="0" xfId="8" applyNumberFormat="1" applyFont="1"/>
    <xf numFmtId="0" fontId="43" fillId="4" borderId="3" xfId="0" applyFont="1" applyFill="1" applyBorder="1" applyAlignment="1">
      <alignment horizontal="center" shrinkToFit="1"/>
    </xf>
    <xf numFmtId="0" fontId="43" fillId="4" borderId="4" xfId="0" applyFont="1" applyFill="1" applyBorder="1" applyAlignment="1">
      <alignment horizontal="center" shrinkToFit="1"/>
    </xf>
    <xf numFmtId="0" fontId="43" fillId="4" borderId="5" xfId="0" applyFont="1" applyFill="1" applyBorder="1" applyAlignment="1">
      <alignment horizontal="center" shrinkToFit="1"/>
    </xf>
    <xf numFmtId="171" fontId="43" fillId="0" borderId="3" xfId="0" applyNumberFormat="1" applyFont="1" applyBorder="1" applyAlignment="1">
      <alignment horizontal="left" shrinkToFit="1"/>
    </xf>
    <xf numFmtId="0" fontId="42" fillId="0" borderId="4" xfId="0" applyFont="1" applyBorder="1" applyAlignment="1">
      <alignment shrinkToFit="1"/>
    </xf>
    <xf numFmtId="0" fontId="42" fillId="0" borderId="5" xfId="0" applyFont="1" applyBorder="1" applyAlignment="1">
      <alignment shrinkToFit="1"/>
    </xf>
    <xf numFmtId="171" fontId="42" fillId="20" borderId="3" xfId="0" applyNumberFormat="1" applyFont="1" applyFill="1" applyBorder="1" applyAlignment="1">
      <alignment horizontal="center" shrinkToFit="1"/>
    </xf>
    <xf numFmtId="0" fontId="42" fillId="20" borderId="4" xfId="0" applyFont="1" applyFill="1" applyBorder="1" applyAlignment="1">
      <alignment shrinkToFit="1"/>
    </xf>
    <xf numFmtId="0" fontId="42" fillId="20" borderId="5" xfId="0" applyFont="1" applyFill="1" applyBorder="1" applyAlignment="1">
      <alignment shrinkToFit="1"/>
    </xf>
    <xf numFmtId="0" fontId="43" fillId="4" borderId="3" xfId="0" applyFont="1" applyFill="1" applyBorder="1" applyAlignment="1" applyProtection="1">
      <alignment horizontal="center" shrinkToFit="1"/>
      <protection locked="0"/>
    </xf>
    <xf numFmtId="0" fontId="43" fillId="4" borderId="4" xfId="0" applyFont="1" applyFill="1" applyBorder="1" applyAlignment="1" applyProtection="1">
      <alignment horizontal="center" shrinkToFit="1"/>
      <protection locked="0"/>
    </xf>
    <xf numFmtId="0" fontId="43" fillId="4" borderId="5" xfId="0" applyFont="1" applyFill="1" applyBorder="1" applyAlignment="1" applyProtection="1">
      <alignment horizontal="center" shrinkToFit="1"/>
      <protection locked="0"/>
    </xf>
    <xf numFmtId="171" fontId="42" fillId="20" borderId="32" xfId="0" applyNumberFormat="1" applyFont="1" applyFill="1" applyBorder="1" applyAlignment="1">
      <alignment horizontal="center" shrinkToFit="1"/>
    </xf>
    <xf numFmtId="0" fontId="42" fillId="20" borderId="33" xfId="0" applyFont="1" applyFill="1" applyBorder="1" applyAlignment="1">
      <alignment shrinkToFit="1"/>
    </xf>
    <xf numFmtId="0" fontId="42" fillId="20" borderId="34" xfId="0" applyFont="1" applyFill="1" applyBorder="1" applyAlignment="1">
      <alignment shrinkToFit="1"/>
    </xf>
    <xf numFmtId="0" fontId="42" fillId="11" borderId="3" xfId="0" applyFont="1" applyFill="1" applyBorder="1" applyAlignment="1" applyProtection="1">
      <alignment horizontal="center"/>
      <protection locked="0"/>
    </xf>
    <xf numFmtId="0" fontId="42" fillId="11" borderId="4" xfId="0" applyFont="1" applyFill="1" applyBorder="1" applyAlignment="1" applyProtection="1">
      <alignment horizontal="center"/>
      <protection locked="0"/>
    </xf>
    <xf numFmtId="0" fontId="42" fillId="11" borderId="5" xfId="0" applyFont="1" applyFill="1" applyBorder="1" applyAlignment="1" applyProtection="1">
      <alignment horizontal="center"/>
      <protection locked="0"/>
    </xf>
    <xf numFmtId="171" fontId="42" fillId="0" borderId="3" xfId="0" applyNumberFormat="1" applyFont="1" applyBorder="1" applyAlignment="1">
      <alignment horizontal="center" wrapText="1"/>
    </xf>
    <xf numFmtId="171" fontId="42" fillId="0" borderId="4" xfId="0" applyNumberFormat="1" applyFont="1" applyBorder="1" applyAlignment="1">
      <alignment horizontal="center" wrapText="1"/>
    </xf>
    <xf numFmtId="171" fontId="42" fillId="0" borderId="5" xfId="0" applyNumberFormat="1" applyFont="1" applyBorder="1" applyAlignment="1">
      <alignment horizontal="center" wrapText="1"/>
    </xf>
    <xf numFmtId="171" fontId="42" fillId="16" borderId="32" xfId="0" applyNumberFormat="1" applyFont="1" applyFill="1" applyBorder="1" applyAlignment="1">
      <alignment horizontal="center"/>
    </xf>
    <xf numFmtId="171" fontId="42" fillId="16" borderId="33" xfId="0" applyNumberFormat="1" applyFont="1" applyFill="1" applyBorder="1" applyAlignment="1">
      <alignment horizontal="center"/>
    </xf>
    <xf numFmtId="171" fontId="54" fillId="18" borderId="4" xfId="0" applyNumberFormat="1" applyFont="1" applyFill="1" applyBorder="1" applyAlignment="1">
      <alignment horizontal="center"/>
    </xf>
    <xf numFmtId="171" fontId="43" fillId="0" borderId="3" xfId="0" applyNumberFormat="1" applyFont="1" applyBorder="1" applyAlignment="1">
      <alignment horizontal="center"/>
    </xf>
    <xf numFmtId="171" fontId="43" fillId="0" borderId="4" xfId="0" applyNumberFormat="1" applyFont="1" applyBorder="1" applyAlignment="1">
      <alignment horizontal="center"/>
    </xf>
    <xf numFmtId="171" fontId="43" fillId="0" borderId="5" xfId="0" applyNumberFormat="1" applyFont="1" applyBorder="1" applyAlignment="1">
      <alignment horizontal="center"/>
    </xf>
    <xf numFmtId="3" fontId="42" fillId="0" borderId="3" xfId="0" applyNumberFormat="1" applyFont="1" applyBorder="1" applyAlignment="1">
      <alignment shrinkToFit="1"/>
    </xf>
    <xf numFmtId="0" fontId="43" fillId="22" borderId="0" xfId="0" applyFont="1" applyFill="1" applyAlignment="1" applyProtection="1">
      <alignment horizontal="center" shrinkToFit="1"/>
      <protection hidden="1"/>
    </xf>
    <xf numFmtId="171" fontId="42" fillId="16" borderId="46" xfId="0" applyNumberFormat="1" applyFont="1" applyFill="1" applyBorder="1" applyAlignment="1">
      <alignment horizontal="center"/>
    </xf>
    <xf numFmtId="171" fontId="42" fillId="16" borderId="17" xfId="0" applyNumberFormat="1" applyFont="1" applyFill="1" applyBorder="1" applyAlignment="1">
      <alignment horizontal="center"/>
    </xf>
    <xf numFmtId="0" fontId="11" fillId="4" borderId="3" xfId="7" applyFont="1" applyFill="1" applyBorder="1" applyAlignment="1">
      <alignment horizontal="center" shrinkToFit="1"/>
    </xf>
    <xf numFmtId="0" fontId="11" fillId="4" borderId="4" xfId="7" applyFont="1" applyFill="1" applyBorder="1" applyAlignment="1">
      <alignment horizontal="center" shrinkToFit="1"/>
    </xf>
    <xf numFmtId="0" fontId="11" fillId="4" borderId="5" xfId="7" applyFont="1" applyFill="1" applyBorder="1" applyAlignment="1">
      <alignment horizontal="center" shrinkToFit="1"/>
    </xf>
    <xf numFmtId="0" fontId="4" fillId="0" borderId="2" xfId="7" applyBorder="1"/>
    <xf numFmtId="0" fontId="11" fillId="4" borderId="3" xfId="7" applyFont="1" applyFill="1" applyBorder="1" applyAlignment="1" applyProtection="1">
      <alignment horizontal="center" shrinkToFit="1"/>
      <protection locked="0"/>
    </xf>
    <xf numFmtId="0" fontId="11" fillId="4" borderId="4" xfId="7" applyFont="1" applyFill="1" applyBorder="1" applyAlignment="1" applyProtection="1">
      <alignment horizontal="center" shrinkToFit="1"/>
      <protection locked="0"/>
    </xf>
    <xf numFmtId="0" fontId="11" fillId="4" borderId="5" xfId="7" applyFont="1" applyFill="1" applyBorder="1" applyAlignment="1" applyProtection="1">
      <alignment horizontal="center" shrinkToFit="1"/>
      <protection locked="0"/>
    </xf>
    <xf numFmtId="0" fontId="19" fillId="4" borderId="40" xfId="8" applyFont="1" applyFill="1" applyBorder="1" applyAlignment="1">
      <alignment vertical="center" textRotation="255" wrapText="1"/>
    </xf>
    <xf numFmtId="0" fontId="19" fillId="4" borderId="1" xfId="8" applyFont="1" applyFill="1" applyBorder="1" applyAlignment="1">
      <alignment vertical="center" textRotation="255" wrapText="1"/>
    </xf>
    <xf numFmtId="0" fontId="19" fillId="4" borderId="39" xfId="8" applyFont="1" applyFill="1" applyBorder="1" applyAlignment="1">
      <alignment vertical="center" textRotation="255" wrapText="1"/>
    </xf>
    <xf numFmtId="0" fontId="36" fillId="0" borderId="40" xfId="8" applyFont="1" applyBorder="1" applyAlignment="1">
      <alignment vertical="center" textRotation="255"/>
    </xf>
    <xf numFmtId="0" fontId="35" fillId="0" borderId="1" xfId="7" applyFont="1" applyBorder="1" applyAlignment="1">
      <alignment vertical="center" textRotation="255"/>
    </xf>
    <xf numFmtId="0" fontId="35" fillId="0" borderId="39" xfId="7" applyFont="1" applyBorder="1" applyAlignment="1">
      <alignment vertical="center" textRotation="255"/>
    </xf>
    <xf numFmtId="0" fontId="36" fillId="0" borderId="1" xfId="8" applyFont="1" applyBorder="1" applyAlignment="1">
      <alignment vertical="center" textRotation="255"/>
    </xf>
    <xf numFmtId="0" fontId="36" fillId="0" borderId="39" xfId="8" applyFont="1" applyBorder="1" applyAlignment="1">
      <alignment vertical="center" textRotation="255"/>
    </xf>
    <xf numFmtId="0" fontId="50" fillId="0" borderId="36" xfId="5" applyFont="1" applyBorder="1" applyAlignment="1">
      <alignment horizontal="center" vertical="center" wrapText="1"/>
    </xf>
    <xf numFmtId="0" fontId="50" fillId="0" borderId="37" xfId="5" applyFont="1" applyBorder="1" applyAlignment="1">
      <alignment horizontal="center" vertical="center" wrapText="1"/>
    </xf>
    <xf numFmtId="0" fontId="47" fillId="0" borderId="38" xfId="5" applyFont="1" applyBorder="1" applyAlignment="1">
      <alignment horizontal="center" wrapText="1"/>
    </xf>
    <xf numFmtId="0" fontId="50" fillId="0" borderId="30" xfId="5" applyFont="1" applyBorder="1" applyAlignment="1">
      <alignment horizontal="center" vertical="center" wrapText="1"/>
    </xf>
    <xf numFmtId="0" fontId="50" fillId="0" borderId="0" xfId="5" applyFont="1" applyAlignment="1">
      <alignment horizontal="center" vertical="center" wrapText="1"/>
    </xf>
    <xf numFmtId="0" fontId="47" fillId="0" borderId="31" xfId="5" applyFont="1" applyBorder="1" applyAlignment="1">
      <alignment horizontal="center" wrapText="1"/>
    </xf>
    <xf numFmtId="0" fontId="47" fillId="0" borderId="30" xfId="5" applyFont="1" applyBorder="1" applyAlignment="1">
      <alignment horizontal="center" wrapText="1"/>
    </xf>
    <xf numFmtId="0" fontId="47" fillId="0" borderId="0" xfId="5" applyFont="1" applyAlignment="1">
      <alignment horizontal="center" wrapText="1"/>
    </xf>
    <xf numFmtId="1" fontId="56" fillId="0" borderId="36" xfId="5" applyNumberFormat="1" applyFont="1" applyBorder="1" applyAlignment="1">
      <alignment horizontal="center"/>
    </xf>
    <xf numFmtId="0" fontId="47" fillId="0" borderId="38" xfId="5" applyFont="1" applyBorder="1"/>
    <xf numFmtId="0" fontId="56" fillId="0" borderId="32" xfId="5" applyFont="1" applyBorder="1" applyAlignment="1">
      <alignment horizontal="center"/>
    </xf>
    <xf numFmtId="0" fontId="47" fillId="0" borderId="34" xfId="5" applyFont="1" applyBorder="1"/>
    <xf numFmtId="1" fontId="30" fillId="0" borderId="36" xfId="5" applyNumberFormat="1" applyFont="1" applyBorder="1" applyAlignment="1">
      <alignment horizontal="center"/>
    </xf>
    <xf numFmtId="0" fontId="15" fillId="0" borderId="38" xfId="5" applyBorder="1"/>
    <xf numFmtId="0" fontId="30" fillId="0" borderId="32" xfId="5" applyFont="1" applyBorder="1" applyAlignment="1">
      <alignment horizontal="center"/>
    </xf>
    <xf numFmtId="0" fontId="15" fillId="0" borderId="34" xfId="5" applyBorder="1"/>
    <xf numFmtId="175" fontId="0" fillId="0" borderId="0" xfId="0" applyNumberFormat="1"/>
    <xf numFmtId="175" fontId="4" fillId="0" borderId="0" xfId="0" applyNumberFormat="1" applyFont="1"/>
  </cellXfs>
  <cellStyles count="13">
    <cellStyle name="Migliaia" xfId="1" builtinId="3"/>
    <cellStyle name="Migliaia (0)_quelcc1" xfId="2" xr:uid="{00000000-0005-0000-0000-000001000000}"/>
    <cellStyle name="Migliaia [0]" xfId="3" builtinId="6"/>
    <cellStyle name="Migliaia 2" xfId="4" xr:uid="{00000000-0005-0000-0000-000003000000}"/>
    <cellStyle name="Migliaia 3" xfId="10" xr:uid="{00000000-0005-0000-0000-000004000000}"/>
    <cellStyle name="Normale" xfId="0" builtinId="0"/>
    <cellStyle name="Normale 2" xfId="5" xr:uid="{00000000-0005-0000-0000-000006000000}"/>
    <cellStyle name="Normale 2 2" xfId="11" xr:uid="{00000000-0005-0000-0000-000007000000}"/>
    <cellStyle name="Normale 3" xfId="6" xr:uid="{00000000-0005-0000-0000-000008000000}"/>
    <cellStyle name="Normale 4" xfId="7" xr:uid="{00000000-0005-0000-0000-000009000000}"/>
    <cellStyle name="Normale_PREZZI" xfId="12" xr:uid="{278AC0AA-9AAE-4970-9154-31F9997A4CF0}"/>
    <cellStyle name="Normale_STXPRESM2" xfId="8" xr:uid="{00000000-0005-0000-0000-00000A000000}"/>
    <cellStyle name="Valuta (0)_quelcc1" xfId="9" xr:uid="{00000000-0005-0000-0000-00000B000000}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FFF"/>
      <rgbColor rgb="0069FFFF"/>
      <rgbColor rgb="00E0FFE0"/>
      <rgbColor rgb="00FFFF80"/>
      <rgbColor rgb="00A6CAF0"/>
      <rgbColor rgb="00DD9CB3"/>
      <rgbColor rgb="00B38FEE"/>
      <rgbColor rgb="00E3E3E3"/>
      <rgbColor rgb="002A6FF9"/>
      <rgbColor rgb="003FB8CD"/>
      <rgbColor rgb="00488436"/>
      <rgbColor rgb="00958C41"/>
      <rgbColor rgb="008E5E42"/>
      <rgbColor rgb="00A0627A"/>
      <rgbColor rgb="00624FAC"/>
      <rgbColor rgb="00969696"/>
      <rgbColor rgb="001D2FBE"/>
      <rgbColor rgb="00286676"/>
      <rgbColor rgb="00004500"/>
      <rgbColor rgb="00453E01"/>
      <rgbColor rgb="006A2813"/>
      <rgbColor rgb="0085396A"/>
      <rgbColor rgb="004A3285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1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1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1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438150</xdr:colOff>
      <xdr:row>35</xdr:row>
      <xdr:rowOff>95250</xdr:rowOff>
    </xdr:from>
    <xdr:to>
      <xdr:col>50</xdr:col>
      <xdr:colOff>571500</xdr:colOff>
      <xdr:row>54</xdr:row>
      <xdr:rowOff>114300</xdr:rowOff>
    </xdr:to>
    <xdr:grpSp>
      <xdr:nvGrpSpPr>
        <xdr:cNvPr id="1529" name="Group 389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GrpSpPr>
          <a:grpSpLocks/>
        </xdr:cNvGrpSpPr>
      </xdr:nvGrpSpPr>
      <xdr:grpSpPr bwMode="auto">
        <a:xfrm>
          <a:off x="9987643" y="6545036"/>
          <a:ext cx="571500" cy="3638550"/>
          <a:chOff x="872" y="248"/>
          <a:chExt cx="574" cy="334"/>
        </a:xfrm>
      </xdr:grpSpPr>
      <xdr:sp macro="" textlink="">
        <xdr:nvSpPr>
          <xdr:cNvPr id="1532" name="Rectangle 173">
            <a:extLst>
              <a:ext uri="{FF2B5EF4-FFF2-40B4-BE49-F238E27FC236}">
                <a16:creationId xmlns:a16="http://schemas.microsoft.com/office/drawing/2014/main" id="{00000000-0008-0000-0000-0000FC050000}"/>
              </a:ext>
            </a:extLst>
          </xdr:cNvPr>
          <xdr:cNvSpPr>
            <a:spLocks noChangeArrowheads="1"/>
          </xdr:cNvSpPr>
        </xdr:nvSpPr>
        <xdr:spPr bwMode="auto">
          <a:xfrm>
            <a:off x="959" y="565"/>
            <a:ext cx="22" cy="1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sp>
      <xdr:sp macro="" textlink="">
        <xdr:nvSpPr>
          <xdr:cNvPr id="1199" name="Rectangle 175">
            <a:extLst>
              <a:ext uri="{FF2B5EF4-FFF2-40B4-BE49-F238E27FC236}">
                <a16:creationId xmlns:a16="http://schemas.microsoft.com/office/drawing/2014/main" id="{00000000-0008-0000-0000-0000AF040000}"/>
              </a:ext>
            </a:extLst>
          </xdr:cNvPr>
          <xdr:cNvSpPr>
            <a:spLocks noChangeArrowheads="1"/>
          </xdr:cNvSpPr>
        </xdr:nvSpPr>
        <xdr:spPr bwMode="auto">
          <a:xfrm>
            <a:off x="872" y="563"/>
            <a:ext cx="1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it-IT" sz="6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</a:p>
        </xdr:txBody>
      </xdr:sp>
      <xdr:sp macro="" textlink="">
        <xdr:nvSpPr>
          <xdr:cNvPr id="1534" name="Rectangle 178">
            <a:extLst>
              <a:ext uri="{FF2B5EF4-FFF2-40B4-BE49-F238E27FC236}">
                <a16:creationId xmlns:a16="http://schemas.microsoft.com/office/drawing/2014/main" id="{00000000-0008-0000-0000-0000FE050000}"/>
              </a:ext>
            </a:extLst>
          </xdr:cNvPr>
          <xdr:cNvSpPr>
            <a:spLocks noChangeArrowheads="1"/>
          </xdr:cNvSpPr>
        </xdr:nvSpPr>
        <xdr:spPr bwMode="auto">
          <a:xfrm>
            <a:off x="1170" y="387"/>
            <a:ext cx="22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sp>
      <xdr:sp macro="" textlink="">
        <xdr:nvSpPr>
          <xdr:cNvPr id="1204" name="Rectangle 180">
            <a:extLst>
              <a:ext uri="{FF2B5EF4-FFF2-40B4-BE49-F238E27FC236}">
                <a16:creationId xmlns:a16="http://schemas.microsoft.com/office/drawing/2014/main" id="{00000000-0008-0000-0000-0000B4040000}"/>
              </a:ext>
            </a:extLst>
          </xdr:cNvPr>
          <xdr:cNvSpPr>
            <a:spLocks noChangeArrowheads="1"/>
          </xdr:cNvSpPr>
        </xdr:nvSpPr>
        <xdr:spPr bwMode="auto">
          <a:xfrm>
            <a:off x="1445" y="394"/>
            <a:ext cx="1" cy="1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it-IT" sz="6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</a:p>
        </xdr:txBody>
      </xdr:sp>
      <xdr:sp macro="" textlink="">
        <xdr:nvSpPr>
          <xdr:cNvPr id="1536" name="Rectangle 183">
            <a:extLst>
              <a:ext uri="{FF2B5EF4-FFF2-40B4-BE49-F238E27FC236}">
                <a16:creationId xmlns:a16="http://schemas.microsoft.com/office/drawing/2014/main" id="{00000000-0008-0000-0000-000000060000}"/>
              </a:ext>
            </a:extLst>
          </xdr:cNvPr>
          <xdr:cNvSpPr>
            <a:spLocks noChangeArrowheads="1"/>
          </xdr:cNvSpPr>
        </xdr:nvSpPr>
        <xdr:spPr bwMode="auto">
          <a:xfrm>
            <a:off x="1114" y="326"/>
            <a:ext cx="23" cy="1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sp>
      <xdr:sp macro="" textlink="">
        <xdr:nvSpPr>
          <xdr:cNvPr id="1209" name="Rectangle 185">
            <a:extLst>
              <a:ext uri="{FF2B5EF4-FFF2-40B4-BE49-F238E27FC236}">
                <a16:creationId xmlns:a16="http://schemas.microsoft.com/office/drawing/2014/main" id="{00000000-0008-0000-0000-0000B9040000}"/>
              </a:ext>
            </a:extLst>
          </xdr:cNvPr>
          <xdr:cNvSpPr>
            <a:spLocks noChangeArrowheads="1"/>
          </xdr:cNvSpPr>
        </xdr:nvSpPr>
        <xdr:spPr bwMode="auto">
          <a:xfrm>
            <a:off x="1390" y="306"/>
            <a:ext cx="1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it-IT" sz="6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</a:p>
        </xdr:txBody>
      </xdr:sp>
      <xdr:sp macro="" textlink="">
        <xdr:nvSpPr>
          <xdr:cNvPr id="1538" name="Rectangle 188">
            <a:extLst>
              <a:ext uri="{FF2B5EF4-FFF2-40B4-BE49-F238E27FC236}">
                <a16:creationId xmlns:a16="http://schemas.microsoft.com/office/drawing/2014/main" id="{00000000-0008-0000-0000-000002060000}"/>
              </a:ext>
            </a:extLst>
          </xdr:cNvPr>
          <xdr:cNvSpPr>
            <a:spLocks noChangeArrowheads="1"/>
          </xdr:cNvSpPr>
        </xdr:nvSpPr>
        <xdr:spPr bwMode="auto">
          <a:xfrm>
            <a:off x="1114" y="447"/>
            <a:ext cx="22" cy="1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sp>
      <xdr:sp macro="" textlink="">
        <xdr:nvSpPr>
          <xdr:cNvPr id="1214" name="Rectangle 190">
            <a:extLst>
              <a:ext uri="{FF2B5EF4-FFF2-40B4-BE49-F238E27FC236}">
                <a16:creationId xmlns:a16="http://schemas.microsoft.com/office/drawing/2014/main" id="{00000000-0008-0000-0000-0000BE040000}"/>
              </a:ext>
            </a:extLst>
          </xdr:cNvPr>
          <xdr:cNvSpPr>
            <a:spLocks noChangeArrowheads="1"/>
          </xdr:cNvSpPr>
        </xdr:nvSpPr>
        <xdr:spPr bwMode="auto">
          <a:xfrm>
            <a:off x="1390" y="439"/>
            <a:ext cx="1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it-IT" sz="6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</a:p>
        </xdr:txBody>
      </xdr:sp>
      <xdr:sp macro="" textlink="">
        <xdr:nvSpPr>
          <xdr:cNvPr id="1219" name="Rectangle 195">
            <a:extLst>
              <a:ext uri="{FF2B5EF4-FFF2-40B4-BE49-F238E27FC236}">
                <a16:creationId xmlns:a16="http://schemas.microsoft.com/office/drawing/2014/main" id="{00000000-0008-0000-0000-0000C3040000}"/>
              </a:ext>
            </a:extLst>
          </xdr:cNvPr>
          <xdr:cNvSpPr>
            <a:spLocks noChangeArrowheads="1"/>
          </xdr:cNvSpPr>
        </xdr:nvSpPr>
        <xdr:spPr bwMode="auto">
          <a:xfrm>
            <a:off x="1390" y="525"/>
            <a:ext cx="1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it-IT" sz="6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</a:p>
        </xdr:txBody>
      </xdr:sp>
      <xdr:sp macro="" textlink="">
        <xdr:nvSpPr>
          <xdr:cNvPr id="1293" name="Rectangle 269">
            <a:extLst>
              <a:ext uri="{FF2B5EF4-FFF2-40B4-BE49-F238E27FC236}">
                <a16:creationId xmlns:a16="http://schemas.microsoft.com/office/drawing/2014/main" id="{00000000-0008-0000-0000-00000D050000}"/>
              </a:ext>
            </a:extLst>
          </xdr:cNvPr>
          <xdr:cNvSpPr>
            <a:spLocks noChangeArrowheads="1"/>
          </xdr:cNvSpPr>
        </xdr:nvSpPr>
        <xdr:spPr bwMode="auto">
          <a:xfrm>
            <a:off x="1075" y="489"/>
            <a:ext cx="1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it-IT" sz="6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</a:p>
        </xdr:txBody>
      </xdr:sp>
      <xdr:sp macro="" textlink="">
        <xdr:nvSpPr>
          <xdr:cNvPr id="1297" name="Rectangle 273">
            <a:extLst>
              <a:ext uri="{FF2B5EF4-FFF2-40B4-BE49-F238E27FC236}">
                <a16:creationId xmlns:a16="http://schemas.microsoft.com/office/drawing/2014/main" id="{00000000-0008-0000-0000-000011050000}"/>
              </a:ext>
            </a:extLst>
          </xdr:cNvPr>
          <xdr:cNvSpPr>
            <a:spLocks noChangeArrowheads="1"/>
          </xdr:cNvSpPr>
        </xdr:nvSpPr>
        <xdr:spPr bwMode="auto">
          <a:xfrm>
            <a:off x="1390" y="248"/>
            <a:ext cx="1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it-IT" sz="6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</a:p>
        </xdr:txBody>
      </xdr:sp>
      <xdr:sp macro="" textlink="">
        <xdr:nvSpPr>
          <xdr:cNvPr id="1300" name="Rectangle 276">
            <a:extLst>
              <a:ext uri="{FF2B5EF4-FFF2-40B4-BE49-F238E27FC236}">
                <a16:creationId xmlns:a16="http://schemas.microsoft.com/office/drawing/2014/main" id="{00000000-0008-0000-0000-000014050000}"/>
              </a:ext>
            </a:extLst>
          </xdr:cNvPr>
          <xdr:cNvSpPr>
            <a:spLocks noChangeArrowheads="1"/>
          </xdr:cNvSpPr>
        </xdr:nvSpPr>
        <xdr:spPr bwMode="auto">
          <a:xfrm>
            <a:off x="872" y="306"/>
            <a:ext cx="1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it-IT" sz="6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</a:p>
        </xdr:txBody>
      </xdr:sp>
    </xdr:grpSp>
    <xdr:clientData/>
  </xdr:twoCellAnchor>
  <xdr:twoCellAnchor editAs="oneCell">
    <xdr:from>
      <xdr:col>7</xdr:col>
      <xdr:colOff>407089</xdr:colOff>
      <xdr:row>14</xdr:row>
      <xdr:rowOff>182217</xdr:rowOff>
    </xdr:from>
    <xdr:to>
      <xdr:col>11</xdr:col>
      <xdr:colOff>816665</xdr:colOff>
      <xdr:row>21</xdr:row>
      <xdr:rowOff>134592</xdr:rowOff>
    </xdr:to>
    <xdr:pic>
      <xdr:nvPicPr>
        <xdr:cNvPr id="1530" name="Immagine 129" descr="STLperListinoModeL.jpg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10632" y="1656521"/>
          <a:ext cx="2712141" cy="18905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222802</xdr:colOff>
      <xdr:row>31</xdr:row>
      <xdr:rowOff>149087</xdr:rowOff>
    </xdr:from>
    <xdr:to>
      <xdr:col>7</xdr:col>
      <xdr:colOff>619301</xdr:colOff>
      <xdr:row>54</xdr:row>
      <xdr:rowOff>85311</xdr:rowOff>
    </xdr:to>
    <xdr:pic>
      <xdr:nvPicPr>
        <xdr:cNvPr id="1531" name="Immagine 130" descr="STLQUOTE.jpg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4215" y="5632174"/>
          <a:ext cx="3916608" cy="44171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35</xdr:row>
          <xdr:rowOff>38100</xdr:rowOff>
        </xdr:from>
        <xdr:to>
          <xdr:col>24</xdr:col>
          <xdr:colOff>0</xdr:colOff>
          <xdr:row>54</xdr:row>
          <xdr:rowOff>28575</xdr:rowOff>
        </xdr:to>
        <xdr:sp macro="" textlink="">
          <xdr:nvSpPr>
            <xdr:cNvPr id="1054" name="Immagine 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35</xdr:row>
          <xdr:rowOff>38100</xdr:rowOff>
        </xdr:from>
        <xdr:to>
          <xdr:col>24</xdr:col>
          <xdr:colOff>0</xdr:colOff>
          <xdr:row>54</xdr:row>
          <xdr:rowOff>28575</xdr:rowOff>
        </xdr:to>
        <xdr:sp macro="" textlink="">
          <xdr:nvSpPr>
            <xdr:cNvPr id="1056" name="Object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8</xdr:row>
          <xdr:rowOff>47625</xdr:rowOff>
        </xdr:from>
        <xdr:to>
          <xdr:col>3</xdr:col>
          <xdr:colOff>352425</xdr:colOff>
          <xdr:row>12</xdr:row>
          <xdr:rowOff>152400</xdr:rowOff>
        </xdr:to>
        <xdr:sp macro="" textlink="">
          <xdr:nvSpPr>
            <xdr:cNvPr id="1084" name="Object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66675</xdr:rowOff>
        </xdr:from>
        <xdr:to>
          <xdr:col>2</xdr:col>
          <xdr:colOff>409575</xdr:colOff>
          <xdr:row>3</xdr:row>
          <xdr:rowOff>133350</xdr:rowOff>
        </xdr:to>
        <xdr:sp macro="" textlink="">
          <xdr:nvSpPr>
            <xdr:cNvPr id="4097" name="Immagine 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47625</xdr:rowOff>
        </xdr:from>
        <xdr:to>
          <xdr:col>14</xdr:col>
          <xdr:colOff>0</xdr:colOff>
          <xdr:row>31</xdr:row>
          <xdr:rowOff>38100</xdr:rowOff>
        </xdr:to>
        <xdr:sp macro="" textlink="">
          <xdr:nvSpPr>
            <xdr:cNvPr id="4098" name="Immagine 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47625</xdr:rowOff>
        </xdr:from>
        <xdr:to>
          <xdr:col>14</xdr:col>
          <xdr:colOff>0</xdr:colOff>
          <xdr:row>31</xdr:row>
          <xdr:rowOff>38100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10</xdr:row>
          <xdr:rowOff>152400</xdr:rowOff>
        </xdr:from>
        <xdr:to>
          <xdr:col>7</xdr:col>
          <xdr:colOff>723900</xdr:colOff>
          <xdr:row>31</xdr:row>
          <xdr:rowOff>28575</xdr:rowOff>
        </xdr:to>
        <xdr:sp macro="" textlink="">
          <xdr:nvSpPr>
            <xdr:cNvPr id="4100" name="Object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685800</xdr:colOff>
          <xdr:row>5</xdr:row>
          <xdr:rowOff>47625</xdr:rowOff>
        </xdr:from>
        <xdr:to>
          <xdr:col>19</xdr:col>
          <xdr:colOff>1457325</xdr:colOff>
          <xdr:row>23</xdr:row>
          <xdr:rowOff>38100</xdr:rowOff>
        </xdr:to>
        <xdr:sp macro="" textlink="">
          <xdr:nvSpPr>
            <xdr:cNvPr id="3073" name="Immagine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76200</xdr:rowOff>
        </xdr:from>
        <xdr:to>
          <xdr:col>2</xdr:col>
          <xdr:colOff>409575</xdr:colOff>
          <xdr:row>3</xdr:row>
          <xdr:rowOff>228600</xdr:rowOff>
        </xdr:to>
        <xdr:sp macro="" textlink="">
          <xdr:nvSpPr>
            <xdr:cNvPr id="5121" name="Immagine 2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13</xdr:col>
          <xdr:colOff>0</xdr:colOff>
          <xdr:row>28</xdr:row>
          <xdr:rowOff>38100</xdr:rowOff>
        </xdr:to>
        <xdr:sp macro="" textlink="">
          <xdr:nvSpPr>
            <xdr:cNvPr id="5122" name="Immagine 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13</xdr:col>
          <xdr:colOff>0</xdr:colOff>
          <xdr:row>28</xdr:row>
          <xdr:rowOff>38100</xdr:rowOff>
        </xdr:to>
        <xdr:sp macro="" textlink="">
          <xdr:nvSpPr>
            <xdr:cNvPr id="5123" name="Object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8</xdr:row>
          <xdr:rowOff>28575</xdr:rowOff>
        </xdr:from>
        <xdr:to>
          <xdr:col>7</xdr:col>
          <xdr:colOff>723900</xdr:colOff>
          <xdr:row>28</xdr:row>
          <xdr:rowOff>28575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18</xdr:row>
      <xdr:rowOff>9525</xdr:rowOff>
    </xdr:from>
    <xdr:to>
      <xdr:col>6</xdr:col>
      <xdr:colOff>428708</xdr:colOff>
      <xdr:row>24</xdr:row>
      <xdr:rowOff>19050</xdr:rowOff>
    </xdr:to>
    <xdr:sp macro="" textlink="">
      <xdr:nvSpPr>
        <xdr:cNvPr id="2" name="Text Box 1677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190500" y="3800475"/>
          <a:ext cx="4495800" cy="1066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it-IT" sz="1600" b="1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it-IT" sz="1800" b="1" i="0" u="sng" strike="noStrike">
              <a:solidFill>
                <a:srgbClr val="000000"/>
              </a:solidFill>
              <a:latin typeface="Arial"/>
              <a:cs typeface="Arial"/>
            </a:rPr>
            <a:t>SVILUPPO DELL'OTTAVO DEL SILOS</a:t>
          </a:r>
        </a:p>
      </xdr:txBody>
    </xdr:sp>
    <xdr:clientData/>
  </xdr:twoCellAnchor>
  <xdr:twoCellAnchor editAs="absolute">
    <xdr:from>
      <xdr:col>10</xdr:col>
      <xdr:colOff>342900</xdr:colOff>
      <xdr:row>4</xdr:row>
      <xdr:rowOff>114300</xdr:rowOff>
    </xdr:from>
    <xdr:to>
      <xdr:col>10</xdr:col>
      <xdr:colOff>352425</xdr:colOff>
      <xdr:row>4</xdr:row>
      <xdr:rowOff>133350</xdr:rowOff>
    </xdr:to>
    <xdr:sp macro="" textlink="">
      <xdr:nvSpPr>
        <xdr:cNvPr id="13604" name="Freeform 1187">
          <a:extLst>
            <a:ext uri="{FF2B5EF4-FFF2-40B4-BE49-F238E27FC236}">
              <a16:creationId xmlns:a16="http://schemas.microsoft.com/office/drawing/2014/main" id="{00000000-0008-0000-0700-000024350000}"/>
            </a:ext>
          </a:extLst>
        </xdr:cNvPr>
        <xdr:cNvSpPr>
          <a:spLocks/>
        </xdr:cNvSpPr>
      </xdr:nvSpPr>
      <xdr:spPr bwMode="auto">
        <a:xfrm>
          <a:off x="6915150" y="857250"/>
          <a:ext cx="9525" cy="19050"/>
        </a:xfrm>
        <a:custGeom>
          <a:avLst/>
          <a:gdLst>
            <a:gd name="T0" fmla="*/ 0 w 51"/>
            <a:gd name="T1" fmla="*/ 0 h 54"/>
            <a:gd name="T2" fmla="*/ 0 w 51"/>
            <a:gd name="T3" fmla="*/ 0 h 54"/>
            <a:gd name="T4" fmla="*/ 0 w 51"/>
            <a:gd name="T5" fmla="*/ 0 h 54"/>
            <a:gd name="T6" fmla="*/ 0 w 51"/>
            <a:gd name="T7" fmla="*/ 0 h 54"/>
            <a:gd name="T8" fmla="*/ 0 w 51"/>
            <a:gd name="T9" fmla="*/ 0 h 54"/>
            <a:gd name="T10" fmla="*/ 0 w 51"/>
            <a:gd name="T11" fmla="*/ 0 h 54"/>
            <a:gd name="T12" fmla="*/ 0 w 51"/>
            <a:gd name="T13" fmla="*/ 0 h 54"/>
            <a:gd name="T14" fmla="*/ 0 w 51"/>
            <a:gd name="T15" fmla="*/ 0 h 54"/>
            <a:gd name="T16" fmla="*/ 0 w 51"/>
            <a:gd name="T17" fmla="*/ 0 h 54"/>
            <a:gd name="T18" fmla="*/ 0 w 51"/>
            <a:gd name="T19" fmla="*/ 0 h 54"/>
            <a:gd name="T20" fmla="*/ 0 w 51"/>
            <a:gd name="T21" fmla="*/ 0 h 54"/>
            <a:gd name="T22" fmla="*/ 0 w 51"/>
            <a:gd name="T23" fmla="*/ 0 h 54"/>
            <a:gd name="T24" fmla="*/ 0 w 51"/>
            <a:gd name="T25" fmla="*/ 0 h 54"/>
            <a:gd name="T26" fmla="*/ 0 w 51"/>
            <a:gd name="T27" fmla="*/ 0 h 54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1"/>
            <a:gd name="T43" fmla="*/ 0 h 54"/>
            <a:gd name="T44" fmla="*/ 51 w 51"/>
            <a:gd name="T45" fmla="*/ 54 h 54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1" h="54">
              <a:moveTo>
                <a:pt x="31" y="23"/>
              </a:moveTo>
              <a:lnTo>
                <a:pt x="51" y="46"/>
              </a:lnTo>
              <a:lnTo>
                <a:pt x="43" y="52"/>
              </a:lnTo>
              <a:lnTo>
                <a:pt x="35" y="54"/>
              </a:lnTo>
              <a:lnTo>
                <a:pt x="27" y="54"/>
              </a:lnTo>
              <a:lnTo>
                <a:pt x="18" y="52"/>
              </a:lnTo>
              <a:lnTo>
                <a:pt x="11" y="46"/>
              </a:lnTo>
              <a:lnTo>
                <a:pt x="4" y="40"/>
              </a:lnTo>
              <a:lnTo>
                <a:pt x="1" y="32"/>
              </a:lnTo>
              <a:lnTo>
                <a:pt x="0" y="23"/>
              </a:lnTo>
              <a:lnTo>
                <a:pt x="1" y="15"/>
              </a:lnTo>
              <a:lnTo>
                <a:pt x="4" y="6"/>
              </a:lnTo>
              <a:lnTo>
                <a:pt x="11" y="0"/>
              </a:lnTo>
              <a:lnTo>
                <a:pt x="31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342900</xdr:colOff>
      <xdr:row>4</xdr:row>
      <xdr:rowOff>114300</xdr:rowOff>
    </xdr:from>
    <xdr:to>
      <xdr:col>10</xdr:col>
      <xdr:colOff>352425</xdr:colOff>
      <xdr:row>4</xdr:row>
      <xdr:rowOff>133350</xdr:rowOff>
    </xdr:to>
    <xdr:sp macro="" textlink="">
      <xdr:nvSpPr>
        <xdr:cNvPr id="13605" name="Freeform 1188">
          <a:extLst>
            <a:ext uri="{FF2B5EF4-FFF2-40B4-BE49-F238E27FC236}">
              <a16:creationId xmlns:a16="http://schemas.microsoft.com/office/drawing/2014/main" id="{00000000-0008-0000-0700-000025350000}"/>
            </a:ext>
          </a:extLst>
        </xdr:cNvPr>
        <xdr:cNvSpPr>
          <a:spLocks/>
        </xdr:cNvSpPr>
      </xdr:nvSpPr>
      <xdr:spPr bwMode="auto">
        <a:xfrm>
          <a:off x="6915150" y="857250"/>
          <a:ext cx="9525" cy="19050"/>
        </a:xfrm>
        <a:custGeom>
          <a:avLst/>
          <a:gdLst>
            <a:gd name="T0" fmla="*/ 0 w 51"/>
            <a:gd name="T1" fmla="*/ 0 h 54"/>
            <a:gd name="T2" fmla="*/ 0 w 51"/>
            <a:gd name="T3" fmla="*/ 0 h 54"/>
            <a:gd name="T4" fmla="*/ 0 w 51"/>
            <a:gd name="T5" fmla="*/ 0 h 54"/>
            <a:gd name="T6" fmla="*/ 0 w 51"/>
            <a:gd name="T7" fmla="*/ 0 h 54"/>
            <a:gd name="T8" fmla="*/ 0 w 51"/>
            <a:gd name="T9" fmla="*/ 0 h 54"/>
            <a:gd name="T10" fmla="*/ 0 w 51"/>
            <a:gd name="T11" fmla="*/ 0 h 54"/>
            <a:gd name="T12" fmla="*/ 0 w 51"/>
            <a:gd name="T13" fmla="*/ 0 h 54"/>
            <a:gd name="T14" fmla="*/ 0 w 51"/>
            <a:gd name="T15" fmla="*/ 0 h 54"/>
            <a:gd name="T16" fmla="*/ 0 w 51"/>
            <a:gd name="T17" fmla="*/ 0 h 54"/>
            <a:gd name="T18" fmla="*/ 0 w 51"/>
            <a:gd name="T19" fmla="*/ 0 h 54"/>
            <a:gd name="T20" fmla="*/ 0 w 51"/>
            <a:gd name="T21" fmla="*/ 0 h 54"/>
            <a:gd name="T22" fmla="*/ 0 w 51"/>
            <a:gd name="T23" fmla="*/ 0 h 5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1"/>
            <a:gd name="T37" fmla="*/ 0 h 54"/>
            <a:gd name="T38" fmla="*/ 51 w 51"/>
            <a:gd name="T39" fmla="*/ 54 h 5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1" h="54">
              <a:moveTo>
                <a:pt x="51" y="46"/>
              </a:moveTo>
              <a:lnTo>
                <a:pt x="43" y="52"/>
              </a:lnTo>
              <a:lnTo>
                <a:pt x="35" y="54"/>
              </a:lnTo>
              <a:lnTo>
                <a:pt x="27" y="54"/>
              </a:lnTo>
              <a:lnTo>
                <a:pt x="18" y="52"/>
              </a:lnTo>
              <a:lnTo>
                <a:pt x="11" y="46"/>
              </a:lnTo>
              <a:lnTo>
                <a:pt x="4" y="40"/>
              </a:lnTo>
              <a:lnTo>
                <a:pt x="1" y="32"/>
              </a:lnTo>
              <a:lnTo>
                <a:pt x="0" y="23"/>
              </a:lnTo>
              <a:lnTo>
                <a:pt x="1" y="15"/>
              </a:lnTo>
              <a:lnTo>
                <a:pt x="4" y="6"/>
              </a:lnTo>
              <a:lnTo>
                <a:pt x="1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352425</xdr:colOff>
      <xdr:row>1</xdr:row>
      <xdr:rowOff>95250</xdr:rowOff>
    </xdr:from>
    <xdr:to>
      <xdr:col>11</xdr:col>
      <xdr:colOff>371475</xdr:colOff>
      <xdr:row>4</xdr:row>
      <xdr:rowOff>123825</xdr:rowOff>
    </xdr:to>
    <xdr:sp macro="" textlink="">
      <xdr:nvSpPr>
        <xdr:cNvPr id="13606" name="Freeform 1189">
          <a:extLst>
            <a:ext uri="{FF2B5EF4-FFF2-40B4-BE49-F238E27FC236}">
              <a16:creationId xmlns:a16="http://schemas.microsoft.com/office/drawing/2014/main" id="{00000000-0008-0000-0700-000026350000}"/>
            </a:ext>
          </a:extLst>
        </xdr:cNvPr>
        <xdr:cNvSpPr>
          <a:spLocks/>
        </xdr:cNvSpPr>
      </xdr:nvSpPr>
      <xdr:spPr bwMode="auto">
        <a:xfrm>
          <a:off x="6924675" y="257175"/>
          <a:ext cx="552450" cy="609600"/>
        </a:xfrm>
        <a:custGeom>
          <a:avLst/>
          <a:gdLst>
            <a:gd name="T0" fmla="*/ 0 w 2870"/>
            <a:gd name="T1" fmla="*/ 2147483647 h 2496"/>
            <a:gd name="T2" fmla="*/ 0 w 2870"/>
            <a:gd name="T3" fmla="*/ 2147483647 h 2496"/>
            <a:gd name="T4" fmla="*/ 0 w 2870"/>
            <a:gd name="T5" fmla="*/ 2147483647 h 2496"/>
            <a:gd name="T6" fmla="*/ 2147483647 w 2870"/>
            <a:gd name="T7" fmla="*/ 0 h 2496"/>
            <a:gd name="T8" fmla="*/ 2147483647 w 2870"/>
            <a:gd name="T9" fmla="*/ 0 h 2496"/>
            <a:gd name="T10" fmla="*/ 2147483647 w 2870"/>
            <a:gd name="T11" fmla="*/ 0 h 2496"/>
            <a:gd name="T12" fmla="*/ 0 w 2870"/>
            <a:gd name="T13" fmla="*/ 2147483647 h 249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870"/>
            <a:gd name="T22" fmla="*/ 0 h 2496"/>
            <a:gd name="T23" fmla="*/ 2870 w 2870"/>
            <a:gd name="T24" fmla="*/ 2496 h 249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870" h="2496">
              <a:moveTo>
                <a:pt x="0" y="2450"/>
              </a:moveTo>
              <a:lnTo>
                <a:pt x="20" y="2473"/>
              </a:lnTo>
              <a:lnTo>
                <a:pt x="40" y="2496"/>
              </a:lnTo>
              <a:lnTo>
                <a:pt x="2870" y="47"/>
              </a:lnTo>
              <a:lnTo>
                <a:pt x="2851" y="24"/>
              </a:lnTo>
              <a:lnTo>
                <a:pt x="2831" y="0"/>
              </a:lnTo>
              <a:lnTo>
                <a:pt x="0" y="245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352425</xdr:colOff>
      <xdr:row>1</xdr:row>
      <xdr:rowOff>95250</xdr:rowOff>
    </xdr:from>
    <xdr:to>
      <xdr:col>11</xdr:col>
      <xdr:colOff>371475</xdr:colOff>
      <xdr:row>4</xdr:row>
      <xdr:rowOff>123825</xdr:rowOff>
    </xdr:to>
    <xdr:sp macro="" textlink="">
      <xdr:nvSpPr>
        <xdr:cNvPr id="13607" name="Freeform 1190">
          <a:extLst>
            <a:ext uri="{FF2B5EF4-FFF2-40B4-BE49-F238E27FC236}">
              <a16:creationId xmlns:a16="http://schemas.microsoft.com/office/drawing/2014/main" id="{00000000-0008-0000-0700-000027350000}"/>
            </a:ext>
          </a:extLst>
        </xdr:cNvPr>
        <xdr:cNvSpPr>
          <a:spLocks/>
        </xdr:cNvSpPr>
      </xdr:nvSpPr>
      <xdr:spPr bwMode="auto">
        <a:xfrm>
          <a:off x="6924675" y="257175"/>
          <a:ext cx="552450" cy="609600"/>
        </a:xfrm>
        <a:custGeom>
          <a:avLst/>
          <a:gdLst>
            <a:gd name="T0" fmla="*/ 0 w 2870"/>
            <a:gd name="T1" fmla="*/ 2147483647 h 2496"/>
            <a:gd name="T2" fmla="*/ 0 w 2870"/>
            <a:gd name="T3" fmla="*/ 2147483647 h 2496"/>
            <a:gd name="T4" fmla="*/ 0 w 2870"/>
            <a:gd name="T5" fmla="*/ 2147483647 h 2496"/>
            <a:gd name="T6" fmla="*/ 2147483647 w 2870"/>
            <a:gd name="T7" fmla="*/ 0 h 2496"/>
            <a:gd name="T8" fmla="*/ 2147483647 w 2870"/>
            <a:gd name="T9" fmla="*/ 0 h 2496"/>
            <a:gd name="T10" fmla="*/ 2147483647 w 2870"/>
            <a:gd name="T11" fmla="*/ 0 h 2496"/>
            <a:gd name="T12" fmla="*/ 0 w 2870"/>
            <a:gd name="T13" fmla="*/ 2147483647 h 249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870"/>
            <a:gd name="T22" fmla="*/ 0 h 2496"/>
            <a:gd name="T23" fmla="*/ 2870 w 2870"/>
            <a:gd name="T24" fmla="*/ 2496 h 249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870" h="2496">
              <a:moveTo>
                <a:pt x="0" y="2450"/>
              </a:moveTo>
              <a:lnTo>
                <a:pt x="20" y="2473"/>
              </a:lnTo>
              <a:lnTo>
                <a:pt x="40" y="2496"/>
              </a:lnTo>
              <a:lnTo>
                <a:pt x="2870" y="47"/>
              </a:lnTo>
              <a:lnTo>
                <a:pt x="2851" y="24"/>
              </a:lnTo>
              <a:lnTo>
                <a:pt x="2831" y="0"/>
              </a:lnTo>
              <a:lnTo>
                <a:pt x="0" y="245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1</xdr:row>
      <xdr:rowOff>95250</xdr:rowOff>
    </xdr:from>
    <xdr:to>
      <xdr:col>11</xdr:col>
      <xdr:colOff>381000</xdr:colOff>
      <xdr:row>1</xdr:row>
      <xdr:rowOff>114300</xdr:rowOff>
    </xdr:to>
    <xdr:sp macro="" textlink="">
      <xdr:nvSpPr>
        <xdr:cNvPr id="13608" name="Freeform 1191">
          <a:extLst>
            <a:ext uri="{FF2B5EF4-FFF2-40B4-BE49-F238E27FC236}">
              <a16:creationId xmlns:a16="http://schemas.microsoft.com/office/drawing/2014/main" id="{00000000-0008-0000-0700-000028350000}"/>
            </a:ext>
          </a:extLst>
        </xdr:cNvPr>
        <xdr:cNvSpPr>
          <a:spLocks/>
        </xdr:cNvSpPr>
      </xdr:nvSpPr>
      <xdr:spPr bwMode="auto">
        <a:xfrm>
          <a:off x="7477125" y="257175"/>
          <a:ext cx="9525" cy="19050"/>
        </a:xfrm>
        <a:custGeom>
          <a:avLst/>
          <a:gdLst>
            <a:gd name="T0" fmla="*/ 0 w 51"/>
            <a:gd name="T1" fmla="*/ 0 h 54"/>
            <a:gd name="T2" fmla="*/ 0 w 51"/>
            <a:gd name="T3" fmla="*/ 0 h 54"/>
            <a:gd name="T4" fmla="*/ 0 w 51"/>
            <a:gd name="T5" fmla="*/ 0 h 54"/>
            <a:gd name="T6" fmla="*/ 0 w 51"/>
            <a:gd name="T7" fmla="*/ 0 h 54"/>
            <a:gd name="T8" fmla="*/ 0 w 51"/>
            <a:gd name="T9" fmla="*/ 0 h 54"/>
            <a:gd name="T10" fmla="*/ 0 w 51"/>
            <a:gd name="T11" fmla="*/ 0 h 54"/>
            <a:gd name="T12" fmla="*/ 0 w 51"/>
            <a:gd name="T13" fmla="*/ 0 h 54"/>
            <a:gd name="T14" fmla="*/ 0 w 51"/>
            <a:gd name="T15" fmla="*/ 0 h 54"/>
            <a:gd name="T16" fmla="*/ 0 w 51"/>
            <a:gd name="T17" fmla="*/ 0 h 54"/>
            <a:gd name="T18" fmla="*/ 0 w 51"/>
            <a:gd name="T19" fmla="*/ 0 h 54"/>
            <a:gd name="T20" fmla="*/ 0 w 51"/>
            <a:gd name="T21" fmla="*/ 0 h 54"/>
            <a:gd name="T22" fmla="*/ 0 w 51"/>
            <a:gd name="T23" fmla="*/ 0 h 54"/>
            <a:gd name="T24" fmla="*/ 0 w 51"/>
            <a:gd name="T25" fmla="*/ 0 h 54"/>
            <a:gd name="T26" fmla="*/ 0 w 51"/>
            <a:gd name="T27" fmla="*/ 0 h 54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1"/>
            <a:gd name="T43" fmla="*/ 0 h 54"/>
            <a:gd name="T44" fmla="*/ 51 w 51"/>
            <a:gd name="T45" fmla="*/ 54 h 54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1" h="54">
              <a:moveTo>
                <a:pt x="20" y="31"/>
              </a:moveTo>
              <a:lnTo>
                <a:pt x="0" y="7"/>
              </a:lnTo>
              <a:lnTo>
                <a:pt x="7" y="2"/>
              </a:lnTo>
              <a:lnTo>
                <a:pt x="15" y="0"/>
              </a:lnTo>
              <a:lnTo>
                <a:pt x="24" y="0"/>
              </a:lnTo>
              <a:lnTo>
                <a:pt x="32" y="2"/>
              </a:lnTo>
              <a:lnTo>
                <a:pt x="39" y="7"/>
              </a:lnTo>
              <a:lnTo>
                <a:pt x="46" y="14"/>
              </a:lnTo>
              <a:lnTo>
                <a:pt x="49" y="22"/>
              </a:lnTo>
              <a:lnTo>
                <a:pt x="51" y="31"/>
              </a:lnTo>
              <a:lnTo>
                <a:pt x="49" y="39"/>
              </a:lnTo>
              <a:lnTo>
                <a:pt x="46" y="47"/>
              </a:lnTo>
              <a:lnTo>
                <a:pt x="39" y="54"/>
              </a:lnTo>
              <a:lnTo>
                <a:pt x="20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1</xdr:row>
      <xdr:rowOff>95250</xdr:rowOff>
    </xdr:from>
    <xdr:to>
      <xdr:col>11</xdr:col>
      <xdr:colOff>381000</xdr:colOff>
      <xdr:row>1</xdr:row>
      <xdr:rowOff>114300</xdr:rowOff>
    </xdr:to>
    <xdr:sp macro="" textlink="">
      <xdr:nvSpPr>
        <xdr:cNvPr id="13609" name="Freeform 1192">
          <a:extLst>
            <a:ext uri="{FF2B5EF4-FFF2-40B4-BE49-F238E27FC236}">
              <a16:creationId xmlns:a16="http://schemas.microsoft.com/office/drawing/2014/main" id="{00000000-0008-0000-0700-000029350000}"/>
            </a:ext>
          </a:extLst>
        </xdr:cNvPr>
        <xdr:cNvSpPr>
          <a:spLocks/>
        </xdr:cNvSpPr>
      </xdr:nvSpPr>
      <xdr:spPr bwMode="auto">
        <a:xfrm>
          <a:off x="7477125" y="257175"/>
          <a:ext cx="9525" cy="19050"/>
        </a:xfrm>
        <a:custGeom>
          <a:avLst/>
          <a:gdLst>
            <a:gd name="T0" fmla="*/ 0 w 51"/>
            <a:gd name="T1" fmla="*/ 0 h 54"/>
            <a:gd name="T2" fmla="*/ 0 w 51"/>
            <a:gd name="T3" fmla="*/ 0 h 54"/>
            <a:gd name="T4" fmla="*/ 0 w 51"/>
            <a:gd name="T5" fmla="*/ 0 h 54"/>
            <a:gd name="T6" fmla="*/ 0 w 51"/>
            <a:gd name="T7" fmla="*/ 0 h 54"/>
            <a:gd name="T8" fmla="*/ 0 w 51"/>
            <a:gd name="T9" fmla="*/ 0 h 54"/>
            <a:gd name="T10" fmla="*/ 0 w 51"/>
            <a:gd name="T11" fmla="*/ 0 h 54"/>
            <a:gd name="T12" fmla="*/ 0 w 51"/>
            <a:gd name="T13" fmla="*/ 0 h 54"/>
            <a:gd name="T14" fmla="*/ 0 w 51"/>
            <a:gd name="T15" fmla="*/ 0 h 54"/>
            <a:gd name="T16" fmla="*/ 0 w 51"/>
            <a:gd name="T17" fmla="*/ 0 h 54"/>
            <a:gd name="T18" fmla="*/ 0 w 51"/>
            <a:gd name="T19" fmla="*/ 0 h 54"/>
            <a:gd name="T20" fmla="*/ 0 w 51"/>
            <a:gd name="T21" fmla="*/ 0 h 54"/>
            <a:gd name="T22" fmla="*/ 0 w 51"/>
            <a:gd name="T23" fmla="*/ 0 h 5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1"/>
            <a:gd name="T37" fmla="*/ 0 h 54"/>
            <a:gd name="T38" fmla="*/ 51 w 51"/>
            <a:gd name="T39" fmla="*/ 54 h 5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1" h="54">
              <a:moveTo>
                <a:pt x="0" y="7"/>
              </a:moveTo>
              <a:lnTo>
                <a:pt x="7" y="2"/>
              </a:lnTo>
              <a:lnTo>
                <a:pt x="15" y="0"/>
              </a:lnTo>
              <a:lnTo>
                <a:pt x="24" y="0"/>
              </a:lnTo>
              <a:lnTo>
                <a:pt x="32" y="2"/>
              </a:lnTo>
              <a:lnTo>
                <a:pt x="39" y="7"/>
              </a:lnTo>
              <a:lnTo>
                <a:pt x="46" y="14"/>
              </a:lnTo>
              <a:lnTo>
                <a:pt x="49" y="22"/>
              </a:lnTo>
              <a:lnTo>
                <a:pt x="51" y="31"/>
              </a:lnTo>
              <a:lnTo>
                <a:pt x="49" y="39"/>
              </a:lnTo>
              <a:lnTo>
                <a:pt x="46" y="47"/>
              </a:lnTo>
              <a:lnTo>
                <a:pt x="39" y="5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342900</xdr:colOff>
      <xdr:row>4</xdr:row>
      <xdr:rowOff>114300</xdr:rowOff>
    </xdr:from>
    <xdr:to>
      <xdr:col>10</xdr:col>
      <xdr:colOff>352425</xdr:colOff>
      <xdr:row>4</xdr:row>
      <xdr:rowOff>133350</xdr:rowOff>
    </xdr:to>
    <xdr:sp macro="" textlink="">
      <xdr:nvSpPr>
        <xdr:cNvPr id="13610" name="Freeform 1193">
          <a:extLst>
            <a:ext uri="{FF2B5EF4-FFF2-40B4-BE49-F238E27FC236}">
              <a16:creationId xmlns:a16="http://schemas.microsoft.com/office/drawing/2014/main" id="{00000000-0008-0000-0700-00002A350000}"/>
            </a:ext>
          </a:extLst>
        </xdr:cNvPr>
        <xdr:cNvSpPr>
          <a:spLocks/>
        </xdr:cNvSpPr>
      </xdr:nvSpPr>
      <xdr:spPr bwMode="auto">
        <a:xfrm>
          <a:off x="6915150" y="857250"/>
          <a:ext cx="9525" cy="19050"/>
        </a:xfrm>
        <a:custGeom>
          <a:avLst/>
          <a:gdLst>
            <a:gd name="T0" fmla="*/ 0 w 31"/>
            <a:gd name="T1" fmla="*/ 0 h 62"/>
            <a:gd name="T2" fmla="*/ 0 w 31"/>
            <a:gd name="T3" fmla="*/ 0 h 62"/>
            <a:gd name="T4" fmla="*/ 0 w 31"/>
            <a:gd name="T5" fmla="*/ 0 h 62"/>
            <a:gd name="T6" fmla="*/ 0 w 31"/>
            <a:gd name="T7" fmla="*/ 0 h 62"/>
            <a:gd name="T8" fmla="*/ 0 w 31"/>
            <a:gd name="T9" fmla="*/ 0 h 62"/>
            <a:gd name="T10" fmla="*/ 0 w 31"/>
            <a:gd name="T11" fmla="*/ 0 h 62"/>
            <a:gd name="T12" fmla="*/ 0 w 31"/>
            <a:gd name="T13" fmla="*/ 0 h 62"/>
            <a:gd name="T14" fmla="*/ 0 w 31"/>
            <a:gd name="T15" fmla="*/ 0 h 62"/>
            <a:gd name="T16" fmla="*/ 0 w 31"/>
            <a:gd name="T17" fmla="*/ 0 h 62"/>
            <a:gd name="T18" fmla="*/ 0 w 31"/>
            <a:gd name="T19" fmla="*/ 0 h 62"/>
            <a:gd name="T20" fmla="*/ 0 w 31"/>
            <a:gd name="T21" fmla="*/ 0 h 62"/>
            <a:gd name="T22" fmla="*/ 0 w 31"/>
            <a:gd name="T23" fmla="*/ 0 h 62"/>
            <a:gd name="T24" fmla="*/ 0 w 31"/>
            <a:gd name="T25" fmla="*/ 0 h 62"/>
            <a:gd name="T26" fmla="*/ 0 w 31"/>
            <a:gd name="T27" fmla="*/ 0 h 6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1"/>
            <a:gd name="T43" fmla="*/ 0 h 62"/>
            <a:gd name="T44" fmla="*/ 31 w 31"/>
            <a:gd name="T45" fmla="*/ 62 h 6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1" h="62">
              <a:moveTo>
                <a:pt x="31" y="31"/>
              </a:moveTo>
              <a:lnTo>
                <a:pt x="31" y="62"/>
              </a:lnTo>
              <a:lnTo>
                <a:pt x="22" y="61"/>
              </a:lnTo>
              <a:lnTo>
                <a:pt x="14" y="57"/>
              </a:lnTo>
              <a:lnTo>
                <a:pt x="8" y="51"/>
              </a:lnTo>
              <a:lnTo>
                <a:pt x="2" y="44"/>
              </a:lnTo>
              <a:lnTo>
                <a:pt x="0" y="35"/>
              </a:lnTo>
              <a:lnTo>
                <a:pt x="0" y="27"/>
              </a:lnTo>
              <a:lnTo>
                <a:pt x="2" y="19"/>
              </a:lnTo>
              <a:lnTo>
                <a:pt x="8" y="11"/>
              </a:lnTo>
              <a:lnTo>
                <a:pt x="14" y="5"/>
              </a:lnTo>
              <a:lnTo>
                <a:pt x="22" y="2"/>
              </a:lnTo>
              <a:lnTo>
                <a:pt x="31" y="0"/>
              </a:lnTo>
              <a:lnTo>
                <a:pt x="31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342900</xdr:colOff>
      <xdr:row>4</xdr:row>
      <xdr:rowOff>114300</xdr:rowOff>
    </xdr:from>
    <xdr:to>
      <xdr:col>10</xdr:col>
      <xdr:colOff>352425</xdr:colOff>
      <xdr:row>4</xdr:row>
      <xdr:rowOff>133350</xdr:rowOff>
    </xdr:to>
    <xdr:sp macro="" textlink="">
      <xdr:nvSpPr>
        <xdr:cNvPr id="13611" name="Freeform 1194">
          <a:extLst>
            <a:ext uri="{FF2B5EF4-FFF2-40B4-BE49-F238E27FC236}">
              <a16:creationId xmlns:a16="http://schemas.microsoft.com/office/drawing/2014/main" id="{00000000-0008-0000-0700-00002B350000}"/>
            </a:ext>
          </a:extLst>
        </xdr:cNvPr>
        <xdr:cNvSpPr>
          <a:spLocks/>
        </xdr:cNvSpPr>
      </xdr:nvSpPr>
      <xdr:spPr bwMode="auto">
        <a:xfrm>
          <a:off x="6915150" y="857250"/>
          <a:ext cx="9525" cy="19050"/>
        </a:xfrm>
        <a:custGeom>
          <a:avLst/>
          <a:gdLst>
            <a:gd name="T0" fmla="*/ 0 w 31"/>
            <a:gd name="T1" fmla="*/ 0 h 62"/>
            <a:gd name="T2" fmla="*/ 0 w 31"/>
            <a:gd name="T3" fmla="*/ 0 h 62"/>
            <a:gd name="T4" fmla="*/ 0 w 31"/>
            <a:gd name="T5" fmla="*/ 0 h 62"/>
            <a:gd name="T6" fmla="*/ 0 w 31"/>
            <a:gd name="T7" fmla="*/ 0 h 62"/>
            <a:gd name="T8" fmla="*/ 0 w 31"/>
            <a:gd name="T9" fmla="*/ 0 h 62"/>
            <a:gd name="T10" fmla="*/ 0 w 31"/>
            <a:gd name="T11" fmla="*/ 0 h 62"/>
            <a:gd name="T12" fmla="*/ 0 w 31"/>
            <a:gd name="T13" fmla="*/ 0 h 62"/>
            <a:gd name="T14" fmla="*/ 0 w 31"/>
            <a:gd name="T15" fmla="*/ 0 h 62"/>
            <a:gd name="T16" fmla="*/ 0 w 31"/>
            <a:gd name="T17" fmla="*/ 0 h 62"/>
            <a:gd name="T18" fmla="*/ 0 w 31"/>
            <a:gd name="T19" fmla="*/ 0 h 62"/>
            <a:gd name="T20" fmla="*/ 0 w 31"/>
            <a:gd name="T21" fmla="*/ 0 h 62"/>
            <a:gd name="T22" fmla="*/ 0 w 31"/>
            <a:gd name="T23" fmla="*/ 0 h 6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1"/>
            <a:gd name="T37" fmla="*/ 0 h 62"/>
            <a:gd name="T38" fmla="*/ 31 w 31"/>
            <a:gd name="T39" fmla="*/ 62 h 6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1" h="62">
              <a:moveTo>
                <a:pt x="31" y="62"/>
              </a:moveTo>
              <a:lnTo>
                <a:pt x="22" y="61"/>
              </a:lnTo>
              <a:lnTo>
                <a:pt x="14" y="57"/>
              </a:lnTo>
              <a:lnTo>
                <a:pt x="8" y="51"/>
              </a:lnTo>
              <a:lnTo>
                <a:pt x="2" y="44"/>
              </a:lnTo>
              <a:lnTo>
                <a:pt x="0" y="35"/>
              </a:lnTo>
              <a:lnTo>
                <a:pt x="0" y="27"/>
              </a:lnTo>
              <a:lnTo>
                <a:pt x="2" y="19"/>
              </a:lnTo>
              <a:lnTo>
                <a:pt x="8" y="11"/>
              </a:lnTo>
              <a:lnTo>
                <a:pt x="14" y="5"/>
              </a:lnTo>
              <a:lnTo>
                <a:pt x="22" y="2"/>
              </a:lnTo>
              <a:lnTo>
                <a:pt x="3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352425</xdr:colOff>
      <xdr:row>4</xdr:row>
      <xdr:rowOff>114300</xdr:rowOff>
    </xdr:from>
    <xdr:to>
      <xdr:col>13</xdr:col>
      <xdr:colOff>276225</xdr:colOff>
      <xdr:row>4</xdr:row>
      <xdr:rowOff>133350</xdr:rowOff>
    </xdr:to>
    <xdr:sp macro="" textlink="">
      <xdr:nvSpPr>
        <xdr:cNvPr id="13612" name="Freeform 1195">
          <a:extLst>
            <a:ext uri="{FF2B5EF4-FFF2-40B4-BE49-F238E27FC236}">
              <a16:creationId xmlns:a16="http://schemas.microsoft.com/office/drawing/2014/main" id="{00000000-0008-0000-0700-00002C350000}"/>
            </a:ext>
          </a:extLst>
        </xdr:cNvPr>
        <xdr:cNvSpPr>
          <a:spLocks/>
        </xdr:cNvSpPr>
      </xdr:nvSpPr>
      <xdr:spPr bwMode="auto">
        <a:xfrm>
          <a:off x="6924675" y="857250"/>
          <a:ext cx="1524000" cy="19050"/>
        </a:xfrm>
        <a:custGeom>
          <a:avLst/>
          <a:gdLst>
            <a:gd name="T0" fmla="*/ 0 w 7605"/>
            <a:gd name="T1" fmla="*/ 0 h 62"/>
            <a:gd name="T2" fmla="*/ 0 w 7605"/>
            <a:gd name="T3" fmla="*/ 0 h 62"/>
            <a:gd name="T4" fmla="*/ 0 w 7605"/>
            <a:gd name="T5" fmla="*/ 0 h 62"/>
            <a:gd name="T6" fmla="*/ 2147483647 w 7605"/>
            <a:gd name="T7" fmla="*/ 0 h 62"/>
            <a:gd name="T8" fmla="*/ 2147483647 w 7605"/>
            <a:gd name="T9" fmla="*/ 0 h 62"/>
            <a:gd name="T10" fmla="*/ 2147483647 w 7605"/>
            <a:gd name="T11" fmla="*/ 0 h 62"/>
            <a:gd name="T12" fmla="*/ 0 w 7605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605"/>
            <a:gd name="T22" fmla="*/ 0 h 62"/>
            <a:gd name="T23" fmla="*/ 7605 w 7605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605" h="62">
              <a:moveTo>
                <a:pt x="0" y="0"/>
              </a:moveTo>
              <a:lnTo>
                <a:pt x="0" y="31"/>
              </a:lnTo>
              <a:lnTo>
                <a:pt x="0" y="62"/>
              </a:lnTo>
              <a:lnTo>
                <a:pt x="7605" y="62"/>
              </a:lnTo>
              <a:lnTo>
                <a:pt x="7605" y="31"/>
              </a:lnTo>
              <a:lnTo>
                <a:pt x="7605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352425</xdr:colOff>
      <xdr:row>4</xdr:row>
      <xdr:rowOff>114300</xdr:rowOff>
    </xdr:from>
    <xdr:to>
      <xdr:col>13</xdr:col>
      <xdr:colOff>276225</xdr:colOff>
      <xdr:row>4</xdr:row>
      <xdr:rowOff>133350</xdr:rowOff>
    </xdr:to>
    <xdr:sp macro="" textlink="">
      <xdr:nvSpPr>
        <xdr:cNvPr id="13613" name="Freeform 1196">
          <a:extLst>
            <a:ext uri="{FF2B5EF4-FFF2-40B4-BE49-F238E27FC236}">
              <a16:creationId xmlns:a16="http://schemas.microsoft.com/office/drawing/2014/main" id="{00000000-0008-0000-0700-00002D350000}"/>
            </a:ext>
          </a:extLst>
        </xdr:cNvPr>
        <xdr:cNvSpPr>
          <a:spLocks/>
        </xdr:cNvSpPr>
      </xdr:nvSpPr>
      <xdr:spPr bwMode="auto">
        <a:xfrm>
          <a:off x="6924675" y="857250"/>
          <a:ext cx="1524000" cy="19050"/>
        </a:xfrm>
        <a:custGeom>
          <a:avLst/>
          <a:gdLst>
            <a:gd name="T0" fmla="*/ 0 w 7605"/>
            <a:gd name="T1" fmla="*/ 0 h 62"/>
            <a:gd name="T2" fmla="*/ 0 w 7605"/>
            <a:gd name="T3" fmla="*/ 0 h 62"/>
            <a:gd name="T4" fmla="*/ 0 w 7605"/>
            <a:gd name="T5" fmla="*/ 0 h 62"/>
            <a:gd name="T6" fmla="*/ 2147483647 w 7605"/>
            <a:gd name="T7" fmla="*/ 0 h 62"/>
            <a:gd name="T8" fmla="*/ 2147483647 w 7605"/>
            <a:gd name="T9" fmla="*/ 0 h 62"/>
            <a:gd name="T10" fmla="*/ 2147483647 w 7605"/>
            <a:gd name="T11" fmla="*/ 0 h 62"/>
            <a:gd name="T12" fmla="*/ 0 w 7605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605"/>
            <a:gd name="T22" fmla="*/ 0 h 62"/>
            <a:gd name="T23" fmla="*/ 7605 w 7605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605" h="62">
              <a:moveTo>
                <a:pt x="0" y="0"/>
              </a:moveTo>
              <a:lnTo>
                <a:pt x="0" y="31"/>
              </a:lnTo>
              <a:lnTo>
                <a:pt x="0" y="62"/>
              </a:lnTo>
              <a:lnTo>
                <a:pt x="7605" y="62"/>
              </a:lnTo>
              <a:lnTo>
                <a:pt x="7605" y="31"/>
              </a:lnTo>
              <a:lnTo>
                <a:pt x="7605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276225</xdr:colOff>
      <xdr:row>4</xdr:row>
      <xdr:rowOff>114300</xdr:rowOff>
    </xdr:from>
    <xdr:to>
      <xdr:col>13</xdr:col>
      <xdr:colOff>285750</xdr:colOff>
      <xdr:row>4</xdr:row>
      <xdr:rowOff>133350</xdr:rowOff>
    </xdr:to>
    <xdr:sp macro="" textlink="">
      <xdr:nvSpPr>
        <xdr:cNvPr id="13614" name="Freeform 1197">
          <a:extLst>
            <a:ext uri="{FF2B5EF4-FFF2-40B4-BE49-F238E27FC236}">
              <a16:creationId xmlns:a16="http://schemas.microsoft.com/office/drawing/2014/main" id="{00000000-0008-0000-0700-00002E350000}"/>
            </a:ext>
          </a:extLst>
        </xdr:cNvPr>
        <xdr:cNvSpPr>
          <a:spLocks/>
        </xdr:cNvSpPr>
      </xdr:nvSpPr>
      <xdr:spPr bwMode="auto">
        <a:xfrm>
          <a:off x="8448675" y="857250"/>
          <a:ext cx="9525" cy="19050"/>
        </a:xfrm>
        <a:custGeom>
          <a:avLst/>
          <a:gdLst>
            <a:gd name="T0" fmla="*/ 0 w 30"/>
            <a:gd name="T1" fmla="*/ 0 h 62"/>
            <a:gd name="T2" fmla="*/ 0 w 30"/>
            <a:gd name="T3" fmla="*/ 0 h 62"/>
            <a:gd name="T4" fmla="*/ 0 w 30"/>
            <a:gd name="T5" fmla="*/ 0 h 62"/>
            <a:gd name="T6" fmla="*/ 0 w 30"/>
            <a:gd name="T7" fmla="*/ 0 h 62"/>
            <a:gd name="T8" fmla="*/ 0 w 30"/>
            <a:gd name="T9" fmla="*/ 0 h 62"/>
            <a:gd name="T10" fmla="*/ 0 w 30"/>
            <a:gd name="T11" fmla="*/ 0 h 62"/>
            <a:gd name="T12" fmla="*/ 0 w 30"/>
            <a:gd name="T13" fmla="*/ 0 h 62"/>
            <a:gd name="T14" fmla="*/ 0 w 30"/>
            <a:gd name="T15" fmla="*/ 0 h 62"/>
            <a:gd name="T16" fmla="*/ 0 w 30"/>
            <a:gd name="T17" fmla="*/ 0 h 62"/>
            <a:gd name="T18" fmla="*/ 0 w 30"/>
            <a:gd name="T19" fmla="*/ 0 h 62"/>
            <a:gd name="T20" fmla="*/ 0 w 30"/>
            <a:gd name="T21" fmla="*/ 0 h 62"/>
            <a:gd name="T22" fmla="*/ 0 w 30"/>
            <a:gd name="T23" fmla="*/ 0 h 62"/>
            <a:gd name="T24" fmla="*/ 0 w 30"/>
            <a:gd name="T25" fmla="*/ 0 h 62"/>
            <a:gd name="T26" fmla="*/ 0 w 30"/>
            <a:gd name="T27" fmla="*/ 0 h 6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0"/>
            <a:gd name="T43" fmla="*/ 0 h 62"/>
            <a:gd name="T44" fmla="*/ 30 w 30"/>
            <a:gd name="T45" fmla="*/ 62 h 6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0" h="62">
              <a:moveTo>
                <a:pt x="0" y="31"/>
              </a:moveTo>
              <a:lnTo>
                <a:pt x="0" y="0"/>
              </a:lnTo>
              <a:lnTo>
                <a:pt x="8" y="2"/>
              </a:lnTo>
              <a:lnTo>
                <a:pt x="17" y="5"/>
              </a:lnTo>
              <a:lnTo>
                <a:pt x="23" y="11"/>
              </a:lnTo>
              <a:lnTo>
                <a:pt x="28" y="19"/>
              </a:lnTo>
              <a:lnTo>
                <a:pt x="30" y="27"/>
              </a:lnTo>
              <a:lnTo>
                <a:pt x="30" y="35"/>
              </a:lnTo>
              <a:lnTo>
                <a:pt x="28" y="44"/>
              </a:lnTo>
              <a:lnTo>
                <a:pt x="23" y="51"/>
              </a:lnTo>
              <a:lnTo>
                <a:pt x="17" y="57"/>
              </a:lnTo>
              <a:lnTo>
                <a:pt x="8" y="61"/>
              </a:lnTo>
              <a:lnTo>
                <a:pt x="0" y="62"/>
              </a:lnTo>
              <a:lnTo>
                <a:pt x="0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276225</xdr:colOff>
      <xdr:row>4</xdr:row>
      <xdr:rowOff>114300</xdr:rowOff>
    </xdr:from>
    <xdr:to>
      <xdr:col>13</xdr:col>
      <xdr:colOff>285750</xdr:colOff>
      <xdr:row>4</xdr:row>
      <xdr:rowOff>133350</xdr:rowOff>
    </xdr:to>
    <xdr:sp macro="" textlink="">
      <xdr:nvSpPr>
        <xdr:cNvPr id="13615" name="Freeform 1198">
          <a:extLst>
            <a:ext uri="{FF2B5EF4-FFF2-40B4-BE49-F238E27FC236}">
              <a16:creationId xmlns:a16="http://schemas.microsoft.com/office/drawing/2014/main" id="{00000000-0008-0000-0700-00002F350000}"/>
            </a:ext>
          </a:extLst>
        </xdr:cNvPr>
        <xdr:cNvSpPr>
          <a:spLocks/>
        </xdr:cNvSpPr>
      </xdr:nvSpPr>
      <xdr:spPr bwMode="auto">
        <a:xfrm>
          <a:off x="8448675" y="857250"/>
          <a:ext cx="9525" cy="19050"/>
        </a:xfrm>
        <a:custGeom>
          <a:avLst/>
          <a:gdLst>
            <a:gd name="T0" fmla="*/ 0 w 30"/>
            <a:gd name="T1" fmla="*/ 0 h 62"/>
            <a:gd name="T2" fmla="*/ 0 w 30"/>
            <a:gd name="T3" fmla="*/ 0 h 62"/>
            <a:gd name="T4" fmla="*/ 0 w 30"/>
            <a:gd name="T5" fmla="*/ 0 h 62"/>
            <a:gd name="T6" fmla="*/ 0 w 30"/>
            <a:gd name="T7" fmla="*/ 0 h 62"/>
            <a:gd name="T8" fmla="*/ 0 w 30"/>
            <a:gd name="T9" fmla="*/ 0 h 62"/>
            <a:gd name="T10" fmla="*/ 0 w 30"/>
            <a:gd name="T11" fmla="*/ 0 h 62"/>
            <a:gd name="T12" fmla="*/ 0 w 30"/>
            <a:gd name="T13" fmla="*/ 0 h 62"/>
            <a:gd name="T14" fmla="*/ 0 w 30"/>
            <a:gd name="T15" fmla="*/ 0 h 62"/>
            <a:gd name="T16" fmla="*/ 0 w 30"/>
            <a:gd name="T17" fmla="*/ 0 h 62"/>
            <a:gd name="T18" fmla="*/ 0 w 30"/>
            <a:gd name="T19" fmla="*/ 0 h 62"/>
            <a:gd name="T20" fmla="*/ 0 w 30"/>
            <a:gd name="T21" fmla="*/ 0 h 62"/>
            <a:gd name="T22" fmla="*/ 0 w 30"/>
            <a:gd name="T23" fmla="*/ 0 h 6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0"/>
            <a:gd name="T37" fmla="*/ 0 h 62"/>
            <a:gd name="T38" fmla="*/ 30 w 30"/>
            <a:gd name="T39" fmla="*/ 62 h 6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0" h="62">
              <a:moveTo>
                <a:pt x="0" y="0"/>
              </a:moveTo>
              <a:lnTo>
                <a:pt x="8" y="2"/>
              </a:lnTo>
              <a:lnTo>
                <a:pt x="17" y="5"/>
              </a:lnTo>
              <a:lnTo>
                <a:pt x="23" y="11"/>
              </a:lnTo>
              <a:lnTo>
                <a:pt x="28" y="19"/>
              </a:lnTo>
              <a:lnTo>
                <a:pt x="30" y="27"/>
              </a:lnTo>
              <a:lnTo>
                <a:pt x="30" y="35"/>
              </a:lnTo>
              <a:lnTo>
                <a:pt x="28" y="44"/>
              </a:lnTo>
              <a:lnTo>
                <a:pt x="23" y="51"/>
              </a:lnTo>
              <a:lnTo>
                <a:pt x="17" y="57"/>
              </a:lnTo>
              <a:lnTo>
                <a:pt x="8" y="61"/>
              </a:lnTo>
              <a:lnTo>
                <a:pt x="0" y="6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266700</xdr:colOff>
      <xdr:row>4</xdr:row>
      <xdr:rowOff>114300</xdr:rowOff>
    </xdr:from>
    <xdr:to>
      <xdr:col>13</xdr:col>
      <xdr:colOff>276225</xdr:colOff>
      <xdr:row>4</xdr:row>
      <xdr:rowOff>123825</xdr:rowOff>
    </xdr:to>
    <xdr:sp macro="" textlink="">
      <xdr:nvSpPr>
        <xdr:cNvPr id="13616" name="Freeform 1199">
          <a:extLst>
            <a:ext uri="{FF2B5EF4-FFF2-40B4-BE49-F238E27FC236}">
              <a16:creationId xmlns:a16="http://schemas.microsoft.com/office/drawing/2014/main" id="{00000000-0008-0000-0700-000030350000}"/>
            </a:ext>
          </a:extLst>
        </xdr:cNvPr>
        <xdr:cNvSpPr>
          <a:spLocks/>
        </xdr:cNvSpPr>
      </xdr:nvSpPr>
      <xdr:spPr bwMode="auto">
        <a:xfrm>
          <a:off x="8439150" y="857250"/>
          <a:ext cx="9525" cy="9525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w 62"/>
            <a:gd name="T25" fmla="*/ 0 h 30"/>
            <a:gd name="T26" fmla="*/ 0 w 62"/>
            <a:gd name="T27" fmla="*/ 0 h 30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2"/>
            <a:gd name="T43" fmla="*/ 0 h 30"/>
            <a:gd name="T44" fmla="*/ 62 w 62"/>
            <a:gd name="T45" fmla="*/ 30 h 30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2" h="30">
              <a:moveTo>
                <a:pt x="31" y="30"/>
              </a:moveTo>
              <a:lnTo>
                <a:pt x="0" y="30"/>
              </a:lnTo>
              <a:lnTo>
                <a:pt x="1" y="22"/>
              </a:lnTo>
              <a:lnTo>
                <a:pt x="5" y="13"/>
              </a:lnTo>
              <a:lnTo>
                <a:pt x="11" y="7"/>
              </a:lnTo>
              <a:lnTo>
                <a:pt x="18" y="2"/>
              </a:lnTo>
              <a:lnTo>
                <a:pt x="27" y="0"/>
              </a:lnTo>
              <a:lnTo>
                <a:pt x="35" y="0"/>
              </a:lnTo>
              <a:lnTo>
                <a:pt x="43" y="2"/>
              </a:lnTo>
              <a:lnTo>
                <a:pt x="51" y="7"/>
              </a:lnTo>
              <a:lnTo>
                <a:pt x="57" y="13"/>
              </a:lnTo>
              <a:lnTo>
                <a:pt x="60" y="22"/>
              </a:lnTo>
              <a:lnTo>
                <a:pt x="62" y="30"/>
              </a:lnTo>
              <a:lnTo>
                <a:pt x="31" y="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266700</xdr:colOff>
      <xdr:row>4</xdr:row>
      <xdr:rowOff>114300</xdr:rowOff>
    </xdr:from>
    <xdr:to>
      <xdr:col>13</xdr:col>
      <xdr:colOff>276225</xdr:colOff>
      <xdr:row>4</xdr:row>
      <xdr:rowOff>123825</xdr:rowOff>
    </xdr:to>
    <xdr:sp macro="" textlink="">
      <xdr:nvSpPr>
        <xdr:cNvPr id="13617" name="Freeform 1200">
          <a:extLst>
            <a:ext uri="{FF2B5EF4-FFF2-40B4-BE49-F238E27FC236}">
              <a16:creationId xmlns:a16="http://schemas.microsoft.com/office/drawing/2014/main" id="{00000000-0008-0000-0700-000031350000}"/>
            </a:ext>
          </a:extLst>
        </xdr:cNvPr>
        <xdr:cNvSpPr>
          <a:spLocks/>
        </xdr:cNvSpPr>
      </xdr:nvSpPr>
      <xdr:spPr bwMode="auto">
        <a:xfrm>
          <a:off x="8439150" y="857250"/>
          <a:ext cx="9525" cy="9525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2"/>
            <a:gd name="T37" fmla="*/ 0 h 30"/>
            <a:gd name="T38" fmla="*/ 62 w 62"/>
            <a:gd name="T39" fmla="*/ 30 h 30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2" h="30">
              <a:moveTo>
                <a:pt x="0" y="30"/>
              </a:moveTo>
              <a:lnTo>
                <a:pt x="1" y="22"/>
              </a:lnTo>
              <a:lnTo>
                <a:pt x="5" y="13"/>
              </a:lnTo>
              <a:lnTo>
                <a:pt x="11" y="7"/>
              </a:lnTo>
              <a:lnTo>
                <a:pt x="18" y="2"/>
              </a:lnTo>
              <a:lnTo>
                <a:pt x="27" y="0"/>
              </a:lnTo>
              <a:lnTo>
                <a:pt x="35" y="0"/>
              </a:lnTo>
              <a:lnTo>
                <a:pt x="43" y="2"/>
              </a:lnTo>
              <a:lnTo>
                <a:pt x="51" y="7"/>
              </a:lnTo>
              <a:lnTo>
                <a:pt x="57" y="13"/>
              </a:lnTo>
              <a:lnTo>
                <a:pt x="60" y="22"/>
              </a:lnTo>
              <a:lnTo>
                <a:pt x="62" y="3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266700</xdr:colOff>
      <xdr:row>4</xdr:row>
      <xdr:rowOff>123825</xdr:rowOff>
    </xdr:from>
    <xdr:to>
      <xdr:col>13</xdr:col>
      <xdr:colOff>276225</xdr:colOff>
      <xdr:row>12</xdr:row>
      <xdr:rowOff>247650</xdr:rowOff>
    </xdr:to>
    <xdr:sp macro="" textlink="">
      <xdr:nvSpPr>
        <xdr:cNvPr id="13618" name="Freeform 1201">
          <a:extLst>
            <a:ext uri="{FF2B5EF4-FFF2-40B4-BE49-F238E27FC236}">
              <a16:creationId xmlns:a16="http://schemas.microsoft.com/office/drawing/2014/main" id="{00000000-0008-0000-0700-000032350000}"/>
            </a:ext>
          </a:extLst>
        </xdr:cNvPr>
        <xdr:cNvSpPr>
          <a:spLocks/>
        </xdr:cNvSpPr>
      </xdr:nvSpPr>
      <xdr:spPr bwMode="auto">
        <a:xfrm>
          <a:off x="8439150" y="866775"/>
          <a:ext cx="9525" cy="1866900"/>
        </a:xfrm>
        <a:custGeom>
          <a:avLst/>
          <a:gdLst>
            <a:gd name="T0" fmla="*/ 0 w 62"/>
            <a:gd name="T1" fmla="*/ 0 h 7583"/>
            <a:gd name="T2" fmla="*/ 0 w 62"/>
            <a:gd name="T3" fmla="*/ 0 h 7583"/>
            <a:gd name="T4" fmla="*/ 0 w 62"/>
            <a:gd name="T5" fmla="*/ 0 h 7583"/>
            <a:gd name="T6" fmla="*/ 0 w 62"/>
            <a:gd name="T7" fmla="*/ 2147483647 h 7583"/>
            <a:gd name="T8" fmla="*/ 0 w 62"/>
            <a:gd name="T9" fmla="*/ 2147483647 h 7583"/>
            <a:gd name="T10" fmla="*/ 0 w 62"/>
            <a:gd name="T11" fmla="*/ 2147483647 h 7583"/>
            <a:gd name="T12" fmla="*/ 0 w 62"/>
            <a:gd name="T13" fmla="*/ 0 h 758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7583"/>
            <a:gd name="T23" fmla="*/ 62 w 62"/>
            <a:gd name="T24" fmla="*/ 7583 h 758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7583">
              <a:moveTo>
                <a:pt x="62" y="0"/>
              </a:moveTo>
              <a:lnTo>
                <a:pt x="31" y="0"/>
              </a:lnTo>
              <a:lnTo>
                <a:pt x="0" y="0"/>
              </a:lnTo>
              <a:lnTo>
                <a:pt x="0" y="7583"/>
              </a:lnTo>
              <a:lnTo>
                <a:pt x="31" y="7583"/>
              </a:lnTo>
              <a:lnTo>
                <a:pt x="62" y="7583"/>
              </a:lnTo>
              <a:lnTo>
                <a:pt x="6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266700</xdr:colOff>
      <xdr:row>4</xdr:row>
      <xdr:rowOff>123825</xdr:rowOff>
    </xdr:from>
    <xdr:to>
      <xdr:col>13</xdr:col>
      <xdr:colOff>276225</xdr:colOff>
      <xdr:row>12</xdr:row>
      <xdr:rowOff>247650</xdr:rowOff>
    </xdr:to>
    <xdr:sp macro="" textlink="">
      <xdr:nvSpPr>
        <xdr:cNvPr id="13619" name="Freeform 1202">
          <a:extLst>
            <a:ext uri="{FF2B5EF4-FFF2-40B4-BE49-F238E27FC236}">
              <a16:creationId xmlns:a16="http://schemas.microsoft.com/office/drawing/2014/main" id="{00000000-0008-0000-0700-000033350000}"/>
            </a:ext>
          </a:extLst>
        </xdr:cNvPr>
        <xdr:cNvSpPr>
          <a:spLocks/>
        </xdr:cNvSpPr>
      </xdr:nvSpPr>
      <xdr:spPr bwMode="auto">
        <a:xfrm>
          <a:off x="8439150" y="866775"/>
          <a:ext cx="9525" cy="1866900"/>
        </a:xfrm>
        <a:custGeom>
          <a:avLst/>
          <a:gdLst>
            <a:gd name="T0" fmla="*/ 0 w 62"/>
            <a:gd name="T1" fmla="*/ 0 h 7583"/>
            <a:gd name="T2" fmla="*/ 0 w 62"/>
            <a:gd name="T3" fmla="*/ 0 h 7583"/>
            <a:gd name="T4" fmla="*/ 0 w 62"/>
            <a:gd name="T5" fmla="*/ 0 h 7583"/>
            <a:gd name="T6" fmla="*/ 0 w 62"/>
            <a:gd name="T7" fmla="*/ 2147483647 h 7583"/>
            <a:gd name="T8" fmla="*/ 0 w 62"/>
            <a:gd name="T9" fmla="*/ 2147483647 h 7583"/>
            <a:gd name="T10" fmla="*/ 0 w 62"/>
            <a:gd name="T11" fmla="*/ 2147483647 h 7583"/>
            <a:gd name="T12" fmla="*/ 0 w 62"/>
            <a:gd name="T13" fmla="*/ 0 h 758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7583"/>
            <a:gd name="T23" fmla="*/ 62 w 62"/>
            <a:gd name="T24" fmla="*/ 7583 h 758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7583">
              <a:moveTo>
                <a:pt x="62" y="0"/>
              </a:moveTo>
              <a:lnTo>
                <a:pt x="31" y="0"/>
              </a:lnTo>
              <a:lnTo>
                <a:pt x="0" y="0"/>
              </a:lnTo>
              <a:lnTo>
                <a:pt x="0" y="7583"/>
              </a:lnTo>
              <a:lnTo>
                <a:pt x="31" y="7583"/>
              </a:lnTo>
              <a:lnTo>
                <a:pt x="62" y="7583"/>
              </a:lnTo>
              <a:lnTo>
                <a:pt x="62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266700</xdr:colOff>
      <xdr:row>12</xdr:row>
      <xdr:rowOff>247650</xdr:rowOff>
    </xdr:from>
    <xdr:to>
      <xdr:col>13</xdr:col>
      <xdr:colOff>276225</xdr:colOff>
      <xdr:row>13</xdr:row>
      <xdr:rowOff>9525</xdr:rowOff>
    </xdr:to>
    <xdr:sp macro="" textlink="">
      <xdr:nvSpPr>
        <xdr:cNvPr id="13620" name="Freeform 1203">
          <a:extLst>
            <a:ext uri="{FF2B5EF4-FFF2-40B4-BE49-F238E27FC236}">
              <a16:creationId xmlns:a16="http://schemas.microsoft.com/office/drawing/2014/main" id="{00000000-0008-0000-0700-000034350000}"/>
            </a:ext>
          </a:extLst>
        </xdr:cNvPr>
        <xdr:cNvSpPr>
          <a:spLocks/>
        </xdr:cNvSpPr>
      </xdr:nvSpPr>
      <xdr:spPr bwMode="auto">
        <a:xfrm>
          <a:off x="8439150" y="2733675"/>
          <a:ext cx="9525" cy="9525"/>
        </a:xfrm>
        <a:custGeom>
          <a:avLst/>
          <a:gdLst>
            <a:gd name="T0" fmla="*/ 0 w 62"/>
            <a:gd name="T1" fmla="*/ 0 h 31"/>
            <a:gd name="T2" fmla="*/ 0 w 62"/>
            <a:gd name="T3" fmla="*/ 0 h 31"/>
            <a:gd name="T4" fmla="*/ 0 w 62"/>
            <a:gd name="T5" fmla="*/ 0 h 31"/>
            <a:gd name="T6" fmla="*/ 0 w 62"/>
            <a:gd name="T7" fmla="*/ 0 h 31"/>
            <a:gd name="T8" fmla="*/ 0 w 62"/>
            <a:gd name="T9" fmla="*/ 0 h 31"/>
            <a:gd name="T10" fmla="*/ 0 w 62"/>
            <a:gd name="T11" fmla="*/ 0 h 31"/>
            <a:gd name="T12" fmla="*/ 0 w 62"/>
            <a:gd name="T13" fmla="*/ 0 h 31"/>
            <a:gd name="T14" fmla="*/ 0 w 62"/>
            <a:gd name="T15" fmla="*/ 0 h 31"/>
            <a:gd name="T16" fmla="*/ 0 w 62"/>
            <a:gd name="T17" fmla="*/ 0 h 31"/>
            <a:gd name="T18" fmla="*/ 0 w 62"/>
            <a:gd name="T19" fmla="*/ 0 h 31"/>
            <a:gd name="T20" fmla="*/ 0 w 62"/>
            <a:gd name="T21" fmla="*/ 0 h 31"/>
            <a:gd name="T22" fmla="*/ 0 w 62"/>
            <a:gd name="T23" fmla="*/ 0 h 31"/>
            <a:gd name="T24" fmla="*/ 0 w 62"/>
            <a:gd name="T25" fmla="*/ 0 h 31"/>
            <a:gd name="T26" fmla="*/ 0 w 62"/>
            <a:gd name="T27" fmla="*/ 0 h 3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2"/>
            <a:gd name="T43" fmla="*/ 0 h 31"/>
            <a:gd name="T44" fmla="*/ 62 w 62"/>
            <a:gd name="T45" fmla="*/ 31 h 31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2" h="31">
              <a:moveTo>
                <a:pt x="31" y="0"/>
              </a:moveTo>
              <a:lnTo>
                <a:pt x="62" y="0"/>
              </a:lnTo>
              <a:lnTo>
                <a:pt x="60" y="9"/>
              </a:lnTo>
              <a:lnTo>
                <a:pt x="57" y="17"/>
              </a:lnTo>
              <a:lnTo>
                <a:pt x="51" y="23"/>
              </a:lnTo>
              <a:lnTo>
                <a:pt x="43" y="29"/>
              </a:lnTo>
              <a:lnTo>
                <a:pt x="35" y="31"/>
              </a:lnTo>
              <a:lnTo>
                <a:pt x="27" y="31"/>
              </a:lnTo>
              <a:lnTo>
                <a:pt x="18" y="29"/>
              </a:lnTo>
              <a:lnTo>
                <a:pt x="11" y="23"/>
              </a:lnTo>
              <a:lnTo>
                <a:pt x="5" y="17"/>
              </a:lnTo>
              <a:lnTo>
                <a:pt x="1" y="9"/>
              </a:lnTo>
              <a:lnTo>
                <a:pt x="0" y="0"/>
              </a:lnTo>
              <a:lnTo>
                <a:pt x="3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266700</xdr:colOff>
      <xdr:row>12</xdr:row>
      <xdr:rowOff>247650</xdr:rowOff>
    </xdr:from>
    <xdr:to>
      <xdr:col>13</xdr:col>
      <xdr:colOff>276225</xdr:colOff>
      <xdr:row>13</xdr:row>
      <xdr:rowOff>9525</xdr:rowOff>
    </xdr:to>
    <xdr:sp macro="" textlink="">
      <xdr:nvSpPr>
        <xdr:cNvPr id="13621" name="Freeform 1204">
          <a:extLst>
            <a:ext uri="{FF2B5EF4-FFF2-40B4-BE49-F238E27FC236}">
              <a16:creationId xmlns:a16="http://schemas.microsoft.com/office/drawing/2014/main" id="{00000000-0008-0000-0700-000035350000}"/>
            </a:ext>
          </a:extLst>
        </xdr:cNvPr>
        <xdr:cNvSpPr>
          <a:spLocks/>
        </xdr:cNvSpPr>
      </xdr:nvSpPr>
      <xdr:spPr bwMode="auto">
        <a:xfrm>
          <a:off x="8439150" y="2733675"/>
          <a:ext cx="9525" cy="9525"/>
        </a:xfrm>
        <a:custGeom>
          <a:avLst/>
          <a:gdLst>
            <a:gd name="T0" fmla="*/ 0 w 62"/>
            <a:gd name="T1" fmla="*/ 0 h 31"/>
            <a:gd name="T2" fmla="*/ 0 w 62"/>
            <a:gd name="T3" fmla="*/ 0 h 31"/>
            <a:gd name="T4" fmla="*/ 0 w 62"/>
            <a:gd name="T5" fmla="*/ 0 h 31"/>
            <a:gd name="T6" fmla="*/ 0 w 62"/>
            <a:gd name="T7" fmla="*/ 0 h 31"/>
            <a:gd name="T8" fmla="*/ 0 w 62"/>
            <a:gd name="T9" fmla="*/ 0 h 31"/>
            <a:gd name="T10" fmla="*/ 0 w 62"/>
            <a:gd name="T11" fmla="*/ 0 h 31"/>
            <a:gd name="T12" fmla="*/ 0 w 62"/>
            <a:gd name="T13" fmla="*/ 0 h 31"/>
            <a:gd name="T14" fmla="*/ 0 w 62"/>
            <a:gd name="T15" fmla="*/ 0 h 31"/>
            <a:gd name="T16" fmla="*/ 0 w 62"/>
            <a:gd name="T17" fmla="*/ 0 h 31"/>
            <a:gd name="T18" fmla="*/ 0 w 62"/>
            <a:gd name="T19" fmla="*/ 0 h 31"/>
            <a:gd name="T20" fmla="*/ 0 w 62"/>
            <a:gd name="T21" fmla="*/ 0 h 31"/>
            <a:gd name="T22" fmla="*/ 0 w 62"/>
            <a:gd name="T23" fmla="*/ 0 h 3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2"/>
            <a:gd name="T37" fmla="*/ 0 h 31"/>
            <a:gd name="T38" fmla="*/ 62 w 62"/>
            <a:gd name="T39" fmla="*/ 31 h 3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2" h="31">
              <a:moveTo>
                <a:pt x="62" y="0"/>
              </a:moveTo>
              <a:lnTo>
                <a:pt x="60" y="9"/>
              </a:lnTo>
              <a:lnTo>
                <a:pt x="57" y="17"/>
              </a:lnTo>
              <a:lnTo>
                <a:pt x="51" y="23"/>
              </a:lnTo>
              <a:lnTo>
                <a:pt x="43" y="29"/>
              </a:lnTo>
              <a:lnTo>
                <a:pt x="35" y="31"/>
              </a:lnTo>
              <a:lnTo>
                <a:pt x="27" y="31"/>
              </a:lnTo>
              <a:lnTo>
                <a:pt x="18" y="29"/>
              </a:lnTo>
              <a:lnTo>
                <a:pt x="11" y="23"/>
              </a:lnTo>
              <a:lnTo>
                <a:pt x="5" y="17"/>
              </a:lnTo>
              <a:lnTo>
                <a:pt x="1" y="9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276225</xdr:colOff>
      <xdr:row>12</xdr:row>
      <xdr:rowOff>238125</xdr:rowOff>
    </xdr:from>
    <xdr:to>
      <xdr:col>13</xdr:col>
      <xdr:colOff>276225</xdr:colOff>
      <xdr:row>13</xdr:row>
      <xdr:rowOff>9525</xdr:rowOff>
    </xdr:to>
    <xdr:sp macro="" textlink="">
      <xdr:nvSpPr>
        <xdr:cNvPr id="13622" name="Freeform 1205">
          <a:extLst>
            <a:ext uri="{FF2B5EF4-FFF2-40B4-BE49-F238E27FC236}">
              <a16:creationId xmlns:a16="http://schemas.microsoft.com/office/drawing/2014/main" id="{00000000-0008-0000-0700-000036350000}"/>
            </a:ext>
          </a:extLst>
        </xdr:cNvPr>
        <xdr:cNvSpPr>
          <a:spLocks/>
        </xdr:cNvSpPr>
      </xdr:nvSpPr>
      <xdr:spPr bwMode="auto">
        <a:xfrm>
          <a:off x="8448675" y="2733675"/>
          <a:ext cx="0" cy="9525"/>
        </a:xfrm>
        <a:custGeom>
          <a:avLst/>
          <a:gdLst>
            <a:gd name="T0" fmla="*/ 0 w 30"/>
            <a:gd name="T1" fmla="*/ 0 h 62"/>
            <a:gd name="T2" fmla="*/ 0 w 30"/>
            <a:gd name="T3" fmla="*/ 0 h 62"/>
            <a:gd name="T4" fmla="*/ 0 w 30"/>
            <a:gd name="T5" fmla="*/ 0 h 62"/>
            <a:gd name="T6" fmla="*/ 0 w 30"/>
            <a:gd name="T7" fmla="*/ 0 h 62"/>
            <a:gd name="T8" fmla="*/ 0 w 30"/>
            <a:gd name="T9" fmla="*/ 0 h 62"/>
            <a:gd name="T10" fmla="*/ 0 w 30"/>
            <a:gd name="T11" fmla="*/ 0 h 62"/>
            <a:gd name="T12" fmla="*/ 0 w 30"/>
            <a:gd name="T13" fmla="*/ 0 h 62"/>
            <a:gd name="T14" fmla="*/ 0 w 30"/>
            <a:gd name="T15" fmla="*/ 0 h 62"/>
            <a:gd name="T16" fmla="*/ 0 w 30"/>
            <a:gd name="T17" fmla="*/ 0 h 62"/>
            <a:gd name="T18" fmla="*/ 0 w 30"/>
            <a:gd name="T19" fmla="*/ 0 h 62"/>
            <a:gd name="T20" fmla="*/ 0 w 30"/>
            <a:gd name="T21" fmla="*/ 0 h 62"/>
            <a:gd name="T22" fmla="*/ 0 w 30"/>
            <a:gd name="T23" fmla="*/ 0 h 62"/>
            <a:gd name="T24" fmla="*/ 0 w 30"/>
            <a:gd name="T25" fmla="*/ 0 h 62"/>
            <a:gd name="T26" fmla="*/ 0 w 30"/>
            <a:gd name="T27" fmla="*/ 0 h 6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0"/>
            <a:gd name="T43" fmla="*/ 0 h 62"/>
            <a:gd name="T44" fmla="*/ 30 w 30"/>
            <a:gd name="T45" fmla="*/ 62 h 6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0" h="62">
              <a:moveTo>
                <a:pt x="0" y="31"/>
              </a:moveTo>
              <a:lnTo>
                <a:pt x="0" y="0"/>
              </a:lnTo>
              <a:lnTo>
                <a:pt x="8" y="2"/>
              </a:lnTo>
              <a:lnTo>
                <a:pt x="17" y="5"/>
              </a:lnTo>
              <a:lnTo>
                <a:pt x="23" y="11"/>
              </a:lnTo>
              <a:lnTo>
                <a:pt x="28" y="19"/>
              </a:lnTo>
              <a:lnTo>
                <a:pt x="30" y="27"/>
              </a:lnTo>
              <a:lnTo>
                <a:pt x="30" y="35"/>
              </a:lnTo>
              <a:lnTo>
                <a:pt x="28" y="44"/>
              </a:lnTo>
              <a:lnTo>
                <a:pt x="23" y="51"/>
              </a:lnTo>
              <a:lnTo>
                <a:pt x="17" y="58"/>
              </a:lnTo>
              <a:lnTo>
                <a:pt x="8" y="61"/>
              </a:lnTo>
              <a:lnTo>
                <a:pt x="0" y="62"/>
              </a:lnTo>
              <a:lnTo>
                <a:pt x="0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276225</xdr:colOff>
      <xdr:row>12</xdr:row>
      <xdr:rowOff>238125</xdr:rowOff>
    </xdr:from>
    <xdr:to>
      <xdr:col>13</xdr:col>
      <xdr:colOff>276225</xdr:colOff>
      <xdr:row>13</xdr:row>
      <xdr:rowOff>9525</xdr:rowOff>
    </xdr:to>
    <xdr:sp macro="" textlink="">
      <xdr:nvSpPr>
        <xdr:cNvPr id="13623" name="Freeform 1206">
          <a:extLst>
            <a:ext uri="{FF2B5EF4-FFF2-40B4-BE49-F238E27FC236}">
              <a16:creationId xmlns:a16="http://schemas.microsoft.com/office/drawing/2014/main" id="{00000000-0008-0000-0700-000037350000}"/>
            </a:ext>
          </a:extLst>
        </xdr:cNvPr>
        <xdr:cNvSpPr>
          <a:spLocks/>
        </xdr:cNvSpPr>
      </xdr:nvSpPr>
      <xdr:spPr bwMode="auto">
        <a:xfrm>
          <a:off x="8448675" y="2733675"/>
          <a:ext cx="0" cy="9525"/>
        </a:xfrm>
        <a:custGeom>
          <a:avLst/>
          <a:gdLst>
            <a:gd name="T0" fmla="*/ 0 w 30"/>
            <a:gd name="T1" fmla="*/ 0 h 62"/>
            <a:gd name="T2" fmla="*/ 0 w 30"/>
            <a:gd name="T3" fmla="*/ 0 h 62"/>
            <a:gd name="T4" fmla="*/ 0 w 30"/>
            <a:gd name="T5" fmla="*/ 0 h 62"/>
            <a:gd name="T6" fmla="*/ 0 w 30"/>
            <a:gd name="T7" fmla="*/ 0 h 62"/>
            <a:gd name="T8" fmla="*/ 0 w 30"/>
            <a:gd name="T9" fmla="*/ 0 h 62"/>
            <a:gd name="T10" fmla="*/ 0 w 30"/>
            <a:gd name="T11" fmla="*/ 0 h 62"/>
            <a:gd name="T12" fmla="*/ 0 w 30"/>
            <a:gd name="T13" fmla="*/ 0 h 62"/>
            <a:gd name="T14" fmla="*/ 0 w 30"/>
            <a:gd name="T15" fmla="*/ 0 h 62"/>
            <a:gd name="T16" fmla="*/ 0 w 30"/>
            <a:gd name="T17" fmla="*/ 0 h 62"/>
            <a:gd name="T18" fmla="*/ 0 w 30"/>
            <a:gd name="T19" fmla="*/ 0 h 62"/>
            <a:gd name="T20" fmla="*/ 0 w 30"/>
            <a:gd name="T21" fmla="*/ 0 h 62"/>
            <a:gd name="T22" fmla="*/ 0 w 30"/>
            <a:gd name="T23" fmla="*/ 0 h 6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0"/>
            <a:gd name="T37" fmla="*/ 0 h 62"/>
            <a:gd name="T38" fmla="*/ 30 w 30"/>
            <a:gd name="T39" fmla="*/ 62 h 6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0" h="62">
              <a:moveTo>
                <a:pt x="0" y="0"/>
              </a:moveTo>
              <a:lnTo>
                <a:pt x="8" y="2"/>
              </a:lnTo>
              <a:lnTo>
                <a:pt x="17" y="5"/>
              </a:lnTo>
              <a:lnTo>
                <a:pt x="23" y="11"/>
              </a:lnTo>
              <a:lnTo>
                <a:pt x="28" y="19"/>
              </a:lnTo>
              <a:lnTo>
                <a:pt x="30" y="27"/>
              </a:lnTo>
              <a:lnTo>
                <a:pt x="30" y="35"/>
              </a:lnTo>
              <a:lnTo>
                <a:pt x="28" y="44"/>
              </a:lnTo>
              <a:lnTo>
                <a:pt x="23" y="51"/>
              </a:lnTo>
              <a:lnTo>
                <a:pt x="17" y="58"/>
              </a:lnTo>
              <a:lnTo>
                <a:pt x="8" y="61"/>
              </a:lnTo>
              <a:lnTo>
                <a:pt x="0" y="6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352425</xdr:colOff>
      <xdr:row>12</xdr:row>
      <xdr:rowOff>238125</xdr:rowOff>
    </xdr:from>
    <xdr:to>
      <xdr:col>13</xdr:col>
      <xdr:colOff>276225</xdr:colOff>
      <xdr:row>13</xdr:row>
      <xdr:rowOff>9525</xdr:rowOff>
    </xdr:to>
    <xdr:sp macro="" textlink="">
      <xdr:nvSpPr>
        <xdr:cNvPr id="13624" name="Freeform 1207">
          <a:extLst>
            <a:ext uri="{FF2B5EF4-FFF2-40B4-BE49-F238E27FC236}">
              <a16:creationId xmlns:a16="http://schemas.microsoft.com/office/drawing/2014/main" id="{00000000-0008-0000-0700-000038350000}"/>
            </a:ext>
          </a:extLst>
        </xdr:cNvPr>
        <xdr:cNvSpPr>
          <a:spLocks/>
        </xdr:cNvSpPr>
      </xdr:nvSpPr>
      <xdr:spPr bwMode="auto">
        <a:xfrm>
          <a:off x="6924675" y="2733675"/>
          <a:ext cx="1524000" cy="9525"/>
        </a:xfrm>
        <a:custGeom>
          <a:avLst/>
          <a:gdLst>
            <a:gd name="T0" fmla="*/ 2147483647 w 7605"/>
            <a:gd name="T1" fmla="*/ 0 h 62"/>
            <a:gd name="T2" fmla="*/ 2147483647 w 7605"/>
            <a:gd name="T3" fmla="*/ 0 h 62"/>
            <a:gd name="T4" fmla="*/ 2147483647 w 7605"/>
            <a:gd name="T5" fmla="*/ 0 h 62"/>
            <a:gd name="T6" fmla="*/ 0 w 7605"/>
            <a:gd name="T7" fmla="*/ 0 h 62"/>
            <a:gd name="T8" fmla="*/ 0 w 7605"/>
            <a:gd name="T9" fmla="*/ 0 h 62"/>
            <a:gd name="T10" fmla="*/ 0 w 7605"/>
            <a:gd name="T11" fmla="*/ 0 h 62"/>
            <a:gd name="T12" fmla="*/ 2147483647 w 7605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605"/>
            <a:gd name="T22" fmla="*/ 0 h 62"/>
            <a:gd name="T23" fmla="*/ 7605 w 7605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605" h="62">
              <a:moveTo>
                <a:pt x="7605" y="62"/>
              </a:moveTo>
              <a:lnTo>
                <a:pt x="7605" y="31"/>
              </a:lnTo>
              <a:lnTo>
                <a:pt x="7605" y="0"/>
              </a:lnTo>
              <a:lnTo>
                <a:pt x="0" y="0"/>
              </a:lnTo>
              <a:lnTo>
                <a:pt x="0" y="31"/>
              </a:lnTo>
              <a:lnTo>
                <a:pt x="0" y="62"/>
              </a:lnTo>
              <a:lnTo>
                <a:pt x="7605" y="6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352425</xdr:colOff>
      <xdr:row>12</xdr:row>
      <xdr:rowOff>238125</xdr:rowOff>
    </xdr:from>
    <xdr:to>
      <xdr:col>13</xdr:col>
      <xdr:colOff>276225</xdr:colOff>
      <xdr:row>13</xdr:row>
      <xdr:rowOff>9525</xdr:rowOff>
    </xdr:to>
    <xdr:sp macro="" textlink="">
      <xdr:nvSpPr>
        <xdr:cNvPr id="13625" name="Freeform 1208">
          <a:extLst>
            <a:ext uri="{FF2B5EF4-FFF2-40B4-BE49-F238E27FC236}">
              <a16:creationId xmlns:a16="http://schemas.microsoft.com/office/drawing/2014/main" id="{00000000-0008-0000-0700-000039350000}"/>
            </a:ext>
          </a:extLst>
        </xdr:cNvPr>
        <xdr:cNvSpPr>
          <a:spLocks/>
        </xdr:cNvSpPr>
      </xdr:nvSpPr>
      <xdr:spPr bwMode="auto">
        <a:xfrm>
          <a:off x="6924675" y="2733675"/>
          <a:ext cx="1524000" cy="9525"/>
        </a:xfrm>
        <a:custGeom>
          <a:avLst/>
          <a:gdLst>
            <a:gd name="T0" fmla="*/ 2147483647 w 7605"/>
            <a:gd name="T1" fmla="*/ 0 h 62"/>
            <a:gd name="T2" fmla="*/ 2147483647 w 7605"/>
            <a:gd name="T3" fmla="*/ 0 h 62"/>
            <a:gd name="T4" fmla="*/ 2147483647 w 7605"/>
            <a:gd name="T5" fmla="*/ 0 h 62"/>
            <a:gd name="T6" fmla="*/ 0 w 7605"/>
            <a:gd name="T7" fmla="*/ 0 h 62"/>
            <a:gd name="T8" fmla="*/ 0 w 7605"/>
            <a:gd name="T9" fmla="*/ 0 h 62"/>
            <a:gd name="T10" fmla="*/ 0 w 7605"/>
            <a:gd name="T11" fmla="*/ 0 h 62"/>
            <a:gd name="T12" fmla="*/ 2147483647 w 7605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605"/>
            <a:gd name="T22" fmla="*/ 0 h 62"/>
            <a:gd name="T23" fmla="*/ 7605 w 7605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605" h="62">
              <a:moveTo>
                <a:pt x="7605" y="62"/>
              </a:moveTo>
              <a:lnTo>
                <a:pt x="7605" y="31"/>
              </a:lnTo>
              <a:lnTo>
                <a:pt x="7605" y="0"/>
              </a:lnTo>
              <a:lnTo>
                <a:pt x="0" y="0"/>
              </a:lnTo>
              <a:lnTo>
                <a:pt x="0" y="31"/>
              </a:lnTo>
              <a:lnTo>
                <a:pt x="0" y="62"/>
              </a:lnTo>
              <a:lnTo>
                <a:pt x="7605" y="6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342900</xdr:colOff>
      <xdr:row>12</xdr:row>
      <xdr:rowOff>238125</xdr:rowOff>
    </xdr:from>
    <xdr:to>
      <xdr:col>10</xdr:col>
      <xdr:colOff>352425</xdr:colOff>
      <xdr:row>13</xdr:row>
      <xdr:rowOff>9525</xdr:rowOff>
    </xdr:to>
    <xdr:sp macro="" textlink="">
      <xdr:nvSpPr>
        <xdr:cNvPr id="13626" name="Freeform 1209">
          <a:extLst>
            <a:ext uri="{FF2B5EF4-FFF2-40B4-BE49-F238E27FC236}">
              <a16:creationId xmlns:a16="http://schemas.microsoft.com/office/drawing/2014/main" id="{00000000-0008-0000-0700-00003A350000}"/>
            </a:ext>
          </a:extLst>
        </xdr:cNvPr>
        <xdr:cNvSpPr>
          <a:spLocks/>
        </xdr:cNvSpPr>
      </xdr:nvSpPr>
      <xdr:spPr bwMode="auto">
        <a:xfrm>
          <a:off x="6915150" y="2733675"/>
          <a:ext cx="9525" cy="9525"/>
        </a:xfrm>
        <a:custGeom>
          <a:avLst/>
          <a:gdLst>
            <a:gd name="T0" fmla="*/ 0 w 31"/>
            <a:gd name="T1" fmla="*/ 0 h 62"/>
            <a:gd name="T2" fmla="*/ 0 w 31"/>
            <a:gd name="T3" fmla="*/ 0 h 62"/>
            <a:gd name="T4" fmla="*/ 0 w 31"/>
            <a:gd name="T5" fmla="*/ 0 h 62"/>
            <a:gd name="T6" fmla="*/ 0 w 31"/>
            <a:gd name="T7" fmla="*/ 0 h 62"/>
            <a:gd name="T8" fmla="*/ 0 w 31"/>
            <a:gd name="T9" fmla="*/ 0 h 62"/>
            <a:gd name="T10" fmla="*/ 0 w 31"/>
            <a:gd name="T11" fmla="*/ 0 h 62"/>
            <a:gd name="T12" fmla="*/ 0 w 31"/>
            <a:gd name="T13" fmla="*/ 0 h 62"/>
            <a:gd name="T14" fmla="*/ 0 w 31"/>
            <a:gd name="T15" fmla="*/ 0 h 62"/>
            <a:gd name="T16" fmla="*/ 0 w 31"/>
            <a:gd name="T17" fmla="*/ 0 h 62"/>
            <a:gd name="T18" fmla="*/ 0 w 31"/>
            <a:gd name="T19" fmla="*/ 0 h 62"/>
            <a:gd name="T20" fmla="*/ 0 w 31"/>
            <a:gd name="T21" fmla="*/ 0 h 62"/>
            <a:gd name="T22" fmla="*/ 0 w 31"/>
            <a:gd name="T23" fmla="*/ 0 h 62"/>
            <a:gd name="T24" fmla="*/ 0 w 31"/>
            <a:gd name="T25" fmla="*/ 0 h 62"/>
            <a:gd name="T26" fmla="*/ 0 w 31"/>
            <a:gd name="T27" fmla="*/ 0 h 6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1"/>
            <a:gd name="T43" fmla="*/ 0 h 62"/>
            <a:gd name="T44" fmla="*/ 31 w 31"/>
            <a:gd name="T45" fmla="*/ 62 h 6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1" h="62">
              <a:moveTo>
                <a:pt x="31" y="31"/>
              </a:moveTo>
              <a:lnTo>
                <a:pt x="31" y="62"/>
              </a:lnTo>
              <a:lnTo>
                <a:pt x="22" y="61"/>
              </a:lnTo>
              <a:lnTo>
                <a:pt x="14" y="58"/>
              </a:lnTo>
              <a:lnTo>
                <a:pt x="8" y="51"/>
              </a:lnTo>
              <a:lnTo>
                <a:pt x="2" y="44"/>
              </a:lnTo>
              <a:lnTo>
                <a:pt x="0" y="35"/>
              </a:lnTo>
              <a:lnTo>
                <a:pt x="0" y="27"/>
              </a:lnTo>
              <a:lnTo>
                <a:pt x="2" y="19"/>
              </a:lnTo>
              <a:lnTo>
                <a:pt x="8" y="11"/>
              </a:lnTo>
              <a:lnTo>
                <a:pt x="14" y="5"/>
              </a:lnTo>
              <a:lnTo>
                <a:pt x="22" y="2"/>
              </a:lnTo>
              <a:lnTo>
                <a:pt x="31" y="0"/>
              </a:lnTo>
              <a:lnTo>
                <a:pt x="31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342900</xdr:colOff>
      <xdr:row>12</xdr:row>
      <xdr:rowOff>238125</xdr:rowOff>
    </xdr:from>
    <xdr:to>
      <xdr:col>10</xdr:col>
      <xdr:colOff>352425</xdr:colOff>
      <xdr:row>13</xdr:row>
      <xdr:rowOff>9525</xdr:rowOff>
    </xdr:to>
    <xdr:sp macro="" textlink="">
      <xdr:nvSpPr>
        <xdr:cNvPr id="13627" name="Freeform 1210">
          <a:extLst>
            <a:ext uri="{FF2B5EF4-FFF2-40B4-BE49-F238E27FC236}">
              <a16:creationId xmlns:a16="http://schemas.microsoft.com/office/drawing/2014/main" id="{00000000-0008-0000-0700-00003B350000}"/>
            </a:ext>
          </a:extLst>
        </xdr:cNvPr>
        <xdr:cNvSpPr>
          <a:spLocks/>
        </xdr:cNvSpPr>
      </xdr:nvSpPr>
      <xdr:spPr bwMode="auto">
        <a:xfrm>
          <a:off x="6915150" y="2733675"/>
          <a:ext cx="9525" cy="9525"/>
        </a:xfrm>
        <a:custGeom>
          <a:avLst/>
          <a:gdLst>
            <a:gd name="T0" fmla="*/ 0 w 31"/>
            <a:gd name="T1" fmla="*/ 0 h 62"/>
            <a:gd name="T2" fmla="*/ 0 w 31"/>
            <a:gd name="T3" fmla="*/ 0 h 62"/>
            <a:gd name="T4" fmla="*/ 0 w 31"/>
            <a:gd name="T5" fmla="*/ 0 h 62"/>
            <a:gd name="T6" fmla="*/ 0 w 31"/>
            <a:gd name="T7" fmla="*/ 0 h 62"/>
            <a:gd name="T8" fmla="*/ 0 w 31"/>
            <a:gd name="T9" fmla="*/ 0 h 62"/>
            <a:gd name="T10" fmla="*/ 0 w 31"/>
            <a:gd name="T11" fmla="*/ 0 h 62"/>
            <a:gd name="T12" fmla="*/ 0 w 31"/>
            <a:gd name="T13" fmla="*/ 0 h 62"/>
            <a:gd name="T14" fmla="*/ 0 w 31"/>
            <a:gd name="T15" fmla="*/ 0 h 62"/>
            <a:gd name="T16" fmla="*/ 0 w 31"/>
            <a:gd name="T17" fmla="*/ 0 h 62"/>
            <a:gd name="T18" fmla="*/ 0 w 31"/>
            <a:gd name="T19" fmla="*/ 0 h 62"/>
            <a:gd name="T20" fmla="*/ 0 w 31"/>
            <a:gd name="T21" fmla="*/ 0 h 62"/>
            <a:gd name="T22" fmla="*/ 0 w 31"/>
            <a:gd name="T23" fmla="*/ 0 h 6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1"/>
            <a:gd name="T37" fmla="*/ 0 h 62"/>
            <a:gd name="T38" fmla="*/ 31 w 31"/>
            <a:gd name="T39" fmla="*/ 62 h 6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1" h="62">
              <a:moveTo>
                <a:pt x="31" y="62"/>
              </a:moveTo>
              <a:lnTo>
                <a:pt x="22" y="61"/>
              </a:lnTo>
              <a:lnTo>
                <a:pt x="14" y="58"/>
              </a:lnTo>
              <a:lnTo>
                <a:pt x="8" y="51"/>
              </a:lnTo>
              <a:lnTo>
                <a:pt x="2" y="44"/>
              </a:lnTo>
              <a:lnTo>
                <a:pt x="0" y="35"/>
              </a:lnTo>
              <a:lnTo>
                <a:pt x="0" y="27"/>
              </a:lnTo>
              <a:lnTo>
                <a:pt x="2" y="19"/>
              </a:lnTo>
              <a:lnTo>
                <a:pt x="8" y="11"/>
              </a:lnTo>
              <a:lnTo>
                <a:pt x="14" y="5"/>
              </a:lnTo>
              <a:lnTo>
                <a:pt x="22" y="2"/>
              </a:lnTo>
              <a:lnTo>
                <a:pt x="3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342900</xdr:colOff>
      <xdr:row>12</xdr:row>
      <xdr:rowOff>247650</xdr:rowOff>
    </xdr:from>
    <xdr:to>
      <xdr:col>10</xdr:col>
      <xdr:colOff>352425</xdr:colOff>
      <xdr:row>13</xdr:row>
      <xdr:rowOff>9525</xdr:rowOff>
    </xdr:to>
    <xdr:sp macro="" textlink="">
      <xdr:nvSpPr>
        <xdr:cNvPr id="13628" name="Freeform 1211">
          <a:extLst>
            <a:ext uri="{FF2B5EF4-FFF2-40B4-BE49-F238E27FC236}">
              <a16:creationId xmlns:a16="http://schemas.microsoft.com/office/drawing/2014/main" id="{00000000-0008-0000-0700-00003C350000}"/>
            </a:ext>
          </a:extLst>
        </xdr:cNvPr>
        <xdr:cNvSpPr>
          <a:spLocks/>
        </xdr:cNvSpPr>
      </xdr:nvSpPr>
      <xdr:spPr bwMode="auto">
        <a:xfrm>
          <a:off x="6915150" y="2733675"/>
          <a:ext cx="9525" cy="9525"/>
        </a:xfrm>
        <a:custGeom>
          <a:avLst/>
          <a:gdLst>
            <a:gd name="T0" fmla="*/ 0 w 62"/>
            <a:gd name="T1" fmla="*/ 0 h 31"/>
            <a:gd name="T2" fmla="*/ 0 w 62"/>
            <a:gd name="T3" fmla="*/ 0 h 31"/>
            <a:gd name="T4" fmla="*/ 0 w 62"/>
            <a:gd name="T5" fmla="*/ 0 h 31"/>
            <a:gd name="T6" fmla="*/ 0 w 62"/>
            <a:gd name="T7" fmla="*/ 0 h 31"/>
            <a:gd name="T8" fmla="*/ 0 w 62"/>
            <a:gd name="T9" fmla="*/ 0 h 31"/>
            <a:gd name="T10" fmla="*/ 0 w 62"/>
            <a:gd name="T11" fmla="*/ 0 h 31"/>
            <a:gd name="T12" fmla="*/ 0 w 62"/>
            <a:gd name="T13" fmla="*/ 0 h 31"/>
            <a:gd name="T14" fmla="*/ 0 w 62"/>
            <a:gd name="T15" fmla="*/ 0 h 31"/>
            <a:gd name="T16" fmla="*/ 0 w 62"/>
            <a:gd name="T17" fmla="*/ 0 h 31"/>
            <a:gd name="T18" fmla="*/ 0 w 62"/>
            <a:gd name="T19" fmla="*/ 0 h 31"/>
            <a:gd name="T20" fmla="*/ 0 w 62"/>
            <a:gd name="T21" fmla="*/ 0 h 31"/>
            <a:gd name="T22" fmla="*/ 0 w 62"/>
            <a:gd name="T23" fmla="*/ 0 h 31"/>
            <a:gd name="T24" fmla="*/ 0 w 62"/>
            <a:gd name="T25" fmla="*/ 0 h 31"/>
            <a:gd name="T26" fmla="*/ 0 w 62"/>
            <a:gd name="T27" fmla="*/ 0 h 3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2"/>
            <a:gd name="T43" fmla="*/ 0 h 31"/>
            <a:gd name="T44" fmla="*/ 62 w 62"/>
            <a:gd name="T45" fmla="*/ 31 h 31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2" h="31">
              <a:moveTo>
                <a:pt x="31" y="0"/>
              </a:moveTo>
              <a:lnTo>
                <a:pt x="62" y="0"/>
              </a:lnTo>
              <a:lnTo>
                <a:pt x="60" y="9"/>
              </a:lnTo>
              <a:lnTo>
                <a:pt x="57" y="17"/>
              </a:lnTo>
              <a:lnTo>
                <a:pt x="51" y="23"/>
              </a:lnTo>
              <a:lnTo>
                <a:pt x="43" y="29"/>
              </a:lnTo>
              <a:lnTo>
                <a:pt x="35" y="31"/>
              </a:lnTo>
              <a:lnTo>
                <a:pt x="27" y="31"/>
              </a:lnTo>
              <a:lnTo>
                <a:pt x="18" y="29"/>
              </a:lnTo>
              <a:lnTo>
                <a:pt x="11" y="23"/>
              </a:lnTo>
              <a:lnTo>
                <a:pt x="4" y="17"/>
              </a:lnTo>
              <a:lnTo>
                <a:pt x="1" y="9"/>
              </a:lnTo>
              <a:lnTo>
                <a:pt x="0" y="0"/>
              </a:lnTo>
              <a:lnTo>
                <a:pt x="3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342900</xdr:colOff>
      <xdr:row>12</xdr:row>
      <xdr:rowOff>247650</xdr:rowOff>
    </xdr:from>
    <xdr:to>
      <xdr:col>10</xdr:col>
      <xdr:colOff>352425</xdr:colOff>
      <xdr:row>13</xdr:row>
      <xdr:rowOff>9525</xdr:rowOff>
    </xdr:to>
    <xdr:sp macro="" textlink="">
      <xdr:nvSpPr>
        <xdr:cNvPr id="13629" name="Freeform 1212">
          <a:extLst>
            <a:ext uri="{FF2B5EF4-FFF2-40B4-BE49-F238E27FC236}">
              <a16:creationId xmlns:a16="http://schemas.microsoft.com/office/drawing/2014/main" id="{00000000-0008-0000-0700-00003D350000}"/>
            </a:ext>
          </a:extLst>
        </xdr:cNvPr>
        <xdr:cNvSpPr>
          <a:spLocks/>
        </xdr:cNvSpPr>
      </xdr:nvSpPr>
      <xdr:spPr bwMode="auto">
        <a:xfrm>
          <a:off x="6915150" y="2733675"/>
          <a:ext cx="9525" cy="9525"/>
        </a:xfrm>
        <a:custGeom>
          <a:avLst/>
          <a:gdLst>
            <a:gd name="T0" fmla="*/ 0 w 62"/>
            <a:gd name="T1" fmla="*/ 0 h 31"/>
            <a:gd name="T2" fmla="*/ 0 w 62"/>
            <a:gd name="T3" fmla="*/ 0 h 31"/>
            <a:gd name="T4" fmla="*/ 0 w 62"/>
            <a:gd name="T5" fmla="*/ 0 h 31"/>
            <a:gd name="T6" fmla="*/ 0 w 62"/>
            <a:gd name="T7" fmla="*/ 0 h 31"/>
            <a:gd name="T8" fmla="*/ 0 w 62"/>
            <a:gd name="T9" fmla="*/ 0 h 31"/>
            <a:gd name="T10" fmla="*/ 0 w 62"/>
            <a:gd name="T11" fmla="*/ 0 h 31"/>
            <a:gd name="T12" fmla="*/ 0 w 62"/>
            <a:gd name="T13" fmla="*/ 0 h 31"/>
            <a:gd name="T14" fmla="*/ 0 w 62"/>
            <a:gd name="T15" fmla="*/ 0 h 31"/>
            <a:gd name="T16" fmla="*/ 0 w 62"/>
            <a:gd name="T17" fmla="*/ 0 h 31"/>
            <a:gd name="T18" fmla="*/ 0 w 62"/>
            <a:gd name="T19" fmla="*/ 0 h 31"/>
            <a:gd name="T20" fmla="*/ 0 w 62"/>
            <a:gd name="T21" fmla="*/ 0 h 31"/>
            <a:gd name="T22" fmla="*/ 0 w 62"/>
            <a:gd name="T23" fmla="*/ 0 h 3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2"/>
            <a:gd name="T37" fmla="*/ 0 h 31"/>
            <a:gd name="T38" fmla="*/ 62 w 62"/>
            <a:gd name="T39" fmla="*/ 31 h 3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2" h="31">
              <a:moveTo>
                <a:pt x="62" y="0"/>
              </a:moveTo>
              <a:lnTo>
                <a:pt x="60" y="9"/>
              </a:lnTo>
              <a:lnTo>
                <a:pt x="57" y="17"/>
              </a:lnTo>
              <a:lnTo>
                <a:pt x="51" y="23"/>
              </a:lnTo>
              <a:lnTo>
                <a:pt x="43" y="29"/>
              </a:lnTo>
              <a:lnTo>
                <a:pt x="35" y="31"/>
              </a:lnTo>
              <a:lnTo>
                <a:pt x="27" y="31"/>
              </a:lnTo>
              <a:lnTo>
                <a:pt x="18" y="29"/>
              </a:lnTo>
              <a:lnTo>
                <a:pt x="11" y="23"/>
              </a:lnTo>
              <a:lnTo>
                <a:pt x="4" y="17"/>
              </a:lnTo>
              <a:lnTo>
                <a:pt x="1" y="9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342900</xdr:colOff>
      <xdr:row>4</xdr:row>
      <xdr:rowOff>123825</xdr:rowOff>
    </xdr:from>
    <xdr:to>
      <xdr:col>10</xdr:col>
      <xdr:colOff>352425</xdr:colOff>
      <xdr:row>12</xdr:row>
      <xdr:rowOff>247650</xdr:rowOff>
    </xdr:to>
    <xdr:sp macro="" textlink="">
      <xdr:nvSpPr>
        <xdr:cNvPr id="13630" name="Freeform 1213">
          <a:extLst>
            <a:ext uri="{FF2B5EF4-FFF2-40B4-BE49-F238E27FC236}">
              <a16:creationId xmlns:a16="http://schemas.microsoft.com/office/drawing/2014/main" id="{00000000-0008-0000-0700-00003E350000}"/>
            </a:ext>
          </a:extLst>
        </xdr:cNvPr>
        <xdr:cNvSpPr>
          <a:spLocks/>
        </xdr:cNvSpPr>
      </xdr:nvSpPr>
      <xdr:spPr bwMode="auto">
        <a:xfrm>
          <a:off x="6915150" y="866775"/>
          <a:ext cx="9525" cy="1866900"/>
        </a:xfrm>
        <a:custGeom>
          <a:avLst/>
          <a:gdLst>
            <a:gd name="T0" fmla="*/ 0 w 62"/>
            <a:gd name="T1" fmla="*/ 2147483647 h 7583"/>
            <a:gd name="T2" fmla="*/ 0 w 62"/>
            <a:gd name="T3" fmla="*/ 2147483647 h 7583"/>
            <a:gd name="T4" fmla="*/ 0 w 62"/>
            <a:gd name="T5" fmla="*/ 2147483647 h 7583"/>
            <a:gd name="T6" fmla="*/ 0 w 62"/>
            <a:gd name="T7" fmla="*/ 0 h 7583"/>
            <a:gd name="T8" fmla="*/ 0 w 62"/>
            <a:gd name="T9" fmla="*/ 0 h 7583"/>
            <a:gd name="T10" fmla="*/ 0 w 62"/>
            <a:gd name="T11" fmla="*/ 0 h 7583"/>
            <a:gd name="T12" fmla="*/ 0 w 62"/>
            <a:gd name="T13" fmla="*/ 2147483647 h 758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7583"/>
            <a:gd name="T23" fmla="*/ 62 w 62"/>
            <a:gd name="T24" fmla="*/ 7583 h 758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7583">
              <a:moveTo>
                <a:pt x="0" y="7583"/>
              </a:moveTo>
              <a:lnTo>
                <a:pt x="31" y="7583"/>
              </a:lnTo>
              <a:lnTo>
                <a:pt x="62" y="7583"/>
              </a:lnTo>
              <a:lnTo>
                <a:pt x="62" y="0"/>
              </a:lnTo>
              <a:lnTo>
                <a:pt x="31" y="0"/>
              </a:lnTo>
              <a:lnTo>
                <a:pt x="0" y="0"/>
              </a:lnTo>
              <a:lnTo>
                <a:pt x="0" y="758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342900</xdr:colOff>
      <xdr:row>4</xdr:row>
      <xdr:rowOff>123825</xdr:rowOff>
    </xdr:from>
    <xdr:to>
      <xdr:col>10</xdr:col>
      <xdr:colOff>352425</xdr:colOff>
      <xdr:row>12</xdr:row>
      <xdr:rowOff>247650</xdr:rowOff>
    </xdr:to>
    <xdr:sp macro="" textlink="">
      <xdr:nvSpPr>
        <xdr:cNvPr id="13631" name="Freeform 1214">
          <a:extLst>
            <a:ext uri="{FF2B5EF4-FFF2-40B4-BE49-F238E27FC236}">
              <a16:creationId xmlns:a16="http://schemas.microsoft.com/office/drawing/2014/main" id="{00000000-0008-0000-0700-00003F350000}"/>
            </a:ext>
          </a:extLst>
        </xdr:cNvPr>
        <xdr:cNvSpPr>
          <a:spLocks/>
        </xdr:cNvSpPr>
      </xdr:nvSpPr>
      <xdr:spPr bwMode="auto">
        <a:xfrm>
          <a:off x="6915150" y="866775"/>
          <a:ext cx="9525" cy="1866900"/>
        </a:xfrm>
        <a:custGeom>
          <a:avLst/>
          <a:gdLst>
            <a:gd name="T0" fmla="*/ 0 w 62"/>
            <a:gd name="T1" fmla="*/ 2147483647 h 7583"/>
            <a:gd name="T2" fmla="*/ 0 w 62"/>
            <a:gd name="T3" fmla="*/ 2147483647 h 7583"/>
            <a:gd name="T4" fmla="*/ 0 w 62"/>
            <a:gd name="T5" fmla="*/ 2147483647 h 7583"/>
            <a:gd name="T6" fmla="*/ 0 w 62"/>
            <a:gd name="T7" fmla="*/ 0 h 7583"/>
            <a:gd name="T8" fmla="*/ 0 w 62"/>
            <a:gd name="T9" fmla="*/ 0 h 7583"/>
            <a:gd name="T10" fmla="*/ 0 w 62"/>
            <a:gd name="T11" fmla="*/ 0 h 7583"/>
            <a:gd name="T12" fmla="*/ 0 w 62"/>
            <a:gd name="T13" fmla="*/ 2147483647 h 758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7583"/>
            <a:gd name="T23" fmla="*/ 62 w 62"/>
            <a:gd name="T24" fmla="*/ 7583 h 758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7583">
              <a:moveTo>
                <a:pt x="0" y="7583"/>
              </a:moveTo>
              <a:lnTo>
                <a:pt x="31" y="7583"/>
              </a:lnTo>
              <a:lnTo>
                <a:pt x="62" y="7583"/>
              </a:lnTo>
              <a:lnTo>
                <a:pt x="62" y="0"/>
              </a:lnTo>
              <a:lnTo>
                <a:pt x="31" y="0"/>
              </a:lnTo>
              <a:lnTo>
                <a:pt x="0" y="0"/>
              </a:lnTo>
              <a:lnTo>
                <a:pt x="0" y="7583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342900</xdr:colOff>
      <xdr:row>4</xdr:row>
      <xdr:rowOff>114300</xdr:rowOff>
    </xdr:from>
    <xdr:to>
      <xdr:col>10</xdr:col>
      <xdr:colOff>352425</xdr:colOff>
      <xdr:row>4</xdr:row>
      <xdr:rowOff>123825</xdr:rowOff>
    </xdr:to>
    <xdr:sp macro="" textlink="">
      <xdr:nvSpPr>
        <xdr:cNvPr id="13632" name="Freeform 1215">
          <a:extLst>
            <a:ext uri="{FF2B5EF4-FFF2-40B4-BE49-F238E27FC236}">
              <a16:creationId xmlns:a16="http://schemas.microsoft.com/office/drawing/2014/main" id="{00000000-0008-0000-0700-000040350000}"/>
            </a:ext>
          </a:extLst>
        </xdr:cNvPr>
        <xdr:cNvSpPr>
          <a:spLocks/>
        </xdr:cNvSpPr>
      </xdr:nvSpPr>
      <xdr:spPr bwMode="auto">
        <a:xfrm>
          <a:off x="6915150" y="857250"/>
          <a:ext cx="9525" cy="9525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w 62"/>
            <a:gd name="T25" fmla="*/ 0 h 30"/>
            <a:gd name="T26" fmla="*/ 0 w 62"/>
            <a:gd name="T27" fmla="*/ 0 h 30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2"/>
            <a:gd name="T43" fmla="*/ 0 h 30"/>
            <a:gd name="T44" fmla="*/ 62 w 62"/>
            <a:gd name="T45" fmla="*/ 30 h 30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2" h="30">
              <a:moveTo>
                <a:pt x="31" y="30"/>
              </a:moveTo>
              <a:lnTo>
                <a:pt x="0" y="30"/>
              </a:lnTo>
              <a:lnTo>
                <a:pt x="1" y="22"/>
              </a:lnTo>
              <a:lnTo>
                <a:pt x="4" y="13"/>
              </a:lnTo>
              <a:lnTo>
                <a:pt x="11" y="7"/>
              </a:lnTo>
              <a:lnTo>
                <a:pt x="18" y="2"/>
              </a:lnTo>
              <a:lnTo>
                <a:pt x="27" y="0"/>
              </a:lnTo>
              <a:lnTo>
                <a:pt x="35" y="0"/>
              </a:lnTo>
              <a:lnTo>
                <a:pt x="43" y="2"/>
              </a:lnTo>
              <a:lnTo>
                <a:pt x="51" y="7"/>
              </a:lnTo>
              <a:lnTo>
                <a:pt x="57" y="13"/>
              </a:lnTo>
              <a:lnTo>
                <a:pt x="60" y="22"/>
              </a:lnTo>
              <a:lnTo>
                <a:pt x="62" y="30"/>
              </a:lnTo>
              <a:lnTo>
                <a:pt x="31" y="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342900</xdr:colOff>
      <xdr:row>4</xdr:row>
      <xdr:rowOff>114300</xdr:rowOff>
    </xdr:from>
    <xdr:to>
      <xdr:col>10</xdr:col>
      <xdr:colOff>352425</xdr:colOff>
      <xdr:row>4</xdr:row>
      <xdr:rowOff>123825</xdr:rowOff>
    </xdr:to>
    <xdr:sp macro="" textlink="">
      <xdr:nvSpPr>
        <xdr:cNvPr id="13633" name="Freeform 1216">
          <a:extLst>
            <a:ext uri="{FF2B5EF4-FFF2-40B4-BE49-F238E27FC236}">
              <a16:creationId xmlns:a16="http://schemas.microsoft.com/office/drawing/2014/main" id="{00000000-0008-0000-0700-000041350000}"/>
            </a:ext>
          </a:extLst>
        </xdr:cNvPr>
        <xdr:cNvSpPr>
          <a:spLocks/>
        </xdr:cNvSpPr>
      </xdr:nvSpPr>
      <xdr:spPr bwMode="auto">
        <a:xfrm>
          <a:off x="6915150" y="857250"/>
          <a:ext cx="9525" cy="9525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2"/>
            <a:gd name="T37" fmla="*/ 0 h 30"/>
            <a:gd name="T38" fmla="*/ 62 w 62"/>
            <a:gd name="T39" fmla="*/ 30 h 30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2" h="30">
              <a:moveTo>
                <a:pt x="0" y="30"/>
              </a:moveTo>
              <a:lnTo>
                <a:pt x="1" y="22"/>
              </a:lnTo>
              <a:lnTo>
                <a:pt x="4" y="13"/>
              </a:lnTo>
              <a:lnTo>
                <a:pt x="11" y="7"/>
              </a:lnTo>
              <a:lnTo>
                <a:pt x="18" y="2"/>
              </a:lnTo>
              <a:lnTo>
                <a:pt x="27" y="0"/>
              </a:lnTo>
              <a:lnTo>
                <a:pt x="35" y="0"/>
              </a:lnTo>
              <a:lnTo>
                <a:pt x="43" y="2"/>
              </a:lnTo>
              <a:lnTo>
                <a:pt x="51" y="7"/>
              </a:lnTo>
              <a:lnTo>
                <a:pt x="57" y="13"/>
              </a:lnTo>
              <a:lnTo>
                <a:pt x="60" y="22"/>
              </a:lnTo>
              <a:lnTo>
                <a:pt x="62" y="3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1</xdr:row>
      <xdr:rowOff>95250</xdr:rowOff>
    </xdr:from>
    <xdr:to>
      <xdr:col>11</xdr:col>
      <xdr:colOff>381000</xdr:colOff>
      <xdr:row>1</xdr:row>
      <xdr:rowOff>114300</xdr:rowOff>
    </xdr:to>
    <xdr:sp macro="" textlink="">
      <xdr:nvSpPr>
        <xdr:cNvPr id="13634" name="Freeform 1217">
          <a:extLst>
            <a:ext uri="{FF2B5EF4-FFF2-40B4-BE49-F238E27FC236}">
              <a16:creationId xmlns:a16="http://schemas.microsoft.com/office/drawing/2014/main" id="{00000000-0008-0000-0700-000042350000}"/>
            </a:ext>
          </a:extLst>
        </xdr:cNvPr>
        <xdr:cNvSpPr>
          <a:spLocks/>
        </xdr:cNvSpPr>
      </xdr:nvSpPr>
      <xdr:spPr bwMode="auto">
        <a:xfrm>
          <a:off x="7477125" y="257175"/>
          <a:ext cx="9525" cy="19050"/>
        </a:xfrm>
        <a:custGeom>
          <a:avLst/>
          <a:gdLst>
            <a:gd name="T0" fmla="*/ 0 w 31"/>
            <a:gd name="T1" fmla="*/ 0 h 62"/>
            <a:gd name="T2" fmla="*/ 0 w 31"/>
            <a:gd name="T3" fmla="*/ 0 h 62"/>
            <a:gd name="T4" fmla="*/ 0 w 31"/>
            <a:gd name="T5" fmla="*/ 0 h 62"/>
            <a:gd name="T6" fmla="*/ 0 w 31"/>
            <a:gd name="T7" fmla="*/ 0 h 62"/>
            <a:gd name="T8" fmla="*/ 0 w 31"/>
            <a:gd name="T9" fmla="*/ 0 h 62"/>
            <a:gd name="T10" fmla="*/ 0 w 31"/>
            <a:gd name="T11" fmla="*/ 0 h 62"/>
            <a:gd name="T12" fmla="*/ 0 w 31"/>
            <a:gd name="T13" fmla="*/ 0 h 62"/>
            <a:gd name="T14" fmla="*/ 0 w 31"/>
            <a:gd name="T15" fmla="*/ 0 h 62"/>
            <a:gd name="T16" fmla="*/ 0 w 31"/>
            <a:gd name="T17" fmla="*/ 0 h 62"/>
            <a:gd name="T18" fmla="*/ 0 w 31"/>
            <a:gd name="T19" fmla="*/ 0 h 62"/>
            <a:gd name="T20" fmla="*/ 0 w 31"/>
            <a:gd name="T21" fmla="*/ 0 h 62"/>
            <a:gd name="T22" fmla="*/ 0 w 31"/>
            <a:gd name="T23" fmla="*/ 0 h 62"/>
            <a:gd name="T24" fmla="*/ 0 w 31"/>
            <a:gd name="T25" fmla="*/ 0 h 62"/>
            <a:gd name="T26" fmla="*/ 0 w 31"/>
            <a:gd name="T27" fmla="*/ 0 h 6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1"/>
            <a:gd name="T43" fmla="*/ 0 h 62"/>
            <a:gd name="T44" fmla="*/ 31 w 31"/>
            <a:gd name="T45" fmla="*/ 62 h 6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1" h="62">
              <a:moveTo>
                <a:pt x="31" y="32"/>
              </a:moveTo>
              <a:lnTo>
                <a:pt x="31" y="62"/>
              </a:lnTo>
              <a:lnTo>
                <a:pt x="22" y="61"/>
              </a:lnTo>
              <a:lnTo>
                <a:pt x="14" y="58"/>
              </a:lnTo>
              <a:lnTo>
                <a:pt x="7" y="51"/>
              </a:lnTo>
              <a:lnTo>
                <a:pt x="2" y="44"/>
              </a:lnTo>
              <a:lnTo>
                <a:pt x="0" y="36"/>
              </a:lnTo>
              <a:lnTo>
                <a:pt x="0" y="27"/>
              </a:lnTo>
              <a:lnTo>
                <a:pt x="2" y="19"/>
              </a:lnTo>
              <a:lnTo>
                <a:pt x="7" y="12"/>
              </a:lnTo>
              <a:lnTo>
                <a:pt x="14" y="5"/>
              </a:lnTo>
              <a:lnTo>
                <a:pt x="22" y="2"/>
              </a:lnTo>
              <a:lnTo>
                <a:pt x="31" y="0"/>
              </a:lnTo>
              <a:lnTo>
                <a:pt x="31" y="3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1</xdr:row>
      <xdr:rowOff>95250</xdr:rowOff>
    </xdr:from>
    <xdr:to>
      <xdr:col>11</xdr:col>
      <xdr:colOff>381000</xdr:colOff>
      <xdr:row>1</xdr:row>
      <xdr:rowOff>114300</xdr:rowOff>
    </xdr:to>
    <xdr:sp macro="" textlink="">
      <xdr:nvSpPr>
        <xdr:cNvPr id="13635" name="Freeform 1218">
          <a:extLst>
            <a:ext uri="{FF2B5EF4-FFF2-40B4-BE49-F238E27FC236}">
              <a16:creationId xmlns:a16="http://schemas.microsoft.com/office/drawing/2014/main" id="{00000000-0008-0000-0700-000043350000}"/>
            </a:ext>
          </a:extLst>
        </xdr:cNvPr>
        <xdr:cNvSpPr>
          <a:spLocks/>
        </xdr:cNvSpPr>
      </xdr:nvSpPr>
      <xdr:spPr bwMode="auto">
        <a:xfrm>
          <a:off x="7477125" y="257175"/>
          <a:ext cx="9525" cy="19050"/>
        </a:xfrm>
        <a:custGeom>
          <a:avLst/>
          <a:gdLst>
            <a:gd name="T0" fmla="*/ 0 w 31"/>
            <a:gd name="T1" fmla="*/ 0 h 62"/>
            <a:gd name="T2" fmla="*/ 0 w 31"/>
            <a:gd name="T3" fmla="*/ 0 h 62"/>
            <a:gd name="T4" fmla="*/ 0 w 31"/>
            <a:gd name="T5" fmla="*/ 0 h 62"/>
            <a:gd name="T6" fmla="*/ 0 w 31"/>
            <a:gd name="T7" fmla="*/ 0 h 62"/>
            <a:gd name="T8" fmla="*/ 0 w 31"/>
            <a:gd name="T9" fmla="*/ 0 h 62"/>
            <a:gd name="T10" fmla="*/ 0 w 31"/>
            <a:gd name="T11" fmla="*/ 0 h 62"/>
            <a:gd name="T12" fmla="*/ 0 w 31"/>
            <a:gd name="T13" fmla="*/ 0 h 62"/>
            <a:gd name="T14" fmla="*/ 0 w 31"/>
            <a:gd name="T15" fmla="*/ 0 h 62"/>
            <a:gd name="T16" fmla="*/ 0 w 31"/>
            <a:gd name="T17" fmla="*/ 0 h 62"/>
            <a:gd name="T18" fmla="*/ 0 w 31"/>
            <a:gd name="T19" fmla="*/ 0 h 62"/>
            <a:gd name="T20" fmla="*/ 0 w 31"/>
            <a:gd name="T21" fmla="*/ 0 h 62"/>
            <a:gd name="T22" fmla="*/ 0 w 31"/>
            <a:gd name="T23" fmla="*/ 0 h 6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1"/>
            <a:gd name="T37" fmla="*/ 0 h 62"/>
            <a:gd name="T38" fmla="*/ 31 w 31"/>
            <a:gd name="T39" fmla="*/ 62 h 6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1" h="62">
              <a:moveTo>
                <a:pt x="31" y="62"/>
              </a:moveTo>
              <a:lnTo>
                <a:pt x="22" y="61"/>
              </a:lnTo>
              <a:lnTo>
                <a:pt x="14" y="58"/>
              </a:lnTo>
              <a:lnTo>
                <a:pt x="7" y="51"/>
              </a:lnTo>
              <a:lnTo>
                <a:pt x="2" y="44"/>
              </a:lnTo>
              <a:lnTo>
                <a:pt x="0" y="36"/>
              </a:lnTo>
              <a:lnTo>
                <a:pt x="0" y="27"/>
              </a:lnTo>
              <a:lnTo>
                <a:pt x="2" y="19"/>
              </a:lnTo>
              <a:lnTo>
                <a:pt x="7" y="12"/>
              </a:lnTo>
              <a:lnTo>
                <a:pt x="14" y="5"/>
              </a:lnTo>
              <a:lnTo>
                <a:pt x="22" y="2"/>
              </a:lnTo>
              <a:lnTo>
                <a:pt x="3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1</xdr:row>
      <xdr:rowOff>95250</xdr:rowOff>
    </xdr:from>
    <xdr:to>
      <xdr:col>14</xdr:col>
      <xdr:colOff>304800</xdr:colOff>
      <xdr:row>1</xdr:row>
      <xdr:rowOff>114300</xdr:rowOff>
    </xdr:to>
    <xdr:sp macro="" textlink="">
      <xdr:nvSpPr>
        <xdr:cNvPr id="13636" name="Freeform 1219">
          <a:extLst>
            <a:ext uri="{FF2B5EF4-FFF2-40B4-BE49-F238E27FC236}">
              <a16:creationId xmlns:a16="http://schemas.microsoft.com/office/drawing/2014/main" id="{00000000-0008-0000-0700-000044350000}"/>
            </a:ext>
          </a:extLst>
        </xdr:cNvPr>
        <xdr:cNvSpPr>
          <a:spLocks/>
        </xdr:cNvSpPr>
      </xdr:nvSpPr>
      <xdr:spPr bwMode="auto">
        <a:xfrm>
          <a:off x="7477125" y="257175"/>
          <a:ext cx="1533525" cy="19050"/>
        </a:xfrm>
        <a:custGeom>
          <a:avLst/>
          <a:gdLst>
            <a:gd name="T0" fmla="*/ 0 w 7606"/>
            <a:gd name="T1" fmla="*/ 0 h 62"/>
            <a:gd name="T2" fmla="*/ 0 w 7606"/>
            <a:gd name="T3" fmla="*/ 0 h 62"/>
            <a:gd name="T4" fmla="*/ 0 w 7606"/>
            <a:gd name="T5" fmla="*/ 0 h 62"/>
            <a:gd name="T6" fmla="*/ 2147483647 w 7606"/>
            <a:gd name="T7" fmla="*/ 0 h 62"/>
            <a:gd name="T8" fmla="*/ 2147483647 w 7606"/>
            <a:gd name="T9" fmla="*/ 0 h 62"/>
            <a:gd name="T10" fmla="*/ 2147483647 w 7606"/>
            <a:gd name="T11" fmla="*/ 0 h 62"/>
            <a:gd name="T12" fmla="*/ 0 w 7606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606"/>
            <a:gd name="T22" fmla="*/ 0 h 62"/>
            <a:gd name="T23" fmla="*/ 7606 w 7606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606" h="62">
              <a:moveTo>
                <a:pt x="0" y="0"/>
              </a:moveTo>
              <a:lnTo>
                <a:pt x="0" y="32"/>
              </a:lnTo>
              <a:lnTo>
                <a:pt x="0" y="62"/>
              </a:lnTo>
              <a:lnTo>
                <a:pt x="7606" y="62"/>
              </a:lnTo>
              <a:lnTo>
                <a:pt x="7606" y="32"/>
              </a:lnTo>
              <a:lnTo>
                <a:pt x="7606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1</xdr:row>
      <xdr:rowOff>95250</xdr:rowOff>
    </xdr:from>
    <xdr:to>
      <xdr:col>14</xdr:col>
      <xdr:colOff>304800</xdr:colOff>
      <xdr:row>1</xdr:row>
      <xdr:rowOff>114300</xdr:rowOff>
    </xdr:to>
    <xdr:sp macro="" textlink="">
      <xdr:nvSpPr>
        <xdr:cNvPr id="13637" name="Freeform 1220">
          <a:extLst>
            <a:ext uri="{FF2B5EF4-FFF2-40B4-BE49-F238E27FC236}">
              <a16:creationId xmlns:a16="http://schemas.microsoft.com/office/drawing/2014/main" id="{00000000-0008-0000-0700-000045350000}"/>
            </a:ext>
          </a:extLst>
        </xdr:cNvPr>
        <xdr:cNvSpPr>
          <a:spLocks/>
        </xdr:cNvSpPr>
      </xdr:nvSpPr>
      <xdr:spPr bwMode="auto">
        <a:xfrm>
          <a:off x="7477125" y="257175"/>
          <a:ext cx="1533525" cy="19050"/>
        </a:xfrm>
        <a:custGeom>
          <a:avLst/>
          <a:gdLst>
            <a:gd name="T0" fmla="*/ 0 w 7606"/>
            <a:gd name="T1" fmla="*/ 0 h 62"/>
            <a:gd name="T2" fmla="*/ 0 w 7606"/>
            <a:gd name="T3" fmla="*/ 0 h 62"/>
            <a:gd name="T4" fmla="*/ 0 w 7606"/>
            <a:gd name="T5" fmla="*/ 0 h 62"/>
            <a:gd name="T6" fmla="*/ 2147483647 w 7606"/>
            <a:gd name="T7" fmla="*/ 0 h 62"/>
            <a:gd name="T8" fmla="*/ 2147483647 w 7606"/>
            <a:gd name="T9" fmla="*/ 0 h 62"/>
            <a:gd name="T10" fmla="*/ 2147483647 w 7606"/>
            <a:gd name="T11" fmla="*/ 0 h 62"/>
            <a:gd name="T12" fmla="*/ 0 w 7606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606"/>
            <a:gd name="T22" fmla="*/ 0 h 62"/>
            <a:gd name="T23" fmla="*/ 7606 w 7606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606" h="62">
              <a:moveTo>
                <a:pt x="0" y="0"/>
              </a:moveTo>
              <a:lnTo>
                <a:pt x="0" y="32"/>
              </a:lnTo>
              <a:lnTo>
                <a:pt x="0" y="62"/>
              </a:lnTo>
              <a:lnTo>
                <a:pt x="7606" y="62"/>
              </a:lnTo>
              <a:lnTo>
                <a:pt x="7606" y="32"/>
              </a:lnTo>
              <a:lnTo>
                <a:pt x="7606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304800</xdr:colOff>
      <xdr:row>1</xdr:row>
      <xdr:rowOff>95250</xdr:rowOff>
    </xdr:from>
    <xdr:to>
      <xdr:col>14</xdr:col>
      <xdr:colOff>304800</xdr:colOff>
      <xdr:row>1</xdr:row>
      <xdr:rowOff>114300</xdr:rowOff>
    </xdr:to>
    <xdr:sp macro="" textlink="">
      <xdr:nvSpPr>
        <xdr:cNvPr id="13638" name="Freeform 1221">
          <a:extLst>
            <a:ext uri="{FF2B5EF4-FFF2-40B4-BE49-F238E27FC236}">
              <a16:creationId xmlns:a16="http://schemas.microsoft.com/office/drawing/2014/main" id="{00000000-0008-0000-0700-000046350000}"/>
            </a:ext>
          </a:extLst>
        </xdr:cNvPr>
        <xdr:cNvSpPr>
          <a:spLocks/>
        </xdr:cNvSpPr>
      </xdr:nvSpPr>
      <xdr:spPr bwMode="auto">
        <a:xfrm>
          <a:off x="9010650" y="257175"/>
          <a:ext cx="0" cy="19050"/>
        </a:xfrm>
        <a:custGeom>
          <a:avLst/>
          <a:gdLst>
            <a:gd name="T0" fmla="*/ 0 w 30"/>
            <a:gd name="T1" fmla="*/ 0 h 62"/>
            <a:gd name="T2" fmla="*/ 0 w 30"/>
            <a:gd name="T3" fmla="*/ 0 h 62"/>
            <a:gd name="T4" fmla="*/ 0 w 30"/>
            <a:gd name="T5" fmla="*/ 0 h 62"/>
            <a:gd name="T6" fmla="*/ 0 w 30"/>
            <a:gd name="T7" fmla="*/ 0 h 62"/>
            <a:gd name="T8" fmla="*/ 0 w 30"/>
            <a:gd name="T9" fmla="*/ 0 h 62"/>
            <a:gd name="T10" fmla="*/ 0 w 30"/>
            <a:gd name="T11" fmla="*/ 0 h 62"/>
            <a:gd name="T12" fmla="*/ 0 w 30"/>
            <a:gd name="T13" fmla="*/ 0 h 62"/>
            <a:gd name="T14" fmla="*/ 0 w 30"/>
            <a:gd name="T15" fmla="*/ 0 h 62"/>
            <a:gd name="T16" fmla="*/ 0 w 30"/>
            <a:gd name="T17" fmla="*/ 0 h 62"/>
            <a:gd name="T18" fmla="*/ 0 w 30"/>
            <a:gd name="T19" fmla="*/ 0 h 62"/>
            <a:gd name="T20" fmla="*/ 0 w 30"/>
            <a:gd name="T21" fmla="*/ 0 h 62"/>
            <a:gd name="T22" fmla="*/ 0 w 30"/>
            <a:gd name="T23" fmla="*/ 0 h 62"/>
            <a:gd name="T24" fmla="*/ 0 w 30"/>
            <a:gd name="T25" fmla="*/ 0 h 62"/>
            <a:gd name="T26" fmla="*/ 0 w 30"/>
            <a:gd name="T27" fmla="*/ 0 h 6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0"/>
            <a:gd name="T43" fmla="*/ 0 h 62"/>
            <a:gd name="T44" fmla="*/ 0 w 30"/>
            <a:gd name="T45" fmla="*/ 62 h 6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0" h="62">
              <a:moveTo>
                <a:pt x="0" y="32"/>
              </a:moveTo>
              <a:lnTo>
                <a:pt x="0" y="0"/>
              </a:lnTo>
              <a:lnTo>
                <a:pt x="8" y="2"/>
              </a:lnTo>
              <a:lnTo>
                <a:pt x="17" y="5"/>
              </a:lnTo>
              <a:lnTo>
                <a:pt x="23" y="12"/>
              </a:lnTo>
              <a:lnTo>
                <a:pt x="28" y="19"/>
              </a:lnTo>
              <a:lnTo>
                <a:pt x="30" y="27"/>
              </a:lnTo>
              <a:lnTo>
                <a:pt x="30" y="36"/>
              </a:lnTo>
              <a:lnTo>
                <a:pt x="28" y="44"/>
              </a:lnTo>
              <a:lnTo>
                <a:pt x="23" y="51"/>
              </a:lnTo>
              <a:lnTo>
                <a:pt x="17" y="58"/>
              </a:lnTo>
              <a:lnTo>
                <a:pt x="8" y="61"/>
              </a:lnTo>
              <a:lnTo>
                <a:pt x="0" y="62"/>
              </a:lnTo>
              <a:lnTo>
                <a:pt x="0" y="3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304800</xdr:colOff>
      <xdr:row>1</xdr:row>
      <xdr:rowOff>95250</xdr:rowOff>
    </xdr:from>
    <xdr:to>
      <xdr:col>14</xdr:col>
      <xdr:colOff>304800</xdr:colOff>
      <xdr:row>1</xdr:row>
      <xdr:rowOff>114300</xdr:rowOff>
    </xdr:to>
    <xdr:sp macro="" textlink="">
      <xdr:nvSpPr>
        <xdr:cNvPr id="13639" name="Freeform 1222">
          <a:extLst>
            <a:ext uri="{FF2B5EF4-FFF2-40B4-BE49-F238E27FC236}">
              <a16:creationId xmlns:a16="http://schemas.microsoft.com/office/drawing/2014/main" id="{00000000-0008-0000-0700-000047350000}"/>
            </a:ext>
          </a:extLst>
        </xdr:cNvPr>
        <xdr:cNvSpPr>
          <a:spLocks/>
        </xdr:cNvSpPr>
      </xdr:nvSpPr>
      <xdr:spPr bwMode="auto">
        <a:xfrm>
          <a:off x="9010650" y="257175"/>
          <a:ext cx="0" cy="19050"/>
        </a:xfrm>
        <a:custGeom>
          <a:avLst/>
          <a:gdLst>
            <a:gd name="T0" fmla="*/ 0 w 30"/>
            <a:gd name="T1" fmla="*/ 0 h 62"/>
            <a:gd name="T2" fmla="*/ 0 w 30"/>
            <a:gd name="T3" fmla="*/ 0 h 62"/>
            <a:gd name="T4" fmla="*/ 0 w 30"/>
            <a:gd name="T5" fmla="*/ 0 h 62"/>
            <a:gd name="T6" fmla="*/ 0 w 30"/>
            <a:gd name="T7" fmla="*/ 0 h 62"/>
            <a:gd name="T8" fmla="*/ 0 w 30"/>
            <a:gd name="T9" fmla="*/ 0 h 62"/>
            <a:gd name="T10" fmla="*/ 0 w 30"/>
            <a:gd name="T11" fmla="*/ 0 h 62"/>
            <a:gd name="T12" fmla="*/ 0 w 30"/>
            <a:gd name="T13" fmla="*/ 0 h 62"/>
            <a:gd name="T14" fmla="*/ 0 w 30"/>
            <a:gd name="T15" fmla="*/ 0 h 62"/>
            <a:gd name="T16" fmla="*/ 0 w 30"/>
            <a:gd name="T17" fmla="*/ 0 h 62"/>
            <a:gd name="T18" fmla="*/ 0 w 30"/>
            <a:gd name="T19" fmla="*/ 0 h 62"/>
            <a:gd name="T20" fmla="*/ 0 w 30"/>
            <a:gd name="T21" fmla="*/ 0 h 62"/>
            <a:gd name="T22" fmla="*/ 0 w 30"/>
            <a:gd name="T23" fmla="*/ 0 h 6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0"/>
            <a:gd name="T37" fmla="*/ 0 h 62"/>
            <a:gd name="T38" fmla="*/ 0 w 30"/>
            <a:gd name="T39" fmla="*/ 62 h 6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0" h="62">
              <a:moveTo>
                <a:pt x="0" y="0"/>
              </a:moveTo>
              <a:lnTo>
                <a:pt x="8" y="2"/>
              </a:lnTo>
              <a:lnTo>
                <a:pt x="17" y="5"/>
              </a:lnTo>
              <a:lnTo>
                <a:pt x="23" y="12"/>
              </a:lnTo>
              <a:lnTo>
                <a:pt x="28" y="19"/>
              </a:lnTo>
              <a:lnTo>
                <a:pt x="30" y="27"/>
              </a:lnTo>
              <a:lnTo>
                <a:pt x="30" y="36"/>
              </a:lnTo>
              <a:lnTo>
                <a:pt x="28" y="44"/>
              </a:lnTo>
              <a:lnTo>
                <a:pt x="23" y="51"/>
              </a:lnTo>
              <a:lnTo>
                <a:pt x="17" y="58"/>
              </a:lnTo>
              <a:lnTo>
                <a:pt x="8" y="61"/>
              </a:lnTo>
              <a:lnTo>
                <a:pt x="0" y="6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266700</xdr:colOff>
      <xdr:row>4</xdr:row>
      <xdr:rowOff>114300</xdr:rowOff>
    </xdr:from>
    <xdr:to>
      <xdr:col>13</xdr:col>
      <xdr:colOff>276225</xdr:colOff>
      <xdr:row>4</xdr:row>
      <xdr:rowOff>133350</xdr:rowOff>
    </xdr:to>
    <xdr:sp macro="" textlink="">
      <xdr:nvSpPr>
        <xdr:cNvPr id="13640" name="Freeform 1223">
          <a:extLst>
            <a:ext uri="{FF2B5EF4-FFF2-40B4-BE49-F238E27FC236}">
              <a16:creationId xmlns:a16="http://schemas.microsoft.com/office/drawing/2014/main" id="{00000000-0008-0000-0700-000048350000}"/>
            </a:ext>
          </a:extLst>
        </xdr:cNvPr>
        <xdr:cNvSpPr>
          <a:spLocks/>
        </xdr:cNvSpPr>
      </xdr:nvSpPr>
      <xdr:spPr bwMode="auto">
        <a:xfrm>
          <a:off x="8439150" y="857250"/>
          <a:ext cx="9525" cy="19050"/>
        </a:xfrm>
        <a:custGeom>
          <a:avLst/>
          <a:gdLst>
            <a:gd name="T0" fmla="*/ 0 w 51"/>
            <a:gd name="T1" fmla="*/ 0 h 54"/>
            <a:gd name="T2" fmla="*/ 0 w 51"/>
            <a:gd name="T3" fmla="*/ 0 h 54"/>
            <a:gd name="T4" fmla="*/ 0 w 51"/>
            <a:gd name="T5" fmla="*/ 0 h 54"/>
            <a:gd name="T6" fmla="*/ 0 w 51"/>
            <a:gd name="T7" fmla="*/ 0 h 54"/>
            <a:gd name="T8" fmla="*/ 0 w 51"/>
            <a:gd name="T9" fmla="*/ 0 h 54"/>
            <a:gd name="T10" fmla="*/ 0 w 51"/>
            <a:gd name="T11" fmla="*/ 0 h 54"/>
            <a:gd name="T12" fmla="*/ 0 w 51"/>
            <a:gd name="T13" fmla="*/ 0 h 54"/>
            <a:gd name="T14" fmla="*/ 0 w 51"/>
            <a:gd name="T15" fmla="*/ 0 h 54"/>
            <a:gd name="T16" fmla="*/ 0 w 51"/>
            <a:gd name="T17" fmla="*/ 0 h 54"/>
            <a:gd name="T18" fmla="*/ 0 w 51"/>
            <a:gd name="T19" fmla="*/ 0 h 54"/>
            <a:gd name="T20" fmla="*/ 0 w 51"/>
            <a:gd name="T21" fmla="*/ 0 h 54"/>
            <a:gd name="T22" fmla="*/ 0 w 51"/>
            <a:gd name="T23" fmla="*/ 0 h 54"/>
            <a:gd name="T24" fmla="*/ 0 w 51"/>
            <a:gd name="T25" fmla="*/ 0 h 54"/>
            <a:gd name="T26" fmla="*/ 0 w 51"/>
            <a:gd name="T27" fmla="*/ 0 h 54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1"/>
            <a:gd name="T43" fmla="*/ 0 h 54"/>
            <a:gd name="T44" fmla="*/ 51 w 51"/>
            <a:gd name="T45" fmla="*/ 54 h 54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1" h="54">
              <a:moveTo>
                <a:pt x="31" y="23"/>
              </a:moveTo>
              <a:lnTo>
                <a:pt x="51" y="46"/>
              </a:lnTo>
              <a:lnTo>
                <a:pt x="43" y="52"/>
              </a:lnTo>
              <a:lnTo>
                <a:pt x="35" y="54"/>
              </a:lnTo>
              <a:lnTo>
                <a:pt x="27" y="54"/>
              </a:lnTo>
              <a:lnTo>
                <a:pt x="18" y="52"/>
              </a:lnTo>
              <a:lnTo>
                <a:pt x="11" y="46"/>
              </a:lnTo>
              <a:lnTo>
                <a:pt x="5" y="40"/>
              </a:lnTo>
              <a:lnTo>
                <a:pt x="1" y="32"/>
              </a:lnTo>
              <a:lnTo>
                <a:pt x="0" y="23"/>
              </a:lnTo>
              <a:lnTo>
                <a:pt x="1" y="15"/>
              </a:lnTo>
              <a:lnTo>
                <a:pt x="5" y="6"/>
              </a:lnTo>
              <a:lnTo>
                <a:pt x="11" y="0"/>
              </a:lnTo>
              <a:lnTo>
                <a:pt x="31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266700</xdr:colOff>
      <xdr:row>4</xdr:row>
      <xdr:rowOff>114300</xdr:rowOff>
    </xdr:from>
    <xdr:to>
      <xdr:col>13</xdr:col>
      <xdr:colOff>276225</xdr:colOff>
      <xdr:row>4</xdr:row>
      <xdr:rowOff>133350</xdr:rowOff>
    </xdr:to>
    <xdr:sp macro="" textlink="">
      <xdr:nvSpPr>
        <xdr:cNvPr id="13641" name="Freeform 1224">
          <a:extLst>
            <a:ext uri="{FF2B5EF4-FFF2-40B4-BE49-F238E27FC236}">
              <a16:creationId xmlns:a16="http://schemas.microsoft.com/office/drawing/2014/main" id="{00000000-0008-0000-0700-000049350000}"/>
            </a:ext>
          </a:extLst>
        </xdr:cNvPr>
        <xdr:cNvSpPr>
          <a:spLocks/>
        </xdr:cNvSpPr>
      </xdr:nvSpPr>
      <xdr:spPr bwMode="auto">
        <a:xfrm>
          <a:off x="8439150" y="857250"/>
          <a:ext cx="9525" cy="19050"/>
        </a:xfrm>
        <a:custGeom>
          <a:avLst/>
          <a:gdLst>
            <a:gd name="T0" fmla="*/ 0 w 51"/>
            <a:gd name="T1" fmla="*/ 0 h 54"/>
            <a:gd name="T2" fmla="*/ 0 w 51"/>
            <a:gd name="T3" fmla="*/ 0 h 54"/>
            <a:gd name="T4" fmla="*/ 0 w 51"/>
            <a:gd name="T5" fmla="*/ 0 h 54"/>
            <a:gd name="T6" fmla="*/ 0 w 51"/>
            <a:gd name="T7" fmla="*/ 0 h 54"/>
            <a:gd name="T8" fmla="*/ 0 w 51"/>
            <a:gd name="T9" fmla="*/ 0 h 54"/>
            <a:gd name="T10" fmla="*/ 0 w 51"/>
            <a:gd name="T11" fmla="*/ 0 h 54"/>
            <a:gd name="T12" fmla="*/ 0 w 51"/>
            <a:gd name="T13" fmla="*/ 0 h 54"/>
            <a:gd name="T14" fmla="*/ 0 w 51"/>
            <a:gd name="T15" fmla="*/ 0 h 54"/>
            <a:gd name="T16" fmla="*/ 0 w 51"/>
            <a:gd name="T17" fmla="*/ 0 h 54"/>
            <a:gd name="T18" fmla="*/ 0 w 51"/>
            <a:gd name="T19" fmla="*/ 0 h 54"/>
            <a:gd name="T20" fmla="*/ 0 w 51"/>
            <a:gd name="T21" fmla="*/ 0 h 54"/>
            <a:gd name="T22" fmla="*/ 0 w 51"/>
            <a:gd name="T23" fmla="*/ 0 h 5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1"/>
            <a:gd name="T37" fmla="*/ 0 h 54"/>
            <a:gd name="T38" fmla="*/ 51 w 51"/>
            <a:gd name="T39" fmla="*/ 54 h 5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1" h="54">
              <a:moveTo>
                <a:pt x="51" y="46"/>
              </a:moveTo>
              <a:lnTo>
                <a:pt x="43" y="52"/>
              </a:lnTo>
              <a:lnTo>
                <a:pt x="35" y="54"/>
              </a:lnTo>
              <a:lnTo>
                <a:pt x="27" y="54"/>
              </a:lnTo>
              <a:lnTo>
                <a:pt x="18" y="52"/>
              </a:lnTo>
              <a:lnTo>
                <a:pt x="11" y="46"/>
              </a:lnTo>
              <a:lnTo>
                <a:pt x="5" y="40"/>
              </a:lnTo>
              <a:lnTo>
                <a:pt x="1" y="32"/>
              </a:lnTo>
              <a:lnTo>
                <a:pt x="0" y="23"/>
              </a:lnTo>
              <a:lnTo>
                <a:pt x="1" y="15"/>
              </a:lnTo>
              <a:lnTo>
                <a:pt x="5" y="6"/>
              </a:lnTo>
              <a:lnTo>
                <a:pt x="1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276225</xdr:colOff>
      <xdr:row>1</xdr:row>
      <xdr:rowOff>95250</xdr:rowOff>
    </xdr:from>
    <xdr:to>
      <xdr:col>14</xdr:col>
      <xdr:colOff>304800</xdr:colOff>
      <xdr:row>4</xdr:row>
      <xdr:rowOff>123825</xdr:rowOff>
    </xdr:to>
    <xdr:sp macro="" textlink="">
      <xdr:nvSpPr>
        <xdr:cNvPr id="13642" name="Freeform 1225">
          <a:extLst>
            <a:ext uri="{FF2B5EF4-FFF2-40B4-BE49-F238E27FC236}">
              <a16:creationId xmlns:a16="http://schemas.microsoft.com/office/drawing/2014/main" id="{00000000-0008-0000-0700-00004A350000}"/>
            </a:ext>
          </a:extLst>
        </xdr:cNvPr>
        <xdr:cNvSpPr>
          <a:spLocks/>
        </xdr:cNvSpPr>
      </xdr:nvSpPr>
      <xdr:spPr bwMode="auto">
        <a:xfrm>
          <a:off x="8448675" y="257175"/>
          <a:ext cx="561975" cy="609600"/>
        </a:xfrm>
        <a:custGeom>
          <a:avLst/>
          <a:gdLst>
            <a:gd name="T0" fmla="*/ 0 w 2872"/>
            <a:gd name="T1" fmla="*/ 2147483647 h 2496"/>
            <a:gd name="T2" fmla="*/ 0 w 2872"/>
            <a:gd name="T3" fmla="*/ 2147483647 h 2496"/>
            <a:gd name="T4" fmla="*/ 0 w 2872"/>
            <a:gd name="T5" fmla="*/ 2147483647 h 2496"/>
            <a:gd name="T6" fmla="*/ 2147483647 w 2872"/>
            <a:gd name="T7" fmla="*/ 0 h 2496"/>
            <a:gd name="T8" fmla="*/ 2147483647 w 2872"/>
            <a:gd name="T9" fmla="*/ 0 h 2496"/>
            <a:gd name="T10" fmla="*/ 2147483647 w 2872"/>
            <a:gd name="T11" fmla="*/ 0 h 2496"/>
            <a:gd name="T12" fmla="*/ 0 w 2872"/>
            <a:gd name="T13" fmla="*/ 2147483647 h 249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872"/>
            <a:gd name="T22" fmla="*/ 0 h 2496"/>
            <a:gd name="T23" fmla="*/ 2872 w 2872"/>
            <a:gd name="T24" fmla="*/ 2496 h 249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872" h="2496">
              <a:moveTo>
                <a:pt x="0" y="2450"/>
              </a:moveTo>
              <a:lnTo>
                <a:pt x="20" y="2473"/>
              </a:lnTo>
              <a:lnTo>
                <a:pt x="40" y="2496"/>
              </a:lnTo>
              <a:lnTo>
                <a:pt x="2872" y="47"/>
              </a:lnTo>
              <a:lnTo>
                <a:pt x="2852" y="24"/>
              </a:lnTo>
              <a:lnTo>
                <a:pt x="2832" y="0"/>
              </a:lnTo>
              <a:lnTo>
                <a:pt x="0" y="245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276225</xdr:colOff>
      <xdr:row>1</xdr:row>
      <xdr:rowOff>95250</xdr:rowOff>
    </xdr:from>
    <xdr:to>
      <xdr:col>14</xdr:col>
      <xdr:colOff>304800</xdr:colOff>
      <xdr:row>4</xdr:row>
      <xdr:rowOff>123825</xdr:rowOff>
    </xdr:to>
    <xdr:sp macro="" textlink="">
      <xdr:nvSpPr>
        <xdr:cNvPr id="13643" name="Freeform 1226">
          <a:extLst>
            <a:ext uri="{FF2B5EF4-FFF2-40B4-BE49-F238E27FC236}">
              <a16:creationId xmlns:a16="http://schemas.microsoft.com/office/drawing/2014/main" id="{00000000-0008-0000-0700-00004B350000}"/>
            </a:ext>
          </a:extLst>
        </xdr:cNvPr>
        <xdr:cNvSpPr>
          <a:spLocks/>
        </xdr:cNvSpPr>
      </xdr:nvSpPr>
      <xdr:spPr bwMode="auto">
        <a:xfrm>
          <a:off x="8448675" y="257175"/>
          <a:ext cx="561975" cy="609600"/>
        </a:xfrm>
        <a:custGeom>
          <a:avLst/>
          <a:gdLst>
            <a:gd name="T0" fmla="*/ 0 w 2872"/>
            <a:gd name="T1" fmla="*/ 2147483647 h 2496"/>
            <a:gd name="T2" fmla="*/ 0 w 2872"/>
            <a:gd name="T3" fmla="*/ 2147483647 h 2496"/>
            <a:gd name="T4" fmla="*/ 0 w 2872"/>
            <a:gd name="T5" fmla="*/ 2147483647 h 2496"/>
            <a:gd name="T6" fmla="*/ 2147483647 w 2872"/>
            <a:gd name="T7" fmla="*/ 0 h 2496"/>
            <a:gd name="T8" fmla="*/ 2147483647 w 2872"/>
            <a:gd name="T9" fmla="*/ 0 h 2496"/>
            <a:gd name="T10" fmla="*/ 2147483647 w 2872"/>
            <a:gd name="T11" fmla="*/ 0 h 2496"/>
            <a:gd name="T12" fmla="*/ 0 w 2872"/>
            <a:gd name="T13" fmla="*/ 2147483647 h 249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872"/>
            <a:gd name="T22" fmla="*/ 0 h 2496"/>
            <a:gd name="T23" fmla="*/ 2872 w 2872"/>
            <a:gd name="T24" fmla="*/ 2496 h 249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872" h="2496">
              <a:moveTo>
                <a:pt x="0" y="2450"/>
              </a:moveTo>
              <a:lnTo>
                <a:pt x="20" y="2473"/>
              </a:lnTo>
              <a:lnTo>
                <a:pt x="40" y="2496"/>
              </a:lnTo>
              <a:lnTo>
                <a:pt x="2872" y="47"/>
              </a:lnTo>
              <a:lnTo>
                <a:pt x="2852" y="24"/>
              </a:lnTo>
              <a:lnTo>
                <a:pt x="2832" y="0"/>
              </a:lnTo>
              <a:lnTo>
                <a:pt x="0" y="245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295275</xdr:colOff>
      <xdr:row>1</xdr:row>
      <xdr:rowOff>95250</xdr:rowOff>
    </xdr:from>
    <xdr:to>
      <xdr:col>14</xdr:col>
      <xdr:colOff>304800</xdr:colOff>
      <xdr:row>1</xdr:row>
      <xdr:rowOff>114300</xdr:rowOff>
    </xdr:to>
    <xdr:sp macro="" textlink="">
      <xdr:nvSpPr>
        <xdr:cNvPr id="13644" name="Freeform 1227">
          <a:extLst>
            <a:ext uri="{FF2B5EF4-FFF2-40B4-BE49-F238E27FC236}">
              <a16:creationId xmlns:a16="http://schemas.microsoft.com/office/drawing/2014/main" id="{00000000-0008-0000-0700-00004C350000}"/>
            </a:ext>
          </a:extLst>
        </xdr:cNvPr>
        <xdr:cNvSpPr>
          <a:spLocks/>
        </xdr:cNvSpPr>
      </xdr:nvSpPr>
      <xdr:spPr bwMode="auto">
        <a:xfrm>
          <a:off x="9001125" y="257175"/>
          <a:ext cx="9525" cy="19050"/>
        </a:xfrm>
        <a:custGeom>
          <a:avLst/>
          <a:gdLst>
            <a:gd name="T0" fmla="*/ 0 w 51"/>
            <a:gd name="T1" fmla="*/ 0 h 54"/>
            <a:gd name="T2" fmla="*/ 0 w 51"/>
            <a:gd name="T3" fmla="*/ 0 h 54"/>
            <a:gd name="T4" fmla="*/ 0 w 51"/>
            <a:gd name="T5" fmla="*/ 0 h 54"/>
            <a:gd name="T6" fmla="*/ 0 w 51"/>
            <a:gd name="T7" fmla="*/ 0 h 54"/>
            <a:gd name="T8" fmla="*/ 0 w 51"/>
            <a:gd name="T9" fmla="*/ 0 h 54"/>
            <a:gd name="T10" fmla="*/ 0 w 51"/>
            <a:gd name="T11" fmla="*/ 0 h 54"/>
            <a:gd name="T12" fmla="*/ 0 w 51"/>
            <a:gd name="T13" fmla="*/ 0 h 54"/>
            <a:gd name="T14" fmla="*/ 0 w 51"/>
            <a:gd name="T15" fmla="*/ 0 h 54"/>
            <a:gd name="T16" fmla="*/ 0 w 51"/>
            <a:gd name="T17" fmla="*/ 0 h 54"/>
            <a:gd name="T18" fmla="*/ 0 w 51"/>
            <a:gd name="T19" fmla="*/ 0 h 54"/>
            <a:gd name="T20" fmla="*/ 0 w 51"/>
            <a:gd name="T21" fmla="*/ 0 h 54"/>
            <a:gd name="T22" fmla="*/ 0 w 51"/>
            <a:gd name="T23" fmla="*/ 0 h 54"/>
            <a:gd name="T24" fmla="*/ 0 w 51"/>
            <a:gd name="T25" fmla="*/ 0 h 54"/>
            <a:gd name="T26" fmla="*/ 0 w 51"/>
            <a:gd name="T27" fmla="*/ 0 h 54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1"/>
            <a:gd name="T43" fmla="*/ 0 h 54"/>
            <a:gd name="T44" fmla="*/ 51 w 51"/>
            <a:gd name="T45" fmla="*/ 54 h 54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1" h="54">
              <a:moveTo>
                <a:pt x="20" y="31"/>
              </a:moveTo>
              <a:lnTo>
                <a:pt x="0" y="7"/>
              </a:lnTo>
              <a:lnTo>
                <a:pt x="7" y="2"/>
              </a:lnTo>
              <a:lnTo>
                <a:pt x="16" y="0"/>
              </a:lnTo>
              <a:lnTo>
                <a:pt x="24" y="0"/>
              </a:lnTo>
              <a:lnTo>
                <a:pt x="32" y="2"/>
              </a:lnTo>
              <a:lnTo>
                <a:pt x="40" y="7"/>
              </a:lnTo>
              <a:lnTo>
                <a:pt x="46" y="14"/>
              </a:lnTo>
              <a:lnTo>
                <a:pt x="49" y="22"/>
              </a:lnTo>
              <a:lnTo>
                <a:pt x="51" y="31"/>
              </a:lnTo>
              <a:lnTo>
                <a:pt x="49" y="39"/>
              </a:lnTo>
              <a:lnTo>
                <a:pt x="46" y="47"/>
              </a:lnTo>
              <a:lnTo>
                <a:pt x="40" y="54"/>
              </a:lnTo>
              <a:lnTo>
                <a:pt x="20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295275</xdr:colOff>
      <xdr:row>1</xdr:row>
      <xdr:rowOff>95250</xdr:rowOff>
    </xdr:from>
    <xdr:to>
      <xdr:col>14</xdr:col>
      <xdr:colOff>304800</xdr:colOff>
      <xdr:row>1</xdr:row>
      <xdr:rowOff>114300</xdr:rowOff>
    </xdr:to>
    <xdr:sp macro="" textlink="">
      <xdr:nvSpPr>
        <xdr:cNvPr id="13645" name="Freeform 1228">
          <a:extLst>
            <a:ext uri="{FF2B5EF4-FFF2-40B4-BE49-F238E27FC236}">
              <a16:creationId xmlns:a16="http://schemas.microsoft.com/office/drawing/2014/main" id="{00000000-0008-0000-0700-00004D350000}"/>
            </a:ext>
          </a:extLst>
        </xdr:cNvPr>
        <xdr:cNvSpPr>
          <a:spLocks/>
        </xdr:cNvSpPr>
      </xdr:nvSpPr>
      <xdr:spPr bwMode="auto">
        <a:xfrm>
          <a:off x="9001125" y="257175"/>
          <a:ext cx="9525" cy="19050"/>
        </a:xfrm>
        <a:custGeom>
          <a:avLst/>
          <a:gdLst>
            <a:gd name="T0" fmla="*/ 0 w 51"/>
            <a:gd name="T1" fmla="*/ 0 h 54"/>
            <a:gd name="T2" fmla="*/ 0 w 51"/>
            <a:gd name="T3" fmla="*/ 0 h 54"/>
            <a:gd name="T4" fmla="*/ 0 w 51"/>
            <a:gd name="T5" fmla="*/ 0 h 54"/>
            <a:gd name="T6" fmla="*/ 0 w 51"/>
            <a:gd name="T7" fmla="*/ 0 h 54"/>
            <a:gd name="T8" fmla="*/ 0 w 51"/>
            <a:gd name="T9" fmla="*/ 0 h 54"/>
            <a:gd name="T10" fmla="*/ 0 w 51"/>
            <a:gd name="T11" fmla="*/ 0 h 54"/>
            <a:gd name="T12" fmla="*/ 0 w 51"/>
            <a:gd name="T13" fmla="*/ 0 h 54"/>
            <a:gd name="T14" fmla="*/ 0 w 51"/>
            <a:gd name="T15" fmla="*/ 0 h 54"/>
            <a:gd name="T16" fmla="*/ 0 w 51"/>
            <a:gd name="T17" fmla="*/ 0 h 54"/>
            <a:gd name="T18" fmla="*/ 0 w 51"/>
            <a:gd name="T19" fmla="*/ 0 h 54"/>
            <a:gd name="T20" fmla="*/ 0 w 51"/>
            <a:gd name="T21" fmla="*/ 0 h 54"/>
            <a:gd name="T22" fmla="*/ 0 w 51"/>
            <a:gd name="T23" fmla="*/ 0 h 5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1"/>
            <a:gd name="T37" fmla="*/ 0 h 54"/>
            <a:gd name="T38" fmla="*/ 51 w 51"/>
            <a:gd name="T39" fmla="*/ 54 h 5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1" h="54">
              <a:moveTo>
                <a:pt x="0" y="7"/>
              </a:moveTo>
              <a:lnTo>
                <a:pt x="7" y="2"/>
              </a:lnTo>
              <a:lnTo>
                <a:pt x="16" y="0"/>
              </a:lnTo>
              <a:lnTo>
                <a:pt x="24" y="0"/>
              </a:lnTo>
              <a:lnTo>
                <a:pt x="32" y="2"/>
              </a:lnTo>
              <a:lnTo>
                <a:pt x="40" y="7"/>
              </a:lnTo>
              <a:lnTo>
                <a:pt x="46" y="14"/>
              </a:lnTo>
              <a:lnTo>
                <a:pt x="49" y="22"/>
              </a:lnTo>
              <a:lnTo>
                <a:pt x="51" y="31"/>
              </a:lnTo>
              <a:lnTo>
                <a:pt x="49" y="39"/>
              </a:lnTo>
              <a:lnTo>
                <a:pt x="46" y="47"/>
              </a:lnTo>
              <a:lnTo>
                <a:pt x="40" y="5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266700</xdr:colOff>
      <xdr:row>12</xdr:row>
      <xdr:rowOff>238125</xdr:rowOff>
    </xdr:from>
    <xdr:to>
      <xdr:col>13</xdr:col>
      <xdr:colOff>276225</xdr:colOff>
      <xdr:row>13</xdr:row>
      <xdr:rowOff>9525</xdr:rowOff>
    </xdr:to>
    <xdr:sp macro="" textlink="">
      <xdr:nvSpPr>
        <xdr:cNvPr id="13646" name="Freeform 1229">
          <a:extLst>
            <a:ext uri="{FF2B5EF4-FFF2-40B4-BE49-F238E27FC236}">
              <a16:creationId xmlns:a16="http://schemas.microsoft.com/office/drawing/2014/main" id="{00000000-0008-0000-0700-00004E350000}"/>
            </a:ext>
          </a:extLst>
        </xdr:cNvPr>
        <xdr:cNvSpPr>
          <a:spLocks/>
        </xdr:cNvSpPr>
      </xdr:nvSpPr>
      <xdr:spPr bwMode="auto">
        <a:xfrm>
          <a:off x="8439150" y="2733675"/>
          <a:ext cx="9525" cy="9525"/>
        </a:xfrm>
        <a:custGeom>
          <a:avLst/>
          <a:gdLst>
            <a:gd name="T0" fmla="*/ 0 w 51"/>
            <a:gd name="T1" fmla="*/ 0 h 54"/>
            <a:gd name="T2" fmla="*/ 0 w 51"/>
            <a:gd name="T3" fmla="*/ 0 h 54"/>
            <a:gd name="T4" fmla="*/ 0 w 51"/>
            <a:gd name="T5" fmla="*/ 0 h 54"/>
            <a:gd name="T6" fmla="*/ 0 w 51"/>
            <a:gd name="T7" fmla="*/ 0 h 54"/>
            <a:gd name="T8" fmla="*/ 0 w 51"/>
            <a:gd name="T9" fmla="*/ 0 h 54"/>
            <a:gd name="T10" fmla="*/ 0 w 51"/>
            <a:gd name="T11" fmla="*/ 0 h 54"/>
            <a:gd name="T12" fmla="*/ 0 w 51"/>
            <a:gd name="T13" fmla="*/ 0 h 54"/>
            <a:gd name="T14" fmla="*/ 0 w 51"/>
            <a:gd name="T15" fmla="*/ 0 h 54"/>
            <a:gd name="T16" fmla="*/ 0 w 51"/>
            <a:gd name="T17" fmla="*/ 0 h 54"/>
            <a:gd name="T18" fmla="*/ 0 w 51"/>
            <a:gd name="T19" fmla="*/ 0 h 54"/>
            <a:gd name="T20" fmla="*/ 0 w 51"/>
            <a:gd name="T21" fmla="*/ 0 h 54"/>
            <a:gd name="T22" fmla="*/ 0 w 51"/>
            <a:gd name="T23" fmla="*/ 0 h 54"/>
            <a:gd name="T24" fmla="*/ 0 w 51"/>
            <a:gd name="T25" fmla="*/ 0 h 54"/>
            <a:gd name="T26" fmla="*/ 0 w 51"/>
            <a:gd name="T27" fmla="*/ 0 h 54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1"/>
            <a:gd name="T43" fmla="*/ 0 h 54"/>
            <a:gd name="T44" fmla="*/ 51 w 51"/>
            <a:gd name="T45" fmla="*/ 54 h 54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1" h="54">
              <a:moveTo>
                <a:pt x="31" y="23"/>
              </a:moveTo>
              <a:lnTo>
                <a:pt x="51" y="46"/>
              </a:lnTo>
              <a:lnTo>
                <a:pt x="43" y="52"/>
              </a:lnTo>
              <a:lnTo>
                <a:pt x="35" y="54"/>
              </a:lnTo>
              <a:lnTo>
                <a:pt x="27" y="54"/>
              </a:lnTo>
              <a:lnTo>
                <a:pt x="18" y="52"/>
              </a:lnTo>
              <a:lnTo>
                <a:pt x="11" y="46"/>
              </a:lnTo>
              <a:lnTo>
                <a:pt x="5" y="40"/>
              </a:lnTo>
              <a:lnTo>
                <a:pt x="1" y="32"/>
              </a:lnTo>
              <a:lnTo>
                <a:pt x="0" y="23"/>
              </a:lnTo>
              <a:lnTo>
                <a:pt x="1" y="15"/>
              </a:lnTo>
              <a:lnTo>
                <a:pt x="5" y="6"/>
              </a:lnTo>
              <a:lnTo>
                <a:pt x="11" y="0"/>
              </a:lnTo>
              <a:lnTo>
                <a:pt x="31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266700</xdr:colOff>
      <xdr:row>12</xdr:row>
      <xdr:rowOff>238125</xdr:rowOff>
    </xdr:from>
    <xdr:to>
      <xdr:col>13</xdr:col>
      <xdr:colOff>276225</xdr:colOff>
      <xdr:row>13</xdr:row>
      <xdr:rowOff>9525</xdr:rowOff>
    </xdr:to>
    <xdr:sp macro="" textlink="">
      <xdr:nvSpPr>
        <xdr:cNvPr id="13647" name="Freeform 1230">
          <a:extLst>
            <a:ext uri="{FF2B5EF4-FFF2-40B4-BE49-F238E27FC236}">
              <a16:creationId xmlns:a16="http://schemas.microsoft.com/office/drawing/2014/main" id="{00000000-0008-0000-0700-00004F350000}"/>
            </a:ext>
          </a:extLst>
        </xdr:cNvPr>
        <xdr:cNvSpPr>
          <a:spLocks/>
        </xdr:cNvSpPr>
      </xdr:nvSpPr>
      <xdr:spPr bwMode="auto">
        <a:xfrm>
          <a:off x="8439150" y="2733675"/>
          <a:ext cx="9525" cy="9525"/>
        </a:xfrm>
        <a:custGeom>
          <a:avLst/>
          <a:gdLst>
            <a:gd name="T0" fmla="*/ 0 w 51"/>
            <a:gd name="T1" fmla="*/ 0 h 54"/>
            <a:gd name="T2" fmla="*/ 0 w 51"/>
            <a:gd name="T3" fmla="*/ 0 h 54"/>
            <a:gd name="T4" fmla="*/ 0 w 51"/>
            <a:gd name="T5" fmla="*/ 0 h 54"/>
            <a:gd name="T6" fmla="*/ 0 w 51"/>
            <a:gd name="T7" fmla="*/ 0 h 54"/>
            <a:gd name="T8" fmla="*/ 0 w 51"/>
            <a:gd name="T9" fmla="*/ 0 h 54"/>
            <a:gd name="T10" fmla="*/ 0 w 51"/>
            <a:gd name="T11" fmla="*/ 0 h 54"/>
            <a:gd name="T12" fmla="*/ 0 w 51"/>
            <a:gd name="T13" fmla="*/ 0 h 54"/>
            <a:gd name="T14" fmla="*/ 0 w 51"/>
            <a:gd name="T15" fmla="*/ 0 h 54"/>
            <a:gd name="T16" fmla="*/ 0 w 51"/>
            <a:gd name="T17" fmla="*/ 0 h 54"/>
            <a:gd name="T18" fmla="*/ 0 w 51"/>
            <a:gd name="T19" fmla="*/ 0 h 54"/>
            <a:gd name="T20" fmla="*/ 0 w 51"/>
            <a:gd name="T21" fmla="*/ 0 h 54"/>
            <a:gd name="T22" fmla="*/ 0 w 51"/>
            <a:gd name="T23" fmla="*/ 0 h 5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1"/>
            <a:gd name="T37" fmla="*/ 0 h 54"/>
            <a:gd name="T38" fmla="*/ 51 w 51"/>
            <a:gd name="T39" fmla="*/ 54 h 5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1" h="54">
              <a:moveTo>
                <a:pt x="51" y="46"/>
              </a:moveTo>
              <a:lnTo>
                <a:pt x="43" y="52"/>
              </a:lnTo>
              <a:lnTo>
                <a:pt x="35" y="54"/>
              </a:lnTo>
              <a:lnTo>
                <a:pt x="27" y="54"/>
              </a:lnTo>
              <a:lnTo>
                <a:pt x="18" y="52"/>
              </a:lnTo>
              <a:lnTo>
                <a:pt x="11" y="46"/>
              </a:lnTo>
              <a:lnTo>
                <a:pt x="5" y="40"/>
              </a:lnTo>
              <a:lnTo>
                <a:pt x="1" y="32"/>
              </a:lnTo>
              <a:lnTo>
                <a:pt x="0" y="23"/>
              </a:lnTo>
              <a:lnTo>
                <a:pt x="1" y="15"/>
              </a:lnTo>
              <a:lnTo>
                <a:pt x="5" y="6"/>
              </a:lnTo>
              <a:lnTo>
                <a:pt x="1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276225</xdr:colOff>
      <xdr:row>10</xdr:row>
      <xdr:rowOff>85725</xdr:rowOff>
    </xdr:from>
    <xdr:to>
      <xdr:col>14</xdr:col>
      <xdr:colOff>304800</xdr:colOff>
      <xdr:row>12</xdr:row>
      <xdr:rowOff>247650</xdr:rowOff>
    </xdr:to>
    <xdr:sp macro="" textlink="">
      <xdr:nvSpPr>
        <xdr:cNvPr id="13648" name="Freeform 1231">
          <a:extLst>
            <a:ext uri="{FF2B5EF4-FFF2-40B4-BE49-F238E27FC236}">
              <a16:creationId xmlns:a16="http://schemas.microsoft.com/office/drawing/2014/main" id="{00000000-0008-0000-0700-000050350000}"/>
            </a:ext>
          </a:extLst>
        </xdr:cNvPr>
        <xdr:cNvSpPr>
          <a:spLocks/>
        </xdr:cNvSpPr>
      </xdr:nvSpPr>
      <xdr:spPr bwMode="auto">
        <a:xfrm>
          <a:off x="8448675" y="2124075"/>
          <a:ext cx="561975" cy="609600"/>
        </a:xfrm>
        <a:custGeom>
          <a:avLst/>
          <a:gdLst>
            <a:gd name="T0" fmla="*/ 0 w 2872"/>
            <a:gd name="T1" fmla="*/ 2147483647 h 2495"/>
            <a:gd name="T2" fmla="*/ 0 w 2872"/>
            <a:gd name="T3" fmla="*/ 2147483647 h 2495"/>
            <a:gd name="T4" fmla="*/ 0 w 2872"/>
            <a:gd name="T5" fmla="*/ 2147483647 h 2495"/>
            <a:gd name="T6" fmla="*/ 2147483647 w 2872"/>
            <a:gd name="T7" fmla="*/ 0 h 2495"/>
            <a:gd name="T8" fmla="*/ 2147483647 w 2872"/>
            <a:gd name="T9" fmla="*/ 0 h 2495"/>
            <a:gd name="T10" fmla="*/ 2147483647 w 2872"/>
            <a:gd name="T11" fmla="*/ 0 h 2495"/>
            <a:gd name="T12" fmla="*/ 0 w 2872"/>
            <a:gd name="T13" fmla="*/ 2147483647 h 249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872"/>
            <a:gd name="T22" fmla="*/ 0 h 2495"/>
            <a:gd name="T23" fmla="*/ 2872 w 2872"/>
            <a:gd name="T24" fmla="*/ 2495 h 249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872" h="2495">
              <a:moveTo>
                <a:pt x="0" y="2449"/>
              </a:moveTo>
              <a:lnTo>
                <a:pt x="20" y="2472"/>
              </a:lnTo>
              <a:lnTo>
                <a:pt x="40" y="2495"/>
              </a:lnTo>
              <a:lnTo>
                <a:pt x="2872" y="46"/>
              </a:lnTo>
              <a:lnTo>
                <a:pt x="2852" y="23"/>
              </a:lnTo>
              <a:lnTo>
                <a:pt x="2832" y="0"/>
              </a:lnTo>
              <a:lnTo>
                <a:pt x="0" y="244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276225</xdr:colOff>
      <xdr:row>10</xdr:row>
      <xdr:rowOff>85725</xdr:rowOff>
    </xdr:from>
    <xdr:to>
      <xdr:col>14</xdr:col>
      <xdr:colOff>304800</xdr:colOff>
      <xdr:row>12</xdr:row>
      <xdr:rowOff>247650</xdr:rowOff>
    </xdr:to>
    <xdr:sp macro="" textlink="">
      <xdr:nvSpPr>
        <xdr:cNvPr id="13649" name="Freeform 1232">
          <a:extLst>
            <a:ext uri="{FF2B5EF4-FFF2-40B4-BE49-F238E27FC236}">
              <a16:creationId xmlns:a16="http://schemas.microsoft.com/office/drawing/2014/main" id="{00000000-0008-0000-0700-000051350000}"/>
            </a:ext>
          </a:extLst>
        </xdr:cNvPr>
        <xdr:cNvSpPr>
          <a:spLocks/>
        </xdr:cNvSpPr>
      </xdr:nvSpPr>
      <xdr:spPr bwMode="auto">
        <a:xfrm>
          <a:off x="8448675" y="2124075"/>
          <a:ext cx="561975" cy="609600"/>
        </a:xfrm>
        <a:custGeom>
          <a:avLst/>
          <a:gdLst>
            <a:gd name="T0" fmla="*/ 0 w 2872"/>
            <a:gd name="T1" fmla="*/ 2147483647 h 2495"/>
            <a:gd name="T2" fmla="*/ 0 w 2872"/>
            <a:gd name="T3" fmla="*/ 2147483647 h 2495"/>
            <a:gd name="T4" fmla="*/ 0 w 2872"/>
            <a:gd name="T5" fmla="*/ 2147483647 h 2495"/>
            <a:gd name="T6" fmla="*/ 2147483647 w 2872"/>
            <a:gd name="T7" fmla="*/ 0 h 2495"/>
            <a:gd name="T8" fmla="*/ 2147483647 w 2872"/>
            <a:gd name="T9" fmla="*/ 0 h 2495"/>
            <a:gd name="T10" fmla="*/ 2147483647 w 2872"/>
            <a:gd name="T11" fmla="*/ 0 h 2495"/>
            <a:gd name="T12" fmla="*/ 0 w 2872"/>
            <a:gd name="T13" fmla="*/ 2147483647 h 249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872"/>
            <a:gd name="T22" fmla="*/ 0 h 2495"/>
            <a:gd name="T23" fmla="*/ 2872 w 2872"/>
            <a:gd name="T24" fmla="*/ 2495 h 249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872" h="2495">
              <a:moveTo>
                <a:pt x="0" y="2449"/>
              </a:moveTo>
              <a:lnTo>
                <a:pt x="20" y="2472"/>
              </a:lnTo>
              <a:lnTo>
                <a:pt x="40" y="2495"/>
              </a:lnTo>
              <a:lnTo>
                <a:pt x="2872" y="46"/>
              </a:lnTo>
              <a:lnTo>
                <a:pt x="2852" y="23"/>
              </a:lnTo>
              <a:lnTo>
                <a:pt x="2832" y="0"/>
              </a:lnTo>
              <a:lnTo>
                <a:pt x="0" y="2449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295275</xdr:colOff>
      <xdr:row>10</xdr:row>
      <xdr:rowOff>85725</xdr:rowOff>
    </xdr:from>
    <xdr:to>
      <xdr:col>14</xdr:col>
      <xdr:colOff>304800</xdr:colOff>
      <xdr:row>10</xdr:row>
      <xdr:rowOff>104775</xdr:rowOff>
    </xdr:to>
    <xdr:sp macro="" textlink="">
      <xdr:nvSpPr>
        <xdr:cNvPr id="13650" name="Freeform 1233">
          <a:extLst>
            <a:ext uri="{FF2B5EF4-FFF2-40B4-BE49-F238E27FC236}">
              <a16:creationId xmlns:a16="http://schemas.microsoft.com/office/drawing/2014/main" id="{00000000-0008-0000-0700-000052350000}"/>
            </a:ext>
          </a:extLst>
        </xdr:cNvPr>
        <xdr:cNvSpPr>
          <a:spLocks/>
        </xdr:cNvSpPr>
      </xdr:nvSpPr>
      <xdr:spPr bwMode="auto">
        <a:xfrm>
          <a:off x="9001125" y="2124075"/>
          <a:ext cx="9525" cy="19050"/>
        </a:xfrm>
        <a:custGeom>
          <a:avLst/>
          <a:gdLst>
            <a:gd name="T0" fmla="*/ 0 w 51"/>
            <a:gd name="T1" fmla="*/ 0 h 54"/>
            <a:gd name="T2" fmla="*/ 0 w 51"/>
            <a:gd name="T3" fmla="*/ 0 h 54"/>
            <a:gd name="T4" fmla="*/ 0 w 51"/>
            <a:gd name="T5" fmla="*/ 0 h 54"/>
            <a:gd name="T6" fmla="*/ 0 w 51"/>
            <a:gd name="T7" fmla="*/ 0 h 54"/>
            <a:gd name="T8" fmla="*/ 0 w 51"/>
            <a:gd name="T9" fmla="*/ 0 h 54"/>
            <a:gd name="T10" fmla="*/ 0 w 51"/>
            <a:gd name="T11" fmla="*/ 0 h 54"/>
            <a:gd name="T12" fmla="*/ 0 w 51"/>
            <a:gd name="T13" fmla="*/ 0 h 54"/>
            <a:gd name="T14" fmla="*/ 0 w 51"/>
            <a:gd name="T15" fmla="*/ 0 h 54"/>
            <a:gd name="T16" fmla="*/ 0 w 51"/>
            <a:gd name="T17" fmla="*/ 0 h 54"/>
            <a:gd name="T18" fmla="*/ 0 w 51"/>
            <a:gd name="T19" fmla="*/ 0 h 54"/>
            <a:gd name="T20" fmla="*/ 0 w 51"/>
            <a:gd name="T21" fmla="*/ 0 h 54"/>
            <a:gd name="T22" fmla="*/ 0 w 51"/>
            <a:gd name="T23" fmla="*/ 0 h 54"/>
            <a:gd name="T24" fmla="*/ 0 w 51"/>
            <a:gd name="T25" fmla="*/ 0 h 54"/>
            <a:gd name="T26" fmla="*/ 0 w 51"/>
            <a:gd name="T27" fmla="*/ 0 h 54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1"/>
            <a:gd name="T43" fmla="*/ 0 h 54"/>
            <a:gd name="T44" fmla="*/ 51 w 51"/>
            <a:gd name="T45" fmla="*/ 54 h 54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1" h="54">
              <a:moveTo>
                <a:pt x="20" y="31"/>
              </a:moveTo>
              <a:lnTo>
                <a:pt x="0" y="8"/>
              </a:lnTo>
              <a:lnTo>
                <a:pt x="7" y="2"/>
              </a:lnTo>
              <a:lnTo>
                <a:pt x="16" y="0"/>
              </a:lnTo>
              <a:lnTo>
                <a:pt x="24" y="0"/>
              </a:lnTo>
              <a:lnTo>
                <a:pt x="32" y="2"/>
              </a:lnTo>
              <a:lnTo>
                <a:pt x="40" y="8"/>
              </a:lnTo>
              <a:lnTo>
                <a:pt x="46" y="14"/>
              </a:lnTo>
              <a:lnTo>
                <a:pt x="49" y="22"/>
              </a:lnTo>
              <a:lnTo>
                <a:pt x="51" y="31"/>
              </a:lnTo>
              <a:lnTo>
                <a:pt x="49" y="39"/>
              </a:lnTo>
              <a:lnTo>
                <a:pt x="46" y="47"/>
              </a:lnTo>
              <a:lnTo>
                <a:pt x="40" y="54"/>
              </a:lnTo>
              <a:lnTo>
                <a:pt x="20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295275</xdr:colOff>
      <xdr:row>10</xdr:row>
      <xdr:rowOff>85725</xdr:rowOff>
    </xdr:from>
    <xdr:to>
      <xdr:col>14</xdr:col>
      <xdr:colOff>304800</xdr:colOff>
      <xdr:row>10</xdr:row>
      <xdr:rowOff>104775</xdr:rowOff>
    </xdr:to>
    <xdr:sp macro="" textlink="">
      <xdr:nvSpPr>
        <xdr:cNvPr id="13651" name="Freeform 1234">
          <a:extLst>
            <a:ext uri="{FF2B5EF4-FFF2-40B4-BE49-F238E27FC236}">
              <a16:creationId xmlns:a16="http://schemas.microsoft.com/office/drawing/2014/main" id="{00000000-0008-0000-0700-000053350000}"/>
            </a:ext>
          </a:extLst>
        </xdr:cNvPr>
        <xdr:cNvSpPr>
          <a:spLocks/>
        </xdr:cNvSpPr>
      </xdr:nvSpPr>
      <xdr:spPr bwMode="auto">
        <a:xfrm>
          <a:off x="9001125" y="2124075"/>
          <a:ext cx="9525" cy="19050"/>
        </a:xfrm>
        <a:custGeom>
          <a:avLst/>
          <a:gdLst>
            <a:gd name="T0" fmla="*/ 0 w 51"/>
            <a:gd name="T1" fmla="*/ 0 h 54"/>
            <a:gd name="T2" fmla="*/ 0 w 51"/>
            <a:gd name="T3" fmla="*/ 0 h 54"/>
            <a:gd name="T4" fmla="*/ 0 w 51"/>
            <a:gd name="T5" fmla="*/ 0 h 54"/>
            <a:gd name="T6" fmla="*/ 0 w 51"/>
            <a:gd name="T7" fmla="*/ 0 h 54"/>
            <a:gd name="T8" fmla="*/ 0 w 51"/>
            <a:gd name="T9" fmla="*/ 0 h 54"/>
            <a:gd name="T10" fmla="*/ 0 w 51"/>
            <a:gd name="T11" fmla="*/ 0 h 54"/>
            <a:gd name="T12" fmla="*/ 0 w 51"/>
            <a:gd name="T13" fmla="*/ 0 h 54"/>
            <a:gd name="T14" fmla="*/ 0 w 51"/>
            <a:gd name="T15" fmla="*/ 0 h 54"/>
            <a:gd name="T16" fmla="*/ 0 w 51"/>
            <a:gd name="T17" fmla="*/ 0 h 54"/>
            <a:gd name="T18" fmla="*/ 0 w 51"/>
            <a:gd name="T19" fmla="*/ 0 h 54"/>
            <a:gd name="T20" fmla="*/ 0 w 51"/>
            <a:gd name="T21" fmla="*/ 0 h 54"/>
            <a:gd name="T22" fmla="*/ 0 w 51"/>
            <a:gd name="T23" fmla="*/ 0 h 5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1"/>
            <a:gd name="T37" fmla="*/ 0 h 54"/>
            <a:gd name="T38" fmla="*/ 51 w 51"/>
            <a:gd name="T39" fmla="*/ 54 h 5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1" h="54">
              <a:moveTo>
                <a:pt x="0" y="8"/>
              </a:moveTo>
              <a:lnTo>
                <a:pt x="7" y="2"/>
              </a:lnTo>
              <a:lnTo>
                <a:pt x="16" y="0"/>
              </a:lnTo>
              <a:lnTo>
                <a:pt x="24" y="0"/>
              </a:lnTo>
              <a:lnTo>
                <a:pt x="32" y="2"/>
              </a:lnTo>
              <a:lnTo>
                <a:pt x="40" y="8"/>
              </a:lnTo>
              <a:lnTo>
                <a:pt x="46" y="14"/>
              </a:lnTo>
              <a:lnTo>
                <a:pt x="49" y="22"/>
              </a:lnTo>
              <a:lnTo>
                <a:pt x="51" y="31"/>
              </a:lnTo>
              <a:lnTo>
                <a:pt x="49" y="39"/>
              </a:lnTo>
              <a:lnTo>
                <a:pt x="46" y="47"/>
              </a:lnTo>
              <a:lnTo>
                <a:pt x="40" y="5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295275</xdr:colOff>
      <xdr:row>1</xdr:row>
      <xdr:rowOff>95250</xdr:rowOff>
    </xdr:from>
    <xdr:to>
      <xdr:col>14</xdr:col>
      <xdr:colOff>304800</xdr:colOff>
      <xdr:row>1</xdr:row>
      <xdr:rowOff>104775</xdr:rowOff>
    </xdr:to>
    <xdr:sp macro="" textlink="">
      <xdr:nvSpPr>
        <xdr:cNvPr id="13652" name="Freeform 1235">
          <a:extLst>
            <a:ext uri="{FF2B5EF4-FFF2-40B4-BE49-F238E27FC236}">
              <a16:creationId xmlns:a16="http://schemas.microsoft.com/office/drawing/2014/main" id="{00000000-0008-0000-0700-000054350000}"/>
            </a:ext>
          </a:extLst>
        </xdr:cNvPr>
        <xdr:cNvSpPr>
          <a:spLocks/>
        </xdr:cNvSpPr>
      </xdr:nvSpPr>
      <xdr:spPr bwMode="auto">
        <a:xfrm>
          <a:off x="9001125" y="257175"/>
          <a:ext cx="9525" cy="9525"/>
        </a:xfrm>
        <a:custGeom>
          <a:avLst/>
          <a:gdLst>
            <a:gd name="T0" fmla="*/ 0 w 62"/>
            <a:gd name="T1" fmla="*/ 0 h 31"/>
            <a:gd name="T2" fmla="*/ 0 w 62"/>
            <a:gd name="T3" fmla="*/ 0 h 31"/>
            <a:gd name="T4" fmla="*/ 0 w 62"/>
            <a:gd name="T5" fmla="*/ 0 h 31"/>
            <a:gd name="T6" fmla="*/ 0 w 62"/>
            <a:gd name="T7" fmla="*/ 0 h 31"/>
            <a:gd name="T8" fmla="*/ 0 w 62"/>
            <a:gd name="T9" fmla="*/ 0 h 31"/>
            <a:gd name="T10" fmla="*/ 0 w 62"/>
            <a:gd name="T11" fmla="*/ 0 h 31"/>
            <a:gd name="T12" fmla="*/ 0 w 62"/>
            <a:gd name="T13" fmla="*/ 0 h 31"/>
            <a:gd name="T14" fmla="*/ 0 w 62"/>
            <a:gd name="T15" fmla="*/ 0 h 31"/>
            <a:gd name="T16" fmla="*/ 0 w 62"/>
            <a:gd name="T17" fmla="*/ 0 h 31"/>
            <a:gd name="T18" fmla="*/ 0 w 62"/>
            <a:gd name="T19" fmla="*/ 0 h 31"/>
            <a:gd name="T20" fmla="*/ 0 w 62"/>
            <a:gd name="T21" fmla="*/ 0 h 31"/>
            <a:gd name="T22" fmla="*/ 0 w 62"/>
            <a:gd name="T23" fmla="*/ 0 h 31"/>
            <a:gd name="T24" fmla="*/ 0 w 62"/>
            <a:gd name="T25" fmla="*/ 0 h 31"/>
            <a:gd name="T26" fmla="*/ 0 w 62"/>
            <a:gd name="T27" fmla="*/ 0 h 3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2"/>
            <a:gd name="T43" fmla="*/ 0 h 31"/>
            <a:gd name="T44" fmla="*/ 62 w 62"/>
            <a:gd name="T45" fmla="*/ 31 h 31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2" h="31">
              <a:moveTo>
                <a:pt x="31" y="31"/>
              </a:moveTo>
              <a:lnTo>
                <a:pt x="0" y="31"/>
              </a:lnTo>
              <a:lnTo>
                <a:pt x="1" y="22"/>
              </a:lnTo>
              <a:lnTo>
                <a:pt x="4" y="14"/>
              </a:lnTo>
              <a:lnTo>
                <a:pt x="11" y="7"/>
              </a:lnTo>
              <a:lnTo>
                <a:pt x="18" y="2"/>
              </a:lnTo>
              <a:lnTo>
                <a:pt x="27" y="0"/>
              </a:lnTo>
              <a:lnTo>
                <a:pt x="35" y="0"/>
              </a:lnTo>
              <a:lnTo>
                <a:pt x="43" y="2"/>
              </a:lnTo>
              <a:lnTo>
                <a:pt x="51" y="7"/>
              </a:lnTo>
              <a:lnTo>
                <a:pt x="57" y="14"/>
              </a:lnTo>
              <a:lnTo>
                <a:pt x="60" y="22"/>
              </a:lnTo>
              <a:lnTo>
                <a:pt x="62" y="31"/>
              </a:lnTo>
              <a:lnTo>
                <a:pt x="31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295275</xdr:colOff>
      <xdr:row>1</xdr:row>
      <xdr:rowOff>95250</xdr:rowOff>
    </xdr:from>
    <xdr:to>
      <xdr:col>14</xdr:col>
      <xdr:colOff>304800</xdr:colOff>
      <xdr:row>1</xdr:row>
      <xdr:rowOff>104775</xdr:rowOff>
    </xdr:to>
    <xdr:sp macro="" textlink="">
      <xdr:nvSpPr>
        <xdr:cNvPr id="13653" name="Freeform 1236">
          <a:extLst>
            <a:ext uri="{FF2B5EF4-FFF2-40B4-BE49-F238E27FC236}">
              <a16:creationId xmlns:a16="http://schemas.microsoft.com/office/drawing/2014/main" id="{00000000-0008-0000-0700-000055350000}"/>
            </a:ext>
          </a:extLst>
        </xdr:cNvPr>
        <xdr:cNvSpPr>
          <a:spLocks/>
        </xdr:cNvSpPr>
      </xdr:nvSpPr>
      <xdr:spPr bwMode="auto">
        <a:xfrm>
          <a:off x="9001125" y="257175"/>
          <a:ext cx="9525" cy="9525"/>
        </a:xfrm>
        <a:custGeom>
          <a:avLst/>
          <a:gdLst>
            <a:gd name="T0" fmla="*/ 0 w 62"/>
            <a:gd name="T1" fmla="*/ 0 h 31"/>
            <a:gd name="T2" fmla="*/ 0 w 62"/>
            <a:gd name="T3" fmla="*/ 0 h 31"/>
            <a:gd name="T4" fmla="*/ 0 w 62"/>
            <a:gd name="T5" fmla="*/ 0 h 31"/>
            <a:gd name="T6" fmla="*/ 0 w 62"/>
            <a:gd name="T7" fmla="*/ 0 h 31"/>
            <a:gd name="T8" fmla="*/ 0 w 62"/>
            <a:gd name="T9" fmla="*/ 0 h 31"/>
            <a:gd name="T10" fmla="*/ 0 w 62"/>
            <a:gd name="T11" fmla="*/ 0 h 31"/>
            <a:gd name="T12" fmla="*/ 0 w 62"/>
            <a:gd name="T13" fmla="*/ 0 h 31"/>
            <a:gd name="T14" fmla="*/ 0 w 62"/>
            <a:gd name="T15" fmla="*/ 0 h 31"/>
            <a:gd name="T16" fmla="*/ 0 w 62"/>
            <a:gd name="T17" fmla="*/ 0 h 31"/>
            <a:gd name="T18" fmla="*/ 0 w 62"/>
            <a:gd name="T19" fmla="*/ 0 h 31"/>
            <a:gd name="T20" fmla="*/ 0 w 62"/>
            <a:gd name="T21" fmla="*/ 0 h 31"/>
            <a:gd name="T22" fmla="*/ 0 w 62"/>
            <a:gd name="T23" fmla="*/ 0 h 3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2"/>
            <a:gd name="T37" fmla="*/ 0 h 31"/>
            <a:gd name="T38" fmla="*/ 62 w 62"/>
            <a:gd name="T39" fmla="*/ 31 h 3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2" h="31">
              <a:moveTo>
                <a:pt x="0" y="31"/>
              </a:moveTo>
              <a:lnTo>
                <a:pt x="1" y="22"/>
              </a:lnTo>
              <a:lnTo>
                <a:pt x="4" y="14"/>
              </a:lnTo>
              <a:lnTo>
                <a:pt x="11" y="7"/>
              </a:lnTo>
              <a:lnTo>
                <a:pt x="18" y="2"/>
              </a:lnTo>
              <a:lnTo>
                <a:pt x="27" y="0"/>
              </a:lnTo>
              <a:lnTo>
                <a:pt x="35" y="0"/>
              </a:lnTo>
              <a:lnTo>
                <a:pt x="43" y="2"/>
              </a:lnTo>
              <a:lnTo>
                <a:pt x="51" y="7"/>
              </a:lnTo>
              <a:lnTo>
                <a:pt x="57" y="14"/>
              </a:lnTo>
              <a:lnTo>
                <a:pt x="60" y="22"/>
              </a:lnTo>
              <a:lnTo>
                <a:pt x="62" y="31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295275</xdr:colOff>
      <xdr:row>1</xdr:row>
      <xdr:rowOff>104775</xdr:rowOff>
    </xdr:from>
    <xdr:to>
      <xdr:col>14</xdr:col>
      <xdr:colOff>304800</xdr:colOff>
      <xdr:row>10</xdr:row>
      <xdr:rowOff>95250</xdr:rowOff>
    </xdr:to>
    <xdr:sp macro="" textlink="">
      <xdr:nvSpPr>
        <xdr:cNvPr id="13654" name="Freeform 1237">
          <a:extLst>
            <a:ext uri="{FF2B5EF4-FFF2-40B4-BE49-F238E27FC236}">
              <a16:creationId xmlns:a16="http://schemas.microsoft.com/office/drawing/2014/main" id="{00000000-0008-0000-0700-000056350000}"/>
            </a:ext>
          </a:extLst>
        </xdr:cNvPr>
        <xdr:cNvSpPr>
          <a:spLocks/>
        </xdr:cNvSpPr>
      </xdr:nvSpPr>
      <xdr:spPr bwMode="auto">
        <a:xfrm>
          <a:off x="9001125" y="266700"/>
          <a:ext cx="9525" cy="1866900"/>
        </a:xfrm>
        <a:custGeom>
          <a:avLst/>
          <a:gdLst>
            <a:gd name="T0" fmla="*/ 0 w 62"/>
            <a:gd name="T1" fmla="*/ 0 h 7583"/>
            <a:gd name="T2" fmla="*/ 0 w 62"/>
            <a:gd name="T3" fmla="*/ 0 h 7583"/>
            <a:gd name="T4" fmla="*/ 0 w 62"/>
            <a:gd name="T5" fmla="*/ 0 h 7583"/>
            <a:gd name="T6" fmla="*/ 0 w 62"/>
            <a:gd name="T7" fmla="*/ 2147483647 h 7583"/>
            <a:gd name="T8" fmla="*/ 0 w 62"/>
            <a:gd name="T9" fmla="*/ 2147483647 h 7583"/>
            <a:gd name="T10" fmla="*/ 0 w 62"/>
            <a:gd name="T11" fmla="*/ 2147483647 h 7583"/>
            <a:gd name="T12" fmla="*/ 0 w 62"/>
            <a:gd name="T13" fmla="*/ 0 h 758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7583"/>
            <a:gd name="T23" fmla="*/ 62 w 62"/>
            <a:gd name="T24" fmla="*/ 7583 h 758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7583">
              <a:moveTo>
                <a:pt x="62" y="0"/>
              </a:moveTo>
              <a:lnTo>
                <a:pt x="31" y="0"/>
              </a:lnTo>
              <a:lnTo>
                <a:pt x="0" y="0"/>
              </a:lnTo>
              <a:lnTo>
                <a:pt x="0" y="7583"/>
              </a:lnTo>
              <a:lnTo>
                <a:pt x="31" y="7583"/>
              </a:lnTo>
              <a:lnTo>
                <a:pt x="62" y="7583"/>
              </a:lnTo>
              <a:lnTo>
                <a:pt x="6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295275</xdr:colOff>
      <xdr:row>1</xdr:row>
      <xdr:rowOff>104775</xdr:rowOff>
    </xdr:from>
    <xdr:to>
      <xdr:col>14</xdr:col>
      <xdr:colOff>304800</xdr:colOff>
      <xdr:row>10</xdr:row>
      <xdr:rowOff>95250</xdr:rowOff>
    </xdr:to>
    <xdr:sp macro="" textlink="">
      <xdr:nvSpPr>
        <xdr:cNvPr id="13655" name="Freeform 1238">
          <a:extLst>
            <a:ext uri="{FF2B5EF4-FFF2-40B4-BE49-F238E27FC236}">
              <a16:creationId xmlns:a16="http://schemas.microsoft.com/office/drawing/2014/main" id="{00000000-0008-0000-0700-000057350000}"/>
            </a:ext>
          </a:extLst>
        </xdr:cNvPr>
        <xdr:cNvSpPr>
          <a:spLocks/>
        </xdr:cNvSpPr>
      </xdr:nvSpPr>
      <xdr:spPr bwMode="auto">
        <a:xfrm>
          <a:off x="9001125" y="266700"/>
          <a:ext cx="9525" cy="1866900"/>
        </a:xfrm>
        <a:custGeom>
          <a:avLst/>
          <a:gdLst>
            <a:gd name="T0" fmla="*/ 0 w 62"/>
            <a:gd name="T1" fmla="*/ 0 h 7583"/>
            <a:gd name="T2" fmla="*/ 0 w 62"/>
            <a:gd name="T3" fmla="*/ 0 h 7583"/>
            <a:gd name="T4" fmla="*/ 0 w 62"/>
            <a:gd name="T5" fmla="*/ 0 h 7583"/>
            <a:gd name="T6" fmla="*/ 0 w 62"/>
            <a:gd name="T7" fmla="*/ 2147483647 h 7583"/>
            <a:gd name="T8" fmla="*/ 0 w 62"/>
            <a:gd name="T9" fmla="*/ 2147483647 h 7583"/>
            <a:gd name="T10" fmla="*/ 0 w 62"/>
            <a:gd name="T11" fmla="*/ 2147483647 h 7583"/>
            <a:gd name="T12" fmla="*/ 0 w 62"/>
            <a:gd name="T13" fmla="*/ 0 h 758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7583"/>
            <a:gd name="T23" fmla="*/ 62 w 62"/>
            <a:gd name="T24" fmla="*/ 7583 h 758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7583">
              <a:moveTo>
                <a:pt x="62" y="0"/>
              </a:moveTo>
              <a:lnTo>
                <a:pt x="31" y="0"/>
              </a:lnTo>
              <a:lnTo>
                <a:pt x="0" y="0"/>
              </a:lnTo>
              <a:lnTo>
                <a:pt x="0" y="7583"/>
              </a:lnTo>
              <a:lnTo>
                <a:pt x="31" y="7583"/>
              </a:lnTo>
              <a:lnTo>
                <a:pt x="62" y="7583"/>
              </a:lnTo>
              <a:lnTo>
                <a:pt x="62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295275</xdr:colOff>
      <xdr:row>10</xdr:row>
      <xdr:rowOff>95250</xdr:rowOff>
    </xdr:from>
    <xdr:to>
      <xdr:col>14</xdr:col>
      <xdr:colOff>304800</xdr:colOff>
      <xdr:row>10</xdr:row>
      <xdr:rowOff>114300</xdr:rowOff>
    </xdr:to>
    <xdr:sp macro="" textlink="">
      <xdr:nvSpPr>
        <xdr:cNvPr id="13656" name="Freeform 1239">
          <a:extLst>
            <a:ext uri="{FF2B5EF4-FFF2-40B4-BE49-F238E27FC236}">
              <a16:creationId xmlns:a16="http://schemas.microsoft.com/office/drawing/2014/main" id="{00000000-0008-0000-0700-000058350000}"/>
            </a:ext>
          </a:extLst>
        </xdr:cNvPr>
        <xdr:cNvSpPr>
          <a:spLocks/>
        </xdr:cNvSpPr>
      </xdr:nvSpPr>
      <xdr:spPr bwMode="auto">
        <a:xfrm>
          <a:off x="9001125" y="2133600"/>
          <a:ext cx="9525" cy="19050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w 62"/>
            <a:gd name="T25" fmla="*/ 0 h 30"/>
            <a:gd name="T26" fmla="*/ 0 w 62"/>
            <a:gd name="T27" fmla="*/ 0 h 30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2"/>
            <a:gd name="T43" fmla="*/ 0 h 30"/>
            <a:gd name="T44" fmla="*/ 62 w 62"/>
            <a:gd name="T45" fmla="*/ 30 h 30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2" h="30">
              <a:moveTo>
                <a:pt x="31" y="0"/>
              </a:moveTo>
              <a:lnTo>
                <a:pt x="62" y="0"/>
              </a:lnTo>
              <a:lnTo>
                <a:pt x="60" y="8"/>
              </a:lnTo>
              <a:lnTo>
                <a:pt x="57" y="16"/>
              </a:lnTo>
              <a:lnTo>
                <a:pt x="51" y="23"/>
              </a:lnTo>
              <a:lnTo>
                <a:pt x="43" y="28"/>
              </a:lnTo>
              <a:lnTo>
                <a:pt x="35" y="30"/>
              </a:lnTo>
              <a:lnTo>
                <a:pt x="27" y="30"/>
              </a:lnTo>
              <a:lnTo>
                <a:pt x="18" y="28"/>
              </a:lnTo>
              <a:lnTo>
                <a:pt x="11" y="23"/>
              </a:lnTo>
              <a:lnTo>
                <a:pt x="4" y="16"/>
              </a:lnTo>
              <a:lnTo>
                <a:pt x="1" y="8"/>
              </a:lnTo>
              <a:lnTo>
                <a:pt x="0" y="0"/>
              </a:lnTo>
              <a:lnTo>
                <a:pt x="3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295275</xdr:colOff>
      <xdr:row>10</xdr:row>
      <xdr:rowOff>95250</xdr:rowOff>
    </xdr:from>
    <xdr:to>
      <xdr:col>14</xdr:col>
      <xdr:colOff>304800</xdr:colOff>
      <xdr:row>10</xdr:row>
      <xdr:rowOff>114300</xdr:rowOff>
    </xdr:to>
    <xdr:sp macro="" textlink="">
      <xdr:nvSpPr>
        <xdr:cNvPr id="13657" name="Freeform 1240">
          <a:extLst>
            <a:ext uri="{FF2B5EF4-FFF2-40B4-BE49-F238E27FC236}">
              <a16:creationId xmlns:a16="http://schemas.microsoft.com/office/drawing/2014/main" id="{00000000-0008-0000-0700-000059350000}"/>
            </a:ext>
          </a:extLst>
        </xdr:cNvPr>
        <xdr:cNvSpPr>
          <a:spLocks/>
        </xdr:cNvSpPr>
      </xdr:nvSpPr>
      <xdr:spPr bwMode="auto">
        <a:xfrm>
          <a:off x="9001125" y="2133600"/>
          <a:ext cx="9525" cy="19050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2"/>
            <a:gd name="T37" fmla="*/ 0 h 30"/>
            <a:gd name="T38" fmla="*/ 62 w 62"/>
            <a:gd name="T39" fmla="*/ 30 h 30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2" h="30">
              <a:moveTo>
                <a:pt x="62" y="0"/>
              </a:moveTo>
              <a:lnTo>
                <a:pt x="60" y="8"/>
              </a:lnTo>
              <a:lnTo>
                <a:pt x="57" y="16"/>
              </a:lnTo>
              <a:lnTo>
                <a:pt x="51" y="23"/>
              </a:lnTo>
              <a:lnTo>
                <a:pt x="43" y="28"/>
              </a:lnTo>
              <a:lnTo>
                <a:pt x="35" y="30"/>
              </a:lnTo>
              <a:lnTo>
                <a:pt x="27" y="30"/>
              </a:lnTo>
              <a:lnTo>
                <a:pt x="18" y="28"/>
              </a:lnTo>
              <a:lnTo>
                <a:pt x="11" y="23"/>
              </a:lnTo>
              <a:lnTo>
                <a:pt x="4" y="16"/>
              </a:lnTo>
              <a:lnTo>
                <a:pt x="1" y="8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38100</xdr:colOff>
      <xdr:row>15</xdr:row>
      <xdr:rowOff>123825</xdr:rowOff>
    </xdr:from>
    <xdr:to>
      <xdr:col>12</xdr:col>
      <xdr:colOff>47625</xdr:colOff>
      <xdr:row>15</xdr:row>
      <xdr:rowOff>142875</xdr:rowOff>
    </xdr:to>
    <xdr:sp macro="" textlink="">
      <xdr:nvSpPr>
        <xdr:cNvPr id="13658" name="Freeform 1241">
          <a:extLst>
            <a:ext uri="{FF2B5EF4-FFF2-40B4-BE49-F238E27FC236}">
              <a16:creationId xmlns:a16="http://schemas.microsoft.com/office/drawing/2014/main" id="{00000000-0008-0000-0700-00005A350000}"/>
            </a:ext>
          </a:extLst>
        </xdr:cNvPr>
        <xdr:cNvSpPr>
          <a:spLocks/>
        </xdr:cNvSpPr>
      </xdr:nvSpPr>
      <xdr:spPr bwMode="auto">
        <a:xfrm>
          <a:off x="7677150" y="3314700"/>
          <a:ext cx="9525" cy="19050"/>
        </a:xfrm>
        <a:custGeom>
          <a:avLst/>
          <a:gdLst>
            <a:gd name="T0" fmla="*/ 0 w 49"/>
            <a:gd name="T1" fmla="*/ 0 h 56"/>
            <a:gd name="T2" fmla="*/ 0 w 49"/>
            <a:gd name="T3" fmla="*/ 0 h 56"/>
            <a:gd name="T4" fmla="*/ 0 w 49"/>
            <a:gd name="T5" fmla="*/ 0 h 56"/>
            <a:gd name="T6" fmla="*/ 0 w 49"/>
            <a:gd name="T7" fmla="*/ 0 h 56"/>
            <a:gd name="T8" fmla="*/ 0 w 49"/>
            <a:gd name="T9" fmla="*/ 0 h 56"/>
            <a:gd name="T10" fmla="*/ 0 w 49"/>
            <a:gd name="T11" fmla="*/ 0 h 56"/>
            <a:gd name="T12" fmla="*/ 0 w 49"/>
            <a:gd name="T13" fmla="*/ 0 h 56"/>
            <a:gd name="T14" fmla="*/ 0 w 49"/>
            <a:gd name="T15" fmla="*/ 0 h 56"/>
            <a:gd name="T16" fmla="*/ 0 w 49"/>
            <a:gd name="T17" fmla="*/ 0 h 56"/>
            <a:gd name="T18" fmla="*/ 0 w 49"/>
            <a:gd name="T19" fmla="*/ 0 h 56"/>
            <a:gd name="T20" fmla="*/ 0 w 49"/>
            <a:gd name="T21" fmla="*/ 0 h 56"/>
            <a:gd name="T22" fmla="*/ 0 w 49"/>
            <a:gd name="T23" fmla="*/ 0 h 56"/>
            <a:gd name="T24" fmla="*/ 0 w 49"/>
            <a:gd name="T25" fmla="*/ 0 h 56"/>
            <a:gd name="T26" fmla="*/ 0 w 49"/>
            <a:gd name="T27" fmla="*/ 0 h 5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49"/>
            <a:gd name="T43" fmla="*/ 0 h 56"/>
            <a:gd name="T44" fmla="*/ 49 w 49"/>
            <a:gd name="T45" fmla="*/ 56 h 5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49" h="56">
              <a:moveTo>
                <a:pt x="30" y="30"/>
              </a:moveTo>
              <a:lnTo>
                <a:pt x="12" y="56"/>
              </a:lnTo>
              <a:lnTo>
                <a:pt x="6" y="49"/>
              </a:lnTo>
              <a:lnTo>
                <a:pt x="1" y="42"/>
              </a:lnTo>
              <a:lnTo>
                <a:pt x="0" y="33"/>
              </a:lnTo>
              <a:lnTo>
                <a:pt x="0" y="24"/>
              </a:lnTo>
              <a:lnTo>
                <a:pt x="3" y="16"/>
              </a:lnTo>
              <a:lnTo>
                <a:pt x="8" y="8"/>
              </a:lnTo>
              <a:lnTo>
                <a:pt x="16" y="3"/>
              </a:lnTo>
              <a:lnTo>
                <a:pt x="24" y="0"/>
              </a:lnTo>
              <a:lnTo>
                <a:pt x="33" y="0"/>
              </a:lnTo>
              <a:lnTo>
                <a:pt x="41" y="1"/>
              </a:lnTo>
              <a:lnTo>
                <a:pt x="49" y="5"/>
              </a:lnTo>
              <a:lnTo>
                <a:pt x="30" y="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38100</xdr:colOff>
      <xdr:row>15</xdr:row>
      <xdr:rowOff>123825</xdr:rowOff>
    </xdr:from>
    <xdr:to>
      <xdr:col>12</xdr:col>
      <xdr:colOff>47625</xdr:colOff>
      <xdr:row>15</xdr:row>
      <xdr:rowOff>142875</xdr:rowOff>
    </xdr:to>
    <xdr:sp macro="" textlink="">
      <xdr:nvSpPr>
        <xdr:cNvPr id="13659" name="Freeform 1242">
          <a:extLst>
            <a:ext uri="{FF2B5EF4-FFF2-40B4-BE49-F238E27FC236}">
              <a16:creationId xmlns:a16="http://schemas.microsoft.com/office/drawing/2014/main" id="{00000000-0008-0000-0700-00005B350000}"/>
            </a:ext>
          </a:extLst>
        </xdr:cNvPr>
        <xdr:cNvSpPr>
          <a:spLocks/>
        </xdr:cNvSpPr>
      </xdr:nvSpPr>
      <xdr:spPr bwMode="auto">
        <a:xfrm>
          <a:off x="7677150" y="3314700"/>
          <a:ext cx="9525" cy="19050"/>
        </a:xfrm>
        <a:custGeom>
          <a:avLst/>
          <a:gdLst>
            <a:gd name="T0" fmla="*/ 0 w 49"/>
            <a:gd name="T1" fmla="*/ 0 h 56"/>
            <a:gd name="T2" fmla="*/ 0 w 49"/>
            <a:gd name="T3" fmla="*/ 0 h 56"/>
            <a:gd name="T4" fmla="*/ 0 w 49"/>
            <a:gd name="T5" fmla="*/ 0 h 56"/>
            <a:gd name="T6" fmla="*/ 0 w 49"/>
            <a:gd name="T7" fmla="*/ 0 h 56"/>
            <a:gd name="T8" fmla="*/ 0 w 49"/>
            <a:gd name="T9" fmla="*/ 0 h 56"/>
            <a:gd name="T10" fmla="*/ 0 w 49"/>
            <a:gd name="T11" fmla="*/ 0 h 56"/>
            <a:gd name="T12" fmla="*/ 0 w 49"/>
            <a:gd name="T13" fmla="*/ 0 h 56"/>
            <a:gd name="T14" fmla="*/ 0 w 49"/>
            <a:gd name="T15" fmla="*/ 0 h 56"/>
            <a:gd name="T16" fmla="*/ 0 w 49"/>
            <a:gd name="T17" fmla="*/ 0 h 56"/>
            <a:gd name="T18" fmla="*/ 0 w 49"/>
            <a:gd name="T19" fmla="*/ 0 h 56"/>
            <a:gd name="T20" fmla="*/ 0 w 49"/>
            <a:gd name="T21" fmla="*/ 0 h 56"/>
            <a:gd name="T22" fmla="*/ 0 w 49"/>
            <a:gd name="T23" fmla="*/ 0 h 5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49"/>
            <a:gd name="T37" fmla="*/ 0 h 56"/>
            <a:gd name="T38" fmla="*/ 49 w 49"/>
            <a:gd name="T39" fmla="*/ 56 h 56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49" h="56">
              <a:moveTo>
                <a:pt x="12" y="56"/>
              </a:moveTo>
              <a:lnTo>
                <a:pt x="6" y="49"/>
              </a:lnTo>
              <a:lnTo>
                <a:pt x="1" y="42"/>
              </a:lnTo>
              <a:lnTo>
                <a:pt x="0" y="33"/>
              </a:lnTo>
              <a:lnTo>
                <a:pt x="0" y="24"/>
              </a:lnTo>
              <a:lnTo>
                <a:pt x="3" y="16"/>
              </a:lnTo>
              <a:lnTo>
                <a:pt x="8" y="8"/>
              </a:lnTo>
              <a:lnTo>
                <a:pt x="16" y="3"/>
              </a:lnTo>
              <a:lnTo>
                <a:pt x="24" y="0"/>
              </a:lnTo>
              <a:lnTo>
                <a:pt x="33" y="0"/>
              </a:lnTo>
              <a:lnTo>
                <a:pt x="41" y="1"/>
              </a:lnTo>
              <a:lnTo>
                <a:pt x="49" y="5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47625</xdr:colOff>
      <xdr:row>15</xdr:row>
      <xdr:rowOff>123825</xdr:rowOff>
    </xdr:from>
    <xdr:to>
      <xdr:col>12</xdr:col>
      <xdr:colOff>76200</xdr:colOff>
      <xdr:row>15</xdr:row>
      <xdr:rowOff>171450</xdr:rowOff>
    </xdr:to>
    <xdr:sp macro="" textlink="">
      <xdr:nvSpPr>
        <xdr:cNvPr id="13660" name="Freeform 1243">
          <a:extLst>
            <a:ext uri="{FF2B5EF4-FFF2-40B4-BE49-F238E27FC236}">
              <a16:creationId xmlns:a16="http://schemas.microsoft.com/office/drawing/2014/main" id="{00000000-0008-0000-0700-00005C350000}"/>
            </a:ext>
          </a:extLst>
        </xdr:cNvPr>
        <xdr:cNvSpPr>
          <a:spLocks/>
        </xdr:cNvSpPr>
      </xdr:nvSpPr>
      <xdr:spPr bwMode="auto">
        <a:xfrm>
          <a:off x="7686675" y="3314700"/>
          <a:ext cx="28575" cy="47625"/>
        </a:xfrm>
        <a:custGeom>
          <a:avLst/>
          <a:gdLst>
            <a:gd name="T0" fmla="*/ 0 w 210"/>
            <a:gd name="T1" fmla="*/ 0 h 178"/>
            <a:gd name="T2" fmla="*/ 0 w 210"/>
            <a:gd name="T3" fmla="*/ 0 h 178"/>
            <a:gd name="T4" fmla="*/ 0 w 210"/>
            <a:gd name="T5" fmla="*/ 0 h 178"/>
            <a:gd name="T6" fmla="*/ 0 w 210"/>
            <a:gd name="T7" fmla="*/ 0 h 178"/>
            <a:gd name="T8" fmla="*/ 0 w 210"/>
            <a:gd name="T9" fmla="*/ 0 h 178"/>
            <a:gd name="T10" fmla="*/ 0 w 210"/>
            <a:gd name="T11" fmla="*/ 0 h 178"/>
            <a:gd name="T12" fmla="*/ 0 w 210"/>
            <a:gd name="T13" fmla="*/ 0 h 178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0"/>
            <a:gd name="T22" fmla="*/ 0 h 178"/>
            <a:gd name="T23" fmla="*/ 210 w 210"/>
            <a:gd name="T24" fmla="*/ 178 h 178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0" h="178">
              <a:moveTo>
                <a:pt x="37" y="0"/>
              </a:moveTo>
              <a:lnTo>
                <a:pt x="18" y="25"/>
              </a:lnTo>
              <a:lnTo>
                <a:pt x="0" y="51"/>
              </a:lnTo>
              <a:lnTo>
                <a:pt x="172" y="178"/>
              </a:lnTo>
              <a:lnTo>
                <a:pt x="191" y="153"/>
              </a:lnTo>
              <a:lnTo>
                <a:pt x="210" y="127"/>
              </a:lnTo>
              <a:lnTo>
                <a:pt x="37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47625</xdr:colOff>
      <xdr:row>15</xdr:row>
      <xdr:rowOff>123825</xdr:rowOff>
    </xdr:from>
    <xdr:to>
      <xdr:col>12</xdr:col>
      <xdr:colOff>76200</xdr:colOff>
      <xdr:row>15</xdr:row>
      <xdr:rowOff>171450</xdr:rowOff>
    </xdr:to>
    <xdr:sp macro="" textlink="">
      <xdr:nvSpPr>
        <xdr:cNvPr id="13661" name="Freeform 1244">
          <a:extLst>
            <a:ext uri="{FF2B5EF4-FFF2-40B4-BE49-F238E27FC236}">
              <a16:creationId xmlns:a16="http://schemas.microsoft.com/office/drawing/2014/main" id="{00000000-0008-0000-0700-00005D350000}"/>
            </a:ext>
          </a:extLst>
        </xdr:cNvPr>
        <xdr:cNvSpPr>
          <a:spLocks/>
        </xdr:cNvSpPr>
      </xdr:nvSpPr>
      <xdr:spPr bwMode="auto">
        <a:xfrm>
          <a:off x="7686675" y="3314700"/>
          <a:ext cx="28575" cy="47625"/>
        </a:xfrm>
        <a:custGeom>
          <a:avLst/>
          <a:gdLst>
            <a:gd name="T0" fmla="*/ 0 w 210"/>
            <a:gd name="T1" fmla="*/ 0 h 178"/>
            <a:gd name="T2" fmla="*/ 0 w 210"/>
            <a:gd name="T3" fmla="*/ 0 h 178"/>
            <a:gd name="T4" fmla="*/ 0 w 210"/>
            <a:gd name="T5" fmla="*/ 0 h 178"/>
            <a:gd name="T6" fmla="*/ 0 w 210"/>
            <a:gd name="T7" fmla="*/ 0 h 178"/>
            <a:gd name="T8" fmla="*/ 0 w 210"/>
            <a:gd name="T9" fmla="*/ 0 h 178"/>
            <a:gd name="T10" fmla="*/ 0 w 210"/>
            <a:gd name="T11" fmla="*/ 0 h 178"/>
            <a:gd name="T12" fmla="*/ 0 w 210"/>
            <a:gd name="T13" fmla="*/ 0 h 178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0"/>
            <a:gd name="T22" fmla="*/ 0 h 178"/>
            <a:gd name="T23" fmla="*/ 210 w 210"/>
            <a:gd name="T24" fmla="*/ 178 h 178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0" h="178">
              <a:moveTo>
                <a:pt x="37" y="0"/>
              </a:moveTo>
              <a:lnTo>
                <a:pt x="18" y="25"/>
              </a:lnTo>
              <a:lnTo>
                <a:pt x="0" y="51"/>
              </a:lnTo>
              <a:lnTo>
                <a:pt x="172" y="178"/>
              </a:lnTo>
              <a:lnTo>
                <a:pt x="191" y="153"/>
              </a:lnTo>
              <a:lnTo>
                <a:pt x="210" y="127"/>
              </a:lnTo>
              <a:lnTo>
                <a:pt x="37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66675</xdr:colOff>
      <xdr:row>15</xdr:row>
      <xdr:rowOff>171450</xdr:rowOff>
    </xdr:from>
    <xdr:to>
      <xdr:col>12</xdr:col>
      <xdr:colOff>76200</xdr:colOff>
      <xdr:row>15</xdr:row>
      <xdr:rowOff>171450</xdr:rowOff>
    </xdr:to>
    <xdr:sp macro="" textlink="">
      <xdr:nvSpPr>
        <xdr:cNvPr id="13662" name="Freeform 1245">
          <a:extLst>
            <a:ext uri="{FF2B5EF4-FFF2-40B4-BE49-F238E27FC236}">
              <a16:creationId xmlns:a16="http://schemas.microsoft.com/office/drawing/2014/main" id="{00000000-0008-0000-0700-00005E350000}"/>
            </a:ext>
          </a:extLst>
        </xdr:cNvPr>
        <xdr:cNvSpPr>
          <a:spLocks/>
        </xdr:cNvSpPr>
      </xdr:nvSpPr>
      <xdr:spPr bwMode="auto">
        <a:xfrm>
          <a:off x="7705725" y="3362325"/>
          <a:ext cx="9525" cy="0"/>
        </a:xfrm>
        <a:custGeom>
          <a:avLst/>
          <a:gdLst>
            <a:gd name="T0" fmla="*/ 0 w 19"/>
            <a:gd name="T1" fmla="*/ 0 h 28"/>
            <a:gd name="T2" fmla="*/ 0 w 19"/>
            <a:gd name="T3" fmla="*/ 0 h 28"/>
            <a:gd name="T4" fmla="*/ 0 w 19"/>
            <a:gd name="T5" fmla="*/ 0 h 28"/>
            <a:gd name="T6" fmla="*/ 0 w 19"/>
            <a:gd name="T7" fmla="*/ 0 h 28"/>
            <a:gd name="T8" fmla="*/ 0 60000 65536"/>
            <a:gd name="T9" fmla="*/ 0 60000 65536"/>
            <a:gd name="T10" fmla="*/ 0 60000 65536"/>
            <a:gd name="T11" fmla="*/ 0 60000 65536"/>
            <a:gd name="T12" fmla="*/ 0 w 19"/>
            <a:gd name="T13" fmla="*/ 0 h 28"/>
            <a:gd name="T14" fmla="*/ 19 w 19"/>
            <a:gd name="T15" fmla="*/ 0 h 28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9" h="28">
              <a:moveTo>
                <a:pt x="19" y="0"/>
              </a:moveTo>
              <a:lnTo>
                <a:pt x="0" y="25"/>
              </a:lnTo>
              <a:lnTo>
                <a:pt x="5" y="28"/>
              </a:lnTo>
              <a:lnTo>
                <a:pt x="19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66675</xdr:colOff>
      <xdr:row>15</xdr:row>
      <xdr:rowOff>171450</xdr:rowOff>
    </xdr:from>
    <xdr:to>
      <xdr:col>12</xdr:col>
      <xdr:colOff>76200</xdr:colOff>
      <xdr:row>15</xdr:row>
      <xdr:rowOff>190500</xdr:rowOff>
    </xdr:to>
    <xdr:sp macro="" textlink="">
      <xdr:nvSpPr>
        <xdr:cNvPr id="13663" name="Line 1246">
          <a:extLst>
            <a:ext uri="{FF2B5EF4-FFF2-40B4-BE49-F238E27FC236}">
              <a16:creationId xmlns:a16="http://schemas.microsoft.com/office/drawing/2014/main" id="{00000000-0008-0000-0700-00005F350000}"/>
            </a:ext>
          </a:extLst>
        </xdr:cNvPr>
        <xdr:cNvSpPr>
          <a:spLocks noChangeShapeType="1"/>
        </xdr:cNvSpPr>
      </xdr:nvSpPr>
      <xdr:spPr bwMode="auto">
        <a:xfrm>
          <a:off x="7705725" y="3362325"/>
          <a:ext cx="9525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66675</xdr:colOff>
      <xdr:row>15</xdr:row>
      <xdr:rowOff>161925</xdr:rowOff>
    </xdr:from>
    <xdr:to>
      <xdr:col>12</xdr:col>
      <xdr:colOff>114300</xdr:colOff>
      <xdr:row>15</xdr:row>
      <xdr:rowOff>209550</xdr:rowOff>
    </xdr:to>
    <xdr:sp macro="" textlink="">
      <xdr:nvSpPr>
        <xdr:cNvPr id="13664" name="Freeform 1247">
          <a:extLst>
            <a:ext uri="{FF2B5EF4-FFF2-40B4-BE49-F238E27FC236}">
              <a16:creationId xmlns:a16="http://schemas.microsoft.com/office/drawing/2014/main" id="{00000000-0008-0000-0700-000060350000}"/>
            </a:ext>
          </a:extLst>
        </xdr:cNvPr>
        <xdr:cNvSpPr>
          <a:spLocks/>
        </xdr:cNvSpPr>
      </xdr:nvSpPr>
      <xdr:spPr bwMode="auto">
        <a:xfrm>
          <a:off x="7705725" y="3352800"/>
          <a:ext cx="47625" cy="47625"/>
        </a:xfrm>
        <a:custGeom>
          <a:avLst/>
          <a:gdLst>
            <a:gd name="T0" fmla="*/ 0 w 253"/>
            <a:gd name="T1" fmla="*/ 0 h 167"/>
            <a:gd name="T2" fmla="*/ 0 w 253"/>
            <a:gd name="T3" fmla="*/ 0 h 167"/>
            <a:gd name="T4" fmla="*/ 0 w 253"/>
            <a:gd name="T5" fmla="*/ 0 h 167"/>
            <a:gd name="T6" fmla="*/ 0 w 253"/>
            <a:gd name="T7" fmla="*/ 0 h 167"/>
            <a:gd name="T8" fmla="*/ 0 w 253"/>
            <a:gd name="T9" fmla="*/ 0 h 167"/>
            <a:gd name="T10" fmla="*/ 0 w 253"/>
            <a:gd name="T11" fmla="*/ 0 h 167"/>
            <a:gd name="T12" fmla="*/ 0 w 253"/>
            <a:gd name="T13" fmla="*/ 0 h 16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53"/>
            <a:gd name="T22" fmla="*/ 0 h 167"/>
            <a:gd name="T23" fmla="*/ 253 w 253"/>
            <a:gd name="T24" fmla="*/ 167 h 16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53" h="167">
              <a:moveTo>
                <a:pt x="27" y="0"/>
              </a:moveTo>
              <a:lnTo>
                <a:pt x="14" y="29"/>
              </a:lnTo>
              <a:lnTo>
                <a:pt x="0" y="57"/>
              </a:lnTo>
              <a:lnTo>
                <a:pt x="226" y="167"/>
              </a:lnTo>
              <a:lnTo>
                <a:pt x="239" y="139"/>
              </a:lnTo>
              <a:lnTo>
                <a:pt x="253" y="110"/>
              </a:lnTo>
              <a:lnTo>
                <a:pt x="27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66675</xdr:colOff>
      <xdr:row>15</xdr:row>
      <xdr:rowOff>161925</xdr:rowOff>
    </xdr:from>
    <xdr:to>
      <xdr:col>12</xdr:col>
      <xdr:colOff>114300</xdr:colOff>
      <xdr:row>15</xdr:row>
      <xdr:rowOff>209550</xdr:rowOff>
    </xdr:to>
    <xdr:sp macro="" textlink="">
      <xdr:nvSpPr>
        <xdr:cNvPr id="13665" name="Freeform 1248">
          <a:extLst>
            <a:ext uri="{FF2B5EF4-FFF2-40B4-BE49-F238E27FC236}">
              <a16:creationId xmlns:a16="http://schemas.microsoft.com/office/drawing/2014/main" id="{00000000-0008-0000-0700-000061350000}"/>
            </a:ext>
          </a:extLst>
        </xdr:cNvPr>
        <xdr:cNvSpPr>
          <a:spLocks/>
        </xdr:cNvSpPr>
      </xdr:nvSpPr>
      <xdr:spPr bwMode="auto">
        <a:xfrm>
          <a:off x="7705725" y="3352800"/>
          <a:ext cx="47625" cy="47625"/>
        </a:xfrm>
        <a:custGeom>
          <a:avLst/>
          <a:gdLst>
            <a:gd name="T0" fmla="*/ 0 w 253"/>
            <a:gd name="T1" fmla="*/ 0 h 167"/>
            <a:gd name="T2" fmla="*/ 0 w 253"/>
            <a:gd name="T3" fmla="*/ 0 h 167"/>
            <a:gd name="T4" fmla="*/ 0 w 253"/>
            <a:gd name="T5" fmla="*/ 0 h 167"/>
            <a:gd name="T6" fmla="*/ 0 w 253"/>
            <a:gd name="T7" fmla="*/ 0 h 167"/>
            <a:gd name="T8" fmla="*/ 0 w 253"/>
            <a:gd name="T9" fmla="*/ 0 h 167"/>
            <a:gd name="T10" fmla="*/ 0 w 253"/>
            <a:gd name="T11" fmla="*/ 0 h 167"/>
            <a:gd name="T12" fmla="*/ 0 w 253"/>
            <a:gd name="T13" fmla="*/ 0 h 16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53"/>
            <a:gd name="T22" fmla="*/ 0 h 167"/>
            <a:gd name="T23" fmla="*/ 253 w 253"/>
            <a:gd name="T24" fmla="*/ 167 h 16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53" h="167">
              <a:moveTo>
                <a:pt x="27" y="0"/>
              </a:moveTo>
              <a:lnTo>
                <a:pt x="14" y="29"/>
              </a:lnTo>
              <a:lnTo>
                <a:pt x="0" y="57"/>
              </a:lnTo>
              <a:lnTo>
                <a:pt x="226" y="167"/>
              </a:lnTo>
              <a:lnTo>
                <a:pt x="239" y="139"/>
              </a:lnTo>
              <a:lnTo>
                <a:pt x="253" y="110"/>
              </a:lnTo>
              <a:lnTo>
                <a:pt x="27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114300</xdr:colOff>
      <xdr:row>15</xdr:row>
      <xdr:rowOff>200025</xdr:rowOff>
    </xdr:from>
    <xdr:to>
      <xdr:col>12</xdr:col>
      <xdr:colOff>114300</xdr:colOff>
      <xdr:row>15</xdr:row>
      <xdr:rowOff>209550</xdr:rowOff>
    </xdr:to>
    <xdr:sp macro="" textlink="">
      <xdr:nvSpPr>
        <xdr:cNvPr id="13666" name="Freeform 1249">
          <a:extLst>
            <a:ext uri="{FF2B5EF4-FFF2-40B4-BE49-F238E27FC236}">
              <a16:creationId xmlns:a16="http://schemas.microsoft.com/office/drawing/2014/main" id="{00000000-0008-0000-0700-000062350000}"/>
            </a:ext>
          </a:extLst>
        </xdr:cNvPr>
        <xdr:cNvSpPr>
          <a:spLocks/>
        </xdr:cNvSpPr>
      </xdr:nvSpPr>
      <xdr:spPr bwMode="auto">
        <a:xfrm>
          <a:off x="7753350" y="3390900"/>
          <a:ext cx="0" cy="9525"/>
        </a:xfrm>
        <a:custGeom>
          <a:avLst/>
          <a:gdLst>
            <a:gd name="T0" fmla="*/ 0 w 13"/>
            <a:gd name="T1" fmla="*/ 0 h 29"/>
            <a:gd name="T2" fmla="*/ 0 w 13"/>
            <a:gd name="T3" fmla="*/ 0 h 29"/>
            <a:gd name="T4" fmla="*/ 0 w 13"/>
            <a:gd name="T5" fmla="*/ 0 h 29"/>
            <a:gd name="T6" fmla="*/ 0 w 13"/>
            <a:gd name="T7" fmla="*/ 0 h 29"/>
            <a:gd name="T8" fmla="*/ 0 60000 65536"/>
            <a:gd name="T9" fmla="*/ 0 60000 65536"/>
            <a:gd name="T10" fmla="*/ 0 60000 65536"/>
            <a:gd name="T11" fmla="*/ 0 60000 65536"/>
            <a:gd name="T12" fmla="*/ 0 w 13"/>
            <a:gd name="T13" fmla="*/ 0 h 29"/>
            <a:gd name="T14" fmla="*/ 0 w 13"/>
            <a:gd name="T15" fmla="*/ 29 h 2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3" h="29">
              <a:moveTo>
                <a:pt x="13" y="0"/>
              </a:moveTo>
              <a:lnTo>
                <a:pt x="0" y="28"/>
              </a:lnTo>
              <a:lnTo>
                <a:pt x="4" y="29"/>
              </a:lnTo>
              <a:lnTo>
                <a:pt x="13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114300</xdr:colOff>
      <xdr:row>15</xdr:row>
      <xdr:rowOff>209550</xdr:rowOff>
    </xdr:from>
    <xdr:to>
      <xdr:col>12</xdr:col>
      <xdr:colOff>114300</xdr:colOff>
      <xdr:row>15</xdr:row>
      <xdr:rowOff>209550</xdr:rowOff>
    </xdr:to>
    <xdr:sp macro="" textlink="">
      <xdr:nvSpPr>
        <xdr:cNvPr id="13667" name="Line 1250">
          <a:extLst>
            <a:ext uri="{FF2B5EF4-FFF2-40B4-BE49-F238E27FC236}">
              <a16:creationId xmlns:a16="http://schemas.microsoft.com/office/drawing/2014/main" id="{00000000-0008-0000-0700-000063350000}"/>
            </a:ext>
          </a:extLst>
        </xdr:cNvPr>
        <xdr:cNvSpPr>
          <a:spLocks noChangeShapeType="1"/>
        </xdr:cNvSpPr>
      </xdr:nvSpPr>
      <xdr:spPr bwMode="auto">
        <a:xfrm>
          <a:off x="7753350" y="3400425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114300</xdr:colOff>
      <xdr:row>15</xdr:row>
      <xdr:rowOff>190500</xdr:rowOff>
    </xdr:from>
    <xdr:to>
      <xdr:col>12</xdr:col>
      <xdr:colOff>161925</xdr:colOff>
      <xdr:row>15</xdr:row>
      <xdr:rowOff>238125</xdr:rowOff>
    </xdr:to>
    <xdr:sp macro="" textlink="">
      <xdr:nvSpPr>
        <xdr:cNvPr id="13668" name="Freeform 1251">
          <a:extLst>
            <a:ext uri="{FF2B5EF4-FFF2-40B4-BE49-F238E27FC236}">
              <a16:creationId xmlns:a16="http://schemas.microsoft.com/office/drawing/2014/main" id="{00000000-0008-0000-0700-000064350000}"/>
            </a:ext>
          </a:extLst>
        </xdr:cNvPr>
        <xdr:cNvSpPr>
          <a:spLocks/>
        </xdr:cNvSpPr>
      </xdr:nvSpPr>
      <xdr:spPr bwMode="auto">
        <a:xfrm>
          <a:off x="7753350" y="3381375"/>
          <a:ext cx="47625" cy="47625"/>
        </a:xfrm>
        <a:custGeom>
          <a:avLst/>
          <a:gdLst>
            <a:gd name="T0" fmla="*/ 0 w 289"/>
            <a:gd name="T1" fmla="*/ 0 h 149"/>
            <a:gd name="T2" fmla="*/ 0 w 289"/>
            <a:gd name="T3" fmla="*/ 0 h 149"/>
            <a:gd name="T4" fmla="*/ 0 w 289"/>
            <a:gd name="T5" fmla="*/ 0 h 149"/>
            <a:gd name="T6" fmla="*/ 0 w 289"/>
            <a:gd name="T7" fmla="*/ 0 h 149"/>
            <a:gd name="T8" fmla="*/ 0 w 289"/>
            <a:gd name="T9" fmla="*/ 0 h 149"/>
            <a:gd name="T10" fmla="*/ 0 w 289"/>
            <a:gd name="T11" fmla="*/ 0 h 149"/>
            <a:gd name="T12" fmla="*/ 0 w 289"/>
            <a:gd name="T13" fmla="*/ 0 h 14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89"/>
            <a:gd name="T22" fmla="*/ 0 h 149"/>
            <a:gd name="T23" fmla="*/ 289 w 289"/>
            <a:gd name="T24" fmla="*/ 149 h 14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89" h="149">
              <a:moveTo>
                <a:pt x="19" y="0"/>
              </a:moveTo>
              <a:lnTo>
                <a:pt x="9" y="30"/>
              </a:lnTo>
              <a:lnTo>
                <a:pt x="0" y="59"/>
              </a:lnTo>
              <a:lnTo>
                <a:pt x="270" y="149"/>
              </a:lnTo>
              <a:lnTo>
                <a:pt x="279" y="120"/>
              </a:lnTo>
              <a:lnTo>
                <a:pt x="289" y="91"/>
              </a:lnTo>
              <a:lnTo>
                <a:pt x="19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114300</xdr:colOff>
      <xdr:row>15</xdr:row>
      <xdr:rowOff>190500</xdr:rowOff>
    </xdr:from>
    <xdr:to>
      <xdr:col>12</xdr:col>
      <xdr:colOff>161925</xdr:colOff>
      <xdr:row>15</xdr:row>
      <xdr:rowOff>238125</xdr:rowOff>
    </xdr:to>
    <xdr:sp macro="" textlink="">
      <xdr:nvSpPr>
        <xdr:cNvPr id="13669" name="Freeform 1252">
          <a:extLst>
            <a:ext uri="{FF2B5EF4-FFF2-40B4-BE49-F238E27FC236}">
              <a16:creationId xmlns:a16="http://schemas.microsoft.com/office/drawing/2014/main" id="{00000000-0008-0000-0700-000065350000}"/>
            </a:ext>
          </a:extLst>
        </xdr:cNvPr>
        <xdr:cNvSpPr>
          <a:spLocks/>
        </xdr:cNvSpPr>
      </xdr:nvSpPr>
      <xdr:spPr bwMode="auto">
        <a:xfrm>
          <a:off x="7753350" y="3381375"/>
          <a:ext cx="47625" cy="47625"/>
        </a:xfrm>
        <a:custGeom>
          <a:avLst/>
          <a:gdLst>
            <a:gd name="T0" fmla="*/ 0 w 289"/>
            <a:gd name="T1" fmla="*/ 0 h 149"/>
            <a:gd name="T2" fmla="*/ 0 w 289"/>
            <a:gd name="T3" fmla="*/ 0 h 149"/>
            <a:gd name="T4" fmla="*/ 0 w 289"/>
            <a:gd name="T5" fmla="*/ 0 h 149"/>
            <a:gd name="T6" fmla="*/ 0 w 289"/>
            <a:gd name="T7" fmla="*/ 0 h 149"/>
            <a:gd name="T8" fmla="*/ 0 w 289"/>
            <a:gd name="T9" fmla="*/ 0 h 149"/>
            <a:gd name="T10" fmla="*/ 0 w 289"/>
            <a:gd name="T11" fmla="*/ 0 h 149"/>
            <a:gd name="T12" fmla="*/ 0 w 289"/>
            <a:gd name="T13" fmla="*/ 0 h 14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89"/>
            <a:gd name="T22" fmla="*/ 0 h 149"/>
            <a:gd name="T23" fmla="*/ 289 w 289"/>
            <a:gd name="T24" fmla="*/ 149 h 14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89" h="149">
              <a:moveTo>
                <a:pt x="19" y="0"/>
              </a:moveTo>
              <a:lnTo>
                <a:pt x="9" y="30"/>
              </a:lnTo>
              <a:lnTo>
                <a:pt x="0" y="59"/>
              </a:lnTo>
              <a:lnTo>
                <a:pt x="270" y="149"/>
              </a:lnTo>
              <a:lnTo>
                <a:pt x="279" y="120"/>
              </a:lnTo>
              <a:lnTo>
                <a:pt x="289" y="91"/>
              </a:lnTo>
              <a:lnTo>
                <a:pt x="19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161925</xdr:colOff>
      <xdr:row>15</xdr:row>
      <xdr:rowOff>228600</xdr:rowOff>
    </xdr:from>
    <xdr:to>
      <xdr:col>12</xdr:col>
      <xdr:colOff>161925</xdr:colOff>
      <xdr:row>15</xdr:row>
      <xdr:rowOff>238125</xdr:rowOff>
    </xdr:to>
    <xdr:sp macro="" textlink="">
      <xdr:nvSpPr>
        <xdr:cNvPr id="13670" name="Freeform 1253">
          <a:extLst>
            <a:ext uri="{FF2B5EF4-FFF2-40B4-BE49-F238E27FC236}">
              <a16:creationId xmlns:a16="http://schemas.microsoft.com/office/drawing/2014/main" id="{00000000-0008-0000-0700-000066350000}"/>
            </a:ext>
          </a:extLst>
        </xdr:cNvPr>
        <xdr:cNvSpPr>
          <a:spLocks/>
        </xdr:cNvSpPr>
      </xdr:nvSpPr>
      <xdr:spPr bwMode="auto">
        <a:xfrm>
          <a:off x="7800975" y="3419475"/>
          <a:ext cx="0" cy="9525"/>
        </a:xfrm>
        <a:custGeom>
          <a:avLst/>
          <a:gdLst>
            <a:gd name="T0" fmla="*/ 0 w 9"/>
            <a:gd name="T1" fmla="*/ 0 h 31"/>
            <a:gd name="T2" fmla="*/ 0 w 9"/>
            <a:gd name="T3" fmla="*/ 0 h 31"/>
            <a:gd name="T4" fmla="*/ 0 w 9"/>
            <a:gd name="T5" fmla="*/ 0 h 31"/>
            <a:gd name="T6" fmla="*/ 0 w 9"/>
            <a:gd name="T7" fmla="*/ 0 h 31"/>
            <a:gd name="T8" fmla="*/ 0 60000 65536"/>
            <a:gd name="T9" fmla="*/ 0 60000 65536"/>
            <a:gd name="T10" fmla="*/ 0 60000 65536"/>
            <a:gd name="T11" fmla="*/ 0 60000 65536"/>
            <a:gd name="T12" fmla="*/ 0 w 9"/>
            <a:gd name="T13" fmla="*/ 0 h 31"/>
            <a:gd name="T14" fmla="*/ 0 w 9"/>
            <a:gd name="T15" fmla="*/ 31 h 3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" h="31">
              <a:moveTo>
                <a:pt x="9" y="0"/>
              </a:moveTo>
              <a:lnTo>
                <a:pt x="0" y="29"/>
              </a:lnTo>
              <a:lnTo>
                <a:pt x="3" y="31"/>
              </a:lnTo>
              <a:lnTo>
                <a:pt x="9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161925</xdr:colOff>
      <xdr:row>15</xdr:row>
      <xdr:rowOff>228600</xdr:rowOff>
    </xdr:from>
    <xdr:to>
      <xdr:col>12</xdr:col>
      <xdr:colOff>161925</xdr:colOff>
      <xdr:row>15</xdr:row>
      <xdr:rowOff>228600</xdr:rowOff>
    </xdr:to>
    <xdr:sp macro="" textlink="">
      <xdr:nvSpPr>
        <xdr:cNvPr id="13671" name="Line 1254">
          <a:extLst>
            <a:ext uri="{FF2B5EF4-FFF2-40B4-BE49-F238E27FC236}">
              <a16:creationId xmlns:a16="http://schemas.microsoft.com/office/drawing/2014/main" id="{00000000-0008-0000-0700-000067350000}"/>
            </a:ext>
          </a:extLst>
        </xdr:cNvPr>
        <xdr:cNvSpPr>
          <a:spLocks noChangeShapeType="1"/>
        </xdr:cNvSpPr>
      </xdr:nvSpPr>
      <xdr:spPr bwMode="auto">
        <a:xfrm>
          <a:off x="7800975" y="3419475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161925</xdr:colOff>
      <xdr:row>15</xdr:row>
      <xdr:rowOff>228600</xdr:rowOff>
    </xdr:from>
    <xdr:to>
      <xdr:col>12</xdr:col>
      <xdr:colOff>209550</xdr:colOff>
      <xdr:row>15</xdr:row>
      <xdr:rowOff>247650</xdr:rowOff>
    </xdr:to>
    <xdr:sp macro="" textlink="">
      <xdr:nvSpPr>
        <xdr:cNvPr id="13672" name="Freeform 1255">
          <a:extLst>
            <a:ext uri="{FF2B5EF4-FFF2-40B4-BE49-F238E27FC236}">
              <a16:creationId xmlns:a16="http://schemas.microsoft.com/office/drawing/2014/main" id="{00000000-0008-0000-0700-000068350000}"/>
            </a:ext>
          </a:extLst>
        </xdr:cNvPr>
        <xdr:cNvSpPr>
          <a:spLocks/>
        </xdr:cNvSpPr>
      </xdr:nvSpPr>
      <xdr:spPr bwMode="auto">
        <a:xfrm>
          <a:off x="7800975" y="3419475"/>
          <a:ext cx="47625" cy="19050"/>
        </a:xfrm>
        <a:custGeom>
          <a:avLst/>
          <a:gdLst>
            <a:gd name="T0" fmla="*/ 0 w 318"/>
            <a:gd name="T1" fmla="*/ 0 h 129"/>
            <a:gd name="T2" fmla="*/ 0 w 318"/>
            <a:gd name="T3" fmla="*/ 0 h 129"/>
            <a:gd name="T4" fmla="*/ 0 w 318"/>
            <a:gd name="T5" fmla="*/ 0 h 129"/>
            <a:gd name="T6" fmla="*/ 0 w 318"/>
            <a:gd name="T7" fmla="*/ 0 h 129"/>
            <a:gd name="T8" fmla="*/ 0 w 318"/>
            <a:gd name="T9" fmla="*/ 0 h 129"/>
            <a:gd name="T10" fmla="*/ 0 w 318"/>
            <a:gd name="T11" fmla="*/ 0 h 129"/>
            <a:gd name="T12" fmla="*/ 0 w 318"/>
            <a:gd name="T13" fmla="*/ 0 h 12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18"/>
            <a:gd name="T22" fmla="*/ 0 h 129"/>
            <a:gd name="T23" fmla="*/ 318 w 318"/>
            <a:gd name="T24" fmla="*/ 129 h 12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18" h="129">
              <a:moveTo>
                <a:pt x="13" y="0"/>
              </a:moveTo>
              <a:lnTo>
                <a:pt x="6" y="30"/>
              </a:lnTo>
              <a:lnTo>
                <a:pt x="0" y="61"/>
              </a:lnTo>
              <a:lnTo>
                <a:pt x="306" y="129"/>
              </a:lnTo>
              <a:lnTo>
                <a:pt x="312" y="98"/>
              </a:lnTo>
              <a:lnTo>
                <a:pt x="318" y="68"/>
              </a:lnTo>
              <a:lnTo>
                <a:pt x="13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161925</xdr:colOff>
      <xdr:row>15</xdr:row>
      <xdr:rowOff>228600</xdr:rowOff>
    </xdr:from>
    <xdr:to>
      <xdr:col>12</xdr:col>
      <xdr:colOff>209550</xdr:colOff>
      <xdr:row>15</xdr:row>
      <xdr:rowOff>247650</xdr:rowOff>
    </xdr:to>
    <xdr:sp macro="" textlink="">
      <xdr:nvSpPr>
        <xdr:cNvPr id="13673" name="Freeform 1256">
          <a:extLst>
            <a:ext uri="{FF2B5EF4-FFF2-40B4-BE49-F238E27FC236}">
              <a16:creationId xmlns:a16="http://schemas.microsoft.com/office/drawing/2014/main" id="{00000000-0008-0000-0700-000069350000}"/>
            </a:ext>
          </a:extLst>
        </xdr:cNvPr>
        <xdr:cNvSpPr>
          <a:spLocks/>
        </xdr:cNvSpPr>
      </xdr:nvSpPr>
      <xdr:spPr bwMode="auto">
        <a:xfrm>
          <a:off x="7800975" y="3419475"/>
          <a:ext cx="47625" cy="19050"/>
        </a:xfrm>
        <a:custGeom>
          <a:avLst/>
          <a:gdLst>
            <a:gd name="T0" fmla="*/ 0 w 318"/>
            <a:gd name="T1" fmla="*/ 0 h 129"/>
            <a:gd name="T2" fmla="*/ 0 w 318"/>
            <a:gd name="T3" fmla="*/ 0 h 129"/>
            <a:gd name="T4" fmla="*/ 0 w 318"/>
            <a:gd name="T5" fmla="*/ 0 h 129"/>
            <a:gd name="T6" fmla="*/ 0 w 318"/>
            <a:gd name="T7" fmla="*/ 0 h 129"/>
            <a:gd name="T8" fmla="*/ 0 w 318"/>
            <a:gd name="T9" fmla="*/ 0 h 129"/>
            <a:gd name="T10" fmla="*/ 0 w 318"/>
            <a:gd name="T11" fmla="*/ 0 h 129"/>
            <a:gd name="T12" fmla="*/ 0 w 318"/>
            <a:gd name="T13" fmla="*/ 0 h 12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18"/>
            <a:gd name="T22" fmla="*/ 0 h 129"/>
            <a:gd name="T23" fmla="*/ 318 w 318"/>
            <a:gd name="T24" fmla="*/ 129 h 12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18" h="129">
              <a:moveTo>
                <a:pt x="13" y="0"/>
              </a:moveTo>
              <a:lnTo>
                <a:pt x="6" y="30"/>
              </a:lnTo>
              <a:lnTo>
                <a:pt x="0" y="61"/>
              </a:lnTo>
              <a:lnTo>
                <a:pt x="306" y="129"/>
              </a:lnTo>
              <a:lnTo>
                <a:pt x="312" y="98"/>
              </a:lnTo>
              <a:lnTo>
                <a:pt x="318" y="68"/>
              </a:lnTo>
              <a:lnTo>
                <a:pt x="13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209550</xdr:colOff>
      <xdr:row>15</xdr:row>
      <xdr:rowOff>238125</xdr:rowOff>
    </xdr:from>
    <xdr:to>
      <xdr:col>12</xdr:col>
      <xdr:colOff>209550</xdr:colOff>
      <xdr:row>15</xdr:row>
      <xdr:rowOff>247650</xdr:rowOff>
    </xdr:to>
    <xdr:sp macro="" textlink="">
      <xdr:nvSpPr>
        <xdr:cNvPr id="13674" name="Freeform 1257">
          <a:extLst>
            <a:ext uri="{FF2B5EF4-FFF2-40B4-BE49-F238E27FC236}">
              <a16:creationId xmlns:a16="http://schemas.microsoft.com/office/drawing/2014/main" id="{00000000-0008-0000-0700-00006A350000}"/>
            </a:ext>
          </a:extLst>
        </xdr:cNvPr>
        <xdr:cNvSpPr>
          <a:spLocks/>
        </xdr:cNvSpPr>
      </xdr:nvSpPr>
      <xdr:spPr bwMode="auto">
        <a:xfrm>
          <a:off x="7848600" y="3429000"/>
          <a:ext cx="0" cy="9525"/>
        </a:xfrm>
        <a:custGeom>
          <a:avLst/>
          <a:gdLst>
            <a:gd name="T0" fmla="*/ 0 w 6"/>
            <a:gd name="T1" fmla="*/ 0 h 31"/>
            <a:gd name="T2" fmla="*/ 0 w 6"/>
            <a:gd name="T3" fmla="*/ 0 h 31"/>
            <a:gd name="T4" fmla="*/ 0 w 6"/>
            <a:gd name="T5" fmla="*/ 0 h 31"/>
            <a:gd name="T6" fmla="*/ 0 w 6"/>
            <a:gd name="T7" fmla="*/ 0 h 31"/>
            <a:gd name="T8" fmla="*/ 0 60000 65536"/>
            <a:gd name="T9" fmla="*/ 0 60000 65536"/>
            <a:gd name="T10" fmla="*/ 0 60000 65536"/>
            <a:gd name="T11" fmla="*/ 0 60000 65536"/>
            <a:gd name="T12" fmla="*/ 0 w 6"/>
            <a:gd name="T13" fmla="*/ 0 h 31"/>
            <a:gd name="T14" fmla="*/ 0 w 6"/>
            <a:gd name="T15" fmla="*/ 31 h 3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" h="31">
              <a:moveTo>
                <a:pt x="6" y="0"/>
              </a:moveTo>
              <a:lnTo>
                <a:pt x="0" y="31"/>
              </a:lnTo>
              <a:lnTo>
                <a:pt x="2" y="31"/>
              </a:lnTo>
              <a:lnTo>
                <a:pt x="6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209550</xdr:colOff>
      <xdr:row>15</xdr:row>
      <xdr:rowOff>247650</xdr:rowOff>
    </xdr:from>
    <xdr:to>
      <xdr:col>12</xdr:col>
      <xdr:colOff>209550</xdr:colOff>
      <xdr:row>15</xdr:row>
      <xdr:rowOff>247650</xdr:rowOff>
    </xdr:to>
    <xdr:sp macro="" textlink="">
      <xdr:nvSpPr>
        <xdr:cNvPr id="13675" name="Line 1258">
          <a:extLst>
            <a:ext uri="{FF2B5EF4-FFF2-40B4-BE49-F238E27FC236}">
              <a16:creationId xmlns:a16="http://schemas.microsoft.com/office/drawing/2014/main" id="{00000000-0008-0000-0700-00006B350000}"/>
            </a:ext>
          </a:extLst>
        </xdr:cNvPr>
        <xdr:cNvSpPr>
          <a:spLocks noChangeShapeType="1"/>
        </xdr:cNvSpPr>
      </xdr:nvSpPr>
      <xdr:spPr bwMode="auto">
        <a:xfrm>
          <a:off x="7848600" y="3438525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209550</xdr:colOff>
      <xdr:row>15</xdr:row>
      <xdr:rowOff>228600</xdr:rowOff>
    </xdr:from>
    <xdr:to>
      <xdr:col>12</xdr:col>
      <xdr:colOff>257175</xdr:colOff>
      <xdr:row>15</xdr:row>
      <xdr:rowOff>257175</xdr:rowOff>
    </xdr:to>
    <xdr:sp macro="" textlink="">
      <xdr:nvSpPr>
        <xdr:cNvPr id="13676" name="Freeform 1259">
          <a:extLst>
            <a:ext uri="{FF2B5EF4-FFF2-40B4-BE49-F238E27FC236}">
              <a16:creationId xmlns:a16="http://schemas.microsoft.com/office/drawing/2014/main" id="{00000000-0008-0000-0700-00006C350000}"/>
            </a:ext>
          </a:extLst>
        </xdr:cNvPr>
        <xdr:cNvSpPr>
          <a:spLocks/>
        </xdr:cNvSpPr>
      </xdr:nvSpPr>
      <xdr:spPr bwMode="auto">
        <a:xfrm>
          <a:off x="7848600" y="3419475"/>
          <a:ext cx="47625" cy="28575"/>
        </a:xfrm>
        <a:custGeom>
          <a:avLst/>
          <a:gdLst>
            <a:gd name="T0" fmla="*/ 0 w 338"/>
            <a:gd name="T1" fmla="*/ 0 h 104"/>
            <a:gd name="T2" fmla="*/ 0 w 338"/>
            <a:gd name="T3" fmla="*/ 0 h 104"/>
            <a:gd name="T4" fmla="*/ 0 w 338"/>
            <a:gd name="T5" fmla="*/ 0 h 104"/>
            <a:gd name="T6" fmla="*/ 0 w 338"/>
            <a:gd name="T7" fmla="*/ 0 h 104"/>
            <a:gd name="T8" fmla="*/ 0 w 338"/>
            <a:gd name="T9" fmla="*/ 0 h 104"/>
            <a:gd name="T10" fmla="*/ 0 w 338"/>
            <a:gd name="T11" fmla="*/ 0 h 104"/>
            <a:gd name="T12" fmla="*/ 0 w 338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38"/>
            <a:gd name="T22" fmla="*/ 0 h 104"/>
            <a:gd name="T23" fmla="*/ 338 w 338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38" h="104">
              <a:moveTo>
                <a:pt x="8" y="0"/>
              </a:moveTo>
              <a:lnTo>
                <a:pt x="4" y="30"/>
              </a:lnTo>
              <a:lnTo>
                <a:pt x="0" y="61"/>
              </a:lnTo>
              <a:lnTo>
                <a:pt x="329" y="104"/>
              </a:lnTo>
              <a:lnTo>
                <a:pt x="334" y="73"/>
              </a:lnTo>
              <a:lnTo>
                <a:pt x="338" y="43"/>
              </a:lnTo>
              <a:lnTo>
                <a:pt x="8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209550</xdr:colOff>
      <xdr:row>15</xdr:row>
      <xdr:rowOff>228600</xdr:rowOff>
    </xdr:from>
    <xdr:to>
      <xdr:col>12</xdr:col>
      <xdr:colOff>257175</xdr:colOff>
      <xdr:row>15</xdr:row>
      <xdr:rowOff>257175</xdr:rowOff>
    </xdr:to>
    <xdr:sp macro="" textlink="">
      <xdr:nvSpPr>
        <xdr:cNvPr id="13677" name="Freeform 1260">
          <a:extLst>
            <a:ext uri="{FF2B5EF4-FFF2-40B4-BE49-F238E27FC236}">
              <a16:creationId xmlns:a16="http://schemas.microsoft.com/office/drawing/2014/main" id="{00000000-0008-0000-0700-00006D350000}"/>
            </a:ext>
          </a:extLst>
        </xdr:cNvPr>
        <xdr:cNvSpPr>
          <a:spLocks/>
        </xdr:cNvSpPr>
      </xdr:nvSpPr>
      <xdr:spPr bwMode="auto">
        <a:xfrm>
          <a:off x="7848600" y="3419475"/>
          <a:ext cx="47625" cy="28575"/>
        </a:xfrm>
        <a:custGeom>
          <a:avLst/>
          <a:gdLst>
            <a:gd name="T0" fmla="*/ 0 w 338"/>
            <a:gd name="T1" fmla="*/ 0 h 104"/>
            <a:gd name="T2" fmla="*/ 0 w 338"/>
            <a:gd name="T3" fmla="*/ 0 h 104"/>
            <a:gd name="T4" fmla="*/ 0 w 338"/>
            <a:gd name="T5" fmla="*/ 0 h 104"/>
            <a:gd name="T6" fmla="*/ 0 w 338"/>
            <a:gd name="T7" fmla="*/ 0 h 104"/>
            <a:gd name="T8" fmla="*/ 0 w 338"/>
            <a:gd name="T9" fmla="*/ 0 h 104"/>
            <a:gd name="T10" fmla="*/ 0 w 338"/>
            <a:gd name="T11" fmla="*/ 0 h 104"/>
            <a:gd name="T12" fmla="*/ 0 w 338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38"/>
            <a:gd name="T22" fmla="*/ 0 h 104"/>
            <a:gd name="T23" fmla="*/ 338 w 338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38" h="104">
              <a:moveTo>
                <a:pt x="8" y="0"/>
              </a:moveTo>
              <a:lnTo>
                <a:pt x="4" y="30"/>
              </a:lnTo>
              <a:lnTo>
                <a:pt x="0" y="61"/>
              </a:lnTo>
              <a:lnTo>
                <a:pt x="329" y="104"/>
              </a:lnTo>
              <a:lnTo>
                <a:pt x="334" y="73"/>
              </a:lnTo>
              <a:lnTo>
                <a:pt x="338" y="43"/>
              </a:lnTo>
              <a:lnTo>
                <a:pt x="8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257175</xdr:colOff>
      <xdr:row>15</xdr:row>
      <xdr:rowOff>247650</xdr:rowOff>
    </xdr:from>
    <xdr:to>
      <xdr:col>12</xdr:col>
      <xdr:colOff>257175</xdr:colOff>
      <xdr:row>15</xdr:row>
      <xdr:rowOff>266700</xdr:rowOff>
    </xdr:to>
    <xdr:sp macro="" textlink="">
      <xdr:nvSpPr>
        <xdr:cNvPr id="13678" name="Freeform 1261">
          <a:extLst>
            <a:ext uri="{FF2B5EF4-FFF2-40B4-BE49-F238E27FC236}">
              <a16:creationId xmlns:a16="http://schemas.microsoft.com/office/drawing/2014/main" id="{00000000-0008-0000-0700-00006E350000}"/>
            </a:ext>
          </a:extLst>
        </xdr:cNvPr>
        <xdr:cNvSpPr>
          <a:spLocks/>
        </xdr:cNvSpPr>
      </xdr:nvSpPr>
      <xdr:spPr bwMode="auto">
        <a:xfrm>
          <a:off x="7896225" y="3438525"/>
          <a:ext cx="0" cy="19050"/>
        </a:xfrm>
        <a:custGeom>
          <a:avLst/>
          <a:gdLst>
            <a:gd name="T0" fmla="*/ 0 w 5"/>
            <a:gd name="T1" fmla="*/ 0 h 31"/>
            <a:gd name="T2" fmla="*/ 0 w 5"/>
            <a:gd name="T3" fmla="*/ 0 h 31"/>
            <a:gd name="T4" fmla="*/ 0 w 5"/>
            <a:gd name="T5" fmla="*/ 0 h 31"/>
            <a:gd name="T6" fmla="*/ 0 w 5"/>
            <a:gd name="T7" fmla="*/ 0 h 31"/>
            <a:gd name="T8" fmla="*/ 0 60000 65536"/>
            <a:gd name="T9" fmla="*/ 0 60000 65536"/>
            <a:gd name="T10" fmla="*/ 0 60000 65536"/>
            <a:gd name="T11" fmla="*/ 0 60000 65536"/>
            <a:gd name="T12" fmla="*/ 0 w 5"/>
            <a:gd name="T13" fmla="*/ 0 h 31"/>
            <a:gd name="T14" fmla="*/ 0 w 5"/>
            <a:gd name="T15" fmla="*/ 31 h 3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" h="31">
              <a:moveTo>
                <a:pt x="5" y="0"/>
              </a:moveTo>
              <a:lnTo>
                <a:pt x="0" y="31"/>
              </a:lnTo>
              <a:lnTo>
                <a:pt x="3" y="31"/>
              </a:lnTo>
              <a:lnTo>
                <a:pt x="5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257175</xdr:colOff>
      <xdr:row>15</xdr:row>
      <xdr:rowOff>266700</xdr:rowOff>
    </xdr:from>
    <xdr:to>
      <xdr:col>12</xdr:col>
      <xdr:colOff>257175</xdr:colOff>
      <xdr:row>15</xdr:row>
      <xdr:rowOff>266700</xdr:rowOff>
    </xdr:to>
    <xdr:sp macro="" textlink="">
      <xdr:nvSpPr>
        <xdr:cNvPr id="13679" name="Line 1262">
          <a:extLst>
            <a:ext uri="{FF2B5EF4-FFF2-40B4-BE49-F238E27FC236}">
              <a16:creationId xmlns:a16="http://schemas.microsoft.com/office/drawing/2014/main" id="{00000000-0008-0000-0700-00006F350000}"/>
            </a:ext>
          </a:extLst>
        </xdr:cNvPr>
        <xdr:cNvSpPr>
          <a:spLocks noChangeShapeType="1"/>
        </xdr:cNvSpPr>
      </xdr:nvSpPr>
      <xdr:spPr bwMode="auto">
        <a:xfrm>
          <a:off x="7896225" y="3457575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257175</xdr:colOff>
      <xdr:row>15</xdr:row>
      <xdr:rowOff>238125</xdr:rowOff>
    </xdr:from>
    <xdr:to>
      <xdr:col>12</xdr:col>
      <xdr:colOff>323850</xdr:colOff>
      <xdr:row>15</xdr:row>
      <xdr:rowOff>257175</xdr:rowOff>
    </xdr:to>
    <xdr:sp macro="" textlink="">
      <xdr:nvSpPr>
        <xdr:cNvPr id="13680" name="Freeform 1263">
          <a:extLst>
            <a:ext uri="{FF2B5EF4-FFF2-40B4-BE49-F238E27FC236}">
              <a16:creationId xmlns:a16="http://schemas.microsoft.com/office/drawing/2014/main" id="{00000000-0008-0000-0700-000070350000}"/>
            </a:ext>
          </a:extLst>
        </xdr:cNvPr>
        <xdr:cNvSpPr>
          <a:spLocks/>
        </xdr:cNvSpPr>
      </xdr:nvSpPr>
      <xdr:spPr bwMode="auto">
        <a:xfrm>
          <a:off x="7896225" y="3429000"/>
          <a:ext cx="66675" cy="19050"/>
        </a:xfrm>
        <a:custGeom>
          <a:avLst/>
          <a:gdLst>
            <a:gd name="T0" fmla="*/ 0 w 345"/>
            <a:gd name="T1" fmla="*/ 0 h 77"/>
            <a:gd name="T2" fmla="*/ 0 w 345"/>
            <a:gd name="T3" fmla="*/ 0 h 77"/>
            <a:gd name="T4" fmla="*/ 0 w 345"/>
            <a:gd name="T5" fmla="*/ 0 h 77"/>
            <a:gd name="T6" fmla="*/ 0 w 345"/>
            <a:gd name="T7" fmla="*/ 0 h 77"/>
            <a:gd name="T8" fmla="*/ 0 w 345"/>
            <a:gd name="T9" fmla="*/ 0 h 77"/>
            <a:gd name="T10" fmla="*/ 0 w 345"/>
            <a:gd name="T11" fmla="*/ 0 h 77"/>
            <a:gd name="T12" fmla="*/ 0 w 345"/>
            <a:gd name="T13" fmla="*/ 0 h 7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5"/>
            <a:gd name="T22" fmla="*/ 0 h 77"/>
            <a:gd name="T23" fmla="*/ 345 w 345"/>
            <a:gd name="T24" fmla="*/ 77 h 7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5" h="77">
              <a:moveTo>
                <a:pt x="3" y="0"/>
              </a:moveTo>
              <a:lnTo>
                <a:pt x="2" y="30"/>
              </a:lnTo>
              <a:lnTo>
                <a:pt x="0" y="61"/>
              </a:lnTo>
              <a:lnTo>
                <a:pt x="343" y="77"/>
              </a:lnTo>
              <a:lnTo>
                <a:pt x="344" y="46"/>
              </a:lnTo>
              <a:lnTo>
                <a:pt x="345" y="16"/>
              </a:lnTo>
              <a:lnTo>
                <a:pt x="3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257175</xdr:colOff>
      <xdr:row>15</xdr:row>
      <xdr:rowOff>238125</xdr:rowOff>
    </xdr:from>
    <xdr:to>
      <xdr:col>12</xdr:col>
      <xdr:colOff>323850</xdr:colOff>
      <xdr:row>15</xdr:row>
      <xdr:rowOff>257175</xdr:rowOff>
    </xdr:to>
    <xdr:sp macro="" textlink="">
      <xdr:nvSpPr>
        <xdr:cNvPr id="13681" name="Freeform 1264">
          <a:extLst>
            <a:ext uri="{FF2B5EF4-FFF2-40B4-BE49-F238E27FC236}">
              <a16:creationId xmlns:a16="http://schemas.microsoft.com/office/drawing/2014/main" id="{00000000-0008-0000-0700-000071350000}"/>
            </a:ext>
          </a:extLst>
        </xdr:cNvPr>
        <xdr:cNvSpPr>
          <a:spLocks/>
        </xdr:cNvSpPr>
      </xdr:nvSpPr>
      <xdr:spPr bwMode="auto">
        <a:xfrm>
          <a:off x="7896225" y="3429000"/>
          <a:ext cx="66675" cy="19050"/>
        </a:xfrm>
        <a:custGeom>
          <a:avLst/>
          <a:gdLst>
            <a:gd name="T0" fmla="*/ 0 w 345"/>
            <a:gd name="T1" fmla="*/ 0 h 77"/>
            <a:gd name="T2" fmla="*/ 0 w 345"/>
            <a:gd name="T3" fmla="*/ 0 h 77"/>
            <a:gd name="T4" fmla="*/ 0 w 345"/>
            <a:gd name="T5" fmla="*/ 0 h 77"/>
            <a:gd name="T6" fmla="*/ 0 w 345"/>
            <a:gd name="T7" fmla="*/ 0 h 77"/>
            <a:gd name="T8" fmla="*/ 0 w 345"/>
            <a:gd name="T9" fmla="*/ 0 h 77"/>
            <a:gd name="T10" fmla="*/ 0 w 345"/>
            <a:gd name="T11" fmla="*/ 0 h 77"/>
            <a:gd name="T12" fmla="*/ 0 w 345"/>
            <a:gd name="T13" fmla="*/ 0 h 7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5"/>
            <a:gd name="T22" fmla="*/ 0 h 77"/>
            <a:gd name="T23" fmla="*/ 345 w 345"/>
            <a:gd name="T24" fmla="*/ 77 h 7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5" h="77">
              <a:moveTo>
                <a:pt x="3" y="0"/>
              </a:moveTo>
              <a:lnTo>
                <a:pt x="2" y="30"/>
              </a:lnTo>
              <a:lnTo>
                <a:pt x="0" y="61"/>
              </a:lnTo>
              <a:lnTo>
                <a:pt x="343" y="77"/>
              </a:lnTo>
              <a:lnTo>
                <a:pt x="344" y="46"/>
              </a:lnTo>
              <a:lnTo>
                <a:pt x="345" y="16"/>
              </a:lnTo>
              <a:lnTo>
                <a:pt x="3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323850</xdr:colOff>
      <xdr:row>15</xdr:row>
      <xdr:rowOff>247650</xdr:rowOff>
    </xdr:from>
    <xdr:to>
      <xdr:col>12</xdr:col>
      <xdr:colOff>323850</xdr:colOff>
      <xdr:row>15</xdr:row>
      <xdr:rowOff>266700</xdr:rowOff>
    </xdr:to>
    <xdr:sp macro="" textlink="">
      <xdr:nvSpPr>
        <xdr:cNvPr id="13682" name="Freeform 1265">
          <a:extLst>
            <a:ext uri="{FF2B5EF4-FFF2-40B4-BE49-F238E27FC236}">
              <a16:creationId xmlns:a16="http://schemas.microsoft.com/office/drawing/2014/main" id="{00000000-0008-0000-0700-000072350000}"/>
            </a:ext>
          </a:extLst>
        </xdr:cNvPr>
        <xdr:cNvSpPr>
          <a:spLocks/>
        </xdr:cNvSpPr>
      </xdr:nvSpPr>
      <xdr:spPr bwMode="auto">
        <a:xfrm>
          <a:off x="7962900" y="3438525"/>
          <a:ext cx="0" cy="19050"/>
        </a:xfrm>
        <a:custGeom>
          <a:avLst/>
          <a:gdLst>
            <a:gd name="T0" fmla="*/ 0 w 2"/>
            <a:gd name="T1" fmla="*/ 0 h 31"/>
            <a:gd name="T2" fmla="*/ 0 w 2"/>
            <a:gd name="T3" fmla="*/ 0 h 31"/>
            <a:gd name="T4" fmla="*/ 0 w 2"/>
            <a:gd name="T5" fmla="*/ 0 h 31"/>
            <a:gd name="T6" fmla="*/ 0 w 2"/>
            <a:gd name="T7" fmla="*/ 0 h 31"/>
            <a:gd name="T8" fmla="*/ 0 60000 65536"/>
            <a:gd name="T9" fmla="*/ 0 60000 65536"/>
            <a:gd name="T10" fmla="*/ 0 60000 65536"/>
            <a:gd name="T11" fmla="*/ 0 60000 65536"/>
            <a:gd name="T12" fmla="*/ 0 w 2"/>
            <a:gd name="T13" fmla="*/ 0 h 31"/>
            <a:gd name="T14" fmla="*/ 0 w 2"/>
            <a:gd name="T15" fmla="*/ 31 h 3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" h="31">
              <a:moveTo>
                <a:pt x="1" y="0"/>
              </a:moveTo>
              <a:lnTo>
                <a:pt x="0" y="31"/>
              </a:lnTo>
              <a:lnTo>
                <a:pt x="2" y="31"/>
              </a:lnTo>
              <a:lnTo>
                <a:pt x="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323850</xdr:colOff>
      <xdr:row>15</xdr:row>
      <xdr:rowOff>266700</xdr:rowOff>
    </xdr:from>
    <xdr:to>
      <xdr:col>12</xdr:col>
      <xdr:colOff>323850</xdr:colOff>
      <xdr:row>15</xdr:row>
      <xdr:rowOff>276225</xdr:rowOff>
    </xdr:to>
    <xdr:sp macro="" textlink="">
      <xdr:nvSpPr>
        <xdr:cNvPr id="13683" name="Line 1266">
          <a:extLst>
            <a:ext uri="{FF2B5EF4-FFF2-40B4-BE49-F238E27FC236}">
              <a16:creationId xmlns:a16="http://schemas.microsoft.com/office/drawing/2014/main" id="{00000000-0008-0000-0700-000073350000}"/>
            </a:ext>
          </a:extLst>
        </xdr:cNvPr>
        <xdr:cNvSpPr>
          <a:spLocks noChangeShapeType="1"/>
        </xdr:cNvSpPr>
      </xdr:nvSpPr>
      <xdr:spPr bwMode="auto">
        <a:xfrm>
          <a:off x="7962900" y="3457575"/>
          <a:ext cx="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323850</xdr:colOff>
      <xdr:row>15</xdr:row>
      <xdr:rowOff>238125</xdr:rowOff>
    </xdr:from>
    <xdr:to>
      <xdr:col>12</xdr:col>
      <xdr:colOff>371475</xdr:colOff>
      <xdr:row>15</xdr:row>
      <xdr:rowOff>257175</xdr:rowOff>
    </xdr:to>
    <xdr:sp macro="" textlink="">
      <xdr:nvSpPr>
        <xdr:cNvPr id="13684" name="Freeform 1267">
          <a:extLst>
            <a:ext uri="{FF2B5EF4-FFF2-40B4-BE49-F238E27FC236}">
              <a16:creationId xmlns:a16="http://schemas.microsoft.com/office/drawing/2014/main" id="{00000000-0008-0000-0700-000074350000}"/>
            </a:ext>
          </a:extLst>
        </xdr:cNvPr>
        <xdr:cNvSpPr>
          <a:spLocks/>
        </xdr:cNvSpPr>
      </xdr:nvSpPr>
      <xdr:spPr bwMode="auto">
        <a:xfrm>
          <a:off x="7962900" y="3429000"/>
          <a:ext cx="47625" cy="19050"/>
        </a:xfrm>
        <a:custGeom>
          <a:avLst/>
          <a:gdLst>
            <a:gd name="T0" fmla="*/ 0 w 346"/>
            <a:gd name="T1" fmla="*/ 0 h 73"/>
            <a:gd name="T2" fmla="*/ 0 w 346"/>
            <a:gd name="T3" fmla="*/ 0 h 73"/>
            <a:gd name="T4" fmla="*/ 0 w 346"/>
            <a:gd name="T5" fmla="*/ 0 h 73"/>
            <a:gd name="T6" fmla="*/ 0 w 346"/>
            <a:gd name="T7" fmla="*/ 0 h 73"/>
            <a:gd name="T8" fmla="*/ 0 w 346"/>
            <a:gd name="T9" fmla="*/ 0 h 73"/>
            <a:gd name="T10" fmla="*/ 0 w 346"/>
            <a:gd name="T11" fmla="*/ 0 h 73"/>
            <a:gd name="T12" fmla="*/ 0 w 346"/>
            <a:gd name="T13" fmla="*/ 0 h 7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6"/>
            <a:gd name="T22" fmla="*/ 0 h 73"/>
            <a:gd name="T23" fmla="*/ 346 w 346"/>
            <a:gd name="T24" fmla="*/ 73 h 7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6" h="73">
              <a:moveTo>
                <a:pt x="0" y="12"/>
              </a:moveTo>
              <a:lnTo>
                <a:pt x="1" y="42"/>
              </a:lnTo>
              <a:lnTo>
                <a:pt x="2" y="73"/>
              </a:lnTo>
              <a:lnTo>
                <a:pt x="346" y="61"/>
              </a:lnTo>
              <a:lnTo>
                <a:pt x="345" y="31"/>
              </a:lnTo>
              <a:lnTo>
                <a:pt x="344" y="0"/>
              </a:lnTo>
              <a:lnTo>
                <a:pt x="0" y="1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323850</xdr:colOff>
      <xdr:row>15</xdr:row>
      <xdr:rowOff>238125</xdr:rowOff>
    </xdr:from>
    <xdr:to>
      <xdr:col>12</xdr:col>
      <xdr:colOff>371475</xdr:colOff>
      <xdr:row>15</xdr:row>
      <xdr:rowOff>257175</xdr:rowOff>
    </xdr:to>
    <xdr:sp macro="" textlink="">
      <xdr:nvSpPr>
        <xdr:cNvPr id="13685" name="Freeform 1268">
          <a:extLst>
            <a:ext uri="{FF2B5EF4-FFF2-40B4-BE49-F238E27FC236}">
              <a16:creationId xmlns:a16="http://schemas.microsoft.com/office/drawing/2014/main" id="{00000000-0008-0000-0700-000075350000}"/>
            </a:ext>
          </a:extLst>
        </xdr:cNvPr>
        <xdr:cNvSpPr>
          <a:spLocks/>
        </xdr:cNvSpPr>
      </xdr:nvSpPr>
      <xdr:spPr bwMode="auto">
        <a:xfrm>
          <a:off x="7962900" y="3429000"/>
          <a:ext cx="47625" cy="19050"/>
        </a:xfrm>
        <a:custGeom>
          <a:avLst/>
          <a:gdLst>
            <a:gd name="T0" fmla="*/ 0 w 346"/>
            <a:gd name="T1" fmla="*/ 0 h 73"/>
            <a:gd name="T2" fmla="*/ 0 w 346"/>
            <a:gd name="T3" fmla="*/ 0 h 73"/>
            <a:gd name="T4" fmla="*/ 0 w 346"/>
            <a:gd name="T5" fmla="*/ 0 h 73"/>
            <a:gd name="T6" fmla="*/ 0 w 346"/>
            <a:gd name="T7" fmla="*/ 0 h 73"/>
            <a:gd name="T8" fmla="*/ 0 w 346"/>
            <a:gd name="T9" fmla="*/ 0 h 73"/>
            <a:gd name="T10" fmla="*/ 0 w 346"/>
            <a:gd name="T11" fmla="*/ 0 h 73"/>
            <a:gd name="T12" fmla="*/ 0 w 346"/>
            <a:gd name="T13" fmla="*/ 0 h 7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6"/>
            <a:gd name="T22" fmla="*/ 0 h 73"/>
            <a:gd name="T23" fmla="*/ 346 w 346"/>
            <a:gd name="T24" fmla="*/ 73 h 7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6" h="73">
              <a:moveTo>
                <a:pt x="0" y="12"/>
              </a:moveTo>
              <a:lnTo>
                <a:pt x="1" y="42"/>
              </a:lnTo>
              <a:lnTo>
                <a:pt x="2" y="73"/>
              </a:lnTo>
              <a:lnTo>
                <a:pt x="346" y="61"/>
              </a:lnTo>
              <a:lnTo>
                <a:pt x="345" y="31"/>
              </a:lnTo>
              <a:lnTo>
                <a:pt x="344" y="0"/>
              </a:lnTo>
              <a:lnTo>
                <a:pt x="0" y="1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371475</xdr:colOff>
      <xdr:row>15</xdr:row>
      <xdr:rowOff>247650</xdr:rowOff>
    </xdr:from>
    <xdr:to>
      <xdr:col>12</xdr:col>
      <xdr:colOff>381000</xdr:colOff>
      <xdr:row>15</xdr:row>
      <xdr:rowOff>266700</xdr:rowOff>
    </xdr:to>
    <xdr:sp macro="" textlink="">
      <xdr:nvSpPr>
        <xdr:cNvPr id="13686" name="Freeform 1269">
          <a:extLst>
            <a:ext uri="{FF2B5EF4-FFF2-40B4-BE49-F238E27FC236}">
              <a16:creationId xmlns:a16="http://schemas.microsoft.com/office/drawing/2014/main" id="{00000000-0008-0000-0700-000076350000}"/>
            </a:ext>
          </a:extLst>
        </xdr:cNvPr>
        <xdr:cNvSpPr>
          <a:spLocks/>
        </xdr:cNvSpPr>
      </xdr:nvSpPr>
      <xdr:spPr bwMode="auto">
        <a:xfrm>
          <a:off x="8010525" y="3438525"/>
          <a:ext cx="9525" cy="19050"/>
        </a:xfrm>
        <a:custGeom>
          <a:avLst/>
          <a:gdLst>
            <a:gd name="T0" fmla="*/ 0 w 3"/>
            <a:gd name="T1" fmla="*/ 0 h 30"/>
            <a:gd name="T2" fmla="*/ 0 w 3"/>
            <a:gd name="T3" fmla="*/ 0 h 30"/>
            <a:gd name="T4" fmla="*/ 0 w 3"/>
            <a:gd name="T5" fmla="*/ 0 h 30"/>
            <a:gd name="T6" fmla="*/ 0 w 3"/>
            <a:gd name="T7" fmla="*/ 0 h 30"/>
            <a:gd name="T8" fmla="*/ 0 60000 65536"/>
            <a:gd name="T9" fmla="*/ 0 60000 65536"/>
            <a:gd name="T10" fmla="*/ 0 60000 65536"/>
            <a:gd name="T11" fmla="*/ 0 60000 65536"/>
            <a:gd name="T12" fmla="*/ 0 w 3"/>
            <a:gd name="T13" fmla="*/ 0 h 30"/>
            <a:gd name="T14" fmla="*/ 3 w 3"/>
            <a:gd name="T15" fmla="*/ 30 h 3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" h="30">
              <a:moveTo>
                <a:pt x="0" y="0"/>
              </a:moveTo>
              <a:lnTo>
                <a:pt x="1" y="30"/>
              </a:lnTo>
              <a:lnTo>
                <a:pt x="3" y="3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371475</xdr:colOff>
      <xdr:row>15</xdr:row>
      <xdr:rowOff>266700</xdr:rowOff>
    </xdr:from>
    <xdr:to>
      <xdr:col>12</xdr:col>
      <xdr:colOff>381000</xdr:colOff>
      <xdr:row>15</xdr:row>
      <xdr:rowOff>266700</xdr:rowOff>
    </xdr:to>
    <xdr:sp macro="" textlink="">
      <xdr:nvSpPr>
        <xdr:cNvPr id="13687" name="Line 1270">
          <a:extLst>
            <a:ext uri="{FF2B5EF4-FFF2-40B4-BE49-F238E27FC236}">
              <a16:creationId xmlns:a16="http://schemas.microsoft.com/office/drawing/2014/main" id="{00000000-0008-0000-0700-000077350000}"/>
            </a:ext>
          </a:extLst>
        </xdr:cNvPr>
        <xdr:cNvSpPr>
          <a:spLocks noChangeShapeType="1"/>
        </xdr:cNvSpPr>
      </xdr:nvSpPr>
      <xdr:spPr bwMode="auto">
        <a:xfrm>
          <a:off x="8010525" y="3457575"/>
          <a:ext cx="95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371475</xdr:colOff>
      <xdr:row>15</xdr:row>
      <xdr:rowOff>228600</xdr:rowOff>
    </xdr:from>
    <xdr:to>
      <xdr:col>12</xdr:col>
      <xdr:colOff>428625</xdr:colOff>
      <xdr:row>15</xdr:row>
      <xdr:rowOff>257175</xdr:rowOff>
    </xdr:to>
    <xdr:sp macro="" textlink="">
      <xdr:nvSpPr>
        <xdr:cNvPr id="13688" name="Freeform 1271">
          <a:extLst>
            <a:ext uri="{FF2B5EF4-FFF2-40B4-BE49-F238E27FC236}">
              <a16:creationId xmlns:a16="http://schemas.microsoft.com/office/drawing/2014/main" id="{00000000-0008-0000-0700-000078350000}"/>
            </a:ext>
          </a:extLst>
        </xdr:cNvPr>
        <xdr:cNvSpPr>
          <a:spLocks/>
        </xdr:cNvSpPr>
      </xdr:nvSpPr>
      <xdr:spPr bwMode="auto">
        <a:xfrm>
          <a:off x="8010525" y="3419475"/>
          <a:ext cx="57150" cy="28575"/>
        </a:xfrm>
        <a:custGeom>
          <a:avLst/>
          <a:gdLst>
            <a:gd name="T0" fmla="*/ 0 w 339"/>
            <a:gd name="T1" fmla="*/ 0 h 100"/>
            <a:gd name="T2" fmla="*/ 0 w 339"/>
            <a:gd name="T3" fmla="*/ 0 h 100"/>
            <a:gd name="T4" fmla="*/ 0 w 339"/>
            <a:gd name="T5" fmla="*/ 0 h 100"/>
            <a:gd name="T6" fmla="*/ 0 w 339"/>
            <a:gd name="T7" fmla="*/ 0 h 100"/>
            <a:gd name="T8" fmla="*/ 0 w 339"/>
            <a:gd name="T9" fmla="*/ 0 h 100"/>
            <a:gd name="T10" fmla="*/ 0 w 339"/>
            <a:gd name="T11" fmla="*/ 0 h 100"/>
            <a:gd name="T12" fmla="*/ 0 w 339"/>
            <a:gd name="T13" fmla="*/ 0 h 100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39"/>
            <a:gd name="T22" fmla="*/ 0 h 100"/>
            <a:gd name="T23" fmla="*/ 339 w 339"/>
            <a:gd name="T24" fmla="*/ 100 h 100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39" h="100">
              <a:moveTo>
                <a:pt x="0" y="39"/>
              </a:moveTo>
              <a:lnTo>
                <a:pt x="3" y="70"/>
              </a:lnTo>
              <a:lnTo>
                <a:pt x="6" y="100"/>
              </a:lnTo>
              <a:lnTo>
                <a:pt x="339" y="61"/>
              </a:lnTo>
              <a:lnTo>
                <a:pt x="336" y="31"/>
              </a:lnTo>
              <a:lnTo>
                <a:pt x="333" y="0"/>
              </a:lnTo>
              <a:lnTo>
                <a:pt x="0" y="3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371475</xdr:colOff>
      <xdr:row>15</xdr:row>
      <xdr:rowOff>228600</xdr:rowOff>
    </xdr:from>
    <xdr:to>
      <xdr:col>12</xdr:col>
      <xdr:colOff>428625</xdr:colOff>
      <xdr:row>15</xdr:row>
      <xdr:rowOff>257175</xdr:rowOff>
    </xdr:to>
    <xdr:sp macro="" textlink="">
      <xdr:nvSpPr>
        <xdr:cNvPr id="13689" name="Freeform 1272">
          <a:extLst>
            <a:ext uri="{FF2B5EF4-FFF2-40B4-BE49-F238E27FC236}">
              <a16:creationId xmlns:a16="http://schemas.microsoft.com/office/drawing/2014/main" id="{00000000-0008-0000-0700-000079350000}"/>
            </a:ext>
          </a:extLst>
        </xdr:cNvPr>
        <xdr:cNvSpPr>
          <a:spLocks/>
        </xdr:cNvSpPr>
      </xdr:nvSpPr>
      <xdr:spPr bwMode="auto">
        <a:xfrm>
          <a:off x="8010525" y="3419475"/>
          <a:ext cx="57150" cy="28575"/>
        </a:xfrm>
        <a:custGeom>
          <a:avLst/>
          <a:gdLst>
            <a:gd name="T0" fmla="*/ 0 w 339"/>
            <a:gd name="T1" fmla="*/ 0 h 100"/>
            <a:gd name="T2" fmla="*/ 0 w 339"/>
            <a:gd name="T3" fmla="*/ 0 h 100"/>
            <a:gd name="T4" fmla="*/ 0 w 339"/>
            <a:gd name="T5" fmla="*/ 0 h 100"/>
            <a:gd name="T6" fmla="*/ 0 w 339"/>
            <a:gd name="T7" fmla="*/ 0 h 100"/>
            <a:gd name="T8" fmla="*/ 0 w 339"/>
            <a:gd name="T9" fmla="*/ 0 h 100"/>
            <a:gd name="T10" fmla="*/ 0 w 339"/>
            <a:gd name="T11" fmla="*/ 0 h 100"/>
            <a:gd name="T12" fmla="*/ 0 w 339"/>
            <a:gd name="T13" fmla="*/ 0 h 100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39"/>
            <a:gd name="T22" fmla="*/ 0 h 100"/>
            <a:gd name="T23" fmla="*/ 339 w 339"/>
            <a:gd name="T24" fmla="*/ 100 h 100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39" h="100">
              <a:moveTo>
                <a:pt x="0" y="39"/>
              </a:moveTo>
              <a:lnTo>
                <a:pt x="3" y="70"/>
              </a:lnTo>
              <a:lnTo>
                <a:pt x="6" y="100"/>
              </a:lnTo>
              <a:lnTo>
                <a:pt x="339" y="61"/>
              </a:lnTo>
              <a:lnTo>
                <a:pt x="336" y="31"/>
              </a:lnTo>
              <a:lnTo>
                <a:pt x="333" y="0"/>
              </a:lnTo>
              <a:lnTo>
                <a:pt x="0" y="39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428625</xdr:colOff>
      <xdr:row>15</xdr:row>
      <xdr:rowOff>238125</xdr:rowOff>
    </xdr:from>
    <xdr:to>
      <xdr:col>12</xdr:col>
      <xdr:colOff>428625</xdr:colOff>
      <xdr:row>15</xdr:row>
      <xdr:rowOff>247650</xdr:rowOff>
    </xdr:to>
    <xdr:sp macro="" textlink="">
      <xdr:nvSpPr>
        <xdr:cNvPr id="13690" name="Freeform 1273">
          <a:extLst>
            <a:ext uri="{FF2B5EF4-FFF2-40B4-BE49-F238E27FC236}">
              <a16:creationId xmlns:a16="http://schemas.microsoft.com/office/drawing/2014/main" id="{00000000-0008-0000-0700-00007A350000}"/>
            </a:ext>
          </a:extLst>
        </xdr:cNvPr>
        <xdr:cNvSpPr>
          <a:spLocks/>
        </xdr:cNvSpPr>
      </xdr:nvSpPr>
      <xdr:spPr bwMode="auto">
        <a:xfrm>
          <a:off x="8067675" y="3429000"/>
          <a:ext cx="0" cy="9525"/>
        </a:xfrm>
        <a:custGeom>
          <a:avLst/>
          <a:gdLst>
            <a:gd name="T0" fmla="*/ 0 w 6"/>
            <a:gd name="T1" fmla="*/ 0 h 30"/>
            <a:gd name="T2" fmla="*/ 0 w 6"/>
            <a:gd name="T3" fmla="*/ 0 h 30"/>
            <a:gd name="T4" fmla="*/ 0 w 6"/>
            <a:gd name="T5" fmla="*/ 0 h 30"/>
            <a:gd name="T6" fmla="*/ 0 w 6"/>
            <a:gd name="T7" fmla="*/ 0 h 30"/>
            <a:gd name="T8" fmla="*/ 0 60000 65536"/>
            <a:gd name="T9" fmla="*/ 0 60000 65536"/>
            <a:gd name="T10" fmla="*/ 0 60000 65536"/>
            <a:gd name="T11" fmla="*/ 0 60000 65536"/>
            <a:gd name="T12" fmla="*/ 0 w 6"/>
            <a:gd name="T13" fmla="*/ 0 h 30"/>
            <a:gd name="T14" fmla="*/ 0 w 6"/>
            <a:gd name="T15" fmla="*/ 30 h 3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" h="30">
              <a:moveTo>
                <a:pt x="0" y="0"/>
              </a:moveTo>
              <a:lnTo>
                <a:pt x="3" y="30"/>
              </a:lnTo>
              <a:lnTo>
                <a:pt x="6" y="3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428625</xdr:colOff>
      <xdr:row>15</xdr:row>
      <xdr:rowOff>247650</xdr:rowOff>
    </xdr:from>
    <xdr:to>
      <xdr:col>12</xdr:col>
      <xdr:colOff>428625</xdr:colOff>
      <xdr:row>15</xdr:row>
      <xdr:rowOff>247650</xdr:rowOff>
    </xdr:to>
    <xdr:sp macro="" textlink="">
      <xdr:nvSpPr>
        <xdr:cNvPr id="13691" name="Line 1274">
          <a:extLst>
            <a:ext uri="{FF2B5EF4-FFF2-40B4-BE49-F238E27FC236}">
              <a16:creationId xmlns:a16="http://schemas.microsoft.com/office/drawing/2014/main" id="{00000000-0008-0000-0700-00007B350000}"/>
            </a:ext>
          </a:extLst>
        </xdr:cNvPr>
        <xdr:cNvSpPr>
          <a:spLocks noChangeShapeType="1"/>
        </xdr:cNvSpPr>
      </xdr:nvSpPr>
      <xdr:spPr bwMode="auto">
        <a:xfrm>
          <a:off x="8067675" y="3438525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428625</xdr:colOff>
      <xdr:row>15</xdr:row>
      <xdr:rowOff>228600</xdr:rowOff>
    </xdr:from>
    <xdr:to>
      <xdr:col>13</xdr:col>
      <xdr:colOff>47625</xdr:colOff>
      <xdr:row>15</xdr:row>
      <xdr:rowOff>247650</xdr:rowOff>
    </xdr:to>
    <xdr:sp macro="" textlink="">
      <xdr:nvSpPr>
        <xdr:cNvPr id="13692" name="Freeform 1275">
          <a:extLst>
            <a:ext uri="{FF2B5EF4-FFF2-40B4-BE49-F238E27FC236}">
              <a16:creationId xmlns:a16="http://schemas.microsoft.com/office/drawing/2014/main" id="{00000000-0008-0000-0700-00007C350000}"/>
            </a:ext>
          </a:extLst>
        </xdr:cNvPr>
        <xdr:cNvSpPr>
          <a:spLocks/>
        </xdr:cNvSpPr>
      </xdr:nvSpPr>
      <xdr:spPr bwMode="auto">
        <a:xfrm>
          <a:off x="8067675" y="3419475"/>
          <a:ext cx="152400" cy="19050"/>
        </a:xfrm>
        <a:custGeom>
          <a:avLst/>
          <a:gdLst>
            <a:gd name="T0" fmla="*/ 0 w 323"/>
            <a:gd name="T1" fmla="*/ 0 h 124"/>
            <a:gd name="T2" fmla="*/ 0 w 323"/>
            <a:gd name="T3" fmla="*/ 0 h 124"/>
            <a:gd name="T4" fmla="*/ 0 w 323"/>
            <a:gd name="T5" fmla="*/ 0 h 124"/>
            <a:gd name="T6" fmla="*/ 0 w 323"/>
            <a:gd name="T7" fmla="*/ 0 h 124"/>
            <a:gd name="T8" fmla="*/ 0 w 323"/>
            <a:gd name="T9" fmla="*/ 0 h 124"/>
            <a:gd name="T10" fmla="*/ 0 w 323"/>
            <a:gd name="T11" fmla="*/ 0 h 124"/>
            <a:gd name="T12" fmla="*/ 0 w 323"/>
            <a:gd name="T13" fmla="*/ 0 h 12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23"/>
            <a:gd name="T22" fmla="*/ 0 h 124"/>
            <a:gd name="T23" fmla="*/ 323 w 323"/>
            <a:gd name="T24" fmla="*/ 124 h 12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23" h="124">
              <a:moveTo>
                <a:pt x="0" y="63"/>
              </a:moveTo>
              <a:lnTo>
                <a:pt x="6" y="94"/>
              </a:lnTo>
              <a:lnTo>
                <a:pt x="12" y="124"/>
              </a:lnTo>
              <a:lnTo>
                <a:pt x="323" y="61"/>
              </a:lnTo>
              <a:lnTo>
                <a:pt x="317" y="31"/>
              </a:lnTo>
              <a:lnTo>
                <a:pt x="311" y="0"/>
              </a:lnTo>
              <a:lnTo>
                <a:pt x="0" y="6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428625</xdr:colOff>
      <xdr:row>15</xdr:row>
      <xdr:rowOff>228600</xdr:rowOff>
    </xdr:from>
    <xdr:to>
      <xdr:col>13</xdr:col>
      <xdr:colOff>47625</xdr:colOff>
      <xdr:row>15</xdr:row>
      <xdr:rowOff>247650</xdr:rowOff>
    </xdr:to>
    <xdr:sp macro="" textlink="">
      <xdr:nvSpPr>
        <xdr:cNvPr id="13693" name="Freeform 1276">
          <a:extLst>
            <a:ext uri="{FF2B5EF4-FFF2-40B4-BE49-F238E27FC236}">
              <a16:creationId xmlns:a16="http://schemas.microsoft.com/office/drawing/2014/main" id="{00000000-0008-0000-0700-00007D350000}"/>
            </a:ext>
          </a:extLst>
        </xdr:cNvPr>
        <xdr:cNvSpPr>
          <a:spLocks/>
        </xdr:cNvSpPr>
      </xdr:nvSpPr>
      <xdr:spPr bwMode="auto">
        <a:xfrm>
          <a:off x="8067675" y="3419475"/>
          <a:ext cx="152400" cy="19050"/>
        </a:xfrm>
        <a:custGeom>
          <a:avLst/>
          <a:gdLst>
            <a:gd name="T0" fmla="*/ 0 w 323"/>
            <a:gd name="T1" fmla="*/ 0 h 124"/>
            <a:gd name="T2" fmla="*/ 0 w 323"/>
            <a:gd name="T3" fmla="*/ 0 h 124"/>
            <a:gd name="T4" fmla="*/ 0 w 323"/>
            <a:gd name="T5" fmla="*/ 0 h 124"/>
            <a:gd name="T6" fmla="*/ 0 w 323"/>
            <a:gd name="T7" fmla="*/ 0 h 124"/>
            <a:gd name="T8" fmla="*/ 0 w 323"/>
            <a:gd name="T9" fmla="*/ 0 h 124"/>
            <a:gd name="T10" fmla="*/ 0 w 323"/>
            <a:gd name="T11" fmla="*/ 0 h 124"/>
            <a:gd name="T12" fmla="*/ 0 w 323"/>
            <a:gd name="T13" fmla="*/ 0 h 12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23"/>
            <a:gd name="T22" fmla="*/ 0 h 124"/>
            <a:gd name="T23" fmla="*/ 323 w 323"/>
            <a:gd name="T24" fmla="*/ 124 h 12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23" h="124">
              <a:moveTo>
                <a:pt x="0" y="63"/>
              </a:moveTo>
              <a:lnTo>
                <a:pt x="6" y="94"/>
              </a:lnTo>
              <a:lnTo>
                <a:pt x="12" y="124"/>
              </a:lnTo>
              <a:lnTo>
                <a:pt x="323" y="61"/>
              </a:lnTo>
              <a:lnTo>
                <a:pt x="317" y="31"/>
              </a:lnTo>
              <a:lnTo>
                <a:pt x="311" y="0"/>
              </a:lnTo>
              <a:lnTo>
                <a:pt x="0" y="63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47625</xdr:colOff>
      <xdr:row>15</xdr:row>
      <xdr:rowOff>228600</xdr:rowOff>
    </xdr:from>
    <xdr:to>
      <xdr:col>13</xdr:col>
      <xdr:colOff>47625</xdr:colOff>
      <xdr:row>15</xdr:row>
      <xdr:rowOff>228600</xdr:rowOff>
    </xdr:to>
    <xdr:sp macro="" textlink="">
      <xdr:nvSpPr>
        <xdr:cNvPr id="13694" name="Freeform 1277">
          <a:extLst>
            <a:ext uri="{FF2B5EF4-FFF2-40B4-BE49-F238E27FC236}">
              <a16:creationId xmlns:a16="http://schemas.microsoft.com/office/drawing/2014/main" id="{00000000-0008-0000-0700-00007E350000}"/>
            </a:ext>
          </a:extLst>
        </xdr:cNvPr>
        <xdr:cNvSpPr>
          <a:spLocks/>
        </xdr:cNvSpPr>
      </xdr:nvSpPr>
      <xdr:spPr bwMode="auto">
        <a:xfrm>
          <a:off x="8220075" y="3419475"/>
          <a:ext cx="0" cy="0"/>
        </a:xfrm>
        <a:custGeom>
          <a:avLst/>
          <a:gdLst>
            <a:gd name="T0" fmla="*/ 0 w 9"/>
            <a:gd name="T1" fmla="*/ 0 h 30"/>
            <a:gd name="T2" fmla="*/ 0 w 9"/>
            <a:gd name="T3" fmla="*/ 0 h 30"/>
            <a:gd name="T4" fmla="*/ 0 w 9"/>
            <a:gd name="T5" fmla="*/ 0 h 30"/>
            <a:gd name="T6" fmla="*/ 0 w 9"/>
            <a:gd name="T7" fmla="*/ 0 h 30"/>
            <a:gd name="T8" fmla="*/ 0 60000 65536"/>
            <a:gd name="T9" fmla="*/ 0 60000 65536"/>
            <a:gd name="T10" fmla="*/ 0 60000 65536"/>
            <a:gd name="T11" fmla="*/ 0 60000 65536"/>
            <a:gd name="T12" fmla="*/ 0 w 9"/>
            <a:gd name="T13" fmla="*/ 0 h 30"/>
            <a:gd name="T14" fmla="*/ 9 w 9"/>
            <a:gd name="T15" fmla="*/ 30 h 3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" h="30">
              <a:moveTo>
                <a:pt x="0" y="0"/>
              </a:moveTo>
              <a:lnTo>
                <a:pt x="6" y="30"/>
              </a:lnTo>
              <a:lnTo>
                <a:pt x="9" y="29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47625</xdr:colOff>
      <xdr:row>15</xdr:row>
      <xdr:rowOff>228600</xdr:rowOff>
    </xdr:from>
    <xdr:to>
      <xdr:col>13</xdr:col>
      <xdr:colOff>47625</xdr:colOff>
      <xdr:row>15</xdr:row>
      <xdr:rowOff>238125</xdr:rowOff>
    </xdr:to>
    <xdr:sp macro="" textlink="">
      <xdr:nvSpPr>
        <xdr:cNvPr id="13695" name="Line 1278">
          <a:extLst>
            <a:ext uri="{FF2B5EF4-FFF2-40B4-BE49-F238E27FC236}">
              <a16:creationId xmlns:a16="http://schemas.microsoft.com/office/drawing/2014/main" id="{00000000-0008-0000-0700-00007F350000}"/>
            </a:ext>
          </a:extLst>
        </xdr:cNvPr>
        <xdr:cNvSpPr>
          <a:spLocks noChangeShapeType="1"/>
        </xdr:cNvSpPr>
      </xdr:nvSpPr>
      <xdr:spPr bwMode="auto">
        <a:xfrm flipV="1">
          <a:off x="8220075" y="3419475"/>
          <a:ext cx="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28575</xdr:colOff>
      <xdr:row>15</xdr:row>
      <xdr:rowOff>200025</xdr:rowOff>
    </xdr:from>
    <xdr:to>
      <xdr:col>13</xdr:col>
      <xdr:colOff>85725</xdr:colOff>
      <xdr:row>15</xdr:row>
      <xdr:rowOff>228600</xdr:rowOff>
    </xdr:to>
    <xdr:sp macro="" textlink="">
      <xdr:nvSpPr>
        <xdr:cNvPr id="13696" name="Freeform 1279">
          <a:extLst>
            <a:ext uri="{FF2B5EF4-FFF2-40B4-BE49-F238E27FC236}">
              <a16:creationId xmlns:a16="http://schemas.microsoft.com/office/drawing/2014/main" id="{00000000-0008-0000-0700-000080350000}"/>
            </a:ext>
          </a:extLst>
        </xdr:cNvPr>
        <xdr:cNvSpPr>
          <a:spLocks/>
        </xdr:cNvSpPr>
      </xdr:nvSpPr>
      <xdr:spPr bwMode="auto">
        <a:xfrm>
          <a:off x="8201025" y="3390900"/>
          <a:ext cx="57150" cy="28575"/>
        </a:xfrm>
        <a:custGeom>
          <a:avLst/>
          <a:gdLst>
            <a:gd name="T0" fmla="*/ 0 w 295"/>
            <a:gd name="T1" fmla="*/ 0 h 146"/>
            <a:gd name="T2" fmla="*/ 0 w 295"/>
            <a:gd name="T3" fmla="*/ 0 h 146"/>
            <a:gd name="T4" fmla="*/ 0 w 295"/>
            <a:gd name="T5" fmla="*/ 0 h 146"/>
            <a:gd name="T6" fmla="*/ 0 w 295"/>
            <a:gd name="T7" fmla="*/ 0 h 146"/>
            <a:gd name="T8" fmla="*/ 0 w 295"/>
            <a:gd name="T9" fmla="*/ 0 h 146"/>
            <a:gd name="T10" fmla="*/ 0 w 295"/>
            <a:gd name="T11" fmla="*/ 0 h 146"/>
            <a:gd name="T12" fmla="*/ 0 w 295"/>
            <a:gd name="T13" fmla="*/ 0 h 14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95"/>
            <a:gd name="T22" fmla="*/ 0 h 146"/>
            <a:gd name="T23" fmla="*/ 295 w 295"/>
            <a:gd name="T24" fmla="*/ 146 h 14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95" h="146">
              <a:moveTo>
                <a:pt x="0" y="87"/>
              </a:moveTo>
              <a:lnTo>
                <a:pt x="10" y="117"/>
              </a:lnTo>
              <a:lnTo>
                <a:pt x="19" y="146"/>
              </a:lnTo>
              <a:lnTo>
                <a:pt x="295" y="59"/>
              </a:lnTo>
              <a:lnTo>
                <a:pt x="286" y="30"/>
              </a:lnTo>
              <a:lnTo>
                <a:pt x="277" y="0"/>
              </a:lnTo>
              <a:lnTo>
                <a:pt x="0" y="87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28575</xdr:colOff>
      <xdr:row>15</xdr:row>
      <xdr:rowOff>200025</xdr:rowOff>
    </xdr:from>
    <xdr:to>
      <xdr:col>13</xdr:col>
      <xdr:colOff>85725</xdr:colOff>
      <xdr:row>15</xdr:row>
      <xdr:rowOff>228600</xdr:rowOff>
    </xdr:to>
    <xdr:sp macro="" textlink="">
      <xdr:nvSpPr>
        <xdr:cNvPr id="13697" name="Freeform 1280">
          <a:extLst>
            <a:ext uri="{FF2B5EF4-FFF2-40B4-BE49-F238E27FC236}">
              <a16:creationId xmlns:a16="http://schemas.microsoft.com/office/drawing/2014/main" id="{00000000-0008-0000-0700-000081350000}"/>
            </a:ext>
          </a:extLst>
        </xdr:cNvPr>
        <xdr:cNvSpPr>
          <a:spLocks/>
        </xdr:cNvSpPr>
      </xdr:nvSpPr>
      <xdr:spPr bwMode="auto">
        <a:xfrm>
          <a:off x="8201025" y="3390900"/>
          <a:ext cx="57150" cy="28575"/>
        </a:xfrm>
        <a:custGeom>
          <a:avLst/>
          <a:gdLst>
            <a:gd name="T0" fmla="*/ 0 w 295"/>
            <a:gd name="T1" fmla="*/ 0 h 146"/>
            <a:gd name="T2" fmla="*/ 0 w 295"/>
            <a:gd name="T3" fmla="*/ 0 h 146"/>
            <a:gd name="T4" fmla="*/ 0 w 295"/>
            <a:gd name="T5" fmla="*/ 0 h 146"/>
            <a:gd name="T6" fmla="*/ 0 w 295"/>
            <a:gd name="T7" fmla="*/ 0 h 146"/>
            <a:gd name="T8" fmla="*/ 0 w 295"/>
            <a:gd name="T9" fmla="*/ 0 h 146"/>
            <a:gd name="T10" fmla="*/ 0 w 295"/>
            <a:gd name="T11" fmla="*/ 0 h 146"/>
            <a:gd name="T12" fmla="*/ 0 w 295"/>
            <a:gd name="T13" fmla="*/ 0 h 14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95"/>
            <a:gd name="T22" fmla="*/ 0 h 146"/>
            <a:gd name="T23" fmla="*/ 295 w 295"/>
            <a:gd name="T24" fmla="*/ 146 h 14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95" h="146">
              <a:moveTo>
                <a:pt x="0" y="87"/>
              </a:moveTo>
              <a:lnTo>
                <a:pt x="10" y="117"/>
              </a:lnTo>
              <a:lnTo>
                <a:pt x="19" y="146"/>
              </a:lnTo>
              <a:lnTo>
                <a:pt x="295" y="59"/>
              </a:lnTo>
              <a:lnTo>
                <a:pt x="286" y="30"/>
              </a:lnTo>
              <a:lnTo>
                <a:pt x="277" y="0"/>
              </a:lnTo>
              <a:lnTo>
                <a:pt x="0" y="87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85725</xdr:colOff>
      <xdr:row>15</xdr:row>
      <xdr:rowOff>209550</xdr:rowOff>
    </xdr:from>
    <xdr:to>
      <xdr:col>13</xdr:col>
      <xdr:colOff>85725</xdr:colOff>
      <xdr:row>15</xdr:row>
      <xdr:rowOff>209550</xdr:rowOff>
    </xdr:to>
    <xdr:sp macro="" textlink="">
      <xdr:nvSpPr>
        <xdr:cNvPr id="13698" name="Freeform 1281">
          <a:extLst>
            <a:ext uri="{FF2B5EF4-FFF2-40B4-BE49-F238E27FC236}">
              <a16:creationId xmlns:a16="http://schemas.microsoft.com/office/drawing/2014/main" id="{00000000-0008-0000-0700-000082350000}"/>
            </a:ext>
          </a:extLst>
        </xdr:cNvPr>
        <xdr:cNvSpPr>
          <a:spLocks/>
        </xdr:cNvSpPr>
      </xdr:nvSpPr>
      <xdr:spPr bwMode="auto">
        <a:xfrm>
          <a:off x="8258175" y="3400425"/>
          <a:ext cx="0" cy="0"/>
        </a:xfrm>
        <a:custGeom>
          <a:avLst/>
          <a:gdLst>
            <a:gd name="T0" fmla="*/ 0 w 13"/>
            <a:gd name="T1" fmla="*/ 0 h 29"/>
            <a:gd name="T2" fmla="*/ 0 w 13"/>
            <a:gd name="T3" fmla="*/ 0 h 29"/>
            <a:gd name="T4" fmla="*/ 0 w 13"/>
            <a:gd name="T5" fmla="*/ 0 h 29"/>
            <a:gd name="T6" fmla="*/ 0 w 13"/>
            <a:gd name="T7" fmla="*/ 0 h 29"/>
            <a:gd name="T8" fmla="*/ 0 60000 65536"/>
            <a:gd name="T9" fmla="*/ 0 60000 65536"/>
            <a:gd name="T10" fmla="*/ 0 60000 65536"/>
            <a:gd name="T11" fmla="*/ 0 60000 65536"/>
            <a:gd name="T12" fmla="*/ 0 w 13"/>
            <a:gd name="T13" fmla="*/ 0 h 29"/>
            <a:gd name="T14" fmla="*/ 13 w 13"/>
            <a:gd name="T15" fmla="*/ 29 h 2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3" h="29">
              <a:moveTo>
                <a:pt x="0" y="0"/>
              </a:moveTo>
              <a:lnTo>
                <a:pt x="9" y="29"/>
              </a:lnTo>
              <a:lnTo>
                <a:pt x="13" y="28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85725</xdr:colOff>
      <xdr:row>15</xdr:row>
      <xdr:rowOff>209550</xdr:rowOff>
    </xdr:from>
    <xdr:to>
      <xdr:col>13</xdr:col>
      <xdr:colOff>85725</xdr:colOff>
      <xdr:row>15</xdr:row>
      <xdr:rowOff>228600</xdr:rowOff>
    </xdr:to>
    <xdr:sp macro="" textlink="">
      <xdr:nvSpPr>
        <xdr:cNvPr id="13699" name="Line 1282">
          <a:extLst>
            <a:ext uri="{FF2B5EF4-FFF2-40B4-BE49-F238E27FC236}">
              <a16:creationId xmlns:a16="http://schemas.microsoft.com/office/drawing/2014/main" id="{00000000-0008-0000-0700-000083350000}"/>
            </a:ext>
          </a:extLst>
        </xdr:cNvPr>
        <xdr:cNvSpPr>
          <a:spLocks noChangeShapeType="1"/>
        </xdr:cNvSpPr>
      </xdr:nvSpPr>
      <xdr:spPr bwMode="auto">
        <a:xfrm flipV="1">
          <a:off x="8258175" y="3400425"/>
          <a:ext cx="0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76200</xdr:colOff>
      <xdr:row>15</xdr:row>
      <xdr:rowOff>161925</xdr:rowOff>
    </xdr:from>
    <xdr:to>
      <xdr:col>13</xdr:col>
      <xdr:colOff>123825</xdr:colOff>
      <xdr:row>15</xdr:row>
      <xdr:rowOff>209550</xdr:rowOff>
    </xdr:to>
    <xdr:sp macro="" textlink="">
      <xdr:nvSpPr>
        <xdr:cNvPr id="13700" name="Freeform 1283">
          <a:extLst>
            <a:ext uri="{FF2B5EF4-FFF2-40B4-BE49-F238E27FC236}">
              <a16:creationId xmlns:a16="http://schemas.microsoft.com/office/drawing/2014/main" id="{00000000-0008-0000-0700-000084350000}"/>
            </a:ext>
          </a:extLst>
        </xdr:cNvPr>
        <xdr:cNvSpPr>
          <a:spLocks/>
        </xdr:cNvSpPr>
      </xdr:nvSpPr>
      <xdr:spPr bwMode="auto">
        <a:xfrm>
          <a:off x="8248650" y="3352800"/>
          <a:ext cx="47625" cy="47625"/>
        </a:xfrm>
        <a:custGeom>
          <a:avLst/>
          <a:gdLst>
            <a:gd name="T0" fmla="*/ 0 w 259"/>
            <a:gd name="T1" fmla="*/ 0 h 165"/>
            <a:gd name="T2" fmla="*/ 0 w 259"/>
            <a:gd name="T3" fmla="*/ 0 h 165"/>
            <a:gd name="T4" fmla="*/ 0 w 259"/>
            <a:gd name="T5" fmla="*/ 0 h 165"/>
            <a:gd name="T6" fmla="*/ 0 w 259"/>
            <a:gd name="T7" fmla="*/ 0 h 165"/>
            <a:gd name="T8" fmla="*/ 0 w 259"/>
            <a:gd name="T9" fmla="*/ 0 h 165"/>
            <a:gd name="T10" fmla="*/ 0 w 259"/>
            <a:gd name="T11" fmla="*/ 0 h 165"/>
            <a:gd name="T12" fmla="*/ 0 w 259"/>
            <a:gd name="T13" fmla="*/ 0 h 1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59"/>
            <a:gd name="T22" fmla="*/ 0 h 165"/>
            <a:gd name="T23" fmla="*/ 259 w 259"/>
            <a:gd name="T24" fmla="*/ 165 h 1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59" h="165">
              <a:moveTo>
                <a:pt x="0" y="108"/>
              </a:moveTo>
              <a:lnTo>
                <a:pt x="13" y="137"/>
              </a:lnTo>
              <a:lnTo>
                <a:pt x="26" y="165"/>
              </a:lnTo>
              <a:lnTo>
                <a:pt x="259" y="57"/>
              </a:lnTo>
              <a:lnTo>
                <a:pt x="246" y="28"/>
              </a:lnTo>
              <a:lnTo>
                <a:pt x="234" y="0"/>
              </a:lnTo>
              <a:lnTo>
                <a:pt x="0" y="108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76200</xdr:colOff>
      <xdr:row>15</xdr:row>
      <xdr:rowOff>161925</xdr:rowOff>
    </xdr:from>
    <xdr:to>
      <xdr:col>13</xdr:col>
      <xdr:colOff>123825</xdr:colOff>
      <xdr:row>15</xdr:row>
      <xdr:rowOff>209550</xdr:rowOff>
    </xdr:to>
    <xdr:sp macro="" textlink="">
      <xdr:nvSpPr>
        <xdr:cNvPr id="13701" name="Freeform 1284">
          <a:extLst>
            <a:ext uri="{FF2B5EF4-FFF2-40B4-BE49-F238E27FC236}">
              <a16:creationId xmlns:a16="http://schemas.microsoft.com/office/drawing/2014/main" id="{00000000-0008-0000-0700-000085350000}"/>
            </a:ext>
          </a:extLst>
        </xdr:cNvPr>
        <xdr:cNvSpPr>
          <a:spLocks/>
        </xdr:cNvSpPr>
      </xdr:nvSpPr>
      <xdr:spPr bwMode="auto">
        <a:xfrm>
          <a:off x="8248650" y="3352800"/>
          <a:ext cx="47625" cy="47625"/>
        </a:xfrm>
        <a:custGeom>
          <a:avLst/>
          <a:gdLst>
            <a:gd name="T0" fmla="*/ 0 w 259"/>
            <a:gd name="T1" fmla="*/ 0 h 165"/>
            <a:gd name="T2" fmla="*/ 0 w 259"/>
            <a:gd name="T3" fmla="*/ 0 h 165"/>
            <a:gd name="T4" fmla="*/ 0 w 259"/>
            <a:gd name="T5" fmla="*/ 0 h 165"/>
            <a:gd name="T6" fmla="*/ 0 w 259"/>
            <a:gd name="T7" fmla="*/ 0 h 165"/>
            <a:gd name="T8" fmla="*/ 0 w 259"/>
            <a:gd name="T9" fmla="*/ 0 h 165"/>
            <a:gd name="T10" fmla="*/ 0 w 259"/>
            <a:gd name="T11" fmla="*/ 0 h 165"/>
            <a:gd name="T12" fmla="*/ 0 w 259"/>
            <a:gd name="T13" fmla="*/ 0 h 1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59"/>
            <a:gd name="T22" fmla="*/ 0 h 165"/>
            <a:gd name="T23" fmla="*/ 259 w 259"/>
            <a:gd name="T24" fmla="*/ 165 h 1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59" h="165">
              <a:moveTo>
                <a:pt x="0" y="108"/>
              </a:moveTo>
              <a:lnTo>
                <a:pt x="13" y="137"/>
              </a:lnTo>
              <a:lnTo>
                <a:pt x="26" y="165"/>
              </a:lnTo>
              <a:lnTo>
                <a:pt x="259" y="57"/>
              </a:lnTo>
              <a:lnTo>
                <a:pt x="246" y="28"/>
              </a:lnTo>
              <a:lnTo>
                <a:pt x="234" y="0"/>
              </a:lnTo>
              <a:lnTo>
                <a:pt x="0" y="108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123825</xdr:colOff>
      <xdr:row>15</xdr:row>
      <xdr:rowOff>171450</xdr:rowOff>
    </xdr:from>
    <xdr:to>
      <xdr:col>13</xdr:col>
      <xdr:colOff>123825</xdr:colOff>
      <xdr:row>15</xdr:row>
      <xdr:rowOff>190500</xdr:rowOff>
    </xdr:to>
    <xdr:sp macro="" textlink="">
      <xdr:nvSpPr>
        <xdr:cNvPr id="13702" name="Freeform 1285">
          <a:extLst>
            <a:ext uri="{FF2B5EF4-FFF2-40B4-BE49-F238E27FC236}">
              <a16:creationId xmlns:a16="http://schemas.microsoft.com/office/drawing/2014/main" id="{00000000-0008-0000-0700-000086350000}"/>
            </a:ext>
          </a:extLst>
        </xdr:cNvPr>
        <xdr:cNvSpPr>
          <a:spLocks/>
        </xdr:cNvSpPr>
      </xdr:nvSpPr>
      <xdr:spPr bwMode="auto">
        <a:xfrm>
          <a:off x="8296275" y="3362325"/>
          <a:ext cx="0" cy="19050"/>
        </a:xfrm>
        <a:custGeom>
          <a:avLst/>
          <a:gdLst>
            <a:gd name="T0" fmla="*/ 0 w 18"/>
            <a:gd name="T1" fmla="*/ 0 h 29"/>
            <a:gd name="T2" fmla="*/ 0 w 18"/>
            <a:gd name="T3" fmla="*/ 0 h 29"/>
            <a:gd name="T4" fmla="*/ 0 w 18"/>
            <a:gd name="T5" fmla="*/ 0 h 29"/>
            <a:gd name="T6" fmla="*/ 0 w 18"/>
            <a:gd name="T7" fmla="*/ 0 h 29"/>
            <a:gd name="T8" fmla="*/ 0 60000 65536"/>
            <a:gd name="T9" fmla="*/ 0 60000 65536"/>
            <a:gd name="T10" fmla="*/ 0 60000 65536"/>
            <a:gd name="T11" fmla="*/ 0 60000 65536"/>
            <a:gd name="T12" fmla="*/ 0 w 18"/>
            <a:gd name="T13" fmla="*/ 0 h 29"/>
            <a:gd name="T14" fmla="*/ 0 w 18"/>
            <a:gd name="T15" fmla="*/ 29 h 2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8" h="29">
              <a:moveTo>
                <a:pt x="0" y="0"/>
              </a:moveTo>
              <a:lnTo>
                <a:pt x="13" y="29"/>
              </a:lnTo>
              <a:lnTo>
                <a:pt x="18" y="26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123825</xdr:colOff>
      <xdr:row>15</xdr:row>
      <xdr:rowOff>190500</xdr:rowOff>
    </xdr:from>
    <xdr:to>
      <xdr:col>13</xdr:col>
      <xdr:colOff>133350</xdr:colOff>
      <xdr:row>15</xdr:row>
      <xdr:rowOff>190500</xdr:rowOff>
    </xdr:to>
    <xdr:sp macro="" textlink="">
      <xdr:nvSpPr>
        <xdr:cNvPr id="13703" name="Line 1286">
          <a:extLst>
            <a:ext uri="{FF2B5EF4-FFF2-40B4-BE49-F238E27FC236}">
              <a16:creationId xmlns:a16="http://schemas.microsoft.com/office/drawing/2014/main" id="{00000000-0008-0000-0700-000087350000}"/>
            </a:ext>
          </a:extLst>
        </xdr:cNvPr>
        <xdr:cNvSpPr>
          <a:spLocks noChangeShapeType="1"/>
        </xdr:cNvSpPr>
      </xdr:nvSpPr>
      <xdr:spPr bwMode="auto">
        <a:xfrm flipV="1">
          <a:off x="8296275" y="3381375"/>
          <a:ext cx="95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114300</xdr:colOff>
      <xdr:row>15</xdr:row>
      <xdr:rowOff>133350</xdr:rowOff>
    </xdr:from>
    <xdr:to>
      <xdr:col>13</xdr:col>
      <xdr:colOff>161925</xdr:colOff>
      <xdr:row>15</xdr:row>
      <xdr:rowOff>190500</xdr:rowOff>
    </xdr:to>
    <xdr:sp macro="" textlink="">
      <xdr:nvSpPr>
        <xdr:cNvPr id="13704" name="Freeform 1287">
          <a:extLst>
            <a:ext uri="{FF2B5EF4-FFF2-40B4-BE49-F238E27FC236}">
              <a16:creationId xmlns:a16="http://schemas.microsoft.com/office/drawing/2014/main" id="{00000000-0008-0000-0700-000088350000}"/>
            </a:ext>
          </a:extLst>
        </xdr:cNvPr>
        <xdr:cNvSpPr>
          <a:spLocks/>
        </xdr:cNvSpPr>
      </xdr:nvSpPr>
      <xdr:spPr bwMode="auto">
        <a:xfrm>
          <a:off x="8286750" y="3324225"/>
          <a:ext cx="47625" cy="57150"/>
        </a:xfrm>
        <a:custGeom>
          <a:avLst/>
          <a:gdLst>
            <a:gd name="T0" fmla="*/ 0 w 218"/>
            <a:gd name="T1" fmla="*/ 0 h 175"/>
            <a:gd name="T2" fmla="*/ 0 w 218"/>
            <a:gd name="T3" fmla="*/ 0 h 175"/>
            <a:gd name="T4" fmla="*/ 0 w 218"/>
            <a:gd name="T5" fmla="*/ 0 h 175"/>
            <a:gd name="T6" fmla="*/ 0 w 218"/>
            <a:gd name="T7" fmla="*/ 0 h 175"/>
            <a:gd name="T8" fmla="*/ 0 w 218"/>
            <a:gd name="T9" fmla="*/ 0 h 175"/>
            <a:gd name="T10" fmla="*/ 0 w 218"/>
            <a:gd name="T11" fmla="*/ 0 h 175"/>
            <a:gd name="T12" fmla="*/ 0 w 218"/>
            <a:gd name="T13" fmla="*/ 0 h 17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8"/>
            <a:gd name="T22" fmla="*/ 0 h 175"/>
            <a:gd name="T23" fmla="*/ 218 w 218"/>
            <a:gd name="T24" fmla="*/ 175 h 17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8" h="175">
              <a:moveTo>
                <a:pt x="0" y="124"/>
              </a:moveTo>
              <a:lnTo>
                <a:pt x="18" y="149"/>
              </a:lnTo>
              <a:lnTo>
                <a:pt x="36" y="175"/>
              </a:lnTo>
              <a:lnTo>
                <a:pt x="218" y="51"/>
              </a:lnTo>
              <a:lnTo>
                <a:pt x="200" y="26"/>
              </a:lnTo>
              <a:lnTo>
                <a:pt x="182" y="0"/>
              </a:lnTo>
              <a:lnTo>
                <a:pt x="0" y="12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114300</xdr:colOff>
      <xdr:row>15</xdr:row>
      <xdr:rowOff>133350</xdr:rowOff>
    </xdr:from>
    <xdr:to>
      <xdr:col>13</xdr:col>
      <xdr:colOff>161925</xdr:colOff>
      <xdr:row>15</xdr:row>
      <xdr:rowOff>190500</xdr:rowOff>
    </xdr:to>
    <xdr:sp macro="" textlink="">
      <xdr:nvSpPr>
        <xdr:cNvPr id="13705" name="Freeform 1288">
          <a:extLst>
            <a:ext uri="{FF2B5EF4-FFF2-40B4-BE49-F238E27FC236}">
              <a16:creationId xmlns:a16="http://schemas.microsoft.com/office/drawing/2014/main" id="{00000000-0008-0000-0700-000089350000}"/>
            </a:ext>
          </a:extLst>
        </xdr:cNvPr>
        <xdr:cNvSpPr>
          <a:spLocks/>
        </xdr:cNvSpPr>
      </xdr:nvSpPr>
      <xdr:spPr bwMode="auto">
        <a:xfrm>
          <a:off x="8286750" y="3324225"/>
          <a:ext cx="47625" cy="57150"/>
        </a:xfrm>
        <a:custGeom>
          <a:avLst/>
          <a:gdLst>
            <a:gd name="T0" fmla="*/ 0 w 218"/>
            <a:gd name="T1" fmla="*/ 0 h 175"/>
            <a:gd name="T2" fmla="*/ 0 w 218"/>
            <a:gd name="T3" fmla="*/ 0 h 175"/>
            <a:gd name="T4" fmla="*/ 0 w 218"/>
            <a:gd name="T5" fmla="*/ 0 h 175"/>
            <a:gd name="T6" fmla="*/ 0 w 218"/>
            <a:gd name="T7" fmla="*/ 0 h 175"/>
            <a:gd name="T8" fmla="*/ 0 w 218"/>
            <a:gd name="T9" fmla="*/ 0 h 175"/>
            <a:gd name="T10" fmla="*/ 0 w 218"/>
            <a:gd name="T11" fmla="*/ 0 h 175"/>
            <a:gd name="T12" fmla="*/ 0 w 218"/>
            <a:gd name="T13" fmla="*/ 0 h 17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8"/>
            <a:gd name="T22" fmla="*/ 0 h 175"/>
            <a:gd name="T23" fmla="*/ 218 w 218"/>
            <a:gd name="T24" fmla="*/ 175 h 17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8" h="175">
              <a:moveTo>
                <a:pt x="0" y="124"/>
              </a:moveTo>
              <a:lnTo>
                <a:pt x="18" y="149"/>
              </a:lnTo>
              <a:lnTo>
                <a:pt x="36" y="175"/>
              </a:lnTo>
              <a:lnTo>
                <a:pt x="218" y="51"/>
              </a:lnTo>
              <a:lnTo>
                <a:pt x="200" y="26"/>
              </a:lnTo>
              <a:lnTo>
                <a:pt x="182" y="0"/>
              </a:lnTo>
              <a:lnTo>
                <a:pt x="0" y="12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152400</xdr:colOff>
      <xdr:row>15</xdr:row>
      <xdr:rowOff>152400</xdr:rowOff>
    </xdr:from>
    <xdr:to>
      <xdr:col>13</xdr:col>
      <xdr:colOff>161925</xdr:colOff>
      <xdr:row>15</xdr:row>
      <xdr:rowOff>152400</xdr:rowOff>
    </xdr:to>
    <xdr:sp macro="" textlink="">
      <xdr:nvSpPr>
        <xdr:cNvPr id="13706" name="Freeform 1289">
          <a:extLst>
            <a:ext uri="{FF2B5EF4-FFF2-40B4-BE49-F238E27FC236}">
              <a16:creationId xmlns:a16="http://schemas.microsoft.com/office/drawing/2014/main" id="{00000000-0008-0000-0700-00008A350000}"/>
            </a:ext>
          </a:extLst>
        </xdr:cNvPr>
        <xdr:cNvSpPr>
          <a:spLocks/>
        </xdr:cNvSpPr>
      </xdr:nvSpPr>
      <xdr:spPr bwMode="auto">
        <a:xfrm>
          <a:off x="8324850" y="3343275"/>
          <a:ext cx="9525" cy="0"/>
        </a:xfrm>
        <a:custGeom>
          <a:avLst/>
          <a:gdLst>
            <a:gd name="T0" fmla="*/ 0 w 23"/>
            <a:gd name="T1" fmla="*/ 0 h 25"/>
            <a:gd name="T2" fmla="*/ 0 w 23"/>
            <a:gd name="T3" fmla="*/ 0 h 25"/>
            <a:gd name="T4" fmla="*/ 0 w 23"/>
            <a:gd name="T5" fmla="*/ 0 h 25"/>
            <a:gd name="T6" fmla="*/ 0 w 23"/>
            <a:gd name="T7" fmla="*/ 0 h 25"/>
            <a:gd name="T8" fmla="*/ 0 60000 65536"/>
            <a:gd name="T9" fmla="*/ 0 60000 65536"/>
            <a:gd name="T10" fmla="*/ 0 60000 65536"/>
            <a:gd name="T11" fmla="*/ 0 60000 65536"/>
            <a:gd name="T12" fmla="*/ 0 w 23"/>
            <a:gd name="T13" fmla="*/ 0 h 25"/>
            <a:gd name="T14" fmla="*/ 23 w 23"/>
            <a:gd name="T15" fmla="*/ 0 h 2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3" h="25">
              <a:moveTo>
                <a:pt x="0" y="0"/>
              </a:moveTo>
              <a:lnTo>
                <a:pt x="18" y="25"/>
              </a:lnTo>
              <a:lnTo>
                <a:pt x="23" y="21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161925</xdr:colOff>
      <xdr:row>15</xdr:row>
      <xdr:rowOff>152400</xdr:rowOff>
    </xdr:from>
    <xdr:to>
      <xdr:col>13</xdr:col>
      <xdr:colOff>161925</xdr:colOff>
      <xdr:row>15</xdr:row>
      <xdr:rowOff>161925</xdr:rowOff>
    </xdr:to>
    <xdr:sp macro="" textlink="">
      <xdr:nvSpPr>
        <xdr:cNvPr id="13707" name="Line 1290">
          <a:extLst>
            <a:ext uri="{FF2B5EF4-FFF2-40B4-BE49-F238E27FC236}">
              <a16:creationId xmlns:a16="http://schemas.microsoft.com/office/drawing/2014/main" id="{00000000-0008-0000-0700-00008B350000}"/>
            </a:ext>
          </a:extLst>
        </xdr:cNvPr>
        <xdr:cNvSpPr>
          <a:spLocks noChangeShapeType="1"/>
        </xdr:cNvSpPr>
      </xdr:nvSpPr>
      <xdr:spPr bwMode="auto">
        <a:xfrm flipV="1">
          <a:off x="8334375" y="3343275"/>
          <a:ext cx="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152400</xdr:colOff>
      <xdr:row>15</xdr:row>
      <xdr:rowOff>104775</xdr:rowOff>
    </xdr:from>
    <xdr:to>
      <xdr:col>13</xdr:col>
      <xdr:colOff>180975</xdr:colOff>
      <xdr:row>15</xdr:row>
      <xdr:rowOff>142875</xdr:rowOff>
    </xdr:to>
    <xdr:sp macro="" textlink="">
      <xdr:nvSpPr>
        <xdr:cNvPr id="13708" name="Freeform 1291">
          <a:extLst>
            <a:ext uri="{FF2B5EF4-FFF2-40B4-BE49-F238E27FC236}">
              <a16:creationId xmlns:a16="http://schemas.microsoft.com/office/drawing/2014/main" id="{00000000-0008-0000-0700-00008C350000}"/>
            </a:ext>
          </a:extLst>
        </xdr:cNvPr>
        <xdr:cNvSpPr>
          <a:spLocks/>
        </xdr:cNvSpPr>
      </xdr:nvSpPr>
      <xdr:spPr bwMode="auto">
        <a:xfrm>
          <a:off x="8324850" y="3295650"/>
          <a:ext cx="28575" cy="38100"/>
        </a:xfrm>
        <a:custGeom>
          <a:avLst/>
          <a:gdLst>
            <a:gd name="T0" fmla="*/ 0 w 170"/>
            <a:gd name="T1" fmla="*/ 0 h 178"/>
            <a:gd name="T2" fmla="*/ 0 w 170"/>
            <a:gd name="T3" fmla="*/ 0 h 178"/>
            <a:gd name="T4" fmla="*/ 0 w 170"/>
            <a:gd name="T5" fmla="*/ 0 h 178"/>
            <a:gd name="T6" fmla="*/ 0 w 170"/>
            <a:gd name="T7" fmla="*/ 0 h 178"/>
            <a:gd name="T8" fmla="*/ 0 w 170"/>
            <a:gd name="T9" fmla="*/ 0 h 178"/>
            <a:gd name="T10" fmla="*/ 0 w 170"/>
            <a:gd name="T11" fmla="*/ 0 h 178"/>
            <a:gd name="T12" fmla="*/ 0 w 170"/>
            <a:gd name="T13" fmla="*/ 0 h 178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70"/>
            <a:gd name="T22" fmla="*/ 0 h 178"/>
            <a:gd name="T23" fmla="*/ 170 w 170"/>
            <a:gd name="T24" fmla="*/ 178 h 178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70" h="178">
              <a:moveTo>
                <a:pt x="0" y="136"/>
              </a:moveTo>
              <a:lnTo>
                <a:pt x="23" y="157"/>
              </a:lnTo>
              <a:lnTo>
                <a:pt x="46" y="178"/>
              </a:lnTo>
              <a:lnTo>
                <a:pt x="170" y="42"/>
              </a:lnTo>
              <a:lnTo>
                <a:pt x="147" y="21"/>
              </a:lnTo>
              <a:lnTo>
                <a:pt x="124" y="0"/>
              </a:lnTo>
              <a:lnTo>
                <a:pt x="0" y="136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152400</xdr:colOff>
      <xdr:row>15</xdr:row>
      <xdr:rowOff>104775</xdr:rowOff>
    </xdr:from>
    <xdr:to>
      <xdr:col>13</xdr:col>
      <xdr:colOff>180975</xdr:colOff>
      <xdr:row>15</xdr:row>
      <xdr:rowOff>142875</xdr:rowOff>
    </xdr:to>
    <xdr:sp macro="" textlink="">
      <xdr:nvSpPr>
        <xdr:cNvPr id="13709" name="Freeform 1292">
          <a:extLst>
            <a:ext uri="{FF2B5EF4-FFF2-40B4-BE49-F238E27FC236}">
              <a16:creationId xmlns:a16="http://schemas.microsoft.com/office/drawing/2014/main" id="{00000000-0008-0000-0700-00008D350000}"/>
            </a:ext>
          </a:extLst>
        </xdr:cNvPr>
        <xdr:cNvSpPr>
          <a:spLocks/>
        </xdr:cNvSpPr>
      </xdr:nvSpPr>
      <xdr:spPr bwMode="auto">
        <a:xfrm>
          <a:off x="8324850" y="3295650"/>
          <a:ext cx="28575" cy="38100"/>
        </a:xfrm>
        <a:custGeom>
          <a:avLst/>
          <a:gdLst>
            <a:gd name="T0" fmla="*/ 0 w 170"/>
            <a:gd name="T1" fmla="*/ 0 h 178"/>
            <a:gd name="T2" fmla="*/ 0 w 170"/>
            <a:gd name="T3" fmla="*/ 0 h 178"/>
            <a:gd name="T4" fmla="*/ 0 w 170"/>
            <a:gd name="T5" fmla="*/ 0 h 178"/>
            <a:gd name="T6" fmla="*/ 0 w 170"/>
            <a:gd name="T7" fmla="*/ 0 h 178"/>
            <a:gd name="T8" fmla="*/ 0 w 170"/>
            <a:gd name="T9" fmla="*/ 0 h 178"/>
            <a:gd name="T10" fmla="*/ 0 w 170"/>
            <a:gd name="T11" fmla="*/ 0 h 178"/>
            <a:gd name="T12" fmla="*/ 0 w 170"/>
            <a:gd name="T13" fmla="*/ 0 h 178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70"/>
            <a:gd name="T22" fmla="*/ 0 h 178"/>
            <a:gd name="T23" fmla="*/ 170 w 170"/>
            <a:gd name="T24" fmla="*/ 178 h 178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70" h="178">
              <a:moveTo>
                <a:pt x="0" y="136"/>
              </a:moveTo>
              <a:lnTo>
                <a:pt x="23" y="157"/>
              </a:lnTo>
              <a:lnTo>
                <a:pt x="46" y="178"/>
              </a:lnTo>
              <a:lnTo>
                <a:pt x="170" y="42"/>
              </a:lnTo>
              <a:lnTo>
                <a:pt x="147" y="21"/>
              </a:lnTo>
              <a:lnTo>
                <a:pt x="124" y="0"/>
              </a:lnTo>
              <a:lnTo>
                <a:pt x="0" y="136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180975</xdr:colOff>
      <xdr:row>15</xdr:row>
      <xdr:rowOff>104775</xdr:rowOff>
    </xdr:from>
    <xdr:to>
      <xdr:col>13</xdr:col>
      <xdr:colOff>180975</xdr:colOff>
      <xdr:row>15</xdr:row>
      <xdr:rowOff>114300</xdr:rowOff>
    </xdr:to>
    <xdr:sp macro="" textlink="">
      <xdr:nvSpPr>
        <xdr:cNvPr id="13710" name="Freeform 1293">
          <a:extLst>
            <a:ext uri="{FF2B5EF4-FFF2-40B4-BE49-F238E27FC236}">
              <a16:creationId xmlns:a16="http://schemas.microsoft.com/office/drawing/2014/main" id="{00000000-0008-0000-0700-00008E350000}"/>
            </a:ext>
          </a:extLst>
        </xdr:cNvPr>
        <xdr:cNvSpPr>
          <a:spLocks/>
        </xdr:cNvSpPr>
      </xdr:nvSpPr>
      <xdr:spPr bwMode="auto">
        <a:xfrm>
          <a:off x="8353425" y="3295650"/>
          <a:ext cx="0" cy="9525"/>
        </a:xfrm>
        <a:custGeom>
          <a:avLst/>
          <a:gdLst>
            <a:gd name="T0" fmla="*/ 0 w 28"/>
            <a:gd name="T1" fmla="*/ 0 h 21"/>
            <a:gd name="T2" fmla="*/ 0 w 28"/>
            <a:gd name="T3" fmla="*/ 0 h 21"/>
            <a:gd name="T4" fmla="*/ 0 w 28"/>
            <a:gd name="T5" fmla="*/ 0 h 21"/>
            <a:gd name="T6" fmla="*/ 0 w 28"/>
            <a:gd name="T7" fmla="*/ 0 h 21"/>
            <a:gd name="T8" fmla="*/ 0 w 28"/>
            <a:gd name="T9" fmla="*/ 0 h 2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8"/>
            <a:gd name="T16" fmla="*/ 0 h 21"/>
            <a:gd name="T17" fmla="*/ 0 w 28"/>
            <a:gd name="T18" fmla="*/ 21 h 2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8" h="21">
              <a:moveTo>
                <a:pt x="0" y="0"/>
              </a:moveTo>
              <a:lnTo>
                <a:pt x="23" y="21"/>
              </a:lnTo>
              <a:lnTo>
                <a:pt x="25" y="17"/>
              </a:lnTo>
              <a:lnTo>
                <a:pt x="28" y="1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180975</xdr:colOff>
      <xdr:row>15</xdr:row>
      <xdr:rowOff>114300</xdr:rowOff>
    </xdr:from>
    <xdr:to>
      <xdr:col>13</xdr:col>
      <xdr:colOff>190500</xdr:colOff>
      <xdr:row>15</xdr:row>
      <xdr:rowOff>114300</xdr:rowOff>
    </xdr:to>
    <xdr:sp macro="" textlink="">
      <xdr:nvSpPr>
        <xdr:cNvPr id="13711" name="Freeform 1294">
          <a:extLst>
            <a:ext uri="{FF2B5EF4-FFF2-40B4-BE49-F238E27FC236}">
              <a16:creationId xmlns:a16="http://schemas.microsoft.com/office/drawing/2014/main" id="{00000000-0008-0000-0700-00008F350000}"/>
            </a:ext>
          </a:extLst>
        </xdr:cNvPr>
        <xdr:cNvSpPr>
          <a:spLocks/>
        </xdr:cNvSpPr>
      </xdr:nvSpPr>
      <xdr:spPr bwMode="auto">
        <a:xfrm>
          <a:off x="8353425" y="3305175"/>
          <a:ext cx="9525" cy="0"/>
        </a:xfrm>
        <a:custGeom>
          <a:avLst/>
          <a:gdLst>
            <a:gd name="T0" fmla="*/ 0 w 5"/>
            <a:gd name="T1" fmla="*/ 0 h 8"/>
            <a:gd name="T2" fmla="*/ 0 w 5"/>
            <a:gd name="T3" fmla="*/ 0 h 8"/>
            <a:gd name="T4" fmla="*/ 0 w 5"/>
            <a:gd name="T5" fmla="*/ 0 h 8"/>
            <a:gd name="T6" fmla="*/ 0 60000 65536"/>
            <a:gd name="T7" fmla="*/ 0 60000 65536"/>
            <a:gd name="T8" fmla="*/ 0 60000 65536"/>
            <a:gd name="T9" fmla="*/ 0 w 5"/>
            <a:gd name="T10" fmla="*/ 0 h 8"/>
            <a:gd name="T11" fmla="*/ 5 w 5"/>
            <a:gd name="T12" fmla="*/ 0 h 8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5" h="8">
              <a:moveTo>
                <a:pt x="0" y="8"/>
              </a:moveTo>
              <a:lnTo>
                <a:pt x="2" y="4"/>
              </a:lnTo>
              <a:lnTo>
                <a:pt x="5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161925</xdr:colOff>
      <xdr:row>15</xdr:row>
      <xdr:rowOff>76200</xdr:rowOff>
    </xdr:from>
    <xdr:to>
      <xdr:col>13</xdr:col>
      <xdr:colOff>190500</xdr:colOff>
      <xdr:row>15</xdr:row>
      <xdr:rowOff>114300</xdr:rowOff>
    </xdr:to>
    <xdr:sp macro="" textlink="">
      <xdr:nvSpPr>
        <xdr:cNvPr id="13712" name="Freeform 1295">
          <a:extLst>
            <a:ext uri="{FF2B5EF4-FFF2-40B4-BE49-F238E27FC236}">
              <a16:creationId xmlns:a16="http://schemas.microsoft.com/office/drawing/2014/main" id="{00000000-0008-0000-0700-000090350000}"/>
            </a:ext>
          </a:extLst>
        </xdr:cNvPr>
        <xdr:cNvSpPr>
          <a:spLocks/>
        </xdr:cNvSpPr>
      </xdr:nvSpPr>
      <xdr:spPr bwMode="auto">
        <a:xfrm>
          <a:off x="8334375" y="3267075"/>
          <a:ext cx="28575" cy="38100"/>
        </a:xfrm>
        <a:custGeom>
          <a:avLst/>
          <a:gdLst>
            <a:gd name="T0" fmla="*/ 0 w 119"/>
            <a:gd name="T1" fmla="*/ 0 h 169"/>
            <a:gd name="T2" fmla="*/ 0 w 119"/>
            <a:gd name="T3" fmla="*/ 0 h 169"/>
            <a:gd name="T4" fmla="*/ 0 w 119"/>
            <a:gd name="T5" fmla="*/ 0 h 169"/>
            <a:gd name="T6" fmla="*/ 0 w 119"/>
            <a:gd name="T7" fmla="*/ 0 h 169"/>
            <a:gd name="T8" fmla="*/ 0 w 119"/>
            <a:gd name="T9" fmla="*/ 0 h 169"/>
            <a:gd name="T10" fmla="*/ 0 w 119"/>
            <a:gd name="T11" fmla="*/ 0 h 169"/>
            <a:gd name="T12" fmla="*/ 0 w 119"/>
            <a:gd name="T13" fmla="*/ 0 h 16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19"/>
            <a:gd name="T22" fmla="*/ 0 h 169"/>
            <a:gd name="T23" fmla="*/ 119 w 119"/>
            <a:gd name="T24" fmla="*/ 169 h 16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19" h="169">
              <a:moveTo>
                <a:pt x="0" y="143"/>
              </a:moveTo>
              <a:lnTo>
                <a:pt x="29" y="156"/>
              </a:lnTo>
              <a:lnTo>
                <a:pt x="57" y="169"/>
              </a:lnTo>
              <a:lnTo>
                <a:pt x="119" y="25"/>
              </a:lnTo>
              <a:lnTo>
                <a:pt x="91" y="12"/>
              </a:lnTo>
              <a:lnTo>
                <a:pt x="62" y="0"/>
              </a:lnTo>
              <a:lnTo>
                <a:pt x="0" y="14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161925</xdr:colOff>
      <xdr:row>15</xdr:row>
      <xdr:rowOff>76200</xdr:rowOff>
    </xdr:from>
    <xdr:to>
      <xdr:col>13</xdr:col>
      <xdr:colOff>190500</xdr:colOff>
      <xdr:row>15</xdr:row>
      <xdr:rowOff>114300</xdr:rowOff>
    </xdr:to>
    <xdr:sp macro="" textlink="">
      <xdr:nvSpPr>
        <xdr:cNvPr id="13713" name="Freeform 1296">
          <a:extLst>
            <a:ext uri="{FF2B5EF4-FFF2-40B4-BE49-F238E27FC236}">
              <a16:creationId xmlns:a16="http://schemas.microsoft.com/office/drawing/2014/main" id="{00000000-0008-0000-0700-000091350000}"/>
            </a:ext>
          </a:extLst>
        </xdr:cNvPr>
        <xdr:cNvSpPr>
          <a:spLocks/>
        </xdr:cNvSpPr>
      </xdr:nvSpPr>
      <xdr:spPr bwMode="auto">
        <a:xfrm>
          <a:off x="8334375" y="3267075"/>
          <a:ext cx="28575" cy="38100"/>
        </a:xfrm>
        <a:custGeom>
          <a:avLst/>
          <a:gdLst>
            <a:gd name="T0" fmla="*/ 0 w 119"/>
            <a:gd name="T1" fmla="*/ 0 h 169"/>
            <a:gd name="T2" fmla="*/ 0 w 119"/>
            <a:gd name="T3" fmla="*/ 0 h 169"/>
            <a:gd name="T4" fmla="*/ 0 w 119"/>
            <a:gd name="T5" fmla="*/ 0 h 169"/>
            <a:gd name="T6" fmla="*/ 0 w 119"/>
            <a:gd name="T7" fmla="*/ 0 h 169"/>
            <a:gd name="T8" fmla="*/ 0 w 119"/>
            <a:gd name="T9" fmla="*/ 0 h 169"/>
            <a:gd name="T10" fmla="*/ 0 w 119"/>
            <a:gd name="T11" fmla="*/ 0 h 169"/>
            <a:gd name="T12" fmla="*/ 0 w 119"/>
            <a:gd name="T13" fmla="*/ 0 h 16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19"/>
            <a:gd name="T22" fmla="*/ 0 h 169"/>
            <a:gd name="T23" fmla="*/ 119 w 119"/>
            <a:gd name="T24" fmla="*/ 169 h 16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19" h="169">
              <a:moveTo>
                <a:pt x="0" y="143"/>
              </a:moveTo>
              <a:lnTo>
                <a:pt x="29" y="156"/>
              </a:lnTo>
              <a:lnTo>
                <a:pt x="57" y="169"/>
              </a:lnTo>
              <a:lnTo>
                <a:pt x="119" y="25"/>
              </a:lnTo>
              <a:lnTo>
                <a:pt x="91" y="12"/>
              </a:lnTo>
              <a:lnTo>
                <a:pt x="62" y="0"/>
              </a:lnTo>
              <a:lnTo>
                <a:pt x="0" y="143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180975</xdr:colOff>
      <xdr:row>15</xdr:row>
      <xdr:rowOff>66675</xdr:rowOff>
    </xdr:from>
    <xdr:to>
      <xdr:col>13</xdr:col>
      <xdr:colOff>190500</xdr:colOff>
      <xdr:row>15</xdr:row>
      <xdr:rowOff>76200</xdr:rowOff>
    </xdr:to>
    <xdr:sp macro="" textlink="">
      <xdr:nvSpPr>
        <xdr:cNvPr id="13714" name="Freeform 1297">
          <a:extLst>
            <a:ext uri="{FF2B5EF4-FFF2-40B4-BE49-F238E27FC236}">
              <a16:creationId xmlns:a16="http://schemas.microsoft.com/office/drawing/2014/main" id="{00000000-0008-0000-0700-000092350000}"/>
            </a:ext>
          </a:extLst>
        </xdr:cNvPr>
        <xdr:cNvSpPr>
          <a:spLocks/>
        </xdr:cNvSpPr>
      </xdr:nvSpPr>
      <xdr:spPr bwMode="auto">
        <a:xfrm>
          <a:off x="8353425" y="3257550"/>
          <a:ext cx="9525" cy="9525"/>
        </a:xfrm>
        <a:custGeom>
          <a:avLst/>
          <a:gdLst>
            <a:gd name="T0" fmla="*/ 0 w 59"/>
            <a:gd name="T1" fmla="*/ 0 h 43"/>
            <a:gd name="T2" fmla="*/ 0 w 59"/>
            <a:gd name="T3" fmla="*/ 0 h 43"/>
            <a:gd name="T4" fmla="*/ 0 w 59"/>
            <a:gd name="T5" fmla="*/ 0 h 43"/>
            <a:gd name="T6" fmla="*/ 0 w 59"/>
            <a:gd name="T7" fmla="*/ 0 h 43"/>
            <a:gd name="T8" fmla="*/ 0 w 59"/>
            <a:gd name="T9" fmla="*/ 0 h 43"/>
            <a:gd name="T10" fmla="*/ 0 w 59"/>
            <a:gd name="T11" fmla="*/ 0 h 43"/>
            <a:gd name="T12" fmla="*/ 0 w 59"/>
            <a:gd name="T13" fmla="*/ 0 h 43"/>
            <a:gd name="T14" fmla="*/ 0 w 59"/>
            <a:gd name="T15" fmla="*/ 0 h 43"/>
            <a:gd name="T16" fmla="*/ 0 w 59"/>
            <a:gd name="T17" fmla="*/ 0 h 43"/>
            <a:gd name="T18" fmla="*/ 0 w 59"/>
            <a:gd name="T19" fmla="*/ 0 h 43"/>
            <a:gd name="T20" fmla="*/ 0 w 59"/>
            <a:gd name="T21" fmla="*/ 0 h 43"/>
            <a:gd name="T22" fmla="*/ 0 w 59"/>
            <a:gd name="T23" fmla="*/ 0 h 43"/>
            <a:gd name="T24" fmla="*/ 0 w 59"/>
            <a:gd name="T25" fmla="*/ 0 h 43"/>
            <a:gd name="T26" fmla="*/ 0 w 59"/>
            <a:gd name="T27" fmla="*/ 0 h 43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9"/>
            <a:gd name="T43" fmla="*/ 0 h 43"/>
            <a:gd name="T44" fmla="*/ 59 w 59"/>
            <a:gd name="T45" fmla="*/ 43 h 43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9" h="43">
              <a:moveTo>
                <a:pt x="29" y="30"/>
              </a:moveTo>
              <a:lnTo>
                <a:pt x="0" y="18"/>
              </a:lnTo>
              <a:lnTo>
                <a:pt x="4" y="10"/>
              </a:lnTo>
              <a:lnTo>
                <a:pt x="12" y="5"/>
              </a:lnTo>
              <a:lnTo>
                <a:pt x="19" y="1"/>
              </a:lnTo>
              <a:lnTo>
                <a:pt x="28" y="0"/>
              </a:lnTo>
              <a:lnTo>
                <a:pt x="37" y="1"/>
              </a:lnTo>
              <a:lnTo>
                <a:pt x="44" y="4"/>
              </a:lnTo>
              <a:lnTo>
                <a:pt x="52" y="9"/>
              </a:lnTo>
              <a:lnTo>
                <a:pt x="57" y="17"/>
              </a:lnTo>
              <a:lnTo>
                <a:pt x="59" y="25"/>
              </a:lnTo>
              <a:lnTo>
                <a:pt x="59" y="34"/>
              </a:lnTo>
              <a:lnTo>
                <a:pt x="57" y="43"/>
              </a:lnTo>
              <a:lnTo>
                <a:pt x="29" y="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180975</xdr:colOff>
      <xdr:row>15</xdr:row>
      <xdr:rowOff>66675</xdr:rowOff>
    </xdr:from>
    <xdr:to>
      <xdr:col>13</xdr:col>
      <xdr:colOff>190500</xdr:colOff>
      <xdr:row>15</xdr:row>
      <xdr:rowOff>76200</xdr:rowOff>
    </xdr:to>
    <xdr:sp macro="" textlink="">
      <xdr:nvSpPr>
        <xdr:cNvPr id="13715" name="Freeform 1298">
          <a:extLst>
            <a:ext uri="{FF2B5EF4-FFF2-40B4-BE49-F238E27FC236}">
              <a16:creationId xmlns:a16="http://schemas.microsoft.com/office/drawing/2014/main" id="{00000000-0008-0000-0700-000093350000}"/>
            </a:ext>
          </a:extLst>
        </xdr:cNvPr>
        <xdr:cNvSpPr>
          <a:spLocks/>
        </xdr:cNvSpPr>
      </xdr:nvSpPr>
      <xdr:spPr bwMode="auto">
        <a:xfrm>
          <a:off x="8353425" y="3257550"/>
          <a:ext cx="9525" cy="9525"/>
        </a:xfrm>
        <a:custGeom>
          <a:avLst/>
          <a:gdLst>
            <a:gd name="T0" fmla="*/ 0 w 59"/>
            <a:gd name="T1" fmla="*/ 0 h 43"/>
            <a:gd name="T2" fmla="*/ 0 w 59"/>
            <a:gd name="T3" fmla="*/ 0 h 43"/>
            <a:gd name="T4" fmla="*/ 0 w 59"/>
            <a:gd name="T5" fmla="*/ 0 h 43"/>
            <a:gd name="T6" fmla="*/ 0 w 59"/>
            <a:gd name="T7" fmla="*/ 0 h 43"/>
            <a:gd name="T8" fmla="*/ 0 w 59"/>
            <a:gd name="T9" fmla="*/ 0 h 43"/>
            <a:gd name="T10" fmla="*/ 0 w 59"/>
            <a:gd name="T11" fmla="*/ 0 h 43"/>
            <a:gd name="T12" fmla="*/ 0 w 59"/>
            <a:gd name="T13" fmla="*/ 0 h 43"/>
            <a:gd name="T14" fmla="*/ 0 w 59"/>
            <a:gd name="T15" fmla="*/ 0 h 43"/>
            <a:gd name="T16" fmla="*/ 0 w 59"/>
            <a:gd name="T17" fmla="*/ 0 h 43"/>
            <a:gd name="T18" fmla="*/ 0 w 59"/>
            <a:gd name="T19" fmla="*/ 0 h 43"/>
            <a:gd name="T20" fmla="*/ 0 w 59"/>
            <a:gd name="T21" fmla="*/ 0 h 43"/>
            <a:gd name="T22" fmla="*/ 0 w 59"/>
            <a:gd name="T23" fmla="*/ 0 h 43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9"/>
            <a:gd name="T37" fmla="*/ 0 h 43"/>
            <a:gd name="T38" fmla="*/ 59 w 59"/>
            <a:gd name="T39" fmla="*/ 43 h 43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9" h="43">
              <a:moveTo>
                <a:pt x="0" y="18"/>
              </a:moveTo>
              <a:lnTo>
                <a:pt x="4" y="10"/>
              </a:lnTo>
              <a:lnTo>
                <a:pt x="12" y="5"/>
              </a:lnTo>
              <a:lnTo>
                <a:pt x="19" y="1"/>
              </a:lnTo>
              <a:lnTo>
                <a:pt x="28" y="0"/>
              </a:lnTo>
              <a:lnTo>
                <a:pt x="37" y="1"/>
              </a:lnTo>
              <a:lnTo>
                <a:pt x="44" y="4"/>
              </a:lnTo>
              <a:lnTo>
                <a:pt x="52" y="9"/>
              </a:lnTo>
              <a:lnTo>
                <a:pt x="57" y="17"/>
              </a:lnTo>
              <a:lnTo>
                <a:pt x="59" y="25"/>
              </a:lnTo>
              <a:lnTo>
                <a:pt x="59" y="34"/>
              </a:lnTo>
              <a:lnTo>
                <a:pt x="57" y="43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342900</xdr:colOff>
      <xdr:row>12</xdr:row>
      <xdr:rowOff>238125</xdr:rowOff>
    </xdr:from>
    <xdr:to>
      <xdr:col>10</xdr:col>
      <xdr:colOff>352425</xdr:colOff>
      <xdr:row>12</xdr:row>
      <xdr:rowOff>247650</xdr:rowOff>
    </xdr:to>
    <xdr:sp macro="" textlink="">
      <xdr:nvSpPr>
        <xdr:cNvPr id="13716" name="Freeform 1299">
          <a:extLst>
            <a:ext uri="{FF2B5EF4-FFF2-40B4-BE49-F238E27FC236}">
              <a16:creationId xmlns:a16="http://schemas.microsoft.com/office/drawing/2014/main" id="{00000000-0008-0000-0700-000094350000}"/>
            </a:ext>
          </a:extLst>
        </xdr:cNvPr>
        <xdr:cNvSpPr>
          <a:spLocks/>
        </xdr:cNvSpPr>
      </xdr:nvSpPr>
      <xdr:spPr bwMode="auto">
        <a:xfrm>
          <a:off x="6915150" y="2733675"/>
          <a:ext cx="9525" cy="0"/>
        </a:xfrm>
        <a:custGeom>
          <a:avLst/>
          <a:gdLst>
            <a:gd name="T0" fmla="*/ 0 w 49"/>
            <a:gd name="T1" fmla="*/ 0 h 55"/>
            <a:gd name="T2" fmla="*/ 0 w 49"/>
            <a:gd name="T3" fmla="*/ 0 h 55"/>
            <a:gd name="T4" fmla="*/ 0 w 49"/>
            <a:gd name="T5" fmla="*/ 0 h 55"/>
            <a:gd name="T6" fmla="*/ 0 w 49"/>
            <a:gd name="T7" fmla="*/ 0 h 55"/>
            <a:gd name="T8" fmla="*/ 0 w 49"/>
            <a:gd name="T9" fmla="*/ 0 h 55"/>
            <a:gd name="T10" fmla="*/ 0 w 49"/>
            <a:gd name="T11" fmla="*/ 0 h 55"/>
            <a:gd name="T12" fmla="*/ 0 w 49"/>
            <a:gd name="T13" fmla="*/ 0 h 55"/>
            <a:gd name="T14" fmla="*/ 0 w 49"/>
            <a:gd name="T15" fmla="*/ 0 h 55"/>
            <a:gd name="T16" fmla="*/ 0 w 49"/>
            <a:gd name="T17" fmla="*/ 0 h 55"/>
            <a:gd name="T18" fmla="*/ 0 w 49"/>
            <a:gd name="T19" fmla="*/ 0 h 55"/>
            <a:gd name="T20" fmla="*/ 0 w 49"/>
            <a:gd name="T21" fmla="*/ 0 h 55"/>
            <a:gd name="T22" fmla="*/ 0 w 49"/>
            <a:gd name="T23" fmla="*/ 0 h 55"/>
            <a:gd name="T24" fmla="*/ 0 w 49"/>
            <a:gd name="T25" fmla="*/ 0 h 55"/>
            <a:gd name="T26" fmla="*/ 0 w 49"/>
            <a:gd name="T27" fmla="*/ 0 h 55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49"/>
            <a:gd name="T43" fmla="*/ 0 h 55"/>
            <a:gd name="T44" fmla="*/ 49 w 49"/>
            <a:gd name="T45" fmla="*/ 0 h 55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49" h="55">
              <a:moveTo>
                <a:pt x="31" y="30"/>
              </a:moveTo>
              <a:lnTo>
                <a:pt x="13" y="55"/>
              </a:lnTo>
              <a:lnTo>
                <a:pt x="7" y="50"/>
              </a:lnTo>
              <a:lnTo>
                <a:pt x="2" y="43"/>
              </a:lnTo>
              <a:lnTo>
                <a:pt x="0" y="34"/>
              </a:lnTo>
              <a:lnTo>
                <a:pt x="0" y="25"/>
              </a:lnTo>
              <a:lnTo>
                <a:pt x="2" y="17"/>
              </a:lnTo>
              <a:lnTo>
                <a:pt x="8" y="9"/>
              </a:lnTo>
              <a:lnTo>
                <a:pt x="15" y="4"/>
              </a:lnTo>
              <a:lnTo>
                <a:pt x="22" y="1"/>
              </a:lnTo>
              <a:lnTo>
                <a:pt x="32" y="0"/>
              </a:lnTo>
              <a:lnTo>
                <a:pt x="40" y="1"/>
              </a:lnTo>
              <a:lnTo>
                <a:pt x="49" y="5"/>
              </a:lnTo>
              <a:lnTo>
                <a:pt x="31" y="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342900</xdr:colOff>
      <xdr:row>12</xdr:row>
      <xdr:rowOff>238125</xdr:rowOff>
    </xdr:from>
    <xdr:to>
      <xdr:col>10</xdr:col>
      <xdr:colOff>352425</xdr:colOff>
      <xdr:row>12</xdr:row>
      <xdr:rowOff>247650</xdr:rowOff>
    </xdr:to>
    <xdr:sp macro="" textlink="">
      <xdr:nvSpPr>
        <xdr:cNvPr id="13717" name="Freeform 1300">
          <a:extLst>
            <a:ext uri="{FF2B5EF4-FFF2-40B4-BE49-F238E27FC236}">
              <a16:creationId xmlns:a16="http://schemas.microsoft.com/office/drawing/2014/main" id="{00000000-0008-0000-0700-000095350000}"/>
            </a:ext>
          </a:extLst>
        </xdr:cNvPr>
        <xdr:cNvSpPr>
          <a:spLocks/>
        </xdr:cNvSpPr>
      </xdr:nvSpPr>
      <xdr:spPr bwMode="auto">
        <a:xfrm>
          <a:off x="6915150" y="2733675"/>
          <a:ext cx="9525" cy="0"/>
        </a:xfrm>
        <a:custGeom>
          <a:avLst/>
          <a:gdLst>
            <a:gd name="T0" fmla="*/ 0 w 49"/>
            <a:gd name="T1" fmla="*/ 0 h 55"/>
            <a:gd name="T2" fmla="*/ 0 w 49"/>
            <a:gd name="T3" fmla="*/ 0 h 55"/>
            <a:gd name="T4" fmla="*/ 0 w 49"/>
            <a:gd name="T5" fmla="*/ 0 h 55"/>
            <a:gd name="T6" fmla="*/ 0 w 49"/>
            <a:gd name="T7" fmla="*/ 0 h 55"/>
            <a:gd name="T8" fmla="*/ 0 w 49"/>
            <a:gd name="T9" fmla="*/ 0 h 55"/>
            <a:gd name="T10" fmla="*/ 0 w 49"/>
            <a:gd name="T11" fmla="*/ 0 h 55"/>
            <a:gd name="T12" fmla="*/ 0 w 49"/>
            <a:gd name="T13" fmla="*/ 0 h 55"/>
            <a:gd name="T14" fmla="*/ 0 w 49"/>
            <a:gd name="T15" fmla="*/ 0 h 55"/>
            <a:gd name="T16" fmla="*/ 0 w 49"/>
            <a:gd name="T17" fmla="*/ 0 h 55"/>
            <a:gd name="T18" fmla="*/ 0 w 49"/>
            <a:gd name="T19" fmla="*/ 0 h 55"/>
            <a:gd name="T20" fmla="*/ 0 w 49"/>
            <a:gd name="T21" fmla="*/ 0 h 55"/>
            <a:gd name="T22" fmla="*/ 0 w 49"/>
            <a:gd name="T23" fmla="*/ 0 h 55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49"/>
            <a:gd name="T37" fmla="*/ 0 h 55"/>
            <a:gd name="T38" fmla="*/ 49 w 49"/>
            <a:gd name="T39" fmla="*/ 0 h 55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49" h="55">
              <a:moveTo>
                <a:pt x="13" y="55"/>
              </a:moveTo>
              <a:lnTo>
                <a:pt x="7" y="50"/>
              </a:lnTo>
              <a:lnTo>
                <a:pt x="2" y="43"/>
              </a:lnTo>
              <a:lnTo>
                <a:pt x="0" y="34"/>
              </a:lnTo>
              <a:lnTo>
                <a:pt x="0" y="25"/>
              </a:lnTo>
              <a:lnTo>
                <a:pt x="2" y="17"/>
              </a:lnTo>
              <a:lnTo>
                <a:pt x="8" y="9"/>
              </a:lnTo>
              <a:lnTo>
                <a:pt x="15" y="4"/>
              </a:lnTo>
              <a:lnTo>
                <a:pt x="22" y="1"/>
              </a:lnTo>
              <a:lnTo>
                <a:pt x="32" y="0"/>
              </a:lnTo>
              <a:lnTo>
                <a:pt x="40" y="1"/>
              </a:lnTo>
              <a:lnTo>
                <a:pt x="49" y="5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352425</xdr:colOff>
      <xdr:row>12</xdr:row>
      <xdr:rowOff>238125</xdr:rowOff>
    </xdr:from>
    <xdr:to>
      <xdr:col>12</xdr:col>
      <xdr:colOff>114300</xdr:colOff>
      <xdr:row>15</xdr:row>
      <xdr:rowOff>209550</xdr:rowOff>
    </xdr:to>
    <xdr:sp macro="" textlink="">
      <xdr:nvSpPr>
        <xdr:cNvPr id="13718" name="Freeform 1301">
          <a:extLst>
            <a:ext uri="{FF2B5EF4-FFF2-40B4-BE49-F238E27FC236}">
              <a16:creationId xmlns:a16="http://schemas.microsoft.com/office/drawing/2014/main" id="{00000000-0008-0000-0700-000096350000}"/>
            </a:ext>
          </a:extLst>
        </xdr:cNvPr>
        <xdr:cNvSpPr>
          <a:spLocks/>
        </xdr:cNvSpPr>
      </xdr:nvSpPr>
      <xdr:spPr bwMode="auto">
        <a:xfrm>
          <a:off x="6924675" y="2733675"/>
          <a:ext cx="828675" cy="666750"/>
        </a:xfrm>
        <a:custGeom>
          <a:avLst/>
          <a:gdLst>
            <a:gd name="T0" fmla="*/ 0 w 3963"/>
            <a:gd name="T1" fmla="*/ 0 h 2701"/>
            <a:gd name="T2" fmla="*/ 0 w 3963"/>
            <a:gd name="T3" fmla="*/ 0 h 2701"/>
            <a:gd name="T4" fmla="*/ 0 w 3963"/>
            <a:gd name="T5" fmla="*/ 0 h 2701"/>
            <a:gd name="T6" fmla="*/ 2147483647 w 3963"/>
            <a:gd name="T7" fmla="*/ 2147483647 h 2701"/>
            <a:gd name="T8" fmla="*/ 2147483647 w 3963"/>
            <a:gd name="T9" fmla="*/ 2147483647 h 2701"/>
            <a:gd name="T10" fmla="*/ 2147483647 w 3963"/>
            <a:gd name="T11" fmla="*/ 2147483647 h 2701"/>
            <a:gd name="T12" fmla="*/ 0 w 3963"/>
            <a:gd name="T13" fmla="*/ 0 h 270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963"/>
            <a:gd name="T22" fmla="*/ 0 h 2701"/>
            <a:gd name="T23" fmla="*/ 3963 w 3963"/>
            <a:gd name="T24" fmla="*/ 2701 h 270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963" h="2701">
              <a:moveTo>
                <a:pt x="36" y="0"/>
              </a:moveTo>
              <a:lnTo>
                <a:pt x="18" y="25"/>
              </a:lnTo>
              <a:lnTo>
                <a:pt x="0" y="50"/>
              </a:lnTo>
              <a:lnTo>
                <a:pt x="3927" y="2701"/>
              </a:lnTo>
              <a:lnTo>
                <a:pt x="3945" y="2675"/>
              </a:lnTo>
              <a:lnTo>
                <a:pt x="3963" y="2650"/>
              </a:lnTo>
              <a:lnTo>
                <a:pt x="36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352425</xdr:colOff>
      <xdr:row>12</xdr:row>
      <xdr:rowOff>238125</xdr:rowOff>
    </xdr:from>
    <xdr:to>
      <xdr:col>12</xdr:col>
      <xdr:colOff>114300</xdr:colOff>
      <xdr:row>15</xdr:row>
      <xdr:rowOff>209550</xdr:rowOff>
    </xdr:to>
    <xdr:sp macro="" textlink="">
      <xdr:nvSpPr>
        <xdr:cNvPr id="13719" name="Freeform 1302">
          <a:extLst>
            <a:ext uri="{FF2B5EF4-FFF2-40B4-BE49-F238E27FC236}">
              <a16:creationId xmlns:a16="http://schemas.microsoft.com/office/drawing/2014/main" id="{00000000-0008-0000-0700-000097350000}"/>
            </a:ext>
          </a:extLst>
        </xdr:cNvPr>
        <xdr:cNvSpPr>
          <a:spLocks/>
        </xdr:cNvSpPr>
      </xdr:nvSpPr>
      <xdr:spPr bwMode="auto">
        <a:xfrm>
          <a:off x="6924675" y="2733675"/>
          <a:ext cx="828675" cy="666750"/>
        </a:xfrm>
        <a:custGeom>
          <a:avLst/>
          <a:gdLst>
            <a:gd name="T0" fmla="*/ 0 w 3963"/>
            <a:gd name="T1" fmla="*/ 0 h 2701"/>
            <a:gd name="T2" fmla="*/ 0 w 3963"/>
            <a:gd name="T3" fmla="*/ 0 h 2701"/>
            <a:gd name="T4" fmla="*/ 0 w 3963"/>
            <a:gd name="T5" fmla="*/ 0 h 2701"/>
            <a:gd name="T6" fmla="*/ 2147483647 w 3963"/>
            <a:gd name="T7" fmla="*/ 2147483647 h 2701"/>
            <a:gd name="T8" fmla="*/ 2147483647 w 3963"/>
            <a:gd name="T9" fmla="*/ 2147483647 h 2701"/>
            <a:gd name="T10" fmla="*/ 2147483647 w 3963"/>
            <a:gd name="T11" fmla="*/ 2147483647 h 2701"/>
            <a:gd name="T12" fmla="*/ 0 w 3963"/>
            <a:gd name="T13" fmla="*/ 0 h 270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963"/>
            <a:gd name="T22" fmla="*/ 0 h 2701"/>
            <a:gd name="T23" fmla="*/ 3963 w 3963"/>
            <a:gd name="T24" fmla="*/ 2701 h 270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963" h="2701">
              <a:moveTo>
                <a:pt x="36" y="0"/>
              </a:moveTo>
              <a:lnTo>
                <a:pt x="18" y="25"/>
              </a:lnTo>
              <a:lnTo>
                <a:pt x="0" y="50"/>
              </a:lnTo>
              <a:lnTo>
                <a:pt x="3927" y="2701"/>
              </a:lnTo>
              <a:lnTo>
                <a:pt x="3945" y="2675"/>
              </a:lnTo>
              <a:lnTo>
                <a:pt x="3963" y="2650"/>
              </a:lnTo>
              <a:lnTo>
                <a:pt x="36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104775</xdr:colOff>
      <xdr:row>15</xdr:row>
      <xdr:rowOff>190500</xdr:rowOff>
    </xdr:from>
    <xdr:to>
      <xdr:col>12</xdr:col>
      <xdr:colOff>114300</xdr:colOff>
      <xdr:row>15</xdr:row>
      <xdr:rowOff>209550</xdr:rowOff>
    </xdr:to>
    <xdr:sp macro="" textlink="">
      <xdr:nvSpPr>
        <xdr:cNvPr id="13720" name="Freeform 1303">
          <a:extLst>
            <a:ext uri="{FF2B5EF4-FFF2-40B4-BE49-F238E27FC236}">
              <a16:creationId xmlns:a16="http://schemas.microsoft.com/office/drawing/2014/main" id="{00000000-0008-0000-0700-000098350000}"/>
            </a:ext>
          </a:extLst>
        </xdr:cNvPr>
        <xdr:cNvSpPr>
          <a:spLocks/>
        </xdr:cNvSpPr>
      </xdr:nvSpPr>
      <xdr:spPr bwMode="auto">
        <a:xfrm>
          <a:off x="7743825" y="3381375"/>
          <a:ext cx="9525" cy="19050"/>
        </a:xfrm>
        <a:custGeom>
          <a:avLst/>
          <a:gdLst>
            <a:gd name="T0" fmla="*/ 0 w 48"/>
            <a:gd name="T1" fmla="*/ 0 h 56"/>
            <a:gd name="T2" fmla="*/ 0 w 48"/>
            <a:gd name="T3" fmla="*/ 0 h 56"/>
            <a:gd name="T4" fmla="*/ 0 w 48"/>
            <a:gd name="T5" fmla="*/ 0 h 56"/>
            <a:gd name="T6" fmla="*/ 0 w 48"/>
            <a:gd name="T7" fmla="*/ 0 h 56"/>
            <a:gd name="T8" fmla="*/ 0 w 48"/>
            <a:gd name="T9" fmla="*/ 0 h 56"/>
            <a:gd name="T10" fmla="*/ 0 w 48"/>
            <a:gd name="T11" fmla="*/ 0 h 56"/>
            <a:gd name="T12" fmla="*/ 0 w 48"/>
            <a:gd name="T13" fmla="*/ 0 h 56"/>
            <a:gd name="T14" fmla="*/ 0 w 48"/>
            <a:gd name="T15" fmla="*/ 0 h 56"/>
            <a:gd name="T16" fmla="*/ 0 w 48"/>
            <a:gd name="T17" fmla="*/ 0 h 56"/>
            <a:gd name="T18" fmla="*/ 0 w 48"/>
            <a:gd name="T19" fmla="*/ 0 h 56"/>
            <a:gd name="T20" fmla="*/ 0 w 48"/>
            <a:gd name="T21" fmla="*/ 0 h 56"/>
            <a:gd name="T22" fmla="*/ 0 w 48"/>
            <a:gd name="T23" fmla="*/ 0 h 56"/>
            <a:gd name="T24" fmla="*/ 0 w 48"/>
            <a:gd name="T25" fmla="*/ 0 h 56"/>
            <a:gd name="T26" fmla="*/ 0 w 48"/>
            <a:gd name="T27" fmla="*/ 0 h 5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48"/>
            <a:gd name="T43" fmla="*/ 0 h 56"/>
            <a:gd name="T44" fmla="*/ 48 w 48"/>
            <a:gd name="T45" fmla="*/ 56 h 5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48" h="56">
              <a:moveTo>
                <a:pt x="18" y="25"/>
              </a:moveTo>
              <a:lnTo>
                <a:pt x="36" y="0"/>
              </a:lnTo>
              <a:lnTo>
                <a:pt x="42" y="6"/>
              </a:lnTo>
              <a:lnTo>
                <a:pt x="46" y="13"/>
              </a:lnTo>
              <a:lnTo>
                <a:pt x="48" y="21"/>
              </a:lnTo>
              <a:lnTo>
                <a:pt x="48" y="31"/>
              </a:lnTo>
              <a:lnTo>
                <a:pt x="46" y="39"/>
              </a:lnTo>
              <a:lnTo>
                <a:pt x="41" y="46"/>
              </a:lnTo>
              <a:lnTo>
                <a:pt x="33" y="52"/>
              </a:lnTo>
              <a:lnTo>
                <a:pt x="26" y="55"/>
              </a:lnTo>
              <a:lnTo>
                <a:pt x="17" y="56"/>
              </a:lnTo>
              <a:lnTo>
                <a:pt x="8" y="55"/>
              </a:lnTo>
              <a:lnTo>
                <a:pt x="0" y="51"/>
              </a:lnTo>
              <a:lnTo>
                <a:pt x="18" y="25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104775</xdr:colOff>
      <xdr:row>15</xdr:row>
      <xdr:rowOff>190500</xdr:rowOff>
    </xdr:from>
    <xdr:to>
      <xdr:col>12</xdr:col>
      <xdr:colOff>114300</xdr:colOff>
      <xdr:row>15</xdr:row>
      <xdr:rowOff>209550</xdr:rowOff>
    </xdr:to>
    <xdr:sp macro="" textlink="">
      <xdr:nvSpPr>
        <xdr:cNvPr id="13721" name="Freeform 1304">
          <a:extLst>
            <a:ext uri="{FF2B5EF4-FFF2-40B4-BE49-F238E27FC236}">
              <a16:creationId xmlns:a16="http://schemas.microsoft.com/office/drawing/2014/main" id="{00000000-0008-0000-0700-000099350000}"/>
            </a:ext>
          </a:extLst>
        </xdr:cNvPr>
        <xdr:cNvSpPr>
          <a:spLocks/>
        </xdr:cNvSpPr>
      </xdr:nvSpPr>
      <xdr:spPr bwMode="auto">
        <a:xfrm>
          <a:off x="7743825" y="3381375"/>
          <a:ext cx="9525" cy="19050"/>
        </a:xfrm>
        <a:custGeom>
          <a:avLst/>
          <a:gdLst>
            <a:gd name="T0" fmla="*/ 0 w 48"/>
            <a:gd name="T1" fmla="*/ 0 h 56"/>
            <a:gd name="T2" fmla="*/ 0 w 48"/>
            <a:gd name="T3" fmla="*/ 0 h 56"/>
            <a:gd name="T4" fmla="*/ 0 w 48"/>
            <a:gd name="T5" fmla="*/ 0 h 56"/>
            <a:gd name="T6" fmla="*/ 0 w 48"/>
            <a:gd name="T7" fmla="*/ 0 h 56"/>
            <a:gd name="T8" fmla="*/ 0 w 48"/>
            <a:gd name="T9" fmla="*/ 0 h 56"/>
            <a:gd name="T10" fmla="*/ 0 w 48"/>
            <a:gd name="T11" fmla="*/ 0 h 56"/>
            <a:gd name="T12" fmla="*/ 0 w 48"/>
            <a:gd name="T13" fmla="*/ 0 h 56"/>
            <a:gd name="T14" fmla="*/ 0 w 48"/>
            <a:gd name="T15" fmla="*/ 0 h 56"/>
            <a:gd name="T16" fmla="*/ 0 w 48"/>
            <a:gd name="T17" fmla="*/ 0 h 56"/>
            <a:gd name="T18" fmla="*/ 0 w 48"/>
            <a:gd name="T19" fmla="*/ 0 h 56"/>
            <a:gd name="T20" fmla="*/ 0 w 48"/>
            <a:gd name="T21" fmla="*/ 0 h 56"/>
            <a:gd name="T22" fmla="*/ 0 w 48"/>
            <a:gd name="T23" fmla="*/ 0 h 5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48"/>
            <a:gd name="T37" fmla="*/ 0 h 56"/>
            <a:gd name="T38" fmla="*/ 48 w 48"/>
            <a:gd name="T39" fmla="*/ 56 h 56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48" h="56">
              <a:moveTo>
                <a:pt x="36" y="0"/>
              </a:moveTo>
              <a:lnTo>
                <a:pt x="42" y="6"/>
              </a:lnTo>
              <a:lnTo>
                <a:pt x="46" y="13"/>
              </a:lnTo>
              <a:lnTo>
                <a:pt x="48" y="21"/>
              </a:lnTo>
              <a:lnTo>
                <a:pt x="48" y="31"/>
              </a:lnTo>
              <a:lnTo>
                <a:pt x="46" y="39"/>
              </a:lnTo>
              <a:lnTo>
                <a:pt x="41" y="46"/>
              </a:lnTo>
              <a:lnTo>
                <a:pt x="33" y="52"/>
              </a:lnTo>
              <a:lnTo>
                <a:pt x="26" y="55"/>
              </a:lnTo>
              <a:lnTo>
                <a:pt x="17" y="56"/>
              </a:lnTo>
              <a:lnTo>
                <a:pt x="8" y="55"/>
              </a:lnTo>
              <a:lnTo>
                <a:pt x="0" y="51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276225</xdr:colOff>
      <xdr:row>12</xdr:row>
      <xdr:rowOff>238125</xdr:rowOff>
    </xdr:from>
    <xdr:to>
      <xdr:col>13</xdr:col>
      <xdr:colOff>285750</xdr:colOff>
      <xdr:row>12</xdr:row>
      <xdr:rowOff>247650</xdr:rowOff>
    </xdr:to>
    <xdr:sp macro="" textlink="">
      <xdr:nvSpPr>
        <xdr:cNvPr id="13722" name="Freeform 1305">
          <a:extLst>
            <a:ext uri="{FF2B5EF4-FFF2-40B4-BE49-F238E27FC236}">
              <a16:creationId xmlns:a16="http://schemas.microsoft.com/office/drawing/2014/main" id="{00000000-0008-0000-0700-00009A350000}"/>
            </a:ext>
          </a:extLst>
        </xdr:cNvPr>
        <xdr:cNvSpPr>
          <a:spLocks/>
        </xdr:cNvSpPr>
      </xdr:nvSpPr>
      <xdr:spPr bwMode="auto">
        <a:xfrm>
          <a:off x="8448675" y="2733675"/>
          <a:ext cx="9525" cy="0"/>
        </a:xfrm>
        <a:custGeom>
          <a:avLst/>
          <a:gdLst>
            <a:gd name="T0" fmla="*/ 0 w 58"/>
            <a:gd name="T1" fmla="*/ 0 h 42"/>
            <a:gd name="T2" fmla="*/ 0 w 58"/>
            <a:gd name="T3" fmla="*/ 0 h 42"/>
            <a:gd name="T4" fmla="*/ 0 w 58"/>
            <a:gd name="T5" fmla="*/ 0 h 42"/>
            <a:gd name="T6" fmla="*/ 0 w 58"/>
            <a:gd name="T7" fmla="*/ 0 h 42"/>
            <a:gd name="T8" fmla="*/ 0 w 58"/>
            <a:gd name="T9" fmla="*/ 0 h 42"/>
            <a:gd name="T10" fmla="*/ 0 w 58"/>
            <a:gd name="T11" fmla="*/ 0 h 42"/>
            <a:gd name="T12" fmla="*/ 0 w 58"/>
            <a:gd name="T13" fmla="*/ 0 h 42"/>
            <a:gd name="T14" fmla="*/ 0 w 58"/>
            <a:gd name="T15" fmla="*/ 0 h 42"/>
            <a:gd name="T16" fmla="*/ 0 w 58"/>
            <a:gd name="T17" fmla="*/ 0 h 42"/>
            <a:gd name="T18" fmla="*/ 0 w 58"/>
            <a:gd name="T19" fmla="*/ 0 h 42"/>
            <a:gd name="T20" fmla="*/ 0 w 58"/>
            <a:gd name="T21" fmla="*/ 0 h 42"/>
            <a:gd name="T22" fmla="*/ 0 w 58"/>
            <a:gd name="T23" fmla="*/ 0 h 42"/>
            <a:gd name="T24" fmla="*/ 0 w 58"/>
            <a:gd name="T25" fmla="*/ 0 h 42"/>
            <a:gd name="T26" fmla="*/ 0 w 58"/>
            <a:gd name="T27" fmla="*/ 0 h 4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8"/>
            <a:gd name="T43" fmla="*/ 0 h 42"/>
            <a:gd name="T44" fmla="*/ 58 w 58"/>
            <a:gd name="T45" fmla="*/ 0 h 4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8" h="42">
              <a:moveTo>
                <a:pt x="28" y="30"/>
              </a:moveTo>
              <a:lnTo>
                <a:pt x="0" y="19"/>
              </a:lnTo>
              <a:lnTo>
                <a:pt x="4" y="11"/>
              </a:lnTo>
              <a:lnTo>
                <a:pt x="10" y="5"/>
              </a:lnTo>
              <a:lnTo>
                <a:pt x="18" y="1"/>
              </a:lnTo>
              <a:lnTo>
                <a:pt x="27" y="0"/>
              </a:lnTo>
              <a:lnTo>
                <a:pt x="35" y="0"/>
              </a:lnTo>
              <a:lnTo>
                <a:pt x="44" y="4"/>
              </a:lnTo>
              <a:lnTo>
                <a:pt x="51" y="9"/>
              </a:lnTo>
              <a:lnTo>
                <a:pt x="55" y="17"/>
              </a:lnTo>
              <a:lnTo>
                <a:pt x="58" y="25"/>
              </a:lnTo>
              <a:lnTo>
                <a:pt x="58" y="33"/>
              </a:lnTo>
              <a:lnTo>
                <a:pt x="56" y="42"/>
              </a:lnTo>
              <a:lnTo>
                <a:pt x="28" y="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276225</xdr:colOff>
      <xdr:row>12</xdr:row>
      <xdr:rowOff>238125</xdr:rowOff>
    </xdr:from>
    <xdr:to>
      <xdr:col>13</xdr:col>
      <xdr:colOff>285750</xdr:colOff>
      <xdr:row>12</xdr:row>
      <xdr:rowOff>247650</xdr:rowOff>
    </xdr:to>
    <xdr:sp macro="" textlink="">
      <xdr:nvSpPr>
        <xdr:cNvPr id="13723" name="Freeform 1306">
          <a:extLst>
            <a:ext uri="{FF2B5EF4-FFF2-40B4-BE49-F238E27FC236}">
              <a16:creationId xmlns:a16="http://schemas.microsoft.com/office/drawing/2014/main" id="{00000000-0008-0000-0700-00009B350000}"/>
            </a:ext>
          </a:extLst>
        </xdr:cNvPr>
        <xdr:cNvSpPr>
          <a:spLocks/>
        </xdr:cNvSpPr>
      </xdr:nvSpPr>
      <xdr:spPr bwMode="auto">
        <a:xfrm>
          <a:off x="8448675" y="2733675"/>
          <a:ext cx="9525" cy="0"/>
        </a:xfrm>
        <a:custGeom>
          <a:avLst/>
          <a:gdLst>
            <a:gd name="T0" fmla="*/ 0 w 58"/>
            <a:gd name="T1" fmla="*/ 0 h 42"/>
            <a:gd name="T2" fmla="*/ 0 w 58"/>
            <a:gd name="T3" fmla="*/ 0 h 42"/>
            <a:gd name="T4" fmla="*/ 0 w 58"/>
            <a:gd name="T5" fmla="*/ 0 h 42"/>
            <a:gd name="T6" fmla="*/ 0 w 58"/>
            <a:gd name="T7" fmla="*/ 0 h 42"/>
            <a:gd name="T8" fmla="*/ 0 w 58"/>
            <a:gd name="T9" fmla="*/ 0 h 42"/>
            <a:gd name="T10" fmla="*/ 0 w 58"/>
            <a:gd name="T11" fmla="*/ 0 h 42"/>
            <a:gd name="T12" fmla="*/ 0 w 58"/>
            <a:gd name="T13" fmla="*/ 0 h 42"/>
            <a:gd name="T14" fmla="*/ 0 w 58"/>
            <a:gd name="T15" fmla="*/ 0 h 42"/>
            <a:gd name="T16" fmla="*/ 0 w 58"/>
            <a:gd name="T17" fmla="*/ 0 h 42"/>
            <a:gd name="T18" fmla="*/ 0 w 58"/>
            <a:gd name="T19" fmla="*/ 0 h 42"/>
            <a:gd name="T20" fmla="*/ 0 w 58"/>
            <a:gd name="T21" fmla="*/ 0 h 42"/>
            <a:gd name="T22" fmla="*/ 0 w 58"/>
            <a:gd name="T23" fmla="*/ 0 h 4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8"/>
            <a:gd name="T37" fmla="*/ 0 h 42"/>
            <a:gd name="T38" fmla="*/ 58 w 58"/>
            <a:gd name="T39" fmla="*/ 0 h 4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8" h="42">
              <a:moveTo>
                <a:pt x="0" y="19"/>
              </a:moveTo>
              <a:lnTo>
                <a:pt x="4" y="11"/>
              </a:lnTo>
              <a:lnTo>
                <a:pt x="10" y="5"/>
              </a:lnTo>
              <a:lnTo>
                <a:pt x="18" y="1"/>
              </a:lnTo>
              <a:lnTo>
                <a:pt x="27" y="0"/>
              </a:lnTo>
              <a:lnTo>
                <a:pt x="35" y="0"/>
              </a:lnTo>
              <a:lnTo>
                <a:pt x="44" y="4"/>
              </a:lnTo>
              <a:lnTo>
                <a:pt x="51" y="9"/>
              </a:lnTo>
              <a:lnTo>
                <a:pt x="55" y="17"/>
              </a:lnTo>
              <a:lnTo>
                <a:pt x="58" y="25"/>
              </a:lnTo>
              <a:lnTo>
                <a:pt x="58" y="33"/>
              </a:lnTo>
              <a:lnTo>
                <a:pt x="56" y="4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85725</xdr:colOff>
      <xdr:row>12</xdr:row>
      <xdr:rowOff>247650</xdr:rowOff>
    </xdr:from>
    <xdr:to>
      <xdr:col>13</xdr:col>
      <xdr:colOff>276225</xdr:colOff>
      <xdr:row>15</xdr:row>
      <xdr:rowOff>200025</xdr:rowOff>
    </xdr:to>
    <xdr:sp macro="" textlink="">
      <xdr:nvSpPr>
        <xdr:cNvPr id="13724" name="Freeform 1307">
          <a:extLst>
            <a:ext uri="{FF2B5EF4-FFF2-40B4-BE49-F238E27FC236}">
              <a16:creationId xmlns:a16="http://schemas.microsoft.com/office/drawing/2014/main" id="{00000000-0008-0000-0700-00009C350000}"/>
            </a:ext>
          </a:extLst>
        </xdr:cNvPr>
        <xdr:cNvSpPr>
          <a:spLocks/>
        </xdr:cNvSpPr>
      </xdr:nvSpPr>
      <xdr:spPr bwMode="auto">
        <a:xfrm>
          <a:off x="8258175" y="2733675"/>
          <a:ext cx="190500" cy="657225"/>
        </a:xfrm>
        <a:custGeom>
          <a:avLst/>
          <a:gdLst>
            <a:gd name="T0" fmla="*/ 2147483647 w 1153"/>
            <a:gd name="T1" fmla="*/ 0 h 2673"/>
            <a:gd name="T2" fmla="*/ 2147483647 w 1153"/>
            <a:gd name="T3" fmla="*/ 0 h 2673"/>
            <a:gd name="T4" fmla="*/ 2147483647 w 1153"/>
            <a:gd name="T5" fmla="*/ 0 h 2673"/>
            <a:gd name="T6" fmla="*/ 0 w 1153"/>
            <a:gd name="T7" fmla="*/ 2147483647 h 2673"/>
            <a:gd name="T8" fmla="*/ 0 w 1153"/>
            <a:gd name="T9" fmla="*/ 2147483647 h 2673"/>
            <a:gd name="T10" fmla="*/ 0 w 1153"/>
            <a:gd name="T11" fmla="*/ 2147483647 h 2673"/>
            <a:gd name="T12" fmla="*/ 2147483647 w 1153"/>
            <a:gd name="T13" fmla="*/ 0 h 267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153"/>
            <a:gd name="T22" fmla="*/ 0 h 2673"/>
            <a:gd name="T23" fmla="*/ 1153 w 1153"/>
            <a:gd name="T24" fmla="*/ 2673 h 267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153" h="2673">
              <a:moveTo>
                <a:pt x="1153" y="23"/>
              </a:moveTo>
              <a:lnTo>
                <a:pt x="1125" y="11"/>
              </a:lnTo>
              <a:lnTo>
                <a:pt x="1097" y="0"/>
              </a:lnTo>
              <a:lnTo>
                <a:pt x="0" y="2650"/>
              </a:lnTo>
              <a:lnTo>
                <a:pt x="29" y="2661"/>
              </a:lnTo>
              <a:lnTo>
                <a:pt x="57" y="2673"/>
              </a:lnTo>
              <a:lnTo>
                <a:pt x="1153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85725</xdr:colOff>
      <xdr:row>12</xdr:row>
      <xdr:rowOff>247650</xdr:rowOff>
    </xdr:from>
    <xdr:to>
      <xdr:col>13</xdr:col>
      <xdr:colOff>276225</xdr:colOff>
      <xdr:row>15</xdr:row>
      <xdr:rowOff>200025</xdr:rowOff>
    </xdr:to>
    <xdr:sp macro="" textlink="">
      <xdr:nvSpPr>
        <xdr:cNvPr id="13725" name="Freeform 1308">
          <a:extLst>
            <a:ext uri="{FF2B5EF4-FFF2-40B4-BE49-F238E27FC236}">
              <a16:creationId xmlns:a16="http://schemas.microsoft.com/office/drawing/2014/main" id="{00000000-0008-0000-0700-00009D350000}"/>
            </a:ext>
          </a:extLst>
        </xdr:cNvPr>
        <xdr:cNvSpPr>
          <a:spLocks/>
        </xdr:cNvSpPr>
      </xdr:nvSpPr>
      <xdr:spPr bwMode="auto">
        <a:xfrm>
          <a:off x="8258175" y="2733675"/>
          <a:ext cx="190500" cy="657225"/>
        </a:xfrm>
        <a:custGeom>
          <a:avLst/>
          <a:gdLst>
            <a:gd name="T0" fmla="*/ 2147483647 w 1153"/>
            <a:gd name="T1" fmla="*/ 0 h 2673"/>
            <a:gd name="T2" fmla="*/ 2147483647 w 1153"/>
            <a:gd name="T3" fmla="*/ 0 h 2673"/>
            <a:gd name="T4" fmla="*/ 2147483647 w 1153"/>
            <a:gd name="T5" fmla="*/ 0 h 2673"/>
            <a:gd name="T6" fmla="*/ 0 w 1153"/>
            <a:gd name="T7" fmla="*/ 2147483647 h 2673"/>
            <a:gd name="T8" fmla="*/ 0 w 1153"/>
            <a:gd name="T9" fmla="*/ 2147483647 h 2673"/>
            <a:gd name="T10" fmla="*/ 0 w 1153"/>
            <a:gd name="T11" fmla="*/ 2147483647 h 2673"/>
            <a:gd name="T12" fmla="*/ 2147483647 w 1153"/>
            <a:gd name="T13" fmla="*/ 0 h 267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153"/>
            <a:gd name="T22" fmla="*/ 0 h 2673"/>
            <a:gd name="T23" fmla="*/ 1153 w 1153"/>
            <a:gd name="T24" fmla="*/ 2673 h 267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153" h="2673">
              <a:moveTo>
                <a:pt x="1153" y="23"/>
              </a:moveTo>
              <a:lnTo>
                <a:pt x="1125" y="11"/>
              </a:lnTo>
              <a:lnTo>
                <a:pt x="1097" y="0"/>
              </a:lnTo>
              <a:lnTo>
                <a:pt x="0" y="2650"/>
              </a:lnTo>
              <a:lnTo>
                <a:pt x="29" y="2661"/>
              </a:lnTo>
              <a:lnTo>
                <a:pt x="57" y="2673"/>
              </a:lnTo>
              <a:lnTo>
                <a:pt x="1153" y="23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85725</xdr:colOff>
      <xdr:row>15</xdr:row>
      <xdr:rowOff>200025</xdr:rowOff>
    </xdr:from>
    <xdr:to>
      <xdr:col>13</xdr:col>
      <xdr:colOff>95250</xdr:colOff>
      <xdr:row>15</xdr:row>
      <xdr:rowOff>209550</xdr:rowOff>
    </xdr:to>
    <xdr:sp macro="" textlink="">
      <xdr:nvSpPr>
        <xdr:cNvPr id="13726" name="Freeform 1309">
          <a:extLst>
            <a:ext uri="{FF2B5EF4-FFF2-40B4-BE49-F238E27FC236}">
              <a16:creationId xmlns:a16="http://schemas.microsoft.com/office/drawing/2014/main" id="{00000000-0008-0000-0700-00009E350000}"/>
            </a:ext>
          </a:extLst>
        </xdr:cNvPr>
        <xdr:cNvSpPr>
          <a:spLocks/>
        </xdr:cNvSpPr>
      </xdr:nvSpPr>
      <xdr:spPr bwMode="auto">
        <a:xfrm>
          <a:off x="8258175" y="3390900"/>
          <a:ext cx="9525" cy="9525"/>
        </a:xfrm>
        <a:custGeom>
          <a:avLst/>
          <a:gdLst>
            <a:gd name="T0" fmla="*/ 0 w 59"/>
            <a:gd name="T1" fmla="*/ 0 h 42"/>
            <a:gd name="T2" fmla="*/ 0 w 59"/>
            <a:gd name="T3" fmla="*/ 0 h 42"/>
            <a:gd name="T4" fmla="*/ 0 w 59"/>
            <a:gd name="T5" fmla="*/ 0 h 42"/>
            <a:gd name="T6" fmla="*/ 0 w 59"/>
            <a:gd name="T7" fmla="*/ 0 h 42"/>
            <a:gd name="T8" fmla="*/ 0 w 59"/>
            <a:gd name="T9" fmla="*/ 0 h 42"/>
            <a:gd name="T10" fmla="*/ 0 w 59"/>
            <a:gd name="T11" fmla="*/ 0 h 42"/>
            <a:gd name="T12" fmla="*/ 0 w 59"/>
            <a:gd name="T13" fmla="*/ 0 h 42"/>
            <a:gd name="T14" fmla="*/ 0 w 59"/>
            <a:gd name="T15" fmla="*/ 0 h 42"/>
            <a:gd name="T16" fmla="*/ 0 w 59"/>
            <a:gd name="T17" fmla="*/ 0 h 42"/>
            <a:gd name="T18" fmla="*/ 0 w 59"/>
            <a:gd name="T19" fmla="*/ 0 h 42"/>
            <a:gd name="T20" fmla="*/ 0 w 59"/>
            <a:gd name="T21" fmla="*/ 0 h 42"/>
            <a:gd name="T22" fmla="*/ 0 w 59"/>
            <a:gd name="T23" fmla="*/ 0 h 42"/>
            <a:gd name="T24" fmla="*/ 0 w 59"/>
            <a:gd name="T25" fmla="*/ 0 h 42"/>
            <a:gd name="T26" fmla="*/ 0 w 59"/>
            <a:gd name="T27" fmla="*/ 0 h 4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9"/>
            <a:gd name="T43" fmla="*/ 0 h 42"/>
            <a:gd name="T44" fmla="*/ 59 w 59"/>
            <a:gd name="T45" fmla="*/ 42 h 4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9" h="42">
              <a:moveTo>
                <a:pt x="31" y="11"/>
              </a:moveTo>
              <a:lnTo>
                <a:pt x="59" y="23"/>
              </a:lnTo>
              <a:lnTo>
                <a:pt x="55" y="30"/>
              </a:lnTo>
              <a:lnTo>
                <a:pt x="49" y="37"/>
              </a:lnTo>
              <a:lnTo>
                <a:pt x="40" y="41"/>
              </a:lnTo>
              <a:lnTo>
                <a:pt x="32" y="42"/>
              </a:lnTo>
              <a:lnTo>
                <a:pt x="23" y="42"/>
              </a:lnTo>
              <a:lnTo>
                <a:pt x="15" y="38"/>
              </a:lnTo>
              <a:lnTo>
                <a:pt x="8" y="32"/>
              </a:lnTo>
              <a:lnTo>
                <a:pt x="3" y="25"/>
              </a:lnTo>
              <a:lnTo>
                <a:pt x="0" y="17"/>
              </a:lnTo>
              <a:lnTo>
                <a:pt x="0" y="8"/>
              </a:lnTo>
              <a:lnTo>
                <a:pt x="2" y="0"/>
              </a:lnTo>
              <a:lnTo>
                <a:pt x="31" y="1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85725</xdr:colOff>
      <xdr:row>15</xdr:row>
      <xdr:rowOff>200025</xdr:rowOff>
    </xdr:from>
    <xdr:to>
      <xdr:col>13</xdr:col>
      <xdr:colOff>95250</xdr:colOff>
      <xdr:row>15</xdr:row>
      <xdr:rowOff>209550</xdr:rowOff>
    </xdr:to>
    <xdr:sp macro="" textlink="">
      <xdr:nvSpPr>
        <xdr:cNvPr id="13727" name="Freeform 1310">
          <a:extLst>
            <a:ext uri="{FF2B5EF4-FFF2-40B4-BE49-F238E27FC236}">
              <a16:creationId xmlns:a16="http://schemas.microsoft.com/office/drawing/2014/main" id="{00000000-0008-0000-0700-00009F350000}"/>
            </a:ext>
          </a:extLst>
        </xdr:cNvPr>
        <xdr:cNvSpPr>
          <a:spLocks/>
        </xdr:cNvSpPr>
      </xdr:nvSpPr>
      <xdr:spPr bwMode="auto">
        <a:xfrm>
          <a:off x="8258175" y="3390900"/>
          <a:ext cx="9525" cy="9525"/>
        </a:xfrm>
        <a:custGeom>
          <a:avLst/>
          <a:gdLst>
            <a:gd name="T0" fmla="*/ 0 w 59"/>
            <a:gd name="T1" fmla="*/ 0 h 42"/>
            <a:gd name="T2" fmla="*/ 0 w 59"/>
            <a:gd name="T3" fmla="*/ 0 h 42"/>
            <a:gd name="T4" fmla="*/ 0 w 59"/>
            <a:gd name="T5" fmla="*/ 0 h 42"/>
            <a:gd name="T6" fmla="*/ 0 w 59"/>
            <a:gd name="T7" fmla="*/ 0 h 42"/>
            <a:gd name="T8" fmla="*/ 0 w 59"/>
            <a:gd name="T9" fmla="*/ 0 h 42"/>
            <a:gd name="T10" fmla="*/ 0 w 59"/>
            <a:gd name="T11" fmla="*/ 0 h 42"/>
            <a:gd name="T12" fmla="*/ 0 w 59"/>
            <a:gd name="T13" fmla="*/ 0 h 42"/>
            <a:gd name="T14" fmla="*/ 0 w 59"/>
            <a:gd name="T15" fmla="*/ 0 h 42"/>
            <a:gd name="T16" fmla="*/ 0 w 59"/>
            <a:gd name="T17" fmla="*/ 0 h 42"/>
            <a:gd name="T18" fmla="*/ 0 w 59"/>
            <a:gd name="T19" fmla="*/ 0 h 42"/>
            <a:gd name="T20" fmla="*/ 0 w 59"/>
            <a:gd name="T21" fmla="*/ 0 h 42"/>
            <a:gd name="T22" fmla="*/ 0 w 59"/>
            <a:gd name="T23" fmla="*/ 0 h 4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9"/>
            <a:gd name="T37" fmla="*/ 0 h 42"/>
            <a:gd name="T38" fmla="*/ 59 w 59"/>
            <a:gd name="T39" fmla="*/ 42 h 4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9" h="42">
              <a:moveTo>
                <a:pt x="59" y="23"/>
              </a:moveTo>
              <a:lnTo>
                <a:pt x="55" y="30"/>
              </a:lnTo>
              <a:lnTo>
                <a:pt x="49" y="37"/>
              </a:lnTo>
              <a:lnTo>
                <a:pt x="40" y="41"/>
              </a:lnTo>
              <a:lnTo>
                <a:pt x="32" y="42"/>
              </a:lnTo>
              <a:lnTo>
                <a:pt x="23" y="42"/>
              </a:lnTo>
              <a:lnTo>
                <a:pt x="15" y="38"/>
              </a:lnTo>
              <a:lnTo>
                <a:pt x="8" y="32"/>
              </a:lnTo>
              <a:lnTo>
                <a:pt x="3" y="25"/>
              </a:lnTo>
              <a:lnTo>
                <a:pt x="0" y="17"/>
              </a:lnTo>
              <a:lnTo>
                <a:pt x="0" y="8"/>
              </a:lnTo>
              <a:lnTo>
                <a:pt x="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295275</xdr:colOff>
      <xdr:row>10</xdr:row>
      <xdr:rowOff>85725</xdr:rowOff>
    </xdr:from>
    <xdr:to>
      <xdr:col>14</xdr:col>
      <xdr:colOff>304800</xdr:colOff>
      <xdr:row>10</xdr:row>
      <xdr:rowOff>95250</xdr:rowOff>
    </xdr:to>
    <xdr:sp macro="" textlink="">
      <xdr:nvSpPr>
        <xdr:cNvPr id="13728" name="Freeform 1311">
          <a:extLst>
            <a:ext uri="{FF2B5EF4-FFF2-40B4-BE49-F238E27FC236}">
              <a16:creationId xmlns:a16="http://schemas.microsoft.com/office/drawing/2014/main" id="{00000000-0008-0000-0700-0000A0350000}"/>
            </a:ext>
          </a:extLst>
        </xdr:cNvPr>
        <xdr:cNvSpPr>
          <a:spLocks/>
        </xdr:cNvSpPr>
      </xdr:nvSpPr>
      <xdr:spPr bwMode="auto">
        <a:xfrm>
          <a:off x="9001125" y="2124075"/>
          <a:ext cx="9525" cy="9525"/>
        </a:xfrm>
        <a:custGeom>
          <a:avLst/>
          <a:gdLst>
            <a:gd name="T0" fmla="*/ 0 w 55"/>
            <a:gd name="T1" fmla="*/ 0 h 48"/>
            <a:gd name="T2" fmla="*/ 0 w 55"/>
            <a:gd name="T3" fmla="*/ 0 h 48"/>
            <a:gd name="T4" fmla="*/ 0 w 55"/>
            <a:gd name="T5" fmla="*/ 0 h 48"/>
            <a:gd name="T6" fmla="*/ 0 w 55"/>
            <a:gd name="T7" fmla="*/ 0 h 48"/>
            <a:gd name="T8" fmla="*/ 0 w 55"/>
            <a:gd name="T9" fmla="*/ 0 h 48"/>
            <a:gd name="T10" fmla="*/ 0 w 55"/>
            <a:gd name="T11" fmla="*/ 0 h 48"/>
            <a:gd name="T12" fmla="*/ 0 w 55"/>
            <a:gd name="T13" fmla="*/ 0 h 48"/>
            <a:gd name="T14" fmla="*/ 0 w 55"/>
            <a:gd name="T15" fmla="*/ 0 h 48"/>
            <a:gd name="T16" fmla="*/ 0 w 55"/>
            <a:gd name="T17" fmla="*/ 0 h 48"/>
            <a:gd name="T18" fmla="*/ 0 w 55"/>
            <a:gd name="T19" fmla="*/ 0 h 48"/>
            <a:gd name="T20" fmla="*/ 0 w 55"/>
            <a:gd name="T21" fmla="*/ 0 h 48"/>
            <a:gd name="T22" fmla="*/ 0 w 55"/>
            <a:gd name="T23" fmla="*/ 0 h 48"/>
            <a:gd name="T24" fmla="*/ 0 w 55"/>
            <a:gd name="T25" fmla="*/ 0 h 48"/>
            <a:gd name="T26" fmla="*/ 0 w 55"/>
            <a:gd name="T27" fmla="*/ 0 h 48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5"/>
            <a:gd name="T43" fmla="*/ 0 h 48"/>
            <a:gd name="T44" fmla="*/ 55 w 55"/>
            <a:gd name="T45" fmla="*/ 48 h 48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5" h="48">
              <a:moveTo>
                <a:pt x="25" y="31"/>
              </a:moveTo>
              <a:lnTo>
                <a:pt x="0" y="13"/>
              </a:lnTo>
              <a:lnTo>
                <a:pt x="6" y="6"/>
              </a:lnTo>
              <a:lnTo>
                <a:pt x="13" y="2"/>
              </a:lnTo>
              <a:lnTo>
                <a:pt x="22" y="0"/>
              </a:lnTo>
              <a:lnTo>
                <a:pt x="31" y="0"/>
              </a:lnTo>
              <a:lnTo>
                <a:pt x="39" y="3"/>
              </a:lnTo>
              <a:lnTo>
                <a:pt x="47" y="9"/>
              </a:lnTo>
              <a:lnTo>
                <a:pt x="52" y="15"/>
              </a:lnTo>
              <a:lnTo>
                <a:pt x="55" y="23"/>
              </a:lnTo>
              <a:lnTo>
                <a:pt x="55" y="33"/>
              </a:lnTo>
              <a:lnTo>
                <a:pt x="54" y="41"/>
              </a:lnTo>
              <a:lnTo>
                <a:pt x="50" y="48"/>
              </a:lnTo>
              <a:lnTo>
                <a:pt x="25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295275</xdr:colOff>
      <xdr:row>10</xdr:row>
      <xdr:rowOff>85725</xdr:rowOff>
    </xdr:from>
    <xdr:to>
      <xdr:col>14</xdr:col>
      <xdr:colOff>304800</xdr:colOff>
      <xdr:row>10</xdr:row>
      <xdr:rowOff>95250</xdr:rowOff>
    </xdr:to>
    <xdr:sp macro="" textlink="">
      <xdr:nvSpPr>
        <xdr:cNvPr id="13729" name="Freeform 1312">
          <a:extLst>
            <a:ext uri="{FF2B5EF4-FFF2-40B4-BE49-F238E27FC236}">
              <a16:creationId xmlns:a16="http://schemas.microsoft.com/office/drawing/2014/main" id="{00000000-0008-0000-0700-0000A1350000}"/>
            </a:ext>
          </a:extLst>
        </xdr:cNvPr>
        <xdr:cNvSpPr>
          <a:spLocks/>
        </xdr:cNvSpPr>
      </xdr:nvSpPr>
      <xdr:spPr bwMode="auto">
        <a:xfrm>
          <a:off x="9001125" y="2124075"/>
          <a:ext cx="9525" cy="9525"/>
        </a:xfrm>
        <a:custGeom>
          <a:avLst/>
          <a:gdLst>
            <a:gd name="T0" fmla="*/ 0 w 55"/>
            <a:gd name="T1" fmla="*/ 0 h 48"/>
            <a:gd name="T2" fmla="*/ 0 w 55"/>
            <a:gd name="T3" fmla="*/ 0 h 48"/>
            <a:gd name="T4" fmla="*/ 0 w 55"/>
            <a:gd name="T5" fmla="*/ 0 h 48"/>
            <a:gd name="T6" fmla="*/ 0 w 55"/>
            <a:gd name="T7" fmla="*/ 0 h 48"/>
            <a:gd name="T8" fmla="*/ 0 w 55"/>
            <a:gd name="T9" fmla="*/ 0 h 48"/>
            <a:gd name="T10" fmla="*/ 0 w 55"/>
            <a:gd name="T11" fmla="*/ 0 h 48"/>
            <a:gd name="T12" fmla="*/ 0 w 55"/>
            <a:gd name="T13" fmla="*/ 0 h 48"/>
            <a:gd name="T14" fmla="*/ 0 w 55"/>
            <a:gd name="T15" fmla="*/ 0 h 48"/>
            <a:gd name="T16" fmla="*/ 0 w 55"/>
            <a:gd name="T17" fmla="*/ 0 h 48"/>
            <a:gd name="T18" fmla="*/ 0 w 55"/>
            <a:gd name="T19" fmla="*/ 0 h 48"/>
            <a:gd name="T20" fmla="*/ 0 w 55"/>
            <a:gd name="T21" fmla="*/ 0 h 48"/>
            <a:gd name="T22" fmla="*/ 0 w 55"/>
            <a:gd name="T23" fmla="*/ 0 h 48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5"/>
            <a:gd name="T37" fmla="*/ 0 h 48"/>
            <a:gd name="T38" fmla="*/ 55 w 55"/>
            <a:gd name="T39" fmla="*/ 48 h 48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5" h="48">
              <a:moveTo>
                <a:pt x="0" y="13"/>
              </a:moveTo>
              <a:lnTo>
                <a:pt x="6" y="6"/>
              </a:lnTo>
              <a:lnTo>
                <a:pt x="13" y="2"/>
              </a:lnTo>
              <a:lnTo>
                <a:pt x="22" y="0"/>
              </a:lnTo>
              <a:lnTo>
                <a:pt x="31" y="0"/>
              </a:lnTo>
              <a:lnTo>
                <a:pt x="39" y="3"/>
              </a:lnTo>
              <a:lnTo>
                <a:pt x="47" y="9"/>
              </a:lnTo>
              <a:lnTo>
                <a:pt x="52" y="15"/>
              </a:lnTo>
              <a:lnTo>
                <a:pt x="55" y="23"/>
              </a:lnTo>
              <a:lnTo>
                <a:pt x="55" y="33"/>
              </a:lnTo>
              <a:lnTo>
                <a:pt x="54" y="41"/>
              </a:lnTo>
              <a:lnTo>
                <a:pt x="50" y="48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190500</xdr:colOff>
      <xdr:row>10</xdr:row>
      <xdr:rowOff>85725</xdr:rowOff>
    </xdr:from>
    <xdr:to>
      <xdr:col>14</xdr:col>
      <xdr:colOff>304800</xdr:colOff>
      <xdr:row>15</xdr:row>
      <xdr:rowOff>76200</xdr:rowOff>
    </xdr:to>
    <xdr:sp macro="" textlink="">
      <xdr:nvSpPr>
        <xdr:cNvPr id="13730" name="Freeform 1313">
          <a:extLst>
            <a:ext uri="{FF2B5EF4-FFF2-40B4-BE49-F238E27FC236}">
              <a16:creationId xmlns:a16="http://schemas.microsoft.com/office/drawing/2014/main" id="{00000000-0008-0000-0700-0000A2350000}"/>
            </a:ext>
          </a:extLst>
        </xdr:cNvPr>
        <xdr:cNvSpPr>
          <a:spLocks/>
        </xdr:cNvSpPr>
      </xdr:nvSpPr>
      <xdr:spPr bwMode="auto">
        <a:xfrm>
          <a:off x="8362950" y="2124075"/>
          <a:ext cx="647700" cy="1143000"/>
        </a:xfrm>
        <a:custGeom>
          <a:avLst/>
          <a:gdLst>
            <a:gd name="T0" fmla="*/ 2147483647 w 3378"/>
            <a:gd name="T1" fmla="*/ 0 h 4627"/>
            <a:gd name="T2" fmla="*/ 2147483647 w 3378"/>
            <a:gd name="T3" fmla="*/ 0 h 4627"/>
            <a:gd name="T4" fmla="*/ 2147483647 w 3378"/>
            <a:gd name="T5" fmla="*/ 0 h 4627"/>
            <a:gd name="T6" fmla="*/ 0 w 3378"/>
            <a:gd name="T7" fmla="*/ 2147483647 h 4627"/>
            <a:gd name="T8" fmla="*/ 0 w 3378"/>
            <a:gd name="T9" fmla="*/ 2147483647 h 4627"/>
            <a:gd name="T10" fmla="*/ 0 w 3378"/>
            <a:gd name="T11" fmla="*/ 2147483647 h 4627"/>
            <a:gd name="T12" fmla="*/ 2147483647 w 3378"/>
            <a:gd name="T13" fmla="*/ 0 h 46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378"/>
            <a:gd name="T22" fmla="*/ 0 h 4627"/>
            <a:gd name="T23" fmla="*/ 3378 w 3378"/>
            <a:gd name="T24" fmla="*/ 4627 h 46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378" h="4627">
              <a:moveTo>
                <a:pt x="3378" y="35"/>
              </a:moveTo>
              <a:lnTo>
                <a:pt x="3353" y="18"/>
              </a:lnTo>
              <a:lnTo>
                <a:pt x="3328" y="0"/>
              </a:lnTo>
              <a:lnTo>
                <a:pt x="0" y="4591"/>
              </a:lnTo>
              <a:lnTo>
                <a:pt x="25" y="4609"/>
              </a:lnTo>
              <a:lnTo>
                <a:pt x="50" y="4627"/>
              </a:lnTo>
              <a:lnTo>
                <a:pt x="3378" y="35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190500</xdr:colOff>
      <xdr:row>10</xdr:row>
      <xdr:rowOff>85725</xdr:rowOff>
    </xdr:from>
    <xdr:to>
      <xdr:col>14</xdr:col>
      <xdr:colOff>304800</xdr:colOff>
      <xdr:row>15</xdr:row>
      <xdr:rowOff>76200</xdr:rowOff>
    </xdr:to>
    <xdr:sp macro="" textlink="">
      <xdr:nvSpPr>
        <xdr:cNvPr id="13731" name="Freeform 1314">
          <a:extLst>
            <a:ext uri="{FF2B5EF4-FFF2-40B4-BE49-F238E27FC236}">
              <a16:creationId xmlns:a16="http://schemas.microsoft.com/office/drawing/2014/main" id="{00000000-0008-0000-0700-0000A3350000}"/>
            </a:ext>
          </a:extLst>
        </xdr:cNvPr>
        <xdr:cNvSpPr>
          <a:spLocks/>
        </xdr:cNvSpPr>
      </xdr:nvSpPr>
      <xdr:spPr bwMode="auto">
        <a:xfrm>
          <a:off x="8362950" y="2124075"/>
          <a:ext cx="647700" cy="1143000"/>
        </a:xfrm>
        <a:custGeom>
          <a:avLst/>
          <a:gdLst>
            <a:gd name="T0" fmla="*/ 2147483647 w 3378"/>
            <a:gd name="T1" fmla="*/ 0 h 4627"/>
            <a:gd name="T2" fmla="*/ 2147483647 w 3378"/>
            <a:gd name="T3" fmla="*/ 0 h 4627"/>
            <a:gd name="T4" fmla="*/ 2147483647 w 3378"/>
            <a:gd name="T5" fmla="*/ 0 h 4627"/>
            <a:gd name="T6" fmla="*/ 0 w 3378"/>
            <a:gd name="T7" fmla="*/ 2147483647 h 4627"/>
            <a:gd name="T8" fmla="*/ 0 w 3378"/>
            <a:gd name="T9" fmla="*/ 2147483647 h 4627"/>
            <a:gd name="T10" fmla="*/ 0 w 3378"/>
            <a:gd name="T11" fmla="*/ 2147483647 h 4627"/>
            <a:gd name="T12" fmla="*/ 2147483647 w 3378"/>
            <a:gd name="T13" fmla="*/ 0 h 46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378"/>
            <a:gd name="T22" fmla="*/ 0 h 4627"/>
            <a:gd name="T23" fmla="*/ 3378 w 3378"/>
            <a:gd name="T24" fmla="*/ 4627 h 46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378" h="4627">
              <a:moveTo>
                <a:pt x="3378" y="35"/>
              </a:moveTo>
              <a:lnTo>
                <a:pt x="3353" y="18"/>
              </a:lnTo>
              <a:lnTo>
                <a:pt x="3328" y="0"/>
              </a:lnTo>
              <a:lnTo>
                <a:pt x="0" y="4591"/>
              </a:lnTo>
              <a:lnTo>
                <a:pt x="25" y="4609"/>
              </a:lnTo>
              <a:lnTo>
                <a:pt x="50" y="4627"/>
              </a:lnTo>
              <a:lnTo>
                <a:pt x="3378" y="35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190500</xdr:colOff>
      <xdr:row>15</xdr:row>
      <xdr:rowOff>66675</xdr:rowOff>
    </xdr:from>
    <xdr:to>
      <xdr:col>13</xdr:col>
      <xdr:colOff>200025</xdr:colOff>
      <xdr:row>15</xdr:row>
      <xdr:rowOff>76200</xdr:rowOff>
    </xdr:to>
    <xdr:sp macro="" textlink="">
      <xdr:nvSpPr>
        <xdr:cNvPr id="13732" name="Freeform 1315">
          <a:extLst>
            <a:ext uri="{FF2B5EF4-FFF2-40B4-BE49-F238E27FC236}">
              <a16:creationId xmlns:a16="http://schemas.microsoft.com/office/drawing/2014/main" id="{00000000-0008-0000-0700-0000A4350000}"/>
            </a:ext>
          </a:extLst>
        </xdr:cNvPr>
        <xdr:cNvSpPr>
          <a:spLocks/>
        </xdr:cNvSpPr>
      </xdr:nvSpPr>
      <xdr:spPr bwMode="auto">
        <a:xfrm>
          <a:off x="8362950" y="3257550"/>
          <a:ext cx="9525" cy="9525"/>
        </a:xfrm>
        <a:custGeom>
          <a:avLst/>
          <a:gdLst>
            <a:gd name="T0" fmla="*/ 0 w 55"/>
            <a:gd name="T1" fmla="*/ 0 h 49"/>
            <a:gd name="T2" fmla="*/ 0 w 55"/>
            <a:gd name="T3" fmla="*/ 0 h 49"/>
            <a:gd name="T4" fmla="*/ 0 w 55"/>
            <a:gd name="T5" fmla="*/ 0 h 49"/>
            <a:gd name="T6" fmla="*/ 0 w 55"/>
            <a:gd name="T7" fmla="*/ 0 h 49"/>
            <a:gd name="T8" fmla="*/ 0 w 55"/>
            <a:gd name="T9" fmla="*/ 0 h 49"/>
            <a:gd name="T10" fmla="*/ 0 w 55"/>
            <a:gd name="T11" fmla="*/ 0 h 49"/>
            <a:gd name="T12" fmla="*/ 0 w 55"/>
            <a:gd name="T13" fmla="*/ 0 h 49"/>
            <a:gd name="T14" fmla="*/ 0 w 55"/>
            <a:gd name="T15" fmla="*/ 0 h 49"/>
            <a:gd name="T16" fmla="*/ 0 w 55"/>
            <a:gd name="T17" fmla="*/ 0 h 49"/>
            <a:gd name="T18" fmla="*/ 0 w 55"/>
            <a:gd name="T19" fmla="*/ 0 h 49"/>
            <a:gd name="T20" fmla="*/ 0 w 55"/>
            <a:gd name="T21" fmla="*/ 0 h 49"/>
            <a:gd name="T22" fmla="*/ 0 w 55"/>
            <a:gd name="T23" fmla="*/ 0 h 49"/>
            <a:gd name="T24" fmla="*/ 0 w 55"/>
            <a:gd name="T25" fmla="*/ 0 h 49"/>
            <a:gd name="T26" fmla="*/ 0 w 55"/>
            <a:gd name="T27" fmla="*/ 0 h 49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5"/>
            <a:gd name="T43" fmla="*/ 0 h 49"/>
            <a:gd name="T44" fmla="*/ 55 w 55"/>
            <a:gd name="T45" fmla="*/ 49 h 49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5" h="49">
              <a:moveTo>
                <a:pt x="30" y="18"/>
              </a:moveTo>
              <a:lnTo>
                <a:pt x="55" y="36"/>
              </a:lnTo>
              <a:lnTo>
                <a:pt x="49" y="42"/>
              </a:lnTo>
              <a:lnTo>
                <a:pt x="42" y="47"/>
              </a:lnTo>
              <a:lnTo>
                <a:pt x="33" y="49"/>
              </a:lnTo>
              <a:lnTo>
                <a:pt x="24" y="49"/>
              </a:lnTo>
              <a:lnTo>
                <a:pt x="16" y="46"/>
              </a:lnTo>
              <a:lnTo>
                <a:pt x="8" y="40"/>
              </a:lnTo>
              <a:lnTo>
                <a:pt x="3" y="34"/>
              </a:lnTo>
              <a:lnTo>
                <a:pt x="0" y="26"/>
              </a:lnTo>
              <a:lnTo>
                <a:pt x="0" y="16"/>
              </a:lnTo>
              <a:lnTo>
                <a:pt x="1" y="8"/>
              </a:lnTo>
              <a:lnTo>
                <a:pt x="5" y="0"/>
              </a:lnTo>
              <a:lnTo>
                <a:pt x="30" y="18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190500</xdr:colOff>
      <xdr:row>15</xdr:row>
      <xdr:rowOff>66675</xdr:rowOff>
    </xdr:from>
    <xdr:to>
      <xdr:col>13</xdr:col>
      <xdr:colOff>200025</xdr:colOff>
      <xdr:row>15</xdr:row>
      <xdr:rowOff>76200</xdr:rowOff>
    </xdr:to>
    <xdr:sp macro="" textlink="">
      <xdr:nvSpPr>
        <xdr:cNvPr id="13733" name="Freeform 1316">
          <a:extLst>
            <a:ext uri="{FF2B5EF4-FFF2-40B4-BE49-F238E27FC236}">
              <a16:creationId xmlns:a16="http://schemas.microsoft.com/office/drawing/2014/main" id="{00000000-0008-0000-0700-0000A5350000}"/>
            </a:ext>
          </a:extLst>
        </xdr:cNvPr>
        <xdr:cNvSpPr>
          <a:spLocks/>
        </xdr:cNvSpPr>
      </xdr:nvSpPr>
      <xdr:spPr bwMode="auto">
        <a:xfrm>
          <a:off x="8362950" y="3257550"/>
          <a:ext cx="9525" cy="9525"/>
        </a:xfrm>
        <a:custGeom>
          <a:avLst/>
          <a:gdLst>
            <a:gd name="T0" fmla="*/ 0 w 55"/>
            <a:gd name="T1" fmla="*/ 0 h 49"/>
            <a:gd name="T2" fmla="*/ 0 w 55"/>
            <a:gd name="T3" fmla="*/ 0 h 49"/>
            <a:gd name="T4" fmla="*/ 0 w 55"/>
            <a:gd name="T5" fmla="*/ 0 h 49"/>
            <a:gd name="T6" fmla="*/ 0 w 55"/>
            <a:gd name="T7" fmla="*/ 0 h 49"/>
            <a:gd name="T8" fmla="*/ 0 w 55"/>
            <a:gd name="T9" fmla="*/ 0 h 49"/>
            <a:gd name="T10" fmla="*/ 0 w 55"/>
            <a:gd name="T11" fmla="*/ 0 h 49"/>
            <a:gd name="T12" fmla="*/ 0 w 55"/>
            <a:gd name="T13" fmla="*/ 0 h 49"/>
            <a:gd name="T14" fmla="*/ 0 w 55"/>
            <a:gd name="T15" fmla="*/ 0 h 49"/>
            <a:gd name="T16" fmla="*/ 0 w 55"/>
            <a:gd name="T17" fmla="*/ 0 h 49"/>
            <a:gd name="T18" fmla="*/ 0 w 55"/>
            <a:gd name="T19" fmla="*/ 0 h 49"/>
            <a:gd name="T20" fmla="*/ 0 w 55"/>
            <a:gd name="T21" fmla="*/ 0 h 49"/>
            <a:gd name="T22" fmla="*/ 0 w 55"/>
            <a:gd name="T23" fmla="*/ 0 h 49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5"/>
            <a:gd name="T37" fmla="*/ 0 h 49"/>
            <a:gd name="T38" fmla="*/ 55 w 55"/>
            <a:gd name="T39" fmla="*/ 49 h 49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5" h="49">
              <a:moveTo>
                <a:pt x="55" y="36"/>
              </a:moveTo>
              <a:lnTo>
                <a:pt x="49" y="42"/>
              </a:lnTo>
              <a:lnTo>
                <a:pt x="42" y="47"/>
              </a:lnTo>
              <a:lnTo>
                <a:pt x="33" y="49"/>
              </a:lnTo>
              <a:lnTo>
                <a:pt x="24" y="49"/>
              </a:lnTo>
              <a:lnTo>
                <a:pt x="16" y="46"/>
              </a:lnTo>
              <a:lnTo>
                <a:pt x="8" y="40"/>
              </a:lnTo>
              <a:lnTo>
                <a:pt x="3" y="34"/>
              </a:lnTo>
              <a:lnTo>
                <a:pt x="0" y="26"/>
              </a:lnTo>
              <a:lnTo>
                <a:pt x="0" y="16"/>
              </a:lnTo>
              <a:lnTo>
                <a:pt x="1" y="8"/>
              </a:lnTo>
              <a:lnTo>
                <a:pt x="5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180975</xdr:colOff>
      <xdr:row>15</xdr:row>
      <xdr:rowOff>76200</xdr:rowOff>
    </xdr:from>
    <xdr:to>
      <xdr:col>13</xdr:col>
      <xdr:colOff>190500</xdr:colOff>
      <xdr:row>15</xdr:row>
      <xdr:rowOff>85725</xdr:rowOff>
    </xdr:to>
    <xdr:sp macro="" textlink="">
      <xdr:nvSpPr>
        <xdr:cNvPr id="13734" name="Freeform 1317">
          <a:extLst>
            <a:ext uri="{FF2B5EF4-FFF2-40B4-BE49-F238E27FC236}">
              <a16:creationId xmlns:a16="http://schemas.microsoft.com/office/drawing/2014/main" id="{00000000-0008-0000-0700-0000A6350000}"/>
            </a:ext>
          </a:extLst>
        </xdr:cNvPr>
        <xdr:cNvSpPr>
          <a:spLocks/>
        </xdr:cNvSpPr>
      </xdr:nvSpPr>
      <xdr:spPr bwMode="auto">
        <a:xfrm>
          <a:off x="8353425" y="3267075"/>
          <a:ext cx="9525" cy="9525"/>
        </a:xfrm>
        <a:custGeom>
          <a:avLst/>
          <a:gdLst>
            <a:gd name="T0" fmla="*/ 0 w 61"/>
            <a:gd name="T1" fmla="*/ 0 h 32"/>
            <a:gd name="T2" fmla="*/ 0 w 61"/>
            <a:gd name="T3" fmla="*/ 0 h 32"/>
            <a:gd name="T4" fmla="*/ 0 w 61"/>
            <a:gd name="T5" fmla="*/ 0 h 32"/>
            <a:gd name="T6" fmla="*/ 0 w 61"/>
            <a:gd name="T7" fmla="*/ 0 h 32"/>
            <a:gd name="T8" fmla="*/ 0 w 61"/>
            <a:gd name="T9" fmla="*/ 0 h 32"/>
            <a:gd name="T10" fmla="*/ 0 w 61"/>
            <a:gd name="T11" fmla="*/ 0 h 32"/>
            <a:gd name="T12" fmla="*/ 0 w 61"/>
            <a:gd name="T13" fmla="*/ 0 h 32"/>
            <a:gd name="T14" fmla="*/ 0 w 61"/>
            <a:gd name="T15" fmla="*/ 0 h 32"/>
            <a:gd name="T16" fmla="*/ 0 w 61"/>
            <a:gd name="T17" fmla="*/ 0 h 32"/>
            <a:gd name="T18" fmla="*/ 0 w 61"/>
            <a:gd name="T19" fmla="*/ 0 h 32"/>
            <a:gd name="T20" fmla="*/ 0 w 61"/>
            <a:gd name="T21" fmla="*/ 0 h 32"/>
            <a:gd name="T22" fmla="*/ 0 w 61"/>
            <a:gd name="T23" fmla="*/ 0 h 32"/>
            <a:gd name="T24" fmla="*/ 0 w 61"/>
            <a:gd name="T25" fmla="*/ 0 h 32"/>
            <a:gd name="T26" fmla="*/ 0 w 61"/>
            <a:gd name="T27" fmla="*/ 0 h 3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1"/>
            <a:gd name="T43" fmla="*/ 0 h 32"/>
            <a:gd name="T44" fmla="*/ 61 w 61"/>
            <a:gd name="T45" fmla="*/ 32 h 3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1" h="32">
              <a:moveTo>
                <a:pt x="30" y="1"/>
              </a:moveTo>
              <a:lnTo>
                <a:pt x="61" y="0"/>
              </a:lnTo>
              <a:lnTo>
                <a:pt x="61" y="9"/>
              </a:lnTo>
              <a:lnTo>
                <a:pt x="57" y="17"/>
              </a:lnTo>
              <a:lnTo>
                <a:pt x="51" y="24"/>
              </a:lnTo>
              <a:lnTo>
                <a:pt x="44" y="28"/>
              </a:lnTo>
              <a:lnTo>
                <a:pt x="36" y="32"/>
              </a:lnTo>
              <a:lnTo>
                <a:pt x="27" y="32"/>
              </a:lnTo>
              <a:lnTo>
                <a:pt x="19" y="29"/>
              </a:lnTo>
              <a:lnTo>
                <a:pt x="10" y="25"/>
              </a:lnTo>
              <a:lnTo>
                <a:pt x="5" y="19"/>
              </a:lnTo>
              <a:lnTo>
                <a:pt x="1" y="11"/>
              </a:lnTo>
              <a:lnTo>
                <a:pt x="0" y="2"/>
              </a:lnTo>
              <a:lnTo>
                <a:pt x="30" y="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180975</xdr:colOff>
      <xdr:row>15</xdr:row>
      <xdr:rowOff>76200</xdr:rowOff>
    </xdr:from>
    <xdr:to>
      <xdr:col>13</xdr:col>
      <xdr:colOff>190500</xdr:colOff>
      <xdr:row>15</xdr:row>
      <xdr:rowOff>85725</xdr:rowOff>
    </xdr:to>
    <xdr:sp macro="" textlink="">
      <xdr:nvSpPr>
        <xdr:cNvPr id="13735" name="Freeform 1318">
          <a:extLst>
            <a:ext uri="{FF2B5EF4-FFF2-40B4-BE49-F238E27FC236}">
              <a16:creationId xmlns:a16="http://schemas.microsoft.com/office/drawing/2014/main" id="{00000000-0008-0000-0700-0000A7350000}"/>
            </a:ext>
          </a:extLst>
        </xdr:cNvPr>
        <xdr:cNvSpPr>
          <a:spLocks/>
        </xdr:cNvSpPr>
      </xdr:nvSpPr>
      <xdr:spPr bwMode="auto">
        <a:xfrm>
          <a:off x="8353425" y="3267075"/>
          <a:ext cx="9525" cy="9525"/>
        </a:xfrm>
        <a:custGeom>
          <a:avLst/>
          <a:gdLst>
            <a:gd name="T0" fmla="*/ 0 w 61"/>
            <a:gd name="T1" fmla="*/ 0 h 32"/>
            <a:gd name="T2" fmla="*/ 0 w 61"/>
            <a:gd name="T3" fmla="*/ 0 h 32"/>
            <a:gd name="T4" fmla="*/ 0 w 61"/>
            <a:gd name="T5" fmla="*/ 0 h 32"/>
            <a:gd name="T6" fmla="*/ 0 w 61"/>
            <a:gd name="T7" fmla="*/ 0 h 32"/>
            <a:gd name="T8" fmla="*/ 0 w 61"/>
            <a:gd name="T9" fmla="*/ 0 h 32"/>
            <a:gd name="T10" fmla="*/ 0 w 61"/>
            <a:gd name="T11" fmla="*/ 0 h 32"/>
            <a:gd name="T12" fmla="*/ 0 w 61"/>
            <a:gd name="T13" fmla="*/ 0 h 32"/>
            <a:gd name="T14" fmla="*/ 0 w 61"/>
            <a:gd name="T15" fmla="*/ 0 h 32"/>
            <a:gd name="T16" fmla="*/ 0 w 61"/>
            <a:gd name="T17" fmla="*/ 0 h 32"/>
            <a:gd name="T18" fmla="*/ 0 w 61"/>
            <a:gd name="T19" fmla="*/ 0 h 32"/>
            <a:gd name="T20" fmla="*/ 0 w 61"/>
            <a:gd name="T21" fmla="*/ 0 h 32"/>
            <a:gd name="T22" fmla="*/ 0 w 61"/>
            <a:gd name="T23" fmla="*/ 0 h 3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1"/>
            <a:gd name="T37" fmla="*/ 0 h 32"/>
            <a:gd name="T38" fmla="*/ 61 w 61"/>
            <a:gd name="T39" fmla="*/ 32 h 3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1" h="32">
              <a:moveTo>
                <a:pt x="61" y="0"/>
              </a:moveTo>
              <a:lnTo>
                <a:pt x="61" y="9"/>
              </a:lnTo>
              <a:lnTo>
                <a:pt x="57" y="17"/>
              </a:lnTo>
              <a:lnTo>
                <a:pt x="51" y="24"/>
              </a:lnTo>
              <a:lnTo>
                <a:pt x="44" y="28"/>
              </a:lnTo>
              <a:lnTo>
                <a:pt x="36" y="32"/>
              </a:lnTo>
              <a:lnTo>
                <a:pt x="27" y="32"/>
              </a:lnTo>
              <a:lnTo>
                <a:pt x="19" y="29"/>
              </a:lnTo>
              <a:lnTo>
                <a:pt x="10" y="25"/>
              </a:lnTo>
              <a:lnTo>
                <a:pt x="5" y="19"/>
              </a:lnTo>
              <a:lnTo>
                <a:pt x="1" y="11"/>
              </a:lnTo>
              <a:lnTo>
                <a:pt x="0" y="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180975</xdr:colOff>
      <xdr:row>15</xdr:row>
      <xdr:rowOff>38100</xdr:rowOff>
    </xdr:from>
    <xdr:to>
      <xdr:col>13</xdr:col>
      <xdr:colOff>190500</xdr:colOff>
      <xdr:row>15</xdr:row>
      <xdr:rowOff>76200</xdr:rowOff>
    </xdr:to>
    <xdr:sp macro="" textlink="">
      <xdr:nvSpPr>
        <xdr:cNvPr id="13736" name="Freeform 1319">
          <a:extLst>
            <a:ext uri="{FF2B5EF4-FFF2-40B4-BE49-F238E27FC236}">
              <a16:creationId xmlns:a16="http://schemas.microsoft.com/office/drawing/2014/main" id="{00000000-0008-0000-0700-0000A8350000}"/>
            </a:ext>
          </a:extLst>
        </xdr:cNvPr>
        <xdr:cNvSpPr>
          <a:spLocks/>
        </xdr:cNvSpPr>
      </xdr:nvSpPr>
      <xdr:spPr bwMode="auto">
        <a:xfrm>
          <a:off x="8353425" y="3228975"/>
          <a:ext cx="9525" cy="38100"/>
        </a:xfrm>
        <a:custGeom>
          <a:avLst/>
          <a:gdLst>
            <a:gd name="T0" fmla="*/ 0 w 65"/>
            <a:gd name="T1" fmla="*/ 0 h 151"/>
            <a:gd name="T2" fmla="*/ 0 w 65"/>
            <a:gd name="T3" fmla="*/ 0 h 151"/>
            <a:gd name="T4" fmla="*/ 0 w 65"/>
            <a:gd name="T5" fmla="*/ 0 h 151"/>
            <a:gd name="T6" fmla="*/ 0 w 65"/>
            <a:gd name="T7" fmla="*/ 0 h 151"/>
            <a:gd name="T8" fmla="*/ 0 w 65"/>
            <a:gd name="T9" fmla="*/ 0 h 151"/>
            <a:gd name="T10" fmla="*/ 0 w 65"/>
            <a:gd name="T11" fmla="*/ 0 h 151"/>
            <a:gd name="T12" fmla="*/ 0 w 65"/>
            <a:gd name="T13" fmla="*/ 0 h 15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5"/>
            <a:gd name="T22" fmla="*/ 0 h 151"/>
            <a:gd name="T23" fmla="*/ 65 w 65"/>
            <a:gd name="T24" fmla="*/ 151 h 15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5" h="151">
              <a:moveTo>
                <a:pt x="4" y="151"/>
              </a:moveTo>
              <a:lnTo>
                <a:pt x="34" y="150"/>
              </a:lnTo>
              <a:lnTo>
                <a:pt x="65" y="149"/>
              </a:lnTo>
              <a:lnTo>
                <a:pt x="61" y="0"/>
              </a:lnTo>
              <a:lnTo>
                <a:pt x="30" y="1"/>
              </a:lnTo>
              <a:lnTo>
                <a:pt x="0" y="2"/>
              </a:lnTo>
              <a:lnTo>
                <a:pt x="4" y="1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180975</xdr:colOff>
      <xdr:row>15</xdr:row>
      <xdr:rowOff>38100</xdr:rowOff>
    </xdr:from>
    <xdr:to>
      <xdr:col>13</xdr:col>
      <xdr:colOff>190500</xdr:colOff>
      <xdr:row>15</xdr:row>
      <xdr:rowOff>76200</xdr:rowOff>
    </xdr:to>
    <xdr:sp macro="" textlink="">
      <xdr:nvSpPr>
        <xdr:cNvPr id="13737" name="Freeform 1320">
          <a:extLst>
            <a:ext uri="{FF2B5EF4-FFF2-40B4-BE49-F238E27FC236}">
              <a16:creationId xmlns:a16="http://schemas.microsoft.com/office/drawing/2014/main" id="{00000000-0008-0000-0700-0000A9350000}"/>
            </a:ext>
          </a:extLst>
        </xdr:cNvPr>
        <xdr:cNvSpPr>
          <a:spLocks/>
        </xdr:cNvSpPr>
      </xdr:nvSpPr>
      <xdr:spPr bwMode="auto">
        <a:xfrm>
          <a:off x="8353425" y="3228975"/>
          <a:ext cx="9525" cy="38100"/>
        </a:xfrm>
        <a:custGeom>
          <a:avLst/>
          <a:gdLst>
            <a:gd name="T0" fmla="*/ 0 w 65"/>
            <a:gd name="T1" fmla="*/ 0 h 151"/>
            <a:gd name="T2" fmla="*/ 0 w 65"/>
            <a:gd name="T3" fmla="*/ 0 h 151"/>
            <a:gd name="T4" fmla="*/ 0 w 65"/>
            <a:gd name="T5" fmla="*/ 0 h 151"/>
            <a:gd name="T6" fmla="*/ 0 w 65"/>
            <a:gd name="T7" fmla="*/ 0 h 151"/>
            <a:gd name="T8" fmla="*/ 0 w 65"/>
            <a:gd name="T9" fmla="*/ 0 h 151"/>
            <a:gd name="T10" fmla="*/ 0 w 65"/>
            <a:gd name="T11" fmla="*/ 0 h 151"/>
            <a:gd name="T12" fmla="*/ 0 w 65"/>
            <a:gd name="T13" fmla="*/ 0 h 15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5"/>
            <a:gd name="T22" fmla="*/ 0 h 151"/>
            <a:gd name="T23" fmla="*/ 65 w 65"/>
            <a:gd name="T24" fmla="*/ 151 h 15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5" h="151">
              <a:moveTo>
                <a:pt x="4" y="151"/>
              </a:moveTo>
              <a:lnTo>
                <a:pt x="34" y="150"/>
              </a:lnTo>
              <a:lnTo>
                <a:pt x="65" y="149"/>
              </a:lnTo>
              <a:lnTo>
                <a:pt x="61" y="0"/>
              </a:lnTo>
              <a:lnTo>
                <a:pt x="30" y="1"/>
              </a:lnTo>
              <a:lnTo>
                <a:pt x="0" y="2"/>
              </a:lnTo>
              <a:lnTo>
                <a:pt x="4" y="15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190500</xdr:colOff>
      <xdr:row>15</xdr:row>
      <xdr:rowOff>28575</xdr:rowOff>
    </xdr:from>
    <xdr:to>
      <xdr:col>13</xdr:col>
      <xdr:colOff>200025</xdr:colOff>
      <xdr:row>15</xdr:row>
      <xdr:rowOff>38100</xdr:rowOff>
    </xdr:to>
    <xdr:sp macro="" textlink="">
      <xdr:nvSpPr>
        <xdr:cNvPr id="13738" name="Freeform 1321">
          <a:extLst>
            <a:ext uri="{FF2B5EF4-FFF2-40B4-BE49-F238E27FC236}">
              <a16:creationId xmlns:a16="http://schemas.microsoft.com/office/drawing/2014/main" id="{00000000-0008-0000-0700-0000AA350000}"/>
            </a:ext>
          </a:extLst>
        </xdr:cNvPr>
        <xdr:cNvSpPr>
          <a:spLocks/>
        </xdr:cNvSpPr>
      </xdr:nvSpPr>
      <xdr:spPr bwMode="auto">
        <a:xfrm>
          <a:off x="8362950" y="3219450"/>
          <a:ext cx="9525" cy="9525"/>
        </a:xfrm>
        <a:custGeom>
          <a:avLst/>
          <a:gdLst>
            <a:gd name="T0" fmla="*/ 0 w 31"/>
            <a:gd name="T1" fmla="*/ 0 h 14"/>
            <a:gd name="T2" fmla="*/ 0 w 31"/>
            <a:gd name="T3" fmla="*/ 0 h 14"/>
            <a:gd name="T4" fmla="*/ 0 w 31"/>
            <a:gd name="T5" fmla="*/ 0 h 14"/>
            <a:gd name="T6" fmla="*/ 0 w 31"/>
            <a:gd name="T7" fmla="*/ 0 h 14"/>
            <a:gd name="T8" fmla="*/ 0 w 31"/>
            <a:gd name="T9" fmla="*/ 0 h 1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31"/>
            <a:gd name="T16" fmla="*/ 0 h 14"/>
            <a:gd name="T17" fmla="*/ 31 w 31"/>
            <a:gd name="T18" fmla="*/ 14 h 1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31" h="14">
              <a:moveTo>
                <a:pt x="0" y="14"/>
              </a:moveTo>
              <a:lnTo>
                <a:pt x="31" y="13"/>
              </a:lnTo>
              <a:lnTo>
                <a:pt x="31" y="9"/>
              </a:lnTo>
              <a:lnTo>
                <a:pt x="29" y="0"/>
              </a:lnTo>
              <a:lnTo>
                <a:pt x="0" y="1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200025</xdr:colOff>
      <xdr:row>15</xdr:row>
      <xdr:rowOff>28575</xdr:rowOff>
    </xdr:from>
    <xdr:to>
      <xdr:col>13</xdr:col>
      <xdr:colOff>200025</xdr:colOff>
      <xdr:row>15</xdr:row>
      <xdr:rowOff>38100</xdr:rowOff>
    </xdr:to>
    <xdr:sp macro="" textlink="">
      <xdr:nvSpPr>
        <xdr:cNvPr id="13739" name="Freeform 1322">
          <a:extLst>
            <a:ext uri="{FF2B5EF4-FFF2-40B4-BE49-F238E27FC236}">
              <a16:creationId xmlns:a16="http://schemas.microsoft.com/office/drawing/2014/main" id="{00000000-0008-0000-0700-0000AB350000}"/>
            </a:ext>
          </a:extLst>
        </xdr:cNvPr>
        <xdr:cNvSpPr>
          <a:spLocks/>
        </xdr:cNvSpPr>
      </xdr:nvSpPr>
      <xdr:spPr bwMode="auto">
        <a:xfrm>
          <a:off x="8372475" y="3219450"/>
          <a:ext cx="0" cy="9525"/>
        </a:xfrm>
        <a:custGeom>
          <a:avLst/>
          <a:gdLst>
            <a:gd name="T0" fmla="*/ 0 w 2"/>
            <a:gd name="T1" fmla="*/ 0 h 13"/>
            <a:gd name="T2" fmla="*/ 0 w 2"/>
            <a:gd name="T3" fmla="*/ 0 h 13"/>
            <a:gd name="T4" fmla="*/ 0 w 2"/>
            <a:gd name="T5" fmla="*/ 0 h 13"/>
            <a:gd name="T6" fmla="*/ 0 60000 65536"/>
            <a:gd name="T7" fmla="*/ 0 60000 65536"/>
            <a:gd name="T8" fmla="*/ 0 60000 65536"/>
            <a:gd name="T9" fmla="*/ 0 w 2"/>
            <a:gd name="T10" fmla="*/ 0 h 13"/>
            <a:gd name="T11" fmla="*/ 0 w 2"/>
            <a:gd name="T12" fmla="*/ 13 h 1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" h="13">
              <a:moveTo>
                <a:pt x="2" y="13"/>
              </a:moveTo>
              <a:lnTo>
                <a:pt x="2" y="9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161925</xdr:colOff>
      <xdr:row>14</xdr:row>
      <xdr:rowOff>228600</xdr:rowOff>
    </xdr:from>
    <xdr:to>
      <xdr:col>13</xdr:col>
      <xdr:colOff>200025</xdr:colOff>
      <xdr:row>15</xdr:row>
      <xdr:rowOff>38100</xdr:rowOff>
    </xdr:to>
    <xdr:sp macro="" textlink="">
      <xdr:nvSpPr>
        <xdr:cNvPr id="13740" name="Freeform 1323">
          <a:extLst>
            <a:ext uri="{FF2B5EF4-FFF2-40B4-BE49-F238E27FC236}">
              <a16:creationId xmlns:a16="http://schemas.microsoft.com/office/drawing/2014/main" id="{00000000-0008-0000-0700-0000AC350000}"/>
            </a:ext>
          </a:extLst>
        </xdr:cNvPr>
        <xdr:cNvSpPr>
          <a:spLocks/>
        </xdr:cNvSpPr>
      </xdr:nvSpPr>
      <xdr:spPr bwMode="auto">
        <a:xfrm>
          <a:off x="8334375" y="3190875"/>
          <a:ext cx="38100" cy="38100"/>
        </a:xfrm>
        <a:custGeom>
          <a:avLst/>
          <a:gdLst>
            <a:gd name="T0" fmla="*/ 0 w 129"/>
            <a:gd name="T1" fmla="*/ 0 h 175"/>
            <a:gd name="T2" fmla="*/ 0 w 129"/>
            <a:gd name="T3" fmla="*/ 0 h 175"/>
            <a:gd name="T4" fmla="*/ 0 w 129"/>
            <a:gd name="T5" fmla="*/ 0 h 175"/>
            <a:gd name="T6" fmla="*/ 0 w 129"/>
            <a:gd name="T7" fmla="*/ 0 h 175"/>
            <a:gd name="T8" fmla="*/ 0 w 129"/>
            <a:gd name="T9" fmla="*/ 0 h 175"/>
            <a:gd name="T10" fmla="*/ 0 w 129"/>
            <a:gd name="T11" fmla="*/ 0 h 175"/>
            <a:gd name="T12" fmla="*/ 0 w 129"/>
            <a:gd name="T13" fmla="*/ 0 h 17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29"/>
            <a:gd name="T22" fmla="*/ 0 h 175"/>
            <a:gd name="T23" fmla="*/ 129 w 129"/>
            <a:gd name="T24" fmla="*/ 175 h 17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29" h="175">
              <a:moveTo>
                <a:pt x="72" y="175"/>
              </a:moveTo>
              <a:lnTo>
                <a:pt x="100" y="161"/>
              </a:lnTo>
              <a:lnTo>
                <a:pt x="129" y="147"/>
              </a:lnTo>
              <a:lnTo>
                <a:pt x="57" y="0"/>
              </a:lnTo>
              <a:lnTo>
                <a:pt x="29" y="14"/>
              </a:lnTo>
              <a:lnTo>
                <a:pt x="0" y="28"/>
              </a:lnTo>
              <a:lnTo>
                <a:pt x="72" y="175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161925</xdr:colOff>
      <xdr:row>14</xdr:row>
      <xdr:rowOff>228600</xdr:rowOff>
    </xdr:from>
    <xdr:to>
      <xdr:col>13</xdr:col>
      <xdr:colOff>200025</xdr:colOff>
      <xdr:row>15</xdr:row>
      <xdr:rowOff>38100</xdr:rowOff>
    </xdr:to>
    <xdr:sp macro="" textlink="">
      <xdr:nvSpPr>
        <xdr:cNvPr id="13741" name="Freeform 1324">
          <a:extLst>
            <a:ext uri="{FF2B5EF4-FFF2-40B4-BE49-F238E27FC236}">
              <a16:creationId xmlns:a16="http://schemas.microsoft.com/office/drawing/2014/main" id="{00000000-0008-0000-0700-0000AD350000}"/>
            </a:ext>
          </a:extLst>
        </xdr:cNvPr>
        <xdr:cNvSpPr>
          <a:spLocks/>
        </xdr:cNvSpPr>
      </xdr:nvSpPr>
      <xdr:spPr bwMode="auto">
        <a:xfrm>
          <a:off x="8334375" y="3190875"/>
          <a:ext cx="38100" cy="38100"/>
        </a:xfrm>
        <a:custGeom>
          <a:avLst/>
          <a:gdLst>
            <a:gd name="T0" fmla="*/ 0 w 129"/>
            <a:gd name="T1" fmla="*/ 0 h 175"/>
            <a:gd name="T2" fmla="*/ 0 w 129"/>
            <a:gd name="T3" fmla="*/ 0 h 175"/>
            <a:gd name="T4" fmla="*/ 0 w 129"/>
            <a:gd name="T5" fmla="*/ 0 h 175"/>
            <a:gd name="T6" fmla="*/ 0 w 129"/>
            <a:gd name="T7" fmla="*/ 0 h 175"/>
            <a:gd name="T8" fmla="*/ 0 w 129"/>
            <a:gd name="T9" fmla="*/ 0 h 175"/>
            <a:gd name="T10" fmla="*/ 0 w 129"/>
            <a:gd name="T11" fmla="*/ 0 h 175"/>
            <a:gd name="T12" fmla="*/ 0 w 129"/>
            <a:gd name="T13" fmla="*/ 0 h 17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29"/>
            <a:gd name="T22" fmla="*/ 0 h 175"/>
            <a:gd name="T23" fmla="*/ 129 w 129"/>
            <a:gd name="T24" fmla="*/ 175 h 17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29" h="175">
              <a:moveTo>
                <a:pt x="72" y="175"/>
              </a:moveTo>
              <a:lnTo>
                <a:pt x="100" y="161"/>
              </a:lnTo>
              <a:lnTo>
                <a:pt x="129" y="147"/>
              </a:lnTo>
              <a:lnTo>
                <a:pt x="57" y="0"/>
              </a:lnTo>
              <a:lnTo>
                <a:pt x="29" y="14"/>
              </a:lnTo>
              <a:lnTo>
                <a:pt x="0" y="28"/>
              </a:lnTo>
              <a:lnTo>
                <a:pt x="72" y="175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180975</xdr:colOff>
      <xdr:row>14</xdr:row>
      <xdr:rowOff>228600</xdr:rowOff>
    </xdr:from>
    <xdr:to>
      <xdr:col>13</xdr:col>
      <xdr:colOff>190500</xdr:colOff>
      <xdr:row>14</xdr:row>
      <xdr:rowOff>228600</xdr:rowOff>
    </xdr:to>
    <xdr:sp macro="" textlink="">
      <xdr:nvSpPr>
        <xdr:cNvPr id="13742" name="Freeform 1325">
          <a:extLst>
            <a:ext uri="{FF2B5EF4-FFF2-40B4-BE49-F238E27FC236}">
              <a16:creationId xmlns:a16="http://schemas.microsoft.com/office/drawing/2014/main" id="{00000000-0008-0000-0700-0000AE350000}"/>
            </a:ext>
          </a:extLst>
        </xdr:cNvPr>
        <xdr:cNvSpPr>
          <a:spLocks/>
        </xdr:cNvSpPr>
      </xdr:nvSpPr>
      <xdr:spPr bwMode="auto">
        <a:xfrm>
          <a:off x="8353425" y="3190875"/>
          <a:ext cx="9525" cy="0"/>
        </a:xfrm>
        <a:custGeom>
          <a:avLst/>
          <a:gdLst>
            <a:gd name="T0" fmla="*/ 0 w 28"/>
            <a:gd name="T1" fmla="*/ 0 h 22"/>
            <a:gd name="T2" fmla="*/ 0 w 28"/>
            <a:gd name="T3" fmla="*/ 0 h 22"/>
            <a:gd name="T4" fmla="*/ 0 w 28"/>
            <a:gd name="T5" fmla="*/ 0 h 22"/>
            <a:gd name="T6" fmla="*/ 0 w 28"/>
            <a:gd name="T7" fmla="*/ 0 h 22"/>
            <a:gd name="T8" fmla="*/ 0 w 28"/>
            <a:gd name="T9" fmla="*/ 0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8"/>
            <a:gd name="T16" fmla="*/ 0 h 22"/>
            <a:gd name="T17" fmla="*/ 28 w 28"/>
            <a:gd name="T18" fmla="*/ 0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8" h="22">
              <a:moveTo>
                <a:pt x="0" y="22"/>
              </a:moveTo>
              <a:lnTo>
                <a:pt x="28" y="8"/>
              </a:lnTo>
              <a:lnTo>
                <a:pt x="25" y="4"/>
              </a:lnTo>
              <a:lnTo>
                <a:pt x="22" y="0"/>
              </a:lnTo>
              <a:lnTo>
                <a:pt x="0" y="2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180975</xdr:colOff>
      <xdr:row>14</xdr:row>
      <xdr:rowOff>228600</xdr:rowOff>
    </xdr:from>
    <xdr:to>
      <xdr:col>13</xdr:col>
      <xdr:colOff>180975</xdr:colOff>
      <xdr:row>14</xdr:row>
      <xdr:rowOff>228600</xdr:rowOff>
    </xdr:to>
    <xdr:sp macro="" textlink="">
      <xdr:nvSpPr>
        <xdr:cNvPr id="13743" name="Freeform 1326">
          <a:extLst>
            <a:ext uri="{FF2B5EF4-FFF2-40B4-BE49-F238E27FC236}">
              <a16:creationId xmlns:a16="http://schemas.microsoft.com/office/drawing/2014/main" id="{00000000-0008-0000-0700-0000AF350000}"/>
            </a:ext>
          </a:extLst>
        </xdr:cNvPr>
        <xdr:cNvSpPr>
          <a:spLocks/>
        </xdr:cNvSpPr>
      </xdr:nvSpPr>
      <xdr:spPr bwMode="auto">
        <a:xfrm>
          <a:off x="8353425" y="3190875"/>
          <a:ext cx="0" cy="0"/>
        </a:xfrm>
        <a:custGeom>
          <a:avLst/>
          <a:gdLst>
            <a:gd name="T0" fmla="*/ 0 w 6"/>
            <a:gd name="T1" fmla="*/ 0 h 8"/>
            <a:gd name="T2" fmla="*/ 0 w 6"/>
            <a:gd name="T3" fmla="*/ 0 h 8"/>
            <a:gd name="T4" fmla="*/ 0 w 6"/>
            <a:gd name="T5" fmla="*/ 0 h 8"/>
            <a:gd name="T6" fmla="*/ 0 60000 65536"/>
            <a:gd name="T7" fmla="*/ 0 60000 65536"/>
            <a:gd name="T8" fmla="*/ 0 60000 65536"/>
            <a:gd name="T9" fmla="*/ 0 w 6"/>
            <a:gd name="T10" fmla="*/ 0 h 8"/>
            <a:gd name="T11" fmla="*/ 6 w 6"/>
            <a:gd name="T12" fmla="*/ 8 h 8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6" h="8">
              <a:moveTo>
                <a:pt x="6" y="8"/>
              </a:moveTo>
              <a:lnTo>
                <a:pt x="3" y="4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152400</xdr:colOff>
      <xdr:row>14</xdr:row>
      <xdr:rowOff>190500</xdr:rowOff>
    </xdr:from>
    <xdr:to>
      <xdr:col>13</xdr:col>
      <xdr:colOff>180975</xdr:colOff>
      <xdr:row>15</xdr:row>
      <xdr:rowOff>9525</xdr:rowOff>
    </xdr:to>
    <xdr:sp macro="" textlink="">
      <xdr:nvSpPr>
        <xdr:cNvPr id="13744" name="Freeform 1327">
          <a:extLst>
            <a:ext uri="{FF2B5EF4-FFF2-40B4-BE49-F238E27FC236}">
              <a16:creationId xmlns:a16="http://schemas.microsoft.com/office/drawing/2014/main" id="{00000000-0008-0000-0700-0000B0350000}"/>
            </a:ext>
          </a:extLst>
        </xdr:cNvPr>
        <xdr:cNvSpPr>
          <a:spLocks/>
        </xdr:cNvSpPr>
      </xdr:nvSpPr>
      <xdr:spPr bwMode="auto">
        <a:xfrm>
          <a:off x="8324850" y="3152775"/>
          <a:ext cx="28575" cy="47625"/>
        </a:xfrm>
        <a:custGeom>
          <a:avLst/>
          <a:gdLst>
            <a:gd name="T0" fmla="*/ 0 w 181"/>
            <a:gd name="T1" fmla="*/ 0 h 182"/>
            <a:gd name="T2" fmla="*/ 0 w 181"/>
            <a:gd name="T3" fmla="*/ 0 h 182"/>
            <a:gd name="T4" fmla="*/ 0 w 181"/>
            <a:gd name="T5" fmla="*/ 0 h 182"/>
            <a:gd name="T6" fmla="*/ 0 w 181"/>
            <a:gd name="T7" fmla="*/ 0 h 182"/>
            <a:gd name="T8" fmla="*/ 0 w 181"/>
            <a:gd name="T9" fmla="*/ 0 h 182"/>
            <a:gd name="T10" fmla="*/ 0 w 181"/>
            <a:gd name="T11" fmla="*/ 0 h 182"/>
            <a:gd name="T12" fmla="*/ 0 w 181"/>
            <a:gd name="T13" fmla="*/ 0 h 18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81"/>
            <a:gd name="T22" fmla="*/ 0 h 182"/>
            <a:gd name="T23" fmla="*/ 181 w 181"/>
            <a:gd name="T24" fmla="*/ 182 h 18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81" h="182">
              <a:moveTo>
                <a:pt x="137" y="182"/>
              </a:moveTo>
              <a:lnTo>
                <a:pt x="159" y="160"/>
              </a:lnTo>
              <a:lnTo>
                <a:pt x="181" y="138"/>
              </a:lnTo>
              <a:lnTo>
                <a:pt x="44" y="0"/>
              </a:lnTo>
              <a:lnTo>
                <a:pt x="22" y="22"/>
              </a:lnTo>
              <a:lnTo>
                <a:pt x="0" y="44"/>
              </a:lnTo>
              <a:lnTo>
                <a:pt x="137" y="18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152400</xdr:colOff>
      <xdr:row>14</xdr:row>
      <xdr:rowOff>190500</xdr:rowOff>
    </xdr:from>
    <xdr:to>
      <xdr:col>13</xdr:col>
      <xdr:colOff>180975</xdr:colOff>
      <xdr:row>15</xdr:row>
      <xdr:rowOff>9525</xdr:rowOff>
    </xdr:to>
    <xdr:sp macro="" textlink="">
      <xdr:nvSpPr>
        <xdr:cNvPr id="13745" name="Freeform 1328">
          <a:extLst>
            <a:ext uri="{FF2B5EF4-FFF2-40B4-BE49-F238E27FC236}">
              <a16:creationId xmlns:a16="http://schemas.microsoft.com/office/drawing/2014/main" id="{00000000-0008-0000-0700-0000B1350000}"/>
            </a:ext>
          </a:extLst>
        </xdr:cNvPr>
        <xdr:cNvSpPr>
          <a:spLocks/>
        </xdr:cNvSpPr>
      </xdr:nvSpPr>
      <xdr:spPr bwMode="auto">
        <a:xfrm>
          <a:off x="8324850" y="3152775"/>
          <a:ext cx="28575" cy="47625"/>
        </a:xfrm>
        <a:custGeom>
          <a:avLst/>
          <a:gdLst>
            <a:gd name="T0" fmla="*/ 0 w 181"/>
            <a:gd name="T1" fmla="*/ 0 h 182"/>
            <a:gd name="T2" fmla="*/ 0 w 181"/>
            <a:gd name="T3" fmla="*/ 0 h 182"/>
            <a:gd name="T4" fmla="*/ 0 w 181"/>
            <a:gd name="T5" fmla="*/ 0 h 182"/>
            <a:gd name="T6" fmla="*/ 0 w 181"/>
            <a:gd name="T7" fmla="*/ 0 h 182"/>
            <a:gd name="T8" fmla="*/ 0 w 181"/>
            <a:gd name="T9" fmla="*/ 0 h 182"/>
            <a:gd name="T10" fmla="*/ 0 w 181"/>
            <a:gd name="T11" fmla="*/ 0 h 182"/>
            <a:gd name="T12" fmla="*/ 0 w 181"/>
            <a:gd name="T13" fmla="*/ 0 h 18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81"/>
            <a:gd name="T22" fmla="*/ 0 h 182"/>
            <a:gd name="T23" fmla="*/ 181 w 181"/>
            <a:gd name="T24" fmla="*/ 182 h 18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81" h="182">
              <a:moveTo>
                <a:pt x="137" y="182"/>
              </a:moveTo>
              <a:lnTo>
                <a:pt x="159" y="160"/>
              </a:lnTo>
              <a:lnTo>
                <a:pt x="181" y="138"/>
              </a:lnTo>
              <a:lnTo>
                <a:pt x="44" y="0"/>
              </a:lnTo>
              <a:lnTo>
                <a:pt x="22" y="22"/>
              </a:lnTo>
              <a:lnTo>
                <a:pt x="0" y="44"/>
              </a:lnTo>
              <a:lnTo>
                <a:pt x="137" y="18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152400</xdr:colOff>
      <xdr:row>14</xdr:row>
      <xdr:rowOff>190500</xdr:rowOff>
    </xdr:from>
    <xdr:to>
      <xdr:col>13</xdr:col>
      <xdr:colOff>161925</xdr:colOff>
      <xdr:row>14</xdr:row>
      <xdr:rowOff>200025</xdr:rowOff>
    </xdr:to>
    <xdr:sp macro="" textlink="">
      <xdr:nvSpPr>
        <xdr:cNvPr id="13746" name="Freeform 1329">
          <a:extLst>
            <a:ext uri="{FF2B5EF4-FFF2-40B4-BE49-F238E27FC236}">
              <a16:creationId xmlns:a16="http://schemas.microsoft.com/office/drawing/2014/main" id="{00000000-0008-0000-0700-0000B2350000}"/>
            </a:ext>
          </a:extLst>
        </xdr:cNvPr>
        <xdr:cNvSpPr>
          <a:spLocks/>
        </xdr:cNvSpPr>
      </xdr:nvSpPr>
      <xdr:spPr bwMode="auto">
        <a:xfrm>
          <a:off x="8324850" y="3152775"/>
          <a:ext cx="9525" cy="9525"/>
        </a:xfrm>
        <a:custGeom>
          <a:avLst/>
          <a:gdLst>
            <a:gd name="T0" fmla="*/ 0 w 22"/>
            <a:gd name="T1" fmla="*/ 0 h 26"/>
            <a:gd name="T2" fmla="*/ 0 w 22"/>
            <a:gd name="T3" fmla="*/ 0 h 26"/>
            <a:gd name="T4" fmla="*/ 0 w 22"/>
            <a:gd name="T5" fmla="*/ 0 h 26"/>
            <a:gd name="T6" fmla="*/ 0 w 22"/>
            <a:gd name="T7" fmla="*/ 0 h 26"/>
            <a:gd name="T8" fmla="*/ 0 60000 65536"/>
            <a:gd name="T9" fmla="*/ 0 60000 65536"/>
            <a:gd name="T10" fmla="*/ 0 60000 65536"/>
            <a:gd name="T11" fmla="*/ 0 60000 65536"/>
            <a:gd name="T12" fmla="*/ 0 w 22"/>
            <a:gd name="T13" fmla="*/ 0 h 26"/>
            <a:gd name="T14" fmla="*/ 22 w 22"/>
            <a:gd name="T15" fmla="*/ 26 h 2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2" h="26">
              <a:moveTo>
                <a:pt x="0" y="26"/>
              </a:moveTo>
              <a:lnTo>
                <a:pt x="22" y="4"/>
              </a:lnTo>
              <a:lnTo>
                <a:pt x="17" y="0"/>
              </a:lnTo>
              <a:lnTo>
                <a:pt x="0" y="26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161925</xdr:colOff>
      <xdr:row>14</xdr:row>
      <xdr:rowOff>190500</xdr:rowOff>
    </xdr:from>
    <xdr:to>
      <xdr:col>13</xdr:col>
      <xdr:colOff>161925</xdr:colOff>
      <xdr:row>14</xdr:row>
      <xdr:rowOff>200025</xdr:rowOff>
    </xdr:to>
    <xdr:sp macro="" textlink="">
      <xdr:nvSpPr>
        <xdr:cNvPr id="13747" name="Line 1330">
          <a:extLst>
            <a:ext uri="{FF2B5EF4-FFF2-40B4-BE49-F238E27FC236}">
              <a16:creationId xmlns:a16="http://schemas.microsoft.com/office/drawing/2014/main" id="{00000000-0008-0000-0700-0000B3350000}"/>
            </a:ext>
          </a:extLst>
        </xdr:cNvPr>
        <xdr:cNvSpPr>
          <a:spLocks noChangeShapeType="1"/>
        </xdr:cNvSpPr>
      </xdr:nvSpPr>
      <xdr:spPr bwMode="auto">
        <a:xfrm flipH="1" flipV="1">
          <a:off x="8334375" y="3152775"/>
          <a:ext cx="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114300</xdr:colOff>
      <xdr:row>14</xdr:row>
      <xdr:rowOff>161925</xdr:rowOff>
    </xdr:from>
    <xdr:to>
      <xdr:col>13</xdr:col>
      <xdr:colOff>161925</xdr:colOff>
      <xdr:row>14</xdr:row>
      <xdr:rowOff>209550</xdr:rowOff>
    </xdr:to>
    <xdr:sp macro="" textlink="">
      <xdr:nvSpPr>
        <xdr:cNvPr id="13748" name="Freeform 1331">
          <a:extLst>
            <a:ext uri="{FF2B5EF4-FFF2-40B4-BE49-F238E27FC236}">
              <a16:creationId xmlns:a16="http://schemas.microsoft.com/office/drawing/2014/main" id="{00000000-0008-0000-0700-0000B4350000}"/>
            </a:ext>
          </a:extLst>
        </xdr:cNvPr>
        <xdr:cNvSpPr>
          <a:spLocks/>
        </xdr:cNvSpPr>
      </xdr:nvSpPr>
      <xdr:spPr bwMode="auto">
        <a:xfrm>
          <a:off x="8286750" y="3124200"/>
          <a:ext cx="47625" cy="47625"/>
        </a:xfrm>
        <a:custGeom>
          <a:avLst/>
          <a:gdLst>
            <a:gd name="T0" fmla="*/ 0 w 230"/>
            <a:gd name="T1" fmla="*/ 0 h 178"/>
            <a:gd name="T2" fmla="*/ 0 w 230"/>
            <a:gd name="T3" fmla="*/ 0 h 178"/>
            <a:gd name="T4" fmla="*/ 0 w 230"/>
            <a:gd name="T5" fmla="*/ 0 h 178"/>
            <a:gd name="T6" fmla="*/ 0 w 230"/>
            <a:gd name="T7" fmla="*/ 0 h 178"/>
            <a:gd name="T8" fmla="*/ 0 w 230"/>
            <a:gd name="T9" fmla="*/ 0 h 178"/>
            <a:gd name="T10" fmla="*/ 0 w 230"/>
            <a:gd name="T11" fmla="*/ 0 h 178"/>
            <a:gd name="T12" fmla="*/ 0 w 230"/>
            <a:gd name="T13" fmla="*/ 0 h 178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30"/>
            <a:gd name="T22" fmla="*/ 0 h 178"/>
            <a:gd name="T23" fmla="*/ 230 w 230"/>
            <a:gd name="T24" fmla="*/ 178 h 178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30" h="178">
              <a:moveTo>
                <a:pt x="196" y="178"/>
              </a:moveTo>
              <a:lnTo>
                <a:pt x="213" y="151"/>
              </a:lnTo>
              <a:lnTo>
                <a:pt x="230" y="125"/>
              </a:lnTo>
              <a:lnTo>
                <a:pt x="34" y="0"/>
              </a:lnTo>
              <a:lnTo>
                <a:pt x="17" y="26"/>
              </a:lnTo>
              <a:lnTo>
                <a:pt x="0" y="53"/>
              </a:lnTo>
              <a:lnTo>
                <a:pt x="196" y="178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114300</xdr:colOff>
      <xdr:row>14</xdr:row>
      <xdr:rowOff>161925</xdr:rowOff>
    </xdr:from>
    <xdr:to>
      <xdr:col>13</xdr:col>
      <xdr:colOff>161925</xdr:colOff>
      <xdr:row>14</xdr:row>
      <xdr:rowOff>209550</xdr:rowOff>
    </xdr:to>
    <xdr:sp macro="" textlink="">
      <xdr:nvSpPr>
        <xdr:cNvPr id="13749" name="Freeform 1332">
          <a:extLst>
            <a:ext uri="{FF2B5EF4-FFF2-40B4-BE49-F238E27FC236}">
              <a16:creationId xmlns:a16="http://schemas.microsoft.com/office/drawing/2014/main" id="{00000000-0008-0000-0700-0000B5350000}"/>
            </a:ext>
          </a:extLst>
        </xdr:cNvPr>
        <xdr:cNvSpPr>
          <a:spLocks/>
        </xdr:cNvSpPr>
      </xdr:nvSpPr>
      <xdr:spPr bwMode="auto">
        <a:xfrm>
          <a:off x="8286750" y="3124200"/>
          <a:ext cx="47625" cy="47625"/>
        </a:xfrm>
        <a:custGeom>
          <a:avLst/>
          <a:gdLst>
            <a:gd name="T0" fmla="*/ 0 w 230"/>
            <a:gd name="T1" fmla="*/ 0 h 178"/>
            <a:gd name="T2" fmla="*/ 0 w 230"/>
            <a:gd name="T3" fmla="*/ 0 h 178"/>
            <a:gd name="T4" fmla="*/ 0 w 230"/>
            <a:gd name="T5" fmla="*/ 0 h 178"/>
            <a:gd name="T6" fmla="*/ 0 w 230"/>
            <a:gd name="T7" fmla="*/ 0 h 178"/>
            <a:gd name="T8" fmla="*/ 0 w 230"/>
            <a:gd name="T9" fmla="*/ 0 h 178"/>
            <a:gd name="T10" fmla="*/ 0 w 230"/>
            <a:gd name="T11" fmla="*/ 0 h 178"/>
            <a:gd name="T12" fmla="*/ 0 w 230"/>
            <a:gd name="T13" fmla="*/ 0 h 178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30"/>
            <a:gd name="T22" fmla="*/ 0 h 178"/>
            <a:gd name="T23" fmla="*/ 230 w 230"/>
            <a:gd name="T24" fmla="*/ 178 h 178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30" h="178">
              <a:moveTo>
                <a:pt x="196" y="178"/>
              </a:moveTo>
              <a:lnTo>
                <a:pt x="213" y="151"/>
              </a:lnTo>
              <a:lnTo>
                <a:pt x="230" y="125"/>
              </a:lnTo>
              <a:lnTo>
                <a:pt x="34" y="0"/>
              </a:lnTo>
              <a:lnTo>
                <a:pt x="17" y="26"/>
              </a:lnTo>
              <a:lnTo>
                <a:pt x="0" y="53"/>
              </a:lnTo>
              <a:lnTo>
                <a:pt x="196" y="178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123825</xdr:colOff>
      <xdr:row>14</xdr:row>
      <xdr:rowOff>161925</xdr:rowOff>
    </xdr:from>
    <xdr:to>
      <xdr:col>13</xdr:col>
      <xdr:colOff>123825</xdr:colOff>
      <xdr:row>14</xdr:row>
      <xdr:rowOff>171450</xdr:rowOff>
    </xdr:to>
    <xdr:sp macro="" textlink="">
      <xdr:nvSpPr>
        <xdr:cNvPr id="13750" name="Freeform 1333">
          <a:extLst>
            <a:ext uri="{FF2B5EF4-FFF2-40B4-BE49-F238E27FC236}">
              <a16:creationId xmlns:a16="http://schemas.microsoft.com/office/drawing/2014/main" id="{00000000-0008-0000-0700-0000B6350000}"/>
            </a:ext>
          </a:extLst>
        </xdr:cNvPr>
        <xdr:cNvSpPr>
          <a:spLocks/>
        </xdr:cNvSpPr>
      </xdr:nvSpPr>
      <xdr:spPr bwMode="auto">
        <a:xfrm>
          <a:off x="8296275" y="3124200"/>
          <a:ext cx="0" cy="9525"/>
        </a:xfrm>
        <a:custGeom>
          <a:avLst/>
          <a:gdLst>
            <a:gd name="T0" fmla="*/ 0 w 17"/>
            <a:gd name="T1" fmla="*/ 0 h 28"/>
            <a:gd name="T2" fmla="*/ 0 w 17"/>
            <a:gd name="T3" fmla="*/ 0 h 28"/>
            <a:gd name="T4" fmla="*/ 0 w 17"/>
            <a:gd name="T5" fmla="*/ 0 h 28"/>
            <a:gd name="T6" fmla="*/ 0 w 17"/>
            <a:gd name="T7" fmla="*/ 0 h 28"/>
            <a:gd name="T8" fmla="*/ 0 60000 65536"/>
            <a:gd name="T9" fmla="*/ 0 60000 65536"/>
            <a:gd name="T10" fmla="*/ 0 60000 65536"/>
            <a:gd name="T11" fmla="*/ 0 60000 65536"/>
            <a:gd name="T12" fmla="*/ 0 w 17"/>
            <a:gd name="T13" fmla="*/ 0 h 28"/>
            <a:gd name="T14" fmla="*/ 0 w 17"/>
            <a:gd name="T15" fmla="*/ 28 h 28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7" h="28">
              <a:moveTo>
                <a:pt x="0" y="28"/>
              </a:moveTo>
              <a:lnTo>
                <a:pt x="17" y="2"/>
              </a:lnTo>
              <a:lnTo>
                <a:pt x="13" y="0"/>
              </a:lnTo>
              <a:lnTo>
                <a:pt x="0" y="28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123825</xdr:colOff>
      <xdr:row>14</xdr:row>
      <xdr:rowOff>161925</xdr:rowOff>
    </xdr:from>
    <xdr:to>
      <xdr:col>13</xdr:col>
      <xdr:colOff>133350</xdr:colOff>
      <xdr:row>14</xdr:row>
      <xdr:rowOff>171450</xdr:rowOff>
    </xdr:to>
    <xdr:sp macro="" textlink="">
      <xdr:nvSpPr>
        <xdr:cNvPr id="13751" name="Line 1334">
          <a:extLst>
            <a:ext uri="{FF2B5EF4-FFF2-40B4-BE49-F238E27FC236}">
              <a16:creationId xmlns:a16="http://schemas.microsoft.com/office/drawing/2014/main" id="{00000000-0008-0000-0700-0000B7350000}"/>
            </a:ext>
          </a:extLst>
        </xdr:cNvPr>
        <xdr:cNvSpPr>
          <a:spLocks noChangeShapeType="1"/>
        </xdr:cNvSpPr>
      </xdr:nvSpPr>
      <xdr:spPr bwMode="auto">
        <a:xfrm flipH="1" flipV="1">
          <a:off x="8296275" y="312420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104775</xdr:colOff>
      <xdr:row>14</xdr:row>
      <xdr:rowOff>142875</xdr:rowOff>
    </xdr:from>
    <xdr:to>
      <xdr:col>13</xdr:col>
      <xdr:colOff>114300</xdr:colOff>
      <xdr:row>14</xdr:row>
      <xdr:rowOff>180975</xdr:rowOff>
    </xdr:to>
    <xdr:sp macro="" textlink="">
      <xdr:nvSpPr>
        <xdr:cNvPr id="13752" name="Freeform 1335">
          <a:extLst>
            <a:ext uri="{FF2B5EF4-FFF2-40B4-BE49-F238E27FC236}">
              <a16:creationId xmlns:a16="http://schemas.microsoft.com/office/drawing/2014/main" id="{00000000-0008-0000-0700-0000B8350000}"/>
            </a:ext>
          </a:extLst>
        </xdr:cNvPr>
        <xdr:cNvSpPr>
          <a:spLocks/>
        </xdr:cNvSpPr>
      </xdr:nvSpPr>
      <xdr:spPr bwMode="auto">
        <a:xfrm>
          <a:off x="8277225" y="3105150"/>
          <a:ext cx="9525" cy="38100"/>
        </a:xfrm>
        <a:custGeom>
          <a:avLst/>
          <a:gdLst>
            <a:gd name="T0" fmla="*/ 0 w 107"/>
            <a:gd name="T1" fmla="*/ 0 h 92"/>
            <a:gd name="T2" fmla="*/ 0 w 107"/>
            <a:gd name="T3" fmla="*/ 0 h 92"/>
            <a:gd name="T4" fmla="*/ 0 w 107"/>
            <a:gd name="T5" fmla="*/ 0 h 92"/>
            <a:gd name="T6" fmla="*/ 0 w 107"/>
            <a:gd name="T7" fmla="*/ 0 h 92"/>
            <a:gd name="T8" fmla="*/ 0 w 107"/>
            <a:gd name="T9" fmla="*/ 0 h 92"/>
            <a:gd name="T10" fmla="*/ 0 w 107"/>
            <a:gd name="T11" fmla="*/ 0 h 92"/>
            <a:gd name="T12" fmla="*/ 0 w 107"/>
            <a:gd name="T13" fmla="*/ 0 h 9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7"/>
            <a:gd name="T22" fmla="*/ 0 h 92"/>
            <a:gd name="T23" fmla="*/ 107 w 107"/>
            <a:gd name="T24" fmla="*/ 92 h 9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7" h="92">
              <a:moveTo>
                <a:pt x="81" y="92"/>
              </a:moveTo>
              <a:lnTo>
                <a:pt x="94" y="63"/>
              </a:lnTo>
              <a:lnTo>
                <a:pt x="107" y="35"/>
              </a:lnTo>
              <a:lnTo>
                <a:pt x="26" y="0"/>
              </a:lnTo>
              <a:lnTo>
                <a:pt x="13" y="29"/>
              </a:lnTo>
              <a:lnTo>
                <a:pt x="0" y="57"/>
              </a:lnTo>
              <a:lnTo>
                <a:pt x="81" y="9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104775</xdr:colOff>
      <xdr:row>14</xdr:row>
      <xdr:rowOff>142875</xdr:rowOff>
    </xdr:from>
    <xdr:to>
      <xdr:col>13</xdr:col>
      <xdr:colOff>114300</xdr:colOff>
      <xdr:row>14</xdr:row>
      <xdr:rowOff>180975</xdr:rowOff>
    </xdr:to>
    <xdr:sp macro="" textlink="">
      <xdr:nvSpPr>
        <xdr:cNvPr id="13753" name="Freeform 1336">
          <a:extLst>
            <a:ext uri="{FF2B5EF4-FFF2-40B4-BE49-F238E27FC236}">
              <a16:creationId xmlns:a16="http://schemas.microsoft.com/office/drawing/2014/main" id="{00000000-0008-0000-0700-0000B9350000}"/>
            </a:ext>
          </a:extLst>
        </xdr:cNvPr>
        <xdr:cNvSpPr>
          <a:spLocks/>
        </xdr:cNvSpPr>
      </xdr:nvSpPr>
      <xdr:spPr bwMode="auto">
        <a:xfrm>
          <a:off x="8277225" y="3105150"/>
          <a:ext cx="9525" cy="38100"/>
        </a:xfrm>
        <a:custGeom>
          <a:avLst/>
          <a:gdLst>
            <a:gd name="T0" fmla="*/ 0 w 107"/>
            <a:gd name="T1" fmla="*/ 0 h 92"/>
            <a:gd name="T2" fmla="*/ 0 w 107"/>
            <a:gd name="T3" fmla="*/ 0 h 92"/>
            <a:gd name="T4" fmla="*/ 0 w 107"/>
            <a:gd name="T5" fmla="*/ 0 h 92"/>
            <a:gd name="T6" fmla="*/ 0 w 107"/>
            <a:gd name="T7" fmla="*/ 0 h 92"/>
            <a:gd name="T8" fmla="*/ 0 w 107"/>
            <a:gd name="T9" fmla="*/ 0 h 92"/>
            <a:gd name="T10" fmla="*/ 0 w 107"/>
            <a:gd name="T11" fmla="*/ 0 h 92"/>
            <a:gd name="T12" fmla="*/ 0 w 107"/>
            <a:gd name="T13" fmla="*/ 0 h 9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7"/>
            <a:gd name="T22" fmla="*/ 0 h 92"/>
            <a:gd name="T23" fmla="*/ 107 w 107"/>
            <a:gd name="T24" fmla="*/ 92 h 9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7" h="92">
              <a:moveTo>
                <a:pt x="81" y="92"/>
              </a:moveTo>
              <a:lnTo>
                <a:pt x="94" y="63"/>
              </a:lnTo>
              <a:lnTo>
                <a:pt x="107" y="35"/>
              </a:lnTo>
              <a:lnTo>
                <a:pt x="26" y="0"/>
              </a:lnTo>
              <a:lnTo>
                <a:pt x="13" y="29"/>
              </a:lnTo>
              <a:lnTo>
                <a:pt x="0" y="57"/>
              </a:lnTo>
              <a:lnTo>
                <a:pt x="81" y="9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104775</xdr:colOff>
      <xdr:row>14</xdr:row>
      <xdr:rowOff>142875</xdr:rowOff>
    </xdr:from>
    <xdr:to>
      <xdr:col>13</xdr:col>
      <xdr:colOff>104775</xdr:colOff>
      <xdr:row>14</xdr:row>
      <xdr:rowOff>161925</xdr:rowOff>
    </xdr:to>
    <xdr:sp macro="" textlink="">
      <xdr:nvSpPr>
        <xdr:cNvPr id="13754" name="Freeform 1337">
          <a:extLst>
            <a:ext uri="{FF2B5EF4-FFF2-40B4-BE49-F238E27FC236}">
              <a16:creationId xmlns:a16="http://schemas.microsoft.com/office/drawing/2014/main" id="{00000000-0008-0000-0700-0000BA350000}"/>
            </a:ext>
          </a:extLst>
        </xdr:cNvPr>
        <xdr:cNvSpPr>
          <a:spLocks/>
        </xdr:cNvSpPr>
      </xdr:nvSpPr>
      <xdr:spPr bwMode="auto">
        <a:xfrm>
          <a:off x="8277225" y="3105150"/>
          <a:ext cx="0" cy="19050"/>
        </a:xfrm>
        <a:custGeom>
          <a:avLst/>
          <a:gdLst>
            <a:gd name="T0" fmla="*/ 0 w 43"/>
            <a:gd name="T1" fmla="*/ 0 h 59"/>
            <a:gd name="T2" fmla="*/ 0 w 43"/>
            <a:gd name="T3" fmla="*/ 0 h 59"/>
            <a:gd name="T4" fmla="*/ 0 w 43"/>
            <a:gd name="T5" fmla="*/ 0 h 59"/>
            <a:gd name="T6" fmla="*/ 0 w 43"/>
            <a:gd name="T7" fmla="*/ 0 h 59"/>
            <a:gd name="T8" fmla="*/ 0 w 43"/>
            <a:gd name="T9" fmla="*/ 0 h 59"/>
            <a:gd name="T10" fmla="*/ 0 w 43"/>
            <a:gd name="T11" fmla="*/ 0 h 59"/>
            <a:gd name="T12" fmla="*/ 0 w 43"/>
            <a:gd name="T13" fmla="*/ 0 h 59"/>
            <a:gd name="T14" fmla="*/ 0 w 43"/>
            <a:gd name="T15" fmla="*/ 0 h 59"/>
            <a:gd name="T16" fmla="*/ 0 w 43"/>
            <a:gd name="T17" fmla="*/ 0 h 59"/>
            <a:gd name="T18" fmla="*/ 0 w 43"/>
            <a:gd name="T19" fmla="*/ 0 h 59"/>
            <a:gd name="T20" fmla="*/ 0 w 43"/>
            <a:gd name="T21" fmla="*/ 0 h 59"/>
            <a:gd name="T22" fmla="*/ 0 w 43"/>
            <a:gd name="T23" fmla="*/ 0 h 59"/>
            <a:gd name="T24" fmla="*/ 0 w 43"/>
            <a:gd name="T25" fmla="*/ 0 h 59"/>
            <a:gd name="T26" fmla="*/ 0 w 43"/>
            <a:gd name="T27" fmla="*/ 0 h 59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43"/>
            <a:gd name="T43" fmla="*/ 0 h 59"/>
            <a:gd name="T44" fmla="*/ 0 w 43"/>
            <a:gd name="T45" fmla="*/ 59 h 59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43" h="59">
              <a:moveTo>
                <a:pt x="30" y="31"/>
              </a:moveTo>
              <a:lnTo>
                <a:pt x="17" y="59"/>
              </a:lnTo>
              <a:lnTo>
                <a:pt x="10" y="55"/>
              </a:lnTo>
              <a:lnTo>
                <a:pt x="5" y="49"/>
              </a:lnTo>
              <a:lnTo>
                <a:pt x="1" y="40"/>
              </a:lnTo>
              <a:lnTo>
                <a:pt x="0" y="32"/>
              </a:lnTo>
              <a:lnTo>
                <a:pt x="1" y="22"/>
              </a:lnTo>
              <a:lnTo>
                <a:pt x="4" y="15"/>
              </a:lnTo>
              <a:lnTo>
                <a:pt x="9" y="8"/>
              </a:lnTo>
              <a:lnTo>
                <a:pt x="16" y="2"/>
              </a:lnTo>
              <a:lnTo>
                <a:pt x="25" y="0"/>
              </a:lnTo>
              <a:lnTo>
                <a:pt x="34" y="0"/>
              </a:lnTo>
              <a:lnTo>
                <a:pt x="43" y="2"/>
              </a:lnTo>
              <a:lnTo>
                <a:pt x="30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104775</xdr:colOff>
      <xdr:row>14</xdr:row>
      <xdr:rowOff>142875</xdr:rowOff>
    </xdr:from>
    <xdr:to>
      <xdr:col>13</xdr:col>
      <xdr:colOff>104775</xdr:colOff>
      <xdr:row>14</xdr:row>
      <xdr:rowOff>161925</xdr:rowOff>
    </xdr:to>
    <xdr:sp macro="" textlink="">
      <xdr:nvSpPr>
        <xdr:cNvPr id="13755" name="Freeform 1338">
          <a:extLst>
            <a:ext uri="{FF2B5EF4-FFF2-40B4-BE49-F238E27FC236}">
              <a16:creationId xmlns:a16="http://schemas.microsoft.com/office/drawing/2014/main" id="{00000000-0008-0000-0700-0000BB350000}"/>
            </a:ext>
          </a:extLst>
        </xdr:cNvPr>
        <xdr:cNvSpPr>
          <a:spLocks/>
        </xdr:cNvSpPr>
      </xdr:nvSpPr>
      <xdr:spPr bwMode="auto">
        <a:xfrm>
          <a:off x="8277225" y="3105150"/>
          <a:ext cx="0" cy="19050"/>
        </a:xfrm>
        <a:custGeom>
          <a:avLst/>
          <a:gdLst>
            <a:gd name="T0" fmla="*/ 0 w 43"/>
            <a:gd name="T1" fmla="*/ 0 h 59"/>
            <a:gd name="T2" fmla="*/ 0 w 43"/>
            <a:gd name="T3" fmla="*/ 0 h 59"/>
            <a:gd name="T4" fmla="*/ 0 w 43"/>
            <a:gd name="T5" fmla="*/ 0 h 59"/>
            <a:gd name="T6" fmla="*/ 0 w 43"/>
            <a:gd name="T7" fmla="*/ 0 h 59"/>
            <a:gd name="T8" fmla="*/ 0 w 43"/>
            <a:gd name="T9" fmla="*/ 0 h 59"/>
            <a:gd name="T10" fmla="*/ 0 w 43"/>
            <a:gd name="T11" fmla="*/ 0 h 59"/>
            <a:gd name="T12" fmla="*/ 0 w 43"/>
            <a:gd name="T13" fmla="*/ 0 h 59"/>
            <a:gd name="T14" fmla="*/ 0 w 43"/>
            <a:gd name="T15" fmla="*/ 0 h 59"/>
            <a:gd name="T16" fmla="*/ 0 w 43"/>
            <a:gd name="T17" fmla="*/ 0 h 59"/>
            <a:gd name="T18" fmla="*/ 0 w 43"/>
            <a:gd name="T19" fmla="*/ 0 h 59"/>
            <a:gd name="T20" fmla="*/ 0 w 43"/>
            <a:gd name="T21" fmla="*/ 0 h 59"/>
            <a:gd name="T22" fmla="*/ 0 w 43"/>
            <a:gd name="T23" fmla="*/ 0 h 59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43"/>
            <a:gd name="T37" fmla="*/ 0 h 59"/>
            <a:gd name="T38" fmla="*/ 0 w 43"/>
            <a:gd name="T39" fmla="*/ 59 h 59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43" h="59">
              <a:moveTo>
                <a:pt x="17" y="59"/>
              </a:moveTo>
              <a:lnTo>
                <a:pt x="10" y="55"/>
              </a:lnTo>
              <a:lnTo>
                <a:pt x="5" y="49"/>
              </a:lnTo>
              <a:lnTo>
                <a:pt x="1" y="40"/>
              </a:lnTo>
              <a:lnTo>
                <a:pt x="0" y="32"/>
              </a:lnTo>
              <a:lnTo>
                <a:pt x="1" y="22"/>
              </a:lnTo>
              <a:lnTo>
                <a:pt x="4" y="15"/>
              </a:lnTo>
              <a:lnTo>
                <a:pt x="9" y="8"/>
              </a:lnTo>
              <a:lnTo>
                <a:pt x="16" y="2"/>
              </a:lnTo>
              <a:lnTo>
                <a:pt x="25" y="0"/>
              </a:lnTo>
              <a:lnTo>
                <a:pt x="34" y="0"/>
              </a:lnTo>
              <a:lnTo>
                <a:pt x="43" y="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66675</xdr:colOff>
      <xdr:row>14</xdr:row>
      <xdr:rowOff>123825</xdr:rowOff>
    </xdr:from>
    <xdr:to>
      <xdr:col>13</xdr:col>
      <xdr:colOff>76200</xdr:colOff>
      <xdr:row>14</xdr:row>
      <xdr:rowOff>133350</xdr:rowOff>
    </xdr:to>
    <xdr:sp macro="" textlink="">
      <xdr:nvSpPr>
        <xdr:cNvPr id="13756" name="Freeform 1339">
          <a:extLst>
            <a:ext uri="{FF2B5EF4-FFF2-40B4-BE49-F238E27FC236}">
              <a16:creationId xmlns:a16="http://schemas.microsoft.com/office/drawing/2014/main" id="{00000000-0008-0000-0700-0000BC350000}"/>
            </a:ext>
          </a:extLst>
        </xdr:cNvPr>
        <xdr:cNvSpPr>
          <a:spLocks/>
        </xdr:cNvSpPr>
      </xdr:nvSpPr>
      <xdr:spPr bwMode="auto">
        <a:xfrm>
          <a:off x="8239125" y="3086100"/>
          <a:ext cx="9525" cy="9525"/>
        </a:xfrm>
        <a:custGeom>
          <a:avLst/>
          <a:gdLst>
            <a:gd name="T0" fmla="*/ 0 w 39"/>
            <a:gd name="T1" fmla="*/ 0 h 60"/>
            <a:gd name="T2" fmla="*/ 0 w 39"/>
            <a:gd name="T3" fmla="*/ 0 h 60"/>
            <a:gd name="T4" fmla="*/ 0 w 39"/>
            <a:gd name="T5" fmla="*/ 0 h 60"/>
            <a:gd name="T6" fmla="*/ 0 w 39"/>
            <a:gd name="T7" fmla="*/ 0 h 60"/>
            <a:gd name="T8" fmla="*/ 0 w 39"/>
            <a:gd name="T9" fmla="*/ 0 h 60"/>
            <a:gd name="T10" fmla="*/ 0 w 39"/>
            <a:gd name="T11" fmla="*/ 0 h 60"/>
            <a:gd name="T12" fmla="*/ 0 w 39"/>
            <a:gd name="T13" fmla="*/ 0 h 60"/>
            <a:gd name="T14" fmla="*/ 0 w 39"/>
            <a:gd name="T15" fmla="*/ 0 h 60"/>
            <a:gd name="T16" fmla="*/ 0 w 39"/>
            <a:gd name="T17" fmla="*/ 0 h 60"/>
            <a:gd name="T18" fmla="*/ 0 w 39"/>
            <a:gd name="T19" fmla="*/ 0 h 60"/>
            <a:gd name="T20" fmla="*/ 0 w 39"/>
            <a:gd name="T21" fmla="*/ 0 h 60"/>
            <a:gd name="T22" fmla="*/ 0 w 39"/>
            <a:gd name="T23" fmla="*/ 0 h 60"/>
            <a:gd name="T24" fmla="*/ 0 w 39"/>
            <a:gd name="T25" fmla="*/ 0 h 60"/>
            <a:gd name="T26" fmla="*/ 0 w 39"/>
            <a:gd name="T27" fmla="*/ 0 h 60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9"/>
            <a:gd name="T43" fmla="*/ 0 h 60"/>
            <a:gd name="T44" fmla="*/ 39 w 39"/>
            <a:gd name="T45" fmla="*/ 60 h 60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9" h="60">
              <a:moveTo>
                <a:pt x="9" y="29"/>
              </a:moveTo>
              <a:lnTo>
                <a:pt x="17" y="0"/>
              </a:lnTo>
              <a:lnTo>
                <a:pt x="25" y="3"/>
              </a:lnTo>
              <a:lnTo>
                <a:pt x="32" y="9"/>
              </a:lnTo>
              <a:lnTo>
                <a:pt x="37" y="17"/>
              </a:lnTo>
              <a:lnTo>
                <a:pt x="39" y="25"/>
              </a:lnTo>
              <a:lnTo>
                <a:pt x="39" y="33"/>
              </a:lnTo>
              <a:lnTo>
                <a:pt x="37" y="42"/>
              </a:lnTo>
              <a:lnTo>
                <a:pt x="32" y="49"/>
              </a:lnTo>
              <a:lnTo>
                <a:pt x="25" y="55"/>
              </a:lnTo>
              <a:lnTo>
                <a:pt x="17" y="59"/>
              </a:lnTo>
              <a:lnTo>
                <a:pt x="9" y="60"/>
              </a:lnTo>
              <a:lnTo>
                <a:pt x="0" y="59"/>
              </a:lnTo>
              <a:lnTo>
                <a:pt x="9" y="2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66675</xdr:colOff>
      <xdr:row>14</xdr:row>
      <xdr:rowOff>123825</xdr:rowOff>
    </xdr:from>
    <xdr:to>
      <xdr:col>13</xdr:col>
      <xdr:colOff>76200</xdr:colOff>
      <xdr:row>14</xdr:row>
      <xdr:rowOff>133350</xdr:rowOff>
    </xdr:to>
    <xdr:sp macro="" textlink="">
      <xdr:nvSpPr>
        <xdr:cNvPr id="13757" name="Freeform 1340">
          <a:extLst>
            <a:ext uri="{FF2B5EF4-FFF2-40B4-BE49-F238E27FC236}">
              <a16:creationId xmlns:a16="http://schemas.microsoft.com/office/drawing/2014/main" id="{00000000-0008-0000-0700-0000BD350000}"/>
            </a:ext>
          </a:extLst>
        </xdr:cNvPr>
        <xdr:cNvSpPr>
          <a:spLocks/>
        </xdr:cNvSpPr>
      </xdr:nvSpPr>
      <xdr:spPr bwMode="auto">
        <a:xfrm>
          <a:off x="8239125" y="3086100"/>
          <a:ext cx="9525" cy="9525"/>
        </a:xfrm>
        <a:custGeom>
          <a:avLst/>
          <a:gdLst>
            <a:gd name="T0" fmla="*/ 0 w 39"/>
            <a:gd name="T1" fmla="*/ 0 h 60"/>
            <a:gd name="T2" fmla="*/ 0 w 39"/>
            <a:gd name="T3" fmla="*/ 0 h 60"/>
            <a:gd name="T4" fmla="*/ 0 w 39"/>
            <a:gd name="T5" fmla="*/ 0 h 60"/>
            <a:gd name="T6" fmla="*/ 0 w 39"/>
            <a:gd name="T7" fmla="*/ 0 h 60"/>
            <a:gd name="T8" fmla="*/ 0 w 39"/>
            <a:gd name="T9" fmla="*/ 0 h 60"/>
            <a:gd name="T10" fmla="*/ 0 w 39"/>
            <a:gd name="T11" fmla="*/ 0 h 60"/>
            <a:gd name="T12" fmla="*/ 0 w 39"/>
            <a:gd name="T13" fmla="*/ 0 h 60"/>
            <a:gd name="T14" fmla="*/ 0 w 39"/>
            <a:gd name="T15" fmla="*/ 0 h 60"/>
            <a:gd name="T16" fmla="*/ 0 w 39"/>
            <a:gd name="T17" fmla="*/ 0 h 60"/>
            <a:gd name="T18" fmla="*/ 0 w 39"/>
            <a:gd name="T19" fmla="*/ 0 h 60"/>
            <a:gd name="T20" fmla="*/ 0 w 39"/>
            <a:gd name="T21" fmla="*/ 0 h 60"/>
            <a:gd name="T22" fmla="*/ 0 w 39"/>
            <a:gd name="T23" fmla="*/ 0 h 60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9"/>
            <a:gd name="T37" fmla="*/ 0 h 60"/>
            <a:gd name="T38" fmla="*/ 39 w 39"/>
            <a:gd name="T39" fmla="*/ 60 h 60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9" h="60">
              <a:moveTo>
                <a:pt x="17" y="0"/>
              </a:moveTo>
              <a:lnTo>
                <a:pt x="25" y="3"/>
              </a:lnTo>
              <a:lnTo>
                <a:pt x="32" y="9"/>
              </a:lnTo>
              <a:lnTo>
                <a:pt x="37" y="17"/>
              </a:lnTo>
              <a:lnTo>
                <a:pt x="39" y="25"/>
              </a:lnTo>
              <a:lnTo>
                <a:pt x="39" y="33"/>
              </a:lnTo>
              <a:lnTo>
                <a:pt x="37" y="42"/>
              </a:lnTo>
              <a:lnTo>
                <a:pt x="32" y="49"/>
              </a:lnTo>
              <a:lnTo>
                <a:pt x="25" y="55"/>
              </a:lnTo>
              <a:lnTo>
                <a:pt x="17" y="59"/>
              </a:lnTo>
              <a:lnTo>
                <a:pt x="9" y="60"/>
              </a:lnTo>
              <a:lnTo>
                <a:pt x="0" y="59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28575</xdr:colOff>
      <xdr:row>14</xdr:row>
      <xdr:rowOff>104775</xdr:rowOff>
    </xdr:from>
    <xdr:to>
      <xdr:col>13</xdr:col>
      <xdr:colOff>57150</xdr:colOff>
      <xdr:row>14</xdr:row>
      <xdr:rowOff>123825</xdr:rowOff>
    </xdr:to>
    <xdr:sp macro="" textlink="">
      <xdr:nvSpPr>
        <xdr:cNvPr id="13758" name="Freeform 1341">
          <a:extLst>
            <a:ext uri="{FF2B5EF4-FFF2-40B4-BE49-F238E27FC236}">
              <a16:creationId xmlns:a16="http://schemas.microsoft.com/office/drawing/2014/main" id="{00000000-0008-0000-0700-0000BE350000}"/>
            </a:ext>
          </a:extLst>
        </xdr:cNvPr>
        <xdr:cNvSpPr>
          <a:spLocks/>
        </xdr:cNvSpPr>
      </xdr:nvSpPr>
      <xdr:spPr bwMode="auto">
        <a:xfrm>
          <a:off x="8201025" y="3067050"/>
          <a:ext cx="28575" cy="19050"/>
        </a:xfrm>
        <a:custGeom>
          <a:avLst/>
          <a:gdLst>
            <a:gd name="T0" fmla="*/ 0 w 216"/>
            <a:gd name="T1" fmla="*/ 0 h 117"/>
            <a:gd name="T2" fmla="*/ 0 w 216"/>
            <a:gd name="T3" fmla="*/ 0 h 117"/>
            <a:gd name="T4" fmla="*/ 0 w 216"/>
            <a:gd name="T5" fmla="*/ 0 h 117"/>
            <a:gd name="T6" fmla="*/ 0 w 216"/>
            <a:gd name="T7" fmla="*/ 0 h 117"/>
            <a:gd name="T8" fmla="*/ 0 w 216"/>
            <a:gd name="T9" fmla="*/ 0 h 117"/>
            <a:gd name="T10" fmla="*/ 0 w 216"/>
            <a:gd name="T11" fmla="*/ 0 h 117"/>
            <a:gd name="T12" fmla="*/ 0 w 216"/>
            <a:gd name="T13" fmla="*/ 0 h 11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6"/>
            <a:gd name="T22" fmla="*/ 0 h 117"/>
            <a:gd name="T23" fmla="*/ 216 w 216"/>
            <a:gd name="T24" fmla="*/ 117 h 11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6" h="117">
              <a:moveTo>
                <a:pt x="199" y="117"/>
              </a:moveTo>
              <a:lnTo>
                <a:pt x="208" y="87"/>
              </a:lnTo>
              <a:lnTo>
                <a:pt x="216" y="58"/>
              </a:lnTo>
              <a:lnTo>
                <a:pt x="17" y="0"/>
              </a:lnTo>
              <a:lnTo>
                <a:pt x="8" y="29"/>
              </a:lnTo>
              <a:lnTo>
                <a:pt x="0" y="59"/>
              </a:lnTo>
              <a:lnTo>
                <a:pt x="199" y="117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28575</xdr:colOff>
      <xdr:row>14</xdr:row>
      <xdr:rowOff>104775</xdr:rowOff>
    </xdr:from>
    <xdr:to>
      <xdr:col>13</xdr:col>
      <xdr:colOff>57150</xdr:colOff>
      <xdr:row>14</xdr:row>
      <xdr:rowOff>123825</xdr:rowOff>
    </xdr:to>
    <xdr:sp macro="" textlink="">
      <xdr:nvSpPr>
        <xdr:cNvPr id="13759" name="Freeform 1342">
          <a:extLst>
            <a:ext uri="{FF2B5EF4-FFF2-40B4-BE49-F238E27FC236}">
              <a16:creationId xmlns:a16="http://schemas.microsoft.com/office/drawing/2014/main" id="{00000000-0008-0000-0700-0000BF350000}"/>
            </a:ext>
          </a:extLst>
        </xdr:cNvPr>
        <xdr:cNvSpPr>
          <a:spLocks/>
        </xdr:cNvSpPr>
      </xdr:nvSpPr>
      <xdr:spPr bwMode="auto">
        <a:xfrm>
          <a:off x="8201025" y="3067050"/>
          <a:ext cx="28575" cy="19050"/>
        </a:xfrm>
        <a:custGeom>
          <a:avLst/>
          <a:gdLst>
            <a:gd name="T0" fmla="*/ 0 w 216"/>
            <a:gd name="T1" fmla="*/ 0 h 117"/>
            <a:gd name="T2" fmla="*/ 0 w 216"/>
            <a:gd name="T3" fmla="*/ 0 h 117"/>
            <a:gd name="T4" fmla="*/ 0 w 216"/>
            <a:gd name="T5" fmla="*/ 0 h 117"/>
            <a:gd name="T6" fmla="*/ 0 w 216"/>
            <a:gd name="T7" fmla="*/ 0 h 117"/>
            <a:gd name="T8" fmla="*/ 0 w 216"/>
            <a:gd name="T9" fmla="*/ 0 h 117"/>
            <a:gd name="T10" fmla="*/ 0 w 216"/>
            <a:gd name="T11" fmla="*/ 0 h 117"/>
            <a:gd name="T12" fmla="*/ 0 w 216"/>
            <a:gd name="T13" fmla="*/ 0 h 11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6"/>
            <a:gd name="T22" fmla="*/ 0 h 117"/>
            <a:gd name="T23" fmla="*/ 216 w 216"/>
            <a:gd name="T24" fmla="*/ 117 h 11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6" h="117">
              <a:moveTo>
                <a:pt x="199" y="117"/>
              </a:moveTo>
              <a:lnTo>
                <a:pt x="208" y="87"/>
              </a:lnTo>
              <a:lnTo>
                <a:pt x="216" y="58"/>
              </a:lnTo>
              <a:lnTo>
                <a:pt x="17" y="0"/>
              </a:lnTo>
              <a:lnTo>
                <a:pt x="8" y="29"/>
              </a:lnTo>
              <a:lnTo>
                <a:pt x="0" y="59"/>
              </a:lnTo>
              <a:lnTo>
                <a:pt x="199" y="117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28575</xdr:colOff>
      <xdr:row>14</xdr:row>
      <xdr:rowOff>104775</xdr:rowOff>
    </xdr:from>
    <xdr:to>
      <xdr:col>13</xdr:col>
      <xdr:colOff>28575</xdr:colOff>
      <xdr:row>14</xdr:row>
      <xdr:rowOff>114300</xdr:rowOff>
    </xdr:to>
    <xdr:sp macro="" textlink="">
      <xdr:nvSpPr>
        <xdr:cNvPr id="13760" name="Freeform 1343">
          <a:extLst>
            <a:ext uri="{FF2B5EF4-FFF2-40B4-BE49-F238E27FC236}">
              <a16:creationId xmlns:a16="http://schemas.microsoft.com/office/drawing/2014/main" id="{00000000-0008-0000-0700-0000C0350000}"/>
            </a:ext>
          </a:extLst>
        </xdr:cNvPr>
        <xdr:cNvSpPr>
          <a:spLocks/>
        </xdr:cNvSpPr>
      </xdr:nvSpPr>
      <xdr:spPr bwMode="auto">
        <a:xfrm>
          <a:off x="8201025" y="3067050"/>
          <a:ext cx="0" cy="9525"/>
        </a:xfrm>
        <a:custGeom>
          <a:avLst/>
          <a:gdLst>
            <a:gd name="T0" fmla="*/ 0 w 9"/>
            <a:gd name="T1" fmla="*/ 0 h 30"/>
            <a:gd name="T2" fmla="*/ 0 w 9"/>
            <a:gd name="T3" fmla="*/ 0 h 30"/>
            <a:gd name="T4" fmla="*/ 0 w 9"/>
            <a:gd name="T5" fmla="*/ 0 h 30"/>
            <a:gd name="T6" fmla="*/ 0 w 9"/>
            <a:gd name="T7" fmla="*/ 0 h 30"/>
            <a:gd name="T8" fmla="*/ 0 60000 65536"/>
            <a:gd name="T9" fmla="*/ 0 60000 65536"/>
            <a:gd name="T10" fmla="*/ 0 60000 65536"/>
            <a:gd name="T11" fmla="*/ 0 60000 65536"/>
            <a:gd name="T12" fmla="*/ 0 w 9"/>
            <a:gd name="T13" fmla="*/ 0 h 30"/>
            <a:gd name="T14" fmla="*/ 0 w 9"/>
            <a:gd name="T15" fmla="*/ 30 h 3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" h="30">
              <a:moveTo>
                <a:pt x="0" y="30"/>
              </a:moveTo>
              <a:lnTo>
                <a:pt x="9" y="1"/>
              </a:lnTo>
              <a:lnTo>
                <a:pt x="5" y="0"/>
              </a:lnTo>
              <a:lnTo>
                <a:pt x="0" y="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28575</xdr:colOff>
      <xdr:row>14</xdr:row>
      <xdr:rowOff>104775</xdr:rowOff>
    </xdr:from>
    <xdr:to>
      <xdr:col>13</xdr:col>
      <xdr:colOff>28575</xdr:colOff>
      <xdr:row>14</xdr:row>
      <xdr:rowOff>114300</xdr:rowOff>
    </xdr:to>
    <xdr:sp macro="" textlink="">
      <xdr:nvSpPr>
        <xdr:cNvPr id="13761" name="Line 1344">
          <a:extLst>
            <a:ext uri="{FF2B5EF4-FFF2-40B4-BE49-F238E27FC236}">
              <a16:creationId xmlns:a16="http://schemas.microsoft.com/office/drawing/2014/main" id="{00000000-0008-0000-0700-0000C1350000}"/>
            </a:ext>
          </a:extLst>
        </xdr:cNvPr>
        <xdr:cNvSpPr>
          <a:spLocks noChangeShapeType="1"/>
        </xdr:cNvSpPr>
      </xdr:nvSpPr>
      <xdr:spPr bwMode="auto">
        <a:xfrm flipH="1" flipV="1">
          <a:off x="8201025" y="3067050"/>
          <a:ext cx="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419100</xdr:colOff>
      <xdr:row>14</xdr:row>
      <xdr:rowOff>95250</xdr:rowOff>
    </xdr:from>
    <xdr:to>
      <xdr:col>13</xdr:col>
      <xdr:colOff>28575</xdr:colOff>
      <xdr:row>14</xdr:row>
      <xdr:rowOff>123825</xdr:rowOff>
    </xdr:to>
    <xdr:sp macro="" textlink="">
      <xdr:nvSpPr>
        <xdr:cNvPr id="13762" name="Freeform 1345">
          <a:extLst>
            <a:ext uri="{FF2B5EF4-FFF2-40B4-BE49-F238E27FC236}">
              <a16:creationId xmlns:a16="http://schemas.microsoft.com/office/drawing/2014/main" id="{00000000-0008-0000-0700-0000C2350000}"/>
            </a:ext>
          </a:extLst>
        </xdr:cNvPr>
        <xdr:cNvSpPr>
          <a:spLocks/>
        </xdr:cNvSpPr>
      </xdr:nvSpPr>
      <xdr:spPr bwMode="auto">
        <a:xfrm>
          <a:off x="8058150" y="3057525"/>
          <a:ext cx="142875" cy="28575"/>
        </a:xfrm>
        <a:custGeom>
          <a:avLst/>
          <a:gdLst>
            <a:gd name="T0" fmla="*/ 0 w 336"/>
            <a:gd name="T1" fmla="*/ 0 h 120"/>
            <a:gd name="T2" fmla="*/ 0 w 336"/>
            <a:gd name="T3" fmla="*/ 0 h 120"/>
            <a:gd name="T4" fmla="*/ 0 w 336"/>
            <a:gd name="T5" fmla="*/ 0 h 120"/>
            <a:gd name="T6" fmla="*/ 0 w 336"/>
            <a:gd name="T7" fmla="*/ 0 h 120"/>
            <a:gd name="T8" fmla="*/ 0 w 336"/>
            <a:gd name="T9" fmla="*/ 0 h 120"/>
            <a:gd name="T10" fmla="*/ 0 w 336"/>
            <a:gd name="T11" fmla="*/ 0 h 120"/>
            <a:gd name="T12" fmla="*/ 0 w 336"/>
            <a:gd name="T13" fmla="*/ 0 h 120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36"/>
            <a:gd name="T22" fmla="*/ 0 h 120"/>
            <a:gd name="T23" fmla="*/ 336 w 336"/>
            <a:gd name="T24" fmla="*/ 120 h 120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36" h="120">
              <a:moveTo>
                <a:pt x="326" y="120"/>
              </a:moveTo>
              <a:lnTo>
                <a:pt x="331" y="89"/>
              </a:lnTo>
              <a:lnTo>
                <a:pt x="336" y="59"/>
              </a:lnTo>
              <a:lnTo>
                <a:pt x="11" y="0"/>
              </a:lnTo>
              <a:lnTo>
                <a:pt x="6" y="31"/>
              </a:lnTo>
              <a:lnTo>
                <a:pt x="0" y="61"/>
              </a:lnTo>
              <a:lnTo>
                <a:pt x="326" y="12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419100</xdr:colOff>
      <xdr:row>14</xdr:row>
      <xdr:rowOff>95250</xdr:rowOff>
    </xdr:from>
    <xdr:to>
      <xdr:col>13</xdr:col>
      <xdr:colOff>28575</xdr:colOff>
      <xdr:row>14</xdr:row>
      <xdr:rowOff>123825</xdr:rowOff>
    </xdr:to>
    <xdr:sp macro="" textlink="">
      <xdr:nvSpPr>
        <xdr:cNvPr id="13763" name="Freeform 1346">
          <a:extLst>
            <a:ext uri="{FF2B5EF4-FFF2-40B4-BE49-F238E27FC236}">
              <a16:creationId xmlns:a16="http://schemas.microsoft.com/office/drawing/2014/main" id="{00000000-0008-0000-0700-0000C3350000}"/>
            </a:ext>
          </a:extLst>
        </xdr:cNvPr>
        <xdr:cNvSpPr>
          <a:spLocks/>
        </xdr:cNvSpPr>
      </xdr:nvSpPr>
      <xdr:spPr bwMode="auto">
        <a:xfrm>
          <a:off x="8058150" y="3057525"/>
          <a:ext cx="142875" cy="28575"/>
        </a:xfrm>
        <a:custGeom>
          <a:avLst/>
          <a:gdLst>
            <a:gd name="T0" fmla="*/ 0 w 336"/>
            <a:gd name="T1" fmla="*/ 0 h 120"/>
            <a:gd name="T2" fmla="*/ 0 w 336"/>
            <a:gd name="T3" fmla="*/ 0 h 120"/>
            <a:gd name="T4" fmla="*/ 0 w 336"/>
            <a:gd name="T5" fmla="*/ 0 h 120"/>
            <a:gd name="T6" fmla="*/ 0 w 336"/>
            <a:gd name="T7" fmla="*/ 0 h 120"/>
            <a:gd name="T8" fmla="*/ 0 w 336"/>
            <a:gd name="T9" fmla="*/ 0 h 120"/>
            <a:gd name="T10" fmla="*/ 0 w 336"/>
            <a:gd name="T11" fmla="*/ 0 h 120"/>
            <a:gd name="T12" fmla="*/ 0 w 336"/>
            <a:gd name="T13" fmla="*/ 0 h 120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36"/>
            <a:gd name="T22" fmla="*/ 0 h 120"/>
            <a:gd name="T23" fmla="*/ 336 w 336"/>
            <a:gd name="T24" fmla="*/ 120 h 120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36" h="120">
              <a:moveTo>
                <a:pt x="326" y="120"/>
              </a:moveTo>
              <a:lnTo>
                <a:pt x="331" y="89"/>
              </a:lnTo>
              <a:lnTo>
                <a:pt x="336" y="59"/>
              </a:lnTo>
              <a:lnTo>
                <a:pt x="11" y="0"/>
              </a:lnTo>
              <a:lnTo>
                <a:pt x="6" y="31"/>
              </a:lnTo>
              <a:lnTo>
                <a:pt x="0" y="61"/>
              </a:lnTo>
              <a:lnTo>
                <a:pt x="326" y="12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428625</xdr:colOff>
      <xdr:row>14</xdr:row>
      <xdr:rowOff>95250</xdr:rowOff>
    </xdr:from>
    <xdr:to>
      <xdr:col>12</xdr:col>
      <xdr:colOff>428625</xdr:colOff>
      <xdr:row>14</xdr:row>
      <xdr:rowOff>114300</xdr:rowOff>
    </xdr:to>
    <xdr:sp macro="" textlink="">
      <xdr:nvSpPr>
        <xdr:cNvPr id="13764" name="Freeform 1347">
          <a:extLst>
            <a:ext uri="{FF2B5EF4-FFF2-40B4-BE49-F238E27FC236}">
              <a16:creationId xmlns:a16="http://schemas.microsoft.com/office/drawing/2014/main" id="{00000000-0008-0000-0700-0000C4350000}"/>
            </a:ext>
          </a:extLst>
        </xdr:cNvPr>
        <xdr:cNvSpPr>
          <a:spLocks/>
        </xdr:cNvSpPr>
      </xdr:nvSpPr>
      <xdr:spPr bwMode="auto">
        <a:xfrm>
          <a:off x="8067675" y="3057525"/>
          <a:ext cx="0" cy="19050"/>
        </a:xfrm>
        <a:custGeom>
          <a:avLst/>
          <a:gdLst>
            <a:gd name="T0" fmla="*/ 0 w 5"/>
            <a:gd name="T1" fmla="*/ 0 h 31"/>
            <a:gd name="T2" fmla="*/ 0 w 5"/>
            <a:gd name="T3" fmla="*/ 0 h 31"/>
            <a:gd name="T4" fmla="*/ 0 w 5"/>
            <a:gd name="T5" fmla="*/ 0 h 31"/>
            <a:gd name="T6" fmla="*/ 0 w 5"/>
            <a:gd name="T7" fmla="*/ 0 h 31"/>
            <a:gd name="T8" fmla="*/ 0 60000 65536"/>
            <a:gd name="T9" fmla="*/ 0 60000 65536"/>
            <a:gd name="T10" fmla="*/ 0 60000 65536"/>
            <a:gd name="T11" fmla="*/ 0 60000 65536"/>
            <a:gd name="T12" fmla="*/ 0 w 5"/>
            <a:gd name="T13" fmla="*/ 0 h 31"/>
            <a:gd name="T14" fmla="*/ 0 w 5"/>
            <a:gd name="T15" fmla="*/ 31 h 3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" h="31">
              <a:moveTo>
                <a:pt x="0" y="31"/>
              </a:moveTo>
              <a:lnTo>
                <a:pt x="5" y="0"/>
              </a:lnTo>
              <a:lnTo>
                <a:pt x="3" y="0"/>
              </a:lnTo>
              <a:lnTo>
                <a:pt x="0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428625</xdr:colOff>
      <xdr:row>14</xdr:row>
      <xdr:rowOff>95250</xdr:rowOff>
    </xdr:from>
    <xdr:to>
      <xdr:col>12</xdr:col>
      <xdr:colOff>428625</xdr:colOff>
      <xdr:row>14</xdr:row>
      <xdr:rowOff>95250</xdr:rowOff>
    </xdr:to>
    <xdr:sp macro="" textlink="">
      <xdr:nvSpPr>
        <xdr:cNvPr id="13765" name="Line 1348">
          <a:extLst>
            <a:ext uri="{FF2B5EF4-FFF2-40B4-BE49-F238E27FC236}">
              <a16:creationId xmlns:a16="http://schemas.microsoft.com/office/drawing/2014/main" id="{00000000-0008-0000-0700-0000C5350000}"/>
            </a:ext>
          </a:extLst>
        </xdr:cNvPr>
        <xdr:cNvSpPr>
          <a:spLocks noChangeShapeType="1"/>
        </xdr:cNvSpPr>
      </xdr:nvSpPr>
      <xdr:spPr bwMode="auto">
        <a:xfrm flipH="1">
          <a:off x="8067675" y="3057525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371475</xdr:colOff>
      <xdr:row>14</xdr:row>
      <xdr:rowOff>85725</xdr:rowOff>
    </xdr:from>
    <xdr:to>
      <xdr:col>12</xdr:col>
      <xdr:colOff>428625</xdr:colOff>
      <xdr:row>14</xdr:row>
      <xdr:rowOff>104775</xdr:rowOff>
    </xdr:to>
    <xdr:sp macro="" textlink="">
      <xdr:nvSpPr>
        <xdr:cNvPr id="13766" name="Freeform 1349">
          <a:extLst>
            <a:ext uri="{FF2B5EF4-FFF2-40B4-BE49-F238E27FC236}">
              <a16:creationId xmlns:a16="http://schemas.microsoft.com/office/drawing/2014/main" id="{00000000-0008-0000-0700-0000C6350000}"/>
            </a:ext>
          </a:extLst>
        </xdr:cNvPr>
        <xdr:cNvSpPr>
          <a:spLocks/>
        </xdr:cNvSpPr>
      </xdr:nvSpPr>
      <xdr:spPr bwMode="auto">
        <a:xfrm>
          <a:off x="8010525" y="3048000"/>
          <a:ext cx="57150" cy="19050"/>
        </a:xfrm>
        <a:custGeom>
          <a:avLst/>
          <a:gdLst>
            <a:gd name="T0" fmla="*/ 0 w 353"/>
            <a:gd name="T1" fmla="*/ 0 h 92"/>
            <a:gd name="T2" fmla="*/ 0 w 353"/>
            <a:gd name="T3" fmla="*/ 0 h 92"/>
            <a:gd name="T4" fmla="*/ 0 w 353"/>
            <a:gd name="T5" fmla="*/ 0 h 92"/>
            <a:gd name="T6" fmla="*/ 0 w 353"/>
            <a:gd name="T7" fmla="*/ 0 h 92"/>
            <a:gd name="T8" fmla="*/ 0 w 353"/>
            <a:gd name="T9" fmla="*/ 0 h 92"/>
            <a:gd name="T10" fmla="*/ 0 w 353"/>
            <a:gd name="T11" fmla="*/ 0 h 92"/>
            <a:gd name="T12" fmla="*/ 0 w 353"/>
            <a:gd name="T13" fmla="*/ 0 h 9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53"/>
            <a:gd name="T22" fmla="*/ 0 h 92"/>
            <a:gd name="T23" fmla="*/ 353 w 353"/>
            <a:gd name="T24" fmla="*/ 92 h 9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53" h="92">
              <a:moveTo>
                <a:pt x="347" y="92"/>
              </a:moveTo>
              <a:lnTo>
                <a:pt x="350" y="62"/>
              </a:lnTo>
              <a:lnTo>
                <a:pt x="353" y="31"/>
              </a:lnTo>
              <a:lnTo>
                <a:pt x="6" y="0"/>
              </a:lnTo>
              <a:lnTo>
                <a:pt x="3" y="30"/>
              </a:lnTo>
              <a:lnTo>
                <a:pt x="0" y="61"/>
              </a:lnTo>
              <a:lnTo>
                <a:pt x="347" y="9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371475</xdr:colOff>
      <xdr:row>14</xdr:row>
      <xdr:rowOff>85725</xdr:rowOff>
    </xdr:from>
    <xdr:to>
      <xdr:col>12</xdr:col>
      <xdr:colOff>428625</xdr:colOff>
      <xdr:row>14</xdr:row>
      <xdr:rowOff>104775</xdr:rowOff>
    </xdr:to>
    <xdr:sp macro="" textlink="">
      <xdr:nvSpPr>
        <xdr:cNvPr id="13767" name="Freeform 1350">
          <a:extLst>
            <a:ext uri="{FF2B5EF4-FFF2-40B4-BE49-F238E27FC236}">
              <a16:creationId xmlns:a16="http://schemas.microsoft.com/office/drawing/2014/main" id="{00000000-0008-0000-0700-0000C7350000}"/>
            </a:ext>
          </a:extLst>
        </xdr:cNvPr>
        <xdr:cNvSpPr>
          <a:spLocks/>
        </xdr:cNvSpPr>
      </xdr:nvSpPr>
      <xdr:spPr bwMode="auto">
        <a:xfrm>
          <a:off x="8010525" y="3048000"/>
          <a:ext cx="57150" cy="19050"/>
        </a:xfrm>
        <a:custGeom>
          <a:avLst/>
          <a:gdLst>
            <a:gd name="T0" fmla="*/ 0 w 353"/>
            <a:gd name="T1" fmla="*/ 0 h 92"/>
            <a:gd name="T2" fmla="*/ 0 w 353"/>
            <a:gd name="T3" fmla="*/ 0 h 92"/>
            <a:gd name="T4" fmla="*/ 0 w 353"/>
            <a:gd name="T5" fmla="*/ 0 h 92"/>
            <a:gd name="T6" fmla="*/ 0 w 353"/>
            <a:gd name="T7" fmla="*/ 0 h 92"/>
            <a:gd name="T8" fmla="*/ 0 w 353"/>
            <a:gd name="T9" fmla="*/ 0 h 92"/>
            <a:gd name="T10" fmla="*/ 0 w 353"/>
            <a:gd name="T11" fmla="*/ 0 h 92"/>
            <a:gd name="T12" fmla="*/ 0 w 353"/>
            <a:gd name="T13" fmla="*/ 0 h 9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53"/>
            <a:gd name="T22" fmla="*/ 0 h 92"/>
            <a:gd name="T23" fmla="*/ 353 w 353"/>
            <a:gd name="T24" fmla="*/ 92 h 9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53" h="92">
              <a:moveTo>
                <a:pt x="347" y="92"/>
              </a:moveTo>
              <a:lnTo>
                <a:pt x="350" y="62"/>
              </a:lnTo>
              <a:lnTo>
                <a:pt x="353" y="31"/>
              </a:lnTo>
              <a:lnTo>
                <a:pt x="6" y="0"/>
              </a:lnTo>
              <a:lnTo>
                <a:pt x="3" y="30"/>
              </a:lnTo>
              <a:lnTo>
                <a:pt x="0" y="61"/>
              </a:lnTo>
              <a:lnTo>
                <a:pt x="347" y="9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371475</xdr:colOff>
      <xdr:row>14</xdr:row>
      <xdr:rowOff>85725</xdr:rowOff>
    </xdr:from>
    <xdr:to>
      <xdr:col>12</xdr:col>
      <xdr:colOff>371475</xdr:colOff>
      <xdr:row>14</xdr:row>
      <xdr:rowOff>95250</xdr:rowOff>
    </xdr:to>
    <xdr:sp macro="" textlink="">
      <xdr:nvSpPr>
        <xdr:cNvPr id="13768" name="Freeform 1351">
          <a:extLst>
            <a:ext uri="{FF2B5EF4-FFF2-40B4-BE49-F238E27FC236}">
              <a16:creationId xmlns:a16="http://schemas.microsoft.com/office/drawing/2014/main" id="{00000000-0008-0000-0700-0000C8350000}"/>
            </a:ext>
          </a:extLst>
        </xdr:cNvPr>
        <xdr:cNvSpPr>
          <a:spLocks/>
        </xdr:cNvSpPr>
      </xdr:nvSpPr>
      <xdr:spPr bwMode="auto">
        <a:xfrm>
          <a:off x="8010525" y="3048000"/>
          <a:ext cx="0" cy="9525"/>
        </a:xfrm>
        <a:custGeom>
          <a:avLst/>
          <a:gdLst>
            <a:gd name="T0" fmla="*/ 0 w 3"/>
            <a:gd name="T1" fmla="*/ 0 h 30"/>
            <a:gd name="T2" fmla="*/ 0 w 3"/>
            <a:gd name="T3" fmla="*/ 0 h 30"/>
            <a:gd name="T4" fmla="*/ 0 w 3"/>
            <a:gd name="T5" fmla="*/ 0 h 30"/>
            <a:gd name="T6" fmla="*/ 0 w 3"/>
            <a:gd name="T7" fmla="*/ 0 h 30"/>
            <a:gd name="T8" fmla="*/ 0 60000 65536"/>
            <a:gd name="T9" fmla="*/ 0 60000 65536"/>
            <a:gd name="T10" fmla="*/ 0 60000 65536"/>
            <a:gd name="T11" fmla="*/ 0 60000 65536"/>
            <a:gd name="T12" fmla="*/ 0 w 3"/>
            <a:gd name="T13" fmla="*/ 0 h 30"/>
            <a:gd name="T14" fmla="*/ 0 w 3"/>
            <a:gd name="T15" fmla="*/ 30 h 3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" h="30">
              <a:moveTo>
                <a:pt x="0" y="30"/>
              </a:moveTo>
              <a:lnTo>
                <a:pt x="3" y="0"/>
              </a:lnTo>
              <a:lnTo>
                <a:pt x="0" y="0"/>
              </a:lnTo>
              <a:lnTo>
                <a:pt x="0" y="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371475</xdr:colOff>
      <xdr:row>14</xdr:row>
      <xdr:rowOff>85725</xdr:rowOff>
    </xdr:from>
    <xdr:to>
      <xdr:col>12</xdr:col>
      <xdr:colOff>371475</xdr:colOff>
      <xdr:row>14</xdr:row>
      <xdr:rowOff>95250</xdr:rowOff>
    </xdr:to>
    <xdr:sp macro="" textlink="">
      <xdr:nvSpPr>
        <xdr:cNvPr id="13769" name="Line 1352">
          <a:extLst>
            <a:ext uri="{FF2B5EF4-FFF2-40B4-BE49-F238E27FC236}">
              <a16:creationId xmlns:a16="http://schemas.microsoft.com/office/drawing/2014/main" id="{00000000-0008-0000-0700-0000C9350000}"/>
            </a:ext>
          </a:extLst>
        </xdr:cNvPr>
        <xdr:cNvSpPr>
          <a:spLocks noChangeShapeType="1"/>
        </xdr:cNvSpPr>
      </xdr:nvSpPr>
      <xdr:spPr bwMode="auto">
        <a:xfrm flipH="1">
          <a:off x="8010525" y="3048000"/>
          <a:ext cx="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333375</xdr:colOff>
      <xdr:row>14</xdr:row>
      <xdr:rowOff>85725</xdr:rowOff>
    </xdr:from>
    <xdr:to>
      <xdr:col>12</xdr:col>
      <xdr:colOff>371475</xdr:colOff>
      <xdr:row>14</xdr:row>
      <xdr:rowOff>104775</xdr:rowOff>
    </xdr:to>
    <xdr:sp macro="" textlink="">
      <xdr:nvSpPr>
        <xdr:cNvPr id="13770" name="Freeform 1353">
          <a:extLst>
            <a:ext uri="{FF2B5EF4-FFF2-40B4-BE49-F238E27FC236}">
              <a16:creationId xmlns:a16="http://schemas.microsoft.com/office/drawing/2014/main" id="{00000000-0008-0000-0700-0000CA350000}"/>
            </a:ext>
          </a:extLst>
        </xdr:cNvPr>
        <xdr:cNvSpPr>
          <a:spLocks/>
        </xdr:cNvSpPr>
      </xdr:nvSpPr>
      <xdr:spPr bwMode="auto">
        <a:xfrm>
          <a:off x="7972425" y="3048000"/>
          <a:ext cx="38100" cy="19050"/>
        </a:xfrm>
        <a:custGeom>
          <a:avLst/>
          <a:gdLst>
            <a:gd name="T0" fmla="*/ 0 w 228"/>
            <a:gd name="T1" fmla="*/ 0 h 63"/>
            <a:gd name="T2" fmla="*/ 0 w 228"/>
            <a:gd name="T3" fmla="*/ 0 h 63"/>
            <a:gd name="T4" fmla="*/ 0 w 228"/>
            <a:gd name="T5" fmla="*/ 0 h 63"/>
            <a:gd name="T6" fmla="*/ 0 w 228"/>
            <a:gd name="T7" fmla="*/ 0 h 63"/>
            <a:gd name="T8" fmla="*/ 0 w 228"/>
            <a:gd name="T9" fmla="*/ 0 h 63"/>
            <a:gd name="T10" fmla="*/ 0 w 228"/>
            <a:gd name="T11" fmla="*/ 0 h 63"/>
            <a:gd name="T12" fmla="*/ 0 w 228"/>
            <a:gd name="T13" fmla="*/ 0 h 6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28"/>
            <a:gd name="T22" fmla="*/ 0 h 63"/>
            <a:gd name="T23" fmla="*/ 228 w 228"/>
            <a:gd name="T24" fmla="*/ 63 h 6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28" h="63">
              <a:moveTo>
                <a:pt x="228" y="63"/>
              </a:moveTo>
              <a:lnTo>
                <a:pt x="228" y="32"/>
              </a:lnTo>
              <a:lnTo>
                <a:pt x="228" y="2"/>
              </a:lnTo>
              <a:lnTo>
                <a:pt x="0" y="0"/>
              </a:lnTo>
              <a:lnTo>
                <a:pt x="0" y="30"/>
              </a:lnTo>
              <a:lnTo>
                <a:pt x="0" y="60"/>
              </a:lnTo>
              <a:lnTo>
                <a:pt x="228" y="6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333375</xdr:colOff>
      <xdr:row>14</xdr:row>
      <xdr:rowOff>85725</xdr:rowOff>
    </xdr:from>
    <xdr:to>
      <xdr:col>12</xdr:col>
      <xdr:colOff>371475</xdr:colOff>
      <xdr:row>14</xdr:row>
      <xdr:rowOff>104775</xdr:rowOff>
    </xdr:to>
    <xdr:sp macro="" textlink="">
      <xdr:nvSpPr>
        <xdr:cNvPr id="13771" name="Freeform 1354">
          <a:extLst>
            <a:ext uri="{FF2B5EF4-FFF2-40B4-BE49-F238E27FC236}">
              <a16:creationId xmlns:a16="http://schemas.microsoft.com/office/drawing/2014/main" id="{00000000-0008-0000-0700-0000CB350000}"/>
            </a:ext>
          </a:extLst>
        </xdr:cNvPr>
        <xdr:cNvSpPr>
          <a:spLocks/>
        </xdr:cNvSpPr>
      </xdr:nvSpPr>
      <xdr:spPr bwMode="auto">
        <a:xfrm>
          <a:off x="7972425" y="3048000"/>
          <a:ext cx="38100" cy="19050"/>
        </a:xfrm>
        <a:custGeom>
          <a:avLst/>
          <a:gdLst>
            <a:gd name="T0" fmla="*/ 0 w 228"/>
            <a:gd name="T1" fmla="*/ 0 h 63"/>
            <a:gd name="T2" fmla="*/ 0 w 228"/>
            <a:gd name="T3" fmla="*/ 0 h 63"/>
            <a:gd name="T4" fmla="*/ 0 w 228"/>
            <a:gd name="T5" fmla="*/ 0 h 63"/>
            <a:gd name="T6" fmla="*/ 0 w 228"/>
            <a:gd name="T7" fmla="*/ 0 h 63"/>
            <a:gd name="T8" fmla="*/ 0 w 228"/>
            <a:gd name="T9" fmla="*/ 0 h 63"/>
            <a:gd name="T10" fmla="*/ 0 w 228"/>
            <a:gd name="T11" fmla="*/ 0 h 63"/>
            <a:gd name="T12" fmla="*/ 0 w 228"/>
            <a:gd name="T13" fmla="*/ 0 h 6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28"/>
            <a:gd name="T22" fmla="*/ 0 h 63"/>
            <a:gd name="T23" fmla="*/ 228 w 228"/>
            <a:gd name="T24" fmla="*/ 63 h 6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28" h="63">
              <a:moveTo>
                <a:pt x="228" y="63"/>
              </a:moveTo>
              <a:lnTo>
                <a:pt x="228" y="32"/>
              </a:lnTo>
              <a:lnTo>
                <a:pt x="228" y="2"/>
              </a:lnTo>
              <a:lnTo>
                <a:pt x="0" y="0"/>
              </a:lnTo>
              <a:lnTo>
                <a:pt x="0" y="30"/>
              </a:lnTo>
              <a:lnTo>
                <a:pt x="0" y="60"/>
              </a:lnTo>
              <a:lnTo>
                <a:pt x="228" y="63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323850</xdr:colOff>
      <xdr:row>14</xdr:row>
      <xdr:rowOff>85725</xdr:rowOff>
    </xdr:from>
    <xdr:to>
      <xdr:col>12</xdr:col>
      <xdr:colOff>333375</xdr:colOff>
      <xdr:row>14</xdr:row>
      <xdr:rowOff>95250</xdr:rowOff>
    </xdr:to>
    <xdr:sp macro="" textlink="">
      <xdr:nvSpPr>
        <xdr:cNvPr id="13772" name="Freeform 1355">
          <a:extLst>
            <a:ext uri="{FF2B5EF4-FFF2-40B4-BE49-F238E27FC236}">
              <a16:creationId xmlns:a16="http://schemas.microsoft.com/office/drawing/2014/main" id="{00000000-0008-0000-0700-0000CC350000}"/>
            </a:ext>
          </a:extLst>
        </xdr:cNvPr>
        <xdr:cNvSpPr>
          <a:spLocks/>
        </xdr:cNvSpPr>
      </xdr:nvSpPr>
      <xdr:spPr bwMode="auto">
        <a:xfrm>
          <a:off x="7962900" y="3048000"/>
          <a:ext cx="9525" cy="9525"/>
        </a:xfrm>
        <a:custGeom>
          <a:avLst/>
          <a:gdLst>
            <a:gd name="T0" fmla="*/ 0 w 30"/>
            <a:gd name="T1" fmla="*/ 0 h 60"/>
            <a:gd name="T2" fmla="*/ 0 w 30"/>
            <a:gd name="T3" fmla="*/ 0 h 60"/>
            <a:gd name="T4" fmla="*/ 0 w 30"/>
            <a:gd name="T5" fmla="*/ 0 h 60"/>
            <a:gd name="T6" fmla="*/ 0 w 30"/>
            <a:gd name="T7" fmla="*/ 0 h 60"/>
            <a:gd name="T8" fmla="*/ 0 w 30"/>
            <a:gd name="T9" fmla="*/ 0 h 60"/>
            <a:gd name="T10" fmla="*/ 0 w 30"/>
            <a:gd name="T11" fmla="*/ 0 h 60"/>
            <a:gd name="T12" fmla="*/ 0 w 30"/>
            <a:gd name="T13" fmla="*/ 0 h 60"/>
            <a:gd name="T14" fmla="*/ 0 w 30"/>
            <a:gd name="T15" fmla="*/ 0 h 60"/>
            <a:gd name="T16" fmla="*/ 0 w 30"/>
            <a:gd name="T17" fmla="*/ 0 h 60"/>
            <a:gd name="T18" fmla="*/ 0 w 30"/>
            <a:gd name="T19" fmla="*/ 0 h 60"/>
            <a:gd name="T20" fmla="*/ 0 w 30"/>
            <a:gd name="T21" fmla="*/ 0 h 60"/>
            <a:gd name="T22" fmla="*/ 0 w 30"/>
            <a:gd name="T23" fmla="*/ 0 h 60"/>
            <a:gd name="T24" fmla="*/ 0 w 30"/>
            <a:gd name="T25" fmla="*/ 0 h 60"/>
            <a:gd name="T26" fmla="*/ 0 w 30"/>
            <a:gd name="T27" fmla="*/ 0 h 60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0"/>
            <a:gd name="T43" fmla="*/ 0 h 60"/>
            <a:gd name="T44" fmla="*/ 30 w 30"/>
            <a:gd name="T45" fmla="*/ 60 h 60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0" h="60">
              <a:moveTo>
                <a:pt x="30" y="30"/>
              </a:moveTo>
              <a:lnTo>
                <a:pt x="30" y="60"/>
              </a:lnTo>
              <a:lnTo>
                <a:pt x="21" y="59"/>
              </a:lnTo>
              <a:lnTo>
                <a:pt x="14" y="56"/>
              </a:lnTo>
              <a:lnTo>
                <a:pt x="7" y="50"/>
              </a:lnTo>
              <a:lnTo>
                <a:pt x="2" y="43"/>
              </a:lnTo>
              <a:lnTo>
                <a:pt x="0" y="34"/>
              </a:lnTo>
              <a:lnTo>
                <a:pt x="0" y="26"/>
              </a:lnTo>
              <a:lnTo>
                <a:pt x="2" y="16"/>
              </a:lnTo>
              <a:lnTo>
                <a:pt x="7" y="9"/>
              </a:lnTo>
              <a:lnTo>
                <a:pt x="14" y="4"/>
              </a:lnTo>
              <a:lnTo>
                <a:pt x="22" y="1"/>
              </a:lnTo>
              <a:lnTo>
                <a:pt x="30" y="0"/>
              </a:lnTo>
              <a:lnTo>
                <a:pt x="30" y="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323850</xdr:colOff>
      <xdr:row>14</xdr:row>
      <xdr:rowOff>85725</xdr:rowOff>
    </xdr:from>
    <xdr:to>
      <xdr:col>12</xdr:col>
      <xdr:colOff>333375</xdr:colOff>
      <xdr:row>14</xdr:row>
      <xdr:rowOff>95250</xdr:rowOff>
    </xdr:to>
    <xdr:sp macro="" textlink="">
      <xdr:nvSpPr>
        <xdr:cNvPr id="13773" name="Freeform 1356">
          <a:extLst>
            <a:ext uri="{FF2B5EF4-FFF2-40B4-BE49-F238E27FC236}">
              <a16:creationId xmlns:a16="http://schemas.microsoft.com/office/drawing/2014/main" id="{00000000-0008-0000-0700-0000CD350000}"/>
            </a:ext>
          </a:extLst>
        </xdr:cNvPr>
        <xdr:cNvSpPr>
          <a:spLocks/>
        </xdr:cNvSpPr>
      </xdr:nvSpPr>
      <xdr:spPr bwMode="auto">
        <a:xfrm>
          <a:off x="7962900" y="3048000"/>
          <a:ext cx="9525" cy="9525"/>
        </a:xfrm>
        <a:custGeom>
          <a:avLst/>
          <a:gdLst>
            <a:gd name="T0" fmla="*/ 0 w 30"/>
            <a:gd name="T1" fmla="*/ 0 h 60"/>
            <a:gd name="T2" fmla="*/ 0 w 30"/>
            <a:gd name="T3" fmla="*/ 0 h 60"/>
            <a:gd name="T4" fmla="*/ 0 w 30"/>
            <a:gd name="T5" fmla="*/ 0 h 60"/>
            <a:gd name="T6" fmla="*/ 0 w 30"/>
            <a:gd name="T7" fmla="*/ 0 h 60"/>
            <a:gd name="T8" fmla="*/ 0 w 30"/>
            <a:gd name="T9" fmla="*/ 0 h 60"/>
            <a:gd name="T10" fmla="*/ 0 w 30"/>
            <a:gd name="T11" fmla="*/ 0 h 60"/>
            <a:gd name="T12" fmla="*/ 0 w 30"/>
            <a:gd name="T13" fmla="*/ 0 h 60"/>
            <a:gd name="T14" fmla="*/ 0 w 30"/>
            <a:gd name="T15" fmla="*/ 0 h 60"/>
            <a:gd name="T16" fmla="*/ 0 w 30"/>
            <a:gd name="T17" fmla="*/ 0 h 60"/>
            <a:gd name="T18" fmla="*/ 0 w 30"/>
            <a:gd name="T19" fmla="*/ 0 h 60"/>
            <a:gd name="T20" fmla="*/ 0 w 30"/>
            <a:gd name="T21" fmla="*/ 0 h 60"/>
            <a:gd name="T22" fmla="*/ 0 w 30"/>
            <a:gd name="T23" fmla="*/ 0 h 60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0"/>
            <a:gd name="T37" fmla="*/ 0 h 60"/>
            <a:gd name="T38" fmla="*/ 30 w 30"/>
            <a:gd name="T39" fmla="*/ 60 h 60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0" h="60">
              <a:moveTo>
                <a:pt x="30" y="60"/>
              </a:moveTo>
              <a:lnTo>
                <a:pt x="21" y="59"/>
              </a:lnTo>
              <a:lnTo>
                <a:pt x="14" y="56"/>
              </a:lnTo>
              <a:lnTo>
                <a:pt x="7" y="50"/>
              </a:lnTo>
              <a:lnTo>
                <a:pt x="2" y="43"/>
              </a:lnTo>
              <a:lnTo>
                <a:pt x="0" y="34"/>
              </a:lnTo>
              <a:lnTo>
                <a:pt x="0" y="26"/>
              </a:lnTo>
              <a:lnTo>
                <a:pt x="2" y="16"/>
              </a:lnTo>
              <a:lnTo>
                <a:pt x="7" y="9"/>
              </a:lnTo>
              <a:lnTo>
                <a:pt x="14" y="4"/>
              </a:lnTo>
              <a:lnTo>
                <a:pt x="22" y="1"/>
              </a:lnTo>
              <a:lnTo>
                <a:pt x="3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285750</xdr:colOff>
      <xdr:row>14</xdr:row>
      <xdr:rowOff>85725</xdr:rowOff>
    </xdr:from>
    <xdr:to>
      <xdr:col>12</xdr:col>
      <xdr:colOff>285750</xdr:colOff>
      <xdr:row>14</xdr:row>
      <xdr:rowOff>104775</xdr:rowOff>
    </xdr:to>
    <xdr:sp macro="" textlink="">
      <xdr:nvSpPr>
        <xdr:cNvPr id="13774" name="Freeform 1357">
          <a:extLst>
            <a:ext uri="{FF2B5EF4-FFF2-40B4-BE49-F238E27FC236}">
              <a16:creationId xmlns:a16="http://schemas.microsoft.com/office/drawing/2014/main" id="{00000000-0008-0000-0700-0000CE350000}"/>
            </a:ext>
          </a:extLst>
        </xdr:cNvPr>
        <xdr:cNvSpPr>
          <a:spLocks/>
        </xdr:cNvSpPr>
      </xdr:nvSpPr>
      <xdr:spPr bwMode="auto">
        <a:xfrm>
          <a:off x="7924800" y="3048000"/>
          <a:ext cx="0" cy="19050"/>
        </a:xfrm>
        <a:custGeom>
          <a:avLst/>
          <a:gdLst>
            <a:gd name="T0" fmla="*/ 0 w 33"/>
            <a:gd name="T1" fmla="*/ 0 h 61"/>
            <a:gd name="T2" fmla="*/ 0 w 33"/>
            <a:gd name="T3" fmla="*/ 0 h 61"/>
            <a:gd name="T4" fmla="*/ 0 w 33"/>
            <a:gd name="T5" fmla="*/ 0 h 61"/>
            <a:gd name="T6" fmla="*/ 0 w 33"/>
            <a:gd name="T7" fmla="*/ 0 h 61"/>
            <a:gd name="T8" fmla="*/ 0 w 33"/>
            <a:gd name="T9" fmla="*/ 0 h 61"/>
            <a:gd name="T10" fmla="*/ 0 w 33"/>
            <a:gd name="T11" fmla="*/ 0 h 61"/>
            <a:gd name="T12" fmla="*/ 0 w 33"/>
            <a:gd name="T13" fmla="*/ 0 h 61"/>
            <a:gd name="T14" fmla="*/ 0 w 33"/>
            <a:gd name="T15" fmla="*/ 0 h 61"/>
            <a:gd name="T16" fmla="*/ 0 w 33"/>
            <a:gd name="T17" fmla="*/ 0 h 61"/>
            <a:gd name="T18" fmla="*/ 0 w 33"/>
            <a:gd name="T19" fmla="*/ 0 h 61"/>
            <a:gd name="T20" fmla="*/ 0 w 33"/>
            <a:gd name="T21" fmla="*/ 0 h 61"/>
            <a:gd name="T22" fmla="*/ 0 w 33"/>
            <a:gd name="T23" fmla="*/ 0 h 61"/>
            <a:gd name="T24" fmla="*/ 0 w 33"/>
            <a:gd name="T25" fmla="*/ 0 h 61"/>
            <a:gd name="T26" fmla="*/ 0 w 33"/>
            <a:gd name="T27" fmla="*/ 0 h 6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3"/>
            <a:gd name="T43" fmla="*/ 0 h 61"/>
            <a:gd name="T44" fmla="*/ 0 w 33"/>
            <a:gd name="T45" fmla="*/ 61 h 61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3" h="61">
              <a:moveTo>
                <a:pt x="2" y="31"/>
              </a:moveTo>
              <a:lnTo>
                <a:pt x="0" y="0"/>
              </a:lnTo>
              <a:lnTo>
                <a:pt x="8" y="0"/>
              </a:lnTo>
              <a:lnTo>
                <a:pt x="17" y="3"/>
              </a:lnTo>
              <a:lnTo>
                <a:pt x="24" y="8"/>
              </a:lnTo>
              <a:lnTo>
                <a:pt x="29" y="16"/>
              </a:lnTo>
              <a:lnTo>
                <a:pt x="33" y="24"/>
              </a:lnTo>
              <a:lnTo>
                <a:pt x="33" y="33"/>
              </a:lnTo>
              <a:lnTo>
                <a:pt x="31" y="41"/>
              </a:lnTo>
              <a:lnTo>
                <a:pt x="27" y="49"/>
              </a:lnTo>
              <a:lnTo>
                <a:pt x="21" y="56"/>
              </a:lnTo>
              <a:lnTo>
                <a:pt x="13" y="60"/>
              </a:lnTo>
              <a:lnTo>
                <a:pt x="4" y="61"/>
              </a:lnTo>
              <a:lnTo>
                <a:pt x="2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285750</xdr:colOff>
      <xdr:row>14</xdr:row>
      <xdr:rowOff>85725</xdr:rowOff>
    </xdr:from>
    <xdr:to>
      <xdr:col>12</xdr:col>
      <xdr:colOff>285750</xdr:colOff>
      <xdr:row>14</xdr:row>
      <xdr:rowOff>104775</xdr:rowOff>
    </xdr:to>
    <xdr:sp macro="" textlink="">
      <xdr:nvSpPr>
        <xdr:cNvPr id="13775" name="Freeform 1358">
          <a:extLst>
            <a:ext uri="{FF2B5EF4-FFF2-40B4-BE49-F238E27FC236}">
              <a16:creationId xmlns:a16="http://schemas.microsoft.com/office/drawing/2014/main" id="{00000000-0008-0000-0700-0000CF350000}"/>
            </a:ext>
          </a:extLst>
        </xdr:cNvPr>
        <xdr:cNvSpPr>
          <a:spLocks/>
        </xdr:cNvSpPr>
      </xdr:nvSpPr>
      <xdr:spPr bwMode="auto">
        <a:xfrm>
          <a:off x="7924800" y="3048000"/>
          <a:ext cx="0" cy="19050"/>
        </a:xfrm>
        <a:custGeom>
          <a:avLst/>
          <a:gdLst>
            <a:gd name="T0" fmla="*/ 0 w 33"/>
            <a:gd name="T1" fmla="*/ 0 h 61"/>
            <a:gd name="T2" fmla="*/ 0 w 33"/>
            <a:gd name="T3" fmla="*/ 0 h 61"/>
            <a:gd name="T4" fmla="*/ 0 w 33"/>
            <a:gd name="T5" fmla="*/ 0 h 61"/>
            <a:gd name="T6" fmla="*/ 0 w 33"/>
            <a:gd name="T7" fmla="*/ 0 h 61"/>
            <a:gd name="T8" fmla="*/ 0 w 33"/>
            <a:gd name="T9" fmla="*/ 0 h 61"/>
            <a:gd name="T10" fmla="*/ 0 w 33"/>
            <a:gd name="T11" fmla="*/ 0 h 61"/>
            <a:gd name="T12" fmla="*/ 0 w 33"/>
            <a:gd name="T13" fmla="*/ 0 h 61"/>
            <a:gd name="T14" fmla="*/ 0 w 33"/>
            <a:gd name="T15" fmla="*/ 0 h 61"/>
            <a:gd name="T16" fmla="*/ 0 w 33"/>
            <a:gd name="T17" fmla="*/ 0 h 61"/>
            <a:gd name="T18" fmla="*/ 0 w 33"/>
            <a:gd name="T19" fmla="*/ 0 h 61"/>
            <a:gd name="T20" fmla="*/ 0 w 33"/>
            <a:gd name="T21" fmla="*/ 0 h 61"/>
            <a:gd name="T22" fmla="*/ 0 w 33"/>
            <a:gd name="T23" fmla="*/ 0 h 6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3"/>
            <a:gd name="T37" fmla="*/ 0 h 61"/>
            <a:gd name="T38" fmla="*/ 0 w 33"/>
            <a:gd name="T39" fmla="*/ 61 h 6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3" h="61">
              <a:moveTo>
                <a:pt x="0" y="0"/>
              </a:moveTo>
              <a:lnTo>
                <a:pt x="8" y="0"/>
              </a:lnTo>
              <a:lnTo>
                <a:pt x="17" y="3"/>
              </a:lnTo>
              <a:lnTo>
                <a:pt x="24" y="8"/>
              </a:lnTo>
              <a:lnTo>
                <a:pt x="29" y="16"/>
              </a:lnTo>
              <a:lnTo>
                <a:pt x="33" y="24"/>
              </a:lnTo>
              <a:lnTo>
                <a:pt x="33" y="33"/>
              </a:lnTo>
              <a:lnTo>
                <a:pt x="31" y="41"/>
              </a:lnTo>
              <a:lnTo>
                <a:pt x="27" y="49"/>
              </a:lnTo>
              <a:lnTo>
                <a:pt x="21" y="56"/>
              </a:lnTo>
              <a:lnTo>
                <a:pt x="13" y="60"/>
              </a:lnTo>
              <a:lnTo>
                <a:pt x="4" y="61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247650</xdr:colOff>
      <xdr:row>14</xdr:row>
      <xdr:rowOff>85725</xdr:rowOff>
    </xdr:from>
    <xdr:to>
      <xdr:col>12</xdr:col>
      <xdr:colOff>285750</xdr:colOff>
      <xdr:row>14</xdr:row>
      <xdr:rowOff>104775</xdr:rowOff>
    </xdr:to>
    <xdr:sp macro="" textlink="">
      <xdr:nvSpPr>
        <xdr:cNvPr id="13776" name="Freeform 1359">
          <a:extLst>
            <a:ext uri="{FF2B5EF4-FFF2-40B4-BE49-F238E27FC236}">
              <a16:creationId xmlns:a16="http://schemas.microsoft.com/office/drawing/2014/main" id="{00000000-0008-0000-0700-0000D0350000}"/>
            </a:ext>
          </a:extLst>
        </xdr:cNvPr>
        <xdr:cNvSpPr>
          <a:spLocks/>
        </xdr:cNvSpPr>
      </xdr:nvSpPr>
      <xdr:spPr bwMode="auto">
        <a:xfrm>
          <a:off x="7886700" y="3048000"/>
          <a:ext cx="38100" cy="19050"/>
        </a:xfrm>
        <a:custGeom>
          <a:avLst/>
          <a:gdLst>
            <a:gd name="T0" fmla="*/ 0 w 200"/>
            <a:gd name="T1" fmla="*/ 0 h 75"/>
            <a:gd name="T2" fmla="*/ 0 w 200"/>
            <a:gd name="T3" fmla="*/ 0 h 75"/>
            <a:gd name="T4" fmla="*/ 0 w 200"/>
            <a:gd name="T5" fmla="*/ 0 h 75"/>
            <a:gd name="T6" fmla="*/ 0 w 200"/>
            <a:gd name="T7" fmla="*/ 0 h 75"/>
            <a:gd name="T8" fmla="*/ 0 w 200"/>
            <a:gd name="T9" fmla="*/ 0 h 75"/>
            <a:gd name="T10" fmla="*/ 0 w 200"/>
            <a:gd name="T11" fmla="*/ 0 h 75"/>
            <a:gd name="T12" fmla="*/ 0 w 200"/>
            <a:gd name="T13" fmla="*/ 0 h 7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00"/>
            <a:gd name="T22" fmla="*/ 0 h 75"/>
            <a:gd name="T23" fmla="*/ 200 w 200"/>
            <a:gd name="T24" fmla="*/ 75 h 7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00" h="75">
              <a:moveTo>
                <a:pt x="200" y="61"/>
              </a:moveTo>
              <a:lnTo>
                <a:pt x="198" y="31"/>
              </a:lnTo>
              <a:lnTo>
                <a:pt x="196" y="0"/>
              </a:lnTo>
              <a:lnTo>
                <a:pt x="0" y="14"/>
              </a:lnTo>
              <a:lnTo>
                <a:pt x="2" y="44"/>
              </a:lnTo>
              <a:lnTo>
                <a:pt x="4" y="75"/>
              </a:lnTo>
              <a:lnTo>
                <a:pt x="200" y="6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247650</xdr:colOff>
      <xdr:row>14</xdr:row>
      <xdr:rowOff>85725</xdr:rowOff>
    </xdr:from>
    <xdr:to>
      <xdr:col>12</xdr:col>
      <xdr:colOff>285750</xdr:colOff>
      <xdr:row>14</xdr:row>
      <xdr:rowOff>104775</xdr:rowOff>
    </xdr:to>
    <xdr:sp macro="" textlink="">
      <xdr:nvSpPr>
        <xdr:cNvPr id="13777" name="Freeform 1360">
          <a:extLst>
            <a:ext uri="{FF2B5EF4-FFF2-40B4-BE49-F238E27FC236}">
              <a16:creationId xmlns:a16="http://schemas.microsoft.com/office/drawing/2014/main" id="{00000000-0008-0000-0700-0000D1350000}"/>
            </a:ext>
          </a:extLst>
        </xdr:cNvPr>
        <xdr:cNvSpPr>
          <a:spLocks/>
        </xdr:cNvSpPr>
      </xdr:nvSpPr>
      <xdr:spPr bwMode="auto">
        <a:xfrm>
          <a:off x="7886700" y="3048000"/>
          <a:ext cx="38100" cy="19050"/>
        </a:xfrm>
        <a:custGeom>
          <a:avLst/>
          <a:gdLst>
            <a:gd name="T0" fmla="*/ 0 w 200"/>
            <a:gd name="T1" fmla="*/ 0 h 75"/>
            <a:gd name="T2" fmla="*/ 0 w 200"/>
            <a:gd name="T3" fmla="*/ 0 h 75"/>
            <a:gd name="T4" fmla="*/ 0 w 200"/>
            <a:gd name="T5" fmla="*/ 0 h 75"/>
            <a:gd name="T6" fmla="*/ 0 w 200"/>
            <a:gd name="T7" fmla="*/ 0 h 75"/>
            <a:gd name="T8" fmla="*/ 0 w 200"/>
            <a:gd name="T9" fmla="*/ 0 h 75"/>
            <a:gd name="T10" fmla="*/ 0 w 200"/>
            <a:gd name="T11" fmla="*/ 0 h 75"/>
            <a:gd name="T12" fmla="*/ 0 w 200"/>
            <a:gd name="T13" fmla="*/ 0 h 7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00"/>
            <a:gd name="T22" fmla="*/ 0 h 75"/>
            <a:gd name="T23" fmla="*/ 200 w 200"/>
            <a:gd name="T24" fmla="*/ 75 h 7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00" h="75">
              <a:moveTo>
                <a:pt x="200" y="61"/>
              </a:moveTo>
              <a:lnTo>
                <a:pt x="198" y="31"/>
              </a:lnTo>
              <a:lnTo>
                <a:pt x="196" y="0"/>
              </a:lnTo>
              <a:lnTo>
                <a:pt x="0" y="14"/>
              </a:lnTo>
              <a:lnTo>
                <a:pt x="2" y="44"/>
              </a:lnTo>
              <a:lnTo>
                <a:pt x="4" y="75"/>
              </a:lnTo>
              <a:lnTo>
                <a:pt x="200" y="6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247650</xdr:colOff>
      <xdr:row>14</xdr:row>
      <xdr:rowOff>95250</xdr:rowOff>
    </xdr:from>
    <xdr:to>
      <xdr:col>12</xdr:col>
      <xdr:colOff>247650</xdr:colOff>
      <xdr:row>14</xdr:row>
      <xdr:rowOff>95250</xdr:rowOff>
    </xdr:to>
    <xdr:sp macro="" textlink="">
      <xdr:nvSpPr>
        <xdr:cNvPr id="13778" name="Freeform 1361">
          <a:extLst>
            <a:ext uri="{FF2B5EF4-FFF2-40B4-BE49-F238E27FC236}">
              <a16:creationId xmlns:a16="http://schemas.microsoft.com/office/drawing/2014/main" id="{00000000-0008-0000-0700-0000D2350000}"/>
            </a:ext>
          </a:extLst>
        </xdr:cNvPr>
        <xdr:cNvSpPr>
          <a:spLocks/>
        </xdr:cNvSpPr>
      </xdr:nvSpPr>
      <xdr:spPr bwMode="auto">
        <a:xfrm>
          <a:off x="7886700" y="3057525"/>
          <a:ext cx="0" cy="0"/>
        </a:xfrm>
        <a:custGeom>
          <a:avLst/>
          <a:gdLst>
            <a:gd name="T0" fmla="*/ 0 w 6"/>
            <a:gd name="T1" fmla="*/ 0 h 30"/>
            <a:gd name="T2" fmla="*/ 0 w 6"/>
            <a:gd name="T3" fmla="*/ 0 h 30"/>
            <a:gd name="T4" fmla="*/ 0 w 6"/>
            <a:gd name="T5" fmla="*/ 0 h 30"/>
            <a:gd name="T6" fmla="*/ 0 w 6"/>
            <a:gd name="T7" fmla="*/ 0 h 30"/>
            <a:gd name="T8" fmla="*/ 0 60000 65536"/>
            <a:gd name="T9" fmla="*/ 0 60000 65536"/>
            <a:gd name="T10" fmla="*/ 0 60000 65536"/>
            <a:gd name="T11" fmla="*/ 0 60000 65536"/>
            <a:gd name="T12" fmla="*/ 0 w 6"/>
            <a:gd name="T13" fmla="*/ 0 h 30"/>
            <a:gd name="T14" fmla="*/ 6 w 6"/>
            <a:gd name="T15" fmla="*/ 30 h 3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" h="30">
              <a:moveTo>
                <a:pt x="6" y="30"/>
              </a:moveTo>
              <a:lnTo>
                <a:pt x="4" y="0"/>
              </a:lnTo>
              <a:lnTo>
                <a:pt x="0" y="0"/>
              </a:lnTo>
              <a:lnTo>
                <a:pt x="6" y="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247650</xdr:colOff>
      <xdr:row>14</xdr:row>
      <xdr:rowOff>95250</xdr:rowOff>
    </xdr:from>
    <xdr:to>
      <xdr:col>12</xdr:col>
      <xdr:colOff>247650</xdr:colOff>
      <xdr:row>14</xdr:row>
      <xdr:rowOff>95250</xdr:rowOff>
    </xdr:to>
    <xdr:sp macro="" textlink="">
      <xdr:nvSpPr>
        <xdr:cNvPr id="13779" name="Line 1362">
          <a:extLst>
            <a:ext uri="{FF2B5EF4-FFF2-40B4-BE49-F238E27FC236}">
              <a16:creationId xmlns:a16="http://schemas.microsoft.com/office/drawing/2014/main" id="{00000000-0008-0000-0700-0000D3350000}"/>
            </a:ext>
          </a:extLst>
        </xdr:cNvPr>
        <xdr:cNvSpPr>
          <a:spLocks noChangeShapeType="1"/>
        </xdr:cNvSpPr>
      </xdr:nvSpPr>
      <xdr:spPr bwMode="auto">
        <a:xfrm flipH="1">
          <a:off x="7886700" y="3057525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200025</xdr:colOff>
      <xdr:row>14</xdr:row>
      <xdr:rowOff>95250</xdr:rowOff>
    </xdr:from>
    <xdr:to>
      <xdr:col>12</xdr:col>
      <xdr:colOff>247650</xdr:colOff>
      <xdr:row>14</xdr:row>
      <xdr:rowOff>114300</xdr:rowOff>
    </xdr:to>
    <xdr:sp macro="" textlink="">
      <xdr:nvSpPr>
        <xdr:cNvPr id="13780" name="Freeform 1363">
          <a:extLst>
            <a:ext uri="{FF2B5EF4-FFF2-40B4-BE49-F238E27FC236}">
              <a16:creationId xmlns:a16="http://schemas.microsoft.com/office/drawing/2014/main" id="{00000000-0008-0000-0700-0000D4350000}"/>
            </a:ext>
          </a:extLst>
        </xdr:cNvPr>
        <xdr:cNvSpPr>
          <a:spLocks/>
        </xdr:cNvSpPr>
      </xdr:nvSpPr>
      <xdr:spPr bwMode="auto">
        <a:xfrm>
          <a:off x="7839075" y="3057525"/>
          <a:ext cx="47625" cy="19050"/>
        </a:xfrm>
        <a:custGeom>
          <a:avLst/>
          <a:gdLst>
            <a:gd name="T0" fmla="*/ 0 w 341"/>
            <a:gd name="T1" fmla="*/ 0 h 114"/>
            <a:gd name="T2" fmla="*/ 0 w 341"/>
            <a:gd name="T3" fmla="*/ 0 h 114"/>
            <a:gd name="T4" fmla="*/ 0 w 341"/>
            <a:gd name="T5" fmla="*/ 0 h 114"/>
            <a:gd name="T6" fmla="*/ 0 w 341"/>
            <a:gd name="T7" fmla="*/ 0 h 114"/>
            <a:gd name="T8" fmla="*/ 0 w 341"/>
            <a:gd name="T9" fmla="*/ 0 h 114"/>
            <a:gd name="T10" fmla="*/ 0 w 341"/>
            <a:gd name="T11" fmla="*/ 0 h 114"/>
            <a:gd name="T12" fmla="*/ 0 w 341"/>
            <a:gd name="T13" fmla="*/ 0 h 11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1"/>
            <a:gd name="T22" fmla="*/ 0 h 114"/>
            <a:gd name="T23" fmla="*/ 341 w 341"/>
            <a:gd name="T24" fmla="*/ 114 h 11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1" h="114">
              <a:moveTo>
                <a:pt x="341" y="61"/>
              </a:moveTo>
              <a:lnTo>
                <a:pt x="336" y="30"/>
              </a:lnTo>
              <a:lnTo>
                <a:pt x="330" y="0"/>
              </a:lnTo>
              <a:lnTo>
                <a:pt x="0" y="53"/>
              </a:lnTo>
              <a:lnTo>
                <a:pt x="5" y="84"/>
              </a:lnTo>
              <a:lnTo>
                <a:pt x="10" y="114"/>
              </a:lnTo>
              <a:lnTo>
                <a:pt x="341" y="6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200025</xdr:colOff>
      <xdr:row>14</xdr:row>
      <xdr:rowOff>95250</xdr:rowOff>
    </xdr:from>
    <xdr:to>
      <xdr:col>12</xdr:col>
      <xdr:colOff>247650</xdr:colOff>
      <xdr:row>14</xdr:row>
      <xdr:rowOff>114300</xdr:rowOff>
    </xdr:to>
    <xdr:sp macro="" textlink="">
      <xdr:nvSpPr>
        <xdr:cNvPr id="13781" name="Freeform 1364">
          <a:extLst>
            <a:ext uri="{FF2B5EF4-FFF2-40B4-BE49-F238E27FC236}">
              <a16:creationId xmlns:a16="http://schemas.microsoft.com/office/drawing/2014/main" id="{00000000-0008-0000-0700-0000D5350000}"/>
            </a:ext>
          </a:extLst>
        </xdr:cNvPr>
        <xdr:cNvSpPr>
          <a:spLocks/>
        </xdr:cNvSpPr>
      </xdr:nvSpPr>
      <xdr:spPr bwMode="auto">
        <a:xfrm>
          <a:off x="7839075" y="3057525"/>
          <a:ext cx="47625" cy="19050"/>
        </a:xfrm>
        <a:custGeom>
          <a:avLst/>
          <a:gdLst>
            <a:gd name="T0" fmla="*/ 0 w 341"/>
            <a:gd name="T1" fmla="*/ 0 h 114"/>
            <a:gd name="T2" fmla="*/ 0 w 341"/>
            <a:gd name="T3" fmla="*/ 0 h 114"/>
            <a:gd name="T4" fmla="*/ 0 w 341"/>
            <a:gd name="T5" fmla="*/ 0 h 114"/>
            <a:gd name="T6" fmla="*/ 0 w 341"/>
            <a:gd name="T7" fmla="*/ 0 h 114"/>
            <a:gd name="T8" fmla="*/ 0 w 341"/>
            <a:gd name="T9" fmla="*/ 0 h 114"/>
            <a:gd name="T10" fmla="*/ 0 w 341"/>
            <a:gd name="T11" fmla="*/ 0 h 114"/>
            <a:gd name="T12" fmla="*/ 0 w 341"/>
            <a:gd name="T13" fmla="*/ 0 h 11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1"/>
            <a:gd name="T22" fmla="*/ 0 h 114"/>
            <a:gd name="T23" fmla="*/ 341 w 341"/>
            <a:gd name="T24" fmla="*/ 114 h 11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1" h="114">
              <a:moveTo>
                <a:pt x="341" y="61"/>
              </a:moveTo>
              <a:lnTo>
                <a:pt x="336" y="30"/>
              </a:lnTo>
              <a:lnTo>
                <a:pt x="330" y="0"/>
              </a:lnTo>
              <a:lnTo>
                <a:pt x="0" y="53"/>
              </a:lnTo>
              <a:lnTo>
                <a:pt x="5" y="84"/>
              </a:lnTo>
              <a:lnTo>
                <a:pt x="10" y="114"/>
              </a:lnTo>
              <a:lnTo>
                <a:pt x="341" y="6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200025</xdr:colOff>
      <xdr:row>14</xdr:row>
      <xdr:rowOff>104775</xdr:rowOff>
    </xdr:from>
    <xdr:to>
      <xdr:col>12</xdr:col>
      <xdr:colOff>200025</xdr:colOff>
      <xdr:row>14</xdr:row>
      <xdr:rowOff>114300</xdr:rowOff>
    </xdr:to>
    <xdr:sp macro="" textlink="">
      <xdr:nvSpPr>
        <xdr:cNvPr id="13782" name="Freeform 1365">
          <a:extLst>
            <a:ext uri="{FF2B5EF4-FFF2-40B4-BE49-F238E27FC236}">
              <a16:creationId xmlns:a16="http://schemas.microsoft.com/office/drawing/2014/main" id="{00000000-0008-0000-0700-0000D6350000}"/>
            </a:ext>
          </a:extLst>
        </xdr:cNvPr>
        <xdr:cNvSpPr>
          <a:spLocks/>
        </xdr:cNvSpPr>
      </xdr:nvSpPr>
      <xdr:spPr bwMode="auto">
        <a:xfrm>
          <a:off x="7839075" y="3067050"/>
          <a:ext cx="0" cy="9525"/>
        </a:xfrm>
        <a:custGeom>
          <a:avLst/>
          <a:gdLst>
            <a:gd name="T0" fmla="*/ 0 w 7"/>
            <a:gd name="T1" fmla="*/ 0 h 31"/>
            <a:gd name="T2" fmla="*/ 0 w 7"/>
            <a:gd name="T3" fmla="*/ 0 h 31"/>
            <a:gd name="T4" fmla="*/ 0 w 7"/>
            <a:gd name="T5" fmla="*/ 0 h 31"/>
            <a:gd name="T6" fmla="*/ 0 w 7"/>
            <a:gd name="T7" fmla="*/ 0 h 31"/>
            <a:gd name="T8" fmla="*/ 0 60000 65536"/>
            <a:gd name="T9" fmla="*/ 0 60000 65536"/>
            <a:gd name="T10" fmla="*/ 0 60000 65536"/>
            <a:gd name="T11" fmla="*/ 0 60000 65536"/>
            <a:gd name="T12" fmla="*/ 0 w 7"/>
            <a:gd name="T13" fmla="*/ 0 h 31"/>
            <a:gd name="T14" fmla="*/ 0 w 7"/>
            <a:gd name="T15" fmla="*/ 31 h 3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" h="31">
              <a:moveTo>
                <a:pt x="7" y="31"/>
              </a:moveTo>
              <a:lnTo>
                <a:pt x="2" y="0"/>
              </a:lnTo>
              <a:lnTo>
                <a:pt x="0" y="0"/>
              </a:lnTo>
              <a:lnTo>
                <a:pt x="7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200025</xdr:colOff>
      <xdr:row>14</xdr:row>
      <xdr:rowOff>104775</xdr:rowOff>
    </xdr:from>
    <xdr:to>
      <xdr:col>12</xdr:col>
      <xdr:colOff>200025</xdr:colOff>
      <xdr:row>14</xdr:row>
      <xdr:rowOff>104775</xdr:rowOff>
    </xdr:to>
    <xdr:sp macro="" textlink="">
      <xdr:nvSpPr>
        <xdr:cNvPr id="13783" name="Line 1366">
          <a:extLst>
            <a:ext uri="{FF2B5EF4-FFF2-40B4-BE49-F238E27FC236}">
              <a16:creationId xmlns:a16="http://schemas.microsoft.com/office/drawing/2014/main" id="{00000000-0008-0000-0700-0000D7350000}"/>
            </a:ext>
          </a:extLst>
        </xdr:cNvPr>
        <xdr:cNvSpPr>
          <a:spLocks noChangeShapeType="1"/>
        </xdr:cNvSpPr>
      </xdr:nvSpPr>
      <xdr:spPr bwMode="auto">
        <a:xfrm flipH="1">
          <a:off x="7839075" y="3067050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142875</xdr:colOff>
      <xdr:row>14</xdr:row>
      <xdr:rowOff>104775</xdr:rowOff>
    </xdr:from>
    <xdr:to>
      <xdr:col>12</xdr:col>
      <xdr:colOff>190500</xdr:colOff>
      <xdr:row>14</xdr:row>
      <xdr:rowOff>123825</xdr:rowOff>
    </xdr:to>
    <xdr:sp macro="" textlink="">
      <xdr:nvSpPr>
        <xdr:cNvPr id="13784" name="Freeform 1367">
          <a:extLst>
            <a:ext uri="{FF2B5EF4-FFF2-40B4-BE49-F238E27FC236}">
              <a16:creationId xmlns:a16="http://schemas.microsoft.com/office/drawing/2014/main" id="{00000000-0008-0000-0700-0000D8350000}"/>
            </a:ext>
          </a:extLst>
        </xdr:cNvPr>
        <xdr:cNvSpPr>
          <a:spLocks/>
        </xdr:cNvSpPr>
      </xdr:nvSpPr>
      <xdr:spPr bwMode="auto">
        <a:xfrm>
          <a:off x="7781925" y="3067050"/>
          <a:ext cx="47625" cy="19050"/>
        </a:xfrm>
        <a:custGeom>
          <a:avLst/>
          <a:gdLst>
            <a:gd name="T0" fmla="*/ 0 w 315"/>
            <a:gd name="T1" fmla="*/ 0 h 140"/>
            <a:gd name="T2" fmla="*/ 0 w 315"/>
            <a:gd name="T3" fmla="*/ 0 h 140"/>
            <a:gd name="T4" fmla="*/ 0 w 315"/>
            <a:gd name="T5" fmla="*/ 0 h 140"/>
            <a:gd name="T6" fmla="*/ 0 w 315"/>
            <a:gd name="T7" fmla="*/ 0 h 140"/>
            <a:gd name="T8" fmla="*/ 0 w 315"/>
            <a:gd name="T9" fmla="*/ 0 h 140"/>
            <a:gd name="T10" fmla="*/ 0 w 315"/>
            <a:gd name="T11" fmla="*/ 0 h 140"/>
            <a:gd name="T12" fmla="*/ 0 w 315"/>
            <a:gd name="T13" fmla="*/ 0 h 140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15"/>
            <a:gd name="T22" fmla="*/ 0 h 140"/>
            <a:gd name="T23" fmla="*/ 315 w 315"/>
            <a:gd name="T24" fmla="*/ 140 h 140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15" h="140">
              <a:moveTo>
                <a:pt x="315" y="61"/>
              </a:moveTo>
              <a:lnTo>
                <a:pt x="308" y="31"/>
              </a:lnTo>
              <a:lnTo>
                <a:pt x="301" y="0"/>
              </a:lnTo>
              <a:lnTo>
                <a:pt x="0" y="79"/>
              </a:lnTo>
              <a:lnTo>
                <a:pt x="8" y="109"/>
              </a:lnTo>
              <a:lnTo>
                <a:pt x="15" y="140"/>
              </a:lnTo>
              <a:lnTo>
                <a:pt x="315" y="6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142875</xdr:colOff>
      <xdr:row>14</xdr:row>
      <xdr:rowOff>104775</xdr:rowOff>
    </xdr:from>
    <xdr:to>
      <xdr:col>12</xdr:col>
      <xdr:colOff>190500</xdr:colOff>
      <xdr:row>14</xdr:row>
      <xdr:rowOff>123825</xdr:rowOff>
    </xdr:to>
    <xdr:sp macro="" textlink="">
      <xdr:nvSpPr>
        <xdr:cNvPr id="13785" name="Freeform 1368">
          <a:extLst>
            <a:ext uri="{FF2B5EF4-FFF2-40B4-BE49-F238E27FC236}">
              <a16:creationId xmlns:a16="http://schemas.microsoft.com/office/drawing/2014/main" id="{00000000-0008-0000-0700-0000D9350000}"/>
            </a:ext>
          </a:extLst>
        </xdr:cNvPr>
        <xdr:cNvSpPr>
          <a:spLocks/>
        </xdr:cNvSpPr>
      </xdr:nvSpPr>
      <xdr:spPr bwMode="auto">
        <a:xfrm>
          <a:off x="7781925" y="3067050"/>
          <a:ext cx="47625" cy="19050"/>
        </a:xfrm>
        <a:custGeom>
          <a:avLst/>
          <a:gdLst>
            <a:gd name="T0" fmla="*/ 0 w 315"/>
            <a:gd name="T1" fmla="*/ 0 h 140"/>
            <a:gd name="T2" fmla="*/ 0 w 315"/>
            <a:gd name="T3" fmla="*/ 0 h 140"/>
            <a:gd name="T4" fmla="*/ 0 w 315"/>
            <a:gd name="T5" fmla="*/ 0 h 140"/>
            <a:gd name="T6" fmla="*/ 0 w 315"/>
            <a:gd name="T7" fmla="*/ 0 h 140"/>
            <a:gd name="T8" fmla="*/ 0 w 315"/>
            <a:gd name="T9" fmla="*/ 0 h 140"/>
            <a:gd name="T10" fmla="*/ 0 w 315"/>
            <a:gd name="T11" fmla="*/ 0 h 140"/>
            <a:gd name="T12" fmla="*/ 0 w 315"/>
            <a:gd name="T13" fmla="*/ 0 h 140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15"/>
            <a:gd name="T22" fmla="*/ 0 h 140"/>
            <a:gd name="T23" fmla="*/ 315 w 315"/>
            <a:gd name="T24" fmla="*/ 140 h 140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15" h="140">
              <a:moveTo>
                <a:pt x="315" y="61"/>
              </a:moveTo>
              <a:lnTo>
                <a:pt x="308" y="31"/>
              </a:lnTo>
              <a:lnTo>
                <a:pt x="301" y="0"/>
              </a:lnTo>
              <a:lnTo>
                <a:pt x="0" y="79"/>
              </a:lnTo>
              <a:lnTo>
                <a:pt x="8" y="109"/>
              </a:lnTo>
              <a:lnTo>
                <a:pt x="15" y="140"/>
              </a:lnTo>
              <a:lnTo>
                <a:pt x="315" y="6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142875</xdr:colOff>
      <xdr:row>14</xdr:row>
      <xdr:rowOff>123825</xdr:rowOff>
    </xdr:from>
    <xdr:to>
      <xdr:col>12</xdr:col>
      <xdr:colOff>142875</xdr:colOff>
      <xdr:row>14</xdr:row>
      <xdr:rowOff>123825</xdr:rowOff>
    </xdr:to>
    <xdr:sp macro="" textlink="">
      <xdr:nvSpPr>
        <xdr:cNvPr id="13786" name="Freeform 1369">
          <a:extLst>
            <a:ext uri="{FF2B5EF4-FFF2-40B4-BE49-F238E27FC236}">
              <a16:creationId xmlns:a16="http://schemas.microsoft.com/office/drawing/2014/main" id="{00000000-0008-0000-0700-0000DA350000}"/>
            </a:ext>
          </a:extLst>
        </xdr:cNvPr>
        <xdr:cNvSpPr>
          <a:spLocks/>
        </xdr:cNvSpPr>
      </xdr:nvSpPr>
      <xdr:spPr bwMode="auto">
        <a:xfrm>
          <a:off x="7781925" y="3086100"/>
          <a:ext cx="0" cy="0"/>
        </a:xfrm>
        <a:custGeom>
          <a:avLst/>
          <a:gdLst>
            <a:gd name="T0" fmla="*/ 0 w 12"/>
            <a:gd name="T1" fmla="*/ 0 h 30"/>
            <a:gd name="T2" fmla="*/ 0 w 12"/>
            <a:gd name="T3" fmla="*/ 0 h 30"/>
            <a:gd name="T4" fmla="*/ 0 w 12"/>
            <a:gd name="T5" fmla="*/ 0 h 30"/>
            <a:gd name="T6" fmla="*/ 0 w 12"/>
            <a:gd name="T7" fmla="*/ 0 h 30"/>
            <a:gd name="T8" fmla="*/ 0 60000 65536"/>
            <a:gd name="T9" fmla="*/ 0 60000 65536"/>
            <a:gd name="T10" fmla="*/ 0 60000 65536"/>
            <a:gd name="T11" fmla="*/ 0 60000 65536"/>
            <a:gd name="T12" fmla="*/ 0 w 12"/>
            <a:gd name="T13" fmla="*/ 0 h 30"/>
            <a:gd name="T14" fmla="*/ 12 w 12"/>
            <a:gd name="T15" fmla="*/ 30 h 3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" h="30">
              <a:moveTo>
                <a:pt x="12" y="30"/>
              </a:moveTo>
              <a:lnTo>
                <a:pt x="4" y="0"/>
              </a:lnTo>
              <a:lnTo>
                <a:pt x="0" y="2"/>
              </a:lnTo>
              <a:lnTo>
                <a:pt x="12" y="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142875</xdr:colOff>
      <xdr:row>14</xdr:row>
      <xdr:rowOff>123825</xdr:rowOff>
    </xdr:from>
    <xdr:to>
      <xdr:col>12</xdr:col>
      <xdr:colOff>142875</xdr:colOff>
      <xdr:row>14</xdr:row>
      <xdr:rowOff>123825</xdr:rowOff>
    </xdr:to>
    <xdr:sp macro="" textlink="">
      <xdr:nvSpPr>
        <xdr:cNvPr id="13787" name="Line 1370">
          <a:extLst>
            <a:ext uri="{FF2B5EF4-FFF2-40B4-BE49-F238E27FC236}">
              <a16:creationId xmlns:a16="http://schemas.microsoft.com/office/drawing/2014/main" id="{00000000-0008-0000-0700-0000DB350000}"/>
            </a:ext>
          </a:extLst>
        </xdr:cNvPr>
        <xdr:cNvSpPr>
          <a:spLocks noChangeShapeType="1"/>
        </xdr:cNvSpPr>
      </xdr:nvSpPr>
      <xdr:spPr bwMode="auto">
        <a:xfrm flipH="1">
          <a:off x="7781925" y="3086100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104775</xdr:colOff>
      <xdr:row>14</xdr:row>
      <xdr:rowOff>123825</xdr:rowOff>
    </xdr:from>
    <xdr:to>
      <xdr:col>12</xdr:col>
      <xdr:colOff>152400</xdr:colOff>
      <xdr:row>14</xdr:row>
      <xdr:rowOff>171450</xdr:rowOff>
    </xdr:to>
    <xdr:sp macro="" textlink="">
      <xdr:nvSpPr>
        <xdr:cNvPr id="13788" name="Freeform 1371">
          <a:extLst>
            <a:ext uri="{FF2B5EF4-FFF2-40B4-BE49-F238E27FC236}">
              <a16:creationId xmlns:a16="http://schemas.microsoft.com/office/drawing/2014/main" id="{00000000-0008-0000-0700-0000DC350000}"/>
            </a:ext>
          </a:extLst>
        </xdr:cNvPr>
        <xdr:cNvSpPr>
          <a:spLocks/>
        </xdr:cNvSpPr>
      </xdr:nvSpPr>
      <xdr:spPr bwMode="auto">
        <a:xfrm>
          <a:off x="7743825" y="3086100"/>
          <a:ext cx="47625" cy="47625"/>
        </a:xfrm>
        <a:custGeom>
          <a:avLst/>
          <a:gdLst>
            <a:gd name="T0" fmla="*/ 0 w 277"/>
            <a:gd name="T1" fmla="*/ 0 h 157"/>
            <a:gd name="T2" fmla="*/ 0 w 277"/>
            <a:gd name="T3" fmla="*/ 0 h 157"/>
            <a:gd name="T4" fmla="*/ 0 w 277"/>
            <a:gd name="T5" fmla="*/ 0 h 157"/>
            <a:gd name="T6" fmla="*/ 0 w 277"/>
            <a:gd name="T7" fmla="*/ 0 h 157"/>
            <a:gd name="T8" fmla="*/ 0 w 277"/>
            <a:gd name="T9" fmla="*/ 0 h 157"/>
            <a:gd name="T10" fmla="*/ 0 w 277"/>
            <a:gd name="T11" fmla="*/ 0 h 157"/>
            <a:gd name="T12" fmla="*/ 0 w 277"/>
            <a:gd name="T13" fmla="*/ 0 h 15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77"/>
            <a:gd name="T22" fmla="*/ 0 h 157"/>
            <a:gd name="T23" fmla="*/ 277 w 277"/>
            <a:gd name="T24" fmla="*/ 157 h 15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77" h="157">
              <a:moveTo>
                <a:pt x="277" y="57"/>
              </a:moveTo>
              <a:lnTo>
                <a:pt x="266" y="28"/>
              </a:lnTo>
              <a:lnTo>
                <a:pt x="254" y="0"/>
              </a:lnTo>
              <a:lnTo>
                <a:pt x="0" y="100"/>
              </a:lnTo>
              <a:lnTo>
                <a:pt x="12" y="128"/>
              </a:lnTo>
              <a:lnTo>
                <a:pt x="23" y="157"/>
              </a:lnTo>
              <a:lnTo>
                <a:pt x="277" y="57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104775</xdr:colOff>
      <xdr:row>14</xdr:row>
      <xdr:rowOff>123825</xdr:rowOff>
    </xdr:from>
    <xdr:to>
      <xdr:col>12</xdr:col>
      <xdr:colOff>152400</xdr:colOff>
      <xdr:row>14</xdr:row>
      <xdr:rowOff>171450</xdr:rowOff>
    </xdr:to>
    <xdr:sp macro="" textlink="">
      <xdr:nvSpPr>
        <xdr:cNvPr id="13789" name="Freeform 1372">
          <a:extLst>
            <a:ext uri="{FF2B5EF4-FFF2-40B4-BE49-F238E27FC236}">
              <a16:creationId xmlns:a16="http://schemas.microsoft.com/office/drawing/2014/main" id="{00000000-0008-0000-0700-0000DD350000}"/>
            </a:ext>
          </a:extLst>
        </xdr:cNvPr>
        <xdr:cNvSpPr>
          <a:spLocks/>
        </xdr:cNvSpPr>
      </xdr:nvSpPr>
      <xdr:spPr bwMode="auto">
        <a:xfrm>
          <a:off x="7743825" y="3086100"/>
          <a:ext cx="47625" cy="47625"/>
        </a:xfrm>
        <a:custGeom>
          <a:avLst/>
          <a:gdLst>
            <a:gd name="T0" fmla="*/ 0 w 277"/>
            <a:gd name="T1" fmla="*/ 0 h 157"/>
            <a:gd name="T2" fmla="*/ 0 w 277"/>
            <a:gd name="T3" fmla="*/ 0 h 157"/>
            <a:gd name="T4" fmla="*/ 0 w 277"/>
            <a:gd name="T5" fmla="*/ 0 h 157"/>
            <a:gd name="T6" fmla="*/ 0 w 277"/>
            <a:gd name="T7" fmla="*/ 0 h 157"/>
            <a:gd name="T8" fmla="*/ 0 w 277"/>
            <a:gd name="T9" fmla="*/ 0 h 157"/>
            <a:gd name="T10" fmla="*/ 0 w 277"/>
            <a:gd name="T11" fmla="*/ 0 h 157"/>
            <a:gd name="T12" fmla="*/ 0 w 277"/>
            <a:gd name="T13" fmla="*/ 0 h 15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77"/>
            <a:gd name="T22" fmla="*/ 0 h 157"/>
            <a:gd name="T23" fmla="*/ 277 w 277"/>
            <a:gd name="T24" fmla="*/ 157 h 15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77" h="157">
              <a:moveTo>
                <a:pt x="277" y="57"/>
              </a:moveTo>
              <a:lnTo>
                <a:pt x="266" y="28"/>
              </a:lnTo>
              <a:lnTo>
                <a:pt x="254" y="0"/>
              </a:lnTo>
              <a:lnTo>
                <a:pt x="0" y="100"/>
              </a:lnTo>
              <a:lnTo>
                <a:pt x="12" y="128"/>
              </a:lnTo>
              <a:lnTo>
                <a:pt x="23" y="157"/>
              </a:lnTo>
              <a:lnTo>
                <a:pt x="277" y="57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104775</xdr:colOff>
      <xdr:row>14</xdr:row>
      <xdr:rowOff>142875</xdr:rowOff>
    </xdr:from>
    <xdr:to>
      <xdr:col>12</xdr:col>
      <xdr:colOff>114300</xdr:colOff>
      <xdr:row>14</xdr:row>
      <xdr:rowOff>161925</xdr:rowOff>
    </xdr:to>
    <xdr:sp macro="" textlink="">
      <xdr:nvSpPr>
        <xdr:cNvPr id="13790" name="Freeform 1373">
          <a:extLst>
            <a:ext uri="{FF2B5EF4-FFF2-40B4-BE49-F238E27FC236}">
              <a16:creationId xmlns:a16="http://schemas.microsoft.com/office/drawing/2014/main" id="{00000000-0008-0000-0700-0000DE350000}"/>
            </a:ext>
          </a:extLst>
        </xdr:cNvPr>
        <xdr:cNvSpPr>
          <a:spLocks/>
        </xdr:cNvSpPr>
      </xdr:nvSpPr>
      <xdr:spPr bwMode="auto">
        <a:xfrm>
          <a:off x="7743825" y="3105150"/>
          <a:ext cx="9525" cy="19050"/>
        </a:xfrm>
        <a:custGeom>
          <a:avLst/>
          <a:gdLst>
            <a:gd name="T0" fmla="*/ 0 w 42"/>
            <a:gd name="T1" fmla="*/ 0 h 59"/>
            <a:gd name="T2" fmla="*/ 0 w 42"/>
            <a:gd name="T3" fmla="*/ 0 h 59"/>
            <a:gd name="T4" fmla="*/ 0 w 42"/>
            <a:gd name="T5" fmla="*/ 0 h 59"/>
            <a:gd name="T6" fmla="*/ 0 w 42"/>
            <a:gd name="T7" fmla="*/ 0 h 59"/>
            <a:gd name="T8" fmla="*/ 0 w 42"/>
            <a:gd name="T9" fmla="*/ 0 h 59"/>
            <a:gd name="T10" fmla="*/ 0 w 42"/>
            <a:gd name="T11" fmla="*/ 0 h 59"/>
            <a:gd name="T12" fmla="*/ 0 w 42"/>
            <a:gd name="T13" fmla="*/ 0 h 59"/>
            <a:gd name="T14" fmla="*/ 0 w 42"/>
            <a:gd name="T15" fmla="*/ 0 h 59"/>
            <a:gd name="T16" fmla="*/ 0 w 42"/>
            <a:gd name="T17" fmla="*/ 0 h 59"/>
            <a:gd name="T18" fmla="*/ 0 w 42"/>
            <a:gd name="T19" fmla="*/ 0 h 59"/>
            <a:gd name="T20" fmla="*/ 0 w 42"/>
            <a:gd name="T21" fmla="*/ 0 h 59"/>
            <a:gd name="T22" fmla="*/ 0 w 42"/>
            <a:gd name="T23" fmla="*/ 0 h 59"/>
            <a:gd name="T24" fmla="*/ 0 w 42"/>
            <a:gd name="T25" fmla="*/ 0 h 59"/>
            <a:gd name="T26" fmla="*/ 0 w 42"/>
            <a:gd name="T27" fmla="*/ 0 h 59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42"/>
            <a:gd name="T43" fmla="*/ 0 h 59"/>
            <a:gd name="T44" fmla="*/ 42 w 42"/>
            <a:gd name="T45" fmla="*/ 59 h 59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42" h="59">
              <a:moveTo>
                <a:pt x="31" y="28"/>
              </a:moveTo>
              <a:lnTo>
                <a:pt x="42" y="57"/>
              </a:lnTo>
              <a:lnTo>
                <a:pt x="34" y="59"/>
              </a:lnTo>
              <a:lnTo>
                <a:pt x="24" y="59"/>
              </a:lnTo>
              <a:lnTo>
                <a:pt x="16" y="56"/>
              </a:lnTo>
              <a:lnTo>
                <a:pt x="10" y="50"/>
              </a:lnTo>
              <a:lnTo>
                <a:pt x="3" y="44"/>
              </a:lnTo>
              <a:lnTo>
                <a:pt x="0" y="36"/>
              </a:lnTo>
              <a:lnTo>
                <a:pt x="0" y="26"/>
              </a:lnTo>
              <a:lnTo>
                <a:pt x="1" y="18"/>
              </a:lnTo>
              <a:lnTo>
                <a:pt x="5" y="10"/>
              </a:lnTo>
              <a:lnTo>
                <a:pt x="12" y="4"/>
              </a:lnTo>
              <a:lnTo>
                <a:pt x="19" y="0"/>
              </a:lnTo>
              <a:lnTo>
                <a:pt x="31" y="28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104775</xdr:colOff>
      <xdr:row>14</xdr:row>
      <xdr:rowOff>142875</xdr:rowOff>
    </xdr:from>
    <xdr:to>
      <xdr:col>12</xdr:col>
      <xdr:colOff>114300</xdr:colOff>
      <xdr:row>14</xdr:row>
      <xdr:rowOff>161925</xdr:rowOff>
    </xdr:to>
    <xdr:sp macro="" textlink="">
      <xdr:nvSpPr>
        <xdr:cNvPr id="13791" name="Freeform 1374">
          <a:extLst>
            <a:ext uri="{FF2B5EF4-FFF2-40B4-BE49-F238E27FC236}">
              <a16:creationId xmlns:a16="http://schemas.microsoft.com/office/drawing/2014/main" id="{00000000-0008-0000-0700-0000DF350000}"/>
            </a:ext>
          </a:extLst>
        </xdr:cNvPr>
        <xdr:cNvSpPr>
          <a:spLocks/>
        </xdr:cNvSpPr>
      </xdr:nvSpPr>
      <xdr:spPr bwMode="auto">
        <a:xfrm>
          <a:off x="7743825" y="3105150"/>
          <a:ext cx="9525" cy="19050"/>
        </a:xfrm>
        <a:custGeom>
          <a:avLst/>
          <a:gdLst>
            <a:gd name="T0" fmla="*/ 0 w 42"/>
            <a:gd name="T1" fmla="*/ 0 h 59"/>
            <a:gd name="T2" fmla="*/ 0 w 42"/>
            <a:gd name="T3" fmla="*/ 0 h 59"/>
            <a:gd name="T4" fmla="*/ 0 w 42"/>
            <a:gd name="T5" fmla="*/ 0 h 59"/>
            <a:gd name="T6" fmla="*/ 0 w 42"/>
            <a:gd name="T7" fmla="*/ 0 h 59"/>
            <a:gd name="T8" fmla="*/ 0 w 42"/>
            <a:gd name="T9" fmla="*/ 0 h 59"/>
            <a:gd name="T10" fmla="*/ 0 w 42"/>
            <a:gd name="T11" fmla="*/ 0 h 59"/>
            <a:gd name="T12" fmla="*/ 0 w 42"/>
            <a:gd name="T13" fmla="*/ 0 h 59"/>
            <a:gd name="T14" fmla="*/ 0 w 42"/>
            <a:gd name="T15" fmla="*/ 0 h 59"/>
            <a:gd name="T16" fmla="*/ 0 w 42"/>
            <a:gd name="T17" fmla="*/ 0 h 59"/>
            <a:gd name="T18" fmla="*/ 0 w 42"/>
            <a:gd name="T19" fmla="*/ 0 h 59"/>
            <a:gd name="T20" fmla="*/ 0 w 42"/>
            <a:gd name="T21" fmla="*/ 0 h 59"/>
            <a:gd name="T22" fmla="*/ 0 w 42"/>
            <a:gd name="T23" fmla="*/ 0 h 59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42"/>
            <a:gd name="T37" fmla="*/ 0 h 59"/>
            <a:gd name="T38" fmla="*/ 42 w 42"/>
            <a:gd name="T39" fmla="*/ 59 h 59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42" h="59">
              <a:moveTo>
                <a:pt x="42" y="57"/>
              </a:moveTo>
              <a:lnTo>
                <a:pt x="34" y="59"/>
              </a:lnTo>
              <a:lnTo>
                <a:pt x="24" y="59"/>
              </a:lnTo>
              <a:lnTo>
                <a:pt x="16" y="56"/>
              </a:lnTo>
              <a:lnTo>
                <a:pt x="10" y="50"/>
              </a:lnTo>
              <a:lnTo>
                <a:pt x="3" y="44"/>
              </a:lnTo>
              <a:lnTo>
                <a:pt x="0" y="36"/>
              </a:lnTo>
              <a:lnTo>
                <a:pt x="0" y="26"/>
              </a:lnTo>
              <a:lnTo>
                <a:pt x="1" y="18"/>
              </a:lnTo>
              <a:lnTo>
                <a:pt x="5" y="10"/>
              </a:lnTo>
              <a:lnTo>
                <a:pt x="12" y="4"/>
              </a:lnTo>
              <a:lnTo>
                <a:pt x="19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66675</xdr:colOff>
      <xdr:row>14</xdr:row>
      <xdr:rowOff>190500</xdr:rowOff>
    </xdr:from>
    <xdr:to>
      <xdr:col>12</xdr:col>
      <xdr:colOff>76200</xdr:colOff>
      <xdr:row>14</xdr:row>
      <xdr:rowOff>200025</xdr:rowOff>
    </xdr:to>
    <xdr:sp macro="" textlink="">
      <xdr:nvSpPr>
        <xdr:cNvPr id="13792" name="Freeform 1375">
          <a:extLst>
            <a:ext uri="{FF2B5EF4-FFF2-40B4-BE49-F238E27FC236}">
              <a16:creationId xmlns:a16="http://schemas.microsoft.com/office/drawing/2014/main" id="{00000000-0008-0000-0700-0000E0350000}"/>
            </a:ext>
          </a:extLst>
        </xdr:cNvPr>
        <xdr:cNvSpPr>
          <a:spLocks/>
        </xdr:cNvSpPr>
      </xdr:nvSpPr>
      <xdr:spPr bwMode="auto">
        <a:xfrm>
          <a:off x="7705725" y="3152775"/>
          <a:ext cx="9525" cy="9525"/>
        </a:xfrm>
        <a:custGeom>
          <a:avLst/>
          <a:gdLst>
            <a:gd name="T0" fmla="*/ 0 w 52"/>
            <a:gd name="T1" fmla="*/ 0 h 53"/>
            <a:gd name="T2" fmla="*/ 0 w 52"/>
            <a:gd name="T3" fmla="*/ 0 h 53"/>
            <a:gd name="T4" fmla="*/ 0 w 52"/>
            <a:gd name="T5" fmla="*/ 0 h 53"/>
            <a:gd name="T6" fmla="*/ 0 w 52"/>
            <a:gd name="T7" fmla="*/ 0 h 53"/>
            <a:gd name="T8" fmla="*/ 0 w 52"/>
            <a:gd name="T9" fmla="*/ 0 h 53"/>
            <a:gd name="T10" fmla="*/ 0 w 52"/>
            <a:gd name="T11" fmla="*/ 0 h 53"/>
            <a:gd name="T12" fmla="*/ 0 w 52"/>
            <a:gd name="T13" fmla="*/ 0 h 53"/>
            <a:gd name="T14" fmla="*/ 0 w 52"/>
            <a:gd name="T15" fmla="*/ 0 h 53"/>
            <a:gd name="T16" fmla="*/ 0 w 52"/>
            <a:gd name="T17" fmla="*/ 0 h 53"/>
            <a:gd name="T18" fmla="*/ 0 w 52"/>
            <a:gd name="T19" fmla="*/ 0 h 53"/>
            <a:gd name="T20" fmla="*/ 0 w 52"/>
            <a:gd name="T21" fmla="*/ 0 h 53"/>
            <a:gd name="T22" fmla="*/ 0 w 52"/>
            <a:gd name="T23" fmla="*/ 0 h 53"/>
            <a:gd name="T24" fmla="*/ 0 w 52"/>
            <a:gd name="T25" fmla="*/ 0 h 53"/>
            <a:gd name="T26" fmla="*/ 0 w 52"/>
            <a:gd name="T27" fmla="*/ 0 h 53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2"/>
            <a:gd name="T43" fmla="*/ 0 h 53"/>
            <a:gd name="T44" fmla="*/ 52 w 52"/>
            <a:gd name="T45" fmla="*/ 53 h 53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2" h="53">
              <a:moveTo>
                <a:pt x="21" y="30"/>
              </a:moveTo>
              <a:lnTo>
                <a:pt x="0" y="7"/>
              </a:lnTo>
              <a:lnTo>
                <a:pt x="8" y="2"/>
              </a:lnTo>
              <a:lnTo>
                <a:pt x="16" y="0"/>
              </a:lnTo>
              <a:lnTo>
                <a:pt x="25" y="0"/>
              </a:lnTo>
              <a:lnTo>
                <a:pt x="34" y="2"/>
              </a:lnTo>
              <a:lnTo>
                <a:pt x="41" y="6"/>
              </a:lnTo>
              <a:lnTo>
                <a:pt x="46" y="12"/>
              </a:lnTo>
              <a:lnTo>
                <a:pt x="51" y="21"/>
              </a:lnTo>
              <a:lnTo>
                <a:pt x="52" y="29"/>
              </a:lnTo>
              <a:lnTo>
                <a:pt x="51" y="39"/>
              </a:lnTo>
              <a:lnTo>
                <a:pt x="48" y="46"/>
              </a:lnTo>
              <a:lnTo>
                <a:pt x="42" y="53"/>
              </a:lnTo>
              <a:lnTo>
                <a:pt x="21" y="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66675</xdr:colOff>
      <xdr:row>14</xdr:row>
      <xdr:rowOff>190500</xdr:rowOff>
    </xdr:from>
    <xdr:to>
      <xdr:col>12</xdr:col>
      <xdr:colOff>76200</xdr:colOff>
      <xdr:row>14</xdr:row>
      <xdr:rowOff>200025</xdr:rowOff>
    </xdr:to>
    <xdr:sp macro="" textlink="">
      <xdr:nvSpPr>
        <xdr:cNvPr id="13793" name="Freeform 1376">
          <a:extLst>
            <a:ext uri="{FF2B5EF4-FFF2-40B4-BE49-F238E27FC236}">
              <a16:creationId xmlns:a16="http://schemas.microsoft.com/office/drawing/2014/main" id="{00000000-0008-0000-0700-0000E1350000}"/>
            </a:ext>
          </a:extLst>
        </xdr:cNvPr>
        <xdr:cNvSpPr>
          <a:spLocks/>
        </xdr:cNvSpPr>
      </xdr:nvSpPr>
      <xdr:spPr bwMode="auto">
        <a:xfrm>
          <a:off x="7705725" y="3152775"/>
          <a:ext cx="9525" cy="9525"/>
        </a:xfrm>
        <a:custGeom>
          <a:avLst/>
          <a:gdLst>
            <a:gd name="T0" fmla="*/ 0 w 52"/>
            <a:gd name="T1" fmla="*/ 0 h 53"/>
            <a:gd name="T2" fmla="*/ 0 w 52"/>
            <a:gd name="T3" fmla="*/ 0 h 53"/>
            <a:gd name="T4" fmla="*/ 0 w 52"/>
            <a:gd name="T5" fmla="*/ 0 h 53"/>
            <a:gd name="T6" fmla="*/ 0 w 52"/>
            <a:gd name="T7" fmla="*/ 0 h 53"/>
            <a:gd name="T8" fmla="*/ 0 w 52"/>
            <a:gd name="T9" fmla="*/ 0 h 53"/>
            <a:gd name="T10" fmla="*/ 0 w 52"/>
            <a:gd name="T11" fmla="*/ 0 h 53"/>
            <a:gd name="T12" fmla="*/ 0 w 52"/>
            <a:gd name="T13" fmla="*/ 0 h 53"/>
            <a:gd name="T14" fmla="*/ 0 w 52"/>
            <a:gd name="T15" fmla="*/ 0 h 53"/>
            <a:gd name="T16" fmla="*/ 0 w 52"/>
            <a:gd name="T17" fmla="*/ 0 h 53"/>
            <a:gd name="T18" fmla="*/ 0 w 52"/>
            <a:gd name="T19" fmla="*/ 0 h 53"/>
            <a:gd name="T20" fmla="*/ 0 w 52"/>
            <a:gd name="T21" fmla="*/ 0 h 53"/>
            <a:gd name="T22" fmla="*/ 0 w 52"/>
            <a:gd name="T23" fmla="*/ 0 h 53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2"/>
            <a:gd name="T37" fmla="*/ 0 h 53"/>
            <a:gd name="T38" fmla="*/ 52 w 52"/>
            <a:gd name="T39" fmla="*/ 53 h 53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2" h="53">
              <a:moveTo>
                <a:pt x="0" y="7"/>
              </a:moveTo>
              <a:lnTo>
                <a:pt x="8" y="2"/>
              </a:lnTo>
              <a:lnTo>
                <a:pt x="16" y="0"/>
              </a:lnTo>
              <a:lnTo>
                <a:pt x="25" y="0"/>
              </a:lnTo>
              <a:lnTo>
                <a:pt x="34" y="2"/>
              </a:lnTo>
              <a:lnTo>
                <a:pt x="41" y="6"/>
              </a:lnTo>
              <a:lnTo>
                <a:pt x="46" y="12"/>
              </a:lnTo>
              <a:lnTo>
                <a:pt x="51" y="21"/>
              </a:lnTo>
              <a:lnTo>
                <a:pt x="52" y="29"/>
              </a:lnTo>
              <a:lnTo>
                <a:pt x="51" y="39"/>
              </a:lnTo>
              <a:lnTo>
                <a:pt x="48" y="46"/>
              </a:lnTo>
              <a:lnTo>
                <a:pt x="42" y="53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38100</xdr:colOff>
      <xdr:row>14</xdr:row>
      <xdr:rowOff>190500</xdr:rowOff>
    </xdr:from>
    <xdr:to>
      <xdr:col>12</xdr:col>
      <xdr:colOff>66675</xdr:colOff>
      <xdr:row>14</xdr:row>
      <xdr:rowOff>228600</xdr:rowOff>
    </xdr:to>
    <xdr:sp macro="" textlink="">
      <xdr:nvSpPr>
        <xdr:cNvPr id="13794" name="Freeform 1377">
          <a:extLst>
            <a:ext uri="{FF2B5EF4-FFF2-40B4-BE49-F238E27FC236}">
              <a16:creationId xmlns:a16="http://schemas.microsoft.com/office/drawing/2014/main" id="{00000000-0008-0000-0700-0000E2350000}"/>
            </a:ext>
          </a:extLst>
        </xdr:cNvPr>
        <xdr:cNvSpPr>
          <a:spLocks/>
        </xdr:cNvSpPr>
      </xdr:nvSpPr>
      <xdr:spPr bwMode="auto">
        <a:xfrm>
          <a:off x="7677150" y="3152775"/>
          <a:ext cx="28575" cy="38100"/>
        </a:xfrm>
        <a:custGeom>
          <a:avLst/>
          <a:gdLst>
            <a:gd name="T0" fmla="*/ 0 w 168"/>
            <a:gd name="T1" fmla="*/ 0 h 161"/>
            <a:gd name="T2" fmla="*/ 0 w 168"/>
            <a:gd name="T3" fmla="*/ 0 h 161"/>
            <a:gd name="T4" fmla="*/ 0 w 168"/>
            <a:gd name="T5" fmla="*/ 0 h 161"/>
            <a:gd name="T6" fmla="*/ 0 w 168"/>
            <a:gd name="T7" fmla="*/ 0 h 161"/>
            <a:gd name="T8" fmla="*/ 0 w 168"/>
            <a:gd name="T9" fmla="*/ 0 h 161"/>
            <a:gd name="T10" fmla="*/ 0 w 168"/>
            <a:gd name="T11" fmla="*/ 0 h 161"/>
            <a:gd name="T12" fmla="*/ 0 w 168"/>
            <a:gd name="T13" fmla="*/ 0 h 16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68"/>
            <a:gd name="T22" fmla="*/ 0 h 161"/>
            <a:gd name="T23" fmla="*/ 168 w 168"/>
            <a:gd name="T24" fmla="*/ 161 h 16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68" h="161">
              <a:moveTo>
                <a:pt x="168" y="46"/>
              </a:moveTo>
              <a:lnTo>
                <a:pt x="147" y="23"/>
              </a:lnTo>
              <a:lnTo>
                <a:pt x="126" y="0"/>
              </a:lnTo>
              <a:lnTo>
                <a:pt x="0" y="114"/>
              </a:lnTo>
              <a:lnTo>
                <a:pt x="21" y="138"/>
              </a:lnTo>
              <a:lnTo>
                <a:pt x="42" y="161"/>
              </a:lnTo>
              <a:lnTo>
                <a:pt x="168" y="46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38100</xdr:colOff>
      <xdr:row>14</xdr:row>
      <xdr:rowOff>190500</xdr:rowOff>
    </xdr:from>
    <xdr:to>
      <xdr:col>12</xdr:col>
      <xdr:colOff>66675</xdr:colOff>
      <xdr:row>14</xdr:row>
      <xdr:rowOff>228600</xdr:rowOff>
    </xdr:to>
    <xdr:sp macro="" textlink="">
      <xdr:nvSpPr>
        <xdr:cNvPr id="13795" name="Freeform 1378">
          <a:extLst>
            <a:ext uri="{FF2B5EF4-FFF2-40B4-BE49-F238E27FC236}">
              <a16:creationId xmlns:a16="http://schemas.microsoft.com/office/drawing/2014/main" id="{00000000-0008-0000-0700-0000E3350000}"/>
            </a:ext>
          </a:extLst>
        </xdr:cNvPr>
        <xdr:cNvSpPr>
          <a:spLocks/>
        </xdr:cNvSpPr>
      </xdr:nvSpPr>
      <xdr:spPr bwMode="auto">
        <a:xfrm>
          <a:off x="7677150" y="3152775"/>
          <a:ext cx="28575" cy="38100"/>
        </a:xfrm>
        <a:custGeom>
          <a:avLst/>
          <a:gdLst>
            <a:gd name="T0" fmla="*/ 0 w 168"/>
            <a:gd name="T1" fmla="*/ 0 h 161"/>
            <a:gd name="T2" fmla="*/ 0 w 168"/>
            <a:gd name="T3" fmla="*/ 0 h 161"/>
            <a:gd name="T4" fmla="*/ 0 w 168"/>
            <a:gd name="T5" fmla="*/ 0 h 161"/>
            <a:gd name="T6" fmla="*/ 0 w 168"/>
            <a:gd name="T7" fmla="*/ 0 h 161"/>
            <a:gd name="T8" fmla="*/ 0 w 168"/>
            <a:gd name="T9" fmla="*/ 0 h 161"/>
            <a:gd name="T10" fmla="*/ 0 w 168"/>
            <a:gd name="T11" fmla="*/ 0 h 161"/>
            <a:gd name="T12" fmla="*/ 0 w 168"/>
            <a:gd name="T13" fmla="*/ 0 h 16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68"/>
            <a:gd name="T22" fmla="*/ 0 h 161"/>
            <a:gd name="T23" fmla="*/ 168 w 168"/>
            <a:gd name="T24" fmla="*/ 161 h 16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68" h="161">
              <a:moveTo>
                <a:pt x="168" y="46"/>
              </a:moveTo>
              <a:lnTo>
                <a:pt x="147" y="23"/>
              </a:lnTo>
              <a:lnTo>
                <a:pt x="126" y="0"/>
              </a:lnTo>
              <a:lnTo>
                <a:pt x="0" y="114"/>
              </a:lnTo>
              <a:lnTo>
                <a:pt x="21" y="138"/>
              </a:lnTo>
              <a:lnTo>
                <a:pt x="42" y="161"/>
              </a:lnTo>
              <a:lnTo>
                <a:pt x="168" y="46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38100</xdr:colOff>
      <xdr:row>14</xdr:row>
      <xdr:rowOff>219075</xdr:rowOff>
    </xdr:from>
    <xdr:to>
      <xdr:col>12</xdr:col>
      <xdr:colOff>38100</xdr:colOff>
      <xdr:row>14</xdr:row>
      <xdr:rowOff>228600</xdr:rowOff>
    </xdr:to>
    <xdr:sp macro="" textlink="">
      <xdr:nvSpPr>
        <xdr:cNvPr id="13796" name="Freeform 1379">
          <a:extLst>
            <a:ext uri="{FF2B5EF4-FFF2-40B4-BE49-F238E27FC236}">
              <a16:creationId xmlns:a16="http://schemas.microsoft.com/office/drawing/2014/main" id="{00000000-0008-0000-0700-0000E4350000}"/>
            </a:ext>
          </a:extLst>
        </xdr:cNvPr>
        <xdr:cNvSpPr>
          <a:spLocks/>
        </xdr:cNvSpPr>
      </xdr:nvSpPr>
      <xdr:spPr bwMode="auto">
        <a:xfrm>
          <a:off x="7677150" y="3181350"/>
          <a:ext cx="0" cy="9525"/>
        </a:xfrm>
        <a:custGeom>
          <a:avLst/>
          <a:gdLst>
            <a:gd name="T0" fmla="*/ 0 w 26"/>
            <a:gd name="T1" fmla="*/ 0 h 24"/>
            <a:gd name="T2" fmla="*/ 0 w 26"/>
            <a:gd name="T3" fmla="*/ 0 h 24"/>
            <a:gd name="T4" fmla="*/ 0 w 26"/>
            <a:gd name="T5" fmla="*/ 0 h 24"/>
            <a:gd name="T6" fmla="*/ 0 w 26"/>
            <a:gd name="T7" fmla="*/ 0 h 24"/>
            <a:gd name="T8" fmla="*/ 0 w 26"/>
            <a:gd name="T9" fmla="*/ 0 h 2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6"/>
            <a:gd name="T16" fmla="*/ 0 h 24"/>
            <a:gd name="T17" fmla="*/ 0 w 26"/>
            <a:gd name="T18" fmla="*/ 24 h 2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6" h="24">
              <a:moveTo>
                <a:pt x="26" y="24"/>
              </a:moveTo>
              <a:lnTo>
                <a:pt x="5" y="0"/>
              </a:lnTo>
              <a:lnTo>
                <a:pt x="2" y="4"/>
              </a:lnTo>
              <a:lnTo>
                <a:pt x="0" y="8"/>
              </a:lnTo>
              <a:lnTo>
                <a:pt x="26" y="2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38100</xdr:colOff>
      <xdr:row>14</xdr:row>
      <xdr:rowOff>219075</xdr:rowOff>
    </xdr:from>
    <xdr:to>
      <xdr:col>12</xdr:col>
      <xdr:colOff>38100</xdr:colOff>
      <xdr:row>14</xdr:row>
      <xdr:rowOff>219075</xdr:rowOff>
    </xdr:to>
    <xdr:sp macro="" textlink="">
      <xdr:nvSpPr>
        <xdr:cNvPr id="13797" name="Freeform 1380">
          <a:extLst>
            <a:ext uri="{FF2B5EF4-FFF2-40B4-BE49-F238E27FC236}">
              <a16:creationId xmlns:a16="http://schemas.microsoft.com/office/drawing/2014/main" id="{00000000-0008-0000-0700-0000E5350000}"/>
            </a:ext>
          </a:extLst>
        </xdr:cNvPr>
        <xdr:cNvSpPr>
          <a:spLocks/>
        </xdr:cNvSpPr>
      </xdr:nvSpPr>
      <xdr:spPr bwMode="auto">
        <a:xfrm>
          <a:off x="7677150" y="3181350"/>
          <a:ext cx="0" cy="0"/>
        </a:xfrm>
        <a:custGeom>
          <a:avLst/>
          <a:gdLst>
            <a:gd name="T0" fmla="*/ 0 w 5"/>
            <a:gd name="T1" fmla="*/ 0 h 8"/>
            <a:gd name="T2" fmla="*/ 0 w 5"/>
            <a:gd name="T3" fmla="*/ 0 h 8"/>
            <a:gd name="T4" fmla="*/ 0 w 5"/>
            <a:gd name="T5" fmla="*/ 0 h 8"/>
            <a:gd name="T6" fmla="*/ 0 60000 65536"/>
            <a:gd name="T7" fmla="*/ 0 60000 65536"/>
            <a:gd name="T8" fmla="*/ 0 60000 65536"/>
            <a:gd name="T9" fmla="*/ 0 w 5"/>
            <a:gd name="T10" fmla="*/ 0 h 8"/>
            <a:gd name="T11" fmla="*/ 5 w 5"/>
            <a:gd name="T12" fmla="*/ 8 h 8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5" h="8">
              <a:moveTo>
                <a:pt x="5" y="0"/>
              </a:moveTo>
              <a:lnTo>
                <a:pt x="2" y="4"/>
              </a:lnTo>
              <a:lnTo>
                <a:pt x="0" y="8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14</xdr:row>
      <xdr:rowOff>219075</xdr:rowOff>
    </xdr:from>
    <xdr:to>
      <xdr:col>12</xdr:col>
      <xdr:colOff>47625</xdr:colOff>
      <xdr:row>15</xdr:row>
      <xdr:rowOff>28575</xdr:rowOff>
    </xdr:to>
    <xdr:sp macro="" textlink="">
      <xdr:nvSpPr>
        <xdr:cNvPr id="13798" name="Freeform 1381">
          <a:extLst>
            <a:ext uri="{FF2B5EF4-FFF2-40B4-BE49-F238E27FC236}">
              <a16:creationId xmlns:a16="http://schemas.microsoft.com/office/drawing/2014/main" id="{00000000-0008-0000-0700-0000E6350000}"/>
            </a:ext>
          </a:extLst>
        </xdr:cNvPr>
        <xdr:cNvSpPr>
          <a:spLocks/>
        </xdr:cNvSpPr>
      </xdr:nvSpPr>
      <xdr:spPr bwMode="auto">
        <a:xfrm>
          <a:off x="7667625" y="3181350"/>
          <a:ext cx="19050" cy="38100"/>
        </a:xfrm>
        <a:custGeom>
          <a:avLst/>
          <a:gdLst>
            <a:gd name="T0" fmla="*/ 0 w 138"/>
            <a:gd name="T1" fmla="*/ 0 h 176"/>
            <a:gd name="T2" fmla="*/ 0 w 138"/>
            <a:gd name="T3" fmla="*/ 0 h 176"/>
            <a:gd name="T4" fmla="*/ 0 w 138"/>
            <a:gd name="T5" fmla="*/ 0 h 176"/>
            <a:gd name="T6" fmla="*/ 0 w 138"/>
            <a:gd name="T7" fmla="*/ 0 h 176"/>
            <a:gd name="T8" fmla="*/ 0 w 138"/>
            <a:gd name="T9" fmla="*/ 0 h 176"/>
            <a:gd name="T10" fmla="*/ 0 w 138"/>
            <a:gd name="T11" fmla="*/ 0 h 176"/>
            <a:gd name="T12" fmla="*/ 0 w 138"/>
            <a:gd name="T13" fmla="*/ 0 h 17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38"/>
            <a:gd name="T22" fmla="*/ 0 h 176"/>
            <a:gd name="T23" fmla="*/ 138 w 138"/>
            <a:gd name="T24" fmla="*/ 176 h 17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38" h="176">
              <a:moveTo>
                <a:pt x="138" y="31"/>
              </a:moveTo>
              <a:lnTo>
                <a:pt x="111" y="16"/>
              </a:lnTo>
              <a:lnTo>
                <a:pt x="85" y="0"/>
              </a:lnTo>
              <a:lnTo>
                <a:pt x="0" y="145"/>
              </a:lnTo>
              <a:lnTo>
                <a:pt x="26" y="160"/>
              </a:lnTo>
              <a:lnTo>
                <a:pt x="52" y="176"/>
              </a:lnTo>
              <a:lnTo>
                <a:pt x="138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14</xdr:row>
      <xdr:rowOff>219075</xdr:rowOff>
    </xdr:from>
    <xdr:to>
      <xdr:col>12</xdr:col>
      <xdr:colOff>47625</xdr:colOff>
      <xdr:row>15</xdr:row>
      <xdr:rowOff>28575</xdr:rowOff>
    </xdr:to>
    <xdr:sp macro="" textlink="">
      <xdr:nvSpPr>
        <xdr:cNvPr id="13799" name="Freeform 1382">
          <a:extLst>
            <a:ext uri="{FF2B5EF4-FFF2-40B4-BE49-F238E27FC236}">
              <a16:creationId xmlns:a16="http://schemas.microsoft.com/office/drawing/2014/main" id="{00000000-0008-0000-0700-0000E7350000}"/>
            </a:ext>
          </a:extLst>
        </xdr:cNvPr>
        <xdr:cNvSpPr>
          <a:spLocks/>
        </xdr:cNvSpPr>
      </xdr:nvSpPr>
      <xdr:spPr bwMode="auto">
        <a:xfrm>
          <a:off x="7667625" y="3181350"/>
          <a:ext cx="19050" cy="38100"/>
        </a:xfrm>
        <a:custGeom>
          <a:avLst/>
          <a:gdLst>
            <a:gd name="T0" fmla="*/ 0 w 138"/>
            <a:gd name="T1" fmla="*/ 0 h 176"/>
            <a:gd name="T2" fmla="*/ 0 w 138"/>
            <a:gd name="T3" fmla="*/ 0 h 176"/>
            <a:gd name="T4" fmla="*/ 0 w 138"/>
            <a:gd name="T5" fmla="*/ 0 h 176"/>
            <a:gd name="T6" fmla="*/ 0 w 138"/>
            <a:gd name="T7" fmla="*/ 0 h 176"/>
            <a:gd name="T8" fmla="*/ 0 w 138"/>
            <a:gd name="T9" fmla="*/ 0 h 176"/>
            <a:gd name="T10" fmla="*/ 0 w 138"/>
            <a:gd name="T11" fmla="*/ 0 h 176"/>
            <a:gd name="T12" fmla="*/ 0 w 138"/>
            <a:gd name="T13" fmla="*/ 0 h 17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38"/>
            <a:gd name="T22" fmla="*/ 0 h 176"/>
            <a:gd name="T23" fmla="*/ 138 w 138"/>
            <a:gd name="T24" fmla="*/ 176 h 17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38" h="176">
              <a:moveTo>
                <a:pt x="138" y="31"/>
              </a:moveTo>
              <a:lnTo>
                <a:pt x="111" y="16"/>
              </a:lnTo>
              <a:lnTo>
                <a:pt x="85" y="0"/>
              </a:lnTo>
              <a:lnTo>
                <a:pt x="0" y="145"/>
              </a:lnTo>
              <a:lnTo>
                <a:pt x="26" y="160"/>
              </a:lnTo>
              <a:lnTo>
                <a:pt x="52" y="176"/>
              </a:lnTo>
              <a:lnTo>
                <a:pt x="138" y="3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15</xdr:row>
      <xdr:rowOff>28575</xdr:rowOff>
    </xdr:from>
    <xdr:to>
      <xdr:col>12</xdr:col>
      <xdr:colOff>28575</xdr:colOff>
      <xdr:row>15</xdr:row>
      <xdr:rowOff>28575</xdr:rowOff>
    </xdr:to>
    <xdr:sp macro="" textlink="">
      <xdr:nvSpPr>
        <xdr:cNvPr id="13800" name="Freeform 1383">
          <a:extLst>
            <a:ext uri="{FF2B5EF4-FFF2-40B4-BE49-F238E27FC236}">
              <a16:creationId xmlns:a16="http://schemas.microsoft.com/office/drawing/2014/main" id="{00000000-0008-0000-0700-0000E8350000}"/>
            </a:ext>
          </a:extLst>
        </xdr:cNvPr>
        <xdr:cNvSpPr>
          <a:spLocks/>
        </xdr:cNvSpPr>
      </xdr:nvSpPr>
      <xdr:spPr bwMode="auto">
        <a:xfrm>
          <a:off x="7667625" y="3219450"/>
          <a:ext cx="0" cy="0"/>
        </a:xfrm>
        <a:custGeom>
          <a:avLst/>
          <a:gdLst>
            <a:gd name="T0" fmla="*/ 0 w 30"/>
            <a:gd name="T1" fmla="*/ 0 h 15"/>
            <a:gd name="T2" fmla="*/ 0 w 30"/>
            <a:gd name="T3" fmla="*/ 0 h 15"/>
            <a:gd name="T4" fmla="*/ 0 w 30"/>
            <a:gd name="T5" fmla="*/ 0 h 15"/>
            <a:gd name="T6" fmla="*/ 0 w 30"/>
            <a:gd name="T7" fmla="*/ 0 h 15"/>
            <a:gd name="T8" fmla="*/ 0 w 30"/>
            <a:gd name="T9" fmla="*/ 0 h 1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30"/>
            <a:gd name="T16" fmla="*/ 0 h 15"/>
            <a:gd name="T17" fmla="*/ 30 w 30"/>
            <a:gd name="T18" fmla="*/ 15 h 1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30" h="15">
              <a:moveTo>
                <a:pt x="30" y="15"/>
              </a:moveTo>
              <a:lnTo>
                <a:pt x="4" y="0"/>
              </a:lnTo>
              <a:lnTo>
                <a:pt x="2" y="4"/>
              </a:lnTo>
              <a:lnTo>
                <a:pt x="0" y="11"/>
              </a:lnTo>
              <a:lnTo>
                <a:pt x="30" y="15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15</xdr:row>
      <xdr:rowOff>28575</xdr:rowOff>
    </xdr:from>
    <xdr:to>
      <xdr:col>12</xdr:col>
      <xdr:colOff>28575</xdr:colOff>
      <xdr:row>15</xdr:row>
      <xdr:rowOff>28575</xdr:rowOff>
    </xdr:to>
    <xdr:sp macro="" textlink="">
      <xdr:nvSpPr>
        <xdr:cNvPr id="13801" name="Freeform 1384">
          <a:extLst>
            <a:ext uri="{FF2B5EF4-FFF2-40B4-BE49-F238E27FC236}">
              <a16:creationId xmlns:a16="http://schemas.microsoft.com/office/drawing/2014/main" id="{00000000-0008-0000-0700-0000E9350000}"/>
            </a:ext>
          </a:extLst>
        </xdr:cNvPr>
        <xdr:cNvSpPr>
          <a:spLocks/>
        </xdr:cNvSpPr>
      </xdr:nvSpPr>
      <xdr:spPr bwMode="auto">
        <a:xfrm>
          <a:off x="7667625" y="3219450"/>
          <a:ext cx="0" cy="0"/>
        </a:xfrm>
        <a:custGeom>
          <a:avLst/>
          <a:gdLst>
            <a:gd name="T0" fmla="*/ 0 w 4"/>
            <a:gd name="T1" fmla="*/ 0 h 11"/>
            <a:gd name="T2" fmla="*/ 0 w 4"/>
            <a:gd name="T3" fmla="*/ 0 h 11"/>
            <a:gd name="T4" fmla="*/ 0 w 4"/>
            <a:gd name="T5" fmla="*/ 0 h 11"/>
            <a:gd name="T6" fmla="*/ 0 60000 65536"/>
            <a:gd name="T7" fmla="*/ 0 60000 65536"/>
            <a:gd name="T8" fmla="*/ 0 60000 65536"/>
            <a:gd name="T9" fmla="*/ 0 w 4"/>
            <a:gd name="T10" fmla="*/ 0 h 11"/>
            <a:gd name="T11" fmla="*/ 4 w 4"/>
            <a:gd name="T12" fmla="*/ 11 h 11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" h="11">
              <a:moveTo>
                <a:pt x="4" y="0"/>
              </a:moveTo>
              <a:lnTo>
                <a:pt x="2" y="4"/>
              </a:lnTo>
              <a:lnTo>
                <a:pt x="0" y="11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19050</xdr:colOff>
      <xdr:row>15</xdr:row>
      <xdr:rowOff>28575</xdr:rowOff>
    </xdr:from>
    <xdr:to>
      <xdr:col>12</xdr:col>
      <xdr:colOff>28575</xdr:colOff>
      <xdr:row>15</xdr:row>
      <xdr:rowOff>66675</xdr:rowOff>
    </xdr:to>
    <xdr:sp macro="" textlink="">
      <xdr:nvSpPr>
        <xdr:cNvPr id="13802" name="Freeform 1385">
          <a:extLst>
            <a:ext uri="{FF2B5EF4-FFF2-40B4-BE49-F238E27FC236}">
              <a16:creationId xmlns:a16="http://schemas.microsoft.com/office/drawing/2014/main" id="{00000000-0008-0000-0700-0000EA350000}"/>
            </a:ext>
          </a:extLst>
        </xdr:cNvPr>
        <xdr:cNvSpPr>
          <a:spLocks/>
        </xdr:cNvSpPr>
      </xdr:nvSpPr>
      <xdr:spPr bwMode="auto">
        <a:xfrm>
          <a:off x="7658100" y="3219450"/>
          <a:ext cx="9525" cy="38100"/>
        </a:xfrm>
        <a:custGeom>
          <a:avLst/>
          <a:gdLst>
            <a:gd name="T0" fmla="*/ 0 w 79"/>
            <a:gd name="T1" fmla="*/ 0 h 158"/>
            <a:gd name="T2" fmla="*/ 0 w 79"/>
            <a:gd name="T3" fmla="*/ 0 h 158"/>
            <a:gd name="T4" fmla="*/ 0 w 79"/>
            <a:gd name="T5" fmla="*/ 0 h 158"/>
            <a:gd name="T6" fmla="*/ 0 w 79"/>
            <a:gd name="T7" fmla="*/ 0 h 158"/>
            <a:gd name="T8" fmla="*/ 0 w 79"/>
            <a:gd name="T9" fmla="*/ 0 h 158"/>
            <a:gd name="T10" fmla="*/ 0 w 79"/>
            <a:gd name="T11" fmla="*/ 0 h 158"/>
            <a:gd name="T12" fmla="*/ 0 w 79"/>
            <a:gd name="T13" fmla="*/ 0 h 158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9"/>
            <a:gd name="T22" fmla="*/ 0 h 158"/>
            <a:gd name="T23" fmla="*/ 79 w 79"/>
            <a:gd name="T24" fmla="*/ 158 h 158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9" h="158">
              <a:moveTo>
                <a:pt x="79" y="9"/>
              </a:moveTo>
              <a:lnTo>
                <a:pt x="48" y="4"/>
              </a:lnTo>
              <a:lnTo>
                <a:pt x="18" y="0"/>
              </a:lnTo>
              <a:lnTo>
                <a:pt x="0" y="149"/>
              </a:lnTo>
              <a:lnTo>
                <a:pt x="30" y="154"/>
              </a:lnTo>
              <a:lnTo>
                <a:pt x="61" y="158"/>
              </a:lnTo>
              <a:lnTo>
                <a:pt x="79" y="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19050</xdr:colOff>
      <xdr:row>15</xdr:row>
      <xdr:rowOff>28575</xdr:rowOff>
    </xdr:from>
    <xdr:to>
      <xdr:col>12</xdr:col>
      <xdr:colOff>28575</xdr:colOff>
      <xdr:row>15</xdr:row>
      <xdr:rowOff>66675</xdr:rowOff>
    </xdr:to>
    <xdr:sp macro="" textlink="">
      <xdr:nvSpPr>
        <xdr:cNvPr id="13803" name="Freeform 1387">
          <a:extLst>
            <a:ext uri="{FF2B5EF4-FFF2-40B4-BE49-F238E27FC236}">
              <a16:creationId xmlns:a16="http://schemas.microsoft.com/office/drawing/2014/main" id="{00000000-0008-0000-0700-0000EB350000}"/>
            </a:ext>
          </a:extLst>
        </xdr:cNvPr>
        <xdr:cNvSpPr>
          <a:spLocks/>
        </xdr:cNvSpPr>
      </xdr:nvSpPr>
      <xdr:spPr bwMode="auto">
        <a:xfrm>
          <a:off x="7658100" y="3219450"/>
          <a:ext cx="9525" cy="38100"/>
        </a:xfrm>
        <a:custGeom>
          <a:avLst/>
          <a:gdLst>
            <a:gd name="T0" fmla="*/ 0 w 79"/>
            <a:gd name="T1" fmla="*/ 0 h 158"/>
            <a:gd name="T2" fmla="*/ 0 w 79"/>
            <a:gd name="T3" fmla="*/ 0 h 158"/>
            <a:gd name="T4" fmla="*/ 0 w 79"/>
            <a:gd name="T5" fmla="*/ 0 h 158"/>
            <a:gd name="T6" fmla="*/ 0 w 79"/>
            <a:gd name="T7" fmla="*/ 0 h 158"/>
            <a:gd name="T8" fmla="*/ 0 w 79"/>
            <a:gd name="T9" fmla="*/ 0 h 158"/>
            <a:gd name="T10" fmla="*/ 0 w 79"/>
            <a:gd name="T11" fmla="*/ 0 h 158"/>
            <a:gd name="T12" fmla="*/ 0 w 79"/>
            <a:gd name="T13" fmla="*/ 0 h 158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9"/>
            <a:gd name="T22" fmla="*/ 0 h 158"/>
            <a:gd name="T23" fmla="*/ 79 w 79"/>
            <a:gd name="T24" fmla="*/ 158 h 158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9" h="158">
              <a:moveTo>
                <a:pt x="79" y="9"/>
              </a:moveTo>
              <a:lnTo>
                <a:pt x="48" y="4"/>
              </a:lnTo>
              <a:lnTo>
                <a:pt x="18" y="0"/>
              </a:lnTo>
              <a:lnTo>
                <a:pt x="0" y="149"/>
              </a:lnTo>
              <a:lnTo>
                <a:pt x="30" y="154"/>
              </a:lnTo>
              <a:lnTo>
                <a:pt x="61" y="158"/>
              </a:lnTo>
              <a:lnTo>
                <a:pt x="79" y="9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19050</xdr:colOff>
      <xdr:row>15</xdr:row>
      <xdr:rowOff>66675</xdr:rowOff>
    </xdr:from>
    <xdr:to>
      <xdr:col>12</xdr:col>
      <xdr:colOff>28575</xdr:colOff>
      <xdr:row>15</xdr:row>
      <xdr:rowOff>66675</xdr:rowOff>
    </xdr:to>
    <xdr:sp macro="" textlink="">
      <xdr:nvSpPr>
        <xdr:cNvPr id="13804" name="Freeform 1388">
          <a:extLst>
            <a:ext uri="{FF2B5EF4-FFF2-40B4-BE49-F238E27FC236}">
              <a16:creationId xmlns:a16="http://schemas.microsoft.com/office/drawing/2014/main" id="{00000000-0008-0000-0700-0000EC350000}"/>
            </a:ext>
          </a:extLst>
        </xdr:cNvPr>
        <xdr:cNvSpPr>
          <a:spLocks/>
        </xdr:cNvSpPr>
      </xdr:nvSpPr>
      <xdr:spPr bwMode="auto">
        <a:xfrm>
          <a:off x="7658100" y="3257550"/>
          <a:ext cx="9525" cy="0"/>
        </a:xfrm>
        <a:custGeom>
          <a:avLst/>
          <a:gdLst>
            <a:gd name="T0" fmla="*/ 0 w 30"/>
            <a:gd name="T1" fmla="*/ 0 h 14"/>
            <a:gd name="T2" fmla="*/ 0 w 30"/>
            <a:gd name="T3" fmla="*/ 0 h 14"/>
            <a:gd name="T4" fmla="*/ 0 w 30"/>
            <a:gd name="T5" fmla="*/ 0 h 14"/>
            <a:gd name="T6" fmla="*/ 0 w 30"/>
            <a:gd name="T7" fmla="*/ 0 h 14"/>
            <a:gd name="T8" fmla="*/ 0 w 30"/>
            <a:gd name="T9" fmla="*/ 0 h 1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30"/>
            <a:gd name="T16" fmla="*/ 0 h 14"/>
            <a:gd name="T17" fmla="*/ 30 w 30"/>
            <a:gd name="T18" fmla="*/ 0 h 1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30" h="14">
              <a:moveTo>
                <a:pt x="30" y="5"/>
              </a:moveTo>
              <a:lnTo>
                <a:pt x="0" y="0"/>
              </a:lnTo>
              <a:lnTo>
                <a:pt x="0" y="6"/>
              </a:lnTo>
              <a:lnTo>
                <a:pt x="1" y="14"/>
              </a:lnTo>
              <a:lnTo>
                <a:pt x="30" y="5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19050</xdr:colOff>
      <xdr:row>15</xdr:row>
      <xdr:rowOff>66675</xdr:rowOff>
    </xdr:from>
    <xdr:to>
      <xdr:col>12</xdr:col>
      <xdr:colOff>28575</xdr:colOff>
      <xdr:row>15</xdr:row>
      <xdr:rowOff>66675</xdr:rowOff>
    </xdr:to>
    <xdr:sp macro="" textlink="">
      <xdr:nvSpPr>
        <xdr:cNvPr id="13805" name="Freeform 1389">
          <a:extLst>
            <a:ext uri="{FF2B5EF4-FFF2-40B4-BE49-F238E27FC236}">
              <a16:creationId xmlns:a16="http://schemas.microsoft.com/office/drawing/2014/main" id="{00000000-0008-0000-0700-0000ED350000}"/>
            </a:ext>
          </a:extLst>
        </xdr:cNvPr>
        <xdr:cNvSpPr>
          <a:spLocks/>
        </xdr:cNvSpPr>
      </xdr:nvSpPr>
      <xdr:spPr bwMode="auto">
        <a:xfrm>
          <a:off x="7658100" y="3257550"/>
          <a:ext cx="9525" cy="0"/>
        </a:xfrm>
        <a:custGeom>
          <a:avLst/>
          <a:gdLst>
            <a:gd name="T0" fmla="*/ 0 w 1"/>
            <a:gd name="T1" fmla="*/ 0 h 14"/>
            <a:gd name="T2" fmla="*/ 0 w 1"/>
            <a:gd name="T3" fmla="*/ 0 h 14"/>
            <a:gd name="T4" fmla="*/ 2147483647 w 1"/>
            <a:gd name="T5" fmla="*/ 0 h 14"/>
            <a:gd name="T6" fmla="*/ 0 60000 65536"/>
            <a:gd name="T7" fmla="*/ 0 60000 65536"/>
            <a:gd name="T8" fmla="*/ 0 60000 65536"/>
            <a:gd name="T9" fmla="*/ 0 w 1"/>
            <a:gd name="T10" fmla="*/ 0 h 14"/>
            <a:gd name="T11" fmla="*/ 1 w 1"/>
            <a:gd name="T12" fmla="*/ 0 h 1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" h="14">
              <a:moveTo>
                <a:pt x="0" y="0"/>
              </a:moveTo>
              <a:lnTo>
                <a:pt x="0" y="6"/>
              </a:lnTo>
              <a:lnTo>
                <a:pt x="1" y="1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19050</xdr:colOff>
      <xdr:row>15</xdr:row>
      <xdr:rowOff>66675</xdr:rowOff>
    </xdr:from>
    <xdr:to>
      <xdr:col>12</xdr:col>
      <xdr:colOff>38100</xdr:colOff>
      <xdr:row>15</xdr:row>
      <xdr:rowOff>104775</xdr:rowOff>
    </xdr:to>
    <xdr:sp macro="" textlink="">
      <xdr:nvSpPr>
        <xdr:cNvPr id="13806" name="Freeform 1390">
          <a:extLst>
            <a:ext uri="{FF2B5EF4-FFF2-40B4-BE49-F238E27FC236}">
              <a16:creationId xmlns:a16="http://schemas.microsoft.com/office/drawing/2014/main" id="{00000000-0008-0000-0700-0000EE350000}"/>
            </a:ext>
          </a:extLst>
        </xdr:cNvPr>
        <xdr:cNvSpPr>
          <a:spLocks/>
        </xdr:cNvSpPr>
      </xdr:nvSpPr>
      <xdr:spPr bwMode="auto">
        <a:xfrm>
          <a:off x="7658100" y="3257550"/>
          <a:ext cx="19050" cy="38100"/>
        </a:xfrm>
        <a:custGeom>
          <a:avLst/>
          <a:gdLst>
            <a:gd name="T0" fmla="*/ 0 w 108"/>
            <a:gd name="T1" fmla="*/ 0 h 167"/>
            <a:gd name="T2" fmla="*/ 0 w 108"/>
            <a:gd name="T3" fmla="*/ 0 h 167"/>
            <a:gd name="T4" fmla="*/ 0 w 108"/>
            <a:gd name="T5" fmla="*/ 0 h 167"/>
            <a:gd name="T6" fmla="*/ 0 w 108"/>
            <a:gd name="T7" fmla="*/ 0 h 167"/>
            <a:gd name="T8" fmla="*/ 0 w 108"/>
            <a:gd name="T9" fmla="*/ 0 h 167"/>
            <a:gd name="T10" fmla="*/ 0 w 108"/>
            <a:gd name="T11" fmla="*/ 0 h 167"/>
            <a:gd name="T12" fmla="*/ 0 w 108"/>
            <a:gd name="T13" fmla="*/ 0 h 16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8"/>
            <a:gd name="T22" fmla="*/ 0 h 167"/>
            <a:gd name="T23" fmla="*/ 108 w 108"/>
            <a:gd name="T24" fmla="*/ 167 h 16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8" h="167">
              <a:moveTo>
                <a:pt x="59" y="0"/>
              </a:moveTo>
              <a:lnTo>
                <a:pt x="29" y="10"/>
              </a:lnTo>
              <a:lnTo>
                <a:pt x="0" y="19"/>
              </a:lnTo>
              <a:lnTo>
                <a:pt x="49" y="167"/>
              </a:lnTo>
              <a:lnTo>
                <a:pt x="79" y="158"/>
              </a:lnTo>
              <a:lnTo>
                <a:pt x="108" y="148"/>
              </a:lnTo>
              <a:lnTo>
                <a:pt x="59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19050</xdr:colOff>
      <xdr:row>15</xdr:row>
      <xdr:rowOff>66675</xdr:rowOff>
    </xdr:from>
    <xdr:to>
      <xdr:col>12</xdr:col>
      <xdr:colOff>38100</xdr:colOff>
      <xdr:row>15</xdr:row>
      <xdr:rowOff>104775</xdr:rowOff>
    </xdr:to>
    <xdr:sp macro="" textlink="">
      <xdr:nvSpPr>
        <xdr:cNvPr id="13807" name="Freeform 1391">
          <a:extLst>
            <a:ext uri="{FF2B5EF4-FFF2-40B4-BE49-F238E27FC236}">
              <a16:creationId xmlns:a16="http://schemas.microsoft.com/office/drawing/2014/main" id="{00000000-0008-0000-0700-0000EF350000}"/>
            </a:ext>
          </a:extLst>
        </xdr:cNvPr>
        <xdr:cNvSpPr>
          <a:spLocks/>
        </xdr:cNvSpPr>
      </xdr:nvSpPr>
      <xdr:spPr bwMode="auto">
        <a:xfrm>
          <a:off x="7658100" y="3257550"/>
          <a:ext cx="19050" cy="38100"/>
        </a:xfrm>
        <a:custGeom>
          <a:avLst/>
          <a:gdLst>
            <a:gd name="T0" fmla="*/ 0 w 108"/>
            <a:gd name="T1" fmla="*/ 0 h 167"/>
            <a:gd name="T2" fmla="*/ 0 w 108"/>
            <a:gd name="T3" fmla="*/ 0 h 167"/>
            <a:gd name="T4" fmla="*/ 0 w 108"/>
            <a:gd name="T5" fmla="*/ 0 h 167"/>
            <a:gd name="T6" fmla="*/ 0 w 108"/>
            <a:gd name="T7" fmla="*/ 0 h 167"/>
            <a:gd name="T8" fmla="*/ 0 w 108"/>
            <a:gd name="T9" fmla="*/ 0 h 167"/>
            <a:gd name="T10" fmla="*/ 0 w 108"/>
            <a:gd name="T11" fmla="*/ 0 h 167"/>
            <a:gd name="T12" fmla="*/ 0 w 108"/>
            <a:gd name="T13" fmla="*/ 0 h 16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8"/>
            <a:gd name="T22" fmla="*/ 0 h 167"/>
            <a:gd name="T23" fmla="*/ 108 w 108"/>
            <a:gd name="T24" fmla="*/ 167 h 16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8" h="167">
              <a:moveTo>
                <a:pt x="59" y="0"/>
              </a:moveTo>
              <a:lnTo>
                <a:pt x="29" y="10"/>
              </a:lnTo>
              <a:lnTo>
                <a:pt x="0" y="19"/>
              </a:lnTo>
              <a:lnTo>
                <a:pt x="49" y="167"/>
              </a:lnTo>
              <a:lnTo>
                <a:pt x="79" y="158"/>
              </a:lnTo>
              <a:lnTo>
                <a:pt x="108" y="148"/>
              </a:lnTo>
              <a:lnTo>
                <a:pt x="59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15</xdr:row>
      <xdr:rowOff>104775</xdr:rowOff>
    </xdr:from>
    <xdr:to>
      <xdr:col>12</xdr:col>
      <xdr:colOff>38100</xdr:colOff>
      <xdr:row>15</xdr:row>
      <xdr:rowOff>104775</xdr:rowOff>
    </xdr:to>
    <xdr:sp macro="" textlink="">
      <xdr:nvSpPr>
        <xdr:cNvPr id="13808" name="Freeform 1392">
          <a:extLst>
            <a:ext uri="{FF2B5EF4-FFF2-40B4-BE49-F238E27FC236}">
              <a16:creationId xmlns:a16="http://schemas.microsoft.com/office/drawing/2014/main" id="{00000000-0008-0000-0700-0000F0350000}"/>
            </a:ext>
          </a:extLst>
        </xdr:cNvPr>
        <xdr:cNvSpPr>
          <a:spLocks/>
        </xdr:cNvSpPr>
      </xdr:nvSpPr>
      <xdr:spPr bwMode="auto">
        <a:xfrm>
          <a:off x="7667625" y="3295650"/>
          <a:ext cx="9525" cy="0"/>
        </a:xfrm>
        <a:custGeom>
          <a:avLst/>
          <a:gdLst>
            <a:gd name="T0" fmla="*/ 0 w 30"/>
            <a:gd name="T1" fmla="*/ 0 h 20"/>
            <a:gd name="T2" fmla="*/ 0 w 30"/>
            <a:gd name="T3" fmla="*/ 0 h 20"/>
            <a:gd name="T4" fmla="*/ 0 w 30"/>
            <a:gd name="T5" fmla="*/ 0 h 20"/>
            <a:gd name="T6" fmla="*/ 0 w 30"/>
            <a:gd name="T7" fmla="*/ 0 h 20"/>
            <a:gd name="T8" fmla="*/ 0 w 30"/>
            <a:gd name="T9" fmla="*/ 0 h 2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30"/>
            <a:gd name="T16" fmla="*/ 0 h 20"/>
            <a:gd name="T17" fmla="*/ 30 w 30"/>
            <a:gd name="T18" fmla="*/ 0 h 2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30" h="20">
              <a:moveTo>
                <a:pt x="30" y="0"/>
              </a:moveTo>
              <a:lnTo>
                <a:pt x="0" y="9"/>
              </a:lnTo>
              <a:lnTo>
                <a:pt x="2" y="13"/>
              </a:lnTo>
              <a:lnTo>
                <a:pt x="6" y="20"/>
              </a:lnTo>
              <a:lnTo>
                <a:pt x="3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15</xdr:row>
      <xdr:rowOff>104775</xdr:rowOff>
    </xdr:from>
    <xdr:to>
      <xdr:col>12</xdr:col>
      <xdr:colOff>38100</xdr:colOff>
      <xdr:row>15</xdr:row>
      <xdr:rowOff>104775</xdr:rowOff>
    </xdr:to>
    <xdr:sp macro="" textlink="">
      <xdr:nvSpPr>
        <xdr:cNvPr id="13809" name="Freeform 1393">
          <a:extLst>
            <a:ext uri="{FF2B5EF4-FFF2-40B4-BE49-F238E27FC236}">
              <a16:creationId xmlns:a16="http://schemas.microsoft.com/office/drawing/2014/main" id="{00000000-0008-0000-0700-0000F1350000}"/>
            </a:ext>
          </a:extLst>
        </xdr:cNvPr>
        <xdr:cNvSpPr>
          <a:spLocks/>
        </xdr:cNvSpPr>
      </xdr:nvSpPr>
      <xdr:spPr bwMode="auto">
        <a:xfrm>
          <a:off x="7667625" y="3295650"/>
          <a:ext cx="9525" cy="0"/>
        </a:xfrm>
        <a:custGeom>
          <a:avLst/>
          <a:gdLst>
            <a:gd name="T0" fmla="*/ 0 w 6"/>
            <a:gd name="T1" fmla="*/ 0 h 11"/>
            <a:gd name="T2" fmla="*/ 0 w 6"/>
            <a:gd name="T3" fmla="*/ 0 h 11"/>
            <a:gd name="T4" fmla="*/ 0 w 6"/>
            <a:gd name="T5" fmla="*/ 0 h 11"/>
            <a:gd name="T6" fmla="*/ 0 60000 65536"/>
            <a:gd name="T7" fmla="*/ 0 60000 65536"/>
            <a:gd name="T8" fmla="*/ 0 60000 65536"/>
            <a:gd name="T9" fmla="*/ 0 w 6"/>
            <a:gd name="T10" fmla="*/ 0 h 11"/>
            <a:gd name="T11" fmla="*/ 6 w 6"/>
            <a:gd name="T12" fmla="*/ 0 h 11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6" h="11">
              <a:moveTo>
                <a:pt x="0" y="0"/>
              </a:moveTo>
              <a:lnTo>
                <a:pt x="2" y="4"/>
              </a:lnTo>
              <a:lnTo>
                <a:pt x="6" y="11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15</xdr:row>
      <xdr:rowOff>95250</xdr:rowOff>
    </xdr:from>
    <xdr:to>
      <xdr:col>12</xdr:col>
      <xdr:colOff>57150</xdr:colOff>
      <xdr:row>15</xdr:row>
      <xdr:rowOff>133350</xdr:rowOff>
    </xdr:to>
    <xdr:sp macro="" textlink="">
      <xdr:nvSpPr>
        <xdr:cNvPr id="13810" name="Freeform 1394">
          <a:extLst>
            <a:ext uri="{FF2B5EF4-FFF2-40B4-BE49-F238E27FC236}">
              <a16:creationId xmlns:a16="http://schemas.microsoft.com/office/drawing/2014/main" id="{00000000-0008-0000-0700-0000F2350000}"/>
            </a:ext>
          </a:extLst>
        </xdr:cNvPr>
        <xdr:cNvSpPr>
          <a:spLocks/>
        </xdr:cNvSpPr>
      </xdr:nvSpPr>
      <xdr:spPr bwMode="auto">
        <a:xfrm>
          <a:off x="7667625" y="3286125"/>
          <a:ext cx="28575" cy="38100"/>
        </a:xfrm>
        <a:custGeom>
          <a:avLst/>
          <a:gdLst>
            <a:gd name="T0" fmla="*/ 0 w 163"/>
            <a:gd name="T1" fmla="*/ 0 h 181"/>
            <a:gd name="T2" fmla="*/ 0 w 163"/>
            <a:gd name="T3" fmla="*/ 0 h 181"/>
            <a:gd name="T4" fmla="*/ 0 w 163"/>
            <a:gd name="T5" fmla="*/ 0 h 181"/>
            <a:gd name="T6" fmla="*/ 0 w 163"/>
            <a:gd name="T7" fmla="*/ 0 h 181"/>
            <a:gd name="T8" fmla="*/ 0 w 163"/>
            <a:gd name="T9" fmla="*/ 0 h 181"/>
            <a:gd name="T10" fmla="*/ 0 w 163"/>
            <a:gd name="T11" fmla="*/ 0 h 181"/>
            <a:gd name="T12" fmla="*/ 0 w 163"/>
            <a:gd name="T13" fmla="*/ 0 h 18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63"/>
            <a:gd name="T22" fmla="*/ 0 h 181"/>
            <a:gd name="T23" fmla="*/ 163 w 163"/>
            <a:gd name="T24" fmla="*/ 181 h 18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63" h="181">
              <a:moveTo>
                <a:pt x="48" y="0"/>
              </a:moveTo>
              <a:lnTo>
                <a:pt x="24" y="20"/>
              </a:lnTo>
              <a:lnTo>
                <a:pt x="0" y="40"/>
              </a:lnTo>
              <a:lnTo>
                <a:pt x="115" y="181"/>
              </a:lnTo>
              <a:lnTo>
                <a:pt x="139" y="161"/>
              </a:lnTo>
              <a:lnTo>
                <a:pt x="163" y="141"/>
              </a:lnTo>
              <a:lnTo>
                <a:pt x="48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15</xdr:row>
      <xdr:rowOff>95250</xdr:rowOff>
    </xdr:from>
    <xdr:to>
      <xdr:col>12</xdr:col>
      <xdr:colOff>57150</xdr:colOff>
      <xdr:row>15</xdr:row>
      <xdr:rowOff>133350</xdr:rowOff>
    </xdr:to>
    <xdr:sp macro="" textlink="">
      <xdr:nvSpPr>
        <xdr:cNvPr id="13811" name="Freeform 1395">
          <a:extLst>
            <a:ext uri="{FF2B5EF4-FFF2-40B4-BE49-F238E27FC236}">
              <a16:creationId xmlns:a16="http://schemas.microsoft.com/office/drawing/2014/main" id="{00000000-0008-0000-0700-0000F3350000}"/>
            </a:ext>
          </a:extLst>
        </xdr:cNvPr>
        <xdr:cNvSpPr>
          <a:spLocks/>
        </xdr:cNvSpPr>
      </xdr:nvSpPr>
      <xdr:spPr bwMode="auto">
        <a:xfrm>
          <a:off x="7667625" y="3286125"/>
          <a:ext cx="28575" cy="38100"/>
        </a:xfrm>
        <a:custGeom>
          <a:avLst/>
          <a:gdLst>
            <a:gd name="T0" fmla="*/ 0 w 163"/>
            <a:gd name="T1" fmla="*/ 0 h 181"/>
            <a:gd name="T2" fmla="*/ 0 w 163"/>
            <a:gd name="T3" fmla="*/ 0 h 181"/>
            <a:gd name="T4" fmla="*/ 0 w 163"/>
            <a:gd name="T5" fmla="*/ 0 h 181"/>
            <a:gd name="T6" fmla="*/ 0 w 163"/>
            <a:gd name="T7" fmla="*/ 0 h 181"/>
            <a:gd name="T8" fmla="*/ 0 w 163"/>
            <a:gd name="T9" fmla="*/ 0 h 181"/>
            <a:gd name="T10" fmla="*/ 0 w 163"/>
            <a:gd name="T11" fmla="*/ 0 h 181"/>
            <a:gd name="T12" fmla="*/ 0 w 163"/>
            <a:gd name="T13" fmla="*/ 0 h 18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63"/>
            <a:gd name="T22" fmla="*/ 0 h 181"/>
            <a:gd name="T23" fmla="*/ 163 w 163"/>
            <a:gd name="T24" fmla="*/ 181 h 18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63" h="181">
              <a:moveTo>
                <a:pt x="48" y="0"/>
              </a:moveTo>
              <a:lnTo>
                <a:pt x="24" y="20"/>
              </a:lnTo>
              <a:lnTo>
                <a:pt x="0" y="40"/>
              </a:lnTo>
              <a:lnTo>
                <a:pt x="115" y="181"/>
              </a:lnTo>
              <a:lnTo>
                <a:pt x="139" y="161"/>
              </a:lnTo>
              <a:lnTo>
                <a:pt x="163" y="141"/>
              </a:lnTo>
              <a:lnTo>
                <a:pt x="48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47625</xdr:colOff>
      <xdr:row>15</xdr:row>
      <xdr:rowOff>123825</xdr:rowOff>
    </xdr:from>
    <xdr:to>
      <xdr:col>12</xdr:col>
      <xdr:colOff>57150</xdr:colOff>
      <xdr:row>15</xdr:row>
      <xdr:rowOff>142875</xdr:rowOff>
    </xdr:to>
    <xdr:sp macro="" textlink="">
      <xdr:nvSpPr>
        <xdr:cNvPr id="13812" name="Freeform 1396">
          <a:extLst>
            <a:ext uri="{FF2B5EF4-FFF2-40B4-BE49-F238E27FC236}">
              <a16:creationId xmlns:a16="http://schemas.microsoft.com/office/drawing/2014/main" id="{00000000-0008-0000-0700-0000F4350000}"/>
            </a:ext>
          </a:extLst>
        </xdr:cNvPr>
        <xdr:cNvSpPr>
          <a:spLocks/>
        </xdr:cNvSpPr>
      </xdr:nvSpPr>
      <xdr:spPr bwMode="auto">
        <a:xfrm>
          <a:off x="7686675" y="3314700"/>
          <a:ext cx="9525" cy="19050"/>
        </a:xfrm>
        <a:custGeom>
          <a:avLst/>
          <a:gdLst>
            <a:gd name="T0" fmla="*/ 0 w 55"/>
            <a:gd name="T1" fmla="*/ 0 h 51"/>
            <a:gd name="T2" fmla="*/ 0 w 55"/>
            <a:gd name="T3" fmla="*/ 0 h 51"/>
            <a:gd name="T4" fmla="*/ 0 w 55"/>
            <a:gd name="T5" fmla="*/ 0 h 51"/>
            <a:gd name="T6" fmla="*/ 0 w 55"/>
            <a:gd name="T7" fmla="*/ 0 h 51"/>
            <a:gd name="T8" fmla="*/ 0 w 55"/>
            <a:gd name="T9" fmla="*/ 0 h 51"/>
            <a:gd name="T10" fmla="*/ 0 w 55"/>
            <a:gd name="T11" fmla="*/ 0 h 51"/>
            <a:gd name="T12" fmla="*/ 0 w 55"/>
            <a:gd name="T13" fmla="*/ 0 h 51"/>
            <a:gd name="T14" fmla="*/ 0 w 55"/>
            <a:gd name="T15" fmla="*/ 0 h 51"/>
            <a:gd name="T16" fmla="*/ 0 w 55"/>
            <a:gd name="T17" fmla="*/ 0 h 51"/>
            <a:gd name="T18" fmla="*/ 0 w 55"/>
            <a:gd name="T19" fmla="*/ 0 h 51"/>
            <a:gd name="T20" fmla="*/ 0 w 55"/>
            <a:gd name="T21" fmla="*/ 0 h 51"/>
            <a:gd name="T22" fmla="*/ 0 w 55"/>
            <a:gd name="T23" fmla="*/ 0 h 51"/>
            <a:gd name="T24" fmla="*/ 0 w 55"/>
            <a:gd name="T25" fmla="*/ 0 h 51"/>
            <a:gd name="T26" fmla="*/ 0 w 55"/>
            <a:gd name="T27" fmla="*/ 0 h 5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5"/>
            <a:gd name="T43" fmla="*/ 0 h 51"/>
            <a:gd name="T44" fmla="*/ 55 w 55"/>
            <a:gd name="T45" fmla="*/ 51 h 51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5" h="51">
              <a:moveTo>
                <a:pt x="24" y="20"/>
              </a:moveTo>
              <a:lnTo>
                <a:pt x="48" y="0"/>
              </a:lnTo>
              <a:lnTo>
                <a:pt x="53" y="9"/>
              </a:lnTo>
              <a:lnTo>
                <a:pt x="55" y="17"/>
              </a:lnTo>
              <a:lnTo>
                <a:pt x="55" y="26"/>
              </a:lnTo>
              <a:lnTo>
                <a:pt x="52" y="34"/>
              </a:lnTo>
              <a:lnTo>
                <a:pt x="47" y="41"/>
              </a:lnTo>
              <a:lnTo>
                <a:pt x="40" y="47"/>
              </a:lnTo>
              <a:lnTo>
                <a:pt x="32" y="51"/>
              </a:lnTo>
              <a:lnTo>
                <a:pt x="23" y="51"/>
              </a:lnTo>
              <a:lnTo>
                <a:pt x="15" y="50"/>
              </a:lnTo>
              <a:lnTo>
                <a:pt x="6" y="46"/>
              </a:lnTo>
              <a:lnTo>
                <a:pt x="0" y="40"/>
              </a:lnTo>
              <a:lnTo>
                <a:pt x="24" y="2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47625</xdr:colOff>
      <xdr:row>15</xdr:row>
      <xdr:rowOff>123825</xdr:rowOff>
    </xdr:from>
    <xdr:to>
      <xdr:col>12</xdr:col>
      <xdr:colOff>57150</xdr:colOff>
      <xdr:row>15</xdr:row>
      <xdr:rowOff>142875</xdr:rowOff>
    </xdr:to>
    <xdr:sp macro="" textlink="">
      <xdr:nvSpPr>
        <xdr:cNvPr id="13813" name="Freeform 1397">
          <a:extLst>
            <a:ext uri="{FF2B5EF4-FFF2-40B4-BE49-F238E27FC236}">
              <a16:creationId xmlns:a16="http://schemas.microsoft.com/office/drawing/2014/main" id="{00000000-0008-0000-0700-0000F5350000}"/>
            </a:ext>
          </a:extLst>
        </xdr:cNvPr>
        <xdr:cNvSpPr>
          <a:spLocks/>
        </xdr:cNvSpPr>
      </xdr:nvSpPr>
      <xdr:spPr bwMode="auto">
        <a:xfrm>
          <a:off x="7686675" y="3314700"/>
          <a:ext cx="9525" cy="19050"/>
        </a:xfrm>
        <a:custGeom>
          <a:avLst/>
          <a:gdLst>
            <a:gd name="T0" fmla="*/ 0 w 55"/>
            <a:gd name="T1" fmla="*/ 0 h 51"/>
            <a:gd name="T2" fmla="*/ 0 w 55"/>
            <a:gd name="T3" fmla="*/ 0 h 51"/>
            <a:gd name="T4" fmla="*/ 0 w 55"/>
            <a:gd name="T5" fmla="*/ 0 h 51"/>
            <a:gd name="T6" fmla="*/ 0 w 55"/>
            <a:gd name="T7" fmla="*/ 0 h 51"/>
            <a:gd name="T8" fmla="*/ 0 w 55"/>
            <a:gd name="T9" fmla="*/ 0 h 51"/>
            <a:gd name="T10" fmla="*/ 0 w 55"/>
            <a:gd name="T11" fmla="*/ 0 h 51"/>
            <a:gd name="T12" fmla="*/ 0 w 55"/>
            <a:gd name="T13" fmla="*/ 0 h 51"/>
            <a:gd name="T14" fmla="*/ 0 w 55"/>
            <a:gd name="T15" fmla="*/ 0 h 51"/>
            <a:gd name="T16" fmla="*/ 0 w 55"/>
            <a:gd name="T17" fmla="*/ 0 h 51"/>
            <a:gd name="T18" fmla="*/ 0 w 55"/>
            <a:gd name="T19" fmla="*/ 0 h 51"/>
            <a:gd name="T20" fmla="*/ 0 w 55"/>
            <a:gd name="T21" fmla="*/ 0 h 51"/>
            <a:gd name="T22" fmla="*/ 0 w 55"/>
            <a:gd name="T23" fmla="*/ 0 h 5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5"/>
            <a:gd name="T37" fmla="*/ 0 h 51"/>
            <a:gd name="T38" fmla="*/ 55 w 55"/>
            <a:gd name="T39" fmla="*/ 51 h 5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5" h="51">
              <a:moveTo>
                <a:pt x="48" y="0"/>
              </a:moveTo>
              <a:lnTo>
                <a:pt x="53" y="9"/>
              </a:lnTo>
              <a:lnTo>
                <a:pt x="55" y="17"/>
              </a:lnTo>
              <a:lnTo>
                <a:pt x="55" y="26"/>
              </a:lnTo>
              <a:lnTo>
                <a:pt x="52" y="34"/>
              </a:lnTo>
              <a:lnTo>
                <a:pt x="47" y="41"/>
              </a:lnTo>
              <a:lnTo>
                <a:pt x="40" y="47"/>
              </a:lnTo>
              <a:lnTo>
                <a:pt x="32" y="51"/>
              </a:lnTo>
              <a:lnTo>
                <a:pt x="23" y="51"/>
              </a:lnTo>
              <a:lnTo>
                <a:pt x="15" y="50"/>
              </a:lnTo>
              <a:lnTo>
                <a:pt x="6" y="46"/>
              </a:lnTo>
              <a:lnTo>
                <a:pt x="0" y="4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342900</xdr:colOff>
      <xdr:row>12</xdr:row>
      <xdr:rowOff>238125</xdr:rowOff>
    </xdr:from>
    <xdr:to>
      <xdr:col>10</xdr:col>
      <xdr:colOff>352425</xdr:colOff>
      <xdr:row>13</xdr:row>
      <xdr:rowOff>9525</xdr:rowOff>
    </xdr:to>
    <xdr:sp macro="" textlink="">
      <xdr:nvSpPr>
        <xdr:cNvPr id="13814" name="Freeform 1398">
          <a:extLst>
            <a:ext uri="{FF2B5EF4-FFF2-40B4-BE49-F238E27FC236}">
              <a16:creationId xmlns:a16="http://schemas.microsoft.com/office/drawing/2014/main" id="{00000000-0008-0000-0700-0000F6350000}"/>
            </a:ext>
          </a:extLst>
        </xdr:cNvPr>
        <xdr:cNvSpPr>
          <a:spLocks/>
        </xdr:cNvSpPr>
      </xdr:nvSpPr>
      <xdr:spPr bwMode="auto">
        <a:xfrm>
          <a:off x="6915150" y="2733675"/>
          <a:ext cx="9525" cy="9525"/>
        </a:xfrm>
        <a:custGeom>
          <a:avLst/>
          <a:gdLst>
            <a:gd name="T0" fmla="*/ 0 w 51"/>
            <a:gd name="T1" fmla="*/ 0 h 54"/>
            <a:gd name="T2" fmla="*/ 0 w 51"/>
            <a:gd name="T3" fmla="*/ 0 h 54"/>
            <a:gd name="T4" fmla="*/ 0 w 51"/>
            <a:gd name="T5" fmla="*/ 0 h 54"/>
            <a:gd name="T6" fmla="*/ 0 w 51"/>
            <a:gd name="T7" fmla="*/ 0 h 54"/>
            <a:gd name="T8" fmla="*/ 0 w 51"/>
            <a:gd name="T9" fmla="*/ 0 h 54"/>
            <a:gd name="T10" fmla="*/ 0 w 51"/>
            <a:gd name="T11" fmla="*/ 0 h 54"/>
            <a:gd name="T12" fmla="*/ 0 w 51"/>
            <a:gd name="T13" fmla="*/ 0 h 54"/>
            <a:gd name="T14" fmla="*/ 0 w 51"/>
            <a:gd name="T15" fmla="*/ 0 h 54"/>
            <a:gd name="T16" fmla="*/ 0 w 51"/>
            <a:gd name="T17" fmla="*/ 0 h 54"/>
            <a:gd name="T18" fmla="*/ 0 w 51"/>
            <a:gd name="T19" fmla="*/ 0 h 54"/>
            <a:gd name="T20" fmla="*/ 0 w 51"/>
            <a:gd name="T21" fmla="*/ 0 h 54"/>
            <a:gd name="T22" fmla="*/ 0 w 51"/>
            <a:gd name="T23" fmla="*/ 0 h 54"/>
            <a:gd name="T24" fmla="*/ 0 w 51"/>
            <a:gd name="T25" fmla="*/ 0 h 54"/>
            <a:gd name="T26" fmla="*/ 0 w 51"/>
            <a:gd name="T27" fmla="*/ 0 h 54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1"/>
            <a:gd name="T43" fmla="*/ 0 h 54"/>
            <a:gd name="T44" fmla="*/ 51 w 51"/>
            <a:gd name="T45" fmla="*/ 54 h 54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1" h="54">
              <a:moveTo>
                <a:pt x="31" y="23"/>
              </a:moveTo>
              <a:lnTo>
                <a:pt x="51" y="46"/>
              </a:lnTo>
              <a:lnTo>
                <a:pt x="43" y="52"/>
              </a:lnTo>
              <a:lnTo>
                <a:pt x="35" y="54"/>
              </a:lnTo>
              <a:lnTo>
                <a:pt x="27" y="54"/>
              </a:lnTo>
              <a:lnTo>
                <a:pt x="18" y="52"/>
              </a:lnTo>
              <a:lnTo>
                <a:pt x="11" y="46"/>
              </a:lnTo>
              <a:lnTo>
                <a:pt x="4" y="40"/>
              </a:lnTo>
              <a:lnTo>
                <a:pt x="1" y="32"/>
              </a:lnTo>
              <a:lnTo>
                <a:pt x="0" y="23"/>
              </a:lnTo>
              <a:lnTo>
                <a:pt x="1" y="15"/>
              </a:lnTo>
              <a:lnTo>
                <a:pt x="4" y="6"/>
              </a:lnTo>
              <a:lnTo>
                <a:pt x="11" y="0"/>
              </a:lnTo>
              <a:lnTo>
                <a:pt x="31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342900</xdr:colOff>
      <xdr:row>12</xdr:row>
      <xdr:rowOff>238125</xdr:rowOff>
    </xdr:from>
    <xdr:to>
      <xdr:col>10</xdr:col>
      <xdr:colOff>352425</xdr:colOff>
      <xdr:row>13</xdr:row>
      <xdr:rowOff>9525</xdr:rowOff>
    </xdr:to>
    <xdr:sp macro="" textlink="">
      <xdr:nvSpPr>
        <xdr:cNvPr id="13815" name="Freeform 1399">
          <a:extLst>
            <a:ext uri="{FF2B5EF4-FFF2-40B4-BE49-F238E27FC236}">
              <a16:creationId xmlns:a16="http://schemas.microsoft.com/office/drawing/2014/main" id="{00000000-0008-0000-0700-0000F7350000}"/>
            </a:ext>
          </a:extLst>
        </xdr:cNvPr>
        <xdr:cNvSpPr>
          <a:spLocks/>
        </xdr:cNvSpPr>
      </xdr:nvSpPr>
      <xdr:spPr bwMode="auto">
        <a:xfrm>
          <a:off x="6915150" y="2733675"/>
          <a:ext cx="9525" cy="9525"/>
        </a:xfrm>
        <a:custGeom>
          <a:avLst/>
          <a:gdLst>
            <a:gd name="T0" fmla="*/ 0 w 51"/>
            <a:gd name="T1" fmla="*/ 0 h 54"/>
            <a:gd name="T2" fmla="*/ 0 w 51"/>
            <a:gd name="T3" fmla="*/ 0 h 54"/>
            <a:gd name="T4" fmla="*/ 0 w 51"/>
            <a:gd name="T5" fmla="*/ 0 h 54"/>
            <a:gd name="T6" fmla="*/ 0 w 51"/>
            <a:gd name="T7" fmla="*/ 0 h 54"/>
            <a:gd name="T8" fmla="*/ 0 w 51"/>
            <a:gd name="T9" fmla="*/ 0 h 54"/>
            <a:gd name="T10" fmla="*/ 0 w 51"/>
            <a:gd name="T11" fmla="*/ 0 h 54"/>
            <a:gd name="T12" fmla="*/ 0 w 51"/>
            <a:gd name="T13" fmla="*/ 0 h 54"/>
            <a:gd name="T14" fmla="*/ 0 w 51"/>
            <a:gd name="T15" fmla="*/ 0 h 54"/>
            <a:gd name="T16" fmla="*/ 0 w 51"/>
            <a:gd name="T17" fmla="*/ 0 h 54"/>
            <a:gd name="T18" fmla="*/ 0 w 51"/>
            <a:gd name="T19" fmla="*/ 0 h 54"/>
            <a:gd name="T20" fmla="*/ 0 w 51"/>
            <a:gd name="T21" fmla="*/ 0 h 54"/>
            <a:gd name="T22" fmla="*/ 0 w 51"/>
            <a:gd name="T23" fmla="*/ 0 h 5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1"/>
            <a:gd name="T37" fmla="*/ 0 h 54"/>
            <a:gd name="T38" fmla="*/ 51 w 51"/>
            <a:gd name="T39" fmla="*/ 54 h 5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1" h="54">
              <a:moveTo>
                <a:pt x="51" y="46"/>
              </a:moveTo>
              <a:lnTo>
                <a:pt x="43" y="52"/>
              </a:lnTo>
              <a:lnTo>
                <a:pt x="35" y="54"/>
              </a:lnTo>
              <a:lnTo>
                <a:pt x="27" y="54"/>
              </a:lnTo>
              <a:lnTo>
                <a:pt x="18" y="52"/>
              </a:lnTo>
              <a:lnTo>
                <a:pt x="11" y="46"/>
              </a:lnTo>
              <a:lnTo>
                <a:pt x="4" y="40"/>
              </a:lnTo>
              <a:lnTo>
                <a:pt x="1" y="32"/>
              </a:lnTo>
              <a:lnTo>
                <a:pt x="0" y="23"/>
              </a:lnTo>
              <a:lnTo>
                <a:pt x="1" y="15"/>
              </a:lnTo>
              <a:lnTo>
                <a:pt x="4" y="6"/>
              </a:lnTo>
              <a:lnTo>
                <a:pt x="1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352425</xdr:colOff>
      <xdr:row>12</xdr:row>
      <xdr:rowOff>57150</xdr:rowOff>
    </xdr:from>
    <xdr:to>
      <xdr:col>11</xdr:col>
      <xdr:colOff>38100</xdr:colOff>
      <xdr:row>12</xdr:row>
      <xdr:rowOff>247650</xdr:rowOff>
    </xdr:to>
    <xdr:sp macro="" textlink="">
      <xdr:nvSpPr>
        <xdr:cNvPr id="13816" name="Freeform 1400">
          <a:extLst>
            <a:ext uri="{FF2B5EF4-FFF2-40B4-BE49-F238E27FC236}">
              <a16:creationId xmlns:a16="http://schemas.microsoft.com/office/drawing/2014/main" id="{00000000-0008-0000-0700-0000F8350000}"/>
            </a:ext>
          </a:extLst>
        </xdr:cNvPr>
        <xdr:cNvSpPr>
          <a:spLocks/>
        </xdr:cNvSpPr>
      </xdr:nvSpPr>
      <xdr:spPr bwMode="auto">
        <a:xfrm>
          <a:off x="6924675" y="2552700"/>
          <a:ext cx="219075" cy="180975"/>
        </a:xfrm>
        <a:custGeom>
          <a:avLst/>
          <a:gdLst>
            <a:gd name="T0" fmla="*/ 0 w 823"/>
            <a:gd name="T1" fmla="*/ 0 h 723"/>
            <a:gd name="T2" fmla="*/ 0 w 823"/>
            <a:gd name="T3" fmla="*/ 0 h 723"/>
            <a:gd name="T4" fmla="*/ 0 w 823"/>
            <a:gd name="T5" fmla="*/ 0 h 723"/>
            <a:gd name="T6" fmla="*/ 0 w 823"/>
            <a:gd name="T7" fmla="*/ 0 h 723"/>
            <a:gd name="T8" fmla="*/ 0 w 823"/>
            <a:gd name="T9" fmla="*/ 0 h 723"/>
            <a:gd name="T10" fmla="*/ 0 w 823"/>
            <a:gd name="T11" fmla="*/ 0 h 723"/>
            <a:gd name="T12" fmla="*/ 0 w 823"/>
            <a:gd name="T13" fmla="*/ 0 h 72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23"/>
            <a:gd name="T22" fmla="*/ 0 h 723"/>
            <a:gd name="T23" fmla="*/ 823 w 823"/>
            <a:gd name="T24" fmla="*/ 723 h 72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23" h="723">
              <a:moveTo>
                <a:pt x="0" y="677"/>
              </a:moveTo>
              <a:lnTo>
                <a:pt x="20" y="700"/>
              </a:lnTo>
              <a:lnTo>
                <a:pt x="40" y="723"/>
              </a:lnTo>
              <a:lnTo>
                <a:pt x="823" y="46"/>
              </a:lnTo>
              <a:lnTo>
                <a:pt x="803" y="23"/>
              </a:lnTo>
              <a:lnTo>
                <a:pt x="783" y="0"/>
              </a:lnTo>
              <a:lnTo>
                <a:pt x="0" y="677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352425</xdr:colOff>
      <xdr:row>12</xdr:row>
      <xdr:rowOff>57150</xdr:rowOff>
    </xdr:from>
    <xdr:to>
      <xdr:col>11</xdr:col>
      <xdr:colOff>38100</xdr:colOff>
      <xdr:row>12</xdr:row>
      <xdr:rowOff>247650</xdr:rowOff>
    </xdr:to>
    <xdr:sp macro="" textlink="">
      <xdr:nvSpPr>
        <xdr:cNvPr id="13817" name="Freeform 1401">
          <a:extLst>
            <a:ext uri="{FF2B5EF4-FFF2-40B4-BE49-F238E27FC236}">
              <a16:creationId xmlns:a16="http://schemas.microsoft.com/office/drawing/2014/main" id="{00000000-0008-0000-0700-0000F9350000}"/>
            </a:ext>
          </a:extLst>
        </xdr:cNvPr>
        <xdr:cNvSpPr>
          <a:spLocks/>
        </xdr:cNvSpPr>
      </xdr:nvSpPr>
      <xdr:spPr bwMode="auto">
        <a:xfrm>
          <a:off x="6924675" y="2552700"/>
          <a:ext cx="219075" cy="180975"/>
        </a:xfrm>
        <a:custGeom>
          <a:avLst/>
          <a:gdLst>
            <a:gd name="T0" fmla="*/ 0 w 823"/>
            <a:gd name="T1" fmla="*/ 0 h 723"/>
            <a:gd name="T2" fmla="*/ 0 w 823"/>
            <a:gd name="T3" fmla="*/ 0 h 723"/>
            <a:gd name="T4" fmla="*/ 0 w 823"/>
            <a:gd name="T5" fmla="*/ 0 h 723"/>
            <a:gd name="T6" fmla="*/ 0 w 823"/>
            <a:gd name="T7" fmla="*/ 0 h 723"/>
            <a:gd name="T8" fmla="*/ 0 w 823"/>
            <a:gd name="T9" fmla="*/ 0 h 723"/>
            <a:gd name="T10" fmla="*/ 0 w 823"/>
            <a:gd name="T11" fmla="*/ 0 h 723"/>
            <a:gd name="T12" fmla="*/ 0 w 823"/>
            <a:gd name="T13" fmla="*/ 0 h 72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23"/>
            <a:gd name="T22" fmla="*/ 0 h 723"/>
            <a:gd name="T23" fmla="*/ 823 w 823"/>
            <a:gd name="T24" fmla="*/ 723 h 72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23" h="723">
              <a:moveTo>
                <a:pt x="0" y="677"/>
              </a:moveTo>
              <a:lnTo>
                <a:pt x="20" y="700"/>
              </a:lnTo>
              <a:lnTo>
                <a:pt x="40" y="723"/>
              </a:lnTo>
              <a:lnTo>
                <a:pt x="823" y="46"/>
              </a:lnTo>
              <a:lnTo>
                <a:pt x="803" y="23"/>
              </a:lnTo>
              <a:lnTo>
                <a:pt x="783" y="0"/>
              </a:lnTo>
              <a:lnTo>
                <a:pt x="0" y="677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28575</xdr:colOff>
      <xdr:row>12</xdr:row>
      <xdr:rowOff>57150</xdr:rowOff>
    </xdr:from>
    <xdr:to>
      <xdr:col>11</xdr:col>
      <xdr:colOff>38100</xdr:colOff>
      <xdr:row>12</xdr:row>
      <xdr:rowOff>76200</xdr:rowOff>
    </xdr:to>
    <xdr:sp macro="" textlink="">
      <xdr:nvSpPr>
        <xdr:cNvPr id="13818" name="Freeform 1402">
          <a:extLst>
            <a:ext uri="{FF2B5EF4-FFF2-40B4-BE49-F238E27FC236}">
              <a16:creationId xmlns:a16="http://schemas.microsoft.com/office/drawing/2014/main" id="{00000000-0008-0000-0700-0000FA350000}"/>
            </a:ext>
          </a:extLst>
        </xdr:cNvPr>
        <xdr:cNvSpPr>
          <a:spLocks/>
        </xdr:cNvSpPr>
      </xdr:nvSpPr>
      <xdr:spPr bwMode="auto">
        <a:xfrm>
          <a:off x="7134225" y="2552700"/>
          <a:ext cx="9525" cy="19050"/>
        </a:xfrm>
        <a:custGeom>
          <a:avLst/>
          <a:gdLst>
            <a:gd name="T0" fmla="*/ 0 w 52"/>
            <a:gd name="T1" fmla="*/ 0 h 53"/>
            <a:gd name="T2" fmla="*/ 0 w 52"/>
            <a:gd name="T3" fmla="*/ 0 h 53"/>
            <a:gd name="T4" fmla="*/ 0 w 52"/>
            <a:gd name="T5" fmla="*/ 0 h 53"/>
            <a:gd name="T6" fmla="*/ 0 w 52"/>
            <a:gd name="T7" fmla="*/ 0 h 53"/>
            <a:gd name="T8" fmla="*/ 0 w 52"/>
            <a:gd name="T9" fmla="*/ 0 h 53"/>
            <a:gd name="T10" fmla="*/ 0 w 52"/>
            <a:gd name="T11" fmla="*/ 0 h 53"/>
            <a:gd name="T12" fmla="*/ 0 w 52"/>
            <a:gd name="T13" fmla="*/ 0 h 53"/>
            <a:gd name="T14" fmla="*/ 0 w 52"/>
            <a:gd name="T15" fmla="*/ 0 h 53"/>
            <a:gd name="T16" fmla="*/ 0 w 52"/>
            <a:gd name="T17" fmla="*/ 0 h 53"/>
            <a:gd name="T18" fmla="*/ 0 w 52"/>
            <a:gd name="T19" fmla="*/ 0 h 53"/>
            <a:gd name="T20" fmla="*/ 0 w 52"/>
            <a:gd name="T21" fmla="*/ 0 h 53"/>
            <a:gd name="T22" fmla="*/ 0 w 52"/>
            <a:gd name="T23" fmla="*/ 0 h 53"/>
            <a:gd name="T24" fmla="*/ 0 w 52"/>
            <a:gd name="T25" fmla="*/ 0 h 53"/>
            <a:gd name="T26" fmla="*/ 0 w 52"/>
            <a:gd name="T27" fmla="*/ 0 h 53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2"/>
            <a:gd name="T43" fmla="*/ 0 h 53"/>
            <a:gd name="T44" fmla="*/ 52 w 52"/>
            <a:gd name="T45" fmla="*/ 53 h 53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2" h="53">
              <a:moveTo>
                <a:pt x="20" y="30"/>
              </a:moveTo>
              <a:lnTo>
                <a:pt x="0" y="7"/>
              </a:lnTo>
              <a:lnTo>
                <a:pt x="7" y="2"/>
              </a:lnTo>
              <a:lnTo>
                <a:pt x="16" y="0"/>
              </a:lnTo>
              <a:lnTo>
                <a:pt x="24" y="0"/>
              </a:lnTo>
              <a:lnTo>
                <a:pt x="33" y="2"/>
              </a:lnTo>
              <a:lnTo>
                <a:pt x="40" y="7"/>
              </a:lnTo>
              <a:lnTo>
                <a:pt x="46" y="13"/>
              </a:lnTo>
              <a:lnTo>
                <a:pt x="49" y="22"/>
              </a:lnTo>
              <a:lnTo>
                <a:pt x="52" y="30"/>
              </a:lnTo>
              <a:lnTo>
                <a:pt x="49" y="38"/>
              </a:lnTo>
              <a:lnTo>
                <a:pt x="46" y="47"/>
              </a:lnTo>
              <a:lnTo>
                <a:pt x="40" y="53"/>
              </a:lnTo>
              <a:lnTo>
                <a:pt x="20" y="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28575</xdr:colOff>
      <xdr:row>12</xdr:row>
      <xdr:rowOff>57150</xdr:rowOff>
    </xdr:from>
    <xdr:to>
      <xdr:col>11</xdr:col>
      <xdr:colOff>38100</xdr:colOff>
      <xdr:row>12</xdr:row>
      <xdr:rowOff>76200</xdr:rowOff>
    </xdr:to>
    <xdr:sp macro="" textlink="">
      <xdr:nvSpPr>
        <xdr:cNvPr id="13819" name="Freeform 1403">
          <a:extLst>
            <a:ext uri="{FF2B5EF4-FFF2-40B4-BE49-F238E27FC236}">
              <a16:creationId xmlns:a16="http://schemas.microsoft.com/office/drawing/2014/main" id="{00000000-0008-0000-0700-0000FB350000}"/>
            </a:ext>
          </a:extLst>
        </xdr:cNvPr>
        <xdr:cNvSpPr>
          <a:spLocks/>
        </xdr:cNvSpPr>
      </xdr:nvSpPr>
      <xdr:spPr bwMode="auto">
        <a:xfrm>
          <a:off x="7134225" y="2552700"/>
          <a:ext cx="9525" cy="19050"/>
        </a:xfrm>
        <a:custGeom>
          <a:avLst/>
          <a:gdLst>
            <a:gd name="T0" fmla="*/ 0 w 52"/>
            <a:gd name="T1" fmla="*/ 0 h 53"/>
            <a:gd name="T2" fmla="*/ 0 w 52"/>
            <a:gd name="T3" fmla="*/ 0 h 53"/>
            <a:gd name="T4" fmla="*/ 0 w 52"/>
            <a:gd name="T5" fmla="*/ 0 h 53"/>
            <a:gd name="T6" fmla="*/ 0 w 52"/>
            <a:gd name="T7" fmla="*/ 0 h 53"/>
            <a:gd name="T8" fmla="*/ 0 w 52"/>
            <a:gd name="T9" fmla="*/ 0 h 53"/>
            <a:gd name="T10" fmla="*/ 0 w 52"/>
            <a:gd name="T11" fmla="*/ 0 h 53"/>
            <a:gd name="T12" fmla="*/ 0 w 52"/>
            <a:gd name="T13" fmla="*/ 0 h 53"/>
            <a:gd name="T14" fmla="*/ 0 w 52"/>
            <a:gd name="T15" fmla="*/ 0 h 53"/>
            <a:gd name="T16" fmla="*/ 0 w 52"/>
            <a:gd name="T17" fmla="*/ 0 h 53"/>
            <a:gd name="T18" fmla="*/ 0 w 52"/>
            <a:gd name="T19" fmla="*/ 0 h 53"/>
            <a:gd name="T20" fmla="*/ 0 w 52"/>
            <a:gd name="T21" fmla="*/ 0 h 53"/>
            <a:gd name="T22" fmla="*/ 0 w 52"/>
            <a:gd name="T23" fmla="*/ 0 h 53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2"/>
            <a:gd name="T37" fmla="*/ 0 h 53"/>
            <a:gd name="T38" fmla="*/ 52 w 52"/>
            <a:gd name="T39" fmla="*/ 53 h 53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2" h="53">
              <a:moveTo>
                <a:pt x="0" y="7"/>
              </a:moveTo>
              <a:lnTo>
                <a:pt x="7" y="2"/>
              </a:lnTo>
              <a:lnTo>
                <a:pt x="16" y="0"/>
              </a:lnTo>
              <a:lnTo>
                <a:pt x="24" y="0"/>
              </a:lnTo>
              <a:lnTo>
                <a:pt x="33" y="2"/>
              </a:lnTo>
              <a:lnTo>
                <a:pt x="40" y="7"/>
              </a:lnTo>
              <a:lnTo>
                <a:pt x="46" y="13"/>
              </a:lnTo>
              <a:lnTo>
                <a:pt x="49" y="22"/>
              </a:lnTo>
              <a:lnTo>
                <a:pt x="52" y="30"/>
              </a:lnTo>
              <a:lnTo>
                <a:pt x="49" y="38"/>
              </a:lnTo>
              <a:lnTo>
                <a:pt x="46" y="47"/>
              </a:lnTo>
              <a:lnTo>
                <a:pt x="40" y="53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66675</xdr:colOff>
      <xdr:row>12</xdr:row>
      <xdr:rowOff>19050</xdr:rowOff>
    </xdr:from>
    <xdr:to>
      <xdr:col>11</xdr:col>
      <xdr:colOff>76200</xdr:colOff>
      <xdr:row>12</xdr:row>
      <xdr:rowOff>38100</xdr:rowOff>
    </xdr:to>
    <xdr:sp macro="" textlink="">
      <xdr:nvSpPr>
        <xdr:cNvPr id="13820" name="Freeform 1404">
          <a:extLst>
            <a:ext uri="{FF2B5EF4-FFF2-40B4-BE49-F238E27FC236}">
              <a16:creationId xmlns:a16="http://schemas.microsoft.com/office/drawing/2014/main" id="{00000000-0008-0000-0700-0000FC350000}"/>
            </a:ext>
          </a:extLst>
        </xdr:cNvPr>
        <xdr:cNvSpPr>
          <a:spLocks/>
        </xdr:cNvSpPr>
      </xdr:nvSpPr>
      <xdr:spPr bwMode="auto">
        <a:xfrm>
          <a:off x="7172325" y="2514600"/>
          <a:ext cx="9525" cy="19050"/>
        </a:xfrm>
        <a:custGeom>
          <a:avLst/>
          <a:gdLst>
            <a:gd name="T0" fmla="*/ 0 w 50"/>
            <a:gd name="T1" fmla="*/ 0 h 54"/>
            <a:gd name="T2" fmla="*/ 0 w 50"/>
            <a:gd name="T3" fmla="*/ 0 h 54"/>
            <a:gd name="T4" fmla="*/ 0 w 50"/>
            <a:gd name="T5" fmla="*/ 0 h 54"/>
            <a:gd name="T6" fmla="*/ 0 w 50"/>
            <a:gd name="T7" fmla="*/ 0 h 54"/>
            <a:gd name="T8" fmla="*/ 0 w 50"/>
            <a:gd name="T9" fmla="*/ 0 h 54"/>
            <a:gd name="T10" fmla="*/ 0 w 50"/>
            <a:gd name="T11" fmla="*/ 0 h 54"/>
            <a:gd name="T12" fmla="*/ 0 w 50"/>
            <a:gd name="T13" fmla="*/ 0 h 54"/>
            <a:gd name="T14" fmla="*/ 0 w 50"/>
            <a:gd name="T15" fmla="*/ 0 h 54"/>
            <a:gd name="T16" fmla="*/ 0 w 50"/>
            <a:gd name="T17" fmla="*/ 0 h 54"/>
            <a:gd name="T18" fmla="*/ 0 w 50"/>
            <a:gd name="T19" fmla="*/ 0 h 54"/>
            <a:gd name="T20" fmla="*/ 0 w 50"/>
            <a:gd name="T21" fmla="*/ 0 h 54"/>
            <a:gd name="T22" fmla="*/ 0 w 50"/>
            <a:gd name="T23" fmla="*/ 0 h 54"/>
            <a:gd name="T24" fmla="*/ 0 w 50"/>
            <a:gd name="T25" fmla="*/ 0 h 54"/>
            <a:gd name="T26" fmla="*/ 0 w 50"/>
            <a:gd name="T27" fmla="*/ 0 h 54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0"/>
            <a:gd name="T43" fmla="*/ 0 h 54"/>
            <a:gd name="T44" fmla="*/ 50 w 50"/>
            <a:gd name="T45" fmla="*/ 54 h 54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0" h="54">
              <a:moveTo>
                <a:pt x="30" y="23"/>
              </a:moveTo>
              <a:lnTo>
                <a:pt x="50" y="46"/>
              </a:lnTo>
              <a:lnTo>
                <a:pt x="43" y="52"/>
              </a:lnTo>
              <a:lnTo>
                <a:pt x="34" y="54"/>
              </a:lnTo>
              <a:lnTo>
                <a:pt x="26" y="54"/>
              </a:lnTo>
              <a:lnTo>
                <a:pt x="17" y="52"/>
              </a:lnTo>
              <a:lnTo>
                <a:pt x="10" y="46"/>
              </a:lnTo>
              <a:lnTo>
                <a:pt x="4" y="40"/>
              </a:lnTo>
              <a:lnTo>
                <a:pt x="1" y="32"/>
              </a:lnTo>
              <a:lnTo>
                <a:pt x="0" y="23"/>
              </a:lnTo>
              <a:lnTo>
                <a:pt x="1" y="15"/>
              </a:lnTo>
              <a:lnTo>
                <a:pt x="4" y="7"/>
              </a:lnTo>
              <a:lnTo>
                <a:pt x="10" y="0"/>
              </a:lnTo>
              <a:lnTo>
                <a:pt x="3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66675</xdr:colOff>
      <xdr:row>12</xdr:row>
      <xdr:rowOff>19050</xdr:rowOff>
    </xdr:from>
    <xdr:to>
      <xdr:col>11</xdr:col>
      <xdr:colOff>76200</xdr:colOff>
      <xdr:row>12</xdr:row>
      <xdr:rowOff>38100</xdr:rowOff>
    </xdr:to>
    <xdr:sp macro="" textlink="">
      <xdr:nvSpPr>
        <xdr:cNvPr id="13821" name="Freeform 1405">
          <a:extLst>
            <a:ext uri="{FF2B5EF4-FFF2-40B4-BE49-F238E27FC236}">
              <a16:creationId xmlns:a16="http://schemas.microsoft.com/office/drawing/2014/main" id="{00000000-0008-0000-0700-0000FD350000}"/>
            </a:ext>
          </a:extLst>
        </xdr:cNvPr>
        <xdr:cNvSpPr>
          <a:spLocks/>
        </xdr:cNvSpPr>
      </xdr:nvSpPr>
      <xdr:spPr bwMode="auto">
        <a:xfrm>
          <a:off x="7172325" y="2514600"/>
          <a:ext cx="9525" cy="19050"/>
        </a:xfrm>
        <a:custGeom>
          <a:avLst/>
          <a:gdLst>
            <a:gd name="T0" fmla="*/ 0 w 50"/>
            <a:gd name="T1" fmla="*/ 0 h 54"/>
            <a:gd name="T2" fmla="*/ 0 w 50"/>
            <a:gd name="T3" fmla="*/ 0 h 54"/>
            <a:gd name="T4" fmla="*/ 0 w 50"/>
            <a:gd name="T5" fmla="*/ 0 h 54"/>
            <a:gd name="T6" fmla="*/ 0 w 50"/>
            <a:gd name="T7" fmla="*/ 0 h 54"/>
            <a:gd name="T8" fmla="*/ 0 w 50"/>
            <a:gd name="T9" fmla="*/ 0 h 54"/>
            <a:gd name="T10" fmla="*/ 0 w 50"/>
            <a:gd name="T11" fmla="*/ 0 h 54"/>
            <a:gd name="T12" fmla="*/ 0 w 50"/>
            <a:gd name="T13" fmla="*/ 0 h 54"/>
            <a:gd name="T14" fmla="*/ 0 w 50"/>
            <a:gd name="T15" fmla="*/ 0 h 54"/>
            <a:gd name="T16" fmla="*/ 0 w 50"/>
            <a:gd name="T17" fmla="*/ 0 h 54"/>
            <a:gd name="T18" fmla="*/ 0 w 50"/>
            <a:gd name="T19" fmla="*/ 0 h 54"/>
            <a:gd name="T20" fmla="*/ 0 w 50"/>
            <a:gd name="T21" fmla="*/ 0 h 54"/>
            <a:gd name="T22" fmla="*/ 0 w 50"/>
            <a:gd name="T23" fmla="*/ 0 h 5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0"/>
            <a:gd name="T37" fmla="*/ 0 h 54"/>
            <a:gd name="T38" fmla="*/ 50 w 50"/>
            <a:gd name="T39" fmla="*/ 54 h 5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0" h="54">
              <a:moveTo>
                <a:pt x="50" y="46"/>
              </a:moveTo>
              <a:lnTo>
                <a:pt x="43" y="52"/>
              </a:lnTo>
              <a:lnTo>
                <a:pt x="34" y="54"/>
              </a:lnTo>
              <a:lnTo>
                <a:pt x="26" y="54"/>
              </a:lnTo>
              <a:lnTo>
                <a:pt x="17" y="52"/>
              </a:lnTo>
              <a:lnTo>
                <a:pt x="10" y="46"/>
              </a:lnTo>
              <a:lnTo>
                <a:pt x="4" y="40"/>
              </a:lnTo>
              <a:lnTo>
                <a:pt x="1" y="32"/>
              </a:lnTo>
              <a:lnTo>
                <a:pt x="0" y="23"/>
              </a:lnTo>
              <a:lnTo>
                <a:pt x="1" y="15"/>
              </a:lnTo>
              <a:lnTo>
                <a:pt x="4" y="7"/>
              </a:lnTo>
              <a:lnTo>
                <a:pt x="1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66675</xdr:colOff>
      <xdr:row>11</xdr:row>
      <xdr:rowOff>66675</xdr:rowOff>
    </xdr:from>
    <xdr:to>
      <xdr:col>11</xdr:col>
      <xdr:colOff>209550</xdr:colOff>
      <xdr:row>12</xdr:row>
      <xdr:rowOff>28575</xdr:rowOff>
    </xdr:to>
    <xdr:sp macro="" textlink="">
      <xdr:nvSpPr>
        <xdr:cNvPr id="13822" name="Freeform 1406">
          <a:extLst>
            <a:ext uri="{FF2B5EF4-FFF2-40B4-BE49-F238E27FC236}">
              <a16:creationId xmlns:a16="http://schemas.microsoft.com/office/drawing/2014/main" id="{00000000-0008-0000-0700-0000FE350000}"/>
            </a:ext>
          </a:extLst>
        </xdr:cNvPr>
        <xdr:cNvSpPr>
          <a:spLocks/>
        </xdr:cNvSpPr>
      </xdr:nvSpPr>
      <xdr:spPr bwMode="auto">
        <a:xfrm>
          <a:off x="7172325" y="2333625"/>
          <a:ext cx="142875" cy="190500"/>
        </a:xfrm>
        <a:custGeom>
          <a:avLst/>
          <a:gdLst>
            <a:gd name="T0" fmla="*/ 0 w 884"/>
            <a:gd name="T1" fmla="*/ 0 h 776"/>
            <a:gd name="T2" fmla="*/ 0 w 884"/>
            <a:gd name="T3" fmla="*/ 0 h 776"/>
            <a:gd name="T4" fmla="*/ 0 w 884"/>
            <a:gd name="T5" fmla="*/ 2147483647 h 776"/>
            <a:gd name="T6" fmla="*/ 0 w 884"/>
            <a:gd name="T7" fmla="*/ 0 h 776"/>
            <a:gd name="T8" fmla="*/ 0 w 884"/>
            <a:gd name="T9" fmla="*/ 0 h 776"/>
            <a:gd name="T10" fmla="*/ 0 w 884"/>
            <a:gd name="T11" fmla="*/ 0 h 776"/>
            <a:gd name="T12" fmla="*/ 0 w 884"/>
            <a:gd name="T13" fmla="*/ 0 h 77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84"/>
            <a:gd name="T22" fmla="*/ 0 h 776"/>
            <a:gd name="T23" fmla="*/ 884 w 884"/>
            <a:gd name="T24" fmla="*/ 776 h 77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84" h="776">
              <a:moveTo>
                <a:pt x="0" y="730"/>
              </a:moveTo>
              <a:lnTo>
                <a:pt x="20" y="753"/>
              </a:lnTo>
              <a:lnTo>
                <a:pt x="40" y="776"/>
              </a:lnTo>
              <a:lnTo>
                <a:pt x="884" y="47"/>
              </a:lnTo>
              <a:lnTo>
                <a:pt x="864" y="24"/>
              </a:lnTo>
              <a:lnTo>
                <a:pt x="844" y="0"/>
              </a:lnTo>
              <a:lnTo>
                <a:pt x="0" y="7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66675</xdr:colOff>
      <xdr:row>11</xdr:row>
      <xdr:rowOff>66675</xdr:rowOff>
    </xdr:from>
    <xdr:to>
      <xdr:col>11</xdr:col>
      <xdr:colOff>209550</xdr:colOff>
      <xdr:row>12</xdr:row>
      <xdr:rowOff>28575</xdr:rowOff>
    </xdr:to>
    <xdr:sp macro="" textlink="">
      <xdr:nvSpPr>
        <xdr:cNvPr id="13823" name="Freeform 1407">
          <a:extLst>
            <a:ext uri="{FF2B5EF4-FFF2-40B4-BE49-F238E27FC236}">
              <a16:creationId xmlns:a16="http://schemas.microsoft.com/office/drawing/2014/main" id="{00000000-0008-0000-0700-0000FF350000}"/>
            </a:ext>
          </a:extLst>
        </xdr:cNvPr>
        <xdr:cNvSpPr>
          <a:spLocks/>
        </xdr:cNvSpPr>
      </xdr:nvSpPr>
      <xdr:spPr bwMode="auto">
        <a:xfrm>
          <a:off x="7172325" y="2333625"/>
          <a:ext cx="142875" cy="190500"/>
        </a:xfrm>
        <a:custGeom>
          <a:avLst/>
          <a:gdLst>
            <a:gd name="T0" fmla="*/ 0 w 884"/>
            <a:gd name="T1" fmla="*/ 0 h 776"/>
            <a:gd name="T2" fmla="*/ 0 w 884"/>
            <a:gd name="T3" fmla="*/ 0 h 776"/>
            <a:gd name="T4" fmla="*/ 0 w 884"/>
            <a:gd name="T5" fmla="*/ 2147483647 h 776"/>
            <a:gd name="T6" fmla="*/ 0 w 884"/>
            <a:gd name="T7" fmla="*/ 0 h 776"/>
            <a:gd name="T8" fmla="*/ 0 w 884"/>
            <a:gd name="T9" fmla="*/ 0 h 776"/>
            <a:gd name="T10" fmla="*/ 0 w 884"/>
            <a:gd name="T11" fmla="*/ 0 h 776"/>
            <a:gd name="T12" fmla="*/ 0 w 884"/>
            <a:gd name="T13" fmla="*/ 0 h 77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84"/>
            <a:gd name="T22" fmla="*/ 0 h 776"/>
            <a:gd name="T23" fmla="*/ 884 w 884"/>
            <a:gd name="T24" fmla="*/ 776 h 77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84" h="776">
              <a:moveTo>
                <a:pt x="0" y="730"/>
              </a:moveTo>
              <a:lnTo>
                <a:pt x="20" y="753"/>
              </a:lnTo>
              <a:lnTo>
                <a:pt x="40" y="776"/>
              </a:lnTo>
              <a:lnTo>
                <a:pt x="884" y="47"/>
              </a:lnTo>
              <a:lnTo>
                <a:pt x="864" y="24"/>
              </a:lnTo>
              <a:lnTo>
                <a:pt x="844" y="0"/>
              </a:lnTo>
              <a:lnTo>
                <a:pt x="0" y="73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200025</xdr:colOff>
      <xdr:row>11</xdr:row>
      <xdr:rowOff>66675</xdr:rowOff>
    </xdr:from>
    <xdr:to>
      <xdr:col>11</xdr:col>
      <xdr:colOff>209550</xdr:colOff>
      <xdr:row>11</xdr:row>
      <xdr:rowOff>85725</xdr:rowOff>
    </xdr:to>
    <xdr:sp macro="" textlink="">
      <xdr:nvSpPr>
        <xdr:cNvPr id="13824" name="Freeform 1408">
          <a:extLst>
            <a:ext uri="{FF2B5EF4-FFF2-40B4-BE49-F238E27FC236}">
              <a16:creationId xmlns:a16="http://schemas.microsoft.com/office/drawing/2014/main" id="{00000000-0008-0000-0700-000000360000}"/>
            </a:ext>
          </a:extLst>
        </xdr:cNvPr>
        <xdr:cNvSpPr>
          <a:spLocks/>
        </xdr:cNvSpPr>
      </xdr:nvSpPr>
      <xdr:spPr bwMode="auto">
        <a:xfrm>
          <a:off x="7305675" y="2333625"/>
          <a:ext cx="9525" cy="19050"/>
        </a:xfrm>
        <a:custGeom>
          <a:avLst/>
          <a:gdLst>
            <a:gd name="T0" fmla="*/ 0 w 52"/>
            <a:gd name="T1" fmla="*/ 0 h 54"/>
            <a:gd name="T2" fmla="*/ 0 w 52"/>
            <a:gd name="T3" fmla="*/ 0 h 54"/>
            <a:gd name="T4" fmla="*/ 0 w 52"/>
            <a:gd name="T5" fmla="*/ 0 h 54"/>
            <a:gd name="T6" fmla="*/ 0 w 52"/>
            <a:gd name="T7" fmla="*/ 0 h 54"/>
            <a:gd name="T8" fmla="*/ 0 w 52"/>
            <a:gd name="T9" fmla="*/ 0 h 54"/>
            <a:gd name="T10" fmla="*/ 0 w 52"/>
            <a:gd name="T11" fmla="*/ 0 h 54"/>
            <a:gd name="T12" fmla="*/ 0 w 52"/>
            <a:gd name="T13" fmla="*/ 0 h 54"/>
            <a:gd name="T14" fmla="*/ 0 w 52"/>
            <a:gd name="T15" fmla="*/ 0 h 54"/>
            <a:gd name="T16" fmla="*/ 0 w 52"/>
            <a:gd name="T17" fmla="*/ 0 h 54"/>
            <a:gd name="T18" fmla="*/ 0 w 52"/>
            <a:gd name="T19" fmla="*/ 0 h 54"/>
            <a:gd name="T20" fmla="*/ 0 w 52"/>
            <a:gd name="T21" fmla="*/ 0 h 54"/>
            <a:gd name="T22" fmla="*/ 0 w 52"/>
            <a:gd name="T23" fmla="*/ 0 h 54"/>
            <a:gd name="T24" fmla="*/ 0 w 52"/>
            <a:gd name="T25" fmla="*/ 0 h 54"/>
            <a:gd name="T26" fmla="*/ 0 w 52"/>
            <a:gd name="T27" fmla="*/ 0 h 54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2"/>
            <a:gd name="T43" fmla="*/ 0 h 54"/>
            <a:gd name="T44" fmla="*/ 52 w 52"/>
            <a:gd name="T45" fmla="*/ 54 h 54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2" h="54">
              <a:moveTo>
                <a:pt x="20" y="31"/>
              </a:moveTo>
              <a:lnTo>
                <a:pt x="0" y="7"/>
              </a:lnTo>
              <a:lnTo>
                <a:pt x="8" y="2"/>
              </a:lnTo>
              <a:lnTo>
                <a:pt x="16" y="0"/>
              </a:lnTo>
              <a:lnTo>
                <a:pt x="24" y="0"/>
              </a:lnTo>
              <a:lnTo>
                <a:pt x="33" y="2"/>
              </a:lnTo>
              <a:lnTo>
                <a:pt x="40" y="7"/>
              </a:lnTo>
              <a:lnTo>
                <a:pt x="46" y="14"/>
              </a:lnTo>
              <a:lnTo>
                <a:pt x="50" y="22"/>
              </a:lnTo>
              <a:lnTo>
                <a:pt x="52" y="31"/>
              </a:lnTo>
              <a:lnTo>
                <a:pt x="50" y="39"/>
              </a:lnTo>
              <a:lnTo>
                <a:pt x="46" y="47"/>
              </a:lnTo>
              <a:lnTo>
                <a:pt x="40" y="54"/>
              </a:lnTo>
              <a:lnTo>
                <a:pt x="20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200025</xdr:colOff>
      <xdr:row>11</xdr:row>
      <xdr:rowOff>66675</xdr:rowOff>
    </xdr:from>
    <xdr:to>
      <xdr:col>11</xdr:col>
      <xdr:colOff>209550</xdr:colOff>
      <xdr:row>11</xdr:row>
      <xdr:rowOff>85725</xdr:rowOff>
    </xdr:to>
    <xdr:sp macro="" textlink="">
      <xdr:nvSpPr>
        <xdr:cNvPr id="13825" name="Freeform 1409">
          <a:extLst>
            <a:ext uri="{FF2B5EF4-FFF2-40B4-BE49-F238E27FC236}">
              <a16:creationId xmlns:a16="http://schemas.microsoft.com/office/drawing/2014/main" id="{00000000-0008-0000-0700-000001360000}"/>
            </a:ext>
          </a:extLst>
        </xdr:cNvPr>
        <xdr:cNvSpPr>
          <a:spLocks/>
        </xdr:cNvSpPr>
      </xdr:nvSpPr>
      <xdr:spPr bwMode="auto">
        <a:xfrm>
          <a:off x="7305675" y="2333625"/>
          <a:ext cx="9525" cy="19050"/>
        </a:xfrm>
        <a:custGeom>
          <a:avLst/>
          <a:gdLst>
            <a:gd name="T0" fmla="*/ 0 w 52"/>
            <a:gd name="T1" fmla="*/ 0 h 54"/>
            <a:gd name="T2" fmla="*/ 0 w 52"/>
            <a:gd name="T3" fmla="*/ 0 h 54"/>
            <a:gd name="T4" fmla="*/ 0 w 52"/>
            <a:gd name="T5" fmla="*/ 0 h 54"/>
            <a:gd name="T6" fmla="*/ 0 w 52"/>
            <a:gd name="T7" fmla="*/ 0 h 54"/>
            <a:gd name="T8" fmla="*/ 0 w 52"/>
            <a:gd name="T9" fmla="*/ 0 h 54"/>
            <a:gd name="T10" fmla="*/ 0 w 52"/>
            <a:gd name="T11" fmla="*/ 0 h 54"/>
            <a:gd name="T12" fmla="*/ 0 w 52"/>
            <a:gd name="T13" fmla="*/ 0 h 54"/>
            <a:gd name="T14" fmla="*/ 0 w 52"/>
            <a:gd name="T15" fmla="*/ 0 h 54"/>
            <a:gd name="T16" fmla="*/ 0 w 52"/>
            <a:gd name="T17" fmla="*/ 0 h 54"/>
            <a:gd name="T18" fmla="*/ 0 w 52"/>
            <a:gd name="T19" fmla="*/ 0 h 54"/>
            <a:gd name="T20" fmla="*/ 0 w 52"/>
            <a:gd name="T21" fmla="*/ 0 h 54"/>
            <a:gd name="T22" fmla="*/ 0 w 52"/>
            <a:gd name="T23" fmla="*/ 0 h 5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2"/>
            <a:gd name="T37" fmla="*/ 0 h 54"/>
            <a:gd name="T38" fmla="*/ 52 w 52"/>
            <a:gd name="T39" fmla="*/ 54 h 5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2" h="54">
              <a:moveTo>
                <a:pt x="0" y="7"/>
              </a:moveTo>
              <a:lnTo>
                <a:pt x="8" y="2"/>
              </a:lnTo>
              <a:lnTo>
                <a:pt x="16" y="0"/>
              </a:lnTo>
              <a:lnTo>
                <a:pt x="24" y="0"/>
              </a:lnTo>
              <a:lnTo>
                <a:pt x="33" y="2"/>
              </a:lnTo>
              <a:lnTo>
                <a:pt x="40" y="7"/>
              </a:lnTo>
              <a:lnTo>
                <a:pt x="46" y="14"/>
              </a:lnTo>
              <a:lnTo>
                <a:pt x="50" y="22"/>
              </a:lnTo>
              <a:lnTo>
                <a:pt x="52" y="31"/>
              </a:lnTo>
              <a:lnTo>
                <a:pt x="50" y="39"/>
              </a:lnTo>
              <a:lnTo>
                <a:pt x="46" y="47"/>
              </a:lnTo>
              <a:lnTo>
                <a:pt x="40" y="5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238125</xdr:colOff>
      <xdr:row>11</xdr:row>
      <xdr:rowOff>19050</xdr:rowOff>
    </xdr:from>
    <xdr:to>
      <xdr:col>11</xdr:col>
      <xdr:colOff>247650</xdr:colOff>
      <xdr:row>11</xdr:row>
      <xdr:rowOff>38100</xdr:rowOff>
    </xdr:to>
    <xdr:sp macro="" textlink="">
      <xdr:nvSpPr>
        <xdr:cNvPr id="13826" name="Freeform 1410">
          <a:extLst>
            <a:ext uri="{FF2B5EF4-FFF2-40B4-BE49-F238E27FC236}">
              <a16:creationId xmlns:a16="http://schemas.microsoft.com/office/drawing/2014/main" id="{00000000-0008-0000-0700-000002360000}"/>
            </a:ext>
          </a:extLst>
        </xdr:cNvPr>
        <xdr:cNvSpPr>
          <a:spLocks/>
        </xdr:cNvSpPr>
      </xdr:nvSpPr>
      <xdr:spPr bwMode="auto">
        <a:xfrm>
          <a:off x="7343775" y="2286000"/>
          <a:ext cx="9525" cy="19050"/>
        </a:xfrm>
        <a:custGeom>
          <a:avLst/>
          <a:gdLst>
            <a:gd name="T0" fmla="*/ 0 w 50"/>
            <a:gd name="T1" fmla="*/ 0 h 53"/>
            <a:gd name="T2" fmla="*/ 0 w 50"/>
            <a:gd name="T3" fmla="*/ 0 h 53"/>
            <a:gd name="T4" fmla="*/ 0 w 50"/>
            <a:gd name="T5" fmla="*/ 0 h 53"/>
            <a:gd name="T6" fmla="*/ 0 w 50"/>
            <a:gd name="T7" fmla="*/ 0 h 53"/>
            <a:gd name="T8" fmla="*/ 0 w 50"/>
            <a:gd name="T9" fmla="*/ 0 h 53"/>
            <a:gd name="T10" fmla="*/ 0 w 50"/>
            <a:gd name="T11" fmla="*/ 0 h 53"/>
            <a:gd name="T12" fmla="*/ 0 w 50"/>
            <a:gd name="T13" fmla="*/ 0 h 53"/>
            <a:gd name="T14" fmla="*/ 0 w 50"/>
            <a:gd name="T15" fmla="*/ 0 h 53"/>
            <a:gd name="T16" fmla="*/ 0 w 50"/>
            <a:gd name="T17" fmla="*/ 0 h 53"/>
            <a:gd name="T18" fmla="*/ 0 w 50"/>
            <a:gd name="T19" fmla="*/ 0 h 53"/>
            <a:gd name="T20" fmla="*/ 0 w 50"/>
            <a:gd name="T21" fmla="*/ 0 h 53"/>
            <a:gd name="T22" fmla="*/ 0 w 50"/>
            <a:gd name="T23" fmla="*/ 0 h 53"/>
            <a:gd name="T24" fmla="*/ 0 w 50"/>
            <a:gd name="T25" fmla="*/ 0 h 53"/>
            <a:gd name="T26" fmla="*/ 0 w 50"/>
            <a:gd name="T27" fmla="*/ 0 h 53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0"/>
            <a:gd name="T43" fmla="*/ 0 h 53"/>
            <a:gd name="T44" fmla="*/ 50 w 50"/>
            <a:gd name="T45" fmla="*/ 53 h 53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0" h="53">
              <a:moveTo>
                <a:pt x="30" y="23"/>
              </a:moveTo>
              <a:lnTo>
                <a:pt x="50" y="46"/>
              </a:lnTo>
              <a:lnTo>
                <a:pt x="43" y="51"/>
              </a:lnTo>
              <a:lnTo>
                <a:pt x="34" y="53"/>
              </a:lnTo>
              <a:lnTo>
                <a:pt x="26" y="53"/>
              </a:lnTo>
              <a:lnTo>
                <a:pt x="18" y="51"/>
              </a:lnTo>
              <a:lnTo>
                <a:pt x="10" y="46"/>
              </a:lnTo>
              <a:lnTo>
                <a:pt x="4" y="40"/>
              </a:lnTo>
              <a:lnTo>
                <a:pt x="1" y="31"/>
              </a:lnTo>
              <a:lnTo>
                <a:pt x="0" y="23"/>
              </a:lnTo>
              <a:lnTo>
                <a:pt x="1" y="14"/>
              </a:lnTo>
              <a:lnTo>
                <a:pt x="4" y="6"/>
              </a:lnTo>
              <a:lnTo>
                <a:pt x="10" y="0"/>
              </a:lnTo>
              <a:lnTo>
                <a:pt x="3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238125</xdr:colOff>
      <xdr:row>11</xdr:row>
      <xdr:rowOff>19050</xdr:rowOff>
    </xdr:from>
    <xdr:to>
      <xdr:col>11</xdr:col>
      <xdr:colOff>247650</xdr:colOff>
      <xdr:row>11</xdr:row>
      <xdr:rowOff>38100</xdr:rowOff>
    </xdr:to>
    <xdr:sp macro="" textlink="">
      <xdr:nvSpPr>
        <xdr:cNvPr id="13827" name="Freeform 1411">
          <a:extLst>
            <a:ext uri="{FF2B5EF4-FFF2-40B4-BE49-F238E27FC236}">
              <a16:creationId xmlns:a16="http://schemas.microsoft.com/office/drawing/2014/main" id="{00000000-0008-0000-0700-000003360000}"/>
            </a:ext>
          </a:extLst>
        </xdr:cNvPr>
        <xdr:cNvSpPr>
          <a:spLocks/>
        </xdr:cNvSpPr>
      </xdr:nvSpPr>
      <xdr:spPr bwMode="auto">
        <a:xfrm>
          <a:off x="7343775" y="2286000"/>
          <a:ext cx="9525" cy="19050"/>
        </a:xfrm>
        <a:custGeom>
          <a:avLst/>
          <a:gdLst>
            <a:gd name="T0" fmla="*/ 0 w 50"/>
            <a:gd name="T1" fmla="*/ 0 h 53"/>
            <a:gd name="T2" fmla="*/ 0 w 50"/>
            <a:gd name="T3" fmla="*/ 0 h 53"/>
            <a:gd name="T4" fmla="*/ 0 w 50"/>
            <a:gd name="T5" fmla="*/ 0 h 53"/>
            <a:gd name="T6" fmla="*/ 0 w 50"/>
            <a:gd name="T7" fmla="*/ 0 h 53"/>
            <a:gd name="T8" fmla="*/ 0 w 50"/>
            <a:gd name="T9" fmla="*/ 0 h 53"/>
            <a:gd name="T10" fmla="*/ 0 w 50"/>
            <a:gd name="T11" fmla="*/ 0 h 53"/>
            <a:gd name="T12" fmla="*/ 0 w 50"/>
            <a:gd name="T13" fmla="*/ 0 h 53"/>
            <a:gd name="T14" fmla="*/ 0 w 50"/>
            <a:gd name="T15" fmla="*/ 0 h 53"/>
            <a:gd name="T16" fmla="*/ 0 w 50"/>
            <a:gd name="T17" fmla="*/ 0 h 53"/>
            <a:gd name="T18" fmla="*/ 0 w 50"/>
            <a:gd name="T19" fmla="*/ 0 h 53"/>
            <a:gd name="T20" fmla="*/ 0 w 50"/>
            <a:gd name="T21" fmla="*/ 0 h 53"/>
            <a:gd name="T22" fmla="*/ 0 w 50"/>
            <a:gd name="T23" fmla="*/ 0 h 53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0"/>
            <a:gd name="T37" fmla="*/ 0 h 53"/>
            <a:gd name="T38" fmla="*/ 50 w 50"/>
            <a:gd name="T39" fmla="*/ 53 h 53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0" h="53">
              <a:moveTo>
                <a:pt x="50" y="46"/>
              </a:moveTo>
              <a:lnTo>
                <a:pt x="43" y="51"/>
              </a:lnTo>
              <a:lnTo>
                <a:pt x="34" y="53"/>
              </a:lnTo>
              <a:lnTo>
                <a:pt x="26" y="53"/>
              </a:lnTo>
              <a:lnTo>
                <a:pt x="18" y="51"/>
              </a:lnTo>
              <a:lnTo>
                <a:pt x="10" y="46"/>
              </a:lnTo>
              <a:lnTo>
                <a:pt x="4" y="40"/>
              </a:lnTo>
              <a:lnTo>
                <a:pt x="1" y="31"/>
              </a:lnTo>
              <a:lnTo>
                <a:pt x="0" y="23"/>
              </a:lnTo>
              <a:lnTo>
                <a:pt x="1" y="14"/>
              </a:lnTo>
              <a:lnTo>
                <a:pt x="4" y="6"/>
              </a:lnTo>
              <a:lnTo>
                <a:pt x="1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238125</xdr:colOff>
      <xdr:row>10</xdr:row>
      <xdr:rowOff>85725</xdr:rowOff>
    </xdr:from>
    <xdr:to>
      <xdr:col>11</xdr:col>
      <xdr:colOff>371475</xdr:colOff>
      <xdr:row>11</xdr:row>
      <xdr:rowOff>38100</xdr:rowOff>
    </xdr:to>
    <xdr:sp macro="" textlink="">
      <xdr:nvSpPr>
        <xdr:cNvPr id="13828" name="Freeform 1412">
          <a:extLst>
            <a:ext uri="{FF2B5EF4-FFF2-40B4-BE49-F238E27FC236}">
              <a16:creationId xmlns:a16="http://schemas.microsoft.com/office/drawing/2014/main" id="{00000000-0008-0000-0700-000004360000}"/>
            </a:ext>
          </a:extLst>
        </xdr:cNvPr>
        <xdr:cNvSpPr>
          <a:spLocks/>
        </xdr:cNvSpPr>
      </xdr:nvSpPr>
      <xdr:spPr bwMode="auto">
        <a:xfrm>
          <a:off x="7343775" y="2124075"/>
          <a:ext cx="133350" cy="180975"/>
        </a:xfrm>
        <a:custGeom>
          <a:avLst/>
          <a:gdLst>
            <a:gd name="T0" fmla="*/ 0 w 823"/>
            <a:gd name="T1" fmla="*/ 0 h 723"/>
            <a:gd name="T2" fmla="*/ 0 w 823"/>
            <a:gd name="T3" fmla="*/ 0 h 723"/>
            <a:gd name="T4" fmla="*/ 0 w 823"/>
            <a:gd name="T5" fmla="*/ 0 h 723"/>
            <a:gd name="T6" fmla="*/ 0 w 823"/>
            <a:gd name="T7" fmla="*/ 0 h 723"/>
            <a:gd name="T8" fmla="*/ 0 w 823"/>
            <a:gd name="T9" fmla="*/ 0 h 723"/>
            <a:gd name="T10" fmla="*/ 0 w 823"/>
            <a:gd name="T11" fmla="*/ 0 h 723"/>
            <a:gd name="T12" fmla="*/ 0 w 823"/>
            <a:gd name="T13" fmla="*/ 0 h 72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23"/>
            <a:gd name="T22" fmla="*/ 0 h 723"/>
            <a:gd name="T23" fmla="*/ 823 w 823"/>
            <a:gd name="T24" fmla="*/ 723 h 72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23" h="723">
              <a:moveTo>
                <a:pt x="0" y="677"/>
              </a:moveTo>
              <a:lnTo>
                <a:pt x="20" y="700"/>
              </a:lnTo>
              <a:lnTo>
                <a:pt x="40" y="723"/>
              </a:lnTo>
              <a:lnTo>
                <a:pt x="823" y="46"/>
              </a:lnTo>
              <a:lnTo>
                <a:pt x="804" y="23"/>
              </a:lnTo>
              <a:lnTo>
                <a:pt x="784" y="0"/>
              </a:lnTo>
              <a:lnTo>
                <a:pt x="0" y="677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238125</xdr:colOff>
      <xdr:row>10</xdr:row>
      <xdr:rowOff>85725</xdr:rowOff>
    </xdr:from>
    <xdr:to>
      <xdr:col>11</xdr:col>
      <xdr:colOff>371475</xdr:colOff>
      <xdr:row>11</xdr:row>
      <xdr:rowOff>38100</xdr:rowOff>
    </xdr:to>
    <xdr:sp macro="" textlink="">
      <xdr:nvSpPr>
        <xdr:cNvPr id="13829" name="Freeform 1413">
          <a:extLst>
            <a:ext uri="{FF2B5EF4-FFF2-40B4-BE49-F238E27FC236}">
              <a16:creationId xmlns:a16="http://schemas.microsoft.com/office/drawing/2014/main" id="{00000000-0008-0000-0700-000005360000}"/>
            </a:ext>
          </a:extLst>
        </xdr:cNvPr>
        <xdr:cNvSpPr>
          <a:spLocks/>
        </xdr:cNvSpPr>
      </xdr:nvSpPr>
      <xdr:spPr bwMode="auto">
        <a:xfrm>
          <a:off x="7343775" y="2124075"/>
          <a:ext cx="133350" cy="180975"/>
        </a:xfrm>
        <a:custGeom>
          <a:avLst/>
          <a:gdLst>
            <a:gd name="T0" fmla="*/ 0 w 823"/>
            <a:gd name="T1" fmla="*/ 0 h 723"/>
            <a:gd name="T2" fmla="*/ 0 w 823"/>
            <a:gd name="T3" fmla="*/ 0 h 723"/>
            <a:gd name="T4" fmla="*/ 0 w 823"/>
            <a:gd name="T5" fmla="*/ 0 h 723"/>
            <a:gd name="T6" fmla="*/ 0 w 823"/>
            <a:gd name="T7" fmla="*/ 0 h 723"/>
            <a:gd name="T8" fmla="*/ 0 w 823"/>
            <a:gd name="T9" fmla="*/ 0 h 723"/>
            <a:gd name="T10" fmla="*/ 0 w 823"/>
            <a:gd name="T11" fmla="*/ 0 h 723"/>
            <a:gd name="T12" fmla="*/ 0 w 823"/>
            <a:gd name="T13" fmla="*/ 0 h 72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23"/>
            <a:gd name="T22" fmla="*/ 0 h 723"/>
            <a:gd name="T23" fmla="*/ 823 w 823"/>
            <a:gd name="T24" fmla="*/ 723 h 72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23" h="723">
              <a:moveTo>
                <a:pt x="0" y="677"/>
              </a:moveTo>
              <a:lnTo>
                <a:pt x="20" y="700"/>
              </a:lnTo>
              <a:lnTo>
                <a:pt x="40" y="723"/>
              </a:lnTo>
              <a:lnTo>
                <a:pt x="823" y="46"/>
              </a:lnTo>
              <a:lnTo>
                <a:pt x="804" y="23"/>
              </a:lnTo>
              <a:lnTo>
                <a:pt x="784" y="0"/>
              </a:lnTo>
              <a:lnTo>
                <a:pt x="0" y="677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10</xdr:row>
      <xdr:rowOff>85725</xdr:rowOff>
    </xdr:from>
    <xdr:to>
      <xdr:col>11</xdr:col>
      <xdr:colOff>381000</xdr:colOff>
      <xdr:row>10</xdr:row>
      <xdr:rowOff>104775</xdr:rowOff>
    </xdr:to>
    <xdr:sp macro="" textlink="">
      <xdr:nvSpPr>
        <xdr:cNvPr id="13830" name="Freeform 1414">
          <a:extLst>
            <a:ext uri="{FF2B5EF4-FFF2-40B4-BE49-F238E27FC236}">
              <a16:creationId xmlns:a16="http://schemas.microsoft.com/office/drawing/2014/main" id="{00000000-0008-0000-0700-000006360000}"/>
            </a:ext>
          </a:extLst>
        </xdr:cNvPr>
        <xdr:cNvSpPr>
          <a:spLocks/>
        </xdr:cNvSpPr>
      </xdr:nvSpPr>
      <xdr:spPr bwMode="auto">
        <a:xfrm>
          <a:off x="7477125" y="2124075"/>
          <a:ext cx="9525" cy="19050"/>
        </a:xfrm>
        <a:custGeom>
          <a:avLst/>
          <a:gdLst>
            <a:gd name="T0" fmla="*/ 0 w 51"/>
            <a:gd name="T1" fmla="*/ 0 h 54"/>
            <a:gd name="T2" fmla="*/ 0 w 51"/>
            <a:gd name="T3" fmla="*/ 0 h 54"/>
            <a:gd name="T4" fmla="*/ 0 w 51"/>
            <a:gd name="T5" fmla="*/ 0 h 54"/>
            <a:gd name="T6" fmla="*/ 0 w 51"/>
            <a:gd name="T7" fmla="*/ 0 h 54"/>
            <a:gd name="T8" fmla="*/ 0 w 51"/>
            <a:gd name="T9" fmla="*/ 0 h 54"/>
            <a:gd name="T10" fmla="*/ 0 w 51"/>
            <a:gd name="T11" fmla="*/ 0 h 54"/>
            <a:gd name="T12" fmla="*/ 0 w 51"/>
            <a:gd name="T13" fmla="*/ 0 h 54"/>
            <a:gd name="T14" fmla="*/ 0 w 51"/>
            <a:gd name="T15" fmla="*/ 0 h 54"/>
            <a:gd name="T16" fmla="*/ 0 w 51"/>
            <a:gd name="T17" fmla="*/ 0 h 54"/>
            <a:gd name="T18" fmla="*/ 0 w 51"/>
            <a:gd name="T19" fmla="*/ 0 h 54"/>
            <a:gd name="T20" fmla="*/ 0 w 51"/>
            <a:gd name="T21" fmla="*/ 0 h 54"/>
            <a:gd name="T22" fmla="*/ 0 w 51"/>
            <a:gd name="T23" fmla="*/ 0 h 54"/>
            <a:gd name="T24" fmla="*/ 0 w 51"/>
            <a:gd name="T25" fmla="*/ 0 h 54"/>
            <a:gd name="T26" fmla="*/ 0 w 51"/>
            <a:gd name="T27" fmla="*/ 0 h 54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1"/>
            <a:gd name="T43" fmla="*/ 0 h 54"/>
            <a:gd name="T44" fmla="*/ 51 w 51"/>
            <a:gd name="T45" fmla="*/ 54 h 54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1" h="54">
              <a:moveTo>
                <a:pt x="20" y="31"/>
              </a:moveTo>
              <a:lnTo>
                <a:pt x="0" y="8"/>
              </a:lnTo>
              <a:lnTo>
                <a:pt x="7" y="2"/>
              </a:lnTo>
              <a:lnTo>
                <a:pt x="15" y="0"/>
              </a:lnTo>
              <a:lnTo>
                <a:pt x="24" y="0"/>
              </a:lnTo>
              <a:lnTo>
                <a:pt x="32" y="2"/>
              </a:lnTo>
              <a:lnTo>
                <a:pt x="39" y="8"/>
              </a:lnTo>
              <a:lnTo>
                <a:pt x="46" y="14"/>
              </a:lnTo>
              <a:lnTo>
                <a:pt x="49" y="22"/>
              </a:lnTo>
              <a:lnTo>
                <a:pt x="51" y="31"/>
              </a:lnTo>
              <a:lnTo>
                <a:pt x="49" y="39"/>
              </a:lnTo>
              <a:lnTo>
                <a:pt x="46" y="47"/>
              </a:lnTo>
              <a:lnTo>
                <a:pt x="39" y="54"/>
              </a:lnTo>
              <a:lnTo>
                <a:pt x="20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10</xdr:row>
      <xdr:rowOff>85725</xdr:rowOff>
    </xdr:from>
    <xdr:to>
      <xdr:col>11</xdr:col>
      <xdr:colOff>381000</xdr:colOff>
      <xdr:row>10</xdr:row>
      <xdr:rowOff>104775</xdr:rowOff>
    </xdr:to>
    <xdr:sp macro="" textlink="">
      <xdr:nvSpPr>
        <xdr:cNvPr id="13831" name="Freeform 1415">
          <a:extLst>
            <a:ext uri="{FF2B5EF4-FFF2-40B4-BE49-F238E27FC236}">
              <a16:creationId xmlns:a16="http://schemas.microsoft.com/office/drawing/2014/main" id="{00000000-0008-0000-0700-000007360000}"/>
            </a:ext>
          </a:extLst>
        </xdr:cNvPr>
        <xdr:cNvSpPr>
          <a:spLocks/>
        </xdr:cNvSpPr>
      </xdr:nvSpPr>
      <xdr:spPr bwMode="auto">
        <a:xfrm>
          <a:off x="7477125" y="2124075"/>
          <a:ext cx="9525" cy="19050"/>
        </a:xfrm>
        <a:custGeom>
          <a:avLst/>
          <a:gdLst>
            <a:gd name="T0" fmla="*/ 0 w 51"/>
            <a:gd name="T1" fmla="*/ 0 h 54"/>
            <a:gd name="T2" fmla="*/ 0 w 51"/>
            <a:gd name="T3" fmla="*/ 0 h 54"/>
            <a:gd name="T4" fmla="*/ 0 w 51"/>
            <a:gd name="T5" fmla="*/ 0 h 54"/>
            <a:gd name="T6" fmla="*/ 0 w 51"/>
            <a:gd name="T7" fmla="*/ 0 h 54"/>
            <a:gd name="T8" fmla="*/ 0 w 51"/>
            <a:gd name="T9" fmla="*/ 0 h 54"/>
            <a:gd name="T10" fmla="*/ 0 w 51"/>
            <a:gd name="T11" fmla="*/ 0 h 54"/>
            <a:gd name="T12" fmla="*/ 0 w 51"/>
            <a:gd name="T13" fmla="*/ 0 h 54"/>
            <a:gd name="T14" fmla="*/ 0 w 51"/>
            <a:gd name="T15" fmla="*/ 0 h 54"/>
            <a:gd name="T16" fmla="*/ 0 w 51"/>
            <a:gd name="T17" fmla="*/ 0 h 54"/>
            <a:gd name="T18" fmla="*/ 0 w 51"/>
            <a:gd name="T19" fmla="*/ 0 h 54"/>
            <a:gd name="T20" fmla="*/ 0 w 51"/>
            <a:gd name="T21" fmla="*/ 0 h 54"/>
            <a:gd name="T22" fmla="*/ 0 w 51"/>
            <a:gd name="T23" fmla="*/ 0 h 5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1"/>
            <a:gd name="T37" fmla="*/ 0 h 54"/>
            <a:gd name="T38" fmla="*/ 51 w 51"/>
            <a:gd name="T39" fmla="*/ 54 h 5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1" h="54">
              <a:moveTo>
                <a:pt x="0" y="8"/>
              </a:moveTo>
              <a:lnTo>
                <a:pt x="7" y="2"/>
              </a:lnTo>
              <a:lnTo>
                <a:pt x="15" y="0"/>
              </a:lnTo>
              <a:lnTo>
                <a:pt x="24" y="0"/>
              </a:lnTo>
              <a:lnTo>
                <a:pt x="32" y="2"/>
              </a:lnTo>
              <a:lnTo>
                <a:pt x="39" y="8"/>
              </a:lnTo>
              <a:lnTo>
                <a:pt x="46" y="14"/>
              </a:lnTo>
              <a:lnTo>
                <a:pt x="49" y="22"/>
              </a:lnTo>
              <a:lnTo>
                <a:pt x="51" y="31"/>
              </a:lnTo>
              <a:lnTo>
                <a:pt x="49" y="39"/>
              </a:lnTo>
              <a:lnTo>
                <a:pt x="46" y="47"/>
              </a:lnTo>
              <a:lnTo>
                <a:pt x="39" y="5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10</xdr:row>
      <xdr:rowOff>85725</xdr:rowOff>
    </xdr:from>
    <xdr:to>
      <xdr:col>11</xdr:col>
      <xdr:colOff>381000</xdr:colOff>
      <xdr:row>10</xdr:row>
      <xdr:rowOff>104775</xdr:rowOff>
    </xdr:to>
    <xdr:sp macro="" textlink="">
      <xdr:nvSpPr>
        <xdr:cNvPr id="13832" name="Freeform 1416">
          <a:extLst>
            <a:ext uri="{FF2B5EF4-FFF2-40B4-BE49-F238E27FC236}">
              <a16:creationId xmlns:a16="http://schemas.microsoft.com/office/drawing/2014/main" id="{00000000-0008-0000-0700-000008360000}"/>
            </a:ext>
          </a:extLst>
        </xdr:cNvPr>
        <xdr:cNvSpPr>
          <a:spLocks/>
        </xdr:cNvSpPr>
      </xdr:nvSpPr>
      <xdr:spPr bwMode="auto">
        <a:xfrm>
          <a:off x="7477125" y="2124075"/>
          <a:ext cx="9525" cy="19050"/>
        </a:xfrm>
        <a:custGeom>
          <a:avLst/>
          <a:gdLst>
            <a:gd name="T0" fmla="*/ 0 w 31"/>
            <a:gd name="T1" fmla="*/ 0 h 62"/>
            <a:gd name="T2" fmla="*/ 0 w 31"/>
            <a:gd name="T3" fmla="*/ 0 h 62"/>
            <a:gd name="T4" fmla="*/ 0 w 31"/>
            <a:gd name="T5" fmla="*/ 0 h 62"/>
            <a:gd name="T6" fmla="*/ 0 w 31"/>
            <a:gd name="T7" fmla="*/ 0 h 62"/>
            <a:gd name="T8" fmla="*/ 0 w 31"/>
            <a:gd name="T9" fmla="*/ 0 h 62"/>
            <a:gd name="T10" fmla="*/ 0 w 31"/>
            <a:gd name="T11" fmla="*/ 0 h 62"/>
            <a:gd name="T12" fmla="*/ 0 w 31"/>
            <a:gd name="T13" fmla="*/ 0 h 62"/>
            <a:gd name="T14" fmla="*/ 0 w 31"/>
            <a:gd name="T15" fmla="*/ 0 h 62"/>
            <a:gd name="T16" fmla="*/ 0 w 31"/>
            <a:gd name="T17" fmla="*/ 0 h 62"/>
            <a:gd name="T18" fmla="*/ 0 w 31"/>
            <a:gd name="T19" fmla="*/ 0 h 62"/>
            <a:gd name="T20" fmla="*/ 0 w 31"/>
            <a:gd name="T21" fmla="*/ 0 h 62"/>
            <a:gd name="T22" fmla="*/ 0 w 31"/>
            <a:gd name="T23" fmla="*/ 0 h 62"/>
            <a:gd name="T24" fmla="*/ 0 w 31"/>
            <a:gd name="T25" fmla="*/ 0 h 62"/>
            <a:gd name="T26" fmla="*/ 0 w 31"/>
            <a:gd name="T27" fmla="*/ 0 h 6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1"/>
            <a:gd name="T43" fmla="*/ 0 h 62"/>
            <a:gd name="T44" fmla="*/ 31 w 31"/>
            <a:gd name="T45" fmla="*/ 62 h 6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1" h="62">
              <a:moveTo>
                <a:pt x="31" y="32"/>
              </a:moveTo>
              <a:lnTo>
                <a:pt x="31" y="62"/>
              </a:lnTo>
              <a:lnTo>
                <a:pt x="22" y="61"/>
              </a:lnTo>
              <a:lnTo>
                <a:pt x="14" y="58"/>
              </a:lnTo>
              <a:lnTo>
                <a:pt x="7" y="52"/>
              </a:lnTo>
              <a:lnTo>
                <a:pt x="2" y="44"/>
              </a:lnTo>
              <a:lnTo>
                <a:pt x="0" y="36"/>
              </a:lnTo>
              <a:lnTo>
                <a:pt x="0" y="27"/>
              </a:lnTo>
              <a:lnTo>
                <a:pt x="2" y="19"/>
              </a:lnTo>
              <a:lnTo>
                <a:pt x="7" y="12"/>
              </a:lnTo>
              <a:lnTo>
                <a:pt x="14" y="5"/>
              </a:lnTo>
              <a:lnTo>
                <a:pt x="22" y="2"/>
              </a:lnTo>
              <a:lnTo>
                <a:pt x="31" y="0"/>
              </a:lnTo>
              <a:lnTo>
                <a:pt x="31" y="3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10</xdr:row>
      <xdr:rowOff>85725</xdr:rowOff>
    </xdr:from>
    <xdr:to>
      <xdr:col>11</xdr:col>
      <xdr:colOff>381000</xdr:colOff>
      <xdr:row>10</xdr:row>
      <xdr:rowOff>104775</xdr:rowOff>
    </xdr:to>
    <xdr:sp macro="" textlink="">
      <xdr:nvSpPr>
        <xdr:cNvPr id="13833" name="Freeform 1417">
          <a:extLst>
            <a:ext uri="{FF2B5EF4-FFF2-40B4-BE49-F238E27FC236}">
              <a16:creationId xmlns:a16="http://schemas.microsoft.com/office/drawing/2014/main" id="{00000000-0008-0000-0700-000009360000}"/>
            </a:ext>
          </a:extLst>
        </xdr:cNvPr>
        <xdr:cNvSpPr>
          <a:spLocks/>
        </xdr:cNvSpPr>
      </xdr:nvSpPr>
      <xdr:spPr bwMode="auto">
        <a:xfrm>
          <a:off x="7477125" y="2124075"/>
          <a:ext cx="9525" cy="19050"/>
        </a:xfrm>
        <a:custGeom>
          <a:avLst/>
          <a:gdLst>
            <a:gd name="T0" fmla="*/ 0 w 31"/>
            <a:gd name="T1" fmla="*/ 0 h 62"/>
            <a:gd name="T2" fmla="*/ 0 w 31"/>
            <a:gd name="T3" fmla="*/ 0 h 62"/>
            <a:gd name="T4" fmla="*/ 0 w 31"/>
            <a:gd name="T5" fmla="*/ 0 h 62"/>
            <a:gd name="T6" fmla="*/ 0 w 31"/>
            <a:gd name="T7" fmla="*/ 0 h 62"/>
            <a:gd name="T8" fmla="*/ 0 w 31"/>
            <a:gd name="T9" fmla="*/ 0 h 62"/>
            <a:gd name="T10" fmla="*/ 0 w 31"/>
            <a:gd name="T11" fmla="*/ 0 h 62"/>
            <a:gd name="T12" fmla="*/ 0 w 31"/>
            <a:gd name="T13" fmla="*/ 0 h 62"/>
            <a:gd name="T14" fmla="*/ 0 w 31"/>
            <a:gd name="T15" fmla="*/ 0 h 62"/>
            <a:gd name="T16" fmla="*/ 0 w 31"/>
            <a:gd name="T17" fmla="*/ 0 h 62"/>
            <a:gd name="T18" fmla="*/ 0 w 31"/>
            <a:gd name="T19" fmla="*/ 0 h 62"/>
            <a:gd name="T20" fmla="*/ 0 w 31"/>
            <a:gd name="T21" fmla="*/ 0 h 62"/>
            <a:gd name="T22" fmla="*/ 0 w 31"/>
            <a:gd name="T23" fmla="*/ 0 h 6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1"/>
            <a:gd name="T37" fmla="*/ 0 h 62"/>
            <a:gd name="T38" fmla="*/ 31 w 31"/>
            <a:gd name="T39" fmla="*/ 62 h 6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1" h="62">
              <a:moveTo>
                <a:pt x="31" y="62"/>
              </a:moveTo>
              <a:lnTo>
                <a:pt x="22" y="61"/>
              </a:lnTo>
              <a:lnTo>
                <a:pt x="14" y="58"/>
              </a:lnTo>
              <a:lnTo>
                <a:pt x="7" y="52"/>
              </a:lnTo>
              <a:lnTo>
                <a:pt x="2" y="44"/>
              </a:lnTo>
              <a:lnTo>
                <a:pt x="0" y="36"/>
              </a:lnTo>
              <a:lnTo>
                <a:pt x="0" y="27"/>
              </a:lnTo>
              <a:lnTo>
                <a:pt x="2" y="19"/>
              </a:lnTo>
              <a:lnTo>
                <a:pt x="7" y="12"/>
              </a:lnTo>
              <a:lnTo>
                <a:pt x="14" y="5"/>
              </a:lnTo>
              <a:lnTo>
                <a:pt x="22" y="2"/>
              </a:lnTo>
              <a:lnTo>
                <a:pt x="3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10</xdr:row>
      <xdr:rowOff>85725</xdr:rowOff>
    </xdr:from>
    <xdr:to>
      <xdr:col>12</xdr:col>
      <xdr:colOff>66675</xdr:colOff>
      <xdr:row>10</xdr:row>
      <xdr:rowOff>114300</xdr:rowOff>
    </xdr:to>
    <xdr:sp macro="" textlink="">
      <xdr:nvSpPr>
        <xdr:cNvPr id="13834" name="Freeform 1418">
          <a:extLst>
            <a:ext uri="{FF2B5EF4-FFF2-40B4-BE49-F238E27FC236}">
              <a16:creationId xmlns:a16="http://schemas.microsoft.com/office/drawing/2014/main" id="{00000000-0008-0000-0700-00000A360000}"/>
            </a:ext>
          </a:extLst>
        </xdr:cNvPr>
        <xdr:cNvSpPr>
          <a:spLocks/>
        </xdr:cNvSpPr>
      </xdr:nvSpPr>
      <xdr:spPr bwMode="auto">
        <a:xfrm>
          <a:off x="7477125" y="2124075"/>
          <a:ext cx="228600" cy="28575"/>
        </a:xfrm>
        <a:custGeom>
          <a:avLst/>
          <a:gdLst>
            <a:gd name="T0" fmla="*/ 0 w 876"/>
            <a:gd name="T1" fmla="*/ 0 h 62"/>
            <a:gd name="T2" fmla="*/ 0 w 876"/>
            <a:gd name="T3" fmla="*/ 0 h 62"/>
            <a:gd name="T4" fmla="*/ 0 w 876"/>
            <a:gd name="T5" fmla="*/ 0 h 62"/>
            <a:gd name="T6" fmla="*/ 0 w 876"/>
            <a:gd name="T7" fmla="*/ 0 h 62"/>
            <a:gd name="T8" fmla="*/ 0 w 876"/>
            <a:gd name="T9" fmla="*/ 0 h 62"/>
            <a:gd name="T10" fmla="*/ 0 w 876"/>
            <a:gd name="T11" fmla="*/ 0 h 62"/>
            <a:gd name="T12" fmla="*/ 0 w 876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76"/>
            <a:gd name="T22" fmla="*/ 0 h 62"/>
            <a:gd name="T23" fmla="*/ 876 w 876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76" h="62">
              <a:moveTo>
                <a:pt x="0" y="0"/>
              </a:moveTo>
              <a:lnTo>
                <a:pt x="0" y="32"/>
              </a:lnTo>
              <a:lnTo>
                <a:pt x="0" y="62"/>
              </a:lnTo>
              <a:lnTo>
                <a:pt x="876" y="62"/>
              </a:lnTo>
              <a:lnTo>
                <a:pt x="876" y="32"/>
              </a:lnTo>
              <a:lnTo>
                <a:pt x="876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10</xdr:row>
      <xdr:rowOff>85725</xdr:rowOff>
    </xdr:from>
    <xdr:to>
      <xdr:col>12</xdr:col>
      <xdr:colOff>66675</xdr:colOff>
      <xdr:row>10</xdr:row>
      <xdr:rowOff>114300</xdr:rowOff>
    </xdr:to>
    <xdr:sp macro="" textlink="">
      <xdr:nvSpPr>
        <xdr:cNvPr id="13835" name="Freeform 1419">
          <a:extLst>
            <a:ext uri="{FF2B5EF4-FFF2-40B4-BE49-F238E27FC236}">
              <a16:creationId xmlns:a16="http://schemas.microsoft.com/office/drawing/2014/main" id="{00000000-0008-0000-0700-00000B360000}"/>
            </a:ext>
          </a:extLst>
        </xdr:cNvPr>
        <xdr:cNvSpPr>
          <a:spLocks/>
        </xdr:cNvSpPr>
      </xdr:nvSpPr>
      <xdr:spPr bwMode="auto">
        <a:xfrm>
          <a:off x="7477125" y="2124075"/>
          <a:ext cx="228600" cy="28575"/>
        </a:xfrm>
        <a:custGeom>
          <a:avLst/>
          <a:gdLst>
            <a:gd name="T0" fmla="*/ 0 w 876"/>
            <a:gd name="T1" fmla="*/ 0 h 62"/>
            <a:gd name="T2" fmla="*/ 0 w 876"/>
            <a:gd name="T3" fmla="*/ 0 h 62"/>
            <a:gd name="T4" fmla="*/ 0 w 876"/>
            <a:gd name="T5" fmla="*/ 0 h 62"/>
            <a:gd name="T6" fmla="*/ 0 w 876"/>
            <a:gd name="T7" fmla="*/ 0 h 62"/>
            <a:gd name="T8" fmla="*/ 0 w 876"/>
            <a:gd name="T9" fmla="*/ 0 h 62"/>
            <a:gd name="T10" fmla="*/ 0 w 876"/>
            <a:gd name="T11" fmla="*/ 0 h 62"/>
            <a:gd name="T12" fmla="*/ 0 w 876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76"/>
            <a:gd name="T22" fmla="*/ 0 h 62"/>
            <a:gd name="T23" fmla="*/ 876 w 876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76" h="62">
              <a:moveTo>
                <a:pt x="0" y="0"/>
              </a:moveTo>
              <a:lnTo>
                <a:pt x="0" y="32"/>
              </a:lnTo>
              <a:lnTo>
                <a:pt x="0" y="62"/>
              </a:lnTo>
              <a:lnTo>
                <a:pt x="876" y="62"/>
              </a:lnTo>
              <a:lnTo>
                <a:pt x="876" y="32"/>
              </a:lnTo>
              <a:lnTo>
                <a:pt x="876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66675</xdr:colOff>
      <xdr:row>10</xdr:row>
      <xdr:rowOff>85725</xdr:rowOff>
    </xdr:from>
    <xdr:to>
      <xdr:col>12</xdr:col>
      <xdr:colOff>76200</xdr:colOff>
      <xdr:row>10</xdr:row>
      <xdr:rowOff>104775</xdr:rowOff>
    </xdr:to>
    <xdr:sp macro="" textlink="">
      <xdr:nvSpPr>
        <xdr:cNvPr id="13836" name="Freeform 1420">
          <a:extLst>
            <a:ext uri="{FF2B5EF4-FFF2-40B4-BE49-F238E27FC236}">
              <a16:creationId xmlns:a16="http://schemas.microsoft.com/office/drawing/2014/main" id="{00000000-0008-0000-0700-00000C360000}"/>
            </a:ext>
          </a:extLst>
        </xdr:cNvPr>
        <xdr:cNvSpPr>
          <a:spLocks/>
        </xdr:cNvSpPr>
      </xdr:nvSpPr>
      <xdr:spPr bwMode="auto">
        <a:xfrm>
          <a:off x="7705725" y="2124075"/>
          <a:ext cx="9525" cy="19050"/>
        </a:xfrm>
        <a:custGeom>
          <a:avLst/>
          <a:gdLst>
            <a:gd name="T0" fmla="*/ 0 w 31"/>
            <a:gd name="T1" fmla="*/ 0 h 62"/>
            <a:gd name="T2" fmla="*/ 0 w 31"/>
            <a:gd name="T3" fmla="*/ 0 h 62"/>
            <a:gd name="T4" fmla="*/ 0 w 31"/>
            <a:gd name="T5" fmla="*/ 0 h 62"/>
            <a:gd name="T6" fmla="*/ 0 w 31"/>
            <a:gd name="T7" fmla="*/ 0 h 62"/>
            <a:gd name="T8" fmla="*/ 0 w 31"/>
            <a:gd name="T9" fmla="*/ 0 h 62"/>
            <a:gd name="T10" fmla="*/ 0 w 31"/>
            <a:gd name="T11" fmla="*/ 0 h 62"/>
            <a:gd name="T12" fmla="*/ 0 w 31"/>
            <a:gd name="T13" fmla="*/ 0 h 62"/>
            <a:gd name="T14" fmla="*/ 0 w 31"/>
            <a:gd name="T15" fmla="*/ 0 h 62"/>
            <a:gd name="T16" fmla="*/ 0 w 31"/>
            <a:gd name="T17" fmla="*/ 0 h 62"/>
            <a:gd name="T18" fmla="*/ 0 w 31"/>
            <a:gd name="T19" fmla="*/ 0 h 62"/>
            <a:gd name="T20" fmla="*/ 0 w 31"/>
            <a:gd name="T21" fmla="*/ 0 h 62"/>
            <a:gd name="T22" fmla="*/ 0 w 31"/>
            <a:gd name="T23" fmla="*/ 0 h 62"/>
            <a:gd name="T24" fmla="*/ 0 w 31"/>
            <a:gd name="T25" fmla="*/ 0 h 62"/>
            <a:gd name="T26" fmla="*/ 0 w 31"/>
            <a:gd name="T27" fmla="*/ 0 h 6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1"/>
            <a:gd name="T43" fmla="*/ 0 h 62"/>
            <a:gd name="T44" fmla="*/ 31 w 31"/>
            <a:gd name="T45" fmla="*/ 62 h 6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1" h="62">
              <a:moveTo>
                <a:pt x="0" y="32"/>
              </a:moveTo>
              <a:lnTo>
                <a:pt x="0" y="0"/>
              </a:lnTo>
              <a:lnTo>
                <a:pt x="9" y="2"/>
              </a:lnTo>
              <a:lnTo>
                <a:pt x="17" y="5"/>
              </a:lnTo>
              <a:lnTo>
                <a:pt x="23" y="12"/>
              </a:lnTo>
              <a:lnTo>
                <a:pt x="29" y="19"/>
              </a:lnTo>
              <a:lnTo>
                <a:pt x="31" y="27"/>
              </a:lnTo>
              <a:lnTo>
                <a:pt x="31" y="36"/>
              </a:lnTo>
              <a:lnTo>
                <a:pt x="29" y="44"/>
              </a:lnTo>
              <a:lnTo>
                <a:pt x="23" y="52"/>
              </a:lnTo>
              <a:lnTo>
                <a:pt x="17" y="58"/>
              </a:lnTo>
              <a:lnTo>
                <a:pt x="9" y="61"/>
              </a:lnTo>
              <a:lnTo>
                <a:pt x="0" y="62"/>
              </a:lnTo>
              <a:lnTo>
                <a:pt x="0" y="3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66675</xdr:colOff>
      <xdr:row>10</xdr:row>
      <xdr:rowOff>85725</xdr:rowOff>
    </xdr:from>
    <xdr:to>
      <xdr:col>12</xdr:col>
      <xdr:colOff>76200</xdr:colOff>
      <xdr:row>10</xdr:row>
      <xdr:rowOff>104775</xdr:rowOff>
    </xdr:to>
    <xdr:sp macro="" textlink="">
      <xdr:nvSpPr>
        <xdr:cNvPr id="13837" name="Freeform 1421">
          <a:extLst>
            <a:ext uri="{FF2B5EF4-FFF2-40B4-BE49-F238E27FC236}">
              <a16:creationId xmlns:a16="http://schemas.microsoft.com/office/drawing/2014/main" id="{00000000-0008-0000-0700-00000D360000}"/>
            </a:ext>
          </a:extLst>
        </xdr:cNvPr>
        <xdr:cNvSpPr>
          <a:spLocks/>
        </xdr:cNvSpPr>
      </xdr:nvSpPr>
      <xdr:spPr bwMode="auto">
        <a:xfrm>
          <a:off x="7705725" y="2124075"/>
          <a:ext cx="9525" cy="19050"/>
        </a:xfrm>
        <a:custGeom>
          <a:avLst/>
          <a:gdLst>
            <a:gd name="T0" fmla="*/ 0 w 31"/>
            <a:gd name="T1" fmla="*/ 0 h 62"/>
            <a:gd name="T2" fmla="*/ 0 w 31"/>
            <a:gd name="T3" fmla="*/ 0 h 62"/>
            <a:gd name="T4" fmla="*/ 0 w 31"/>
            <a:gd name="T5" fmla="*/ 0 h 62"/>
            <a:gd name="T6" fmla="*/ 0 w 31"/>
            <a:gd name="T7" fmla="*/ 0 h 62"/>
            <a:gd name="T8" fmla="*/ 0 w 31"/>
            <a:gd name="T9" fmla="*/ 0 h 62"/>
            <a:gd name="T10" fmla="*/ 0 w 31"/>
            <a:gd name="T11" fmla="*/ 0 h 62"/>
            <a:gd name="T12" fmla="*/ 0 w 31"/>
            <a:gd name="T13" fmla="*/ 0 h 62"/>
            <a:gd name="T14" fmla="*/ 0 w 31"/>
            <a:gd name="T15" fmla="*/ 0 h 62"/>
            <a:gd name="T16" fmla="*/ 0 w 31"/>
            <a:gd name="T17" fmla="*/ 0 h 62"/>
            <a:gd name="T18" fmla="*/ 0 w 31"/>
            <a:gd name="T19" fmla="*/ 0 h 62"/>
            <a:gd name="T20" fmla="*/ 0 w 31"/>
            <a:gd name="T21" fmla="*/ 0 h 62"/>
            <a:gd name="T22" fmla="*/ 0 w 31"/>
            <a:gd name="T23" fmla="*/ 0 h 6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1"/>
            <a:gd name="T37" fmla="*/ 0 h 62"/>
            <a:gd name="T38" fmla="*/ 31 w 31"/>
            <a:gd name="T39" fmla="*/ 62 h 6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1" h="62">
              <a:moveTo>
                <a:pt x="0" y="0"/>
              </a:moveTo>
              <a:lnTo>
                <a:pt x="9" y="2"/>
              </a:lnTo>
              <a:lnTo>
                <a:pt x="17" y="5"/>
              </a:lnTo>
              <a:lnTo>
                <a:pt x="23" y="12"/>
              </a:lnTo>
              <a:lnTo>
                <a:pt x="29" y="19"/>
              </a:lnTo>
              <a:lnTo>
                <a:pt x="31" y="27"/>
              </a:lnTo>
              <a:lnTo>
                <a:pt x="31" y="36"/>
              </a:lnTo>
              <a:lnTo>
                <a:pt x="29" y="44"/>
              </a:lnTo>
              <a:lnTo>
                <a:pt x="23" y="52"/>
              </a:lnTo>
              <a:lnTo>
                <a:pt x="17" y="58"/>
              </a:lnTo>
              <a:lnTo>
                <a:pt x="9" y="61"/>
              </a:lnTo>
              <a:lnTo>
                <a:pt x="0" y="6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114300</xdr:colOff>
      <xdr:row>10</xdr:row>
      <xdr:rowOff>85725</xdr:rowOff>
    </xdr:from>
    <xdr:to>
      <xdr:col>12</xdr:col>
      <xdr:colOff>123825</xdr:colOff>
      <xdr:row>10</xdr:row>
      <xdr:rowOff>104775</xdr:rowOff>
    </xdr:to>
    <xdr:sp macro="" textlink="">
      <xdr:nvSpPr>
        <xdr:cNvPr id="13838" name="Freeform 1422">
          <a:extLst>
            <a:ext uri="{FF2B5EF4-FFF2-40B4-BE49-F238E27FC236}">
              <a16:creationId xmlns:a16="http://schemas.microsoft.com/office/drawing/2014/main" id="{00000000-0008-0000-0700-00000E360000}"/>
            </a:ext>
          </a:extLst>
        </xdr:cNvPr>
        <xdr:cNvSpPr>
          <a:spLocks/>
        </xdr:cNvSpPr>
      </xdr:nvSpPr>
      <xdr:spPr bwMode="auto">
        <a:xfrm>
          <a:off x="7753350" y="2124075"/>
          <a:ext cx="9525" cy="19050"/>
        </a:xfrm>
        <a:custGeom>
          <a:avLst/>
          <a:gdLst>
            <a:gd name="T0" fmla="*/ 0 w 31"/>
            <a:gd name="T1" fmla="*/ 0 h 62"/>
            <a:gd name="T2" fmla="*/ 0 w 31"/>
            <a:gd name="T3" fmla="*/ 0 h 62"/>
            <a:gd name="T4" fmla="*/ 0 w 31"/>
            <a:gd name="T5" fmla="*/ 0 h 62"/>
            <a:gd name="T6" fmla="*/ 0 w 31"/>
            <a:gd name="T7" fmla="*/ 0 h 62"/>
            <a:gd name="T8" fmla="*/ 0 w 31"/>
            <a:gd name="T9" fmla="*/ 0 h 62"/>
            <a:gd name="T10" fmla="*/ 0 w 31"/>
            <a:gd name="T11" fmla="*/ 0 h 62"/>
            <a:gd name="T12" fmla="*/ 0 w 31"/>
            <a:gd name="T13" fmla="*/ 0 h 62"/>
            <a:gd name="T14" fmla="*/ 0 w 31"/>
            <a:gd name="T15" fmla="*/ 0 h 62"/>
            <a:gd name="T16" fmla="*/ 0 w 31"/>
            <a:gd name="T17" fmla="*/ 0 h 62"/>
            <a:gd name="T18" fmla="*/ 0 w 31"/>
            <a:gd name="T19" fmla="*/ 0 h 62"/>
            <a:gd name="T20" fmla="*/ 0 w 31"/>
            <a:gd name="T21" fmla="*/ 0 h 62"/>
            <a:gd name="T22" fmla="*/ 0 w 31"/>
            <a:gd name="T23" fmla="*/ 0 h 62"/>
            <a:gd name="T24" fmla="*/ 0 w 31"/>
            <a:gd name="T25" fmla="*/ 0 h 62"/>
            <a:gd name="T26" fmla="*/ 0 w 31"/>
            <a:gd name="T27" fmla="*/ 0 h 6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1"/>
            <a:gd name="T43" fmla="*/ 0 h 62"/>
            <a:gd name="T44" fmla="*/ 31 w 31"/>
            <a:gd name="T45" fmla="*/ 62 h 6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1" h="62">
              <a:moveTo>
                <a:pt x="31" y="32"/>
              </a:moveTo>
              <a:lnTo>
                <a:pt x="31" y="62"/>
              </a:lnTo>
              <a:lnTo>
                <a:pt x="22" y="61"/>
              </a:lnTo>
              <a:lnTo>
                <a:pt x="14" y="58"/>
              </a:lnTo>
              <a:lnTo>
                <a:pt x="7" y="52"/>
              </a:lnTo>
              <a:lnTo>
                <a:pt x="2" y="44"/>
              </a:lnTo>
              <a:lnTo>
                <a:pt x="0" y="36"/>
              </a:lnTo>
              <a:lnTo>
                <a:pt x="0" y="27"/>
              </a:lnTo>
              <a:lnTo>
                <a:pt x="2" y="19"/>
              </a:lnTo>
              <a:lnTo>
                <a:pt x="7" y="12"/>
              </a:lnTo>
              <a:lnTo>
                <a:pt x="14" y="5"/>
              </a:lnTo>
              <a:lnTo>
                <a:pt x="22" y="2"/>
              </a:lnTo>
              <a:lnTo>
                <a:pt x="31" y="0"/>
              </a:lnTo>
              <a:lnTo>
                <a:pt x="31" y="3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114300</xdr:colOff>
      <xdr:row>10</xdr:row>
      <xdr:rowOff>85725</xdr:rowOff>
    </xdr:from>
    <xdr:to>
      <xdr:col>12</xdr:col>
      <xdr:colOff>123825</xdr:colOff>
      <xdr:row>10</xdr:row>
      <xdr:rowOff>104775</xdr:rowOff>
    </xdr:to>
    <xdr:sp macro="" textlink="">
      <xdr:nvSpPr>
        <xdr:cNvPr id="13839" name="Freeform 1423">
          <a:extLst>
            <a:ext uri="{FF2B5EF4-FFF2-40B4-BE49-F238E27FC236}">
              <a16:creationId xmlns:a16="http://schemas.microsoft.com/office/drawing/2014/main" id="{00000000-0008-0000-0700-00000F360000}"/>
            </a:ext>
          </a:extLst>
        </xdr:cNvPr>
        <xdr:cNvSpPr>
          <a:spLocks/>
        </xdr:cNvSpPr>
      </xdr:nvSpPr>
      <xdr:spPr bwMode="auto">
        <a:xfrm>
          <a:off x="7753350" y="2124075"/>
          <a:ext cx="9525" cy="19050"/>
        </a:xfrm>
        <a:custGeom>
          <a:avLst/>
          <a:gdLst>
            <a:gd name="T0" fmla="*/ 0 w 31"/>
            <a:gd name="T1" fmla="*/ 0 h 62"/>
            <a:gd name="T2" fmla="*/ 0 w 31"/>
            <a:gd name="T3" fmla="*/ 0 h 62"/>
            <a:gd name="T4" fmla="*/ 0 w 31"/>
            <a:gd name="T5" fmla="*/ 0 h 62"/>
            <a:gd name="T6" fmla="*/ 0 w 31"/>
            <a:gd name="T7" fmla="*/ 0 h 62"/>
            <a:gd name="T8" fmla="*/ 0 w 31"/>
            <a:gd name="T9" fmla="*/ 0 h 62"/>
            <a:gd name="T10" fmla="*/ 0 w 31"/>
            <a:gd name="T11" fmla="*/ 0 h 62"/>
            <a:gd name="T12" fmla="*/ 0 w 31"/>
            <a:gd name="T13" fmla="*/ 0 h 62"/>
            <a:gd name="T14" fmla="*/ 0 w 31"/>
            <a:gd name="T15" fmla="*/ 0 h 62"/>
            <a:gd name="T16" fmla="*/ 0 w 31"/>
            <a:gd name="T17" fmla="*/ 0 h 62"/>
            <a:gd name="T18" fmla="*/ 0 w 31"/>
            <a:gd name="T19" fmla="*/ 0 h 62"/>
            <a:gd name="T20" fmla="*/ 0 w 31"/>
            <a:gd name="T21" fmla="*/ 0 h 62"/>
            <a:gd name="T22" fmla="*/ 0 w 31"/>
            <a:gd name="T23" fmla="*/ 0 h 6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1"/>
            <a:gd name="T37" fmla="*/ 0 h 62"/>
            <a:gd name="T38" fmla="*/ 31 w 31"/>
            <a:gd name="T39" fmla="*/ 62 h 6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1" h="62">
              <a:moveTo>
                <a:pt x="31" y="62"/>
              </a:moveTo>
              <a:lnTo>
                <a:pt x="22" y="61"/>
              </a:lnTo>
              <a:lnTo>
                <a:pt x="14" y="58"/>
              </a:lnTo>
              <a:lnTo>
                <a:pt x="7" y="52"/>
              </a:lnTo>
              <a:lnTo>
                <a:pt x="2" y="44"/>
              </a:lnTo>
              <a:lnTo>
                <a:pt x="0" y="36"/>
              </a:lnTo>
              <a:lnTo>
                <a:pt x="0" y="27"/>
              </a:lnTo>
              <a:lnTo>
                <a:pt x="2" y="19"/>
              </a:lnTo>
              <a:lnTo>
                <a:pt x="7" y="12"/>
              </a:lnTo>
              <a:lnTo>
                <a:pt x="14" y="5"/>
              </a:lnTo>
              <a:lnTo>
                <a:pt x="22" y="2"/>
              </a:lnTo>
              <a:lnTo>
                <a:pt x="3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123825</xdr:colOff>
      <xdr:row>10</xdr:row>
      <xdr:rowOff>85725</xdr:rowOff>
    </xdr:from>
    <xdr:to>
      <xdr:col>12</xdr:col>
      <xdr:colOff>304800</xdr:colOff>
      <xdr:row>10</xdr:row>
      <xdr:rowOff>104775</xdr:rowOff>
    </xdr:to>
    <xdr:sp macro="" textlink="">
      <xdr:nvSpPr>
        <xdr:cNvPr id="13840" name="Freeform 1424">
          <a:extLst>
            <a:ext uri="{FF2B5EF4-FFF2-40B4-BE49-F238E27FC236}">
              <a16:creationId xmlns:a16="http://schemas.microsoft.com/office/drawing/2014/main" id="{00000000-0008-0000-0700-000010360000}"/>
            </a:ext>
          </a:extLst>
        </xdr:cNvPr>
        <xdr:cNvSpPr>
          <a:spLocks/>
        </xdr:cNvSpPr>
      </xdr:nvSpPr>
      <xdr:spPr bwMode="auto">
        <a:xfrm>
          <a:off x="7762875" y="2124075"/>
          <a:ext cx="180975" cy="19050"/>
        </a:xfrm>
        <a:custGeom>
          <a:avLst/>
          <a:gdLst>
            <a:gd name="T0" fmla="*/ 0 w 1115"/>
            <a:gd name="T1" fmla="*/ 0 h 62"/>
            <a:gd name="T2" fmla="*/ 0 w 1115"/>
            <a:gd name="T3" fmla="*/ 0 h 62"/>
            <a:gd name="T4" fmla="*/ 0 w 1115"/>
            <a:gd name="T5" fmla="*/ 0 h 62"/>
            <a:gd name="T6" fmla="*/ 2147483647 w 1115"/>
            <a:gd name="T7" fmla="*/ 0 h 62"/>
            <a:gd name="T8" fmla="*/ 2147483647 w 1115"/>
            <a:gd name="T9" fmla="*/ 0 h 62"/>
            <a:gd name="T10" fmla="*/ 2147483647 w 1115"/>
            <a:gd name="T11" fmla="*/ 0 h 62"/>
            <a:gd name="T12" fmla="*/ 0 w 1115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115"/>
            <a:gd name="T22" fmla="*/ 0 h 62"/>
            <a:gd name="T23" fmla="*/ 1115 w 1115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115" h="62">
              <a:moveTo>
                <a:pt x="0" y="0"/>
              </a:moveTo>
              <a:lnTo>
                <a:pt x="0" y="32"/>
              </a:lnTo>
              <a:lnTo>
                <a:pt x="0" y="62"/>
              </a:lnTo>
              <a:lnTo>
                <a:pt x="1115" y="62"/>
              </a:lnTo>
              <a:lnTo>
                <a:pt x="1115" y="32"/>
              </a:lnTo>
              <a:lnTo>
                <a:pt x="1115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123825</xdr:colOff>
      <xdr:row>10</xdr:row>
      <xdr:rowOff>85725</xdr:rowOff>
    </xdr:from>
    <xdr:to>
      <xdr:col>12</xdr:col>
      <xdr:colOff>304800</xdr:colOff>
      <xdr:row>10</xdr:row>
      <xdr:rowOff>104775</xdr:rowOff>
    </xdr:to>
    <xdr:sp macro="" textlink="">
      <xdr:nvSpPr>
        <xdr:cNvPr id="13841" name="Freeform 1425">
          <a:extLst>
            <a:ext uri="{FF2B5EF4-FFF2-40B4-BE49-F238E27FC236}">
              <a16:creationId xmlns:a16="http://schemas.microsoft.com/office/drawing/2014/main" id="{00000000-0008-0000-0700-000011360000}"/>
            </a:ext>
          </a:extLst>
        </xdr:cNvPr>
        <xdr:cNvSpPr>
          <a:spLocks/>
        </xdr:cNvSpPr>
      </xdr:nvSpPr>
      <xdr:spPr bwMode="auto">
        <a:xfrm>
          <a:off x="7762875" y="2124075"/>
          <a:ext cx="180975" cy="19050"/>
        </a:xfrm>
        <a:custGeom>
          <a:avLst/>
          <a:gdLst>
            <a:gd name="T0" fmla="*/ 0 w 1115"/>
            <a:gd name="T1" fmla="*/ 0 h 62"/>
            <a:gd name="T2" fmla="*/ 0 w 1115"/>
            <a:gd name="T3" fmla="*/ 0 h 62"/>
            <a:gd name="T4" fmla="*/ 0 w 1115"/>
            <a:gd name="T5" fmla="*/ 0 h 62"/>
            <a:gd name="T6" fmla="*/ 2147483647 w 1115"/>
            <a:gd name="T7" fmla="*/ 0 h 62"/>
            <a:gd name="T8" fmla="*/ 2147483647 w 1115"/>
            <a:gd name="T9" fmla="*/ 0 h 62"/>
            <a:gd name="T10" fmla="*/ 2147483647 w 1115"/>
            <a:gd name="T11" fmla="*/ 0 h 62"/>
            <a:gd name="T12" fmla="*/ 0 w 1115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115"/>
            <a:gd name="T22" fmla="*/ 0 h 62"/>
            <a:gd name="T23" fmla="*/ 1115 w 1115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115" h="62">
              <a:moveTo>
                <a:pt x="0" y="0"/>
              </a:moveTo>
              <a:lnTo>
                <a:pt x="0" y="32"/>
              </a:lnTo>
              <a:lnTo>
                <a:pt x="0" y="62"/>
              </a:lnTo>
              <a:lnTo>
                <a:pt x="1115" y="62"/>
              </a:lnTo>
              <a:lnTo>
                <a:pt x="1115" y="32"/>
              </a:lnTo>
              <a:lnTo>
                <a:pt x="1115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304800</xdr:colOff>
      <xdr:row>10</xdr:row>
      <xdr:rowOff>85725</xdr:rowOff>
    </xdr:from>
    <xdr:to>
      <xdr:col>12</xdr:col>
      <xdr:colOff>304800</xdr:colOff>
      <xdr:row>10</xdr:row>
      <xdr:rowOff>104775</xdr:rowOff>
    </xdr:to>
    <xdr:sp macro="" textlink="">
      <xdr:nvSpPr>
        <xdr:cNvPr id="13842" name="Freeform 1426">
          <a:extLst>
            <a:ext uri="{FF2B5EF4-FFF2-40B4-BE49-F238E27FC236}">
              <a16:creationId xmlns:a16="http://schemas.microsoft.com/office/drawing/2014/main" id="{00000000-0008-0000-0700-000012360000}"/>
            </a:ext>
          </a:extLst>
        </xdr:cNvPr>
        <xdr:cNvSpPr>
          <a:spLocks/>
        </xdr:cNvSpPr>
      </xdr:nvSpPr>
      <xdr:spPr bwMode="auto">
        <a:xfrm>
          <a:off x="7943850" y="2124075"/>
          <a:ext cx="0" cy="19050"/>
        </a:xfrm>
        <a:custGeom>
          <a:avLst/>
          <a:gdLst>
            <a:gd name="T0" fmla="*/ 0 w 30"/>
            <a:gd name="T1" fmla="*/ 0 h 62"/>
            <a:gd name="T2" fmla="*/ 0 w 30"/>
            <a:gd name="T3" fmla="*/ 0 h 62"/>
            <a:gd name="T4" fmla="*/ 0 w 30"/>
            <a:gd name="T5" fmla="*/ 0 h 62"/>
            <a:gd name="T6" fmla="*/ 0 w 30"/>
            <a:gd name="T7" fmla="*/ 0 h 62"/>
            <a:gd name="T8" fmla="*/ 0 w 30"/>
            <a:gd name="T9" fmla="*/ 0 h 62"/>
            <a:gd name="T10" fmla="*/ 0 w 30"/>
            <a:gd name="T11" fmla="*/ 0 h 62"/>
            <a:gd name="T12" fmla="*/ 0 w 30"/>
            <a:gd name="T13" fmla="*/ 0 h 62"/>
            <a:gd name="T14" fmla="*/ 0 w 30"/>
            <a:gd name="T15" fmla="*/ 0 h 62"/>
            <a:gd name="T16" fmla="*/ 0 w 30"/>
            <a:gd name="T17" fmla="*/ 0 h 62"/>
            <a:gd name="T18" fmla="*/ 0 w 30"/>
            <a:gd name="T19" fmla="*/ 0 h 62"/>
            <a:gd name="T20" fmla="*/ 0 w 30"/>
            <a:gd name="T21" fmla="*/ 0 h 62"/>
            <a:gd name="T22" fmla="*/ 0 w 30"/>
            <a:gd name="T23" fmla="*/ 0 h 62"/>
            <a:gd name="T24" fmla="*/ 0 w 30"/>
            <a:gd name="T25" fmla="*/ 0 h 62"/>
            <a:gd name="T26" fmla="*/ 0 w 30"/>
            <a:gd name="T27" fmla="*/ 0 h 6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0"/>
            <a:gd name="T43" fmla="*/ 0 h 62"/>
            <a:gd name="T44" fmla="*/ 0 w 30"/>
            <a:gd name="T45" fmla="*/ 62 h 6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0" h="62">
              <a:moveTo>
                <a:pt x="0" y="32"/>
              </a:moveTo>
              <a:lnTo>
                <a:pt x="0" y="0"/>
              </a:lnTo>
              <a:lnTo>
                <a:pt x="8" y="2"/>
              </a:lnTo>
              <a:lnTo>
                <a:pt x="16" y="5"/>
              </a:lnTo>
              <a:lnTo>
                <a:pt x="23" y="12"/>
              </a:lnTo>
              <a:lnTo>
                <a:pt x="28" y="19"/>
              </a:lnTo>
              <a:lnTo>
                <a:pt x="30" y="27"/>
              </a:lnTo>
              <a:lnTo>
                <a:pt x="30" y="36"/>
              </a:lnTo>
              <a:lnTo>
                <a:pt x="28" y="44"/>
              </a:lnTo>
              <a:lnTo>
                <a:pt x="23" y="52"/>
              </a:lnTo>
              <a:lnTo>
                <a:pt x="16" y="58"/>
              </a:lnTo>
              <a:lnTo>
                <a:pt x="8" y="61"/>
              </a:lnTo>
              <a:lnTo>
                <a:pt x="0" y="62"/>
              </a:lnTo>
              <a:lnTo>
                <a:pt x="0" y="3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304800</xdr:colOff>
      <xdr:row>10</xdr:row>
      <xdr:rowOff>85725</xdr:rowOff>
    </xdr:from>
    <xdr:to>
      <xdr:col>12</xdr:col>
      <xdr:colOff>304800</xdr:colOff>
      <xdr:row>10</xdr:row>
      <xdr:rowOff>104775</xdr:rowOff>
    </xdr:to>
    <xdr:sp macro="" textlink="">
      <xdr:nvSpPr>
        <xdr:cNvPr id="13843" name="Freeform 1427">
          <a:extLst>
            <a:ext uri="{FF2B5EF4-FFF2-40B4-BE49-F238E27FC236}">
              <a16:creationId xmlns:a16="http://schemas.microsoft.com/office/drawing/2014/main" id="{00000000-0008-0000-0700-000013360000}"/>
            </a:ext>
          </a:extLst>
        </xdr:cNvPr>
        <xdr:cNvSpPr>
          <a:spLocks/>
        </xdr:cNvSpPr>
      </xdr:nvSpPr>
      <xdr:spPr bwMode="auto">
        <a:xfrm>
          <a:off x="7943850" y="2124075"/>
          <a:ext cx="0" cy="19050"/>
        </a:xfrm>
        <a:custGeom>
          <a:avLst/>
          <a:gdLst>
            <a:gd name="T0" fmla="*/ 0 w 30"/>
            <a:gd name="T1" fmla="*/ 0 h 62"/>
            <a:gd name="T2" fmla="*/ 0 w 30"/>
            <a:gd name="T3" fmla="*/ 0 h 62"/>
            <a:gd name="T4" fmla="*/ 0 w 30"/>
            <a:gd name="T5" fmla="*/ 0 h 62"/>
            <a:gd name="T6" fmla="*/ 0 w 30"/>
            <a:gd name="T7" fmla="*/ 0 h 62"/>
            <a:gd name="T8" fmla="*/ 0 w 30"/>
            <a:gd name="T9" fmla="*/ 0 h 62"/>
            <a:gd name="T10" fmla="*/ 0 w 30"/>
            <a:gd name="T11" fmla="*/ 0 h 62"/>
            <a:gd name="T12" fmla="*/ 0 w 30"/>
            <a:gd name="T13" fmla="*/ 0 h 62"/>
            <a:gd name="T14" fmla="*/ 0 w 30"/>
            <a:gd name="T15" fmla="*/ 0 h 62"/>
            <a:gd name="T16" fmla="*/ 0 w 30"/>
            <a:gd name="T17" fmla="*/ 0 h 62"/>
            <a:gd name="T18" fmla="*/ 0 w 30"/>
            <a:gd name="T19" fmla="*/ 0 h 62"/>
            <a:gd name="T20" fmla="*/ 0 w 30"/>
            <a:gd name="T21" fmla="*/ 0 h 62"/>
            <a:gd name="T22" fmla="*/ 0 w 30"/>
            <a:gd name="T23" fmla="*/ 0 h 6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0"/>
            <a:gd name="T37" fmla="*/ 0 h 62"/>
            <a:gd name="T38" fmla="*/ 0 w 30"/>
            <a:gd name="T39" fmla="*/ 62 h 6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0" h="62">
              <a:moveTo>
                <a:pt x="0" y="0"/>
              </a:moveTo>
              <a:lnTo>
                <a:pt x="8" y="2"/>
              </a:lnTo>
              <a:lnTo>
                <a:pt x="16" y="5"/>
              </a:lnTo>
              <a:lnTo>
                <a:pt x="23" y="12"/>
              </a:lnTo>
              <a:lnTo>
                <a:pt x="28" y="19"/>
              </a:lnTo>
              <a:lnTo>
                <a:pt x="30" y="27"/>
              </a:lnTo>
              <a:lnTo>
                <a:pt x="30" y="36"/>
              </a:lnTo>
              <a:lnTo>
                <a:pt x="28" y="44"/>
              </a:lnTo>
              <a:lnTo>
                <a:pt x="23" y="52"/>
              </a:lnTo>
              <a:lnTo>
                <a:pt x="16" y="58"/>
              </a:lnTo>
              <a:lnTo>
                <a:pt x="8" y="61"/>
              </a:lnTo>
              <a:lnTo>
                <a:pt x="0" y="6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342900</xdr:colOff>
      <xdr:row>10</xdr:row>
      <xdr:rowOff>85725</xdr:rowOff>
    </xdr:from>
    <xdr:to>
      <xdr:col>12</xdr:col>
      <xdr:colOff>352425</xdr:colOff>
      <xdr:row>10</xdr:row>
      <xdr:rowOff>104775</xdr:rowOff>
    </xdr:to>
    <xdr:sp macro="" textlink="">
      <xdr:nvSpPr>
        <xdr:cNvPr id="13844" name="Freeform 1428">
          <a:extLst>
            <a:ext uri="{FF2B5EF4-FFF2-40B4-BE49-F238E27FC236}">
              <a16:creationId xmlns:a16="http://schemas.microsoft.com/office/drawing/2014/main" id="{00000000-0008-0000-0700-000014360000}"/>
            </a:ext>
          </a:extLst>
        </xdr:cNvPr>
        <xdr:cNvSpPr>
          <a:spLocks/>
        </xdr:cNvSpPr>
      </xdr:nvSpPr>
      <xdr:spPr bwMode="auto">
        <a:xfrm>
          <a:off x="7981950" y="2124075"/>
          <a:ext cx="9525" cy="19050"/>
        </a:xfrm>
        <a:custGeom>
          <a:avLst/>
          <a:gdLst>
            <a:gd name="T0" fmla="*/ 0 w 31"/>
            <a:gd name="T1" fmla="*/ 0 h 62"/>
            <a:gd name="T2" fmla="*/ 0 w 31"/>
            <a:gd name="T3" fmla="*/ 0 h 62"/>
            <a:gd name="T4" fmla="*/ 0 w 31"/>
            <a:gd name="T5" fmla="*/ 0 h 62"/>
            <a:gd name="T6" fmla="*/ 0 w 31"/>
            <a:gd name="T7" fmla="*/ 0 h 62"/>
            <a:gd name="T8" fmla="*/ 0 w 31"/>
            <a:gd name="T9" fmla="*/ 0 h 62"/>
            <a:gd name="T10" fmla="*/ 0 w 31"/>
            <a:gd name="T11" fmla="*/ 0 h 62"/>
            <a:gd name="T12" fmla="*/ 0 w 31"/>
            <a:gd name="T13" fmla="*/ 0 h 62"/>
            <a:gd name="T14" fmla="*/ 0 w 31"/>
            <a:gd name="T15" fmla="*/ 0 h 62"/>
            <a:gd name="T16" fmla="*/ 0 w 31"/>
            <a:gd name="T17" fmla="*/ 0 h 62"/>
            <a:gd name="T18" fmla="*/ 0 w 31"/>
            <a:gd name="T19" fmla="*/ 0 h 62"/>
            <a:gd name="T20" fmla="*/ 0 w 31"/>
            <a:gd name="T21" fmla="*/ 0 h 62"/>
            <a:gd name="T22" fmla="*/ 0 w 31"/>
            <a:gd name="T23" fmla="*/ 0 h 62"/>
            <a:gd name="T24" fmla="*/ 0 w 31"/>
            <a:gd name="T25" fmla="*/ 0 h 62"/>
            <a:gd name="T26" fmla="*/ 0 w 31"/>
            <a:gd name="T27" fmla="*/ 0 h 6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1"/>
            <a:gd name="T43" fmla="*/ 0 h 62"/>
            <a:gd name="T44" fmla="*/ 31 w 31"/>
            <a:gd name="T45" fmla="*/ 62 h 6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1" h="62">
              <a:moveTo>
                <a:pt x="31" y="32"/>
              </a:moveTo>
              <a:lnTo>
                <a:pt x="31" y="62"/>
              </a:lnTo>
              <a:lnTo>
                <a:pt x="22" y="61"/>
              </a:lnTo>
              <a:lnTo>
                <a:pt x="14" y="58"/>
              </a:lnTo>
              <a:lnTo>
                <a:pt x="8" y="52"/>
              </a:lnTo>
              <a:lnTo>
                <a:pt x="3" y="44"/>
              </a:lnTo>
              <a:lnTo>
                <a:pt x="0" y="36"/>
              </a:lnTo>
              <a:lnTo>
                <a:pt x="0" y="27"/>
              </a:lnTo>
              <a:lnTo>
                <a:pt x="3" y="19"/>
              </a:lnTo>
              <a:lnTo>
                <a:pt x="8" y="12"/>
              </a:lnTo>
              <a:lnTo>
                <a:pt x="14" y="5"/>
              </a:lnTo>
              <a:lnTo>
                <a:pt x="22" y="2"/>
              </a:lnTo>
              <a:lnTo>
                <a:pt x="31" y="0"/>
              </a:lnTo>
              <a:lnTo>
                <a:pt x="31" y="3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342900</xdr:colOff>
      <xdr:row>10</xdr:row>
      <xdr:rowOff>85725</xdr:rowOff>
    </xdr:from>
    <xdr:to>
      <xdr:col>12</xdr:col>
      <xdr:colOff>352425</xdr:colOff>
      <xdr:row>10</xdr:row>
      <xdr:rowOff>104775</xdr:rowOff>
    </xdr:to>
    <xdr:sp macro="" textlink="">
      <xdr:nvSpPr>
        <xdr:cNvPr id="13845" name="Freeform 1429">
          <a:extLst>
            <a:ext uri="{FF2B5EF4-FFF2-40B4-BE49-F238E27FC236}">
              <a16:creationId xmlns:a16="http://schemas.microsoft.com/office/drawing/2014/main" id="{00000000-0008-0000-0700-000015360000}"/>
            </a:ext>
          </a:extLst>
        </xdr:cNvPr>
        <xdr:cNvSpPr>
          <a:spLocks/>
        </xdr:cNvSpPr>
      </xdr:nvSpPr>
      <xdr:spPr bwMode="auto">
        <a:xfrm>
          <a:off x="7981950" y="2124075"/>
          <a:ext cx="9525" cy="19050"/>
        </a:xfrm>
        <a:custGeom>
          <a:avLst/>
          <a:gdLst>
            <a:gd name="T0" fmla="*/ 0 w 31"/>
            <a:gd name="T1" fmla="*/ 0 h 62"/>
            <a:gd name="T2" fmla="*/ 0 w 31"/>
            <a:gd name="T3" fmla="*/ 0 h 62"/>
            <a:gd name="T4" fmla="*/ 0 w 31"/>
            <a:gd name="T5" fmla="*/ 0 h 62"/>
            <a:gd name="T6" fmla="*/ 0 w 31"/>
            <a:gd name="T7" fmla="*/ 0 h 62"/>
            <a:gd name="T8" fmla="*/ 0 w 31"/>
            <a:gd name="T9" fmla="*/ 0 h 62"/>
            <a:gd name="T10" fmla="*/ 0 w 31"/>
            <a:gd name="T11" fmla="*/ 0 h 62"/>
            <a:gd name="T12" fmla="*/ 0 w 31"/>
            <a:gd name="T13" fmla="*/ 0 h 62"/>
            <a:gd name="T14" fmla="*/ 0 w 31"/>
            <a:gd name="T15" fmla="*/ 0 h 62"/>
            <a:gd name="T16" fmla="*/ 0 w 31"/>
            <a:gd name="T17" fmla="*/ 0 h 62"/>
            <a:gd name="T18" fmla="*/ 0 w 31"/>
            <a:gd name="T19" fmla="*/ 0 h 62"/>
            <a:gd name="T20" fmla="*/ 0 w 31"/>
            <a:gd name="T21" fmla="*/ 0 h 62"/>
            <a:gd name="T22" fmla="*/ 0 w 31"/>
            <a:gd name="T23" fmla="*/ 0 h 6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1"/>
            <a:gd name="T37" fmla="*/ 0 h 62"/>
            <a:gd name="T38" fmla="*/ 31 w 31"/>
            <a:gd name="T39" fmla="*/ 62 h 6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1" h="62">
              <a:moveTo>
                <a:pt x="31" y="62"/>
              </a:moveTo>
              <a:lnTo>
                <a:pt x="22" y="61"/>
              </a:lnTo>
              <a:lnTo>
                <a:pt x="14" y="58"/>
              </a:lnTo>
              <a:lnTo>
                <a:pt x="8" y="52"/>
              </a:lnTo>
              <a:lnTo>
                <a:pt x="3" y="44"/>
              </a:lnTo>
              <a:lnTo>
                <a:pt x="0" y="36"/>
              </a:lnTo>
              <a:lnTo>
                <a:pt x="0" y="27"/>
              </a:lnTo>
              <a:lnTo>
                <a:pt x="3" y="19"/>
              </a:lnTo>
              <a:lnTo>
                <a:pt x="8" y="12"/>
              </a:lnTo>
              <a:lnTo>
                <a:pt x="14" y="5"/>
              </a:lnTo>
              <a:lnTo>
                <a:pt x="22" y="2"/>
              </a:lnTo>
              <a:lnTo>
                <a:pt x="3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352425</xdr:colOff>
      <xdr:row>10</xdr:row>
      <xdr:rowOff>85725</xdr:rowOff>
    </xdr:from>
    <xdr:to>
      <xdr:col>13</xdr:col>
      <xdr:colOff>95250</xdr:colOff>
      <xdr:row>10</xdr:row>
      <xdr:rowOff>114300</xdr:rowOff>
    </xdr:to>
    <xdr:sp macro="" textlink="">
      <xdr:nvSpPr>
        <xdr:cNvPr id="13846" name="Freeform 1430">
          <a:extLst>
            <a:ext uri="{FF2B5EF4-FFF2-40B4-BE49-F238E27FC236}">
              <a16:creationId xmlns:a16="http://schemas.microsoft.com/office/drawing/2014/main" id="{00000000-0008-0000-0700-000016360000}"/>
            </a:ext>
          </a:extLst>
        </xdr:cNvPr>
        <xdr:cNvSpPr>
          <a:spLocks/>
        </xdr:cNvSpPr>
      </xdr:nvSpPr>
      <xdr:spPr bwMode="auto">
        <a:xfrm>
          <a:off x="7991475" y="2124075"/>
          <a:ext cx="276225" cy="28575"/>
        </a:xfrm>
        <a:custGeom>
          <a:avLst/>
          <a:gdLst>
            <a:gd name="T0" fmla="*/ 0 w 1115"/>
            <a:gd name="T1" fmla="*/ 0 h 62"/>
            <a:gd name="T2" fmla="*/ 0 w 1115"/>
            <a:gd name="T3" fmla="*/ 0 h 62"/>
            <a:gd name="T4" fmla="*/ 0 w 1115"/>
            <a:gd name="T5" fmla="*/ 0 h 62"/>
            <a:gd name="T6" fmla="*/ 2147483647 w 1115"/>
            <a:gd name="T7" fmla="*/ 0 h 62"/>
            <a:gd name="T8" fmla="*/ 2147483647 w 1115"/>
            <a:gd name="T9" fmla="*/ 0 h 62"/>
            <a:gd name="T10" fmla="*/ 2147483647 w 1115"/>
            <a:gd name="T11" fmla="*/ 0 h 62"/>
            <a:gd name="T12" fmla="*/ 0 w 1115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115"/>
            <a:gd name="T22" fmla="*/ 0 h 62"/>
            <a:gd name="T23" fmla="*/ 1115 w 1115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115" h="62">
              <a:moveTo>
                <a:pt x="0" y="0"/>
              </a:moveTo>
              <a:lnTo>
                <a:pt x="0" y="32"/>
              </a:lnTo>
              <a:lnTo>
                <a:pt x="0" y="62"/>
              </a:lnTo>
              <a:lnTo>
                <a:pt x="1115" y="62"/>
              </a:lnTo>
              <a:lnTo>
                <a:pt x="1115" y="32"/>
              </a:lnTo>
              <a:lnTo>
                <a:pt x="1115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352425</xdr:colOff>
      <xdr:row>10</xdr:row>
      <xdr:rowOff>85725</xdr:rowOff>
    </xdr:from>
    <xdr:to>
      <xdr:col>13</xdr:col>
      <xdr:colOff>95250</xdr:colOff>
      <xdr:row>10</xdr:row>
      <xdr:rowOff>114300</xdr:rowOff>
    </xdr:to>
    <xdr:sp macro="" textlink="">
      <xdr:nvSpPr>
        <xdr:cNvPr id="13847" name="Freeform 1431">
          <a:extLst>
            <a:ext uri="{FF2B5EF4-FFF2-40B4-BE49-F238E27FC236}">
              <a16:creationId xmlns:a16="http://schemas.microsoft.com/office/drawing/2014/main" id="{00000000-0008-0000-0700-000017360000}"/>
            </a:ext>
          </a:extLst>
        </xdr:cNvPr>
        <xdr:cNvSpPr>
          <a:spLocks/>
        </xdr:cNvSpPr>
      </xdr:nvSpPr>
      <xdr:spPr bwMode="auto">
        <a:xfrm>
          <a:off x="7991475" y="2124075"/>
          <a:ext cx="276225" cy="28575"/>
        </a:xfrm>
        <a:custGeom>
          <a:avLst/>
          <a:gdLst>
            <a:gd name="T0" fmla="*/ 0 w 1115"/>
            <a:gd name="T1" fmla="*/ 0 h 62"/>
            <a:gd name="T2" fmla="*/ 0 w 1115"/>
            <a:gd name="T3" fmla="*/ 0 h 62"/>
            <a:gd name="T4" fmla="*/ 0 w 1115"/>
            <a:gd name="T5" fmla="*/ 0 h 62"/>
            <a:gd name="T6" fmla="*/ 2147483647 w 1115"/>
            <a:gd name="T7" fmla="*/ 0 h 62"/>
            <a:gd name="T8" fmla="*/ 2147483647 w 1115"/>
            <a:gd name="T9" fmla="*/ 0 h 62"/>
            <a:gd name="T10" fmla="*/ 2147483647 w 1115"/>
            <a:gd name="T11" fmla="*/ 0 h 62"/>
            <a:gd name="T12" fmla="*/ 0 w 1115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115"/>
            <a:gd name="T22" fmla="*/ 0 h 62"/>
            <a:gd name="T23" fmla="*/ 1115 w 1115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115" h="62">
              <a:moveTo>
                <a:pt x="0" y="0"/>
              </a:moveTo>
              <a:lnTo>
                <a:pt x="0" y="32"/>
              </a:lnTo>
              <a:lnTo>
                <a:pt x="0" y="62"/>
              </a:lnTo>
              <a:lnTo>
                <a:pt x="1115" y="62"/>
              </a:lnTo>
              <a:lnTo>
                <a:pt x="1115" y="32"/>
              </a:lnTo>
              <a:lnTo>
                <a:pt x="1115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95250</xdr:colOff>
      <xdr:row>10</xdr:row>
      <xdr:rowOff>85725</xdr:rowOff>
    </xdr:from>
    <xdr:to>
      <xdr:col>13</xdr:col>
      <xdr:colOff>95250</xdr:colOff>
      <xdr:row>10</xdr:row>
      <xdr:rowOff>104775</xdr:rowOff>
    </xdr:to>
    <xdr:sp macro="" textlink="">
      <xdr:nvSpPr>
        <xdr:cNvPr id="13848" name="Freeform 1432">
          <a:extLst>
            <a:ext uri="{FF2B5EF4-FFF2-40B4-BE49-F238E27FC236}">
              <a16:creationId xmlns:a16="http://schemas.microsoft.com/office/drawing/2014/main" id="{00000000-0008-0000-0700-000018360000}"/>
            </a:ext>
          </a:extLst>
        </xdr:cNvPr>
        <xdr:cNvSpPr>
          <a:spLocks/>
        </xdr:cNvSpPr>
      </xdr:nvSpPr>
      <xdr:spPr bwMode="auto">
        <a:xfrm>
          <a:off x="8267700" y="2124075"/>
          <a:ext cx="0" cy="19050"/>
        </a:xfrm>
        <a:custGeom>
          <a:avLst/>
          <a:gdLst>
            <a:gd name="T0" fmla="*/ 0 w 30"/>
            <a:gd name="T1" fmla="*/ 0 h 62"/>
            <a:gd name="T2" fmla="*/ 0 w 30"/>
            <a:gd name="T3" fmla="*/ 0 h 62"/>
            <a:gd name="T4" fmla="*/ 0 w 30"/>
            <a:gd name="T5" fmla="*/ 0 h 62"/>
            <a:gd name="T6" fmla="*/ 0 w 30"/>
            <a:gd name="T7" fmla="*/ 0 h 62"/>
            <a:gd name="T8" fmla="*/ 0 w 30"/>
            <a:gd name="T9" fmla="*/ 0 h 62"/>
            <a:gd name="T10" fmla="*/ 0 w 30"/>
            <a:gd name="T11" fmla="*/ 0 h 62"/>
            <a:gd name="T12" fmla="*/ 0 w 30"/>
            <a:gd name="T13" fmla="*/ 0 h 62"/>
            <a:gd name="T14" fmla="*/ 0 w 30"/>
            <a:gd name="T15" fmla="*/ 0 h 62"/>
            <a:gd name="T16" fmla="*/ 0 w 30"/>
            <a:gd name="T17" fmla="*/ 0 h 62"/>
            <a:gd name="T18" fmla="*/ 0 w 30"/>
            <a:gd name="T19" fmla="*/ 0 h 62"/>
            <a:gd name="T20" fmla="*/ 0 w 30"/>
            <a:gd name="T21" fmla="*/ 0 h 62"/>
            <a:gd name="T22" fmla="*/ 0 w 30"/>
            <a:gd name="T23" fmla="*/ 0 h 62"/>
            <a:gd name="T24" fmla="*/ 0 w 30"/>
            <a:gd name="T25" fmla="*/ 0 h 62"/>
            <a:gd name="T26" fmla="*/ 0 w 30"/>
            <a:gd name="T27" fmla="*/ 0 h 6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0"/>
            <a:gd name="T43" fmla="*/ 0 h 62"/>
            <a:gd name="T44" fmla="*/ 0 w 30"/>
            <a:gd name="T45" fmla="*/ 62 h 6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0" h="62">
              <a:moveTo>
                <a:pt x="0" y="32"/>
              </a:moveTo>
              <a:lnTo>
                <a:pt x="0" y="0"/>
              </a:lnTo>
              <a:lnTo>
                <a:pt x="8" y="2"/>
              </a:lnTo>
              <a:lnTo>
                <a:pt x="17" y="5"/>
              </a:lnTo>
              <a:lnTo>
                <a:pt x="23" y="12"/>
              </a:lnTo>
              <a:lnTo>
                <a:pt x="28" y="19"/>
              </a:lnTo>
              <a:lnTo>
                <a:pt x="30" y="27"/>
              </a:lnTo>
              <a:lnTo>
                <a:pt x="30" y="36"/>
              </a:lnTo>
              <a:lnTo>
                <a:pt x="28" y="44"/>
              </a:lnTo>
              <a:lnTo>
                <a:pt x="23" y="52"/>
              </a:lnTo>
              <a:lnTo>
                <a:pt x="17" y="58"/>
              </a:lnTo>
              <a:lnTo>
                <a:pt x="8" y="61"/>
              </a:lnTo>
              <a:lnTo>
                <a:pt x="0" y="62"/>
              </a:lnTo>
              <a:lnTo>
                <a:pt x="0" y="3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95250</xdr:colOff>
      <xdr:row>10</xdr:row>
      <xdr:rowOff>85725</xdr:rowOff>
    </xdr:from>
    <xdr:to>
      <xdr:col>13</xdr:col>
      <xdr:colOff>95250</xdr:colOff>
      <xdr:row>10</xdr:row>
      <xdr:rowOff>104775</xdr:rowOff>
    </xdr:to>
    <xdr:sp macro="" textlink="">
      <xdr:nvSpPr>
        <xdr:cNvPr id="13849" name="Freeform 1433">
          <a:extLst>
            <a:ext uri="{FF2B5EF4-FFF2-40B4-BE49-F238E27FC236}">
              <a16:creationId xmlns:a16="http://schemas.microsoft.com/office/drawing/2014/main" id="{00000000-0008-0000-0700-000019360000}"/>
            </a:ext>
          </a:extLst>
        </xdr:cNvPr>
        <xdr:cNvSpPr>
          <a:spLocks/>
        </xdr:cNvSpPr>
      </xdr:nvSpPr>
      <xdr:spPr bwMode="auto">
        <a:xfrm>
          <a:off x="8267700" y="2124075"/>
          <a:ext cx="0" cy="19050"/>
        </a:xfrm>
        <a:custGeom>
          <a:avLst/>
          <a:gdLst>
            <a:gd name="T0" fmla="*/ 0 w 30"/>
            <a:gd name="T1" fmla="*/ 0 h 62"/>
            <a:gd name="T2" fmla="*/ 0 w 30"/>
            <a:gd name="T3" fmla="*/ 0 h 62"/>
            <a:gd name="T4" fmla="*/ 0 w 30"/>
            <a:gd name="T5" fmla="*/ 0 h 62"/>
            <a:gd name="T6" fmla="*/ 0 w 30"/>
            <a:gd name="T7" fmla="*/ 0 h 62"/>
            <a:gd name="T8" fmla="*/ 0 w 30"/>
            <a:gd name="T9" fmla="*/ 0 h 62"/>
            <a:gd name="T10" fmla="*/ 0 w 30"/>
            <a:gd name="T11" fmla="*/ 0 h 62"/>
            <a:gd name="T12" fmla="*/ 0 w 30"/>
            <a:gd name="T13" fmla="*/ 0 h 62"/>
            <a:gd name="T14" fmla="*/ 0 w 30"/>
            <a:gd name="T15" fmla="*/ 0 h 62"/>
            <a:gd name="T16" fmla="*/ 0 w 30"/>
            <a:gd name="T17" fmla="*/ 0 h 62"/>
            <a:gd name="T18" fmla="*/ 0 w 30"/>
            <a:gd name="T19" fmla="*/ 0 h 62"/>
            <a:gd name="T20" fmla="*/ 0 w 30"/>
            <a:gd name="T21" fmla="*/ 0 h 62"/>
            <a:gd name="T22" fmla="*/ 0 w 30"/>
            <a:gd name="T23" fmla="*/ 0 h 6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0"/>
            <a:gd name="T37" fmla="*/ 0 h 62"/>
            <a:gd name="T38" fmla="*/ 0 w 30"/>
            <a:gd name="T39" fmla="*/ 62 h 6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0" h="62">
              <a:moveTo>
                <a:pt x="0" y="0"/>
              </a:moveTo>
              <a:lnTo>
                <a:pt x="8" y="2"/>
              </a:lnTo>
              <a:lnTo>
                <a:pt x="17" y="5"/>
              </a:lnTo>
              <a:lnTo>
                <a:pt x="23" y="12"/>
              </a:lnTo>
              <a:lnTo>
                <a:pt x="28" y="19"/>
              </a:lnTo>
              <a:lnTo>
                <a:pt x="30" y="27"/>
              </a:lnTo>
              <a:lnTo>
                <a:pt x="30" y="36"/>
              </a:lnTo>
              <a:lnTo>
                <a:pt x="28" y="44"/>
              </a:lnTo>
              <a:lnTo>
                <a:pt x="23" y="52"/>
              </a:lnTo>
              <a:lnTo>
                <a:pt x="17" y="58"/>
              </a:lnTo>
              <a:lnTo>
                <a:pt x="8" y="61"/>
              </a:lnTo>
              <a:lnTo>
                <a:pt x="0" y="6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133350</xdr:colOff>
      <xdr:row>10</xdr:row>
      <xdr:rowOff>85725</xdr:rowOff>
    </xdr:from>
    <xdr:to>
      <xdr:col>13</xdr:col>
      <xdr:colOff>142875</xdr:colOff>
      <xdr:row>10</xdr:row>
      <xdr:rowOff>104775</xdr:rowOff>
    </xdr:to>
    <xdr:sp macro="" textlink="">
      <xdr:nvSpPr>
        <xdr:cNvPr id="13850" name="Freeform 1434">
          <a:extLst>
            <a:ext uri="{FF2B5EF4-FFF2-40B4-BE49-F238E27FC236}">
              <a16:creationId xmlns:a16="http://schemas.microsoft.com/office/drawing/2014/main" id="{00000000-0008-0000-0700-00001A360000}"/>
            </a:ext>
          </a:extLst>
        </xdr:cNvPr>
        <xdr:cNvSpPr>
          <a:spLocks/>
        </xdr:cNvSpPr>
      </xdr:nvSpPr>
      <xdr:spPr bwMode="auto">
        <a:xfrm>
          <a:off x="8305800" y="2124075"/>
          <a:ext cx="9525" cy="19050"/>
        </a:xfrm>
        <a:custGeom>
          <a:avLst/>
          <a:gdLst>
            <a:gd name="T0" fmla="*/ 0 w 30"/>
            <a:gd name="T1" fmla="*/ 0 h 62"/>
            <a:gd name="T2" fmla="*/ 0 w 30"/>
            <a:gd name="T3" fmla="*/ 0 h 62"/>
            <a:gd name="T4" fmla="*/ 0 w 30"/>
            <a:gd name="T5" fmla="*/ 0 h 62"/>
            <a:gd name="T6" fmla="*/ 0 w 30"/>
            <a:gd name="T7" fmla="*/ 0 h 62"/>
            <a:gd name="T8" fmla="*/ 0 w 30"/>
            <a:gd name="T9" fmla="*/ 0 h 62"/>
            <a:gd name="T10" fmla="*/ 0 w 30"/>
            <a:gd name="T11" fmla="*/ 0 h 62"/>
            <a:gd name="T12" fmla="*/ 0 w 30"/>
            <a:gd name="T13" fmla="*/ 0 h 62"/>
            <a:gd name="T14" fmla="*/ 0 w 30"/>
            <a:gd name="T15" fmla="*/ 0 h 62"/>
            <a:gd name="T16" fmla="*/ 0 w 30"/>
            <a:gd name="T17" fmla="*/ 0 h 62"/>
            <a:gd name="T18" fmla="*/ 0 w 30"/>
            <a:gd name="T19" fmla="*/ 0 h 62"/>
            <a:gd name="T20" fmla="*/ 0 w 30"/>
            <a:gd name="T21" fmla="*/ 0 h 62"/>
            <a:gd name="T22" fmla="*/ 0 w 30"/>
            <a:gd name="T23" fmla="*/ 0 h 62"/>
            <a:gd name="T24" fmla="*/ 0 w 30"/>
            <a:gd name="T25" fmla="*/ 0 h 62"/>
            <a:gd name="T26" fmla="*/ 0 w 30"/>
            <a:gd name="T27" fmla="*/ 0 h 6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0"/>
            <a:gd name="T43" fmla="*/ 0 h 62"/>
            <a:gd name="T44" fmla="*/ 30 w 30"/>
            <a:gd name="T45" fmla="*/ 62 h 6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0" h="62">
              <a:moveTo>
                <a:pt x="30" y="32"/>
              </a:moveTo>
              <a:lnTo>
                <a:pt x="30" y="62"/>
              </a:lnTo>
              <a:lnTo>
                <a:pt x="22" y="61"/>
              </a:lnTo>
              <a:lnTo>
                <a:pt x="13" y="58"/>
              </a:lnTo>
              <a:lnTo>
                <a:pt x="7" y="52"/>
              </a:lnTo>
              <a:lnTo>
                <a:pt x="2" y="44"/>
              </a:lnTo>
              <a:lnTo>
                <a:pt x="0" y="36"/>
              </a:lnTo>
              <a:lnTo>
                <a:pt x="0" y="27"/>
              </a:lnTo>
              <a:lnTo>
                <a:pt x="2" y="19"/>
              </a:lnTo>
              <a:lnTo>
                <a:pt x="7" y="12"/>
              </a:lnTo>
              <a:lnTo>
                <a:pt x="13" y="5"/>
              </a:lnTo>
              <a:lnTo>
                <a:pt x="22" y="2"/>
              </a:lnTo>
              <a:lnTo>
                <a:pt x="30" y="0"/>
              </a:lnTo>
              <a:lnTo>
                <a:pt x="30" y="3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133350</xdr:colOff>
      <xdr:row>10</xdr:row>
      <xdr:rowOff>85725</xdr:rowOff>
    </xdr:from>
    <xdr:to>
      <xdr:col>13</xdr:col>
      <xdr:colOff>142875</xdr:colOff>
      <xdr:row>10</xdr:row>
      <xdr:rowOff>104775</xdr:rowOff>
    </xdr:to>
    <xdr:sp macro="" textlink="">
      <xdr:nvSpPr>
        <xdr:cNvPr id="13851" name="Freeform 1435">
          <a:extLst>
            <a:ext uri="{FF2B5EF4-FFF2-40B4-BE49-F238E27FC236}">
              <a16:creationId xmlns:a16="http://schemas.microsoft.com/office/drawing/2014/main" id="{00000000-0008-0000-0700-00001B360000}"/>
            </a:ext>
          </a:extLst>
        </xdr:cNvPr>
        <xdr:cNvSpPr>
          <a:spLocks/>
        </xdr:cNvSpPr>
      </xdr:nvSpPr>
      <xdr:spPr bwMode="auto">
        <a:xfrm>
          <a:off x="8305800" y="2124075"/>
          <a:ext cx="9525" cy="19050"/>
        </a:xfrm>
        <a:custGeom>
          <a:avLst/>
          <a:gdLst>
            <a:gd name="T0" fmla="*/ 0 w 30"/>
            <a:gd name="T1" fmla="*/ 0 h 62"/>
            <a:gd name="T2" fmla="*/ 0 w 30"/>
            <a:gd name="T3" fmla="*/ 0 h 62"/>
            <a:gd name="T4" fmla="*/ 0 w 30"/>
            <a:gd name="T5" fmla="*/ 0 h 62"/>
            <a:gd name="T6" fmla="*/ 0 w 30"/>
            <a:gd name="T7" fmla="*/ 0 h 62"/>
            <a:gd name="T8" fmla="*/ 0 w 30"/>
            <a:gd name="T9" fmla="*/ 0 h 62"/>
            <a:gd name="T10" fmla="*/ 0 w 30"/>
            <a:gd name="T11" fmla="*/ 0 h 62"/>
            <a:gd name="T12" fmla="*/ 0 w 30"/>
            <a:gd name="T13" fmla="*/ 0 h 62"/>
            <a:gd name="T14" fmla="*/ 0 w 30"/>
            <a:gd name="T15" fmla="*/ 0 h 62"/>
            <a:gd name="T16" fmla="*/ 0 w 30"/>
            <a:gd name="T17" fmla="*/ 0 h 62"/>
            <a:gd name="T18" fmla="*/ 0 w 30"/>
            <a:gd name="T19" fmla="*/ 0 h 62"/>
            <a:gd name="T20" fmla="*/ 0 w 30"/>
            <a:gd name="T21" fmla="*/ 0 h 62"/>
            <a:gd name="T22" fmla="*/ 0 w 30"/>
            <a:gd name="T23" fmla="*/ 0 h 6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0"/>
            <a:gd name="T37" fmla="*/ 0 h 62"/>
            <a:gd name="T38" fmla="*/ 30 w 30"/>
            <a:gd name="T39" fmla="*/ 62 h 6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0" h="62">
              <a:moveTo>
                <a:pt x="30" y="62"/>
              </a:moveTo>
              <a:lnTo>
                <a:pt x="22" y="61"/>
              </a:lnTo>
              <a:lnTo>
                <a:pt x="13" y="58"/>
              </a:lnTo>
              <a:lnTo>
                <a:pt x="7" y="52"/>
              </a:lnTo>
              <a:lnTo>
                <a:pt x="2" y="44"/>
              </a:lnTo>
              <a:lnTo>
                <a:pt x="0" y="36"/>
              </a:lnTo>
              <a:lnTo>
                <a:pt x="0" y="27"/>
              </a:lnTo>
              <a:lnTo>
                <a:pt x="2" y="19"/>
              </a:lnTo>
              <a:lnTo>
                <a:pt x="7" y="12"/>
              </a:lnTo>
              <a:lnTo>
                <a:pt x="13" y="5"/>
              </a:lnTo>
              <a:lnTo>
                <a:pt x="22" y="2"/>
              </a:lnTo>
              <a:lnTo>
                <a:pt x="3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142875</xdr:colOff>
      <xdr:row>10</xdr:row>
      <xdr:rowOff>85725</xdr:rowOff>
    </xdr:from>
    <xdr:to>
      <xdr:col>13</xdr:col>
      <xdr:colOff>323850</xdr:colOff>
      <xdr:row>10</xdr:row>
      <xdr:rowOff>104775</xdr:rowOff>
    </xdr:to>
    <xdr:sp macro="" textlink="">
      <xdr:nvSpPr>
        <xdr:cNvPr id="13852" name="Freeform 1436">
          <a:extLst>
            <a:ext uri="{FF2B5EF4-FFF2-40B4-BE49-F238E27FC236}">
              <a16:creationId xmlns:a16="http://schemas.microsoft.com/office/drawing/2014/main" id="{00000000-0008-0000-0700-00001C360000}"/>
            </a:ext>
          </a:extLst>
        </xdr:cNvPr>
        <xdr:cNvSpPr>
          <a:spLocks/>
        </xdr:cNvSpPr>
      </xdr:nvSpPr>
      <xdr:spPr bwMode="auto">
        <a:xfrm>
          <a:off x="8315325" y="2124075"/>
          <a:ext cx="180975" cy="19050"/>
        </a:xfrm>
        <a:custGeom>
          <a:avLst/>
          <a:gdLst>
            <a:gd name="T0" fmla="*/ 0 w 1114"/>
            <a:gd name="T1" fmla="*/ 0 h 62"/>
            <a:gd name="T2" fmla="*/ 0 w 1114"/>
            <a:gd name="T3" fmla="*/ 0 h 62"/>
            <a:gd name="T4" fmla="*/ 0 w 1114"/>
            <a:gd name="T5" fmla="*/ 0 h 62"/>
            <a:gd name="T6" fmla="*/ 2147483647 w 1114"/>
            <a:gd name="T7" fmla="*/ 0 h 62"/>
            <a:gd name="T8" fmla="*/ 2147483647 w 1114"/>
            <a:gd name="T9" fmla="*/ 0 h 62"/>
            <a:gd name="T10" fmla="*/ 2147483647 w 1114"/>
            <a:gd name="T11" fmla="*/ 0 h 62"/>
            <a:gd name="T12" fmla="*/ 0 w 1114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114"/>
            <a:gd name="T22" fmla="*/ 0 h 62"/>
            <a:gd name="T23" fmla="*/ 1114 w 1114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114" h="62">
              <a:moveTo>
                <a:pt x="0" y="0"/>
              </a:moveTo>
              <a:lnTo>
                <a:pt x="0" y="32"/>
              </a:lnTo>
              <a:lnTo>
                <a:pt x="0" y="62"/>
              </a:lnTo>
              <a:lnTo>
                <a:pt x="1114" y="62"/>
              </a:lnTo>
              <a:lnTo>
                <a:pt x="1114" y="32"/>
              </a:lnTo>
              <a:lnTo>
                <a:pt x="1114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142875</xdr:colOff>
      <xdr:row>10</xdr:row>
      <xdr:rowOff>85725</xdr:rowOff>
    </xdr:from>
    <xdr:to>
      <xdr:col>13</xdr:col>
      <xdr:colOff>323850</xdr:colOff>
      <xdr:row>10</xdr:row>
      <xdr:rowOff>104775</xdr:rowOff>
    </xdr:to>
    <xdr:sp macro="" textlink="">
      <xdr:nvSpPr>
        <xdr:cNvPr id="13853" name="Freeform 1437">
          <a:extLst>
            <a:ext uri="{FF2B5EF4-FFF2-40B4-BE49-F238E27FC236}">
              <a16:creationId xmlns:a16="http://schemas.microsoft.com/office/drawing/2014/main" id="{00000000-0008-0000-0700-00001D360000}"/>
            </a:ext>
          </a:extLst>
        </xdr:cNvPr>
        <xdr:cNvSpPr>
          <a:spLocks/>
        </xdr:cNvSpPr>
      </xdr:nvSpPr>
      <xdr:spPr bwMode="auto">
        <a:xfrm>
          <a:off x="8315325" y="2124075"/>
          <a:ext cx="180975" cy="19050"/>
        </a:xfrm>
        <a:custGeom>
          <a:avLst/>
          <a:gdLst>
            <a:gd name="T0" fmla="*/ 0 w 1114"/>
            <a:gd name="T1" fmla="*/ 0 h 62"/>
            <a:gd name="T2" fmla="*/ 0 w 1114"/>
            <a:gd name="T3" fmla="*/ 0 h 62"/>
            <a:gd name="T4" fmla="*/ 0 w 1114"/>
            <a:gd name="T5" fmla="*/ 0 h 62"/>
            <a:gd name="T6" fmla="*/ 2147483647 w 1114"/>
            <a:gd name="T7" fmla="*/ 0 h 62"/>
            <a:gd name="T8" fmla="*/ 2147483647 w 1114"/>
            <a:gd name="T9" fmla="*/ 0 h 62"/>
            <a:gd name="T10" fmla="*/ 2147483647 w 1114"/>
            <a:gd name="T11" fmla="*/ 0 h 62"/>
            <a:gd name="T12" fmla="*/ 0 w 1114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114"/>
            <a:gd name="T22" fmla="*/ 0 h 62"/>
            <a:gd name="T23" fmla="*/ 1114 w 1114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114" h="62">
              <a:moveTo>
                <a:pt x="0" y="0"/>
              </a:moveTo>
              <a:lnTo>
                <a:pt x="0" y="32"/>
              </a:lnTo>
              <a:lnTo>
                <a:pt x="0" y="62"/>
              </a:lnTo>
              <a:lnTo>
                <a:pt x="1114" y="62"/>
              </a:lnTo>
              <a:lnTo>
                <a:pt x="1114" y="32"/>
              </a:lnTo>
              <a:lnTo>
                <a:pt x="1114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314325</xdr:colOff>
      <xdr:row>10</xdr:row>
      <xdr:rowOff>85725</xdr:rowOff>
    </xdr:from>
    <xdr:to>
      <xdr:col>13</xdr:col>
      <xdr:colOff>323850</xdr:colOff>
      <xdr:row>10</xdr:row>
      <xdr:rowOff>104775</xdr:rowOff>
    </xdr:to>
    <xdr:sp macro="" textlink="">
      <xdr:nvSpPr>
        <xdr:cNvPr id="13854" name="Freeform 1438">
          <a:extLst>
            <a:ext uri="{FF2B5EF4-FFF2-40B4-BE49-F238E27FC236}">
              <a16:creationId xmlns:a16="http://schemas.microsoft.com/office/drawing/2014/main" id="{00000000-0008-0000-0700-00001E360000}"/>
            </a:ext>
          </a:extLst>
        </xdr:cNvPr>
        <xdr:cNvSpPr>
          <a:spLocks/>
        </xdr:cNvSpPr>
      </xdr:nvSpPr>
      <xdr:spPr bwMode="auto">
        <a:xfrm>
          <a:off x="8486775" y="2124075"/>
          <a:ext cx="9525" cy="19050"/>
        </a:xfrm>
        <a:custGeom>
          <a:avLst/>
          <a:gdLst>
            <a:gd name="T0" fmla="*/ 0 w 31"/>
            <a:gd name="T1" fmla="*/ 0 h 62"/>
            <a:gd name="T2" fmla="*/ 0 w 31"/>
            <a:gd name="T3" fmla="*/ 0 h 62"/>
            <a:gd name="T4" fmla="*/ 0 w 31"/>
            <a:gd name="T5" fmla="*/ 0 h 62"/>
            <a:gd name="T6" fmla="*/ 0 w 31"/>
            <a:gd name="T7" fmla="*/ 0 h 62"/>
            <a:gd name="T8" fmla="*/ 0 w 31"/>
            <a:gd name="T9" fmla="*/ 0 h 62"/>
            <a:gd name="T10" fmla="*/ 0 w 31"/>
            <a:gd name="T11" fmla="*/ 0 h 62"/>
            <a:gd name="T12" fmla="*/ 0 w 31"/>
            <a:gd name="T13" fmla="*/ 0 h 62"/>
            <a:gd name="T14" fmla="*/ 0 w 31"/>
            <a:gd name="T15" fmla="*/ 0 h 62"/>
            <a:gd name="T16" fmla="*/ 0 w 31"/>
            <a:gd name="T17" fmla="*/ 0 h 62"/>
            <a:gd name="T18" fmla="*/ 0 w 31"/>
            <a:gd name="T19" fmla="*/ 0 h 62"/>
            <a:gd name="T20" fmla="*/ 0 w 31"/>
            <a:gd name="T21" fmla="*/ 0 h 62"/>
            <a:gd name="T22" fmla="*/ 0 w 31"/>
            <a:gd name="T23" fmla="*/ 0 h 62"/>
            <a:gd name="T24" fmla="*/ 0 w 31"/>
            <a:gd name="T25" fmla="*/ 0 h 62"/>
            <a:gd name="T26" fmla="*/ 0 w 31"/>
            <a:gd name="T27" fmla="*/ 0 h 6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1"/>
            <a:gd name="T43" fmla="*/ 0 h 62"/>
            <a:gd name="T44" fmla="*/ 31 w 31"/>
            <a:gd name="T45" fmla="*/ 62 h 6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1" h="62">
              <a:moveTo>
                <a:pt x="0" y="32"/>
              </a:moveTo>
              <a:lnTo>
                <a:pt x="0" y="0"/>
              </a:lnTo>
              <a:lnTo>
                <a:pt x="9" y="2"/>
              </a:lnTo>
              <a:lnTo>
                <a:pt x="17" y="5"/>
              </a:lnTo>
              <a:lnTo>
                <a:pt x="23" y="12"/>
              </a:lnTo>
              <a:lnTo>
                <a:pt x="29" y="19"/>
              </a:lnTo>
              <a:lnTo>
                <a:pt x="31" y="27"/>
              </a:lnTo>
              <a:lnTo>
                <a:pt x="31" y="36"/>
              </a:lnTo>
              <a:lnTo>
                <a:pt x="29" y="44"/>
              </a:lnTo>
              <a:lnTo>
                <a:pt x="23" y="52"/>
              </a:lnTo>
              <a:lnTo>
                <a:pt x="17" y="58"/>
              </a:lnTo>
              <a:lnTo>
                <a:pt x="9" y="61"/>
              </a:lnTo>
              <a:lnTo>
                <a:pt x="0" y="62"/>
              </a:lnTo>
              <a:lnTo>
                <a:pt x="0" y="3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314325</xdr:colOff>
      <xdr:row>10</xdr:row>
      <xdr:rowOff>85725</xdr:rowOff>
    </xdr:from>
    <xdr:to>
      <xdr:col>13</xdr:col>
      <xdr:colOff>323850</xdr:colOff>
      <xdr:row>10</xdr:row>
      <xdr:rowOff>104775</xdr:rowOff>
    </xdr:to>
    <xdr:sp macro="" textlink="">
      <xdr:nvSpPr>
        <xdr:cNvPr id="13855" name="Freeform 1439">
          <a:extLst>
            <a:ext uri="{FF2B5EF4-FFF2-40B4-BE49-F238E27FC236}">
              <a16:creationId xmlns:a16="http://schemas.microsoft.com/office/drawing/2014/main" id="{00000000-0008-0000-0700-00001F360000}"/>
            </a:ext>
          </a:extLst>
        </xdr:cNvPr>
        <xdr:cNvSpPr>
          <a:spLocks/>
        </xdr:cNvSpPr>
      </xdr:nvSpPr>
      <xdr:spPr bwMode="auto">
        <a:xfrm>
          <a:off x="8486775" y="2124075"/>
          <a:ext cx="9525" cy="19050"/>
        </a:xfrm>
        <a:custGeom>
          <a:avLst/>
          <a:gdLst>
            <a:gd name="T0" fmla="*/ 0 w 31"/>
            <a:gd name="T1" fmla="*/ 0 h 62"/>
            <a:gd name="T2" fmla="*/ 0 w 31"/>
            <a:gd name="T3" fmla="*/ 0 h 62"/>
            <a:gd name="T4" fmla="*/ 0 w 31"/>
            <a:gd name="T5" fmla="*/ 0 h 62"/>
            <a:gd name="T6" fmla="*/ 0 w 31"/>
            <a:gd name="T7" fmla="*/ 0 h 62"/>
            <a:gd name="T8" fmla="*/ 0 w 31"/>
            <a:gd name="T9" fmla="*/ 0 h 62"/>
            <a:gd name="T10" fmla="*/ 0 w 31"/>
            <a:gd name="T11" fmla="*/ 0 h 62"/>
            <a:gd name="T12" fmla="*/ 0 w 31"/>
            <a:gd name="T13" fmla="*/ 0 h 62"/>
            <a:gd name="T14" fmla="*/ 0 w 31"/>
            <a:gd name="T15" fmla="*/ 0 h 62"/>
            <a:gd name="T16" fmla="*/ 0 w 31"/>
            <a:gd name="T17" fmla="*/ 0 h 62"/>
            <a:gd name="T18" fmla="*/ 0 w 31"/>
            <a:gd name="T19" fmla="*/ 0 h 62"/>
            <a:gd name="T20" fmla="*/ 0 w 31"/>
            <a:gd name="T21" fmla="*/ 0 h 62"/>
            <a:gd name="T22" fmla="*/ 0 w 31"/>
            <a:gd name="T23" fmla="*/ 0 h 6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1"/>
            <a:gd name="T37" fmla="*/ 0 h 62"/>
            <a:gd name="T38" fmla="*/ 31 w 31"/>
            <a:gd name="T39" fmla="*/ 62 h 6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1" h="62">
              <a:moveTo>
                <a:pt x="0" y="0"/>
              </a:moveTo>
              <a:lnTo>
                <a:pt x="9" y="2"/>
              </a:lnTo>
              <a:lnTo>
                <a:pt x="17" y="5"/>
              </a:lnTo>
              <a:lnTo>
                <a:pt x="23" y="12"/>
              </a:lnTo>
              <a:lnTo>
                <a:pt x="29" y="19"/>
              </a:lnTo>
              <a:lnTo>
                <a:pt x="31" y="27"/>
              </a:lnTo>
              <a:lnTo>
                <a:pt x="31" y="36"/>
              </a:lnTo>
              <a:lnTo>
                <a:pt x="29" y="44"/>
              </a:lnTo>
              <a:lnTo>
                <a:pt x="23" y="52"/>
              </a:lnTo>
              <a:lnTo>
                <a:pt x="17" y="58"/>
              </a:lnTo>
              <a:lnTo>
                <a:pt x="9" y="61"/>
              </a:lnTo>
              <a:lnTo>
                <a:pt x="0" y="6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361950</xdr:colOff>
      <xdr:row>10</xdr:row>
      <xdr:rowOff>85725</xdr:rowOff>
    </xdr:from>
    <xdr:to>
      <xdr:col>13</xdr:col>
      <xdr:colOff>371475</xdr:colOff>
      <xdr:row>10</xdr:row>
      <xdr:rowOff>104775</xdr:rowOff>
    </xdr:to>
    <xdr:sp macro="" textlink="">
      <xdr:nvSpPr>
        <xdr:cNvPr id="13856" name="Freeform 1440">
          <a:extLst>
            <a:ext uri="{FF2B5EF4-FFF2-40B4-BE49-F238E27FC236}">
              <a16:creationId xmlns:a16="http://schemas.microsoft.com/office/drawing/2014/main" id="{00000000-0008-0000-0700-000020360000}"/>
            </a:ext>
          </a:extLst>
        </xdr:cNvPr>
        <xdr:cNvSpPr>
          <a:spLocks/>
        </xdr:cNvSpPr>
      </xdr:nvSpPr>
      <xdr:spPr bwMode="auto">
        <a:xfrm>
          <a:off x="8534400" y="2124075"/>
          <a:ext cx="9525" cy="19050"/>
        </a:xfrm>
        <a:custGeom>
          <a:avLst/>
          <a:gdLst>
            <a:gd name="T0" fmla="*/ 0 w 31"/>
            <a:gd name="T1" fmla="*/ 0 h 62"/>
            <a:gd name="T2" fmla="*/ 0 w 31"/>
            <a:gd name="T3" fmla="*/ 0 h 62"/>
            <a:gd name="T4" fmla="*/ 0 w 31"/>
            <a:gd name="T5" fmla="*/ 0 h 62"/>
            <a:gd name="T6" fmla="*/ 0 w 31"/>
            <a:gd name="T7" fmla="*/ 0 h 62"/>
            <a:gd name="T8" fmla="*/ 0 w 31"/>
            <a:gd name="T9" fmla="*/ 0 h 62"/>
            <a:gd name="T10" fmla="*/ 0 w 31"/>
            <a:gd name="T11" fmla="*/ 0 h 62"/>
            <a:gd name="T12" fmla="*/ 0 w 31"/>
            <a:gd name="T13" fmla="*/ 0 h 62"/>
            <a:gd name="T14" fmla="*/ 0 w 31"/>
            <a:gd name="T15" fmla="*/ 0 h 62"/>
            <a:gd name="T16" fmla="*/ 0 w 31"/>
            <a:gd name="T17" fmla="*/ 0 h 62"/>
            <a:gd name="T18" fmla="*/ 0 w 31"/>
            <a:gd name="T19" fmla="*/ 0 h 62"/>
            <a:gd name="T20" fmla="*/ 0 w 31"/>
            <a:gd name="T21" fmla="*/ 0 h 62"/>
            <a:gd name="T22" fmla="*/ 0 w 31"/>
            <a:gd name="T23" fmla="*/ 0 h 62"/>
            <a:gd name="T24" fmla="*/ 0 w 31"/>
            <a:gd name="T25" fmla="*/ 0 h 62"/>
            <a:gd name="T26" fmla="*/ 0 w 31"/>
            <a:gd name="T27" fmla="*/ 0 h 6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1"/>
            <a:gd name="T43" fmla="*/ 0 h 62"/>
            <a:gd name="T44" fmla="*/ 31 w 31"/>
            <a:gd name="T45" fmla="*/ 62 h 6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1" h="62">
              <a:moveTo>
                <a:pt x="31" y="32"/>
              </a:moveTo>
              <a:lnTo>
                <a:pt x="31" y="62"/>
              </a:lnTo>
              <a:lnTo>
                <a:pt x="22" y="61"/>
              </a:lnTo>
              <a:lnTo>
                <a:pt x="14" y="58"/>
              </a:lnTo>
              <a:lnTo>
                <a:pt x="8" y="52"/>
              </a:lnTo>
              <a:lnTo>
                <a:pt x="2" y="44"/>
              </a:lnTo>
              <a:lnTo>
                <a:pt x="0" y="36"/>
              </a:lnTo>
              <a:lnTo>
                <a:pt x="0" y="27"/>
              </a:lnTo>
              <a:lnTo>
                <a:pt x="2" y="19"/>
              </a:lnTo>
              <a:lnTo>
                <a:pt x="8" y="12"/>
              </a:lnTo>
              <a:lnTo>
                <a:pt x="14" y="5"/>
              </a:lnTo>
              <a:lnTo>
                <a:pt x="22" y="2"/>
              </a:lnTo>
              <a:lnTo>
                <a:pt x="31" y="0"/>
              </a:lnTo>
              <a:lnTo>
                <a:pt x="31" y="3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361950</xdr:colOff>
      <xdr:row>10</xdr:row>
      <xdr:rowOff>85725</xdr:rowOff>
    </xdr:from>
    <xdr:to>
      <xdr:col>13</xdr:col>
      <xdr:colOff>371475</xdr:colOff>
      <xdr:row>10</xdr:row>
      <xdr:rowOff>104775</xdr:rowOff>
    </xdr:to>
    <xdr:sp macro="" textlink="">
      <xdr:nvSpPr>
        <xdr:cNvPr id="13857" name="Freeform 1441">
          <a:extLst>
            <a:ext uri="{FF2B5EF4-FFF2-40B4-BE49-F238E27FC236}">
              <a16:creationId xmlns:a16="http://schemas.microsoft.com/office/drawing/2014/main" id="{00000000-0008-0000-0700-000021360000}"/>
            </a:ext>
          </a:extLst>
        </xdr:cNvPr>
        <xdr:cNvSpPr>
          <a:spLocks/>
        </xdr:cNvSpPr>
      </xdr:nvSpPr>
      <xdr:spPr bwMode="auto">
        <a:xfrm>
          <a:off x="8534400" y="2124075"/>
          <a:ext cx="9525" cy="19050"/>
        </a:xfrm>
        <a:custGeom>
          <a:avLst/>
          <a:gdLst>
            <a:gd name="T0" fmla="*/ 0 w 31"/>
            <a:gd name="T1" fmla="*/ 0 h 62"/>
            <a:gd name="T2" fmla="*/ 0 w 31"/>
            <a:gd name="T3" fmla="*/ 0 h 62"/>
            <a:gd name="T4" fmla="*/ 0 w 31"/>
            <a:gd name="T5" fmla="*/ 0 h 62"/>
            <a:gd name="T6" fmla="*/ 0 w 31"/>
            <a:gd name="T7" fmla="*/ 0 h 62"/>
            <a:gd name="T8" fmla="*/ 0 w 31"/>
            <a:gd name="T9" fmla="*/ 0 h 62"/>
            <a:gd name="T10" fmla="*/ 0 w 31"/>
            <a:gd name="T11" fmla="*/ 0 h 62"/>
            <a:gd name="T12" fmla="*/ 0 w 31"/>
            <a:gd name="T13" fmla="*/ 0 h 62"/>
            <a:gd name="T14" fmla="*/ 0 w 31"/>
            <a:gd name="T15" fmla="*/ 0 h 62"/>
            <a:gd name="T16" fmla="*/ 0 w 31"/>
            <a:gd name="T17" fmla="*/ 0 h 62"/>
            <a:gd name="T18" fmla="*/ 0 w 31"/>
            <a:gd name="T19" fmla="*/ 0 h 62"/>
            <a:gd name="T20" fmla="*/ 0 w 31"/>
            <a:gd name="T21" fmla="*/ 0 h 62"/>
            <a:gd name="T22" fmla="*/ 0 w 31"/>
            <a:gd name="T23" fmla="*/ 0 h 6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1"/>
            <a:gd name="T37" fmla="*/ 0 h 62"/>
            <a:gd name="T38" fmla="*/ 31 w 31"/>
            <a:gd name="T39" fmla="*/ 62 h 6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1" h="62">
              <a:moveTo>
                <a:pt x="31" y="62"/>
              </a:moveTo>
              <a:lnTo>
                <a:pt x="22" y="61"/>
              </a:lnTo>
              <a:lnTo>
                <a:pt x="14" y="58"/>
              </a:lnTo>
              <a:lnTo>
                <a:pt x="8" y="52"/>
              </a:lnTo>
              <a:lnTo>
                <a:pt x="2" y="44"/>
              </a:lnTo>
              <a:lnTo>
                <a:pt x="0" y="36"/>
              </a:lnTo>
              <a:lnTo>
                <a:pt x="0" y="27"/>
              </a:lnTo>
              <a:lnTo>
                <a:pt x="2" y="19"/>
              </a:lnTo>
              <a:lnTo>
                <a:pt x="8" y="12"/>
              </a:lnTo>
              <a:lnTo>
                <a:pt x="14" y="5"/>
              </a:lnTo>
              <a:lnTo>
                <a:pt x="22" y="2"/>
              </a:lnTo>
              <a:lnTo>
                <a:pt x="3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371475</xdr:colOff>
      <xdr:row>10</xdr:row>
      <xdr:rowOff>85725</xdr:rowOff>
    </xdr:from>
    <xdr:to>
      <xdr:col>14</xdr:col>
      <xdr:colOff>104775</xdr:colOff>
      <xdr:row>10</xdr:row>
      <xdr:rowOff>114300</xdr:rowOff>
    </xdr:to>
    <xdr:sp macro="" textlink="">
      <xdr:nvSpPr>
        <xdr:cNvPr id="13858" name="Freeform 1442">
          <a:extLst>
            <a:ext uri="{FF2B5EF4-FFF2-40B4-BE49-F238E27FC236}">
              <a16:creationId xmlns:a16="http://schemas.microsoft.com/office/drawing/2014/main" id="{00000000-0008-0000-0700-000022360000}"/>
            </a:ext>
          </a:extLst>
        </xdr:cNvPr>
        <xdr:cNvSpPr>
          <a:spLocks/>
        </xdr:cNvSpPr>
      </xdr:nvSpPr>
      <xdr:spPr bwMode="auto">
        <a:xfrm>
          <a:off x="8543925" y="2124075"/>
          <a:ext cx="266700" cy="28575"/>
        </a:xfrm>
        <a:custGeom>
          <a:avLst/>
          <a:gdLst>
            <a:gd name="T0" fmla="*/ 0 w 1115"/>
            <a:gd name="T1" fmla="*/ 0 h 62"/>
            <a:gd name="T2" fmla="*/ 0 w 1115"/>
            <a:gd name="T3" fmla="*/ 0 h 62"/>
            <a:gd name="T4" fmla="*/ 0 w 1115"/>
            <a:gd name="T5" fmla="*/ 0 h 62"/>
            <a:gd name="T6" fmla="*/ 2147483647 w 1115"/>
            <a:gd name="T7" fmla="*/ 0 h 62"/>
            <a:gd name="T8" fmla="*/ 2147483647 w 1115"/>
            <a:gd name="T9" fmla="*/ 0 h 62"/>
            <a:gd name="T10" fmla="*/ 2147483647 w 1115"/>
            <a:gd name="T11" fmla="*/ 0 h 62"/>
            <a:gd name="T12" fmla="*/ 0 w 1115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115"/>
            <a:gd name="T22" fmla="*/ 0 h 62"/>
            <a:gd name="T23" fmla="*/ 1115 w 1115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115" h="62">
              <a:moveTo>
                <a:pt x="0" y="0"/>
              </a:moveTo>
              <a:lnTo>
                <a:pt x="0" y="32"/>
              </a:lnTo>
              <a:lnTo>
                <a:pt x="0" y="62"/>
              </a:lnTo>
              <a:lnTo>
                <a:pt x="1115" y="62"/>
              </a:lnTo>
              <a:lnTo>
                <a:pt x="1115" y="32"/>
              </a:lnTo>
              <a:lnTo>
                <a:pt x="1115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371475</xdr:colOff>
      <xdr:row>10</xdr:row>
      <xdr:rowOff>85725</xdr:rowOff>
    </xdr:from>
    <xdr:to>
      <xdr:col>14</xdr:col>
      <xdr:colOff>104775</xdr:colOff>
      <xdr:row>10</xdr:row>
      <xdr:rowOff>114300</xdr:rowOff>
    </xdr:to>
    <xdr:sp macro="" textlink="">
      <xdr:nvSpPr>
        <xdr:cNvPr id="13859" name="Freeform 1443">
          <a:extLst>
            <a:ext uri="{FF2B5EF4-FFF2-40B4-BE49-F238E27FC236}">
              <a16:creationId xmlns:a16="http://schemas.microsoft.com/office/drawing/2014/main" id="{00000000-0008-0000-0700-000023360000}"/>
            </a:ext>
          </a:extLst>
        </xdr:cNvPr>
        <xdr:cNvSpPr>
          <a:spLocks/>
        </xdr:cNvSpPr>
      </xdr:nvSpPr>
      <xdr:spPr bwMode="auto">
        <a:xfrm>
          <a:off x="8543925" y="2124075"/>
          <a:ext cx="266700" cy="28575"/>
        </a:xfrm>
        <a:custGeom>
          <a:avLst/>
          <a:gdLst>
            <a:gd name="T0" fmla="*/ 0 w 1115"/>
            <a:gd name="T1" fmla="*/ 0 h 62"/>
            <a:gd name="T2" fmla="*/ 0 w 1115"/>
            <a:gd name="T3" fmla="*/ 0 h 62"/>
            <a:gd name="T4" fmla="*/ 0 w 1115"/>
            <a:gd name="T5" fmla="*/ 0 h 62"/>
            <a:gd name="T6" fmla="*/ 2147483647 w 1115"/>
            <a:gd name="T7" fmla="*/ 0 h 62"/>
            <a:gd name="T8" fmla="*/ 2147483647 w 1115"/>
            <a:gd name="T9" fmla="*/ 0 h 62"/>
            <a:gd name="T10" fmla="*/ 2147483647 w 1115"/>
            <a:gd name="T11" fmla="*/ 0 h 62"/>
            <a:gd name="T12" fmla="*/ 0 w 1115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115"/>
            <a:gd name="T22" fmla="*/ 0 h 62"/>
            <a:gd name="T23" fmla="*/ 1115 w 1115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115" h="62">
              <a:moveTo>
                <a:pt x="0" y="0"/>
              </a:moveTo>
              <a:lnTo>
                <a:pt x="0" y="32"/>
              </a:lnTo>
              <a:lnTo>
                <a:pt x="0" y="62"/>
              </a:lnTo>
              <a:lnTo>
                <a:pt x="1115" y="62"/>
              </a:lnTo>
              <a:lnTo>
                <a:pt x="1115" y="32"/>
              </a:lnTo>
              <a:lnTo>
                <a:pt x="1115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104775</xdr:colOff>
      <xdr:row>10</xdr:row>
      <xdr:rowOff>85725</xdr:rowOff>
    </xdr:from>
    <xdr:to>
      <xdr:col>14</xdr:col>
      <xdr:colOff>104775</xdr:colOff>
      <xdr:row>10</xdr:row>
      <xdr:rowOff>104775</xdr:rowOff>
    </xdr:to>
    <xdr:sp macro="" textlink="">
      <xdr:nvSpPr>
        <xdr:cNvPr id="13860" name="Freeform 1444">
          <a:extLst>
            <a:ext uri="{FF2B5EF4-FFF2-40B4-BE49-F238E27FC236}">
              <a16:creationId xmlns:a16="http://schemas.microsoft.com/office/drawing/2014/main" id="{00000000-0008-0000-0700-000024360000}"/>
            </a:ext>
          </a:extLst>
        </xdr:cNvPr>
        <xdr:cNvSpPr>
          <a:spLocks/>
        </xdr:cNvSpPr>
      </xdr:nvSpPr>
      <xdr:spPr bwMode="auto">
        <a:xfrm>
          <a:off x="8810625" y="2124075"/>
          <a:ext cx="0" cy="19050"/>
        </a:xfrm>
        <a:custGeom>
          <a:avLst/>
          <a:gdLst>
            <a:gd name="T0" fmla="*/ 0 w 30"/>
            <a:gd name="T1" fmla="*/ 0 h 62"/>
            <a:gd name="T2" fmla="*/ 0 w 30"/>
            <a:gd name="T3" fmla="*/ 0 h 62"/>
            <a:gd name="T4" fmla="*/ 0 w 30"/>
            <a:gd name="T5" fmla="*/ 0 h 62"/>
            <a:gd name="T6" fmla="*/ 0 w 30"/>
            <a:gd name="T7" fmla="*/ 0 h 62"/>
            <a:gd name="T8" fmla="*/ 0 w 30"/>
            <a:gd name="T9" fmla="*/ 0 h 62"/>
            <a:gd name="T10" fmla="*/ 0 w 30"/>
            <a:gd name="T11" fmla="*/ 0 h 62"/>
            <a:gd name="T12" fmla="*/ 0 w 30"/>
            <a:gd name="T13" fmla="*/ 0 h 62"/>
            <a:gd name="T14" fmla="*/ 0 w 30"/>
            <a:gd name="T15" fmla="*/ 0 h 62"/>
            <a:gd name="T16" fmla="*/ 0 w 30"/>
            <a:gd name="T17" fmla="*/ 0 h 62"/>
            <a:gd name="T18" fmla="*/ 0 w 30"/>
            <a:gd name="T19" fmla="*/ 0 h 62"/>
            <a:gd name="T20" fmla="*/ 0 w 30"/>
            <a:gd name="T21" fmla="*/ 0 h 62"/>
            <a:gd name="T22" fmla="*/ 0 w 30"/>
            <a:gd name="T23" fmla="*/ 0 h 62"/>
            <a:gd name="T24" fmla="*/ 0 w 30"/>
            <a:gd name="T25" fmla="*/ 0 h 62"/>
            <a:gd name="T26" fmla="*/ 0 w 30"/>
            <a:gd name="T27" fmla="*/ 0 h 6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0"/>
            <a:gd name="T43" fmla="*/ 0 h 62"/>
            <a:gd name="T44" fmla="*/ 0 w 30"/>
            <a:gd name="T45" fmla="*/ 62 h 6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0" h="62">
              <a:moveTo>
                <a:pt x="0" y="32"/>
              </a:moveTo>
              <a:lnTo>
                <a:pt x="0" y="0"/>
              </a:lnTo>
              <a:lnTo>
                <a:pt x="8" y="2"/>
              </a:lnTo>
              <a:lnTo>
                <a:pt x="17" y="5"/>
              </a:lnTo>
              <a:lnTo>
                <a:pt x="23" y="12"/>
              </a:lnTo>
              <a:lnTo>
                <a:pt x="28" y="19"/>
              </a:lnTo>
              <a:lnTo>
                <a:pt x="30" y="27"/>
              </a:lnTo>
              <a:lnTo>
                <a:pt x="30" y="36"/>
              </a:lnTo>
              <a:lnTo>
                <a:pt x="28" y="44"/>
              </a:lnTo>
              <a:lnTo>
                <a:pt x="23" y="52"/>
              </a:lnTo>
              <a:lnTo>
                <a:pt x="17" y="58"/>
              </a:lnTo>
              <a:lnTo>
                <a:pt x="8" y="61"/>
              </a:lnTo>
              <a:lnTo>
                <a:pt x="0" y="62"/>
              </a:lnTo>
              <a:lnTo>
                <a:pt x="0" y="3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104775</xdr:colOff>
      <xdr:row>10</xdr:row>
      <xdr:rowOff>85725</xdr:rowOff>
    </xdr:from>
    <xdr:to>
      <xdr:col>14</xdr:col>
      <xdr:colOff>104775</xdr:colOff>
      <xdr:row>10</xdr:row>
      <xdr:rowOff>104775</xdr:rowOff>
    </xdr:to>
    <xdr:sp macro="" textlink="">
      <xdr:nvSpPr>
        <xdr:cNvPr id="13861" name="Freeform 1445">
          <a:extLst>
            <a:ext uri="{FF2B5EF4-FFF2-40B4-BE49-F238E27FC236}">
              <a16:creationId xmlns:a16="http://schemas.microsoft.com/office/drawing/2014/main" id="{00000000-0008-0000-0700-000025360000}"/>
            </a:ext>
          </a:extLst>
        </xdr:cNvPr>
        <xdr:cNvSpPr>
          <a:spLocks/>
        </xdr:cNvSpPr>
      </xdr:nvSpPr>
      <xdr:spPr bwMode="auto">
        <a:xfrm>
          <a:off x="8810625" y="2124075"/>
          <a:ext cx="0" cy="19050"/>
        </a:xfrm>
        <a:custGeom>
          <a:avLst/>
          <a:gdLst>
            <a:gd name="T0" fmla="*/ 0 w 30"/>
            <a:gd name="T1" fmla="*/ 0 h 62"/>
            <a:gd name="T2" fmla="*/ 0 w 30"/>
            <a:gd name="T3" fmla="*/ 0 h 62"/>
            <a:gd name="T4" fmla="*/ 0 w 30"/>
            <a:gd name="T5" fmla="*/ 0 h 62"/>
            <a:gd name="T6" fmla="*/ 0 w 30"/>
            <a:gd name="T7" fmla="*/ 0 h 62"/>
            <a:gd name="T8" fmla="*/ 0 w 30"/>
            <a:gd name="T9" fmla="*/ 0 h 62"/>
            <a:gd name="T10" fmla="*/ 0 w 30"/>
            <a:gd name="T11" fmla="*/ 0 h 62"/>
            <a:gd name="T12" fmla="*/ 0 w 30"/>
            <a:gd name="T13" fmla="*/ 0 h 62"/>
            <a:gd name="T14" fmla="*/ 0 w 30"/>
            <a:gd name="T15" fmla="*/ 0 h 62"/>
            <a:gd name="T16" fmla="*/ 0 w 30"/>
            <a:gd name="T17" fmla="*/ 0 h 62"/>
            <a:gd name="T18" fmla="*/ 0 w 30"/>
            <a:gd name="T19" fmla="*/ 0 h 62"/>
            <a:gd name="T20" fmla="*/ 0 w 30"/>
            <a:gd name="T21" fmla="*/ 0 h 62"/>
            <a:gd name="T22" fmla="*/ 0 w 30"/>
            <a:gd name="T23" fmla="*/ 0 h 6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0"/>
            <a:gd name="T37" fmla="*/ 0 h 62"/>
            <a:gd name="T38" fmla="*/ 0 w 30"/>
            <a:gd name="T39" fmla="*/ 62 h 6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0" h="62">
              <a:moveTo>
                <a:pt x="0" y="0"/>
              </a:moveTo>
              <a:lnTo>
                <a:pt x="8" y="2"/>
              </a:lnTo>
              <a:lnTo>
                <a:pt x="17" y="5"/>
              </a:lnTo>
              <a:lnTo>
                <a:pt x="23" y="12"/>
              </a:lnTo>
              <a:lnTo>
                <a:pt x="28" y="19"/>
              </a:lnTo>
              <a:lnTo>
                <a:pt x="30" y="27"/>
              </a:lnTo>
              <a:lnTo>
                <a:pt x="30" y="36"/>
              </a:lnTo>
              <a:lnTo>
                <a:pt x="28" y="44"/>
              </a:lnTo>
              <a:lnTo>
                <a:pt x="23" y="52"/>
              </a:lnTo>
              <a:lnTo>
                <a:pt x="17" y="58"/>
              </a:lnTo>
              <a:lnTo>
                <a:pt x="8" y="61"/>
              </a:lnTo>
              <a:lnTo>
                <a:pt x="0" y="6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142875</xdr:colOff>
      <xdr:row>10</xdr:row>
      <xdr:rowOff>85725</xdr:rowOff>
    </xdr:from>
    <xdr:to>
      <xdr:col>14</xdr:col>
      <xdr:colOff>152400</xdr:colOff>
      <xdr:row>10</xdr:row>
      <xdr:rowOff>104775</xdr:rowOff>
    </xdr:to>
    <xdr:sp macro="" textlink="">
      <xdr:nvSpPr>
        <xdr:cNvPr id="13862" name="Freeform 1446">
          <a:extLst>
            <a:ext uri="{FF2B5EF4-FFF2-40B4-BE49-F238E27FC236}">
              <a16:creationId xmlns:a16="http://schemas.microsoft.com/office/drawing/2014/main" id="{00000000-0008-0000-0700-000026360000}"/>
            </a:ext>
          </a:extLst>
        </xdr:cNvPr>
        <xdr:cNvSpPr>
          <a:spLocks/>
        </xdr:cNvSpPr>
      </xdr:nvSpPr>
      <xdr:spPr bwMode="auto">
        <a:xfrm>
          <a:off x="8848725" y="2124075"/>
          <a:ext cx="9525" cy="19050"/>
        </a:xfrm>
        <a:custGeom>
          <a:avLst/>
          <a:gdLst>
            <a:gd name="T0" fmla="*/ 0 w 30"/>
            <a:gd name="T1" fmla="*/ 0 h 62"/>
            <a:gd name="T2" fmla="*/ 0 w 30"/>
            <a:gd name="T3" fmla="*/ 0 h 62"/>
            <a:gd name="T4" fmla="*/ 0 w 30"/>
            <a:gd name="T5" fmla="*/ 0 h 62"/>
            <a:gd name="T6" fmla="*/ 0 w 30"/>
            <a:gd name="T7" fmla="*/ 0 h 62"/>
            <a:gd name="T8" fmla="*/ 0 w 30"/>
            <a:gd name="T9" fmla="*/ 0 h 62"/>
            <a:gd name="T10" fmla="*/ 0 w 30"/>
            <a:gd name="T11" fmla="*/ 0 h 62"/>
            <a:gd name="T12" fmla="*/ 0 w 30"/>
            <a:gd name="T13" fmla="*/ 0 h 62"/>
            <a:gd name="T14" fmla="*/ 0 w 30"/>
            <a:gd name="T15" fmla="*/ 0 h 62"/>
            <a:gd name="T16" fmla="*/ 0 w 30"/>
            <a:gd name="T17" fmla="*/ 0 h 62"/>
            <a:gd name="T18" fmla="*/ 0 w 30"/>
            <a:gd name="T19" fmla="*/ 0 h 62"/>
            <a:gd name="T20" fmla="*/ 0 w 30"/>
            <a:gd name="T21" fmla="*/ 0 h 62"/>
            <a:gd name="T22" fmla="*/ 0 w 30"/>
            <a:gd name="T23" fmla="*/ 0 h 62"/>
            <a:gd name="T24" fmla="*/ 0 w 30"/>
            <a:gd name="T25" fmla="*/ 0 h 62"/>
            <a:gd name="T26" fmla="*/ 0 w 30"/>
            <a:gd name="T27" fmla="*/ 0 h 6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0"/>
            <a:gd name="T43" fmla="*/ 0 h 62"/>
            <a:gd name="T44" fmla="*/ 30 w 30"/>
            <a:gd name="T45" fmla="*/ 62 h 6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0" h="62">
              <a:moveTo>
                <a:pt x="30" y="32"/>
              </a:moveTo>
              <a:lnTo>
                <a:pt x="30" y="62"/>
              </a:lnTo>
              <a:lnTo>
                <a:pt x="22" y="61"/>
              </a:lnTo>
              <a:lnTo>
                <a:pt x="13" y="58"/>
              </a:lnTo>
              <a:lnTo>
                <a:pt x="7" y="52"/>
              </a:lnTo>
              <a:lnTo>
                <a:pt x="2" y="44"/>
              </a:lnTo>
              <a:lnTo>
                <a:pt x="0" y="36"/>
              </a:lnTo>
              <a:lnTo>
                <a:pt x="0" y="27"/>
              </a:lnTo>
              <a:lnTo>
                <a:pt x="2" y="19"/>
              </a:lnTo>
              <a:lnTo>
                <a:pt x="7" y="12"/>
              </a:lnTo>
              <a:lnTo>
                <a:pt x="13" y="5"/>
              </a:lnTo>
              <a:lnTo>
                <a:pt x="22" y="2"/>
              </a:lnTo>
              <a:lnTo>
                <a:pt x="30" y="0"/>
              </a:lnTo>
              <a:lnTo>
                <a:pt x="30" y="3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142875</xdr:colOff>
      <xdr:row>10</xdr:row>
      <xdr:rowOff>85725</xdr:rowOff>
    </xdr:from>
    <xdr:to>
      <xdr:col>14</xdr:col>
      <xdr:colOff>152400</xdr:colOff>
      <xdr:row>10</xdr:row>
      <xdr:rowOff>104775</xdr:rowOff>
    </xdr:to>
    <xdr:sp macro="" textlink="">
      <xdr:nvSpPr>
        <xdr:cNvPr id="13863" name="Freeform 1447">
          <a:extLst>
            <a:ext uri="{FF2B5EF4-FFF2-40B4-BE49-F238E27FC236}">
              <a16:creationId xmlns:a16="http://schemas.microsoft.com/office/drawing/2014/main" id="{00000000-0008-0000-0700-000027360000}"/>
            </a:ext>
          </a:extLst>
        </xdr:cNvPr>
        <xdr:cNvSpPr>
          <a:spLocks/>
        </xdr:cNvSpPr>
      </xdr:nvSpPr>
      <xdr:spPr bwMode="auto">
        <a:xfrm>
          <a:off x="8848725" y="2124075"/>
          <a:ext cx="9525" cy="19050"/>
        </a:xfrm>
        <a:custGeom>
          <a:avLst/>
          <a:gdLst>
            <a:gd name="T0" fmla="*/ 0 w 30"/>
            <a:gd name="T1" fmla="*/ 0 h 62"/>
            <a:gd name="T2" fmla="*/ 0 w 30"/>
            <a:gd name="T3" fmla="*/ 0 h 62"/>
            <a:gd name="T4" fmla="*/ 0 w 30"/>
            <a:gd name="T5" fmla="*/ 0 h 62"/>
            <a:gd name="T6" fmla="*/ 0 w 30"/>
            <a:gd name="T7" fmla="*/ 0 h 62"/>
            <a:gd name="T8" fmla="*/ 0 w 30"/>
            <a:gd name="T9" fmla="*/ 0 h 62"/>
            <a:gd name="T10" fmla="*/ 0 w 30"/>
            <a:gd name="T11" fmla="*/ 0 h 62"/>
            <a:gd name="T12" fmla="*/ 0 w 30"/>
            <a:gd name="T13" fmla="*/ 0 h 62"/>
            <a:gd name="T14" fmla="*/ 0 w 30"/>
            <a:gd name="T15" fmla="*/ 0 h 62"/>
            <a:gd name="T16" fmla="*/ 0 w 30"/>
            <a:gd name="T17" fmla="*/ 0 h 62"/>
            <a:gd name="T18" fmla="*/ 0 w 30"/>
            <a:gd name="T19" fmla="*/ 0 h 62"/>
            <a:gd name="T20" fmla="*/ 0 w 30"/>
            <a:gd name="T21" fmla="*/ 0 h 62"/>
            <a:gd name="T22" fmla="*/ 0 w 30"/>
            <a:gd name="T23" fmla="*/ 0 h 6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0"/>
            <a:gd name="T37" fmla="*/ 0 h 62"/>
            <a:gd name="T38" fmla="*/ 30 w 30"/>
            <a:gd name="T39" fmla="*/ 62 h 6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0" h="62">
              <a:moveTo>
                <a:pt x="30" y="62"/>
              </a:moveTo>
              <a:lnTo>
                <a:pt x="22" y="61"/>
              </a:lnTo>
              <a:lnTo>
                <a:pt x="13" y="58"/>
              </a:lnTo>
              <a:lnTo>
                <a:pt x="7" y="52"/>
              </a:lnTo>
              <a:lnTo>
                <a:pt x="2" y="44"/>
              </a:lnTo>
              <a:lnTo>
                <a:pt x="0" y="36"/>
              </a:lnTo>
              <a:lnTo>
                <a:pt x="0" y="27"/>
              </a:lnTo>
              <a:lnTo>
                <a:pt x="2" y="19"/>
              </a:lnTo>
              <a:lnTo>
                <a:pt x="7" y="12"/>
              </a:lnTo>
              <a:lnTo>
                <a:pt x="13" y="5"/>
              </a:lnTo>
              <a:lnTo>
                <a:pt x="22" y="2"/>
              </a:lnTo>
              <a:lnTo>
                <a:pt x="3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152400</xdr:colOff>
      <xdr:row>10</xdr:row>
      <xdr:rowOff>85725</xdr:rowOff>
    </xdr:from>
    <xdr:to>
      <xdr:col>14</xdr:col>
      <xdr:colOff>304800</xdr:colOff>
      <xdr:row>10</xdr:row>
      <xdr:rowOff>104775</xdr:rowOff>
    </xdr:to>
    <xdr:sp macro="" textlink="">
      <xdr:nvSpPr>
        <xdr:cNvPr id="13864" name="Freeform 1448">
          <a:extLst>
            <a:ext uri="{FF2B5EF4-FFF2-40B4-BE49-F238E27FC236}">
              <a16:creationId xmlns:a16="http://schemas.microsoft.com/office/drawing/2014/main" id="{00000000-0008-0000-0700-000028360000}"/>
            </a:ext>
          </a:extLst>
        </xdr:cNvPr>
        <xdr:cNvSpPr>
          <a:spLocks/>
        </xdr:cNvSpPr>
      </xdr:nvSpPr>
      <xdr:spPr bwMode="auto">
        <a:xfrm>
          <a:off x="8858250" y="2124075"/>
          <a:ext cx="152400" cy="19050"/>
        </a:xfrm>
        <a:custGeom>
          <a:avLst/>
          <a:gdLst>
            <a:gd name="T0" fmla="*/ 0 w 877"/>
            <a:gd name="T1" fmla="*/ 0 h 62"/>
            <a:gd name="T2" fmla="*/ 0 w 877"/>
            <a:gd name="T3" fmla="*/ 0 h 62"/>
            <a:gd name="T4" fmla="*/ 0 w 877"/>
            <a:gd name="T5" fmla="*/ 0 h 62"/>
            <a:gd name="T6" fmla="*/ 0 w 877"/>
            <a:gd name="T7" fmla="*/ 0 h 62"/>
            <a:gd name="T8" fmla="*/ 0 w 877"/>
            <a:gd name="T9" fmla="*/ 0 h 62"/>
            <a:gd name="T10" fmla="*/ 0 w 877"/>
            <a:gd name="T11" fmla="*/ 0 h 62"/>
            <a:gd name="T12" fmla="*/ 0 w 877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77"/>
            <a:gd name="T22" fmla="*/ 0 h 62"/>
            <a:gd name="T23" fmla="*/ 877 w 877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77" h="62">
              <a:moveTo>
                <a:pt x="0" y="0"/>
              </a:moveTo>
              <a:lnTo>
                <a:pt x="0" y="32"/>
              </a:lnTo>
              <a:lnTo>
                <a:pt x="0" y="62"/>
              </a:lnTo>
              <a:lnTo>
                <a:pt x="877" y="62"/>
              </a:lnTo>
              <a:lnTo>
                <a:pt x="877" y="32"/>
              </a:lnTo>
              <a:lnTo>
                <a:pt x="87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152400</xdr:colOff>
      <xdr:row>10</xdr:row>
      <xdr:rowOff>85725</xdr:rowOff>
    </xdr:from>
    <xdr:to>
      <xdr:col>14</xdr:col>
      <xdr:colOff>304800</xdr:colOff>
      <xdr:row>10</xdr:row>
      <xdr:rowOff>104775</xdr:rowOff>
    </xdr:to>
    <xdr:sp macro="" textlink="">
      <xdr:nvSpPr>
        <xdr:cNvPr id="13865" name="Freeform 1449">
          <a:extLst>
            <a:ext uri="{FF2B5EF4-FFF2-40B4-BE49-F238E27FC236}">
              <a16:creationId xmlns:a16="http://schemas.microsoft.com/office/drawing/2014/main" id="{00000000-0008-0000-0700-000029360000}"/>
            </a:ext>
          </a:extLst>
        </xdr:cNvPr>
        <xdr:cNvSpPr>
          <a:spLocks/>
        </xdr:cNvSpPr>
      </xdr:nvSpPr>
      <xdr:spPr bwMode="auto">
        <a:xfrm>
          <a:off x="8858250" y="2124075"/>
          <a:ext cx="152400" cy="19050"/>
        </a:xfrm>
        <a:custGeom>
          <a:avLst/>
          <a:gdLst>
            <a:gd name="T0" fmla="*/ 0 w 877"/>
            <a:gd name="T1" fmla="*/ 0 h 62"/>
            <a:gd name="T2" fmla="*/ 0 w 877"/>
            <a:gd name="T3" fmla="*/ 0 h 62"/>
            <a:gd name="T4" fmla="*/ 0 w 877"/>
            <a:gd name="T5" fmla="*/ 0 h 62"/>
            <a:gd name="T6" fmla="*/ 0 w 877"/>
            <a:gd name="T7" fmla="*/ 0 h 62"/>
            <a:gd name="T8" fmla="*/ 0 w 877"/>
            <a:gd name="T9" fmla="*/ 0 h 62"/>
            <a:gd name="T10" fmla="*/ 0 w 877"/>
            <a:gd name="T11" fmla="*/ 0 h 62"/>
            <a:gd name="T12" fmla="*/ 0 w 877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77"/>
            <a:gd name="T22" fmla="*/ 0 h 62"/>
            <a:gd name="T23" fmla="*/ 877 w 877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77" h="62">
              <a:moveTo>
                <a:pt x="0" y="0"/>
              </a:moveTo>
              <a:lnTo>
                <a:pt x="0" y="32"/>
              </a:lnTo>
              <a:lnTo>
                <a:pt x="0" y="62"/>
              </a:lnTo>
              <a:lnTo>
                <a:pt x="877" y="62"/>
              </a:lnTo>
              <a:lnTo>
                <a:pt x="877" y="32"/>
              </a:lnTo>
              <a:lnTo>
                <a:pt x="87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304800</xdr:colOff>
      <xdr:row>10</xdr:row>
      <xdr:rowOff>85725</xdr:rowOff>
    </xdr:from>
    <xdr:to>
      <xdr:col>14</xdr:col>
      <xdr:colOff>304800</xdr:colOff>
      <xdr:row>10</xdr:row>
      <xdr:rowOff>104775</xdr:rowOff>
    </xdr:to>
    <xdr:sp macro="" textlink="">
      <xdr:nvSpPr>
        <xdr:cNvPr id="13866" name="Freeform 1450">
          <a:extLst>
            <a:ext uri="{FF2B5EF4-FFF2-40B4-BE49-F238E27FC236}">
              <a16:creationId xmlns:a16="http://schemas.microsoft.com/office/drawing/2014/main" id="{00000000-0008-0000-0700-00002A360000}"/>
            </a:ext>
          </a:extLst>
        </xdr:cNvPr>
        <xdr:cNvSpPr>
          <a:spLocks/>
        </xdr:cNvSpPr>
      </xdr:nvSpPr>
      <xdr:spPr bwMode="auto">
        <a:xfrm>
          <a:off x="9010650" y="2124075"/>
          <a:ext cx="0" cy="19050"/>
        </a:xfrm>
        <a:custGeom>
          <a:avLst/>
          <a:gdLst>
            <a:gd name="T0" fmla="*/ 0 w 30"/>
            <a:gd name="T1" fmla="*/ 0 h 62"/>
            <a:gd name="T2" fmla="*/ 0 w 30"/>
            <a:gd name="T3" fmla="*/ 0 h 62"/>
            <a:gd name="T4" fmla="*/ 0 w 30"/>
            <a:gd name="T5" fmla="*/ 0 h 62"/>
            <a:gd name="T6" fmla="*/ 0 w 30"/>
            <a:gd name="T7" fmla="*/ 0 h 62"/>
            <a:gd name="T8" fmla="*/ 0 w 30"/>
            <a:gd name="T9" fmla="*/ 0 h 62"/>
            <a:gd name="T10" fmla="*/ 0 w 30"/>
            <a:gd name="T11" fmla="*/ 0 h 62"/>
            <a:gd name="T12" fmla="*/ 0 w 30"/>
            <a:gd name="T13" fmla="*/ 0 h 62"/>
            <a:gd name="T14" fmla="*/ 0 w 30"/>
            <a:gd name="T15" fmla="*/ 0 h 62"/>
            <a:gd name="T16" fmla="*/ 0 w 30"/>
            <a:gd name="T17" fmla="*/ 0 h 62"/>
            <a:gd name="T18" fmla="*/ 0 w 30"/>
            <a:gd name="T19" fmla="*/ 0 h 62"/>
            <a:gd name="T20" fmla="*/ 0 w 30"/>
            <a:gd name="T21" fmla="*/ 0 h 62"/>
            <a:gd name="T22" fmla="*/ 0 w 30"/>
            <a:gd name="T23" fmla="*/ 0 h 62"/>
            <a:gd name="T24" fmla="*/ 0 w 30"/>
            <a:gd name="T25" fmla="*/ 0 h 62"/>
            <a:gd name="T26" fmla="*/ 0 w 30"/>
            <a:gd name="T27" fmla="*/ 0 h 6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0"/>
            <a:gd name="T43" fmla="*/ 0 h 62"/>
            <a:gd name="T44" fmla="*/ 0 w 30"/>
            <a:gd name="T45" fmla="*/ 62 h 6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0" h="62">
              <a:moveTo>
                <a:pt x="0" y="32"/>
              </a:moveTo>
              <a:lnTo>
                <a:pt x="0" y="0"/>
              </a:lnTo>
              <a:lnTo>
                <a:pt x="8" y="2"/>
              </a:lnTo>
              <a:lnTo>
                <a:pt x="17" y="5"/>
              </a:lnTo>
              <a:lnTo>
                <a:pt x="23" y="12"/>
              </a:lnTo>
              <a:lnTo>
                <a:pt x="28" y="19"/>
              </a:lnTo>
              <a:lnTo>
                <a:pt x="30" y="27"/>
              </a:lnTo>
              <a:lnTo>
                <a:pt x="30" y="36"/>
              </a:lnTo>
              <a:lnTo>
                <a:pt x="28" y="44"/>
              </a:lnTo>
              <a:lnTo>
                <a:pt x="23" y="52"/>
              </a:lnTo>
              <a:lnTo>
                <a:pt x="17" y="58"/>
              </a:lnTo>
              <a:lnTo>
                <a:pt x="8" y="61"/>
              </a:lnTo>
              <a:lnTo>
                <a:pt x="0" y="62"/>
              </a:lnTo>
              <a:lnTo>
                <a:pt x="0" y="3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304800</xdr:colOff>
      <xdr:row>10</xdr:row>
      <xdr:rowOff>85725</xdr:rowOff>
    </xdr:from>
    <xdr:to>
      <xdr:col>14</xdr:col>
      <xdr:colOff>304800</xdr:colOff>
      <xdr:row>10</xdr:row>
      <xdr:rowOff>104775</xdr:rowOff>
    </xdr:to>
    <xdr:sp macro="" textlink="">
      <xdr:nvSpPr>
        <xdr:cNvPr id="13867" name="Freeform 1451">
          <a:extLst>
            <a:ext uri="{FF2B5EF4-FFF2-40B4-BE49-F238E27FC236}">
              <a16:creationId xmlns:a16="http://schemas.microsoft.com/office/drawing/2014/main" id="{00000000-0008-0000-0700-00002B360000}"/>
            </a:ext>
          </a:extLst>
        </xdr:cNvPr>
        <xdr:cNvSpPr>
          <a:spLocks/>
        </xdr:cNvSpPr>
      </xdr:nvSpPr>
      <xdr:spPr bwMode="auto">
        <a:xfrm>
          <a:off x="9010650" y="2124075"/>
          <a:ext cx="0" cy="19050"/>
        </a:xfrm>
        <a:custGeom>
          <a:avLst/>
          <a:gdLst>
            <a:gd name="T0" fmla="*/ 0 w 30"/>
            <a:gd name="T1" fmla="*/ 0 h 62"/>
            <a:gd name="T2" fmla="*/ 0 w 30"/>
            <a:gd name="T3" fmla="*/ 0 h 62"/>
            <a:gd name="T4" fmla="*/ 0 w 30"/>
            <a:gd name="T5" fmla="*/ 0 h 62"/>
            <a:gd name="T6" fmla="*/ 0 w 30"/>
            <a:gd name="T7" fmla="*/ 0 h 62"/>
            <a:gd name="T8" fmla="*/ 0 w 30"/>
            <a:gd name="T9" fmla="*/ 0 h 62"/>
            <a:gd name="T10" fmla="*/ 0 w 30"/>
            <a:gd name="T11" fmla="*/ 0 h 62"/>
            <a:gd name="T12" fmla="*/ 0 w 30"/>
            <a:gd name="T13" fmla="*/ 0 h 62"/>
            <a:gd name="T14" fmla="*/ 0 w 30"/>
            <a:gd name="T15" fmla="*/ 0 h 62"/>
            <a:gd name="T16" fmla="*/ 0 w 30"/>
            <a:gd name="T17" fmla="*/ 0 h 62"/>
            <a:gd name="T18" fmla="*/ 0 w 30"/>
            <a:gd name="T19" fmla="*/ 0 h 62"/>
            <a:gd name="T20" fmla="*/ 0 w 30"/>
            <a:gd name="T21" fmla="*/ 0 h 62"/>
            <a:gd name="T22" fmla="*/ 0 w 30"/>
            <a:gd name="T23" fmla="*/ 0 h 62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0"/>
            <a:gd name="T37" fmla="*/ 0 h 62"/>
            <a:gd name="T38" fmla="*/ 0 w 30"/>
            <a:gd name="T39" fmla="*/ 62 h 62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0" h="62">
              <a:moveTo>
                <a:pt x="0" y="0"/>
              </a:moveTo>
              <a:lnTo>
                <a:pt x="8" y="2"/>
              </a:lnTo>
              <a:lnTo>
                <a:pt x="17" y="5"/>
              </a:lnTo>
              <a:lnTo>
                <a:pt x="23" y="12"/>
              </a:lnTo>
              <a:lnTo>
                <a:pt x="28" y="19"/>
              </a:lnTo>
              <a:lnTo>
                <a:pt x="30" y="27"/>
              </a:lnTo>
              <a:lnTo>
                <a:pt x="30" y="36"/>
              </a:lnTo>
              <a:lnTo>
                <a:pt x="28" y="44"/>
              </a:lnTo>
              <a:lnTo>
                <a:pt x="23" y="52"/>
              </a:lnTo>
              <a:lnTo>
                <a:pt x="17" y="58"/>
              </a:lnTo>
              <a:lnTo>
                <a:pt x="8" y="61"/>
              </a:lnTo>
              <a:lnTo>
                <a:pt x="0" y="6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1</xdr:row>
      <xdr:rowOff>95250</xdr:rowOff>
    </xdr:from>
    <xdr:to>
      <xdr:col>11</xdr:col>
      <xdr:colOff>381000</xdr:colOff>
      <xdr:row>1</xdr:row>
      <xdr:rowOff>104775</xdr:rowOff>
    </xdr:to>
    <xdr:sp macro="" textlink="">
      <xdr:nvSpPr>
        <xdr:cNvPr id="13868" name="Freeform 1452">
          <a:extLst>
            <a:ext uri="{FF2B5EF4-FFF2-40B4-BE49-F238E27FC236}">
              <a16:creationId xmlns:a16="http://schemas.microsoft.com/office/drawing/2014/main" id="{00000000-0008-0000-0700-00002C360000}"/>
            </a:ext>
          </a:extLst>
        </xdr:cNvPr>
        <xdr:cNvSpPr>
          <a:spLocks/>
        </xdr:cNvSpPr>
      </xdr:nvSpPr>
      <xdr:spPr bwMode="auto">
        <a:xfrm>
          <a:off x="7477125" y="257175"/>
          <a:ext cx="9525" cy="9525"/>
        </a:xfrm>
        <a:custGeom>
          <a:avLst/>
          <a:gdLst>
            <a:gd name="T0" fmla="*/ 0 w 62"/>
            <a:gd name="T1" fmla="*/ 0 h 31"/>
            <a:gd name="T2" fmla="*/ 0 w 62"/>
            <a:gd name="T3" fmla="*/ 0 h 31"/>
            <a:gd name="T4" fmla="*/ 0 w 62"/>
            <a:gd name="T5" fmla="*/ 0 h 31"/>
            <a:gd name="T6" fmla="*/ 0 w 62"/>
            <a:gd name="T7" fmla="*/ 0 h 31"/>
            <a:gd name="T8" fmla="*/ 0 w 62"/>
            <a:gd name="T9" fmla="*/ 0 h 31"/>
            <a:gd name="T10" fmla="*/ 0 w 62"/>
            <a:gd name="T11" fmla="*/ 0 h 31"/>
            <a:gd name="T12" fmla="*/ 0 w 62"/>
            <a:gd name="T13" fmla="*/ 0 h 31"/>
            <a:gd name="T14" fmla="*/ 0 w 62"/>
            <a:gd name="T15" fmla="*/ 0 h 31"/>
            <a:gd name="T16" fmla="*/ 0 w 62"/>
            <a:gd name="T17" fmla="*/ 0 h 31"/>
            <a:gd name="T18" fmla="*/ 0 w 62"/>
            <a:gd name="T19" fmla="*/ 0 h 31"/>
            <a:gd name="T20" fmla="*/ 0 w 62"/>
            <a:gd name="T21" fmla="*/ 0 h 31"/>
            <a:gd name="T22" fmla="*/ 0 w 62"/>
            <a:gd name="T23" fmla="*/ 0 h 31"/>
            <a:gd name="T24" fmla="*/ 0 w 62"/>
            <a:gd name="T25" fmla="*/ 0 h 31"/>
            <a:gd name="T26" fmla="*/ 0 w 62"/>
            <a:gd name="T27" fmla="*/ 0 h 3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2"/>
            <a:gd name="T43" fmla="*/ 0 h 31"/>
            <a:gd name="T44" fmla="*/ 62 w 62"/>
            <a:gd name="T45" fmla="*/ 31 h 31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2" h="31">
              <a:moveTo>
                <a:pt x="31" y="31"/>
              </a:moveTo>
              <a:lnTo>
                <a:pt x="0" y="31"/>
              </a:lnTo>
              <a:lnTo>
                <a:pt x="1" y="22"/>
              </a:lnTo>
              <a:lnTo>
                <a:pt x="4" y="14"/>
              </a:lnTo>
              <a:lnTo>
                <a:pt x="11" y="7"/>
              </a:lnTo>
              <a:lnTo>
                <a:pt x="18" y="2"/>
              </a:lnTo>
              <a:lnTo>
                <a:pt x="26" y="0"/>
              </a:lnTo>
              <a:lnTo>
                <a:pt x="35" y="0"/>
              </a:lnTo>
              <a:lnTo>
                <a:pt x="43" y="2"/>
              </a:lnTo>
              <a:lnTo>
                <a:pt x="50" y="7"/>
              </a:lnTo>
              <a:lnTo>
                <a:pt x="57" y="14"/>
              </a:lnTo>
              <a:lnTo>
                <a:pt x="60" y="22"/>
              </a:lnTo>
              <a:lnTo>
                <a:pt x="62" y="31"/>
              </a:lnTo>
              <a:lnTo>
                <a:pt x="31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1</xdr:row>
      <xdr:rowOff>95250</xdr:rowOff>
    </xdr:from>
    <xdr:to>
      <xdr:col>11</xdr:col>
      <xdr:colOff>381000</xdr:colOff>
      <xdr:row>1</xdr:row>
      <xdr:rowOff>104775</xdr:rowOff>
    </xdr:to>
    <xdr:sp macro="" textlink="">
      <xdr:nvSpPr>
        <xdr:cNvPr id="13869" name="Freeform 1453">
          <a:extLst>
            <a:ext uri="{FF2B5EF4-FFF2-40B4-BE49-F238E27FC236}">
              <a16:creationId xmlns:a16="http://schemas.microsoft.com/office/drawing/2014/main" id="{00000000-0008-0000-0700-00002D360000}"/>
            </a:ext>
          </a:extLst>
        </xdr:cNvPr>
        <xdr:cNvSpPr>
          <a:spLocks/>
        </xdr:cNvSpPr>
      </xdr:nvSpPr>
      <xdr:spPr bwMode="auto">
        <a:xfrm>
          <a:off x="7477125" y="257175"/>
          <a:ext cx="9525" cy="9525"/>
        </a:xfrm>
        <a:custGeom>
          <a:avLst/>
          <a:gdLst>
            <a:gd name="T0" fmla="*/ 0 w 62"/>
            <a:gd name="T1" fmla="*/ 0 h 31"/>
            <a:gd name="T2" fmla="*/ 0 w 62"/>
            <a:gd name="T3" fmla="*/ 0 h 31"/>
            <a:gd name="T4" fmla="*/ 0 w 62"/>
            <a:gd name="T5" fmla="*/ 0 h 31"/>
            <a:gd name="T6" fmla="*/ 0 w 62"/>
            <a:gd name="T7" fmla="*/ 0 h 31"/>
            <a:gd name="T8" fmla="*/ 0 w 62"/>
            <a:gd name="T9" fmla="*/ 0 h 31"/>
            <a:gd name="T10" fmla="*/ 0 w 62"/>
            <a:gd name="T11" fmla="*/ 0 h 31"/>
            <a:gd name="T12" fmla="*/ 0 w 62"/>
            <a:gd name="T13" fmla="*/ 0 h 31"/>
            <a:gd name="T14" fmla="*/ 0 w 62"/>
            <a:gd name="T15" fmla="*/ 0 h 31"/>
            <a:gd name="T16" fmla="*/ 0 w 62"/>
            <a:gd name="T17" fmla="*/ 0 h 31"/>
            <a:gd name="T18" fmla="*/ 0 w 62"/>
            <a:gd name="T19" fmla="*/ 0 h 31"/>
            <a:gd name="T20" fmla="*/ 0 w 62"/>
            <a:gd name="T21" fmla="*/ 0 h 31"/>
            <a:gd name="T22" fmla="*/ 0 w 62"/>
            <a:gd name="T23" fmla="*/ 0 h 3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2"/>
            <a:gd name="T37" fmla="*/ 0 h 31"/>
            <a:gd name="T38" fmla="*/ 62 w 62"/>
            <a:gd name="T39" fmla="*/ 31 h 3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2" h="31">
              <a:moveTo>
                <a:pt x="0" y="31"/>
              </a:moveTo>
              <a:lnTo>
                <a:pt x="1" y="22"/>
              </a:lnTo>
              <a:lnTo>
                <a:pt x="4" y="14"/>
              </a:lnTo>
              <a:lnTo>
                <a:pt x="11" y="7"/>
              </a:lnTo>
              <a:lnTo>
                <a:pt x="18" y="2"/>
              </a:lnTo>
              <a:lnTo>
                <a:pt x="26" y="0"/>
              </a:lnTo>
              <a:lnTo>
                <a:pt x="35" y="0"/>
              </a:lnTo>
              <a:lnTo>
                <a:pt x="43" y="2"/>
              </a:lnTo>
              <a:lnTo>
                <a:pt x="50" y="7"/>
              </a:lnTo>
              <a:lnTo>
                <a:pt x="57" y="14"/>
              </a:lnTo>
              <a:lnTo>
                <a:pt x="60" y="22"/>
              </a:lnTo>
              <a:lnTo>
                <a:pt x="62" y="31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1</xdr:row>
      <xdr:rowOff>104775</xdr:rowOff>
    </xdr:from>
    <xdr:to>
      <xdr:col>11</xdr:col>
      <xdr:colOff>381000</xdr:colOff>
      <xdr:row>2</xdr:row>
      <xdr:rowOff>66675</xdr:rowOff>
    </xdr:to>
    <xdr:sp macro="" textlink="">
      <xdr:nvSpPr>
        <xdr:cNvPr id="13870" name="Freeform 1454">
          <a:extLst>
            <a:ext uri="{FF2B5EF4-FFF2-40B4-BE49-F238E27FC236}">
              <a16:creationId xmlns:a16="http://schemas.microsoft.com/office/drawing/2014/main" id="{00000000-0008-0000-0700-00002E360000}"/>
            </a:ext>
          </a:extLst>
        </xdr:cNvPr>
        <xdr:cNvSpPr>
          <a:spLocks/>
        </xdr:cNvSpPr>
      </xdr:nvSpPr>
      <xdr:spPr bwMode="auto">
        <a:xfrm>
          <a:off x="7477125" y="266700"/>
          <a:ext cx="9525" cy="219075"/>
        </a:xfrm>
        <a:custGeom>
          <a:avLst/>
          <a:gdLst>
            <a:gd name="T0" fmla="*/ 0 w 62"/>
            <a:gd name="T1" fmla="*/ 0 h 864"/>
            <a:gd name="T2" fmla="*/ 0 w 62"/>
            <a:gd name="T3" fmla="*/ 0 h 864"/>
            <a:gd name="T4" fmla="*/ 0 w 62"/>
            <a:gd name="T5" fmla="*/ 0 h 864"/>
            <a:gd name="T6" fmla="*/ 0 w 62"/>
            <a:gd name="T7" fmla="*/ 2147483647 h 864"/>
            <a:gd name="T8" fmla="*/ 0 w 62"/>
            <a:gd name="T9" fmla="*/ 2147483647 h 864"/>
            <a:gd name="T10" fmla="*/ 0 w 62"/>
            <a:gd name="T11" fmla="*/ 2147483647 h 864"/>
            <a:gd name="T12" fmla="*/ 0 w 62"/>
            <a:gd name="T13" fmla="*/ 0 h 86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864"/>
            <a:gd name="T23" fmla="*/ 62 w 62"/>
            <a:gd name="T24" fmla="*/ 864 h 86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864">
              <a:moveTo>
                <a:pt x="62" y="0"/>
              </a:moveTo>
              <a:lnTo>
                <a:pt x="31" y="0"/>
              </a:lnTo>
              <a:lnTo>
                <a:pt x="0" y="0"/>
              </a:lnTo>
              <a:lnTo>
                <a:pt x="0" y="864"/>
              </a:lnTo>
              <a:lnTo>
                <a:pt x="31" y="864"/>
              </a:lnTo>
              <a:lnTo>
                <a:pt x="62" y="864"/>
              </a:lnTo>
              <a:lnTo>
                <a:pt x="6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1</xdr:row>
      <xdr:rowOff>104775</xdr:rowOff>
    </xdr:from>
    <xdr:to>
      <xdr:col>11</xdr:col>
      <xdr:colOff>381000</xdr:colOff>
      <xdr:row>2</xdr:row>
      <xdr:rowOff>66675</xdr:rowOff>
    </xdr:to>
    <xdr:sp macro="" textlink="">
      <xdr:nvSpPr>
        <xdr:cNvPr id="13871" name="Freeform 1455">
          <a:extLst>
            <a:ext uri="{FF2B5EF4-FFF2-40B4-BE49-F238E27FC236}">
              <a16:creationId xmlns:a16="http://schemas.microsoft.com/office/drawing/2014/main" id="{00000000-0008-0000-0700-00002F360000}"/>
            </a:ext>
          </a:extLst>
        </xdr:cNvPr>
        <xdr:cNvSpPr>
          <a:spLocks/>
        </xdr:cNvSpPr>
      </xdr:nvSpPr>
      <xdr:spPr bwMode="auto">
        <a:xfrm>
          <a:off x="7477125" y="266700"/>
          <a:ext cx="9525" cy="219075"/>
        </a:xfrm>
        <a:custGeom>
          <a:avLst/>
          <a:gdLst>
            <a:gd name="T0" fmla="*/ 0 w 62"/>
            <a:gd name="T1" fmla="*/ 0 h 864"/>
            <a:gd name="T2" fmla="*/ 0 w 62"/>
            <a:gd name="T3" fmla="*/ 0 h 864"/>
            <a:gd name="T4" fmla="*/ 0 w 62"/>
            <a:gd name="T5" fmla="*/ 0 h 864"/>
            <a:gd name="T6" fmla="*/ 0 w 62"/>
            <a:gd name="T7" fmla="*/ 2147483647 h 864"/>
            <a:gd name="T8" fmla="*/ 0 w 62"/>
            <a:gd name="T9" fmla="*/ 2147483647 h 864"/>
            <a:gd name="T10" fmla="*/ 0 w 62"/>
            <a:gd name="T11" fmla="*/ 2147483647 h 864"/>
            <a:gd name="T12" fmla="*/ 0 w 62"/>
            <a:gd name="T13" fmla="*/ 0 h 86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864"/>
            <a:gd name="T23" fmla="*/ 62 w 62"/>
            <a:gd name="T24" fmla="*/ 864 h 86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864">
              <a:moveTo>
                <a:pt x="62" y="0"/>
              </a:moveTo>
              <a:lnTo>
                <a:pt x="31" y="0"/>
              </a:lnTo>
              <a:lnTo>
                <a:pt x="0" y="0"/>
              </a:lnTo>
              <a:lnTo>
                <a:pt x="0" y="864"/>
              </a:lnTo>
              <a:lnTo>
                <a:pt x="31" y="864"/>
              </a:lnTo>
              <a:lnTo>
                <a:pt x="62" y="864"/>
              </a:lnTo>
              <a:lnTo>
                <a:pt x="62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2</xdr:row>
      <xdr:rowOff>66675</xdr:rowOff>
    </xdr:from>
    <xdr:to>
      <xdr:col>11</xdr:col>
      <xdr:colOff>381000</xdr:colOff>
      <xdr:row>2</xdr:row>
      <xdr:rowOff>66675</xdr:rowOff>
    </xdr:to>
    <xdr:sp macro="" textlink="">
      <xdr:nvSpPr>
        <xdr:cNvPr id="13872" name="Freeform 1456">
          <a:extLst>
            <a:ext uri="{FF2B5EF4-FFF2-40B4-BE49-F238E27FC236}">
              <a16:creationId xmlns:a16="http://schemas.microsoft.com/office/drawing/2014/main" id="{00000000-0008-0000-0700-000030360000}"/>
            </a:ext>
          </a:extLst>
        </xdr:cNvPr>
        <xdr:cNvSpPr>
          <a:spLocks/>
        </xdr:cNvSpPr>
      </xdr:nvSpPr>
      <xdr:spPr bwMode="auto">
        <a:xfrm>
          <a:off x="7477125" y="485775"/>
          <a:ext cx="9525" cy="0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w 62"/>
            <a:gd name="T25" fmla="*/ 0 h 30"/>
            <a:gd name="T26" fmla="*/ 0 w 62"/>
            <a:gd name="T27" fmla="*/ 0 h 30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2"/>
            <a:gd name="T43" fmla="*/ 0 h 30"/>
            <a:gd name="T44" fmla="*/ 62 w 62"/>
            <a:gd name="T45" fmla="*/ 0 h 30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2" h="30">
              <a:moveTo>
                <a:pt x="31" y="0"/>
              </a:moveTo>
              <a:lnTo>
                <a:pt x="62" y="0"/>
              </a:lnTo>
              <a:lnTo>
                <a:pt x="60" y="8"/>
              </a:lnTo>
              <a:lnTo>
                <a:pt x="57" y="16"/>
              </a:lnTo>
              <a:lnTo>
                <a:pt x="50" y="23"/>
              </a:lnTo>
              <a:lnTo>
                <a:pt x="43" y="28"/>
              </a:lnTo>
              <a:lnTo>
                <a:pt x="35" y="30"/>
              </a:lnTo>
              <a:lnTo>
                <a:pt x="26" y="30"/>
              </a:lnTo>
              <a:lnTo>
                <a:pt x="18" y="28"/>
              </a:lnTo>
              <a:lnTo>
                <a:pt x="11" y="23"/>
              </a:lnTo>
              <a:lnTo>
                <a:pt x="4" y="16"/>
              </a:lnTo>
              <a:lnTo>
                <a:pt x="1" y="8"/>
              </a:lnTo>
              <a:lnTo>
                <a:pt x="0" y="0"/>
              </a:lnTo>
              <a:lnTo>
                <a:pt x="3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2</xdr:row>
      <xdr:rowOff>66675</xdr:rowOff>
    </xdr:from>
    <xdr:to>
      <xdr:col>11</xdr:col>
      <xdr:colOff>381000</xdr:colOff>
      <xdr:row>2</xdr:row>
      <xdr:rowOff>66675</xdr:rowOff>
    </xdr:to>
    <xdr:sp macro="" textlink="">
      <xdr:nvSpPr>
        <xdr:cNvPr id="13873" name="Freeform 1457">
          <a:extLst>
            <a:ext uri="{FF2B5EF4-FFF2-40B4-BE49-F238E27FC236}">
              <a16:creationId xmlns:a16="http://schemas.microsoft.com/office/drawing/2014/main" id="{00000000-0008-0000-0700-000031360000}"/>
            </a:ext>
          </a:extLst>
        </xdr:cNvPr>
        <xdr:cNvSpPr>
          <a:spLocks/>
        </xdr:cNvSpPr>
      </xdr:nvSpPr>
      <xdr:spPr bwMode="auto">
        <a:xfrm>
          <a:off x="7477125" y="485775"/>
          <a:ext cx="9525" cy="0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2"/>
            <a:gd name="T37" fmla="*/ 0 h 30"/>
            <a:gd name="T38" fmla="*/ 62 w 62"/>
            <a:gd name="T39" fmla="*/ 0 h 30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2" h="30">
              <a:moveTo>
                <a:pt x="62" y="0"/>
              </a:moveTo>
              <a:lnTo>
                <a:pt x="60" y="8"/>
              </a:lnTo>
              <a:lnTo>
                <a:pt x="57" y="16"/>
              </a:lnTo>
              <a:lnTo>
                <a:pt x="50" y="23"/>
              </a:lnTo>
              <a:lnTo>
                <a:pt x="43" y="28"/>
              </a:lnTo>
              <a:lnTo>
                <a:pt x="35" y="30"/>
              </a:lnTo>
              <a:lnTo>
                <a:pt x="26" y="30"/>
              </a:lnTo>
              <a:lnTo>
                <a:pt x="18" y="28"/>
              </a:lnTo>
              <a:lnTo>
                <a:pt x="11" y="23"/>
              </a:lnTo>
              <a:lnTo>
                <a:pt x="4" y="16"/>
              </a:lnTo>
              <a:lnTo>
                <a:pt x="1" y="8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2</xdr:row>
      <xdr:rowOff>114300</xdr:rowOff>
    </xdr:from>
    <xdr:to>
      <xdr:col>11</xdr:col>
      <xdr:colOff>381000</xdr:colOff>
      <xdr:row>2</xdr:row>
      <xdr:rowOff>123825</xdr:rowOff>
    </xdr:to>
    <xdr:sp macro="" textlink="">
      <xdr:nvSpPr>
        <xdr:cNvPr id="13874" name="Freeform 1458">
          <a:extLst>
            <a:ext uri="{FF2B5EF4-FFF2-40B4-BE49-F238E27FC236}">
              <a16:creationId xmlns:a16="http://schemas.microsoft.com/office/drawing/2014/main" id="{00000000-0008-0000-0700-000032360000}"/>
            </a:ext>
          </a:extLst>
        </xdr:cNvPr>
        <xdr:cNvSpPr>
          <a:spLocks/>
        </xdr:cNvSpPr>
      </xdr:nvSpPr>
      <xdr:spPr bwMode="auto">
        <a:xfrm>
          <a:off x="7477125" y="533400"/>
          <a:ext cx="9525" cy="9525"/>
        </a:xfrm>
        <a:custGeom>
          <a:avLst/>
          <a:gdLst>
            <a:gd name="T0" fmla="*/ 0 w 62"/>
            <a:gd name="T1" fmla="*/ 0 h 31"/>
            <a:gd name="T2" fmla="*/ 0 w 62"/>
            <a:gd name="T3" fmla="*/ 0 h 31"/>
            <a:gd name="T4" fmla="*/ 0 w 62"/>
            <a:gd name="T5" fmla="*/ 0 h 31"/>
            <a:gd name="T6" fmla="*/ 0 w 62"/>
            <a:gd name="T7" fmla="*/ 0 h 31"/>
            <a:gd name="T8" fmla="*/ 0 w 62"/>
            <a:gd name="T9" fmla="*/ 0 h 31"/>
            <a:gd name="T10" fmla="*/ 0 w 62"/>
            <a:gd name="T11" fmla="*/ 0 h 31"/>
            <a:gd name="T12" fmla="*/ 0 w 62"/>
            <a:gd name="T13" fmla="*/ 0 h 31"/>
            <a:gd name="T14" fmla="*/ 0 w 62"/>
            <a:gd name="T15" fmla="*/ 0 h 31"/>
            <a:gd name="T16" fmla="*/ 0 w 62"/>
            <a:gd name="T17" fmla="*/ 0 h 31"/>
            <a:gd name="T18" fmla="*/ 0 w 62"/>
            <a:gd name="T19" fmla="*/ 0 h 31"/>
            <a:gd name="T20" fmla="*/ 0 w 62"/>
            <a:gd name="T21" fmla="*/ 0 h 31"/>
            <a:gd name="T22" fmla="*/ 0 w 62"/>
            <a:gd name="T23" fmla="*/ 0 h 31"/>
            <a:gd name="T24" fmla="*/ 0 w 62"/>
            <a:gd name="T25" fmla="*/ 0 h 31"/>
            <a:gd name="T26" fmla="*/ 0 w 62"/>
            <a:gd name="T27" fmla="*/ 0 h 3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2"/>
            <a:gd name="T43" fmla="*/ 0 h 31"/>
            <a:gd name="T44" fmla="*/ 62 w 62"/>
            <a:gd name="T45" fmla="*/ 31 h 31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2" h="31">
              <a:moveTo>
                <a:pt x="31" y="31"/>
              </a:moveTo>
              <a:lnTo>
                <a:pt x="0" y="31"/>
              </a:lnTo>
              <a:lnTo>
                <a:pt x="1" y="23"/>
              </a:lnTo>
              <a:lnTo>
                <a:pt x="4" y="14"/>
              </a:lnTo>
              <a:lnTo>
                <a:pt x="11" y="8"/>
              </a:lnTo>
              <a:lnTo>
                <a:pt x="18" y="3"/>
              </a:lnTo>
              <a:lnTo>
                <a:pt x="26" y="0"/>
              </a:lnTo>
              <a:lnTo>
                <a:pt x="35" y="0"/>
              </a:lnTo>
              <a:lnTo>
                <a:pt x="43" y="3"/>
              </a:lnTo>
              <a:lnTo>
                <a:pt x="50" y="8"/>
              </a:lnTo>
              <a:lnTo>
                <a:pt x="57" y="14"/>
              </a:lnTo>
              <a:lnTo>
                <a:pt x="60" y="23"/>
              </a:lnTo>
              <a:lnTo>
                <a:pt x="62" y="31"/>
              </a:lnTo>
              <a:lnTo>
                <a:pt x="31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2</xdr:row>
      <xdr:rowOff>114300</xdr:rowOff>
    </xdr:from>
    <xdr:to>
      <xdr:col>11</xdr:col>
      <xdr:colOff>381000</xdr:colOff>
      <xdr:row>2</xdr:row>
      <xdr:rowOff>123825</xdr:rowOff>
    </xdr:to>
    <xdr:sp macro="" textlink="">
      <xdr:nvSpPr>
        <xdr:cNvPr id="13875" name="Freeform 1459">
          <a:extLst>
            <a:ext uri="{FF2B5EF4-FFF2-40B4-BE49-F238E27FC236}">
              <a16:creationId xmlns:a16="http://schemas.microsoft.com/office/drawing/2014/main" id="{00000000-0008-0000-0700-000033360000}"/>
            </a:ext>
          </a:extLst>
        </xdr:cNvPr>
        <xdr:cNvSpPr>
          <a:spLocks/>
        </xdr:cNvSpPr>
      </xdr:nvSpPr>
      <xdr:spPr bwMode="auto">
        <a:xfrm>
          <a:off x="7477125" y="533400"/>
          <a:ext cx="9525" cy="9525"/>
        </a:xfrm>
        <a:custGeom>
          <a:avLst/>
          <a:gdLst>
            <a:gd name="T0" fmla="*/ 0 w 62"/>
            <a:gd name="T1" fmla="*/ 0 h 31"/>
            <a:gd name="T2" fmla="*/ 0 w 62"/>
            <a:gd name="T3" fmla="*/ 0 h 31"/>
            <a:gd name="T4" fmla="*/ 0 w 62"/>
            <a:gd name="T5" fmla="*/ 0 h 31"/>
            <a:gd name="T6" fmla="*/ 0 w 62"/>
            <a:gd name="T7" fmla="*/ 0 h 31"/>
            <a:gd name="T8" fmla="*/ 0 w 62"/>
            <a:gd name="T9" fmla="*/ 0 h 31"/>
            <a:gd name="T10" fmla="*/ 0 w 62"/>
            <a:gd name="T11" fmla="*/ 0 h 31"/>
            <a:gd name="T12" fmla="*/ 0 w 62"/>
            <a:gd name="T13" fmla="*/ 0 h 31"/>
            <a:gd name="T14" fmla="*/ 0 w 62"/>
            <a:gd name="T15" fmla="*/ 0 h 31"/>
            <a:gd name="T16" fmla="*/ 0 w 62"/>
            <a:gd name="T17" fmla="*/ 0 h 31"/>
            <a:gd name="T18" fmla="*/ 0 w 62"/>
            <a:gd name="T19" fmla="*/ 0 h 31"/>
            <a:gd name="T20" fmla="*/ 0 w 62"/>
            <a:gd name="T21" fmla="*/ 0 h 31"/>
            <a:gd name="T22" fmla="*/ 0 w 62"/>
            <a:gd name="T23" fmla="*/ 0 h 3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2"/>
            <a:gd name="T37" fmla="*/ 0 h 31"/>
            <a:gd name="T38" fmla="*/ 62 w 62"/>
            <a:gd name="T39" fmla="*/ 31 h 3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2" h="31">
              <a:moveTo>
                <a:pt x="0" y="31"/>
              </a:moveTo>
              <a:lnTo>
                <a:pt x="1" y="23"/>
              </a:lnTo>
              <a:lnTo>
                <a:pt x="4" y="14"/>
              </a:lnTo>
              <a:lnTo>
                <a:pt x="11" y="8"/>
              </a:lnTo>
              <a:lnTo>
                <a:pt x="18" y="3"/>
              </a:lnTo>
              <a:lnTo>
                <a:pt x="26" y="0"/>
              </a:lnTo>
              <a:lnTo>
                <a:pt x="35" y="0"/>
              </a:lnTo>
              <a:lnTo>
                <a:pt x="43" y="3"/>
              </a:lnTo>
              <a:lnTo>
                <a:pt x="50" y="8"/>
              </a:lnTo>
              <a:lnTo>
                <a:pt x="57" y="14"/>
              </a:lnTo>
              <a:lnTo>
                <a:pt x="60" y="23"/>
              </a:lnTo>
              <a:lnTo>
                <a:pt x="62" y="31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2</xdr:row>
      <xdr:rowOff>114300</xdr:rowOff>
    </xdr:from>
    <xdr:to>
      <xdr:col>11</xdr:col>
      <xdr:colOff>381000</xdr:colOff>
      <xdr:row>4</xdr:row>
      <xdr:rowOff>76200</xdr:rowOff>
    </xdr:to>
    <xdr:sp macro="" textlink="">
      <xdr:nvSpPr>
        <xdr:cNvPr id="13876" name="Freeform 1460">
          <a:extLst>
            <a:ext uri="{FF2B5EF4-FFF2-40B4-BE49-F238E27FC236}">
              <a16:creationId xmlns:a16="http://schemas.microsoft.com/office/drawing/2014/main" id="{00000000-0008-0000-0700-000034360000}"/>
            </a:ext>
          </a:extLst>
        </xdr:cNvPr>
        <xdr:cNvSpPr>
          <a:spLocks/>
        </xdr:cNvSpPr>
      </xdr:nvSpPr>
      <xdr:spPr bwMode="auto">
        <a:xfrm>
          <a:off x="7477125" y="533400"/>
          <a:ext cx="9525" cy="285750"/>
        </a:xfrm>
        <a:custGeom>
          <a:avLst/>
          <a:gdLst>
            <a:gd name="T0" fmla="*/ 0 w 62"/>
            <a:gd name="T1" fmla="*/ 0 h 1115"/>
            <a:gd name="T2" fmla="*/ 0 w 62"/>
            <a:gd name="T3" fmla="*/ 0 h 1115"/>
            <a:gd name="T4" fmla="*/ 0 w 62"/>
            <a:gd name="T5" fmla="*/ 0 h 1115"/>
            <a:gd name="T6" fmla="*/ 0 w 62"/>
            <a:gd name="T7" fmla="*/ 2147483647 h 1115"/>
            <a:gd name="T8" fmla="*/ 0 w 62"/>
            <a:gd name="T9" fmla="*/ 2147483647 h 1115"/>
            <a:gd name="T10" fmla="*/ 0 w 62"/>
            <a:gd name="T11" fmla="*/ 2147483647 h 1115"/>
            <a:gd name="T12" fmla="*/ 0 w 62"/>
            <a:gd name="T13" fmla="*/ 0 h 1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1115"/>
            <a:gd name="T23" fmla="*/ 62 w 62"/>
            <a:gd name="T24" fmla="*/ 1115 h 111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1115">
              <a:moveTo>
                <a:pt x="62" y="0"/>
              </a:moveTo>
              <a:lnTo>
                <a:pt x="31" y="0"/>
              </a:lnTo>
              <a:lnTo>
                <a:pt x="0" y="0"/>
              </a:lnTo>
              <a:lnTo>
                <a:pt x="0" y="1115"/>
              </a:lnTo>
              <a:lnTo>
                <a:pt x="31" y="1115"/>
              </a:lnTo>
              <a:lnTo>
                <a:pt x="62" y="1115"/>
              </a:lnTo>
              <a:lnTo>
                <a:pt x="6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2</xdr:row>
      <xdr:rowOff>114300</xdr:rowOff>
    </xdr:from>
    <xdr:to>
      <xdr:col>11</xdr:col>
      <xdr:colOff>381000</xdr:colOff>
      <xdr:row>4</xdr:row>
      <xdr:rowOff>76200</xdr:rowOff>
    </xdr:to>
    <xdr:sp macro="" textlink="">
      <xdr:nvSpPr>
        <xdr:cNvPr id="13877" name="Freeform 1461">
          <a:extLst>
            <a:ext uri="{FF2B5EF4-FFF2-40B4-BE49-F238E27FC236}">
              <a16:creationId xmlns:a16="http://schemas.microsoft.com/office/drawing/2014/main" id="{00000000-0008-0000-0700-000035360000}"/>
            </a:ext>
          </a:extLst>
        </xdr:cNvPr>
        <xdr:cNvSpPr>
          <a:spLocks/>
        </xdr:cNvSpPr>
      </xdr:nvSpPr>
      <xdr:spPr bwMode="auto">
        <a:xfrm>
          <a:off x="7477125" y="533400"/>
          <a:ext cx="9525" cy="285750"/>
        </a:xfrm>
        <a:custGeom>
          <a:avLst/>
          <a:gdLst>
            <a:gd name="T0" fmla="*/ 0 w 62"/>
            <a:gd name="T1" fmla="*/ 0 h 1115"/>
            <a:gd name="T2" fmla="*/ 0 w 62"/>
            <a:gd name="T3" fmla="*/ 0 h 1115"/>
            <a:gd name="T4" fmla="*/ 0 w 62"/>
            <a:gd name="T5" fmla="*/ 0 h 1115"/>
            <a:gd name="T6" fmla="*/ 0 w 62"/>
            <a:gd name="T7" fmla="*/ 2147483647 h 1115"/>
            <a:gd name="T8" fmla="*/ 0 w 62"/>
            <a:gd name="T9" fmla="*/ 2147483647 h 1115"/>
            <a:gd name="T10" fmla="*/ 0 w 62"/>
            <a:gd name="T11" fmla="*/ 2147483647 h 1115"/>
            <a:gd name="T12" fmla="*/ 0 w 62"/>
            <a:gd name="T13" fmla="*/ 0 h 1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1115"/>
            <a:gd name="T23" fmla="*/ 62 w 62"/>
            <a:gd name="T24" fmla="*/ 1115 h 111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1115">
              <a:moveTo>
                <a:pt x="62" y="0"/>
              </a:moveTo>
              <a:lnTo>
                <a:pt x="31" y="0"/>
              </a:lnTo>
              <a:lnTo>
                <a:pt x="0" y="0"/>
              </a:lnTo>
              <a:lnTo>
                <a:pt x="0" y="1115"/>
              </a:lnTo>
              <a:lnTo>
                <a:pt x="31" y="1115"/>
              </a:lnTo>
              <a:lnTo>
                <a:pt x="62" y="1115"/>
              </a:lnTo>
              <a:lnTo>
                <a:pt x="62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4</xdr:row>
      <xdr:rowOff>76200</xdr:rowOff>
    </xdr:from>
    <xdr:to>
      <xdr:col>11</xdr:col>
      <xdr:colOff>381000</xdr:colOff>
      <xdr:row>4</xdr:row>
      <xdr:rowOff>85725</xdr:rowOff>
    </xdr:to>
    <xdr:sp macro="" textlink="">
      <xdr:nvSpPr>
        <xdr:cNvPr id="13878" name="Freeform 1462">
          <a:extLst>
            <a:ext uri="{FF2B5EF4-FFF2-40B4-BE49-F238E27FC236}">
              <a16:creationId xmlns:a16="http://schemas.microsoft.com/office/drawing/2014/main" id="{00000000-0008-0000-0700-000036360000}"/>
            </a:ext>
          </a:extLst>
        </xdr:cNvPr>
        <xdr:cNvSpPr>
          <a:spLocks/>
        </xdr:cNvSpPr>
      </xdr:nvSpPr>
      <xdr:spPr bwMode="auto">
        <a:xfrm>
          <a:off x="7477125" y="819150"/>
          <a:ext cx="9525" cy="9525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w 62"/>
            <a:gd name="T25" fmla="*/ 0 h 30"/>
            <a:gd name="T26" fmla="*/ 0 w 62"/>
            <a:gd name="T27" fmla="*/ 0 h 30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2"/>
            <a:gd name="T43" fmla="*/ 0 h 30"/>
            <a:gd name="T44" fmla="*/ 62 w 62"/>
            <a:gd name="T45" fmla="*/ 30 h 30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2" h="30">
              <a:moveTo>
                <a:pt x="31" y="0"/>
              </a:moveTo>
              <a:lnTo>
                <a:pt x="62" y="0"/>
              </a:lnTo>
              <a:lnTo>
                <a:pt x="60" y="8"/>
              </a:lnTo>
              <a:lnTo>
                <a:pt x="57" y="17"/>
              </a:lnTo>
              <a:lnTo>
                <a:pt x="50" y="23"/>
              </a:lnTo>
              <a:lnTo>
                <a:pt x="43" y="28"/>
              </a:lnTo>
              <a:lnTo>
                <a:pt x="35" y="30"/>
              </a:lnTo>
              <a:lnTo>
                <a:pt x="26" y="30"/>
              </a:lnTo>
              <a:lnTo>
                <a:pt x="18" y="28"/>
              </a:lnTo>
              <a:lnTo>
                <a:pt x="11" y="23"/>
              </a:lnTo>
              <a:lnTo>
                <a:pt x="4" y="17"/>
              </a:lnTo>
              <a:lnTo>
                <a:pt x="1" y="8"/>
              </a:lnTo>
              <a:lnTo>
                <a:pt x="0" y="0"/>
              </a:lnTo>
              <a:lnTo>
                <a:pt x="3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4</xdr:row>
      <xdr:rowOff>76200</xdr:rowOff>
    </xdr:from>
    <xdr:to>
      <xdr:col>11</xdr:col>
      <xdr:colOff>381000</xdr:colOff>
      <xdr:row>4</xdr:row>
      <xdr:rowOff>85725</xdr:rowOff>
    </xdr:to>
    <xdr:sp macro="" textlink="">
      <xdr:nvSpPr>
        <xdr:cNvPr id="13879" name="Freeform 1463">
          <a:extLst>
            <a:ext uri="{FF2B5EF4-FFF2-40B4-BE49-F238E27FC236}">
              <a16:creationId xmlns:a16="http://schemas.microsoft.com/office/drawing/2014/main" id="{00000000-0008-0000-0700-000037360000}"/>
            </a:ext>
          </a:extLst>
        </xdr:cNvPr>
        <xdr:cNvSpPr>
          <a:spLocks/>
        </xdr:cNvSpPr>
      </xdr:nvSpPr>
      <xdr:spPr bwMode="auto">
        <a:xfrm>
          <a:off x="7477125" y="819150"/>
          <a:ext cx="9525" cy="9525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2"/>
            <a:gd name="T37" fmla="*/ 0 h 30"/>
            <a:gd name="T38" fmla="*/ 62 w 62"/>
            <a:gd name="T39" fmla="*/ 30 h 30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2" h="30">
              <a:moveTo>
                <a:pt x="62" y="0"/>
              </a:moveTo>
              <a:lnTo>
                <a:pt x="60" y="8"/>
              </a:lnTo>
              <a:lnTo>
                <a:pt x="57" y="17"/>
              </a:lnTo>
              <a:lnTo>
                <a:pt x="50" y="23"/>
              </a:lnTo>
              <a:lnTo>
                <a:pt x="43" y="28"/>
              </a:lnTo>
              <a:lnTo>
                <a:pt x="35" y="30"/>
              </a:lnTo>
              <a:lnTo>
                <a:pt x="26" y="30"/>
              </a:lnTo>
              <a:lnTo>
                <a:pt x="18" y="28"/>
              </a:lnTo>
              <a:lnTo>
                <a:pt x="11" y="23"/>
              </a:lnTo>
              <a:lnTo>
                <a:pt x="4" y="17"/>
              </a:lnTo>
              <a:lnTo>
                <a:pt x="1" y="8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4</xdr:row>
      <xdr:rowOff>133350</xdr:rowOff>
    </xdr:from>
    <xdr:to>
      <xdr:col>11</xdr:col>
      <xdr:colOff>381000</xdr:colOff>
      <xdr:row>4</xdr:row>
      <xdr:rowOff>152400</xdr:rowOff>
    </xdr:to>
    <xdr:sp macro="" textlink="">
      <xdr:nvSpPr>
        <xdr:cNvPr id="13880" name="Freeform 1464">
          <a:extLst>
            <a:ext uri="{FF2B5EF4-FFF2-40B4-BE49-F238E27FC236}">
              <a16:creationId xmlns:a16="http://schemas.microsoft.com/office/drawing/2014/main" id="{00000000-0008-0000-0700-000038360000}"/>
            </a:ext>
          </a:extLst>
        </xdr:cNvPr>
        <xdr:cNvSpPr>
          <a:spLocks/>
        </xdr:cNvSpPr>
      </xdr:nvSpPr>
      <xdr:spPr bwMode="auto">
        <a:xfrm>
          <a:off x="7477125" y="876300"/>
          <a:ext cx="9525" cy="19050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w 62"/>
            <a:gd name="T25" fmla="*/ 0 h 30"/>
            <a:gd name="T26" fmla="*/ 0 w 62"/>
            <a:gd name="T27" fmla="*/ 0 h 30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2"/>
            <a:gd name="T43" fmla="*/ 0 h 30"/>
            <a:gd name="T44" fmla="*/ 62 w 62"/>
            <a:gd name="T45" fmla="*/ 30 h 30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2" h="30">
              <a:moveTo>
                <a:pt x="31" y="30"/>
              </a:moveTo>
              <a:lnTo>
                <a:pt x="0" y="30"/>
              </a:lnTo>
              <a:lnTo>
                <a:pt x="1" y="22"/>
              </a:lnTo>
              <a:lnTo>
                <a:pt x="4" y="14"/>
              </a:lnTo>
              <a:lnTo>
                <a:pt x="11" y="7"/>
              </a:lnTo>
              <a:lnTo>
                <a:pt x="18" y="2"/>
              </a:lnTo>
              <a:lnTo>
                <a:pt x="26" y="0"/>
              </a:lnTo>
              <a:lnTo>
                <a:pt x="35" y="0"/>
              </a:lnTo>
              <a:lnTo>
                <a:pt x="43" y="2"/>
              </a:lnTo>
              <a:lnTo>
                <a:pt x="50" y="7"/>
              </a:lnTo>
              <a:lnTo>
                <a:pt x="57" y="14"/>
              </a:lnTo>
              <a:lnTo>
                <a:pt x="60" y="22"/>
              </a:lnTo>
              <a:lnTo>
                <a:pt x="62" y="30"/>
              </a:lnTo>
              <a:lnTo>
                <a:pt x="31" y="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4</xdr:row>
      <xdr:rowOff>133350</xdr:rowOff>
    </xdr:from>
    <xdr:to>
      <xdr:col>11</xdr:col>
      <xdr:colOff>381000</xdr:colOff>
      <xdr:row>4</xdr:row>
      <xdr:rowOff>152400</xdr:rowOff>
    </xdr:to>
    <xdr:sp macro="" textlink="">
      <xdr:nvSpPr>
        <xdr:cNvPr id="13881" name="Freeform 1465">
          <a:extLst>
            <a:ext uri="{FF2B5EF4-FFF2-40B4-BE49-F238E27FC236}">
              <a16:creationId xmlns:a16="http://schemas.microsoft.com/office/drawing/2014/main" id="{00000000-0008-0000-0700-000039360000}"/>
            </a:ext>
          </a:extLst>
        </xdr:cNvPr>
        <xdr:cNvSpPr>
          <a:spLocks/>
        </xdr:cNvSpPr>
      </xdr:nvSpPr>
      <xdr:spPr bwMode="auto">
        <a:xfrm>
          <a:off x="7477125" y="876300"/>
          <a:ext cx="9525" cy="19050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2"/>
            <a:gd name="T37" fmla="*/ 0 h 30"/>
            <a:gd name="T38" fmla="*/ 62 w 62"/>
            <a:gd name="T39" fmla="*/ 30 h 30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2" h="30">
              <a:moveTo>
                <a:pt x="0" y="30"/>
              </a:moveTo>
              <a:lnTo>
                <a:pt x="1" y="22"/>
              </a:lnTo>
              <a:lnTo>
                <a:pt x="4" y="14"/>
              </a:lnTo>
              <a:lnTo>
                <a:pt x="11" y="7"/>
              </a:lnTo>
              <a:lnTo>
                <a:pt x="18" y="2"/>
              </a:lnTo>
              <a:lnTo>
                <a:pt x="26" y="0"/>
              </a:lnTo>
              <a:lnTo>
                <a:pt x="35" y="0"/>
              </a:lnTo>
              <a:lnTo>
                <a:pt x="43" y="2"/>
              </a:lnTo>
              <a:lnTo>
                <a:pt x="50" y="7"/>
              </a:lnTo>
              <a:lnTo>
                <a:pt x="57" y="14"/>
              </a:lnTo>
              <a:lnTo>
                <a:pt x="60" y="22"/>
              </a:lnTo>
              <a:lnTo>
                <a:pt x="62" y="3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4</xdr:row>
      <xdr:rowOff>142875</xdr:rowOff>
    </xdr:from>
    <xdr:to>
      <xdr:col>11</xdr:col>
      <xdr:colOff>381000</xdr:colOff>
      <xdr:row>6</xdr:row>
      <xdr:rowOff>38100</xdr:rowOff>
    </xdr:to>
    <xdr:sp macro="" textlink="">
      <xdr:nvSpPr>
        <xdr:cNvPr id="13882" name="Freeform 1466">
          <a:extLst>
            <a:ext uri="{FF2B5EF4-FFF2-40B4-BE49-F238E27FC236}">
              <a16:creationId xmlns:a16="http://schemas.microsoft.com/office/drawing/2014/main" id="{00000000-0008-0000-0700-00003A360000}"/>
            </a:ext>
          </a:extLst>
        </xdr:cNvPr>
        <xdr:cNvSpPr>
          <a:spLocks/>
        </xdr:cNvSpPr>
      </xdr:nvSpPr>
      <xdr:spPr bwMode="auto">
        <a:xfrm>
          <a:off x="7477125" y="885825"/>
          <a:ext cx="9525" cy="276225"/>
        </a:xfrm>
        <a:custGeom>
          <a:avLst/>
          <a:gdLst>
            <a:gd name="T0" fmla="*/ 0 w 62"/>
            <a:gd name="T1" fmla="*/ 0 h 1115"/>
            <a:gd name="T2" fmla="*/ 0 w 62"/>
            <a:gd name="T3" fmla="*/ 0 h 1115"/>
            <a:gd name="T4" fmla="*/ 0 w 62"/>
            <a:gd name="T5" fmla="*/ 0 h 1115"/>
            <a:gd name="T6" fmla="*/ 0 w 62"/>
            <a:gd name="T7" fmla="*/ 2147483647 h 1115"/>
            <a:gd name="T8" fmla="*/ 0 w 62"/>
            <a:gd name="T9" fmla="*/ 2147483647 h 1115"/>
            <a:gd name="T10" fmla="*/ 0 w 62"/>
            <a:gd name="T11" fmla="*/ 2147483647 h 1115"/>
            <a:gd name="T12" fmla="*/ 0 w 62"/>
            <a:gd name="T13" fmla="*/ 0 h 1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1115"/>
            <a:gd name="T23" fmla="*/ 62 w 62"/>
            <a:gd name="T24" fmla="*/ 1115 h 111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1115">
              <a:moveTo>
                <a:pt x="62" y="0"/>
              </a:moveTo>
              <a:lnTo>
                <a:pt x="31" y="0"/>
              </a:lnTo>
              <a:lnTo>
                <a:pt x="0" y="0"/>
              </a:lnTo>
              <a:lnTo>
                <a:pt x="0" y="1115"/>
              </a:lnTo>
              <a:lnTo>
                <a:pt x="31" y="1115"/>
              </a:lnTo>
              <a:lnTo>
                <a:pt x="62" y="1115"/>
              </a:lnTo>
              <a:lnTo>
                <a:pt x="6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4</xdr:row>
      <xdr:rowOff>142875</xdr:rowOff>
    </xdr:from>
    <xdr:to>
      <xdr:col>11</xdr:col>
      <xdr:colOff>381000</xdr:colOff>
      <xdr:row>6</xdr:row>
      <xdr:rowOff>38100</xdr:rowOff>
    </xdr:to>
    <xdr:sp macro="" textlink="">
      <xdr:nvSpPr>
        <xdr:cNvPr id="13883" name="Freeform 1467">
          <a:extLst>
            <a:ext uri="{FF2B5EF4-FFF2-40B4-BE49-F238E27FC236}">
              <a16:creationId xmlns:a16="http://schemas.microsoft.com/office/drawing/2014/main" id="{00000000-0008-0000-0700-00003B360000}"/>
            </a:ext>
          </a:extLst>
        </xdr:cNvPr>
        <xdr:cNvSpPr>
          <a:spLocks/>
        </xdr:cNvSpPr>
      </xdr:nvSpPr>
      <xdr:spPr bwMode="auto">
        <a:xfrm>
          <a:off x="7477125" y="885825"/>
          <a:ext cx="9525" cy="276225"/>
        </a:xfrm>
        <a:custGeom>
          <a:avLst/>
          <a:gdLst>
            <a:gd name="T0" fmla="*/ 0 w 62"/>
            <a:gd name="T1" fmla="*/ 0 h 1115"/>
            <a:gd name="T2" fmla="*/ 0 w 62"/>
            <a:gd name="T3" fmla="*/ 0 h 1115"/>
            <a:gd name="T4" fmla="*/ 0 w 62"/>
            <a:gd name="T5" fmla="*/ 0 h 1115"/>
            <a:gd name="T6" fmla="*/ 0 w 62"/>
            <a:gd name="T7" fmla="*/ 2147483647 h 1115"/>
            <a:gd name="T8" fmla="*/ 0 w 62"/>
            <a:gd name="T9" fmla="*/ 2147483647 h 1115"/>
            <a:gd name="T10" fmla="*/ 0 w 62"/>
            <a:gd name="T11" fmla="*/ 2147483647 h 1115"/>
            <a:gd name="T12" fmla="*/ 0 w 62"/>
            <a:gd name="T13" fmla="*/ 0 h 1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1115"/>
            <a:gd name="T23" fmla="*/ 62 w 62"/>
            <a:gd name="T24" fmla="*/ 1115 h 111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1115">
              <a:moveTo>
                <a:pt x="62" y="0"/>
              </a:moveTo>
              <a:lnTo>
                <a:pt x="31" y="0"/>
              </a:lnTo>
              <a:lnTo>
                <a:pt x="0" y="0"/>
              </a:lnTo>
              <a:lnTo>
                <a:pt x="0" y="1115"/>
              </a:lnTo>
              <a:lnTo>
                <a:pt x="31" y="1115"/>
              </a:lnTo>
              <a:lnTo>
                <a:pt x="62" y="1115"/>
              </a:lnTo>
              <a:lnTo>
                <a:pt x="62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6</xdr:row>
      <xdr:rowOff>38100</xdr:rowOff>
    </xdr:from>
    <xdr:to>
      <xdr:col>11</xdr:col>
      <xdr:colOff>381000</xdr:colOff>
      <xdr:row>6</xdr:row>
      <xdr:rowOff>47625</xdr:rowOff>
    </xdr:to>
    <xdr:sp macro="" textlink="">
      <xdr:nvSpPr>
        <xdr:cNvPr id="13884" name="Freeform 1468">
          <a:extLst>
            <a:ext uri="{FF2B5EF4-FFF2-40B4-BE49-F238E27FC236}">
              <a16:creationId xmlns:a16="http://schemas.microsoft.com/office/drawing/2014/main" id="{00000000-0008-0000-0700-00003C360000}"/>
            </a:ext>
          </a:extLst>
        </xdr:cNvPr>
        <xdr:cNvSpPr>
          <a:spLocks/>
        </xdr:cNvSpPr>
      </xdr:nvSpPr>
      <xdr:spPr bwMode="auto">
        <a:xfrm>
          <a:off x="7477125" y="1162050"/>
          <a:ext cx="9525" cy="9525"/>
        </a:xfrm>
        <a:custGeom>
          <a:avLst/>
          <a:gdLst>
            <a:gd name="T0" fmla="*/ 0 w 62"/>
            <a:gd name="T1" fmla="*/ 0 h 31"/>
            <a:gd name="T2" fmla="*/ 0 w 62"/>
            <a:gd name="T3" fmla="*/ 0 h 31"/>
            <a:gd name="T4" fmla="*/ 0 w 62"/>
            <a:gd name="T5" fmla="*/ 0 h 31"/>
            <a:gd name="T6" fmla="*/ 0 w 62"/>
            <a:gd name="T7" fmla="*/ 0 h 31"/>
            <a:gd name="T8" fmla="*/ 0 w 62"/>
            <a:gd name="T9" fmla="*/ 0 h 31"/>
            <a:gd name="T10" fmla="*/ 0 w 62"/>
            <a:gd name="T11" fmla="*/ 0 h 31"/>
            <a:gd name="T12" fmla="*/ 0 w 62"/>
            <a:gd name="T13" fmla="*/ 0 h 31"/>
            <a:gd name="T14" fmla="*/ 0 w 62"/>
            <a:gd name="T15" fmla="*/ 0 h 31"/>
            <a:gd name="T16" fmla="*/ 0 w 62"/>
            <a:gd name="T17" fmla="*/ 0 h 31"/>
            <a:gd name="T18" fmla="*/ 0 w 62"/>
            <a:gd name="T19" fmla="*/ 0 h 31"/>
            <a:gd name="T20" fmla="*/ 0 w 62"/>
            <a:gd name="T21" fmla="*/ 0 h 31"/>
            <a:gd name="T22" fmla="*/ 0 w 62"/>
            <a:gd name="T23" fmla="*/ 0 h 31"/>
            <a:gd name="T24" fmla="*/ 0 w 62"/>
            <a:gd name="T25" fmla="*/ 0 h 31"/>
            <a:gd name="T26" fmla="*/ 0 w 62"/>
            <a:gd name="T27" fmla="*/ 0 h 3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2"/>
            <a:gd name="T43" fmla="*/ 0 h 31"/>
            <a:gd name="T44" fmla="*/ 62 w 62"/>
            <a:gd name="T45" fmla="*/ 31 h 31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2" h="31">
              <a:moveTo>
                <a:pt x="31" y="0"/>
              </a:moveTo>
              <a:lnTo>
                <a:pt x="62" y="0"/>
              </a:lnTo>
              <a:lnTo>
                <a:pt x="60" y="9"/>
              </a:lnTo>
              <a:lnTo>
                <a:pt x="57" y="17"/>
              </a:lnTo>
              <a:lnTo>
                <a:pt x="50" y="24"/>
              </a:lnTo>
              <a:lnTo>
                <a:pt x="43" y="29"/>
              </a:lnTo>
              <a:lnTo>
                <a:pt x="35" y="31"/>
              </a:lnTo>
              <a:lnTo>
                <a:pt x="26" y="31"/>
              </a:lnTo>
              <a:lnTo>
                <a:pt x="18" y="29"/>
              </a:lnTo>
              <a:lnTo>
                <a:pt x="11" y="24"/>
              </a:lnTo>
              <a:lnTo>
                <a:pt x="4" y="17"/>
              </a:lnTo>
              <a:lnTo>
                <a:pt x="1" y="9"/>
              </a:lnTo>
              <a:lnTo>
                <a:pt x="0" y="0"/>
              </a:lnTo>
              <a:lnTo>
                <a:pt x="3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6</xdr:row>
      <xdr:rowOff>38100</xdr:rowOff>
    </xdr:from>
    <xdr:to>
      <xdr:col>11</xdr:col>
      <xdr:colOff>381000</xdr:colOff>
      <xdr:row>6</xdr:row>
      <xdr:rowOff>47625</xdr:rowOff>
    </xdr:to>
    <xdr:sp macro="" textlink="">
      <xdr:nvSpPr>
        <xdr:cNvPr id="13885" name="Freeform 1469">
          <a:extLst>
            <a:ext uri="{FF2B5EF4-FFF2-40B4-BE49-F238E27FC236}">
              <a16:creationId xmlns:a16="http://schemas.microsoft.com/office/drawing/2014/main" id="{00000000-0008-0000-0700-00003D360000}"/>
            </a:ext>
          </a:extLst>
        </xdr:cNvPr>
        <xdr:cNvSpPr>
          <a:spLocks/>
        </xdr:cNvSpPr>
      </xdr:nvSpPr>
      <xdr:spPr bwMode="auto">
        <a:xfrm>
          <a:off x="7477125" y="1162050"/>
          <a:ext cx="9525" cy="9525"/>
        </a:xfrm>
        <a:custGeom>
          <a:avLst/>
          <a:gdLst>
            <a:gd name="T0" fmla="*/ 0 w 62"/>
            <a:gd name="T1" fmla="*/ 0 h 31"/>
            <a:gd name="T2" fmla="*/ 0 w 62"/>
            <a:gd name="T3" fmla="*/ 0 h 31"/>
            <a:gd name="T4" fmla="*/ 0 w 62"/>
            <a:gd name="T5" fmla="*/ 0 h 31"/>
            <a:gd name="T6" fmla="*/ 0 w 62"/>
            <a:gd name="T7" fmla="*/ 0 h 31"/>
            <a:gd name="T8" fmla="*/ 0 w 62"/>
            <a:gd name="T9" fmla="*/ 0 h 31"/>
            <a:gd name="T10" fmla="*/ 0 w 62"/>
            <a:gd name="T11" fmla="*/ 0 h 31"/>
            <a:gd name="T12" fmla="*/ 0 w 62"/>
            <a:gd name="T13" fmla="*/ 0 h 31"/>
            <a:gd name="T14" fmla="*/ 0 w 62"/>
            <a:gd name="T15" fmla="*/ 0 h 31"/>
            <a:gd name="T16" fmla="*/ 0 w 62"/>
            <a:gd name="T17" fmla="*/ 0 h 31"/>
            <a:gd name="T18" fmla="*/ 0 w 62"/>
            <a:gd name="T19" fmla="*/ 0 h 31"/>
            <a:gd name="T20" fmla="*/ 0 w 62"/>
            <a:gd name="T21" fmla="*/ 0 h 31"/>
            <a:gd name="T22" fmla="*/ 0 w 62"/>
            <a:gd name="T23" fmla="*/ 0 h 3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2"/>
            <a:gd name="T37" fmla="*/ 0 h 31"/>
            <a:gd name="T38" fmla="*/ 62 w 62"/>
            <a:gd name="T39" fmla="*/ 31 h 3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2" h="31">
              <a:moveTo>
                <a:pt x="62" y="0"/>
              </a:moveTo>
              <a:lnTo>
                <a:pt x="60" y="9"/>
              </a:lnTo>
              <a:lnTo>
                <a:pt x="57" y="17"/>
              </a:lnTo>
              <a:lnTo>
                <a:pt x="50" y="24"/>
              </a:lnTo>
              <a:lnTo>
                <a:pt x="43" y="29"/>
              </a:lnTo>
              <a:lnTo>
                <a:pt x="35" y="31"/>
              </a:lnTo>
              <a:lnTo>
                <a:pt x="26" y="31"/>
              </a:lnTo>
              <a:lnTo>
                <a:pt x="18" y="29"/>
              </a:lnTo>
              <a:lnTo>
                <a:pt x="11" y="24"/>
              </a:lnTo>
              <a:lnTo>
                <a:pt x="4" y="17"/>
              </a:lnTo>
              <a:lnTo>
                <a:pt x="1" y="9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6</xdr:row>
      <xdr:rowOff>114300</xdr:rowOff>
    </xdr:from>
    <xdr:to>
      <xdr:col>11</xdr:col>
      <xdr:colOff>381000</xdr:colOff>
      <xdr:row>6</xdr:row>
      <xdr:rowOff>123825</xdr:rowOff>
    </xdr:to>
    <xdr:sp macro="" textlink="">
      <xdr:nvSpPr>
        <xdr:cNvPr id="13886" name="Freeform 1470">
          <a:extLst>
            <a:ext uri="{FF2B5EF4-FFF2-40B4-BE49-F238E27FC236}">
              <a16:creationId xmlns:a16="http://schemas.microsoft.com/office/drawing/2014/main" id="{00000000-0008-0000-0700-00003E360000}"/>
            </a:ext>
          </a:extLst>
        </xdr:cNvPr>
        <xdr:cNvSpPr>
          <a:spLocks/>
        </xdr:cNvSpPr>
      </xdr:nvSpPr>
      <xdr:spPr bwMode="auto">
        <a:xfrm>
          <a:off x="7477125" y="1238250"/>
          <a:ext cx="9525" cy="9525"/>
        </a:xfrm>
        <a:custGeom>
          <a:avLst/>
          <a:gdLst>
            <a:gd name="T0" fmla="*/ 0 w 62"/>
            <a:gd name="T1" fmla="*/ 0 h 31"/>
            <a:gd name="T2" fmla="*/ 0 w 62"/>
            <a:gd name="T3" fmla="*/ 0 h 31"/>
            <a:gd name="T4" fmla="*/ 0 w 62"/>
            <a:gd name="T5" fmla="*/ 0 h 31"/>
            <a:gd name="T6" fmla="*/ 0 w 62"/>
            <a:gd name="T7" fmla="*/ 0 h 31"/>
            <a:gd name="T8" fmla="*/ 0 w 62"/>
            <a:gd name="T9" fmla="*/ 0 h 31"/>
            <a:gd name="T10" fmla="*/ 0 w 62"/>
            <a:gd name="T11" fmla="*/ 0 h 31"/>
            <a:gd name="T12" fmla="*/ 0 w 62"/>
            <a:gd name="T13" fmla="*/ 0 h 31"/>
            <a:gd name="T14" fmla="*/ 0 w 62"/>
            <a:gd name="T15" fmla="*/ 0 h 31"/>
            <a:gd name="T16" fmla="*/ 0 w 62"/>
            <a:gd name="T17" fmla="*/ 0 h 31"/>
            <a:gd name="T18" fmla="*/ 0 w 62"/>
            <a:gd name="T19" fmla="*/ 0 h 31"/>
            <a:gd name="T20" fmla="*/ 0 w 62"/>
            <a:gd name="T21" fmla="*/ 0 h 31"/>
            <a:gd name="T22" fmla="*/ 0 w 62"/>
            <a:gd name="T23" fmla="*/ 0 h 31"/>
            <a:gd name="T24" fmla="*/ 0 w 62"/>
            <a:gd name="T25" fmla="*/ 0 h 31"/>
            <a:gd name="T26" fmla="*/ 0 w 62"/>
            <a:gd name="T27" fmla="*/ 0 h 3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2"/>
            <a:gd name="T43" fmla="*/ 0 h 31"/>
            <a:gd name="T44" fmla="*/ 62 w 62"/>
            <a:gd name="T45" fmla="*/ 31 h 31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2" h="31">
              <a:moveTo>
                <a:pt x="31" y="31"/>
              </a:moveTo>
              <a:lnTo>
                <a:pt x="0" y="31"/>
              </a:lnTo>
              <a:lnTo>
                <a:pt x="1" y="22"/>
              </a:lnTo>
              <a:lnTo>
                <a:pt x="4" y="14"/>
              </a:lnTo>
              <a:lnTo>
                <a:pt x="11" y="8"/>
              </a:lnTo>
              <a:lnTo>
                <a:pt x="18" y="2"/>
              </a:lnTo>
              <a:lnTo>
                <a:pt x="26" y="0"/>
              </a:lnTo>
              <a:lnTo>
                <a:pt x="35" y="0"/>
              </a:lnTo>
              <a:lnTo>
                <a:pt x="43" y="2"/>
              </a:lnTo>
              <a:lnTo>
                <a:pt x="50" y="8"/>
              </a:lnTo>
              <a:lnTo>
                <a:pt x="57" y="14"/>
              </a:lnTo>
              <a:lnTo>
                <a:pt x="60" y="22"/>
              </a:lnTo>
              <a:lnTo>
                <a:pt x="62" y="31"/>
              </a:lnTo>
              <a:lnTo>
                <a:pt x="31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6</xdr:row>
      <xdr:rowOff>114300</xdr:rowOff>
    </xdr:from>
    <xdr:to>
      <xdr:col>11</xdr:col>
      <xdr:colOff>381000</xdr:colOff>
      <xdr:row>6</xdr:row>
      <xdr:rowOff>123825</xdr:rowOff>
    </xdr:to>
    <xdr:sp macro="" textlink="">
      <xdr:nvSpPr>
        <xdr:cNvPr id="13887" name="Freeform 1471">
          <a:extLst>
            <a:ext uri="{FF2B5EF4-FFF2-40B4-BE49-F238E27FC236}">
              <a16:creationId xmlns:a16="http://schemas.microsoft.com/office/drawing/2014/main" id="{00000000-0008-0000-0700-00003F360000}"/>
            </a:ext>
          </a:extLst>
        </xdr:cNvPr>
        <xdr:cNvSpPr>
          <a:spLocks/>
        </xdr:cNvSpPr>
      </xdr:nvSpPr>
      <xdr:spPr bwMode="auto">
        <a:xfrm>
          <a:off x="7477125" y="1238250"/>
          <a:ext cx="9525" cy="9525"/>
        </a:xfrm>
        <a:custGeom>
          <a:avLst/>
          <a:gdLst>
            <a:gd name="T0" fmla="*/ 0 w 62"/>
            <a:gd name="T1" fmla="*/ 0 h 31"/>
            <a:gd name="T2" fmla="*/ 0 w 62"/>
            <a:gd name="T3" fmla="*/ 0 h 31"/>
            <a:gd name="T4" fmla="*/ 0 w 62"/>
            <a:gd name="T5" fmla="*/ 0 h 31"/>
            <a:gd name="T6" fmla="*/ 0 w 62"/>
            <a:gd name="T7" fmla="*/ 0 h 31"/>
            <a:gd name="T8" fmla="*/ 0 w 62"/>
            <a:gd name="T9" fmla="*/ 0 h 31"/>
            <a:gd name="T10" fmla="*/ 0 w 62"/>
            <a:gd name="T11" fmla="*/ 0 h 31"/>
            <a:gd name="T12" fmla="*/ 0 w 62"/>
            <a:gd name="T13" fmla="*/ 0 h 31"/>
            <a:gd name="T14" fmla="*/ 0 w 62"/>
            <a:gd name="T15" fmla="*/ 0 h 31"/>
            <a:gd name="T16" fmla="*/ 0 w 62"/>
            <a:gd name="T17" fmla="*/ 0 h 31"/>
            <a:gd name="T18" fmla="*/ 0 w 62"/>
            <a:gd name="T19" fmla="*/ 0 h 31"/>
            <a:gd name="T20" fmla="*/ 0 w 62"/>
            <a:gd name="T21" fmla="*/ 0 h 31"/>
            <a:gd name="T22" fmla="*/ 0 w 62"/>
            <a:gd name="T23" fmla="*/ 0 h 3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2"/>
            <a:gd name="T37" fmla="*/ 0 h 31"/>
            <a:gd name="T38" fmla="*/ 62 w 62"/>
            <a:gd name="T39" fmla="*/ 31 h 3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2" h="31">
              <a:moveTo>
                <a:pt x="0" y="31"/>
              </a:moveTo>
              <a:lnTo>
                <a:pt x="1" y="22"/>
              </a:lnTo>
              <a:lnTo>
                <a:pt x="4" y="14"/>
              </a:lnTo>
              <a:lnTo>
                <a:pt x="11" y="8"/>
              </a:lnTo>
              <a:lnTo>
                <a:pt x="18" y="2"/>
              </a:lnTo>
              <a:lnTo>
                <a:pt x="26" y="0"/>
              </a:lnTo>
              <a:lnTo>
                <a:pt x="35" y="0"/>
              </a:lnTo>
              <a:lnTo>
                <a:pt x="43" y="2"/>
              </a:lnTo>
              <a:lnTo>
                <a:pt x="50" y="8"/>
              </a:lnTo>
              <a:lnTo>
                <a:pt x="57" y="14"/>
              </a:lnTo>
              <a:lnTo>
                <a:pt x="60" y="22"/>
              </a:lnTo>
              <a:lnTo>
                <a:pt x="62" y="31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6</xdr:row>
      <xdr:rowOff>114300</xdr:rowOff>
    </xdr:from>
    <xdr:to>
      <xdr:col>11</xdr:col>
      <xdr:colOff>381000</xdr:colOff>
      <xdr:row>7</xdr:row>
      <xdr:rowOff>161925</xdr:rowOff>
    </xdr:to>
    <xdr:sp macro="" textlink="">
      <xdr:nvSpPr>
        <xdr:cNvPr id="13888" name="Freeform 1472">
          <a:extLst>
            <a:ext uri="{FF2B5EF4-FFF2-40B4-BE49-F238E27FC236}">
              <a16:creationId xmlns:a16="http://schemas.microsoft.com/office/drawing/2014/main" id="{00000000-0008-0000-0700-000040360000}"/>
            </a:ext>
          </a:extLst>
        </xdr:cNvPr>
        <xdr:cNvSpPr>
          <a:spLocks/>
        </xdr:cNvSpPr>
      </xdr:nvSpPr>
      <xdr:spPr bwMode="auto">
        <a:xfrm>
          <a:off x="7477125" y="1238250"/>
          <a:ext cx="9525" cy="276225"/>
        </a:xfrm>
        <a:custGeom>
          <a:avLst/>
          <a:gdLst>
            <a:gd name="T0" fmla="*/ 0 w 62"/>
            <a:gd name="T1" fmla="*/ 0 h 1115"/>
            <a:gd name="T2" fmla="*/ 0 w 62"/>
            <a:gd name="T3" fmla="*/ 0 h 1115"/>
            <a:gd name="T4" fmla="*/ 0 w 62"/>
            <a:gd name="T5" fmla="*/ 0 h 1115"/>
            <a:gd name="T6" fmla="*/ 0 w 62"/>
            <a:gd name="T7" fmla="*/ 2147483647 h 1115"/>
            <a:gd name="T8" fmla="*/ 0 w 62"/>
            <a:gd name="T9" fmla="*/ 2147483647 h 1115"/>
            <a:gd name="T10" fmla="*/ 0 w 62"/>
            <a:gd name="T11" fmla="*/ 2147483647 h 1115"/>
            <a:gd name="T12" fmla="*/ 0 w 62"/>
            <a:gd name="T13" fmla="*/ 0 h 1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1115"/>
            <a:gd name="T23" fmla="*/ 62 w 62"/>
            <a:gd name="T24" fmla="*/ 1115 h 111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1115">
              <a:moveTo>
                <a:pt x="62" y="0"/>
              </a:moveTo>
              <a:lnTo>
                <a:pt x="31" y="0"/>
              </a:lnTo>
              <a:lnTo>
                <a:pt x="0" y="0"/>
              </a:lnTo>
              <a:lnTo>
                <a:pt x="0" y="1115"/>
              </a:lnTo>
              <a:lnTo>
                <a:pt x="31" y="1115"/>
              </a:lnTo>
              <a:lnTo>
                <a:pt x="62" y="1115"/>
              </a:lnTo>
              <a:lnTo>
                <a:pt x="6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6</xdr:row>
      <xdr:rowOff>114300</xdr:rowOff>
    </xdr:from>
    <xdr:to>
      <xdr:col>11</xdr:col>
      <xdr:colOff>381000</xdr:colOff>
      <xdr:row>7</xdr:row>
      <xdr:rowOff>161925</xdr:rowOff>
    </xdr:to>
    <xdr:sp macro="" textlink="">
      <xdr:nvSpPr>
        <xdr:cNvPr id="13889" name="Freeform 1473">
          <a:extLst>
            <a:ext uri="{FF2B5EF4-FFF2-40B4-BE49-F238E27FC236}">
              <a16:creationId xmlns:a16="http://schemas.microsoft.com/office/drawing/2014/main" id="{00000000-0008-0000-0700-000041360000}"/>
            </a:ext>
          </a:extLst>
        </xdr:cNvPr>
        <xdr:cNvSpPr>
          <a:spLocks/>
        </xdr:cNvSpPr>
      </xdr:nvSpPr>
      <xdr:spPr bwMode="auto">
        <a:xfrm>
          <a:off x="7477125" y="1238250"/>
          <a:ext cx="9525" cy="276225"/>
        </a:xfrm>
        <a:custGeom>
          <a:avLst/>
          <a:gdLst>
            <a:gd name="T0" fmla="*/ 0 w 62"/>
            <a:gd name="T1" fmla="*/ 0 h 1115"/>
            <a:gd name="T2" fmla="*/ 0 w 62"/>
            <a:gd name="T3" fmla="*/ 0 h 1115"/>
            <a:gd name="T4" fmla="*/ 0 w 62"/>
            <a:gd name="T5" fmla="*/ 0 h 1115"/>
            <a:gd name="T6" fmla="*/ 0 w 62"/>
            <a:gd name="T7" fmla="*/ 2147483647 h 1115"/>
            <a:gd name="T8" fmla="*/ 0 w 62"/>
            <a:gd name="T9" fmla="*/ 2147483647 h 1115"/>
            <a:gd name="T10" fmla="*/ 0 w 62"/>
            <a:gd name="T11" fmla="*/ 2147483647 h 1115"/>
            <a:gd name="T12" fmla="*/ 0 w 62"/>
            <a:gd name="T13" fmla="*/ 0 h 1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1115"/>
            <a:gd name="T23" fmla="*/ 62 w 62"/>
            <a:gd name="T24" fmla="*/ 1115 h 111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1115">
              <a:moveTo>
                <a:pt x="62" y="0"/>
              </a:moveTo>
              <a:lnTo>
                <a:pt x="31" y="0"/>
              </a:lnTo>
              <a:lnTo>
                <a:pt x="0" y="0"/>
              </a:lnTo>
              <a:lnTo>
                <a:pt x="0" y="1115"/>
              </a:lnTo>
              <a:lnTo>
                <a:pt x="31" y="1115"/>
              </a:lnTo>
              <a:lnTo>
                <a:pt x="62" y="1115"/>
              </a:lnTo>
              <a:lnTo>
                <a:pt x="62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7</xdr:row>
      <xdr:rowOff>161925</xdr:rowOff>
    </xdr:from>
    <xdr:to>
      <xdr:col>11</xdr:col>
      <xdr:colOff>381000</xdr:colOff>
      <xdr:row>7</xdr:row>
      <xdr:rowOff>161925</xdr:rowOff>
    </xdr:to>
    <xdr:sp macro="" textlink="">
      <xdr:nvSpPr>
        <xdr:cNvPr id="13890" name="Freeform 1474">
          <a:extLst>
            <a:ext uri="{FF2B5EF4-FFF2-40B4-BE49-F238E27FC236}">
              <a16:creationId xmlns:a16="http://schemas.microsoft.com/office/drawing/2014/main" id="{00000000-0008-0000-0700-000042360000}"/>
            </a:ext>
          </a:extLst>
        </xdr:cNvPr>
        <xdr:cNvSpPr>
          <a:spLocks/>
        </xdr:cNvSpPr>
      </xdr:nvSpPr>
      <xdr:spPr bwMode="auto">
        <a:xfrm>
          <a:off x="7477125" y="1514475"/>
          <a:ext cx="9525" cy="0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w 62"/>
            <a:gd name="T25" fmla="*/ 0 h 30"/>
            <a:gd name="T26" fmla="*/ 0 w 62"/>
            <a:gd name="T27" fmla="*/ 0 h 30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2"/>
            <a:gd name="T43" fmla="*/ 0 h 30"/>
            <a:gd name="T44" fmla="*/ 62 w 62"/>
            <a:gd name="T45" fmla="*/ 0 h 30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2" h="30">
              <a:moveTo>
                <a:pt x="31" y="0"/>
              </a:moveTo>
              <a:lnTo>
                <a:pt x="62" y="0"/>
              </a:lnTo>
              <a:lnTo>
                <a:pt x="60" y="8"/>
              </a:lnTo>
              <a:lnTo>
                <a:pt x="57" y="17"/>
              </a:lnTo>
              <a:lnTo>
                <a:pt x="50" y="23"/>
              </a:lnTo>
              <a:lnTo>
                <a:pt x="43" y="28"/>
              </a:lnTo>
              <a:lnTo>
                <a:pt x="35" y="30"/>
              </a:lnTo>
              <a:lnTo>
                <a:pt x="26" y="30"/>
              </a:lnTo>
              <a:lnTo>
                <a:pt x="18" y="28"/>
              </a:lnTo>
              <a:lnTo>
                <a:pt x="11" y="23"/>
              </a:lnTo>
              <a:lnTo>
                <a:pt x="4" y="17"/>
              </a:lnTo>
              <a:lnTo>
                <a:pt x="1" y="8"/>
              </a:lnTo>
              <a:lnTo>
                <a:pt x="0" y="0"/>
              </a:lnTo>
              <a:lnTo>
                <a:pt x="3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7</xdr:row>
      <xdr:rowOff>161925</xdr:rowOff>
    </xdr:from>
    <xdr:to>
      <xdr:col>11</xdr:col>
      <xdr:colOff>381000</xdr:colOff>
      <xdr:row>7</xdr:row>
      <xdr:rowOff>161925</xdr:rowOff>
    </xdr:to>
    <xdr:sp macro="" textlink="">
      <xdr:nvSpPr>
        <xdr:cNvPr id="13891" name="Freeform 1475">
          <a:extLst>
            <a:ext uri="{FF2B5EF4-FFF2-40B4-BE49-F238E27FC236}">
              <a16:creationId xmlns:a16="http://schemas.microsoft.com/office/drawing/2014/main" id="{00000000-0008-0000-0700-000043360000}"/>
            </a:ext>
          </a:extLst>
        </xdr:cNvPr>
        <xdr:cNvSpPr>
          <a:spLocks/>
        </xdr:cNvSpPr>
      </xdr:nvSpPr>
      <xdr:spPr bwMode="auto">
        <a:xfrm>
          <a:off x="7477125" y="1514475"/>
          <a:ext cx="9525" cy="0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2"/>
            <a:gd name="T37" fmla="*/ 0 h 30"/>
            <a:gd name="T38" fmla="*/ 62 w 62"/>
            <a:gd name="T39" fmla="*/ 0 h 30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2" h="30">
              <a:moveTo>
                <a:pt x="62" y="0"/>
              </a:moveTo>
              <a:lnTo>
                <a:pt x="60" y="8"/>
              </a:lnTo>
              <a:lnTo>
                <a:pt x="57" y="17"/>
              </a:lnTo>
              <a:lnTo>
                <a:pt x="50" y="23"/>
              </a:lnTo>
              <a:lnTo>
                <a:pt x="43" y="28"/>
              </a:lnTo>
              <a:lnTo>
                <a:pt x="35" y="30"/>
              </a:lnTo>
              <a:lnTo>
                <a:pt x="26" y="30"/>
              </a:lnTo>
              <a:lnTo>
                <a:pt x="18" y="28"/>
              </a:lnTo>
              <a:lnTo>
                <a:pt x="11" y="23"/>
              </a:lnTo>
              <a:lnTo>
                <a:pt x="4" y="17"/>
              </a:lnTo>
              <a:lnTo>
                <a:pt x="1" y="8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7</xdr:row>
      <xdr:rowOff>228600</xdr:rowOff>
    </xdr:from>
    <xdr:to>
      <xdr:col>11</xdr:col>
      <xdr:colOff>381000</xdr:colOff>
      <xdr:row>7</xdr:row>
      <xdr:rowOff>228600</xdr:rowOff>
    </xdr:to>
    <xdr:sp macro="" textlink="">
      <xdr:nvSpPr>
        <xdr:cNvPr id="13892" name="Freeform 1476">
          <a:extLst>
            <a:ext uri="{FF2B5EF4-FFF2-40B4-BE49-F238E27FC236}">
              <a16:creationId xmlns:a16="http://schemas.microsoft.com/office/drawing/2014/main" id="{00000000-0008-0000-0700-000044360000}"/>
            </a:ext>
          </a:extLst>
        </xdr:cNvPr>
        <xdr:cNvSpPr>
          <a:spLocks/>
        </xdr:cNvSpPr>
      </xdr:nvSpPr>
      <xdr:spPr bwMode="auto">
        <a:xfrm>
          <a:off x="7477125" y="1581150"/>
          <a:ext cx="9525" cy="0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w 62"/>
            <a:gd name="T25" fmla="*/ 0 h 30"/>
            <a:gd name="T26" fmla="*/ 0 w 62"/>
            <a:gd name="T27" fmla="*/ 0 h 30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2"/>
            <a:gd name="T43" fmla="*/ 0 h 30"/>
            <a:gd name="T44" fmla="*/ 62 w 62"/>
            <a:gd name="T45" fmla="*/ 0 h 30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2" h="30">
              <a:moveTo>
                <a:pt x="31" y="30"/>
              </a:moveTo>
              <a:lnTo>
                <a:pt x="0" y="30"/>
              </a:lnTo>
              <a:lnTo>
                <a:pt x="1" y="22"/>
              </a:lnTo>
              <a:lnTo>
                <a:pt x="4" y="13"/>
              </a:lnTo>
              <a:lnTo>
                <a:pt x="11" y="7"/>
              </a:lnTo>
              <a:lnTo>
                <a:pt x="18" y="2"/>
              </a:lnTo>
              <a:lnTo>
                <a:pt x="26" y="0"/>
              </a:lnTo>
              <a:lnTo>
                <a:pt x="35" y="0"/>
              </a:lnTo>
              <a:lnTo>
                <a:pt x="43" y="2"/>
              </a:lnTo>
              <a:lnTo>
                <a:pt x="50" y="7"/>
              </a:lnTo>
              <a:lnTo>
                <a:pt x="57" y="13"/>
              </a:lnTo>
              <a:lnTo>
                <a:pt x="60" y="22"/>
              </a:lnTo>
              <a:lnTo>
                <a:pt x="62" y="30"/>
              </a:lnTo>
              <a:lnTo>
                <a:pt x="31" y="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7</xdr:row>
      <xdr:rowOff>228600</xdr:rowOff>
    </xdr:from>
    <xdr:to>
      <xdr:col>11</xdr:col>
      <xdr:colOff>381000</xdr:colOff>
      <xdr:row>7</xdr:row>
      <xdr:rowOff>228600</xdr:rowOff>
    </xdr:to>
    <xdr:sp macro="" textlink="">
      <xdr:nvSpPr>
        <xdr:cNvPr id="13893" name="Freeform 1477">
          <a:extLst>
            <a:ext uri="{FF2B5EF4-FFF2-40B4-BE49-F238E27FC236}">
              <a16:creationId xmlns:a16="http://schemas.microsoft.com/office/drawing/2014/main" id="{00000000-0008-0000-0700-000045360000}"/>
            </a:ext>
          </a:extLst>
        </xdr:cNvPr>
        <xdr:cNvSpPr>
          <a:spLocks/>
        </xdr:cNvSpPr>
      </xdr:nvSpPr>
      <xdr:spPr bwMode="auto">
        <a:xfrm>
          <a:off x="7477125" y="1581150"/>
          <a:ext cx="9525" cy="0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2"/>
            <a:gd name="T37" fmla="*/ 0 h 30"/>
            <a:gd name="T38" fmla="*/ 62 w 62"/>
            <a:gd name="T39" fmla="*/ 0 h 30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2" h="30">
              <a:moveTo>
                <a:pt x="0" y="30"/>
              </a:moveTo>
              <a:lnTo>
                <a:pt x="1" y="22"/>
              </a:lnTo>
              <a:lnTo>
                <a:pt x="4" y="13"/>
              </a:lnTo>
              <a:lnTo>
                <a:pt x="11" y="7"/>
              </a:lnTo>
              <a:lnTo>
                <a:pt x="18" y="2"/>
              </a:lnTo>
              <a:lnTo>
                <a:pt x="26" y="0"/>
              </a:lnTo>
              <a:lnTo>
                <a:pt x="35" y="0"/>
              </a:lnTo>
              <a:lnTo>
                <a:pt x="43" y="2"/>
              </a:lnTo>
              <a:lnTo>
                <a:pt x="50" y="7"/>
              </a:lnTo>
              <a:lnTo>
                <a:pt x="57" y="13"/>
              </a:lnTo>
              <a:lnTo>
                <a:pt x="60" y="22"/>
              </a:lnTo>
              <a:lnTo>
                <a:pt x="62" y="3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7</xdr:row>
      <xdr:rowOff>228600</xdr:rowOff>
    </xdr:from>
    <xdr:to>
      <xdr:col>11</xdr:col>
      <xdr:colOff>381000</xdr:colOff>
      <xdr:row>9</xdr:row>
      <xdr:rowOff>38100</xdr:rowOff>
    </xdr:to>
    <xdr:sp macro="" textlink="">
      <xdr:nvSpPr>
        <xdr:cNvPr id="13894" name="Freeform 1478">
          <a:extLst>
            <a:ext uri="{FF2B5EF4-FFF2-40B4-BE49-F238E27FC236}">
              <a16:creationId xmlns:a16="http://schemas.microsoft.com/office/drawing/2014/main" id="{00000000-0008-0000-0700-000046360000}"/>
            </a:ext>
          </a:extLst>
        </xdr:cNvPr>
        <xdr:cNvSpPr>
          <a:spLocks/>
        </xdr:cNvSpPr>
      </xdr:nvSpPr>
      <xdr:spPr bwMode="auto">
        <a:xfrm>
          <a:off x="7477125" y="1581150"/>
          <a:ext cx="9525" cy="266700"/>
        </a:xfrm>
        <a:custGeom>
          <a:avLst/>
          <a:gdLst>
            <a:gd name="T0" fmla="*/ 0 w 62"/>
            <a:gd name="T1" fmla="*/ 0 h 1115"/>
            <a:gd name="T2" fmla="*/ 0 w 62"/>
            <a:gd name="T3" fmla="*/ 0 h 1115"/>
            <a:gd name="T4" fmla="*/ 0 w 62"/>
            <a:gd name="T5" fmla="*/ 0 h 1115"/>
            <a:gd name="T6" fmla="*/ 0 w 62"/>
            <a:gd name="T7" fmla="*/ 2147483647 h 1115"/>
            <a:gd name="T8" fmla="*/ 0 w 62"/>
            <a:gd name="T9" fmla="*/ 2147483647 h 1115"/>
            <a:gd name="T10" fmla="*/ 0 w 62"/>
            <a:gd name="T11" fmla="*/ 2147483647 h 1115"/>
            <a:gd name="T12" fmla="*/ 0 w 62"/>
            <a:gd name="T13" fmla="*/ 0 h 1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1115"/>
            <a:gd name="T23" fmla="*/ 62 w 62"/>
            <a:gd name="T24" fmla="*/ 1115 h 111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1115">
              <a:moveTo>
                <a:pt x="62" y="0"/>
              </a:moveTo>
              <a:lnTo>
                <a:pt x="31" y="0"/>
              </a:lnTo>
              <a:lnTo>
                <a:pt x="0" y="0"/>
              </a:lnTo>
              <a:lnTo>
                <a:pt x="0" y="1115"/>
              </a:lnTo>
              <a:lnTo>
                <a:pt x="31" y="1115"/>
              </a:lnTo>
              <a:lnTo>
                <a:pt x="62" y="1115"/>
              </a:lnTo>
              <a:lnTo>
                <a:pt x="6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7</xdr:row>
      <xdr:rowOff>228600</xdr:rowOff>
    </xdr:from>
    <xdr:to>
      <xdr:col>11</xdr:col>
      <xdr:colOff>381000</xdr:colOff>
      <xdr:row>9</xdr:row>
      <xdr:rowOff>38100</xdr:rowOff>
    </xdr:to>
    <xdr:sp macro="" textlink="">
      <xdr:nvSpPr>
        <xdr:cNvPr id="13895" name="Freeform 1479">
          <a:extLst>
            <a:ext uri="{FF2B5EF4-FFF2-40B4-BE49-F238E27FC236}">
              <a16:creationId xmlns:a16="http://schemas.microsoft.com/office/drawing/2014/main" id="{00000000-0008-0000-0700-000047360000}"/>
            </a:ext>
          </a:extLst>
        </xdr:cNvPr>
        <xdr:cNvSpPr>
          <a:spLocks/>
        </xdr:cNvSpPr>
      </xdr:nvSpPr>
      <xdr:spPr bwMode="auto">
        <a:xfrm>
          <a:off x="7477125" y="1581150"/>
          <a:ext cx="9525" cy="266700"/>
        </a:xfrm>
        <a:custGeom>
          <a:avLst/>
          <a:gdLst>
            <a:gd name="T0" fmla="*/ 0 w 62"/>
            <a:gd name="T1" fmla="*/ 0 h 1115"/>
            <a:gd name="T2" fmla="*/ 0 w 62"/>
            <a:gd name="T3" fmla="*/ 0 h 1115"/>
            <a:gd name="T4" fmla="*/ 0 w 62"/>
            <a:gd name="T5" fmla="*/ 0 h 1115"/>
            <a:gd name="T6" fmla="*/ 0 w 62"/>
            <a:gd name="T7" fmla="*/ 2147483647 h 1115"/>
            <a:gd name="T8" fmla="*/ 0 w 62"/>
            <a:gd name="T9" fmla="*/ 2147483647 h 1115"/>
            <a:gd name="T10" fmla="*/ 0 w 62"/>
            <a:gd name="T11" fmla="*/ 2147483647 h 1115"/>
            <a:gd name="T12" fmla="*/ 0 w 62"/>
            <a:gd name="T13" fmla="*/ 0 h 1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1115"/>
            <a:gd name="T23" fmla="*/ 62 w 62"/>
            <a:gd name="T24" fmla="*/ 1115 h 111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1115">
              <a:moveTo>
                <a:pt x="62" y="0"/>
              </a:moveTo>
              <a:lnTo>
                <a:pt x="31" y="0"/>
              </a:lnTo>
              <a:lnTo>
                <a:pt x="0" y="0"/>
              </a:lnTo>
              <a:lnTo>
                <a:pt x="0" y="1115"/>
              </a:lnTo>
              <a:lnTo>
                <a:pt x="31" y="1115"/>
              </a:lnTo>
              <a:lnTo>
                <a:pt x="62" y="1115"/>
              </a:lnTo>
              <a:lnTo>
                <a:pt x="62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9</xdr:row>
      <xdr:rowOff>38100</xdr:rowOff>
    </xdr:from>
    <xdr:to>
      <xdr:col>11</xdr:col>
      <xdr:colOff>381000</xdr:colOff>
      <xdr:row>9</xdr:row>
      <xdr:rowOff>47625</xdr:rowOff>
    </xdr:to>
    <xdr:sp macro="" textlink="">
      <xdr:nvSpPr>
        <xdr:cNvPr id="13896" name="Freeform 1480">
          <a:extLst>
            <a:ext uri="{FF2B5EF4-FFF2-40B4-BE49-F238E27FC236}">
              <a16:creationId xmlns:a16="http://schemas.microsoft.com/office/drawing/2014/main" id="{00000000-0008-0000-0700-000048360000}"/>
            </a:ext>
          </a:extLst>
        </xdr:cNvPr>
        <xdr:cNvSpPr>
          <a:spLocks/>
        </xdr:cNvSpPr>
      </xdr:nvSpPr>
      <xdr:spPr bwMode="auto">
        <a:xfrm>
          <a:off x="7477125" y="1847850"/>
          <a:ext cx="9525" cy="9525"/>
        </a:xfrm>
        <a:custGeom>
          <a:avLst/>
          <a:gdLst>
            <a:gd name="T0" fmla="*/ 0 w 62"/>
            <a:gd name="T1" fmla="*/ 0 h 31"/>
            <a:gd name="T2" fmla="*/ 0 w 62"/>
            <a:gd name="T3" fmla="*/ 0 h 31"/>
            <a:gd name="T4" fmla="*/ 0 w 62"/>
            <a:gd name="T5" fmla="*/ 0 h 31"/>
            <a:gd name="T6" fmla="*/ 0 w 62"/>
            <a:gd name="T7" fmla="*/ 0 h 31"/>
            <a:gd name="T8" fmla="*/ 0 w 62"/>
            <a:gd name="T9" fmla="*/ 0 h 31"/>
            <a:gd name="T10" fmla="*/ 0 w 62"/>
            <a:gd name="T11" fmla="*/ 0 h 31"/>
            <a:gd name="T12" fmla="*/ 0 w 62"/>
            <a:gd name="T13" fmla="*/ 0 h 31"/>
            <a:gd name="T14" fmla="*/ 0 w 62"/>
            <a:gd name="T15" fmla="*/ 0 h 31"/>
            <a:gd name="T16" fmla="*/ 0 w 62"/>
            <a:gd name="T17" fmla="*/ 0 h 31"/>
            <a:gd name="T18" fmla="*/ 0 w 62"/>
            <a:gd name="T19" fmla="*/ 0 h 31"/>
            <a:gd name="T20" fmla="*/ 0 w 62"/>
            <a:gd name="T21" fmla="*/ 0 h 31"/>
            <a:gd name="T22" fmla="*/ 0 w 62"/>
            <a:gd name="T23" fmla="*/ 0 h 31"/>
            <a:gd name="T24" fmla="*/ 0 w 62"/>
            <a:gd name="T25" fmla="*/ 0 h 31"/>
            <a:gd name="T26" fmla="*/ 0 w 62"/>
            <a:gd name="T27" fmla="*/ 0 h 3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2"/>
            <a:gd name="T43" fmla="*/ 0 h 31"/>
            <a:gd name="T44" fmla="*/ 62 w 62"/>
            <a:gd name="T45" fmla="*/ 31 h 31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2" h="31">
              <a:moveTo>
                <a:pt x="31" y="0"/>
              </a:moveTo>
              <a:lnTo>
                <a:pt x="62" y="0"/>
              </a:lnTo>
              <a:lnTo>
                <a:pt x="60" y="9"/>
              </a:lnTo>
              <a:lnTo>
                <a:pt x="57" y="17"/>
              </a:lnTo>
              <a:lnTo>
                <a:pt x="50" y="23"/>
              </a:lnTo>
              <a:lnTo>
                <a:pt x="43" y="29"/>
              </a:lnTo>
              <a:lnTo>
                <a:pt x="35" y="31"/>
              </a:lnTo>
              <a:lnTo>
                <a:pt x="26" y="31"/>
              </a:lnTo>
              <a:lnTo>
                <a:pt x="18" y="29"/>
              </a:lnTo>
              <a:lnTo>
                <a:pt x="11" y="23"/>
              </a:lnTo>
              <a:lnTo>
                <a:pt x="4" y="17"/>
              </a:lnTo>
              <a:lnTo>
                <a:pt x="1" y="9"/>
              </a:lnTo>
              <a:lnTo>
                <a:pt x="0" y="0"/>
              </a:lnTo>
              <a:lnTo>
                <a:pt x="3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9</xdr:row>
      <xdr:rowOff>38100</xdr:rowOff>
    </xdr:from>
    <xdr:to>
      <xdr:col>11</xdr:col>
      <xdr:colOff>381000</xdr:colOff>
      <xdr:row>9</xdr:row>
      <xdr:rowOff>47625</xdr:rowOff>
    </xdr:to>
    <xdr:sp macro="" textlink="">
      <xdr:nvSpPr>
        <xdr:cNvPr id="13897" name="Freeform 1481">
          <a:extLst>
            <a:ext uri="{FF2B5EF4-FFF2-40B4-BE49-F238E27FC236}">
              <a16:creationId xmlns:a16="http://schemas.microsoft.com/office/drawing/2014/main" id="{00000000-0008-0000-0700-000049360000}"/>
            </a:ext>
          </a:extLst>
        </xdr:cNvPr>
        <xdr:cNvSpPr>
          <a:spLocks/>
        </xdr:cNvSpPr>
      </xdr:nvSpPr>
      <xdr:spPr bwMode="auto">
        <a:xfrm>
          <a:off x="7477125" y="1847850"/>
          <a:ext cx="9525" cy="9525"/>
        </a:xfrm>
        <a:custGeom>
          <a:avLst/>
          <a:gdLst>
            <a:gd name="T0" fmla="*/ 0 w 62"/>
            <a:gd name="T1" fmla="*/ 0 h 31"/>
            <a:gd name="T2" fmla="*/ 0 w 62"/>
            <a:gd name="T3" fmla="*/ 0 h 31"/>
            <a:gd name="T4" fmla="*/ 0 w 62"/>
            <a:gd name="T5" fmla="*/ 0 h 31"/>
            <a:gd name="T6" fmla="*/ 0 w 62"/>
            <a:gd name="T7" fmla="*/ 0 h 31"/>
            <a:gd name="T8" fmla="*/ 0 w 62"/>
            <a:gd name="T9" fmla="*/ 0 h 31"/>
            <a:gd name="T10" fmla="*/ 0 w 62"/>
            <a:gd name="T11" fmla="*/ 0 h 31"/>
            <a:gd name="T12" fmla="*/ 0 w 62"/>
            <a:gd name="T13" fmla="*/ 0 h 31"/>
            <a:gd name="T14" fmla="*/ 0 w 62"/>
            <a:gd name="T15" fmla="*/ 0 h 31"/>
            <a:gd name="T16" fmla="*/ 0 w 62"/>
            <a:gd name="T17" fmla="*/ 0 h 31"/>
            <a:gd name="T18" fmla="*/ 0 w 62"/>
            <a:gd name="T19" fmla="*/ 0 h 31"/>
            <a:gd name="T20" fmla="*/ 0 w 62"/>
            <a:gd name="T21" fmla="*/ 0 h 31"/>
            <a:gd name="T22" fmla="*/ 0 w 62"/>
            <a:gd name="T23" fmla="*/ 0 h 3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2"/>
            <a:gd name="T37" fmla="*/ 0 h 31"/>
            <a:gd name="T38" fmla="*/ 62 w 62"/>
            <a:gd name="T39" fmla="*/ 31 h 3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2" h="31">
              <a:moveTo>
                <a:pt x="62" y="0"/>
              </a:moveTo>
              <a:lnTo>
                <a:pt x="60" y="9"/>
              </a:lnTo>
              <a:lnTo>
                <a:pt x="57" y="17"/>
              </a:lnTo>
              <a:lnTo>
                <a:pt x="50" y="23"/>
              </a:lnTo>
              <a:lnTo>
                <a:pt x="43" y="29"/>
              </a:lnTo>
              <a:lnTo>
                <a:pt x="35" y="31"/>
              </a:lnTo>
              <a:lnTo>
                <a:pt x="26" y="31"/>
              </a:lnTo>
              <a:lnTo>
                <a:pt x="18" y="29"/>
              </a:lnTo>
              <a:lnTo>
                <a:pt x="11" y="23"/>
              </a:lnTo>
              <a:lnTo>
                <a:pt x="4" y="17"/>
              </a:lnTo>
              <a:lnTo>
                <a:pt x="1" y="9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9</xdr:row>
      <xdr:rowOff>95250</xdr:rowOff>
    </xdr:from>
    <xdr:to>
      <xdr:col>11</xdr:col>
      <xdr:colOff>381000</xdr:colOff>
      <xdr:row>9</xdr:row>
      <xdr:rowOff>114300</xdr:rowOff>
    </xdr:to>
    <xdr:sp macro="" textlink="">
      <xdr:nvSpPr>
        <xdr:cNvPr id="13898" name="Freeform 1482">
          <a:extLst>
            <a:ext uri="{FF2B5EF4-FFF2-40B4-BE49-F238E27FC236}">
              <a16:creationId xmlns:a16="http://schemas.microsoft.com/office/drawing/2014/main" id="{00000000-0008-0000-0700-00004A360000}"/>
            </a:ext>
          </a:extLst>
        </xdr:cNvPr>
        <xdr:cNvSpPr>
          <a:spLocks/>
        </xdr:cNvSpPr>
      </xdr:nvSpPr>
      <xdr:spPr bwMode="auto">
        <a:xfrm>
          <a:off x="7477125" y="1905000"/>
          <a:ext cx="9525" cy="19050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w 62"/>
            <a:gd name="T25" fmla="*/ 0 h 30"/>
            <a:gd name="T26" fmla="*/ 0 w 62"/>
            <a:gd name="T27" fmla="*/ 0 h 30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2"/>
            <a:gd name="T43" fmla="*/ 0 h 30"/>
            <a:gd name="T44" fmla="*/ 62 w 62"/>
            <a:gd name="T45" fmla="*/ 30 h 30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2" h="30">
              <a:moveTo>
                <a:pt x="31" y="30"/>
              </a:moveTo>
              <a:lnTo>
                <a:pt x="0" y="30"/>
              </a:lnTo>
              <a:lnTo>
                <a:pt x="1" y="22"/>
              </a:lnTo>
              <a:lnTo>
                <a:pt x="4" y="14"/>
              </a:lnTo>
              <a:lnTo>
                <a:pt x="11" y="7"/>
              </a:lnTo>
              <a:lnTo>
                <a:pt x="18" y="2"/>
              </a:lnTo>
              <a:lnTo>
                <a:pt x="26" y="0"/>
              </a:lnTo>
              <a:lnTo>
                <a:pt x="35" y="0"/>
              </a:lnTo>
              <a:lnTo>
                <a:pt x="43" y="2"/>
              </a:lnTo>
              <a:lnTo>
                <a:pt x="50" y="7"/>
              </a:lnTo>
              <a:lnTo>
                <a:pt x="57" y="14"/>
              </a:lnTo>
              <a:lnTo>
                <a:pt x="60" y="22"/>
              </a:lnTo>
              <a:lnTo>
                <a:pt x="62" y="30"/>
              </a:lnTo>
              <a:lnTo>
                <a:pt x="31" y="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9</xdr:row>
      <xdr:rowOff>95250</xdr:rowOff>
    </xdr:from>
    <xdr:to>
      <xdr:col>11</xdr:col>
      <xdr:colOff>381000</xdr:colOff>
      <xdr:row>9</xdr:row>
      <xdr:rowOff>114300</xdr:rowOff>
    </xdr:to>
    <xdr:sp macro="" textlink="">
      <xdr:nvSpPr>
        <xdr:cNvPr id="13899" name="Freeform 1483">
          <a:extLst>
            <a:ext uri="{FF2B5EF4-FFF2-40B4-BE49-F238E27FC236}">
              <a16:creationId xmlns:a16="http://schemas.microsoft.com/office/drawing/2014/main" id="{00000000-0008-0000-0700-00004B360000}"/>
            </a:ext>
          </a:extLst>
        </xdr:cNvPr>
        <xdr:cNvSpPr>
          <a:spLocks/>
        </xdr:cNvSpPr>
      </xdr:nvSpPr>
      <xdr:spPr bwMode="auto">
        <a:xfrm>
          <a:off x="7477125" y="1905000"/>
          <a:ext cx="9525" cy="19050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2"/>
            <a:gd name="T37" fmla="*/ 0 h 30"/>
            <a:gd name="T38" fmla="*/ 62 w 62"/>
            <a:gd name="T39" fmla="*/ 30 h 30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2" h="30">
              <a:moveTo>
                <a:pt x="0" y="30"/>
              </a:moveTo>
              <a:lnTo>
                <a:pt x="1" y="22"/>
              </a:lnTo>
              <a:lnTo>
                <a:pt x="4" y="14"/>
              </a:lnTo>
              <a:lnTo>
                <a:pt x="11" y="7"/>
              </a:lnTo>
              <a:lnTo>
                <a:pt x="18" y="2"/>
              </a:lnTo>
              <a:lnTo>
                <a:pt x="26" y="0"/>
              </a:lnTo>
              <a:lnTo>
                <a:pt x="35" y="0"/>
              </a:lnTo>
              <a:lnTo>
                <a:pt x="43" y="2"/>
              </a:lnTo>
              <a:lnTo>
                <a:pt x="50" y="7"/>
              </a:lnTo>
              <a:lnTo>
                <a:pt x="57" y="14"/>
              </a:lnTo>
              <a:lnTo>
                <a:pt x="60" y="22"/>
              </a:lnTo>
              <a:lnTo>
                <a:pt x="62" y="3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9</xdr:row>
      <xdr:rowOff>114300</xdr:rowOff>
    </xdr:from>
    <xdr:to>
      <xdr:col>11</xdr:col>
      <xdr:colOff>381000</xdr:colOff>
      <xdr:row>10</xdr:row>
      <xdr:rowOff>95250</xdr:rowOff>
    </xdr:to>
    <xdr:sp macro="" textlink="">
      <xdr:nvSpPr>
        <xdr:cNvPr id="13900" name="Freeform 1484">
          <a:extLst>
            <a:ext uri="{FF2B5EF4-FFF2-40B4-BE49-F238E27FC236}">
              <a16:creationId xmlns:a16="http://schemas.microsoft.com/office/drawing/2014/main" id="{00000000-0008-0000-0700-00004C360000}"/>
            </a:ext>
          </a:extLst>
        </xdr:cNvPr>
        <xdr:cNvSpPr>
          <a:spLocks/>
        </xdr:cNvSpPr>
      </xdr:nvSpPr>
      <xdr:spPr bwMode="auto">
        <a:xfrm>
          <a:off x="7477125" y="1924050"/>
          <a:ext cx="9525" cy="209550"/>
        </a:xfrm>
        <a:custGeom>
          <a:avLst/>
          <a:gdLst>
            <a:gd name="T0" fmla="*/ 0 w 62"/>
            <a:gd name="T1" fmla="*/ 0 h 865"/>
            <a:gd name="T2" fmla="*/ 0 w 62"/>
            <a:gd name="T3" fmla="*/ 0 h 865"/>
            <a:gd name="T4" fmla="*/ 0 w 62"/>
            <a:gd name="T5" fmla="*/ 0 h 865"/>
            <a:gd name="T6" fmla="*/ 0 w 62"/>
            <a:gd name="T7" fmla="*/ 2147483647 h 865"/>
            <a:gd name="T8" fmla="*/ 0 w 62"/>
            <a:gd name="T9" fmla="*/ 2147483647 h 865"/>
            <a:gd name="T10" fmla="*/ 0 w 62"/>
            <a:gd name="T11" fmla="*/ 2147483647 h 865"/>
            <a:gd name="T12" fmla="*/ 0 w 62"/>
            <a:gd name="T13" fmla="*/ 0 h 8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865"/>
            <a:gd name="T23" fmla="*/ 62 w 62"/>
            <a:gd name="T24" fmla="*/ 865 h 8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865">
              <a:moveTo>
                <a:pt x="62" y="0"/>
              </a:moveTo>
              <a:lnTo>
                <a:pt x="31" y="0"/>
              </a:lnTo>
              <a:lnTo>
                <a:pt x="0" y="0"/>
              </a:lnTo>
              <a:lnTo>
                <a:pt x="0" y="865"/>
              </a:lnTo>
              <a:lnTo>
                <a:pt x="31" y="865"/>
              </a:lnTo>
              <a:lnTo>
                <a:pt x="62" y="865"/>
              </a:lnTo>
              <a:lnTo>
                <a:pt x="6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9</xdr:row>
      <xdr:rowOff>114300</xdr:rowOff>
    </xdr:from>
    <xdr:to>
      <xdr:col>11</xdr:col>
      <xdr:colOff>381000</xdr:colOff>
      <xdr:row>10</xdr:row>
      <xdr:rowOff>95250</xdr:rowOff>
    </xdr:to>
    <xdr:sp macro="" textlink="">
      <xdr:nvSpPr>
        <xdr:cNvPr id="13901" name="Freeform 1485">
          <a:extLst>
            <a:ext uri="{FF2B5EF4-FFF2-40B4-BE49-F238E27FC236}">
              <a16:creationId xmlns:a16="http://schemas.microsoft.com/office/drawing/2014/main" id="{00000000-0008-0000-0700-00004D360000}"/>
            </a:ext>
          </a:extLst>
        </xdr:cNvPr>
        <xdr:cNvSpPr>
          <a:spLocks/>
        </xdr:cNvSpPr>
      </xdr:nvSpPr>
      <xdr:spPr bwMode="auto">
        <a:xfrm>
          <a:off x="7477125" y="1924050"/>
          <a:ext cx="9525" cy="209550"/>
        </a:xfrm>
        <a:custGeom>
          <a:avLst/>
          <a:gdLst>
            <a:gd name="T0" fmla="*/ 0 w 62"/>
            <a:gd name="T1" fmla="*/ 0 h 865"/>
            <a:gd name="T2" fmla="*/ 0 w 62"/>
            <a:gd name="T3" fmla="*/ 0 h 865"/>
            <a:gd name="T4" fmla="*/ 0 w 62"/>
            <a:gd name="T5" fmla="*/ 0 h 865"/>
            <a:gd name="T6" fmla="*/ 0 w 62"/>
            <a:gd name="T7" fmla="*/ 2147483647 h 865"/>
            <a:gd name="T8" fmla="*/ 0 w 62"/>
            <a:gd name="T9" fmla="*/ 2147483647 h 865"/>
            <a:gd name="T10" fmla="*/ 0 w 62"/>
            <a:gd name="T11" fmla="*/ 2147483647 h 865"/>
            <a:gd name="T12" fmla="*/ 0 w 62"/>
            <a:gd name="T13" fmla="*/ 0 h 8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865"/>
            <a:gd name="T23" fmla="*/ 62 w 62"/>
            <a:gd name="T24" fmla="*/ 865 h 8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865">
              <a:moveTo>
                <a:pt x="62" y="0"/>
              </a:moveTo>
              <a:lnTo>
                <a:pt x="31" y="0"/>
              </a:lnTo>
              <a:lnTo>
                <a:pt x="0" y="0"/>
              </a:lnTo>
              <a:lnTo>
                <a:pt x="0" y="865"/>
              </a:lnTo>
              <a:lnTo>
                <a:pt x="31" y="865"/>
              </a:lnTo>
              <a:lnTo>
                <a:pt x="62" y="865"/>
              </a:lnTo>
              <a:lnTo>
                <a:pt x="62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10</xdr:row>
      <xdr:rowOff>95250</xdr:rowOff>
    </xdr:from>
    <xdr:to>
      <xdr:col>11</xdr:col>
      <xdr:colOff>381000</xdr:colOff>
      <xdr:row>10</xdr:row>
      <xdr:rowOff>114300</xdr:rowOff>
    </xdr:to>
    <xdr:sp macro="" textlink="">
      <xdr:nvSpPr>
        <xdr:cNvPr id="13902" name="Freeform 1486">
          <a:extLst>
            <a:ext uri="{FF2B5EF4-FFF2-40B4-BE49-F238E27FC236}">
              <a16:creationId xmlns:a16="http://schemas.microsoft.com/office/drawing/2014/main" id="{00000000-0008-0000-0700-00004E360000}"/>
            </a:ext>
          </a:extLst>
        </xdr:cNvPr>
        <xdr:cNvSpPr>
          <a:spLocks/>
        </xdr:cNvSpPr>
      </xdr:nvSpPr>
      <xdr:spPr bwMode="auto">
        <a:xfrm>
          <a:off x="7477125" y="2133600"/>
          <a:ext cx="9525" cy="19050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w 62"/>
            <a:gd name="T25" fmla="*/ 0 h 30"/>
            <a:gd name="T26" fmla="*/ 0 w 62"/>
            <a:gd name="T27" fmla="*/ 0 h 30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2"/>
            <a:gd name="T43" fmla="*/ 0 h 30"/>
            <a:gd name="T44" fmla="*/ 62 w 62"/>
            <a:gd name="T45" fmla="*/ 30 h 30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2" h="30">
              <a:moveTo>
                <a:pt x="31" y="0"/>
              </a:moveTo>
              <a:lnTo>
                <a:pt x="62" y="0"/>
              </a:lnTo>
              <a:lnTo>
                <a:pt x="60" y="8"/>
              </a:lnTo>
              <a:lnTo>
                <a:pt x="57" y="16"/>
              </a:lnTo>
              <a:lnTo>
                <a:pt x="50" y="23"/>
              </a:lnTo>
              <a:lnTo>
                <a:pt x="43" y="28"/>
              </a:lnTo>
              <a:lnTo>
                <a:pt x="35" y="30"/>
              </a:lnTo>
              <a:lnTo>
                <a:pt x="26" y="30"/>
              </a:lnTo>
              <a:lnTo>
                <a:pt x="18" y="28"/>
              </a:lnTo>
              <a:lnTo>
                <a:pt x="11" y="23"/>
              </a:lnTo>
              <a:lnTo>
                <a:pt x="4" y="16"/>
              </a:lnTo>
              <a:lnTo>
                <a:pt x="1" y="8"/>
              </a:lnTo>
              <a:lnTo>
                <a:pt x="0" y="0"/>
              </a:lnTo>
              <a:lnTo>
                <a:pt x="3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10</xdr:row>
      <xdr:rowOff>95250</xdr:rowOff>
    </xdr:from>
    <xdr:to>
      <xdr:col>11</xdr:col>
      <xdr:colOff>381000</xdr:colOff>
      <xdr:row>10</xdr:row>
      <xdr:rowOff>114300</xdr:rowOff>
    </xdr:to>
    <xdr:sp macro="" textlink="">
      <xdr:nvSpPr>
        <xdr:cNvPr id="13903" name="Freeform 1487">
          <a:extLst>
            <a:ext uri="{FF2B5EF4-FFF2-40B4-BE49-F238E27FC236}">
              <a16:creationId xmlns:a16="http://schemas.microsoft.com/office/drawing/2014/main" id="{00000000-0008-0000-0700-00004F360000}"/>
            </a:ext>
          </a:extLst>
        </xdr:cNvPr>
        <xdr:cNvSpPr>
          <a:spLocks/>
        </xdr:cNvSpPr>
      </xdr:nvSpPr>
      <xdr:spPr bwMode="auto">
        <a:xfrm>
          <a:off x="7477125" y="2133600"/>
          <a:ext cx="9525" cy="19050"/>
        </a:xfrm>
        <a:custGeom>
          <a:avLst/>
          <a:gdLst>
            <a:gd name="T0" fmla="*/ 0 w 62"/>
            <a:gd name="T1" fmla="*/ 0 h 30"/>
            <a:gd name="T2" fmla="*/ 0 w 62"/>
            <a:gd name="T3" fmla="*/ 0 h 30"/>
            <a:gd name="T4" fmla="*/ 0 w 62"/>
            <a:gd name="T5" fmla="*/ 0 h 30"/>
            <a:gd name="T6" fmla="*/ 0 w 62"/>
            <a:gd name="T7" fmla="*/ 0 h 30"/>
            <a:gd name="T8" fmla="*/ 0 w 62"/>
            <a:gd name="T9" fmla="*/ 0 h 30"/>
            <a:gd name="T10" fmla="*/ 0 w 62"/>
            <a:gd name="T11" fmla="*/ 0 h 30"/>
            <a:gd name="T12" fmla="*/ 0 w 62"/>
            <a:gd name="T13" fmla="*/ 0 h 30"/>
            <a:gd name="T14" fmla="*/ 0 w 62"/>
            <a:gd name="T15" fmla="*/ 0 h 30"/>
            <a:gd name="T16" fmla="*/ 0 w 62"/>
            <a:gd name="T17" fmla="*/ 0 h 30"/>
            <a:gd name="T18" fmla="*/ 0 w 62"/>
            <a:gd name="T19" fmla="*/ 0 h 30"/>
            <a:gd name="T20" fmla="*/ 0 w 62"/>
            <a:gd name="T21" fmla="*/ 0 h 30"/>
            <a:gd name="T22" fmla="*/ 0 w 62"/>
            <a:gd name="T23" fmla="*/ 0 h 30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2"/>
            <a:gd name="T37" fmla="*/ 0 h 30"/>
            <a:gd name="T38" fmla="*/ 62 w 62"/>
            <a:gd name="T39" fmla="*/ 30 h 30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2" h="30">
              <a:moveTo>
                <a:pt x="62" y="0"/>
              </a:moveTo>
              <a:lnTo>
                <a:pt x="60" y="8"/>
              </a:lnTo>
              <a:lnTo>
                <a:pt x="57" y="16"/>
              </a:lnTo>
              <a:lnTo>
                <a:pt x="50" y="23"/>
              </a:lnTo>
              <a:lnTo>
                <a:pt x="43" y="28"/>
              </a:lnTo>
              <a:lnTo>
                <a:pt x="35" y="30"/>
              </a:lnTo>
              <a:lnTo>
                <a:pt x="26" y="30"/>
              </a:lnTo>
              <a:lnTo>
                <a:pt x="18" y="28"/>
              </a:lnTo>
              <a:lnTo>
                <a:pt x="11" y="23"/>
              </a:lnTo>
              <a:lnTo>
                <a:pt x="4" y="16"/>
              </a:lnTo>
              <a:lnTo>
                <a:pt x="1" y="8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123825</xdr:colOff>
      <xdr:row>4</xdr:row>
      <xdr:rowOff>38100</xdr:rowOff>
    </xdr:from>
    <xdr:to>
      <xdr:col>8</xdr:col>
      <xdr:colOff>142875</xdr:colOff>
      <xdr:row>12</xdr:row>
      <xdr:rowOff>38100</xdr:rowOff>
    </xdr:to>
    <xdr:sp macro="" textlink="">
      <xdr:nvSpPr>
        <xdr:cNvPr id="13904" name="Freeform 1488">
          <a:extLst>
            <a:ext uri="{FF2B5EF4-FFF2-40B4-BE49-F238E27FC236}">
              <a16:creationId xmlns:a16="http://schemas.microsoft.com/office/drawing/2014/main" id="{00000000-0008-0000-0700-000050360000}"/>
            </a:ext>
          </a:extLst>
        </xdr:cNvPr>
        <xdr:cNvSpPr>
          <a:spLocks/>
        </xdr:cNvSpPr>
      </xdr:nvSpPr>
      <xdr:spPr bwMode="auto">
        <a:xfrm>
          <a:off x="5286375" y="781050"/>
          <a:ext cx="19050" cy="1752600"/>
        </a:xfrm>
        <a:custGeom>
          <a:avLst/>
          <a:gdLst>
            <a:gd name="T0" fmla="*/ 0 w 62"/>
            <a:gd name="T1" fmla="*/ 0 h 7142"/>
            <a:gd name="T2" fmla="*/ 0 w 62"/>
            <a:gd name="T3" fmla="*/ 0 h 7142"/>
            <a:gd name="T4" fmla="*/ 0 w 62"/>
            <a:gd name="T5" fmla="*/ 0 h 7142"/>
            <a:gd name="T6" fmla="*/ 0 w 62"/>
            <a:gd name="T7" fmla="*/ 2147483647 h 7142"/>
            <a:gd name="T8" fmla="*/ 0 w 62"/>
            <a:gd name="T9" fmla="*/ 2147483647 h 7142"/>
            <a:gd name="T10" fmla="*/ 0 w 62"/>
            <a:gd name="T11" fmla="*/ 2147483647 h 7142"/>
            <a:gd name="T12" fmla="*/ 0 w 62"/>
            <a:gd name="T13" fmla="*/ 0 h 714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7142"/>
            <a:gd name="T23" fmla="*/ 62 w 62"/>
            <a:gd name="T24" fmla="*/ 7142 h 714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7142">
              <a:moveTo>
                <a:pt x="62" y="0"/>
              </a:moveTo>
              <a:lnTo>
                <a:pt x="30" y="0"/>
              </a:lnTo>
              <a:lnTo>
                <a:pt x="0" y="0"/>
              </a:lnTo>
              <a:lnTo>
                <a:pt x="0" y="7142"/>
              </a:lnTo>
              <a:lnTo>
                <a:pt x="30" y="7142"/>
              </a:lnTo>
              <a:lnTo>
                <a:pt x="62" y="7142"/>
              </a:lnTo>
              <a:lnTo>
                <a:pt x="6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123825</xdr:colOff>
      <xdr:row>4</xdr:row>
      <xdr:rowOff>38100</xdr:rowOff>
    </xdr:from>
    <xdr:to>
      <xdr:col>8</xdr:col>
      <xdr:colOff>142875</xdr:colOff>
      <xdr:row>12</xdr:row>
      <xdr:rowOff>38100</xdr:rowOff>
    </xdr:to>
    <xdr:sp macro="" textlink="">
      <xdr:nvSpPr>
        <xdr:cNvPr id="13905" name="Freeform 1489">
          <a:extLst>
            <a:ext uri="{FF2B5EF4-FFF2-40B4-BE49-F238E27FC236}">
              <a16:creationId xmlns:a16="http://schemas.microsoft.com/office/drawing/2014/main" id="{00000000-0008-0000-0700-000051360000}"/>
            </a:ext>
          </a:extLst>
        </xdr:cNvPr>
        <xdr:cNvSpPr>
          <a:spLocks/>
        </xdr:cNvSpPr>
      </xdr:nvSpPr>
      <xdr:spPr bwMode="auto">
        <a:xfrm>
          <a:off x="5286375" y="781050"/>
          <a:ext cx="19050" cy="1752600"/>
        </a:xfrm>
        <a:custGeom>
          <a:avLst/>
          <a:gdLst>
            <a:gd name="T0" fmla="*/ 0 w 62"/>
            <a:gd name="T1" fmla="*/ 0 h 7142"/>
            <a:gd name="T2" fmla="*/ 0 w 62"/>
            <a:gd name="T3" fmla="*/ 0 h 7142"/>
            <a:gd name="T4" fmla="*/ 0 w 62"/>
            <a:gd name="T5" fmla="*/ 0 h 7142"/>
            <a:gd name="T6" fmla="*/ 0 w 62"/>
            <a:gd name="T7" fmla="*/ 2147483647 h 7142"/>
            <a:gd name="T8" fmla="*/ 0 w 62"/>
            <a:gd name="T9" fmla="*/ 2147483647 h 7142"/>
            <a:gd name="T10" fmla="*/ 0 w 62"/>
            <a:gd name="T11" fmla="*/ 2147483647 h 7142"/>
            <a:gd name="T12" fmla="*/ 0 w 62"/>
            <a:gd name="T13" fmla="*/ 0 h 714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7142"/>
            <a:gd name="T23" fmla="*/ 62 w 62"/>
            <a:gd name="T24" fmla="*/ 7142 h 714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7142">
              <a:moveTo>
                <a:pt x="62" y="0"/>
              </a:moveTo>
              <a:lnTo>
                <a:pt x="30" y="0"/>
              </a:lnTo>
              <a:lnTo>
                <a:pt x="0" y="0"/>
              </a:lnTo>
              <a:lnTo>
                <a:pt x="0" y="7142"/>
              </a:lnTo>
              <a:lnTo>
                <a:pt x="30" y="7142"/>
              </a:lnTo>
              <a:lnTo>
                <a:pt x="62" y="7142"/>
              </a:lnTo>
              <a:lnTo>
                <a:pt x="62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123825</xdr:colOff>
      <xdr:row>12</xdr:row>
      <xdr:rowOff>38100</xdr:rowOff>
    </xdr:from>
    <xdr:to>
      <xdr:col>8</xdr:col>
      <xdr:colOff>133350</xdr:colOff>
      <xdr:row>12</xdr:row>
      <xdr:rowOff>47625</xdr:rowOff>
    </xdr:to>
    <xdr:sp macro="" textlink="">
      <xdr:nvSpPr>
        <xdr:cNvPr id="13906" name="Freeform 1490">
          <a:extLst>
            <a:ext uri="{FF2B5EF4-FFF2-40B4-BE49-F238E27FC236}">
              <a16:creationId xmlns:a16="http://schemas.microsoft.com/office/drawing/2014/main" id="{00000000-0008-0000-0700-000052360000}"/>
            </a:ext>
          </a:extLst>
        </xdr:cNvPr>
        <xdr:cNvSpPr>
          <a:spLocks/>
        </xdr:cNvSpPr>
      </xdr:nvSpPr>
      <xdr:spPr bwMode="auto">
        <a:xfrm>
          <a:off x="5286375" y="2533650"/>
          <a:ext cx="9525" cy="9525"/>
        </a:xfrm>
        <a:custGeom>
          <a:avLst/>
          <a:gdLst>
            <a:gd name="T0" fmla="*/ 0 w 30"/>
            <a:gd name="T1" fmla="*/ 0 h 31"/>
            <a:gd name="T2" fmla="*/ 0 w 30"/>
            <a:gd name="T3" fmla="*/ 0 h 31"/>
            <a:gd name="T4" fmla="*/ 0 w 30"/>
            <a:gd name="T5" fmla="*/ 0 h 31"/>
            <a:gd name="T6" fmla="*/ 0 w 30"/>
            <a:gd name="T7" fmla="*/ 0 h 31"/>
            <a:gd name="T8" fmla="*/ 0 w 30"/>
            <a:gd name="T9" fmla="*/ 0 h 31"/>
            <a:gd name="T10" fmla="*/ 0 w 30"/>
            <a:gd name="T11" fmla="*/ 0 h 31"/>
            <a:gd name="T12" fmla="*/ 0 w 30"/>
            <a:gd name="T13" fmla="*/ 0 h 31"/>
            <a:gd name="T14" fmla="*/ 0 w 30"/>
            <a:gd name="T15" fmla="*/ 0 h 31"/>
            <a:gd name="T16" fmla="*/ 0 w 30"/>
            <a:gd name="T17" fmla="*/ 0 h 31"/>
            <a:gd name="T18" fmla="*/ 0 w 30"/>
            <a:gd name="T19" fmla="*/ 0 h 31"/>
            <a:gd name="T20" fmla="*/ 0 w 30"/>
            <a:gd name="T21" fmla="*/ 0 h 31"/>
            <a:gd name="T22" fmla="*/ 0 w 30"/>
            <a:gd name="T23" fmla="*/ 0 h 31"/>
            <a:gd name="T24" fmla="*/ 0 w 30"/>
            <a:gd name="T25" fmla="*/ 0 h 31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w 30"/>
            <a:gd name="T40" fmla="*/ 0 h 31"/>
            <a:gd name="T41" fmla="*/ 30 w 30"/>
            <a:gd name="T42" fmla="*/ 31 h 31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T39" t="T40" r="T41" b="T42"/>
          <a:pathLst>
            <a:path w="30" h="31">
              <a:moveTo>
                <a:pt x="30" y="0"/>
              </a:moveTo>
              <a:lnTo>
                <a:pt x="0" y="0"/>
              </a:lnTo>
              <a:lnTo>
                <a:pt x="0" y="5"/>
              </a:lnTo>
              <a:lnTo>
                <a:pt x="1" y="10"/>
              </a:lnTo>
              <a:lnTo>
                <a:pt x="2" y="14"/>
              </a:lnTo>
              <a:lnTo>
                <a:pt x="5" y="18"/>
              </a:lnTo>
              <a:lnTo>
                <a:pt x="7" y="21"/>
              </a:lnTo>
              <a:lnTo>
                <a:pt x="12" y="25"/>
              </a:lnTo>
              <a:lnTo>
                <a:pt x="15" y="28"/>
              </a:lnTo>
              <a:lnTo>
                <a:pt x="19" y="29"/>
              </a:lnTo>
              <a:lnTo>
                <a:pt x="23" y="31"/>
              </a:lnTo>
              <a:lnTo>
                <a:pt x="30" y="31"/>
              </a:lnTo>
              <a:lnTo>
                <a:pt x="3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123825</xdr:colOff>
      <xdr:row>12</xdr:row>
      <xdr:rowOff>38100</xdr:rowOff>
    </xdr:from>
    <xdr:to>
      <xdr:col>8</xdr:col>
      <xdr:colOff>133350</xdr:colOff>
      <xdr:row>12</xdr:row>
      <xdr:rowOff>47625</xdr:rowOff>
    </xdr:to>
    <xdr:sp macro="" textlink="">
      <xdr:nvSpPr>
        <xdr:cNvPr id="13907" name="Freeform 1491">
          <a:extLst>
            <a:ext uri="{FF2B5EF4-FFF2-40B4-BE49-F238E27FC236}">
              <a16:creationId xmlns:a16="http://schemas.microsoft.com/office/drawing/2014/main" id="{00000000-0008-0000-0700-000053360000}"/>
            </a:ext>
          </a:extLst>
        </xdr:cNvPr>
        <xdr:cNvSpPr>
          <a:spLocks/>
        </xdr:cNvSpPr>
      </xdr:nvSpPr>
      <xdr:spPr bwMode="auto">
        <a:xfrm>
          <a:off x="5286375" y="2533650"/>
          <a:ext cx="9525" cy="9525"/>
        </a:xfrm>
        <a:custGeom>
          <a:avLst/>
          <a:gdLst>
            <a:gd name="T0" fmla="*/ 0 w 30"/>
            <a:gd name="T1" fmla="*/ 0 h 31"/>
            <a:gd name="T2" fmla="*/ 0 w 30"/>
            <a:gd name="T3" fmla="*/ 0 h 31"/>
            <a:gd name="T4" fmla="*/ 0 w 30"/>
            <a:gd name="T5" fmla="*/ 0 h 31"/>
            <a:gd name="T6" fmla="*/ 0 w 30"/>
            <a:gd name="T7" fmla="*/ 0 h 31"/>
            <a:gd name="T8" fmla="*/ 0 w 30"/>
            <a:gd name="T9" fmla="*/ 0 h 31"/>
            <a:gd name="T10" fmla="*/ 0 w 30"/>
            <a:gd name="T11" fmla="*/ 0 h 31"/>
            <a:gd name="T12" fmla="*/ 0 w 30"/>
            <a:gd name="T13" fmla="*/ 0 h 31"/>
            <a:gd name="T14" fmla="*/ 0 w 30"/>
            <a:gd name="T15" fmla="*/ 0 h 31"/>
            <a:gd name="T16" fmla="*/ 0 w 30"/>
            <a:gd name="T17" fmla="*/ 0 h 31"/>
            <a:gd name="T18" fmla="*/ 0 w 30"/>
            <a:gd name="T19" fmla="*/ 0 h 31"/>
            <a:gd name="T20" fmla="*/ 0 w 30"/>
            <a:gd name="T21" fmla="*/ 0 h 31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w 30"/>
            <a:gd name="T34" fmla="*/ 0 h 31"/>
            <a:gd name="T35" fmla="*/ 30 w 30"/>
            <a:gd name="T36" fmla="*/ 31 h 31"/>
          </a:gdLst>
          <a:ahLst/>
          <a:cxnLst>
            <a:cxn ang="T22">
              <a:pos x="T0" y="T1"/>
            </a:cxn>
            <a:cxn ang="T23">
              <a:pos x="T2" y="T3"/>
            </a:cxn>
            <a:cxn ang="T24">
              <a:pos x="T4" y="T5"/>
            </a:cxn>
            <a:cxn ang="T25">
              <a:pos x="T6" y="T7"/>
            </a:cxn>
            <a:cxn ang="T26">
              <a:pos x="T8" y="T9"/>
            </a:cxn>
            <a:cxn ang="T27">
              <a:pos x="T10" y="T11"/>
            </a:cxn>
            <a:cxn ang="T28">
              <a:pos x="T12" y="T13"/>
            </a:cxn>
            <a:cxn ang="T29">
              <a:pos x="T14" y="T15"/>
            </a:cxn>
            <a:cxn ang="T30">
              <a:pos x="T16" y="T17"/>
            </a:cxn>
            <a:cxn ang="T31">
              <a:pos x="T18" y="T19"/>
            </a:cxn>
            <a:cxn ang="T32">
              <a:pos x="T20" y="T21"/>
            </a:cxn>
          </a:cxnLst>
          <a:rect l="T33" t="T34" r="T35" b="T36"/>
          <a:pathLst>
            <a:path w="30" h="31">
              <a:moveTo>
                <a:pt x="0" y="0"/>
              </a:moveTo>
              <a:lnTo>
                <a:pt x="0" y="5"/>
              </a:lnTo>
              <a:lnTo>
                <a:pt x="1" y="10"/>
              </a:lnTo>
              <a:lnTo>
                <a:pt x="2" y="14"/>
              </a:lnTo>
              <a:lnTo>
                <a:pt x="5" y="18"/>
              </a:lnTo>
              <a:lnTo>
                <a:pt x="7" y="21"/>
              </a:lnTo>
              <a:lnTo>
                <a:pt x="12" y="25"/>
              </a:lnTo>
              <a:lnTo>
                <a:pt x="15" y="28"/>
              </a:lnTo>
              <a:lnTo>
                <a:pt x="19" y="29"/>
              </a:lnTo>
              <a:lnTo>
                <a:pt x="23" y="31"/>
              </a:lnTo>
              <a:lnTo>
                <a:pt x="30" y="31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133350</xdr:colOff>
      <xdr:row>12</xdr:row>
      <xdr:rowOff>28575</xdr:rowOff>
    </xdr:from>
    <xdr:to>
      <xdr:col>9</xdr:col>
      <xdr:colOff>400050</xdr:colOff>
      <xdr:row>12</xdr:row>
      <xdr:rowOff>47625</xdr:rowOff>
    </xdr:to>
    <xdr:sp macro="" textlink="">
      <xdr:nvSpPr>
        <xdr:cNvPr id="13908" name="Freeform 1492">
          <a:extLst>
            <a:ext uri="{FF2B5EF4-FFF2-40B4-BE49-F238E27FC236}">
              <a16:creationId xmlns:a16="http://schemas.microsoft.com/office/drawing/2014/main" id="{00000000-0008-0000-0700-000054360000}"/>
            </a:ext>
          </a:extLst>
        </xdr:cNvPr>
        <xdr:cNvSpPr>
          <a:spLocks/>
        </xdr:cNvSpPr>
      </xdr:nvSpPr>
      <xdr:spPr bwMode="auto">
        <a:xfrm>
          <a:off x="5295900" y="2524125"/>
          <a:ext cx="1000125" cy="19050"/>
        </a:xfrm>
        <a:custGeom>
          <a:avLst/>
          <a:gdLst>
            <a:gd name="T0" fmla="*/ 0 w 5287"/>
            <a:gd name="T1" fmla="*/ 0 h 62"/>
            <a:gd name="T2" fmla="*/ 0 w 5287"/>
            <a:gd name="T3" fmla="*/ 0 h 62"/>
            <a:gd name="T4" fmla="*/ 0 w 5287"/>
            <a:gd name="T5" fmla="*/ 0 h 62"/>
            <a:gd name="T6" fmla="*/ 2147483647 w 5287"/>
            <a:gd name="T7" fmla="*/ 0 h 62"/>
            <a:gd name="T8" fmla="*/ 2147483647 w 5287"/>
            <a:gd name="T9" fmla="*/ 0 h 62"/>
            <a:gd name="T10" fmla="*/ 2147483647 w 5287"/>
            <a:gd name="T11" fmla="*/ 0 h 62"/>
            <a:gd name="T12" fmla="*/ 0 w 5287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287"/>
            <a:gd name="T22" fmla="*/ 0 h 62"/>
            <a:gd name="T23" fmla="*/ 5287 w 5287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287" h="62">
              <a:moveTo>
                <a:pt x="0" y="0"/>
              </a:moveTo>
              <a:lnTo>
                <a:pt x="0" y="31"/>
              </a:lnTo>
              <a:lnTo>
                <a:pt x="0" y="62"/>
              </a:lnTo>
              <a:lnTo>
                <a:pt x="5287" y="62"/>
              </a:lnTo>
              <a:lnTo>
                <a:pt x="5287" y="31"/>
              </a:lnTo>
              <a:lnTo>
                <a:pt x="528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133350</xdr:colOff>
      <xdr:row>12</xdr:row>
      <xdr:rowOff>28575</xdr:rowOff>
    </xdr:from>
    <xdr:to>
      <xdr:col>9</xdr:col>
      <xdr:colOff>400050</xdr:colOff>
      <xdr:row>12</xdr:row>
      <xdr:rowOff>47625</xdr:rowOff>
    </xdr:to>
    <xdr:sp macro="" textlink="">
      <xdr:nvSpPr>
        <xdr:cNvPr id="13909" name="Freeform 1493">
          <a:extLst>
            <a:ext uri="{FF2B5EF4-FFF2-40B4-BE49-F238E27FC236}">
              <a16:creationId xmlns:a16="http://schemas.microsoft.com/office/drawing/2014/main" id="{00000000-0008-0000-0700-000055360000}"/>
            </a:ext>
          </a:extLst>
        </xdr:cNvPr>
        <xdr:cNvSpPr>
          <a:spLocks/>
        </xdr:cNvSpPr>
      </xdr:nvSpPr>
      <xdr:spPr bwMode="auto">
        <a:xfrm>
          <a:off x="5295900" y="2524125"/>
          <a:ext cx="1000125" cy="19050"/>
        </a:xfrm>
        <a:custGeom>
          <a:avLst/>
          <a:gdLst>
            <a:gd name="T0" fmla="*/ 0 w 5287"/>
            <a:gd name="T1" fmla="*/ 0 h 62"/>
            <a:gd name="T2" fmla="*/ 0 w 5287"/>
            <a:gd name="T3" fmla="*/ 0 h 62"/>
            <a:gd name="T4" fmla="*/ 0 w 5287"/>
            <a:gd name="T5" fmla="*/ 0 h 62"/>
            <a:gd name="T6" fmla="*/ 2147483647 w 5287"/>
            <a:gd name="T7" fmla="*/ 0 h 62"/>
            <a:gd name="T8" fmla="*/ 2147483647 w 5287"/>
            <a:gd name="T9" fmla="*/ 0 h 62"/>
            <a:gd name="T10" fmla="*/ 2147483647 w 5287"/>
            <a:gd name="T11" fmla="*/ 0 h 62"/>
            <a:gd name="T12" fmla="*/ 0 w 5287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287"/>
            <a:gd name="T22" fmla="*/ 0 h 62"/>
            <a:gd name="T23" fmla="*/ 5287 w 5287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287" h="62">
              <a:moveTo>
                <a:pt x="0" y="0"/>
              </a:moveTo>
              <a:lnTo>
                <a:pt x="0" y="31"/>
              </a:lnTo>
              <a:lnTo>
                <a:pt x="0" y="62"/>
              </a:lnTo>
              <a:lnTo>
                <a:pt x="5287" y="62"/>
              </a:lnTo>
              <a:lnTo>
                <a:pt x="5287" y="31"/>
              </a:lnTo>
              <a:lnTo>
                <a:pt x="528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400050</xdr:colOff>
      <xdr:row>12</xdr:row>
      <xdr:rowOff>38100</xdr:rowOff>
    </xdr:from>
    <xdr:to>
      <xdr:col>9</xdr:col>
      <xdr:colOff>409575</xdr:colOff>
      <xdr:row>12</xdr:row>
      <xdr:rowOff>47625</xdr:rowOff>
    </xdr:to>
    <xdr:sp macro="" textlink="">
      <xdr:nvSpPr>
        <xdr:cNvPr id="13910" name="Freeform 1494">
          <a:extLst>
            <a:ext uri="{FF2B5EF4-FFF2-40B4-BE49-F238E27FC236}">
              <a16:creationId xmlns:a16="http://schemas.microsoft.com/office/drawing/2014/main" id="{00000000-0008-0000-0700-000056360000}"/>
            </a:ext>
          </a:extLst>
        </xdr:cNvPr>
        <xdr:cNvSpPr>
          <a:spLocks/>
        </xdr:cNvSpPr>
      </xdr:nvSpPr>
      <xdr:spPr bwMode="auto">
        <a:xfrm>
          <a:off x="6296025" y="2533650"/>
          <a:ext cx="9525" cy="9525"/>
        </a:xfrm>
        <a:custGeom>
          <a:avLst/>
          <a:gdLst>
            <a:gd name="T0" fmla="*/ 0 w 32"/>
            <a:gd name="T1" fmla="*/ 0 h 31"/>
            <a:gd name="T2" fmla="*/ 0 w 32"/>
            <a:gd name="T3" fmla="*/ 0 h 31"/>
            <a:gd name="T4" fmla="*/ 0 w 32"/>
            <a:gd name="T5" fmla="*/ 0 h 31"/>
            <a:gd name="T6" fmla="*/ 0 w 32"/>
            <a:gd name="T7" fmla="*/ 0 h 31"/>
            <a:gd name="T8" fmla="*/ 0 w 32"/>
            <a:gd name="T9" fmla="*/ 0 h 31"/>
            <a:gd name="T10" fmla="*/ 0 w 32"/>
            <a:gd name="T11" fmla="*/ 0 h 31"/>
            <a:gd name="T12" fmla="*/ 0 w 32"/>
            <a:gd name="T13" fmla="*/ 0 h 31"/>
            <a:gd name="T14" fmla="*/ 0 w 32"/>
            <a:gd name="T15" fmla="*/ 0 h 31"/>
            <a:gd name="T16" fmla="*/ 0 w 32"/>
            <a:gd name="T17" fmla="*/ 0 h 31"/>
            <a:gd name="T18" fmla="*/ 0 w 32"/>
            <a:gd name="T19" fmla="*/ 0 h 31"/>
            <a:gd name="T20" fmla="*/ 0 w 32"/>
            <a:gd name="T21" fmla="*/ 0 h 31"/>
            <a:gd name="T22" fmla="*/ 0 w 32"/>
            <a:gd name="T23" fmla="*/ 0 h 31"/>
            <a:gd name="T24" fmla="*/ 0 w 32"/>
            <a:gd name="T25" fmla="*/ 0 h 31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w 32"/>
            <a:gd name="T40" fmla="*/ 0 h 31"/>
            <a:gd name="T41" fmla="*/ 32 w 32"/>
            <a:gd name="T42" fmla="*/ 31 h 31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T39" t="T40" r="T41" b="T42"/>
          <a:pathLst>
            <a:path w="32" h="31">
              <a:moveTo>
                <a:pt x="0" y="0"/>
              </a:moveTo>
              <a:lnTo>
                <a:pt x="0" y="31"/>
              </a:lnTo>
              <a:lnTo>
                <a:pt x="4" y="31"/>
              </a:lnTo>
              <a:lnTo>
                <a:pt x="10" y="30"/>
              </a:lnTo>
              <a:lnTo>
                <a:pt x="14" y="29"/>
              </a:lnTo>
              <a:lnTo>
                <a:pt x="18" y="26"/>
              </a:lnTo>
              <a:lnTo>
                <a:pt x="21" y="24"/>
              </a:lnTo>
              <a:lnTo>
                <a:pt x="24" y="19"/>
              </a:lnTo>
              <a:lnTo>
                <a:pt x="28" y="16"/>
              </a:lnTo>
              <a:lnTo>
                <a:pt x="29" y="12"/>
              </a:lnTo>
              <a:lnTo>
                <a:pt x="31" y="8"/>
              </a:lnTo>
              <a:lnTo>
                <a:pt x="32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400050</xdr:colOff>
      <xdr:row>12</xdr:row>
      <xdr:rowOff>38100</xdr:rowOff>
    </xdr:from>
    <xdr:to>
      <xdr:col>9</xdr:col>
      <xdr:colOff>409575</xdr:colOff>
      <xdr:row>12</xdr:row>
      <xdr:rowOff>47625</xdr:rowOff>
    </xdr:to>
    <xdr:sp macro="" textlink="">
      <xdr:nvSpPr>
        <xdr:cNvPr id="13911" name="Freeform 1495">
          <a:extLst>
            <a:ext uri="{FF2B5EF4-FFF2-40B4-BE49-F238E27FC236}">
              <a16:creationId xmlns:a16="http://schemas.microsoft.com/office/drawing/2014/main" id="{00000000-0008-0000-0700-000057360000}"/>
            </a:ext>
          </a:extLst>
        </xdr:cNvPr>
        <xdr:cNvSpPr>
          <a:spLocks/>
        </xdr:cNvSpPr>
      </xdr:nvSpPr>
      <xdr:spPr bwMode="auto">
        <a:xfrm>
          <a:off x="6296025" y="2533650"/>
          <a:ext cx="9525" cy="9525"/>
        </a:xfrm>
        <a:custGeom>
          <a:avLst/>
          <a:gdLst>
            <a:gd name="T0" fmla="*/ 0 w 32"/>
            <a:gd name="T1" fmla="*/ 0 h 31"/>
            <a:gd name="T2" fmla="*/ 0 w 32"/>
            <a:gd name="T3" fmla="*/ 0 h 31"/>
            <a:gd name="T4" fmla="*/ 0 w 32"/>
            <a:gd name="T5" fmla="*/ 0 h 31"/>
            <a:gd name="T6" fmla="*/ 0 w 32"/>
            <a:gd name="T7" fmla="*/ 0 h 31"/>
            <a:gd name="T8" fmla="*/ 0 w 32"/>
            <a:gd name="T9" fmla="*/ 0 h 31"/>
            <a:gd name="T10" fmla="*/ 0 w 32"/>
            <a:gd name="T11" fmla="*/ 0 h 31"/>
            <a:gd name="T12" fmla="*/ 0 w 32"/>
            <a:gd name="T13" fmla="*/ 0 h 31"/>
            <a:gd name="T14" fmla="*/ 0 w 32"/>
            <a:gd name="T15" fmla="*/ 0 h 31"/>
            <a:gd name="T16" fmla="*/ 0 w 32"/>
            <a:gd name="T17" fmla="*/ 0 h 31"/>
            <a:gd name="T18" fmla="*/ 0 w 32"/>
            <a:gd name="T19" fmla="*/ 0 h 31"/>
            <a:gd name="T20" fmla="*/ 0 w 32"/>
            <a:gd name="T21" fmla="*/ 0 h 31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w 32"/>
            <a:gd name="T34" fmla="*/ 0 h 31"/>
            <a:gd name="T35" fmla="*/ 32 w 32"/>
            <a:gd name="T36" fmla="*/ 31 h 31"/>
          </a:gdLst>
          <a:ahLst/>
          <a:cxnLst>
            <a:cxn ang="T22">
              <a:pos x="T0" y="T1"/>
            </a:cxn>
            <a:cxn ang="T23">
              <a:pos x="T2" y="T3"/>
            </a:cxn>
            <a:cxn ang="T24">
              <a:pos x="T4" y="T5"/>
            </a:cxn>
            <a:cxn ang="T25">
              <a:pos x="T6" y="T7"/>
            </a:cxn>
            <a:cxn ang="T26">
              <a:pos x="T8" y="T9"/>
            </a:cxn>
            <a:cxn ang="T27">
              <a:pos x="T10" y="T11"/>
            </a:cxn>
            <a:cxn ang="T28">
              <a:pos x="T12" y="T13"/>
            </a:cxn>
            <a:cxn ang="T29">
              <a:pos x="T14" y="T15"/>
            </a:cxn>
            <a:cxn ang="T30">
              <a:pos x="T16" y="T17"/>
            </a:cxn>
            <a:cxn ang="T31">
              <a:pos x="T18" y="T19"/>
            </a:cxn>
            <a:cxn ang="T32">
              <a:pos x="T20" y="T21"/>
            </a:cxn>
          </a:cxnLst>
          <a:rect l="T33" t="T34" r="T35" b="T36"/>
          <a:pathLst>
            <a:path w="32" h="31">
              <a:moveTo>
                <a:pt x="0" y="31"/>
              </a:moveTo>
              <a:lnTo>
                <a:pt x="4" y="31"/>
              </a:lnTo>
              <a:lnTo>
                <a:pt x="10" y="30"/>
              </a:lnTo>
              <a:lnTo>
                <a:pt x="14" y="29"/>
              </a:lnTo>
              <a:lnTo>
                <a:pt x="18" y="26"/>
              </a:lnTo>
              <a:lnTo>
                <a:pt x="21" y="24"/>
              </a:lnTo>
              <a:lnTo>
                <a:pt x="24" y="19"/>
              </a:lnTo>
              <a:lnTo>
                <a:pt x="28" y="16"/>
              </a:lnTo>
              <a:lnTo>
                <a:pt x="29" y="12"/>
              </a:lnTo>
              <a:lnTo>
                <a:pt x="31" y="8"/>
              </a:lnTo>
              <a:lnTo>
                <a:pt x="3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390525</xdr:colOff>
      <xdr:row>4</xdr:row>
      <xdr:rowOff>38100</xdr:rowOff>
    </xdr:from>
    <xdr:to>
      <xdr:col>9</xdr:col>
      <xdr:colOff>400050</xdr:colOff>
      <xdr:row>12</xdr:row>
      <xdr:rowOff>38100</xdr:rowOff>
    </xdr:to>
    <xdr:sp macro="" textlink="">
      <xdr:nvSpPr>
        <xdr:cNvPr id="13912" name="Freeform 1496">
          <a:extLst>
            <a:ext uri="{FF2B5EF4-FFF2-40B4-BE49-F238E27FC236}">
              <a16:creationId xmlns:a16="http://schemas.microsoft.com/office/drawing/2014/main" id="{00000000-0008-0000-0700-000058360000}"/>
            </a:ext>
          </a:extLst>
        </xdr:cNvPr>
        <xdr:cNvSpPr>
          <a:spLocks/>
        </xdr:cNvSpPr>
      </xdr:nvSpPr>
      <xdr:spPr bwMode="auto">
        <a:xfrm>
          <a:off x="6286500" y="781050"/>
          <a:ext cx="9525" cy="1752600"/>
        </a:xfrm>
        <a:custGeom>
          <a:avLst/>
          <a:gdLst>
            <a:gd name="T0" fmla="*/ 0 w 62"/>
            <a:gd name="T1" fmla="*/ 2147483647 h 7142"/>
            <a:gd name="T2" fmla="*/ 0 w 62"/>
            <a:gd name="T3" fmla="*/ 2147483647 h 7142"/>
            <a:gd name="T4" fmla="*/ 0 w 62"/>
            <a:gd name="T5" fmla="*/ 2147483647 h 7142"/>
            <a:gd name="T6" fmla="*/ 0 w 62"/>
            <a:gd name="T7" fmla="*/ 0 h 7142"/>
            <a:gd name="T8" fmla="*/ 0 w 62"/>
            <a:gd name="T9" fmla="*/ 0 h 7142"/>
            <a:gd name="T10" fmla="*/ 0 w 62"/>
            <a:gd name="T11" fmla="*/ 0 h 7142"/>
            <a:gd name="T12" fmla="*/ 0 w 62"/>
            <a:gd name="T13" fmla="*/ 2147483647 h 714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7142"/>
            <a:gd name="T23" fmla="*/ 62 w 62"/>
            <a:gd name="T24" fmla="*/ 7142 h 714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7142">
              <a:moveTo>
                <a:pt x="0" y="7142"/>
              </a:moveTo>
              <a:lnTo>
                <a:pt x="30" y="7142"/>
              </a:lnTo>
              <a:lnTo>
                <a:pt x="62" y="7142"/>
              </a:lnTo>
              <a:lnTo>
                <a:pt x="62" y="0"/>
              </a:lnTo>
              <a:lnTo>
                <a:pt x="30" y="0"/>
              </a:lnTo>
              <a:lnTo>
                <a:pt x="0" y="0"/>
              </a:lnTo>
              <a:lnTo>
                <a:pt x="0" y="714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390525</xdr:colOff>
      <xdr:row>4</xdr:row>
      <xdr:rowOff>38100</xdr:rowOff>
    </xdr:from>
    <xdr:to>
      <xdr:col>9</xdr:col>
      <xdr:colOff>400050</xdr:colOff>
      <xdr:row>12</xdr:row>
      <xdr:rowOff>38100</xdr:rowOff>
    </xdr:to>
    <xdr:sp macro="" textlink="">
      <xdr:nvSpPr>
        <xdr:cNvPr id="13913" name="Freeform 1497">
          <a:extLst>
            <a:ext uri="{FF2B5EF4-FFF2-40B4-BE49-F238E27FC236}">
              <a16:creationId xmlns:a16="http://schemas.microsoft.com/office/drawing/2014/main" id="{00000000-0008-0000-0700-000059360000}"/>
            </a:ext>
          </a:extLst>
        </xdr:cNvPr>
        <xdr:cNvSpPr>
          <a:spLocks/>
        </xdr:cNvSpPr>
      </xdr:nvSpPr>
      <xdr:spPr bwMode="auto">
        <a:xfrm>
          <a:off x="6286500" y="781050"/>
          <a:ext cx="9525" cy="1752600"/>
        </a:xfrm>
        <a:custGeom>
          <a:avLst/>
          <a:gdLst>
            <a:gd name="T0" fmla="*/ 0 w 62"/>
            <a:gd name="T1" fmla="*/ 2147483647 h 7142"/>
            <a:gd name="T2" fmla="*/ 0 w 62"/>
            <a:gd name="T3" fmla="*/ 2147483647 h 7142"/>
            <a:gd name="T4" fmla="*/ 0 w 62"/>
            <a:gd name="T5" fmla="*/ 2147483647 h 7142"/>
            <a:gd name="T6" fmla="*/ 0 w 62"/>
            <a:gd name="T7" fmla="*/ 0 h 7142"/>
            <a:gd name="T8" fmla="*/ 0 w 62"/>
            <a:gd name="T9" fmla="*/ 0 h 7142"/>
            <a:gd name="T10" fmla="*/ 0 w 62"/>
            <a:gd name="T11" fmla="*/ 0 h 7142"/>
            <a:gd name="T12" fmla="*/ 0 w 62"/>
            <a:gd name="T13" fmla="*/ 2147483647 h 714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2"/>
            <a:gd name="T22" fmla="*/ 0 h 7142"/>
            <a:gd name="T23" fmla="*/ 62 w 62"/>
            <a:gd name="T24" fmla="*/ 7142 h 714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2" h="7142">
              <a:moveTo>
                <a:pt x="0" y="7142"/>
              </a:moveTo>
              <a:lnTo>
                <a:pt x="30" y="7142"/>
              </a:lnTo>
              <a:lnTo>
                <a:pt x="62" y="7142"/>
              </a:lnTo>
              <a:lnTo>
                <a:pt x="62" y="0"/>
              </a:lnTo>
              <a:lnTo>
                <a:pt x="30" y="0"/>
              </a:lnTo>
              <a:lnTo>
                <a:pt x="0" y="0"/>
              </a:lnTo>
              <a:lnTo>
                <a:pt x="0" y="714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400050</xdr:colOff>
      <xdr:row>4</xdr:row>
      <xdr:rowOff>28575</xdr:rowOff>
    </xdr:from>
    <xdr:to>
      <xdr:col>9</xdr:col>
      <xdr:colOff>409575</xdr:colOff>
      <xdr:row>4</xdr:row>
      <xdr:rowOff>38100</xdr:rowOff>
    </xdr:to>
    <xdr:sp macro="" textlink="">
      <xdr:nvSpPr>
        <xdr:cNvPr id="13914" name="Freeform 1498">
          <a:extLst>
            <a:ext uri="{FF2B5EF4-FFF2-40B4-BE49-F238E27FC236}">
              <a16:creationId xmlns:a16="http://schemas.microsoft.com/office/drawing/2014/main" id="{00000000-0008-0000-0700-00005A360000}"/>
            </a:ext>
          </a:extLst>
        </xdr:cNvPr>
        <xdr:cNvSpPr>
          <a:spLocks/>
        </xdr:cNvSpPr>
      </xdr:nvSpPr>
      <xdr:spPr bwMode="auto">
        <a:xfrm>
          <a:off x="6296025" y="771525"/>
          <a:ext cx="9525" cy="9525"/>
        </a:xfrm>
        <a:custGeom>
          <a:avLst/>
          <a:gdLst>
            <a:gd name="T0" fmla="*/ 0 w 32"/>
            <a:gd name="T1" fmla="*/ 0 h 31"/>
            <a:gd name="T2" fmla="*/ 0 w 32"/>
            <a:gd name="T3" fmla="*/ 0 h 31"/>
            <a:gd name="T4" fmla="*/ 0 w 32"/>
            <a:gd name="T5" fmla="*/ 0 h 31"/>
            <a:gd name="T6" fmla="*/ 0 w 32"/>
            <a:gd name="T7" fmla="*/ 0 h 31"/>
            <a:gd name="T8" fmla="*/ 0 w 32"/>
            <a:gd name="T9" fmla="*/ 0 h 31"/>
            <a:gd name="T10" fmla="*/ 0 w 32"/>
            <a:gd name="T11" fmla="*/ 0 h 31"/>
            <a:gd name="T12" fmla="*/ 0 w 32"/>
            <a:gd name="T13" fmla="*/ 0 h 31"/>
            <a:gd name="T14" fmla="*/ 0 w 32"/>
            <a:gd name="T15" fmla="*/ 0 h 31"/>
            <a:gd name="T16" fmla="*/ 0 w 32"/>
            <a:gd name="T17" fmla="*/ 0 h 31"/>
            <a:gd name="T18" fmla="*/ 0 w 32"/>
            <a:gd name="T19" fmla="*/ 0 h 31"/>
            <a:gd name="T20" fmla="*/ 0 w 32"/>
            <a:gd name="T21" fmla="*/ 0 h 31"/>
            <a:gd name="T22" fmla="*/ 0 w 32"/>
            <a:gd name="T23" fmla="*/ 0 h 31"/>
            <a:gd name="T24" fmla="*/ 0 w 32"/>
            <a:gd name="T25" fmla="*/ 0 h 31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w 32"/>
            <a:gd name="T40" fmla="*/ 0 h 31"/>
            <a:gd name="T41" fmla="*/ 32 w 32"/>
            <a:gd name="T42" fmla="*/ 31 h 31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T39" t="T40" r="T41" b="T42"/>
          <a:pathLst>
            <a:path w="32" h="31">
              <a:moveTo>
                <a:pt x="0" y="31"/>
              </a:moveTo>
              <a:lnTo>
                <a:pt x="32" y="31"/>
              </a:lnTo>
              <a:lnTo>
                <a:pt x="31" y="27"/>
              </a:lnTo>
              <a:lnTo>
                <a:pt x="30" y="22"/>
              </a:lnTo>
              <a:lnTo>
                <a:pt x="29" y="18"/>
              </a:lnTo>
              <a:lnTo>
                <a:pt x="25" y="13"/>
              </a:lnTo>
              <a:lnTo>
                <a:pt x="23" y="10"/>
              </a:lnTo>
              <a:lnTo>
                <a:pt x="19" y="7"/>
              </a:lnTo>
              <a:lnTo>
                <a:pt x="16" y="4"/>
              </a:lnTo>
              <a:lnTo>
                <a:pt x="12" y="3"/>
              </a:lnTo>
              <a:lnTo>
                <a:pt x="8" y="1"/>
              </a:lnTo>
              <a:lnTo>
                <a:pt x="0" y="0"/>
              </a:lnTo>
              <a:lnTo>
                <a:pt x="0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400050</xdr:colOff>
      <xdr:row>4</xdr:row>
      <xdr:rowOff>28575</xdr:rowOff>
    </xdr:from>
    <xdr:to>
      <xdr:col>9</xdr:col>
      <xdr:colOff>409575</xdr:colOff>
      <xdr:row>4</xdr:row>
      <xdr:rowOff>38100</xdr:rowOff>
    </xdr:to>
    <xdr:sp macro="" textlink="">
      <xdr:nvSpPr>
        <xdr:cNvPr id="13915" name="Freeform 1499">
          <a:extLst>
            <a:ext uri="{FF2B5EF4-FFF2-40B4-BE49-F238E27FC236}">
              <a16:creationId xmlns:a16="http://schemas.microsoft.com/office/drawing/2014/main" id="{00000000-0008-0000-0700-00005B360000}"/>
            </a:ext>
          </a:extLst>
        </xdr:cNvPr>
        <xdr:cNvSpPr>
          <a:spLocks/>
        </xdr:cNvSpPr>
      </xdr:nvSpPr>
      <xdr:spPr bwMode="auto">
        <a:xfrm>
          <a:off x="6296025" y="771525"/>
          <a:ext cx="9525" cy="9525"/>
        </a:xfrm>
        <a:custGeom>
          <a:avLst/>
          <a:gdLst>
            <a:gd name="T0" fmla="*/ 0 w 32"/>
            <a:gd name="T1" fmla="*/ 0 h 31"/>
            <a:gd name="T2" fmla="*/ 0 w 32"/>
            <a:gd name="T3" fmla="*/ 0 h 31"/>
            <a:gd name="T4" fmla="*/ 0 w 32"/>
            <a:gd name="T5" fmla="*/ 0 h 31"/>
            <a:gd name="T6" fmla="*/ 0 w 32"/>
            <a:gd name="T7" fmla="*/ 0 h 31"/>
            <a:gd name="T8" fmla="*/ 0 w 32"/>
            <a:gd name="T9" fmla="*/ 0 h 31"/>
            <a:gd name="T10" fmla="*/ 0 w 32"/>
            <a:gd name="T11" fmla="*/ 0 h 31"/>
            <a:gd name="T12" fmla="*/ 0 w 32"/>
            <a:gd name="T13" fmla="*/ 0 h 31"/>
            <a:gd name="T14" fmla="*/ 0 w 32"/>
            <a:gd name="T15" fmla="*/ 0 h 31"/>
            <a:gd name="T16" fmla="*/ 0 w 32"/>
            <a:gd name="T17" fmla="*/ 0 h 31"/>
            <a:gd name="T18" fmla="*/ 0 w 32"/>
            <a:gd name="T19" fmla="*/ 0 h 31"/>
            <a:gd name="T20" fmla="*/ 0 w 32"/>
            <a:gd name="T21" fmla="*/ 0 h 31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w 32"/>
            <a:gd name="T34" fmla="*/ 0 h 31"/>
            <a:gd name="T35" fmla="*/ 32 w 32"/>
            <a:gd name="T36" fmla="*/ 31 h 31"/>
          </a:gdLst>
          <a:ahLst/>
          <a:cxnLst>
            <a:cxn ang="T22">
              <a:pos x="T0" y="T1"/>
            </a:cxn>
            <a:cxn ang="T23">
              <a:pos x="T2" y="T3"/>
            </a:cxn>
            <a:cxn ang="T24">
              <a:pos x="T4" y="T5"/>
            </a:cxn>
            <a:cxn ang="T25">
              <a:pos x="T6" y="T7"/>
            </a:cxn>
            <a:cxn ang="T26">
              <a:pos x="T8" y="T9"/>
            </a:cxn>
            <a:cxn ang="T27">
              <a:pos x="T10" y="T11"/>
            </a:cxn>
            <a:cxn ang="T28">
              <a:pos x="T12" y="T13"/>
            </a:cxn>
            <a:cxn ang="T29">
              <a:pos x="T14" y="T15"/>
            </a:cxn>
            <a:cxn ang="T30">
              <a:pos x="T16" y="T17"/>
            </a:cxn>
            <a:cxn ang="T31">
              <a:pos x="T18" y="T19"/>
            </a:cxn>
            <a:cxn ang="T32">
              <a:pos x="T20" y="T21"/>
            </a:cxn>
          </a:cxnLst>
          <a:rect l="T33" t="T34" r="T35" b="T36"/>
          <a:pathLst>
            <a:path w="32" h="31">
              <a:moveTo>
                <a:pt x="32" y="31"/>
              </a:moveTo>
              <a:lnTo>
                <a:pt x="31" y="27"/>
              </a:lnTo>
              <a:lnTo>
                <a:pt x="30" y="22"/>
              </a:lnTo>
              <a:lnTo>
                <a:pt x="29" y="18"/>
              </a:lnTo>
              <a:lnTo>
                <a:pt x="25" y="13"/>
              </a:lnTo>
              <a:lnTo>
                <a:pt x="23" y="10"/>
              </a:lnTo>
              <a:lnTo>
                <a:pt x="19" y="7"/>
              </a:lnTo>
              <a:lnTo>
                <a:pt x="16" y="4"/>
              </a:lnTo>
              <a:lnTo>
                <a:pt x="12" y="3"/>
              </a:lnTo>
              <a:lnTo>
                <a:pt x="8" y="1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133350</xdr:colOff>
      <xdr:row>4</xdr:row>
      <xdr:rowOff>28575</xdr:rowOff>
    </xdr:from>
    <xdr:to>
      <xdr:col>9</xdr:col>
      <xdr:colOff>400050</xdr:colOff>
      <xdr:row>4</xdr:row>
      <xdr:rowOff>47625</xdr:rowOff>
    </xdr:to>
    <xdr:sp macro="" textlink="">
      <xdr:nvSpPr>
        <xdr:cNvPr id="13916" name="Freeform 1500">
          <a:extLst>
            <a:ext uri="{FF2B5EF4-FFF2-40B4-BE49-F238E27FC236}">
              <a16:creationId xmlns:a16="http://schemas.microsoft.com/office/drawing/2014/main" id="{00000000-0008-0000-0700-00005C360000}"/>
            </a:ext>
          </a:extLst>
        </xdr:cNvPr>
        <xdr:cNvSpPr>
          <a:spLocks/>
        </xdr:cNvSpPr>
      </xdr:nvSpPr>
      <xdr:spPr bwMode="auto">
        <a:xfrm>
          <a:off x="5295900" y="771525"/>
          <a:ext cx="1000125" cy="19050"/>
        </a:xfrm>
        <a:custGeom>
          <a:avLst/>
          <a:gdLst>
            <a:gd name="T0" fmla="*/ 2147483647 w 5287"/>
            <a:gd name="T1" fmla="*/ 0 h 62"/>
            <a:gd name="T2" fmla="*/ 2147483647 w 5287"/>
            <a:gd name="T3" fmla="*/ 0 h 62"/>
            <a:gd name="T4" fmla="*/ 2147483647 w 5287"/>
            <a:gd name="T5" fmla="*/ 0 h 62"/>
            <a:gd name="T6" fmla="*/ 0 w 5287"/>
            <a:gd name="T7" fmla="*/ 0 h 62"/>
            <a:gd name="T8" fmla="*/ 0 w 5287"/>
            <a:gd name="T9" fmla="*/ 0 h 62"/>
            <a:gd name="T10" fmla="*/ 0 w 5287"/>
            <a:gd name="T11" fmla="*/ 0 h 62"/>
            <a:gd name="T12" fmla="*/ 2147483647 w 5287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287"/>
            <a:gd name="T22" fmla="*/ 0 h 62"/>
            <a:gd name="T23" fmla="*/ 5287 w 5287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287" h="62">
              <a:moveTo>
                <a:pt x="5287" y="62"/>
              </a:moveTo>
              <a:lnTo>
                <a:pt x="5287" y="31"/>
              </a:lnTo>
              <a:lnTo>
                <a:pt x="5287" y="0"/>
              </a:lnTo>
              <a:lnTo>
                <a:pt x="0" y="0"/>
              </a:lnTo>
              <a:lnTo>
                <a:pt x="0" y="31"/>
              </a:lnTo>
              <a:lnTo>
                <a:pt x="0" y="62"/>
              </a:lnTo>
              <a:lnTo>
                <a:pt x="5287" y="6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133350</xdr:colOff>
      <xdr:row>4</xdr:row>
      <xdr:rowOff>28575</xdr:rowOff>
    </xdr:from>
    <xdr:to>
      <xdr:col>9</xdr:col>
      <xdr:colOff>400050</xdr:colOff>
      <xdr:row>4</xdr:row>
      <xdr:rowOff>47625</xdr:rowOff>
    </xdr:to>
    <xdr:sp macro="" textlink="">
      <xdr:nvSpPr>
        <xdr:cNvPr id="13917" name="Freeform 1501">
          <a:extLst>
            <a:ext uri="{FF2B5EF4-FFF2-40B4-BE49-F238E27FC236}">
              <a16:creationId xmlns:a16="http://schemas.microsoft.com/office/drawing/2014/main" id="{00000000-0008-0000-0700-00005D360000}"/>
            </a:ext>
          </a:extLst>
        </xdr:cNvPr>
        <xdr:cNvSpPr>
          <a:spLocks/>
        </xdr:cNvSpPr>
      </xdr:nvSpPr>
      <xdr:spPr bwMode="auto">
        <a:xfrm>
          <a:off x="5295900" y="771525"/>
          <a:ext cx="1000125" cy="19050"/>
        </a:xfrm>
        <a:custGeom>
          <a:avLst/>
          <a:gdLst>
            <a:gd name="T0" fmla="*/ 2147483647 w 5287"/>
            <a:gd name="T1" fmla="*/ 0 h 62"/>
            <a:gd name="T2" fmla="*/ 2147483647 w 5287"/>
            <a:gd name="T3" fmla="*/ 0 h 62"/>
            <a:gd name="T4" fmla="*/ 2147483647 w 5287"/>
            <a:gd name="T5" fmla="*/ 0 h 62"/>
            <a:gd name="T6" fmla="*/ 0 w 5287"/>
            <a:gd name="T7" fmla="*/ 0 h 62"/>
            <a:gd name="T8" fmla="*/ 0 w 5287"/>
            <a:gd name="T9" fmla="*/ 0 h 62"/>
            <a:gd name="T10" fmla="*/ 0 w 5287"/>
            <a:gd name="T11" fmla="*/ 0 h 62"/>
            <a:gd name="T12" fmla="*/ 2147483647 w 5287"/>
            <a:gd name="T13" fmla="*/ 0 h 6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287"/>
            <a:gd name="T22" fmla="*/ 0 h 62"/>
            <a:gd name="T23" fmla="*/ 5287 w 5287"/>
            <a:gd name="T24" fmla="*/ 62 h 6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287" h="62">
              <a:moveTo>
                <a:pt x="5287" y="62"/>
              </a:moveTo>
              <a:lnTo>
                <a:pt x="5287" y="31"/>
              </a:lnTo>
              <a:lnTo>
                <a:pt x="5287" y="0"/>
              </a:lnTo>
              <a:lnTo>
                <a:pt x="0" y="0"/>
              </a:lnTo>
              <a:lnTo>
                <a:pt x="0" y="31"/>
              </a:lnTo>
              <a:lnTo>
                <a:pt x="0" y="62"/>
              </a:lnTo>
              <a:lnTo>
                <a:pt x="5287" y="6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123825</xdr:colOff>
      <xdr:row>4</xdr:row>
      <xdr:rowOff>28575</xdr:rowOff>
    </xdr:from>
    <xdr:to>
      <xdr:col>8</xdr:col>
      <xdr:colOff>133350</xdr:colOff>
      <xdr:row>4</xdr:row>
      <xdr:rowOff>38100</xdr:rowOff>
    </xdr:to>
    <xdr:sp macro="" textlink="">
      <xdr:nvSpPr>
        <xdr:cNvPr id="13918" name="Freeform 1502">
          <a:extLst>
            <a:ext uri="{FF2B5EF4-FFF2-40B4-BE49-F238E27FC236}">
              <a16:creationId xmlns:a16="http://schemas.microsoft.com/office/drawing/2014/main" id="{00000000-0008-0000-0700-00005E360000}"/>
            </a:ext>
          </a:extLst>
        </xdr:cNvPr>
        <xdr:cNvSpPr>
          <a:spLocks/>
        </xdr:cNvSpPr>
      </xdr:nvSpPr>
      <xdr:spPr bwMode="auto">
        <a:xfrm>
          <a:off x="5286375" y="771525"/>
          <a:ext cx="9525" cy="9525"/>
        </a:xfrm>
        <a:custGeom>
          <a:avLst/>
          <a:gdLst>
            <a:gd name="T0" fmla="*/ 0 w 30"/>
            <a:gd name="T1" fmla="*/ 0 h 31"/>
            <a:gd name="T2" fmla="*/ 0 w 30"/>
            <a:gd name="T3" fmla="*/ 0 h 31"/>
            <a:gd name="T4" fmla="*/ 0 w 30"/>
            <a:gd name="T5" fmla="*/ 0 h 31"/>
            <a:gd name="T6" fmla="*/ 0 w 30"/>
            <a:gd name="T7" fmla="*/ 0 h 31"/>
            <a:gd name="T8" fmla="*/ 0 w 30"/>
            <a:gd name="T9" fmla="*/ 0 h 31"/>
            <a:gd name="T10" fmla="*/ 0 w 30"/>
            <a:gd name="T11" fmla="*/ 0 h 31"/>
            <a:gd name="T12" fmla="*/ 0 w 30"/>
            <a:gd name="T13" fmla="*/ 0 h 31"/>
            <a:gd name="T14" fmla="*/ 0 w 30"/>
            <a:gd name="T15" fmla="*/ 0 h 31"/>
            <a:gd name="T16" fmla="*/ 0 w 30"/>
            <a:gd name="T17" fmla="*/ 0 h 31"/>
            <a:gd name="T18" fmla="*/ 0 w 30"/>
            <a:gd name="T19" fmla="*/ 0 h 31"/>
            <a:gd name="T20" fmla="*/ 0 w 30"/>
            <a:gd name="T21" fmla="*/ 0 h 31"/>
            <a:gd name="T22" fmla="*/ 0 w 30"/>
            <a:gd name="T23" fmla="*/ 0 h 31"/>
            <a:gd name="T24" fmla="*/ 0 w 30"/>
            <a:gd name="T25" fmla="*/ 0 h 31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w 30"/>
            <a:gd name="T40" fmla="*/ 0 h 31"/>
            <a:gd name="T41" fmla="*/ 30 w 30"/>
            <a:gd name="T42" fmla="*/ 31 h 31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T39" t="T40" r="T41" b="T42"/>
          <a:pathLst>
            <a:path w="30" h="31">
              <a:moveTo>
                <a:pt x="30" y="31"/>
              </a:moveTo>
              <a:lnTo>
                <a:pt x="30" y="0"/>
              </a:lnTo>
              <a:lnTo>
                <a:pt x="26" y="1"/>
              </a:lnTo>
              <a:lnTo>
                <a:pt x="21" y="2"/>
              </a:lnTo>
              <a:lnTo>
                <a:pt x="17" y="3"/>
              </a:lnTo>
              <a:lnTo>
                <a:pt x="13" y="6"/>
              </a:lnTo>
              <a:lnTo>
                <a:pt x="9" y="8"/>
              </a:lnTo>
              <a:lnTo>
                <a:pt x="6" y="12"/>
              </a:lnTo>
              <a:lnTo>
                <a:pt x="3" y="16"/>
              </a:lnTo>
              <a:lnTo>
                <a:pt x="2" y="20"/>
              </a:lnTo>
              <a:lnTo>
                <a:pt x="0" y="24"/>
              </a:lnTo>
              <a:lnTo>
                <a:pt x="0" y="31"/>
              </a:lnTo>
              <a:lnTo>
                <a:pt x="30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123825</xdr:colOff>
      <xdr:row>4</xdr:row>
      <xdr:rowOff>28575</xdr:rowOff>
    </xdr:from>
    <xdr:to>
      <xdr:col>8</xdr:col>
      <xdr:colOff>133350</xdr:colOff>
      <xdr:row>4</xdr:row>
      <xdr:rowOff>38100</xdr:rowOff>
    </xdr:to>
    <xdr:sp macro="" textlink="">
      <xdr:nvSpPr>
        <xdr:cNvPr id="13919" name="Freeform 1503">
          <a:extLst>
            <a:ext uri="{FF2B5EF4-FFF2-40B4-BE49-F238E27FC236}">
              <a16:creationId xmlns:a16="http://schemas.microsoft.com/office/drawing/2014/main" id="{00000000-0008-0000-0700-00005F360000}"/>
            </a:ext>
          </a:extLst>
        </xdr:cNvPr>
        <xdr:cNvSpPr>
          <a:spLocks/>
        </xdr:cNvSpPr>
      </xdr:nvSpPr>
      <xdr:spPr bwMode="auto">
        <a:xfrm>
          <a:off x="5286375" y="771525"/>
          <a:ext cx="9525" cy="9525"/>
        </a:xfrm>
        <a:custGeom>
          <a:avLst/>
          <a:gdLst>
            <a:gd name="T0" fmla="*/ 0 w 30"/>
            <a:gd name="T1" fmla="*/ 0 h 31"/>
            <a:gd name="T2" fmla="*/ 0 w 30"/>
            <a:gd name="T3" fmla="*/ 0 h 31"/>
            <a:gd name="T4" fmla="*/ 0 w 30"/>
            <a:gd name="T5" fmla="*/ 0 h 31"/>
            <a:gd name="T6" fmla="*/ 0 w 30"/>
            <a:gd name="T7" fmla="*/ 0 h 31"/>
            <a:gd name="T8" fmla="*/ 0 w 30"/>
            <a:gd name="T9" fmla="*/ 0 h 31"/>
            <a:gd name="T10" fmla="*/ 0 w 30"/>
            <a:gd name="T11" fmla="*/ 0 h 31"/>
            <a:gd name="T12" fmla="*/ 0 w 30"/>
            <a:gd name="T13" fmla="*/ 0 h 31"/>
            <a:gd name="T14" fmla="*/ 0 w 30"/>
            <a:gd name="T15" fmla="*/ 0 h 31"/>
            <a:gd name="T16" fmla="*/ 0 w 30"/>
            <a:gd name="T17" fmla="*/ 0 h 31"/>
            <a:gd name="T18" fmla="*/ 0 w 30"/>
            <a:gd name="T19" fmla="*/ 0 h 31"/>
            <a:gd name="T20" fmla="*/ 0 w 30"/>
            <a:gd name="T21" fmla="*/ 0 h 31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w 30"/>
            <a:gd name="T34" fmla="*/ 0 h 31"/>
            <a:gd name="T35" fmla="*/ 30 w 30"/>
            <a:gd name="T36" fmla="*/ 31 h 31"/>
          </a:gdLst>
          <a:ahLst/>
          <a:cxnLst>
            <a:cxn ang="T22">
              <a:pos x="T0" y="T1"/>
            </a:cxn>
            <a:cxn ang="T23">
              <a:pos x="T2" y="T3"/>
            </a:cxn>
            <a:cxn ang="T24">
              <a:pos x="T4" y="T5"/>
            </a:cxn>
            <a:cxn ang="T25">
              <a:pos x="T6" y="T7"/>
            </a:cxn>
            <a:cxn ang="T26">
              <a:pos x="T8" y="T9"/>
            </a:cxn>
            <a:cxn ang="T27">
              <a:pos x="T10" y="T11"/>
            </a:cxn>
            <a:cxn ang="T28">
              <a:pos x="T12" y="T13"/>
            </a:cxn>
            <a:cxn ang="T29">
              <a:pos x="T14" y="T15"/>
            </a:cxn>
            <a:cxn ang="T30">
              <a:pos x="T16" y="T17"/>
            </a:cxn>
            <a:cxn ang="T31">
              <a:pos x="T18" y="T19"/>
            </a:cxn>
            <a:cxn ang="T32">
              <a:pos x="T20" y="T21"/>
            </a:cxn>
          </a:cxnLst>
          <a:rect l="T33" t="T34" r="T35" b="T36"/>
          <a:pathLst>
            <a:path w="30" h="31">
              <a:moveTo>
                <a:pt x="30" y="0"/>
              </a:moveTo>
              <a:lnTo>
                <a:pt x="26" y="1"/>
              </a:lnTo>
              <a:lnTo>
                <a:pt x="21" y="2"/>
              </a:lnTo>
              <a:lnTo>
                <a:pt x="17" y="3"/>
              </a:lnTo>
              <a:lnTo>
                <a:pt x="13" y="6"/>
              </a:lnTo>
              <a:lnTo>
                <a:pt x="9" y="8"/>
              </a:lnTo>
              <a:lnTo>
                <a:pt x="6" y="12"/>
              </a:lnTo>
              <a:lnTo>
                <a:pt x="3" y="16"/>
              </a:lnTo>
              <a:lnTo>
                <a:pt x="2" y="20"/>
              </a:lnTo>
              <a:lnTo>
                <a:pt x="0" y="24"/>
              </a:lnTo>
              <a:lnTo>
                <a:pt x="0" y="31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123825</xdr:colOff>
      <xdr:row>12</xdr:row>
      <xdr:rowOff>28575</xdr:rowOff>
    </xdr:from>
    <xdr:to>
      <xdr:col>8</xdr:col>
      <xdr:colOff>142875</xdr:colOff>
      <xdr:row>12</xdr:row>
      <xdr:rowOff>38100</xdr:rowOff>
    </xdr:to>
    <xdr:sp macro="" textlink="">
      <xdr:nvSpPr>
        <xdr:cNvPr id="13920" name="Freeform 1504">
          <a:extLst>
            <a:ext uri="{FF2B5EF4-FFF2-40B4-BE49-F238E27FC236}">
              <a16:creationId xmlns:a16="http://schemas.microsoft.com/office/drawing/2014/main" id="{00000000-0008-0000-0700-000060360000}"/>
            </a:ext>
          </a:extLst>
        </xdr:cNvPr>
        <xdr:cNvSpPr>
          <a:spLocks/>
        </xdr:cNvSpPr>
      </xdr:nvSpPr>
      <xdr:spPr bwMode="auto">
        <a:xfrm>
          <a:off x="5286375" y="2524125"/>
          <a:ext cx="19050" cy="9525"/>
        </a:xfrm>
        <a:custGeom>
          <a:avLst/>
          <a:gdLst>
            <a:gd name="T0" fmla="*/ 0 w 57"/>
            <a:gd name="T1" fmla="*/ 0 h 47"/>
            <a:gd name="T2" fmla="*/ 0 w 57"/>
            <a:gd name="T3" fmla="*/ 0 h 47"/>
            <a:gd name="T4" fmla="*/ 0 w 57"/>
            <a:gd name="T5" fmla="*/ 0 h 47"/>
            <a:gd name="T6" fmla="*/ 0 w 57"/>
            <a:gd name="T7" fmla="*/ 0 h 47"/>
            <a:gd name="T8" fmla="*/ 0 w 57"/>
            <a:gd name="T9" fmla="*/ 0 h 47"/>
            <a:gd name="T10" fmla="*/ 0 w 57"/>
            <a:gd name="T11" fmla="*/ 0 h 47"/>
            <a:gd name="T12" fmla="*/ 0 w 57"/>
            <a:gd name="T13" fmla="*/ 0 h 47"/>
            <a:gd name="T14" fmla="*/ 0 w 57"/>
            <a:gd name="T15" fmla="*/ 0 h 47"/>
            <a:gd name="T16" fmla="*/ 0 w 57"/>
            <a:gd name="T17" fmla="*/ 0 h 47"/>
            <a:gd name="T18" fmla="*/ 0 w 57"/>
            <a:gd name="T19" fmla="*/ 0 h 47"/>
            <a:gd name="T20" fmla="*/ 0 w 57"/>
            <a:gd name="T21" fmla="*/ 0 h 47"/>
            <a:gd name="T22" fmla="*/ 0 w 57"/>
            <a:gd name="T23" fmla="*/ 0 h 47"/>
            <a:gd name="T24" fmla="*/ 0 w 57"/>
            <a:gd name="T25" fmla="*/ 0 h 47"/>
            <a:gd name="T26" fmla="*/ 0 w 57"/>
            <a:gd name="T27" fmla="*/ 0 h 47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7"/>
            <a:gd name="T43" fmla="*/ 0 h 47"/>
            <a:gd name="T44" fmla="*/ 57 w 57"/>
            <a:gd name="T45" fmla="*/ 47 h 47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7" h="47">
              <a:moveTo>
                <a:pt x="30" y="30"/>
              </a:moveTo>
              <a:lnTo>
                <a:pt x="4" y="47"/>
              </a:lnTo>
              <a:lnTo>
                <a:pt x="1" y="39"/>
              </a:lnTo>
              <a:lnTo>
                <a:pt x="0" y="30"/>
              </a:lnTo>
              <a:lnTo>
                <a:pt x="1" y="21"/>
              </a:lnTo>
              <a:lnTo>
                <a:pt x="4" y="14"/>
              </a:lnTo>
              <a:lnTo>
                <a:pt x="11" y="7"/>
              </a:lnTo>
              <a:lnTo>
                <a:pt x="18" y="2"/>
              </a:lnTo>
              <a:lnTo>
                <a:pt x="26" y="0"/>
              </a:lnTo>
              <a:lnTo>
                <a:pt x="35" y="0"/>
              </a:lnTo>
              <a:lnTo>
                <a:pt x="43" y="2"/>
              </a:lnTo>
              <a:lnTo>
                <a:pt x="50" y="7"/>
              </a:lnTo>
              <a:lnTo>
                <a:pt x="57" y="14"/>
              </a:lnTo>
              <a:lnTo>
                <a:pt x="30" y="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123825</xdr:colOff>
      <xdr:row>12</xdr:row>
      <xdr:rowOff>28575</xdr:rowOff>
    </xdr:from>
    <xdr:to>
      <xdr:col>8</xdr:col>
      <xdr:colOff>142875</xdr:colOff>
      <xdr:row>12</xdr:row>
      <xdr:rowOff>38100</xdr:rowOff>
    </xdr:to>
    <xdr:sp macro="" textlink="">
      <xdr:nvSpPr>
        <xdr:cNvPr id="13921" name="Freeform 1505">
          <a:extLst>
            <a:ext uri="{FF2B5EF4-FFF2-40B4-BE49-F238E27FC236}">
              <a16:creationId xmlns:a16="http://schemas.microsoft.com/office/drawing/2014/main" id="{00000000-0008-0000-0700-000061360000}"/>
            </a:ext>
          </a:extLst>
        </xdr:cNvPr>
        <xdr:cNvSpPr>
          <a:spLocks/>
        </xdr:cNvSpPr>
      </xdr:nvSpPr>
      <xdr:spPr bwMode="auto">
        <a:xfrm>
          <a:off x="5286375" y="2524125"/>
          <a:ext cx="19050" cy="9525"/>
        </a:xfrm>
        <a:custGeom>
          <a:avLst/>
          <a:gdLst>
            <a:gd name="T0" fmla="*/ 0 w 57"/>
            <a:gd name="T1" fmla="*/ 0 h 47"/>
            <a:gd name="T2" fmla="*/ 0 w 57"/>
            <a:gd name="T3" fmla="*/ 0 h 47"/>
            <a:gd name="T4" fmla="*/ 0 w 57"/>
            <a:gd name="T5" fmla="*/ 0 h 47"/>
            <a:gd name="T6" fmla="*/ 0 w 57"/>
            <a:gd name="T7" fmla="*/ 0 h 47"/>
            <a:gd name="T8" fmla="*/ 0 w 57"/>
            <a:gd name="T9" fmla="*/ 0 h 47"/>
            <a:gd name="T10" fmla="*/ 0 w 57"/>
            <a:gd name="T11" fmla="*/ 0 h 47"/>
            <a:gd name="T12" fmla="*/ 0 w 57"/>
            <a:gd name="T13" fmla="*/ 0 h 47"/>
            <a:gd name="T14" fmla="*/ 0 w 57"/>
            <a:gd name="T15" fmla="*/ 0 h 47"/>
            <a:gd name="T16" fmla="*/ 0 w 57"/>
            <a:gd name="T17" fmla="*/ 0 h 47"/>
            <a:gd name="T18" fmla="*/ 0 w 57"/>
            <a:gd name="T19" fmla="*/ 0 h 47"/>
            <a:gd name="T20" fmla="*/ 0 w 57"/>
            <a:gd name="T21" fmla="*/ 0 h 47"/>
            <a:gd name="T22" fmla="*/ 0 w 57"/>
            <a:gd name="T23" fmla="*/ 0 h 47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7"/>
            <a:gd name="T37" fmla="*/ 0 h 47"/>
            <a:gd name="T38" fmla="*/ 57 w 57"/>
            <a:gd name="T39" fmla="*/ 47 h 47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7" h="47">
              <a:moveTo>
                <a:pt x="4" y="47"/>
              </a:moveTo>
              <a:lnTo>
                <a:pt x="1" y="39"/>
              </a:lnTo>
              <a:lnTo>
                <a:pt x="0" y="30"/>
              </a:lnTo>
              <a:lnTo>
                <a:pt x="1" y="21"/>
              </a:lnTo>
              <a:lnTo>
                <a:pt x="4" y="14"/>
              </a:lnTo>
              <a:lnTo>
                <a:pt x="11" y="7"/>
              </a:lnTo>
              <a:lnTo>
                <a:pt x="18" y="2"/>
              </a:lnTo>
              <a:lnTo>
                <a:pt x="26" y="0"/>
              </a:lnTo>
              <a:lnTo>
                <a:pt x="35" y="0"/>
              </a:lnTo>
              <a:lnTo>
                <a:pt x="43" y="2"/>
              </a:lnTo>
              <a:lnTo>
                <a:pt x="50" y="7"/>
              </a:lnTo>
              <a:lnTo>
                <a:pt x="57" y="1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123825</xdr:colOff>
      <xdr:row>12</xdr:row>
      <xdr:rowOff>38100</xdr:rowOff>
    </xdr:from>
    <xdr:to>
      <xdr:col>8</xdr:col>
      <xdr:colOff>428625</xdr:colOff>
      <xdr:row>15</xdr:row>
      <xdr:rowOff>38100</xdr:rowOff>
    </xdr:to>
    <xdr:sp macro="" textlink="">
      <xdr:nvSpPr>
        <xdr:cNvPr id="13922" name="Freeform 1506">
          <a:extLst>
            <a:ext uri="{FF2B5EF4-FFF2-40B4-BE49-F238E27FC236}">
              <a16:creationId xmlns:a16="http://schemas.microsoft.com/office/drawing/2014/main" id="{00000000-0008-0000-0700-000062360000}"/>
            </a:ext>
          </a:extLst>
        </xdr:cNvPr>
        <xdr:cNvSpPr>
          <a:spLocks/>
        </xdr:cNvSpPr>
      </xdr:nvSpPr>
      <xdr:spPr bwMode="auto">
        <a:xfrm>
          <a:off x="5286375" y="2533650"/>
          <a:ext cx="304800" cy="695325"/>
        </a:xfrm>
        <a:custGeom>
          <a:avLst/>
          <a:gdLst>
            <a:gd name="T0" fmla="*/ 0 w 1815"/>
            <a:gd name="T1" fmla="*/ 0 h 2816"/>
            <a:gd name="T2" fmla="*/ 0 w 1815"/>
            <a:gd name="T3" fmla="*/ 0 h 2816"/>
            <a:gd name="T4" fmla="*/ 0 w 1815"/>
            <a:gd name="T5" fmla="*/ 0 h 2816"/>
            <a:gd name="T6" fmla="*/ 2147483647 w 1815"/>
            <a:gd name="T7" fmla="*/ 2147483647 h 2816"/>
            <a:gd name="T8" fmla="*/ 2147483647 w 1815"/>
            <a:gd name="T9" fmla="*/ 2147483647 h 2816"/>
            <a:gd name="T10" fmla="*/ 2147483647 w 1815"/>
            <a:gd name="T11" fmla="*/ 2147483647 h 2816"/>
            <a:gd name="T12" fmla="*/ 0 w 1815"/>
            <a:gd name="T13" fmla="*/ 0 h 281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815"/>
            <a:gd name="T22" fmla="*/ 0 h 2816"/>
            <a:gd name="T23" fmla="*/ 1815 w 1815"/>
            <a:gd name="T24" fmla="*/ 2816 h 281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815" h="2816">
              <a:moveTo>
                <a:pt x="53" y="0"/>
              </a:moveTo>
              <a:lnTo>
                <a:pt x="26" y="16"/>
              </a:lnTo>
              <a:lnTo>
                <a:pt x="0" y="33"/>
              </a:lnTo>
              <a:lnTo>
                <a:pt x="1762" y="2816"/>
              </a:lnTo>
              <a:lnTo>
                <a:pt x="1788" y="2799"/>
              </a:lnTo>
              <a:lnTo>
                <a:pt x="1815" y="2782"/>
              </a:lnTo>
              <a:lnTo>
                <a:pt x="53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123825</xdr:colOff>
      <xdr:row>12</xdr:row>
      <xdr:rowOff>38100</xdr:rowOff>
    </xdr:from>
    <xdr:to>
      <xdr:col>8</xdr:col>
      <xdr:colOff>428625</xdr:colOff>
      <xdr:row>15</xdr:row>
      <xdr:rowOff>38100</xdr:rowOff>
    </xdr:to>
    <xdr:sp macro="" textlink="">
      <xdr:nvSpPr>
        <xdr:cNvPr id="13923" name="Freeform 1507">
          <a:extLst>
            <a:ext uri="{FF2B5EF4-FFF2-40B4-BE49-F238E27FC236}">
              <a16:creationId xmlns:a16="http://schemas.microsoft.com/office/drawing/2014/main" id="{00000000-0008-0000-0700-000063360000}"/>
            </a:ext>
          </a:extLst>
        </xdr:cNvPr>
        <xdr:cNvSpPr>
          <a:spLocks/>
        </xdr:cNvSpPr>
      </xdr:nvSpPr>
      <xdr:spPr bwMode="auto">
        <a:xfrm>
          <a:off x="5286375" y="2533650"/>
          <a:ext cx="304800" cy="695325"/>
        </a:xfrm>
        <a:custGeom>
          <a:avLst/>
          <a:gdLst>
            <a:gd name="T0" fmla="*/ 0 w 1815"/>
            <a:gd name="T1" fmla="*/ 0 h 2816"/>
            <a:gd name="T2" fmla="*/ 0 w 1815"/>
            <a:gd name="T3" fmla="*/ 0 h 2816"/>
            <a:gd name="T4" fmla="*/ 0 w 1815"/>
            <a:gd name="T5" fmla="*/ 0 h 2816"/>
            <a:gd name="T6" fmla="*/ 2147483647 w 1815"/>
            <a:gd name="T7" fmla="*/ 2147483647 h 2816"/>
            <a:gd name="T8" fmla="*/ 2147483647 w 1815"/>
            <a:gd name="T9" fmla="*/ 2147483647 h 2816"/>
            <a:gd name="T10" fmla="*/ 2147483647 w 1815"/>
            <a:gd name="T11" fmla="*/ 2147483647 h 2816"/>
            <a:gd name="T12" fmla="*/ 0 w 1815"/>
            <a:gd name="T13" fmla="*/ 0 h 281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815"/>
            <a:gd name="T22" fmla="*/ 0 h 2816"/>
            <a:gd name="T23" fmla="*/ 1815 w 1815"/>
            <a:gd name="T24" fmla="*/ 2816 h 281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815" h="2816">
              <a:moveTo>
                <a:pt x="53" y="0"/>
              </a:moveTo>
              <a:lnTo>
                <a:pt x="26" y="16"/>
              </a:lnTo>
              <a:lnTo>
                <a:pt x="0" y="33"/>
              </a:lnTo>
              <a:lnTo>
                <a:pt x="1762" y="2816"/>
              </a:lnTo>
              <a:lnTo>
                <a:pt x="1788" y="2799"/>
              </a:lnTo>
              <a:lnTo>
                <a:pt x="1815" y="2782"/>
              </a:lnTo>
              <a:lnTo>
                <a:pt x="53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419100</xdr:colOff>
      <xdr:row>15</xdr:row>
      <xdr:rowOff>152400</xdr:rowOff>
    </xdr:from>
    <xdr:to>
      <xdr:col>8</xdr:col>
      <xdr:colOff>419100</xdr:colOff>
      <xdr:row>15</xdr:row>
      <xdr:rowOff>152400</xdr:rowOff>
    </xdr:to>
    <xdr:sp macro="" textlink="">
      <xdr:nvSpPr>
        <xdr:cNvPr id="13924" name="Freeform 1508">
          <a:extLst>
            <a:ext uri="{FF2B5EF4-FFF2-40B4-BE49-F238E27FC236}">
              <a16:creationId xmlns:a16="http://schemas.microsoft.com/office/drawing/2014/main" id="{00000000-0008-0000-0700-000064360000}"/>
            </a:ext>
          </a:extLst>
        </xdr:cNvPr>
        <xdr:cNvSpPr>
          <a:spLocks/>
        </xdr:cNvSpPr>
      </xdr:nvSpPr>
      <xdr:spPr bwMode="auto">
        <a:xfrm>
          <a:off x="5581650" y="3343275"/>
          <a:ext cx="0" cy="0"/>
        </a:xfrm>
        <a:custGeom>
          <a:avLst/>
          <a:gdLst>
            <a:gd name="T0" fmla="*/ 0 w 26"/>
            <a:gd name="T1" fmla="*/ 0 h 30"/>
            <a:gd name="T2" fmla="*/ 0 w 26"/>
            <a:gd name="T3" fmla="*/ 0 h 30"/>
            <a:gd name="T4" fmla="*/ 0 w 26"/>
            <a:gd name="T5" fmla="*/ 0 h 30"/>
            <a:gd name="T6" fmla="*/ 0 w 26"/>
            <a:gd name="T7" fmla="*/ 0 h 30"/>
            <a:gd name="T8" fmla="*/ 0 w 26"/>
            <a:gd name="T9" fmla="*/ 0 h 30"/>
            <a:gd name="T10" fmla="*/ 0 w 26"/>
            <a:gd name="T11" fmla="*/ 0 h 30"/>
            <a:gd name="T12" fmla="*/ 0 w 26"/>
            <a:gd name="T13" fmla="*/ 0 h 30"/>
            <a:gd name="T14" fmla="*/ 0 w 26"/>
            <a:gd name="T15" fmla="*/ 0 h 30"/>
            <a:gd name="T16" fmla="*/ 0 w 26"/>
            <a:gd name="T17" fmla="*/ 0 h 30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26"/>
            <a:gd name="T28" fmla="*/ 0 h 30"/>
            <a:gd name="T29" fmla="*/ 26 w 26"/>
            <a:gd name="T30" fmla="*/ 30 h 30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26" h="30">
              <a:moveTo>
                <a:pt x="26" y="0"/>
              </a:moveTo>
              <a:lnTo>
                <a:pt x="0" y="17"/>
              </a:lnTo>
              <a:lnTo>
                <a:pt x="3" y="20"/>
              </a:lnTo>
              <a:lnTo>
                <a:pt x="6" y="23"/>
              </a:lnTo>
              <a:lnTo>
                <a:pt x="10" y="26"/>
              </a:lnTo>
              <a:lnTo>
                <a:pt x="14" y="28"/>
              </a:lnTo>
              <a:lnTo>
                <a:pt x="18" y="30"/>
              </a:lnTo>
              <a:lnTo>
                <a:pt x="26" y="30"/>
              </a:lnTo>
              <a:lnTo>
                <a:pt x="26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419100</xdr:colOff>
      <xdr:row>15</xdr:row>
      <xdr:rowOff>152400</xdr:rowOff>
    </xdr:from>
    <xdr:to>
      <xdr:col>8</xdr:col>
      <xdr:colOff>419100</xdr:colOff>
      <xdr:row>15</xdr:row>
      <xdr:rowOff>161925</xdr:rowOff>
    </xdr:to>
    <xdr:sp macro="" textlink="">
      <xdr:nvSpPr>
        <xdr:cNvPr id="13925" name="Freeform 1509">
          <a:extLst>
            <a:ext uri="{FF2B5EF4-FFF2-40B4-BE49-F238E27FC236}">
              <a16:creationId xmlns:a16="http://schemas.microsoft.com/office/drawing/2014/main" id="{00000000-0008-0000-0700-000065360000}"/>
            </a:ext>
          </a:extLst>
        </xdr:cNvPr>
        <xdr:cNvSpPr>
          <a:spLocks/>
        </xdr:cNvSpPr>
      </xdr:nvSpPr>
      <xdr:spPr bwMode="auto">
        <a:xfrm>
          <a:off x="5581650" y="3343275"/>
          <a:ext cx="0" cy="9525"/>
        </a:xfrm>
        <a:custGeom>
          <a:avLst/>
          <a:gdLst>
            <a:gd name="T0" fmla="*/ 0 w 26"/>
            <a:gd name="T1" fmla="*/ 0 h 13"/>
            <a:gd name="T2" fmla="*/ 0 w 26"/>
            <a:gd name="T3" fmla="*/ 0 h 13"/>
            <a:gd name="T4" fmla="*/ 0 w 26"/>
            <a:gd name="T5" fmla="*/ 0 h 13"/>
            <a:gd name="T6" fmla="*/ 0 w 26"/>
            <a:gd name="T7" fmla="*/ 0 h 13"/>
            <a:gd name="T8" fmla="*/ 0 w 26"/>
            <a:gd name="T9" fmla="*/ 0 h 13"/>
            <a:gd name="T10" fmla="*/ 0 w 26"/>
            <a:gd name="T11" fmla="*/ 0 h 13"/>
            <a:gd name="T12" fmla="*/ 0 w 26"/>
            <a:gd name="T13" fmla="*/ 0 h 1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6"/>
            <a:gd name="T22" fmla="*/ 0 h 13"/>
            <a:gd name="T23" fmla="*/ 0 w 26"/>
            <a:gd name="T24" fmla="*/ 13 h 1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6" h="13">
              <a:moveTo>
                <a:pt x="0" y="0"/>
              </a:moveTo>
              <a:lnTo>
                <a:pt x="3" y="3"/>
              </a:lnTo>
              <a:lnTo>
                <a:pt x="6" y="6"/>
              </a:lnTo>
              <a:lnTo>
                <a:pt x="10" y="9"/>
              </a:lnTo>
              <a:lnTo>
                <a:pt x="14" y="11"/>
              </a:lnTo>
              <a:lnTo>
                <a:pt x="18" y="13"/>
              </a:lnTo>
              <a:lnTo>
                <a:pt x="26" y="13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390525</xdr:colOff>
      <xdr:row>12</xdr:row>
      <xdr:rowOff>28575</xdr:rowOff>
    </xdr:from>
    <xdr:to>
      <xdr:col>9</xdr:col>
      <xdr:colOff>400050</xdr:colOff>
      <xdr:row>12</xdr:row>
      <xdr:rowOff>38100</xdr:rowOff>
    </xdr:to>
    <xdr:sp macro="" textlink="">
      <xdr:nvSpPr>
        <xdr:cNvPr id="13926" name="Freeform 1514">
          <a:extLst>
            <a:ext uri="{FF2B5EF4-FFF2-40B4-BE49-F238E27FC236}">
              <a16:creationId xmlns:a16="http://schemas.microsoft.com/office/drawing/2014/main" id="{00000000-0008-0000-0700-000066360000}"/>
            </a:ext>
          </a:extLst>
        </xdr:cNvPr>
        <xdr:cNvSpPr>
          <a:spLocks/>
        </xdr:cNvSpPr>
      </xdr:nvSpPr>
      <xdr:spPr bwMode="auto">
        <a:xfrm>
          <a:off x="6286500" y="2524125"/>
          <a:ext cx="9525" cy="9525"/>
        </a:xfrm>
        <a:custGeom>
          <a:avLst/>
          <a:gdLst>
            <a:gd name="T0" fmla="*/ 0 w 57"/>
            <a:gd name="T1" fmla="*/ 0 h 47"/>
            <a:gd name="T2" fmla="*/ 0 w 57"/>
            <a:gd name="T3" fmla="*/ 0 h 47"/>
            <a:gd name="T4" fmla="*/ 0 w 57"/>
            <a:gd name="T5" fmla="*/ 0 h 47"/>
            <a:gd name="T6" fmla="*/ 0 w 57"/>
            <a:gd name="T7" fmla="*/ 0 h 47"/>
            <a:gd name="T8" fmla="*/ 0 w 57"/>
            <a:gd name="T9" fmla="*/ 0 h 47"/>
            <a:gd name="T10" fmla="*/ 0 w 57"/>
            <a:gd name="T11" fmla="*/ 0 h 47"/>
            <a:gd name="T12" fmla="*/ 0 w 57"/>
            <a:gd name="T13" fmla="*/ 0 h 47"/>
            <a:gd name="T14" fmla="*/ 0 w 57"/>
            <a:gd name="T15" fmla="*/ 0 h 47"/>
            <a:gd name="T16" fmla="*/ 0 w 57"/>
            <a:gd name="T17" fmla="*/ 0 h 47"/>
            <a:gd name="T18" fmla="*/ 0 w 57"/>
            <a:gd name="T19" fmla="*/ 0 h 47"/>
            <a:gd name="T20" fmla="*/ 0 w 57"/>
            <a:gd name="T21" fmla="*/ 0 h 47"/>
            <a:gd name="T22" fmla="*/ 0 w 57"/>
            <a:gd name="T23" fmla="*/ 0 h 47"/>
            <a:gd name="T24" fmla="*/ 0 w 57"/>
            <a:gd name="T25" fmla="*/ 0 h 47"/>
            <a:gd name="T26" fmla="*/ 0 w 57"/>
            <a:gd name="T27" fmla="*/ 0 h 47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7"/>
            <a:gd name="T43" fmla="*/ 0 h 47"/>
            <a:gd name="T44" fmla="*/ 57 w 57"/>
            <a:gd name="T45" fmla="*/ 47 h 47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7" h="47">
              <a:moveTo>
                <a:pt x="26" y="30"/>
              </a:moveTo>
              <a:lnTo>
                <a:pt x="0" y="14"/>
              </a:lnTo>
              <a:lnTo>
                <a:pt x="6" y="7"/>
              </a:lnTo>
              <a:lnTo>
                <a:pt x="14" y="2"/>
              </a:lnTo>
              <a:lnTo>
                <a:pt x="22" y="0"/>
              </a:lnTo>
              <a:lnTo>
                <a:pt x="30" y="0"/>
              </a:lnTo>
              <a:lnTo>
                <a:pt x="39" y="2"/>
              </a:lnTo>
              <a:lnTo>
                <a:pt x="46" y="7"/>
              </a:lnTo>
              <a:lnTo>
                <a:pt x="52" y="14"/>
              </a:lnTo>
              <a:lnTo>
                <a:pt x="56" y="21"/>
              </a:lnTo>
              <a:lnTo>
                <a:pt x="57" y="30"/>
              </a:lnTo>
              <a:lnTo>
                <a:pt x="56" y="39"/>
              </a:lnTo>
              <a:lnTo>
                <a:pt x="52" y="47"/>
              </a:lnTo>
              <a:lnTo>
                <a:pt x="26" y="3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390525</xdr:colOff>
      <xdr:row>12</xdr:row>
      <xdr:rowOff>28575</xdr:rowOff>
    </xdr:from>
    <xdr:to>
      <xdr:col>9</xdr:col>
      <xdr:colOff>400050</xdr:colOff>
      <xdr:row>12</xdr:row>
      <xdr:rowOff>38100</xdr:rowOff>
    </xdr:to>
    <xdr:sp macro="" textlink="">
      <xdr:nvSpPr>
        <xdr:cNvPr id="13927" name="Freeform 1515">
          <a:extLst>
            <a:ext uri="{FF2B5EF4-FFF2-40B4-BE49-F238E27FC236}">
              <a16:creationId xmlns:a16="http://schemas.microsoft.com/office/drawing/2014/main" id="{00000000-0008-0000-0700-000067360000}"/>
            </a:ext>
          </a:extLst>
        </xdr:cNvPr>
        <xdr:cNvSpPr>
          <a:spLocks/>
        </xdr:cNvSpPr>
      </xdr:nvSpPr>
      <xdr:spPr bwMode="auto">
        <a:xfrm>
          <a:off x="6286500" y="2524125"/>
          <a:ext cx="9525" cy="9525"/>
        </a:xfrm>
        <a:custGeom>
          <a:avLst/>
          <a:gdLst>
            <a:gd name="T0" fmla="*/ 0 w 57"/>
            <a:gd name="T1" fmla="*/ 0 h 47"/>
            <a:gd name="T2" fmla="*/ 0 w 57"/>
            <a:gd name="T3" fmla="*/ 0 h 47"/>
            <a:gd name="T4" fmla="*/ 0 w 57"/>
            <a:gd name="T5" fmla="*/ 0 h 47"/>
            <a:gd name="T6" fmla="*/ 0 w 57"/>
            <a:gd name="T7" fmla="*/ 0 h 47"/>
            <a:gd name="T8" fmla="*/ 0 w 57"/>
            <a:gd name="T9" fmla="*/ 0 h 47"/>
            <a:gd name="T10" fmla="*/ 0 w 57"/>
            <a:gd name="T11" fmla="*/ 0 h 47"/>
            <a:gd name="T12" fmla="*/ 0 w 57"/>
            <a:gd name="T13" fmla="*/ 0 h 47"/>
            <a:gd name="T14" fmla="*/ 0 w 57"/>
            <a:gd name="T15" fmla="*/ 0 h 47"/>
            <a:gd name="T16" fmla="*/ 0 w 57"/>
            <a:gd name="T17" fmla="*/ 0 h 47"/>
            <a:gd name="T18" fmla="*/ 0 w 57"/>
            <a:gd name="T19" fmla="*/ 0 h 47"/>
            <a:gd name="T20" fmla="*/ 0 w 57"/>
            <a:gd name="T21" fmla="*/ 0 h 47"/>
            <a:gd name="T22" fmla="*/ 0 w 57"/>
            <a:gd name="T23" fmla="*/ 0 h 47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57"/>
            <a:gd name="T37" fmla="*/ 0 h 47"/>
            <a:gd name="T38" fmla="*/ 57 w 57"/>
            <a:gd name="T39" fmla="*/ 47 h 47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57" h="47">
              <a:moveTo>
                <a:pt x="0" y="14"/>
              </a:moveTo>
              <a:lnTo>
                <a:pt x="6" y="7"/>
              </a:lnTo>
              <a:lnTo>
                <a:pt x="14" y="2"/>
              </a:lnTo>
              <a:lnTo>
                <a:pt x="22" y="0"/>
              </a:lnTo>
              <a:lnTo>
                <a:pt x="30" y="0"/>
              </a:lnTo>
              <a:lnTo>
                <a:pt x="39" y="2"/>
              </a:lnTo>
              <a:lnTo>
                <a:pt x="46" y="7"/>
              </a:lnTo>
              <a:lnTo>
                <a:pt x="52" y="14"/>
              </a:lnTo>
              <a:lnTo>
                <a:pt x="56" y="21"/>
              </a:lnTo>
              <a:lnTo>
                <a:pt x="57" y="30"/>
              </a:lnTo>
              <a:lnTo>
                <a:pt x="56" y="39"/>
              </a:lnTo>
              <a:lnTo>
                <a:pt x="52" y="47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95250</xdr:colOff>
      <xdr:row>12</xdr:row>
      <xdr:rowOff>38100</xdr:rowOff>
    </xdr:from>
    <xdr:to>
      <xdr:col>9</xdr:col>
      <xdr:colOff>400050</xdr:colOff>
      <xdr:row>15</xdr:row>
      <xdr:rowOff>38100</xdr:rowOff>
    </xdr:to>
    <xdr:sp macro="" textlink="">
      <xdr:nvSpPr>
        <xdr:cNvPr id="13928" name="Freeform 1516">
          <a:extLst>
            <a:ext uri="{FF2B5EF4-FFF2-40B4-BE49-F238E27FC236}">
              <a16:creationId xmlns:a16="http://schemas.microsoft.com/office/drawing/2014/main" id="{00000000-0008-0000-0700-000068360000}"/>
            </a:ext>
          </a:extLst>
        </xdr:cNvPr>
        <xdr:cNvSpPr>
          <a:spLocks/>
        </xdr:cNvSpPr>
      </xdr:nvSpPr>
      <xdr:spPr bwMode="auto">
        <a:xfrm>
          <a:off x="5991225" y="2533650"/>
          <a:ext cx="304800" cy="695325"/>
        </a:xfrm>
        <a:custGeom>
          <a:avLst/>
          <a:gdLst>
            <a:gd name="T0" fmla="*/ 2147483647 w 1814"/>
            <a:gd name="T1" fmla="*/ 0 h 2816"/>
            <a:gd name="T2" fmla="*/ 2147483647 w 1814"/>
            <a:gd name="T3" fmla="*/ 0 h 2816"/>
            <a:gd name="T4" fmla="*/ 2147483647 w 1814"/>
            <a:gd name="T5" fmla="*/ 0 h 2816"/>
            <a:gd name="T6" fmla="*/ 0 w 1814"/>
            <a:gd name="T7" fmla="*/ 2147483647 h 2816"/>
            <a:gd name="T8" fmla="*/ 0 w 1814"/>
            <a:gd name="T9" fmla="*/ 2147483647 h 2816"/>
            <a:gd name="T10" fmla="*/ 0 w 1814"/>
            <a:gd name="T11" fmla="*/ 2147483647 h 2816"/>
            <a:gd name="T12" fmla="*/ 2147483647 w 1814"/>
            <a:gd name="T13" fmla="*/ 0 h 281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814"/>
            <a:gd name="T22" fmla="*/ 0 h 2816"/>
            <a:gd name="T23" fmla="*/ 1814 w 1814"/>
            <a:gd name="T24" fmla="*/ 2816 h 281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814" h="2816">
              <a:moveTo>
                <a:pt x="1814" y="33"/>
              </a:moveTo>
              <a:lnTo>
                <a:pt x="1788" y="16"/>
              </a:lnTo>
              <a:lnTo>
                <a:pt x="1762" y="0"/>
              </a:lnTo>
              <a:lnTo>
                <a:pt x="0" y="2782"/>
              </a:lnTo>
              <a:lnTo>
                <a:pt x="26" y="2799"/>
              </a:lnTo>
              <a:lnTo>
                <a:pt x="53" y="2816"/>
              </a:lnTo>
              <a:lnTo>
                <a:pt x="1814" y="3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95250</xdr:colOff>
      <xdr:row>12</xdr:row>
      <xdr:rowOff>38100</xdr:rowOff>
    </xdr:from>
    <xdr:to>
      <xdr:col>9</xdr:col>
      <xdr:colOff>400050</xdr:colOff>
      <xdr:row>15</xdr:row>
      <xdr:rowOff>38100</xdr:rowOff>
    </xdr:to>
    <xdr:sp macro="" textlink="">
      <xdr:nvSpPr>
        <xdr:cNvPr id="13929" name="Freeform 1517">
          <a:extLst>
            <a:ext uri="{FF2B5EF4-FFF2-40B4-BE49-F238E27FC236}">
              <a16:creationId xmlns:a16="http://schemas.microsoft.com/office/drawing/2014/main" id="{00000000-0008-0000-0700-000069360000}"/>
            </a:ext>
          </a:extLst>
        </xdr:cNvPr>
        <xdr:cNvSpPr>
          <a:spLocks/>
        </xdr:cNvSpPr>
      </xdr:nvSpPr>
      <xdr:spPr bwMode="auto">
        <a:xfrm>
          <a:off x="5991225" y="2533650"/>
          <a:ext cx="304800" cy="695325"/>
        </a:xfrm>
        <a:custGeom>
          <a:avLst/>
          <a:gdLst>
            <a:gd name="T0" fmla="*/ 2147483647 w 1814"/>
            <a:gd name="T1" fmla="*/ 0 h 2816"/>
            <a:gd name="T2" fmla="*/ 2147483647 w 1814"/>
            <a:gd name="T3" fmla="*/ 0 h 2816"/>
            <a:gd name="T4" fmla="*/ 2147483647 w 1814"/>
            <a:gd name="T5" fmla="*/ 0 h 2816"/>
            <a:gd name="T6" fmla="*/ 0 w 1814"/>
            <a:gd name="T7" fmla="*/ 2147483647 h 2816"/>
            <a:gd name="T8" fmla="*/ 0 w 1814"/>
            <a:gd name="T9" fmla="*/ 2147483647 h 2816"/>
            <a:gd name="T10" fmla="*/ 0 w 1814"/>
            <a:gd name="T11" fmla="*/ 2147483647 h 2816"/>
            <a:gd name="T12" fmla="*/ 2147483647 w 1814"/>
            <a:gd name="T13" fmla="*/ 0 h 281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814"/>
            <a:gd name="T22" fmla="*/ 0 h 2816"/>
            <a:gd name="T23" fmla="*/ 1814 w 1814"/>
            <a:gd name="T24" fmla="*/ 2816 h 281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814" h="2816">
              <a:moveTo>
                <a:pt x="1814" y="33"/>
              </a:moveTo>
              <a:lnTo>
                <a:pt x="1788" y="16"/>
              </a:lnTo>
              <a:lnTo>
                <a:pt x="1762" y="0"/>
              </a:lnTo>
              <a:lnTo>
                <a:pt x="0" y="2782"/>
              </a:lnTo>
              <a:lnTo>
                <a:pt x="26" y="2799"/>
              </a:lnTo>
              <a:lnTo>
                <a:pt x="53" y="2816"/>
              </a:lnTo>
              <a:lnTo>
                <a:pt x="1814" y="33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95250</xdr:colOff>
      <xdr:row>15</xdr:row>
      <xdr:rowOff>152400</xdr:rowOff>
    </xdr:from>
    <xdr:to>
      <xdr:col>9</xdr:col>
      <xdr:colOff>104775</xdr:colOff>
      <xdr:row>15</xdr:row>
      <xdr:rowOff>152400</xdr:rowOff>
    </xdr:to>
    <xdr:sp macro="" textlink="">
      <xdr:nvSpPr>
        <xdr:cNvPr id="13930" name="Freeform 1518">
          <a:extLst>
            <a:ext uri="{FF2B5EF4-FFF2-40B4-BE49-F238E27FC236}">
              <a16:creationId xmlns:a16="http://schemas.microsoft.com/office/drawing/2014/main" id="{00000000-0008-0000-0700-00006A360000}"/>
            </a:ext>
          </a:extLst>
        </xdr:cNvPr>
        <xdr:cNvSpPr>
          <a:spLocks/>
        </xdr:cNvSpPr>
      </xdr:nvSpPr>
      <xdr:spPr bwMode="auto">
        <a:xfrm>
          <a:off x="5991225" y="3343275"/>
          <a:ext cx="9525" cy="0"/>
        </a:xfrm>
        <a:custGeom>
          <a:avLst/>
          <a:gdLst>
            <a:gd name="T0" fmla="*/ 0 w 27"/>
            <a:gd name="T1" fmla="*/ 0 h 30"/>
            <a:gd name="T2" fmla="*/ 0 w 27"/>
            <a:gd name="T3" fmla="*/ 0 h 30"/>
            <a:gd name="T4" fmla="*/ 0 w 27"/>
            <a:gd name="T5" fmla="*/ 0 h 30"/>
            <a:gd name="T6" fmla="*/ 0 w 27"/>
            <a:gd name="T7" fmla="*/ 0 h 30"/>
            <a:gd name="T8" fmla="*/ 0 w 27"/>
            <a:gd name="T9" fmla="*/ 0 h 30"/>
            <a:gd name="T10" fmla="*/ 0 w 27"/>
            <a:gd name="T11" fmla="*/ 0 h 30"/>
            <a:gd name="T12" fmla="*/ 0 w 27"/>
            <a:gd name="T13" fmla="*/ 0 h 30"/>
            <a:gd name="T14" fmla="*/ 0 w 27"/>
            <a:gd name="T15" fmla="*/ 0 h 30"/>
            <a:gd name="T16" fmla="*/ 0 w 27"/>
            <a:gd name="T17" fmla="*/ 0 h 30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27"/>
            <a:gd name="T28" fmla="*/ 0 h 30"/>
            <a:gd name="T29" fmla="*/ 27 w 27"/>
            <a:gd name="T30" fmla="*/ 0 h 30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27" h="30">
              <a:moveTo>
                <a:pt x="0" y="0"/>
              </a:moveTo>
              <a:lnTo>
                <a:pt x="27" y="17"/>
              </a:lnTo>
              <a:lnTo>
                <a:pt x="23" y="20"/>
              </a:lnTo>
              <a:lnTo>
                <a:pt x="20" y="23"/>
              </a:lnTo>
              <a:lnTo>
                <a:pt x="17" y="26"/>
              </a:lnTo>
              <a:lnTo>
                <a:pt x="13" y="28"/>
              </a:lnTo>
              <a:lnTo>
                <a:pt x="9" y="30"/>
              </a:lnTo>
              <a:lnTo>
                <a:pt x="0" y="3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95250</xdr:colOff>
      <xdr:row>15</xdr:row>
      <xdr:rowOff>152400</xdr:rowOff>
    </xdr:from>
    <xdr:to>
      <xdr:col>9</xdr:col>
      <xdr:colOff>104775</xdr:colOff>
      <xdr:row>15</xdr:row>
      <xdr:rowOff>161925</xdr:rowOff>
    </xdr:to>
    <xdr:sp macro="" textlink="">
      <xdr:nvSpPr>
        <xdr:cNvPr id="13931" name="Freeform 1519">
          <a:extLst>
            <a:ext uri="{FF2B5EF4-FFF2-40B4-BE49-F238E27FC236}">
              <a16:creationId xmlns:a16="http://schemas.microsoft.com/office/drawing/2014/main" id="{00000000-0008-0000-0700-00006B360000}"/>
            </a:ext>
          </a:extLst>
        </xdr:cNvPr>
        <xdr:cNvSpPr>
          <a:spLocks/>
        </xdr:cNvSpPr>
      </xdr:nvSpPr>
      <xdr:spPr bwMode="auto">
        <a:xfrm>
          <a:off x="5991225" y="3343275"/>
          <a:ext cx="9525" cy="9525"/>
        </a:xfrm>
        <a:custGeom>
          <a:avLst/>
          <a:gdLst>
            <a:gd name="T0" fmla="*/ 0 w 27"/>
            <a:gd name="T1" fmla="*/ 0 h 13"/>
            <a:gd name="T2" fmla="*/ 0 w 27"/>
            <a:gd name="T3" fmla="*/ 0 h 13"/>
            <a:gd name="T4" fmla="*/ 0 w 27"/>
            <a:gd name="T5" fmla="*/ 0 h 13"/>
            <a:gd name="T6" fmla="*/ 0 w 27"/>
            <a:gd name="T7" fmla="*/ 0 h 13"/>
            <a:gd name="T8" fmla="*/ 0 w 27"/>
            <a:gd name="T9" fmla="*/ 0 h 13"/>
            <a:gd name="T10" fmla="*/ 0 w 27"/>
            <a:gd name="T11" fmla="*/ 0 h 13"/>
            <a:gd name="T12" fmla="*/ 0 w 27"/>
            <a:gd name="T13" fmla="*/ 0 h 1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7"/>
            <a:gd name="T22" fmla="*/ 0 h 13"/>
            <a:gd name="T23" fmla="*/ 27 w 27"/>
            <a:gd name="T24" fmla="*/ 13 h 1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7" h="13">
              <a:moveTo>
                <a:pt x="27" y="0"/>
              </a:moveTo>
              <a:lnTo>
                <a:pt x="23" y="3"/>
              </a:lnTo>
              <a:lnTo>
                <a:pt x="20" y="6"/>
              </a:lnTo>
              <a:lnTo>
                <a:pt x="17" y="9"/>
              </a:lnTo>
              <a:lnTo>
                <a:pt x="13" y="11"/>
              </a:lnTo>
              <a:lnTo>
                <a:pt x="9" y="13"/>
              </a:lnTo>
              <a:lnTo>
                <a:pt x="0" y="13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323850</xdr:colOff>
      <xdr:row>12</xdr:row>
      <xdr:rowOff>38100</xdr:rowOff>
    </xdr:from>
    <xdr:to>
      <xdr:col>8</xdr:col>
      <xdr:colOff>133350</xdr:colOff>
      <xdr:row>12</xdr:row>
      <xdr:rowOff>38100</xdr:rowOff>
    </xdr:to>
    <xdr:sp macro="" textlink="">
      <xdr:nvSpPr>
        <xdr:cNvPr id="13932" name="Line 1524">
          <a:extLst>
            <a:ext uri="{FF2B5EF4-FFF2-40B4-BE49-F238E27FC236}">
              <a16:creationId xmlns:a16="http://schemas.microsoft.com/office/drawing/2014/main" id="{00000000-0008-0000-0700-00006C360000}"/>
            </a:ext>
          </a:extLst>
        </xdr:cNvPr>
        <xdr:cNvSpPr>
          <a:spLocks noChangeShapeType="1"/>
        </xdr:cNvSpPr>
      </xdr:nvSpPr>
      <xdr:spPr bwMode="auto">
        <a:xfrm flipH="1">
          <a:off x="4867275" y="2533650"/>
          <a:ext cx="4286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333375</xdr:colOff>
      <xdr:row>11</xdr:row>
      <xdr:rowOff>38100</xdr:rowOff>
    </xdr:from>
    <xdr:to>
      <xdr:col>7</xdr:col>
      <xdr:colOff>333375</xdr:colOff>
      <xdr:row>14</xdr:row>
      <xdr:rowOff>76200</xdr:rowOff>
    </xdr:to>
    <xdr:sp macro="" textlink="">
      <xdr:nvSpPr>
        <xdr:cNvPr id="13933" name="Line 1526">
          <a:extLst>
            <a:ext uri="{FF2B5EF4-FFF2-40B4-BE49-F238E27FC236}">
              <a16:creationId xmlns:a16="http://schemas.microsoft.com/office/drawing/2014/main" id="{00000000-0008-0000-0700-00006D360000}"/>
            </a:ext>
          </a:extLst>
        </xdr:cNvPr>
        <xdr:cNvSpPr>
          <a:spLocks noChangeShapeType="1"/>
        </xdr:cNvSpPr>
      </xdr:nvSpPr>
      <xdr:spPr bwMode="auto">
        <a:xfrm>
          <a:off x="4876800" y="2305050"/>
          <a:ext cx="0" cy="7334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133350</xdr:colOff>
      <xdr:row>12</xdr:row>
      <xdr:rowOff>38100</xdr:rowOff>
    </xdr:from>
    <xdr:to>
      <xdr:col>8</xdr:col>
      <xdr:colOff>133350</xdr:colOff>
      <xdr:row>12</xdr:row>
      <xdr:rowOff>38100</xdr:rowOff>
    </xdr:to>
    <xdr:sp macro="" textlink="">
      <xdr:nvSpPr>
        <xdr:cNvPr id="13934" name="Line 1533">
          <a:extLst>
            <a:ext uri="{FF2B5EF4-FFF2-40B4-BE49-F238E27FC236}">
              <a16:creationId xmlns:a16="http://schemas.microsoft.com/office/drawing/2014/main" id="{00000000-0008-0000-0700-00006E360000}"/>
            </a:ext>
          </a:extLst>
        </xdr:cNvPr>
        <xdr:cNvSpPr>
          <a:spLocks noChangeShapeType="1"/>
        </xdr:cNvSpPr>
      </xdr:nvSpPr>
      <xdr:spPr bwMode="auto">
        <a:xfrm>
          <a:off x="5295900" y="2533650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419100</xdr:colOff>
      <xdr:row>15</xdr:row>
      <xdr:rowOff>152400</xdr:rowOff>
    </xdr:from>
    <xdr:to>
      <xdr:col>8</xdr:col>
      <xdr:colOff>428625</xdr:colOff>
      <xdr:row>15</xdr:row>
      <xdr:rowOff>152400</xdr:rowOff>
    </xdr:to>
    <xdr:sp macro="" textlink="">
      <xdr:nvSpPr>
        <xdr:cNvPr id="13935" name="Line 1534">
          <a:extLst>
            <a:ext uri="{FF2B5EF4-FFF2-40B4-BE49-F238E27FC236}">
              <a16:creationId xmlns:a16="http://schemas.microsoft.com/office/drawing/2014/main" id="{00000000-0008-0000-0700-00006F360000}"/>
            </a:ext>
          </a:extLst>
        </xdr:cNvPr>
        <xdr:cNvSpPr>
          <a:spLocks noChangeShapeType="1"/>
        </xdr:cNvSpPr>
      </xdr:nvSpPr>
      <xdr:spPr bwMode="auto">
        <a:xfrm>
          <a:off x="5581650" y="3343275"/>
          <a:ext cx="95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323850</xdr:colOff>
      <xdr:row>4</xdr:row>
      <xdr:rowOff>38100</xdr:rowOff>
    </xdr:from>
    <xdr:to>
      <xdr:col>8</xdr:col>
      <xdr:colOff>133350</xdr:colOff>
      <xdr:row>4</xdr:row>
      <xdr:rowOff>38100</xdr:rowOff>
    </xdr:to>
    <xdr:sp macro="" textlink="">
      <xdr:nvSpPr>
        <xdr:cNvPr id="13936" name="Line 1536">
          <a:extLst>
            <a:ext uri="{FF2B5EF4-FFF2-40B4-BE49-F238E27FC236}">
              <a16:creationId xmlns:a16="http://schemas.microsoft.com/office/drawing/2014/main" id="{00000000-0008-0000-0700-000070360000}"/>
            </a:ext>
          </a:extLst>
        </xdr:cNvPr>
        <xdr:cNvSpPr>
          <a:spLocks noChangeShapeType="1"/>
        </xdr:cNvSpPr>
      </xdr:nvSpPr>
      <xdr:spPr bwMode="auto">
        <a:xfrm flipH="1">
          <a:off x="4867275" y="781050"/>
          <a:ext cx="4286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323850</xdr:colOff>
      <xdr:row>12</xdr:row>
      <xdr:rowOff>38100</xdr:rowOff>
    </xdr:from>
    <xdr:to>
      <xdr:col>8</xdr:col>
      <xdr:colOff>133350</xdr:colOff>
      <xdr:row>12</xdr:row>
      <xdr:rowOff>38100</xdr:rowOff>
    </xdr:to>
    <xdr:sp macro="" textlink="">
      <xdr:nvSpPr>
        <xdr:cNvPr id="13937" name="Line 1537">
          <a:extLst>
            <a:ext uri="{FF2B5EF4-FFF2-40B4-BE49-F238E27FC236}">
              <a16:creationId xmlns:a16="http://schemas.microsoft.com/office/drawing/2014/main" id="{00000000-0008-0000-0700-000071360000}"/>
            </a:ext>
          </a:extLst>
        </xdr:cNvPr>
        <xdr:cNvSpPr>
          <a:spLocks noChangeShapeType="1"/>
        </xdr:cNvSpPr>
      </xdr:nvSpPr>
      <xdr:spPr bwMode="auto">
        <a:xfrm flipH="1">
          <a:off x="4867275" y="2533650"/>
          <a:ext cx="4286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333375</xdr:colOff>
      <xdr:row>4</xdr:row>
      <xdr:rowOff>114300</xdr:rowOff>
    </xdr:from>
    <xdr:to>
      <xdr:col>7</xdr:col>
      <xdr:colOff>333375</xdr:colOff>
      <xdr:row>11</xdr:row>
      <xdr:rowOff>200025</xdr:rowOff>
    </xdr:to>
    <xdr:sp macro="" textlink="">
      <xdr:nvSpPr>
        <xdr:cNvPr id="13938" name="Line 1538">
          <a:extLst>
            <a:ext uri="{FF2B5EF4-FFF2-40B4-BE49-F238E27FC236}">
              <a16:creationId xmlns:a16="http://schemas.microsoft.com/office/drawing/2014/main" id="{00000000-0008-0000-0700-000072360000}"/>
            </a:ext>
          </a:extLst>
        </xdr:cNvPr>
        <xdr:cNvSpPr>
          <a:spLocks noChangeShapeType="1"/>
        </xdr:cNvSpPr>
      </xdr:nvSpPr>
      <xdr:spPr bwMode="auto">
        <a:xfrm>
          <a:off x="4876800" y="857250"/>
          <a:ext cx="0" cy="16097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133350</xdr:colOff>
      <xdr:row>4</xdr:row>
      <xdr:rowOff>38100</xdr:rowOff>
    </xdr:from>
    <xdr:to>
      <xdr:col>8</xdr:col>
      <xdr:colOff>133350</xdr:colOff>
      <xdr:row>4</xdr:row>
      <xdr:rowOff>38100</xdr:rowOff>
    </xdr:to>
    <xdr:sp macro="" textlink="">
      <xdr:nvSpPr>
        <xdr:cNvPr id="13939" name="Line 1548">
          <a:extLst>
            <a:ext uri="{FF2B5EF4-FFF2-40B4-BE49-F238E27FC236}">
              <a16:creationId xmlns:a16="http://schemas.microsoft.com/office/drawing/2014/main" id="{00000000-0008-0000-0700-000073360000}"/>
            </a:ext>
          </a:extLst>
        </xdr:cNvPr>
        <xdr:cNvSpPr>
          <a:spLocks noChangeShapeType="1"/>
        </xdr:cNvSpPr>
      </xdr:nvSpPr>
      <xdr:spPr bwMode="auto">
        <a:xfrm>
          <a:off x="5295900" y="781050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133350</xdr:colOff>
      <xdr:row>12</xdr:row>
      <xdr:rowOff>38100</xdr:rowOff>
    </xdr:from>
    <xdr:to>
      <xdr:col>8</xdr:col>
      <xdr:colOff>133350</xdr:colOff>
      <xdr:row>12</xdr:row>
      <xdr:rowOff>38100</xdr:rowOff>
    </xdr:to>
    <xdr:sp macro="" textlink="">
      <xdr:nvSpPr>
        <xdr:cNvPr id="13940" name="Line 1549">
          <a:extLst>
            <a:ext uri="{FF2B5EF4-FFF2-40B4-BE49-F238E27FC236}">
              <a16:creationId xmlns:a16="http://schemas.microsoft.com/office/drawing/2014/main" id="{00000000-0008-0000-0700-000074360000}"/>
            </a:ext>
          </a:extLst>
        </xdr:cNvPr>
        <xdr:cNvSpPr>
          <a:spLocks noChangeShapeType="1"/>
        </xdr:cNvSpPr>
      </xdr:nvSpPr>
      <xdr:spPr bwMode="auto">
        <a:xfrm>
          <a:off x="5295900" y="2533650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133350</xdr:colOff>
      <xdr:row>10</xdr:row>
      <xdr:rowOff>57150</xdr:rowOff>
    </xdr:from>
    <xdr:to>
      <xdr:col>8</xdr:col>
      <xdr:colOff>133350</xdr:colOff>
      <xdr:row>12</xdr:row>
      <xdr:rowOff>38100</xdr:rowOff>
    </xdr:to>
    <xdr:sp macro="" textlink="">
      <xdr:nvSpPr>
        <xdr:cNvPr id="13941" name="Line 1551">
          <a:extLst>
            <a:ext uri="{FF2B5EF4-FFF2-40B4-BE49-F238E27FC236}">
              <a16:creationId xmlns:a16="http://schemas.microsoft.com/office/drawing/2014/main" id="{00000000-0008-0000-0700-000075360000}"/>
            </a:ext>
          </a:extLst>
        </xdr:cNvPr>
        <xdr:cNvSpPr>
          <a:spLocks noChangeShapeType="1"/>
        </xdr:cNvSpPr>
      </xdr:nvSpPr>
      <xdr:spPr bwMode="auto">
        <a:xfrm flipV="1">
          <a:off x="5295900" y="2095500"/>
          <a:ext cx="0" cy="4381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400050</xdr:colOff>
      <xdr:row>10</xdr:row>
      <xdr:rowOff>57150</xdr:rowOff>
    </xdr:from>
    <xdr:to>
      <xdr:col>9</xdr:col>
      <xdr:colOff>400050</xdr:colOff>
      <xdr:row>12</xdr:row>
      <xdr:rowOff>38100</xdr:rowOff>
    </xdr:to>
    <xdr:sp macro="" textlink="">
      <xdr:nvSpPr>
        <xdr:cNvPr id="13942" name="Line 1552">
          <a:extLst>
            <a:ext uri="{FF2B5EF4-FFF2-40B4-BE49-F238E27FC236}">
              <a16:creationId xmlns:a16="http://schemas.microsoft.com/office/drawing/2014/main" id="{00000000-0008-0000-0700-000076360000}"/>
            </a:ext>
          </a:extLst>
        </xdr:cNvPr>
        <xdr:cNvSpPr>
          <a:spLocks noChangeShapeType="1"/>
        </xdr:cNvSpPr>
      </xdr:nvSpPr>
      <xdr:spPr bwMode="auto">
        <a:xfrm flipV="1">
          <a:off x="6296025" y="2095500"/>
          <a:ext cx="0" cy="4381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180975</xdr:colOff>
      <xdr:row>10</xdr:row>
      <xdr:rowOff>66675</xdr:rowOff>
    </xdr:from>
    <xdr:to>
      <xdr:col>9</xdr:col>
      <xdr:colOff>342900</xdr:colOff>
      <xdr:row>10</xdr:row>
      <xdr:rowOff>66675</xdr:rowOff>
    </xdr:to>
    <xdr:sp macro="" textlink="">
      <xdr:nvSpPr>
        <xdr:cNvPr id="13943" name="Line 1553">
          <a:extLst>
            <a:ext uri="{FF2B5EF4-FFF2-40B4-BE49-F238E27FC236}">
              <a16:creationId xmlns:a16="http://schemas.microsoft.com/office/drawing/2014/main" id="{00000000-0008-0000-0700-000077360000}"/>
            </a:ext>
          </a:extLst>
        </xdr:cNvPr>
        <xdr:cNvSpPr>
          <a:spLocks noChangeShapeType="1"/>
        </xdr:cNvSpPr>
      </xdr:nvSpPr>
      <xdr:spPr bwMode="auto">
        <a:xfrm>
          <a:off x="5343525" y="2105025"/>
          <a:ext cx="89535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133350</xdr:colOff>
      <xdr:row>12</xdr:row>
      <xdr:rowOff>38100</xdr:rowOff>
    </xdr:from>
    <xdr:to>
      <xdr:col>8</xdr:col>
      <xdr:colOff>133350</xdr:colOff>
      <xdr:row>12</xdr:row>
      <xdr:rowOff>38100</xdr:rowOff>
    </xdr:to>
    <xdr:sp macro="" textlink="">
      <xdr:nvSpPr>
        <xdr:cNvPr id="13944" name="Line 1563">
          <a:extLst>
            <a:ext uri="{FF2B5EF4-FFF2-40B4-BE49-F238E27FC236}">
              <a16:creationId xmlns:a16="http://schemas.microsoft.com/office/drawing/2014/main" id="{00000000-0008-0000-0700-000078360000}"/>
            </a:ext>
          </a:extLst>
        </xdr:cNvPr>
        <xdr:cNvSpPr>
          <a:spLocks noChangeShapeType="1"/>
        </xdr:cNvSpPr>
      </xdr:nvSpPr>
      <xdr:spPr bwMode="auto">
        <a:xfrm>
          <a:off x="5295900" y="2533650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400050</xdr:colOff>
      <xdr:row>12</xdr:row>
      <xdr:rowOff>38100</xdr:rowOff>
    </xdr:from>
    <xdr:to>
      <xdr:col>9</xdr:col>
      <xdr:colOff>400050</xdr:colOff>
      <xdr:row>12</xdr:row>
      <xdr:rowOff>38100</xdr:rowOff>
    </xdr:to>
    <xdr:sp macro="" textlink="">
      <xdr:nvSpPr>
        <xdr:cNvPr id="13945" name="Line 1564">
          <a:extLst>
            <a:ext uri="{FF2B5EF4-FFF2-40B4-BE49-F238E27FC236}">
              <a16:creationId xmlns:a16="http://schemas.microsoft.com/office/drawing/2014/main" id="{00000000-0008-0000-0700-000079360000}"/>
            </a:ext>
          </a:extLst>
        </xdr:cNvPr>
        <xdr:cNvSpPr>
          <a:spLocks noChangeShapeType="1"/>
        </xdr:cNvSpPr>
      </xdr:nvSpPr>
      <xdr:spPr bwMode="auto">
        <a:xfrm>
          <a:off x="6296025" y="2533650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333375</xdr:colOff>
      <xdr:row>4</xdr:row>
      <xdr:rowOff>28575</xdr:rowOff>
    </xdr:from>
    <xdr:to>
      <xdr:col>7</xdr:col>
      <xdr:colOff>333375</xdr:colOff>
      <xdr:row>5</xdr:row>
      <xdr:rowOff>76200</xdr:rowOff>
    </xdr:to>
    <xdr:sp macro="" textlink="">
      <xdr:nvSpPr>
        <xdr:cNvPr id="13946" name="Line 1567">
          <a:extLst>
            <a:ext uri="{FF2B5EF4-FFF2-40B4-BE49-F238E27FC236}">
              <a16:creationId xmlns:a16="http://schemas.microsoft.com/office/drawing/2014/main" id="{00000000-0008-0000-0700-00007A360000}"/>
            </a:ext>
          </a:extLst>
        </xdr:cNvPr>
        <xdr:cNvSpPr>
          <a:spLocks noChangeShapeType="1"/>
        </xdr:cNvSpPr>
      </xdr:nvSpPr>
      <xdr:spPr bwMode="auto">
        <a:xfrm flipV="1">
          <a:off x="4876800" y="771525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absolute">
    <xdr:from>
      <xdr:col>7</xdr:col>
      <xdr:colOff>333375</xdr:colOff>
      <xdr:row>11</xdr:row>
      <xdr:rowOff>95250</xdr:rowOff>
    </xdr:from>
    <xdr:to>
      <xdr:col>7</xdr:col>
      <xdr:colOff>333375</xdr:colOff>
      <xdr:row>12</xdr:row>
      <xdr:rowOff>38100</xdr:rowOff>
    </xdr:to>
    <xdr:sp macro="" textlink="">
      <xdr:nvSpPr>
        <xdr:cNvPr id="13947" name="Line 1568">
          <a:extLst>
            <a:ext uri="{FF2B5EF4-FFF2-40B4-BE49-F238E27FC236}">
              <a16:creationId xmlns:a16="http://schemas.microsoft.com/office/drawing/2014/main" id="{00000000-0008-0000-0700-00007B360000}"/>
            </a:ext>
          </a:extLst>
        </xdr:cNvPr>
        <xdr:cNvSpPr>
          <a:spLocks noChangeShapeType="1"/>
        </xdr:cNvSpPr>
      </xdr:nvSpPr>
      <xdr:spPr bwMode="auto">
        <a:xfrm>
          <a:off x="4876800" y="23622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absolute">
    <xdr:from>
      <xdr:col>7</xdr:col>
      <xdr:colOff>323850</xdr:colOff>
      <xdr:row>14</xdr:row>
      <xdr:rowOff>57150</xdr:rowOff>
    </xdr:from>
    <xdr:to>
      <xdr:col>7</xdr:col>
      <xdr:colOff>323850</xdr:colOff>
      <xdr:row>15</xdr:row>
      <xdr:rowOff>9525</xdr:rowOff>
    </xdr:to>
    <xdr:sp macro="" textlink="">
      <xdr:nvSpPr>
        <xdr:cNvPr id="13948" name="Line 1569">
          <a:extLst>
            <a:ext uri="{FF2B5EF4-FFF2-40B4-BE49-F238E27FC236}">
              <a16:creationId xmlns:a16="http://schemas.microsoft.com/office/drawing/2014/main" id="{00000000-0008-0000-0700-00007C360000}"/>
            </a:ext>
          </a:extLst>
        </xdr:cNvPr>
        <xdr:cNvSpPr>
          <a:spLocks noChangeShapeType="1"/>
        </xdr:cNvSpPr>
      </xdr:nvSpPr>
      <xdr:spPr bwMode="auto">
        <a:xfrm>
          <a:off x="4867275" y="301942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absolute">
    <xdr:from>
      <xdr:col>7</xdr:col>
      <xdr:colOff>333375</xdr:colOff>
      <xdr:row>12</xdr:row>
      <xdr:rowOff>19050</xdr:rowOff>
    </xdr:from>
    <xdr:to>
      <xdr:col>7</xdr:col>
      <xdr:colOff>333375</xdr:colOff>
      <xdr:row>13</xdr:row>
      <xdr:rowOff>19050</xdr:rowOff>
    </xdr:to>
    <xdr:sp macro="" textlink="">
      <xdr:nvSpPr>
        <xdr:cNvPr id="13949" name="Line 1570">
          <a:extLst>
            <a:ext uri="{FF2B5EF4-FFF2-40B4-BE49-F238E27FC236}">
              <a16:creationId xmlns:a16="http://schemas.microsoft.com/office/drawing/2014/main" id="{00000000-0008-0000-0700-00007D360000}"/>
            </a:ext>
          </a:extLst>
        </xdr:cNvPr>
        <xdr:cNvSpPr>
          <a:spLocks noChangeShapeType="1"/>
        </xdr:cNvSpPr>
      </xdr:nvSpPr>
      <xdr:spPr bwMode="auto">
        <a:xfrm flipV="1">
          <a:off x="4876800" y="2514600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absolute">
    <xdr:from>
      <xdr:col>9</xdr:col>
      <xdr:colOff>209550</xdr:colOff>
      <xdr:row>10</xdr:row>
      <xdr:rowOff>66675</xdr:rowOff>
    </xdr:from>
    <xdr:to>
      <xdr:col>9</xdr:col>
      <xdr:colOff>381000</xdr:colOff>
      <xdr:row>10</xdr:row>
      <xdr:rowOff>66675</xdr:rowOff>
    </xdr:to>
    <xdr:sp macro="" textlink="">
      <xdr:nvSpPr>
        <xdr:cNvPr id="13950" name="Line 1571">
          <a:extLst>
            <a:ext uri="{FF2B5EF4-FFF2-40B4-BE49-F238E27FC236}">
              <a16:creationId xmlns:a16="http://schemas.microsoft.com/office/drawing/2014/main" id="{00000000-0008-0000-0700-00007E360000}"/>
            </a:ext>
          </a:extLst>
        </xdr:cNvPr>
        <xdr:cNvSpPr>
          <a:spLocks noChangeShapeType="1"/>
        </xdr:cNvSpPr>
      </xdr:nvSpPr>
      <xdr:spPr bwMode="auto">
        <a:xfrm>
          <a:off x="6105525" y="210502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absolute">
    <xdr:from>
      <xdr:col>8</xdr:col>
      <xdr:colOff>142875</xdr:colOff>
      <xdr:row>10</xdr:row>
      <xdr:rowOff>66675</xdr:rowOff>
    </xdr:from>
    <xdr:to>
      <xdr:col>8</xdr:col>
      <xdr:colOff>276225</xdr:colOff>
      <xdr:row>10</xdr:row>
      <xdr:rowOff>66675</xdr:rowOff>
    </xdr:to>
    <xdr:sp macro="" textlink="">
      <xdr:nvSpPr>
        <xdr:cNvPr id="13951" name="Line 1572">
          <a:extLst>
            <a:ext uri="{FF2B5EF4-FFF2-40B4-BE49-F238E27FC236}">
              <a16:creationId xmlns:a16="http://schemas.microsoft.com/office/drawing/2014/main" id="{00000000-0008-0000-0700-00007F360000}"/>
            </a:ext>
          </a:extLst>
        </xdr:cNvPr>
        <xdr:cNvSpPr>
          <a:spLocks noChangeShapeType="1"/>
        </xdr:cNvSpPr>
      </xdr:nvSpPr>
      <xdr:spPr bwMode="auto">
        <a:xfrm flipH="1">
          <a:off x="5305425" y="210502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absolute">
    <xdr:from>
      <xdr:col>10</xdr:col>
      <xdr:colOff>352425</xdr:colOff>
      <xdr:row>8</xdr:row>
      <xdr:rowOff>152400</xdr:rowOff>
    </xdr:from>
    <xdr:to>
      <xdr:col>13</xdr:col>
      <xdr:colOff>266700</xdr:colOff>
      <xdr:row>8</xdr:row>
      <xdr:rowOff>152400</xdr:rowOff>
    </xdr:to>
    <xdr:sp macro="" textlink="">
      <xdr:nvSpPr>
        <xdr:cNvPr id="13952" name="Line 1573">
          <a:extLst>
            <a:ext uri="{FF2B5EF4-FFF2-40B4-BE49-F238E27FC236}">
              <a16:creationId xmlns:a16="http://schemas.microsoft.com/office/drawing/2014/main" id="{00000000-0008-0000-0700-000080360000}"/>
            </a:ext>
          </a:extLst>
        </xdr:cNvPr>
        <xdr:cNvSpPr>
          <a:spLocks noChangeShapeType="1"/>
        </xdr:cNvSpPr>
      </xdr:nvSpPr>
      <xdr:spPr bwMode="auto">
        <a:xfrm flipH="1">
          <a:off x="6924675" y="1733550"/>
          <a:ext cx="1514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 editAs="absolute">
    <xdr:from>
      <xdr:col>8</xdr:col>
      <xdr:colOff>428625</xdr:colOff>
      <xdr:row>15</xdr:row>
      <xdr:rowOff>152400</xdr:rowOff>
    </xdr:from>
    <xdr:to>
      <xdr:col>8</xdr:col>
      <xdr:colOff>428625</xdr:colOff>
      <xdr:row>17</xdr:row>
      <xdr:rowOff>190500</xdr:rowOff>
    </xdr:to>
    <xdr:sp macro="" textlink="">
      <xdr:nvSpPr>
        <xdr:cNvPr id="13953" name="Line 1574">
          <a:extLst>
            <a:ext uri="{FF2B5EF4-FFF2-40B4-BE49-F238E27FC236}">
              <a16:creationId xmlns:a16="http://schemas.microsoft.com/office/drawing/2014/main" id="{00000000-0008-0000-0700-000081360000}"/>
            </a:ext>
          </a:extLst>
        </xdr:cNvPr>
        <xdr:cNvSpPr>
          <a:spLocks noChangeShapeType="1"/>
        </xdr:cNvSpPr>
      </xdr:nvSpPr>
      <xdr:spPr bwMode="auto">
        <a:xfrm>
          <a:off x="5591175" y="3343275"/>
          <a:ext cx="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95250</xdr:colOff>
      <xdr:row>15</xdr:row>
      <xdr:rowOff>133350</xdr:rowOff>
    </xdr:from>
    <xdr:to>
      <xdr:col>9</xdr:col>
      <xdr:colOff>95250</xdr:colOff>
      <xdr:row>17</xdr:row>
      <xdr:rowOff>209550</xdr:rowOff>
    </xdr:to>
    <xdr:sp macro="" textlink="">
      <xdr:nvSpPr>
        <xdr:cNvPr id="13954" name="Line 1575">
          <a:extLst>
            <a:ext uri="{FF2B5EF4-FFF2-40B4-BE49-F238E27FC236}">
              <a16:creationId xmlns:a16="http://schemas.microsoft.com/office/drawing/2014/main" id="{00000000-0008-0000-0700-000082360000}"/>
            </a:ext>
          </a:extLst>
        </xdr:cNvPr>
        <xdr:cNvSpPr>
          <a:spLocks noChangeShapeType="1"/>
        </xdr:cNvSpPr>
      </xdr:nvSpPr>
      <xdr:spPr bwMode="auto">
        <a:xfrm>
          <a:off x="5991225" y="3324225"/>
          <a:ext cx="0" cy="447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428625</xdr:colOff>
      <xdr:row>17</xdr:row>
      <xdr:rowOff>161925</xdr:rowOff>
    </xdr:from>
    <xdr:to>
      <xdr:col>9</xdr:col>
      <xdr:colOff>85725</xdr:colOff>
      <xdr:row>17</xdr:row>
      <xdr:rowOff>161925</xdr:rowOff>
    </xdr:to>
    <xdr:sp macro="" textlink="">
      <xdr:nvSpPr>
        <xdr:cNvPr id="13955" name="Line 1576">
          <a:extLst>
            <a:ext uri="{FF2B5EF4-FFF2-40B4-BE49-F238E27FC236}">
              <a16:creationId xmlns:a16="http://schemas.microsoft.com/office/drawing/2014/main" id="{00000000-0008-0000-0700-000083360000}"/>
            </a:ext>
          </a:extLst>
        </xdr:cNvPr>
        <xdr:cNvSpPr>
          <a:spLocks noChangeShapeType="1"/>
        </xdr:cNvSpPr>
      </xdr:nvSpPr>
      <xdr:spPr bwMode="auto">
        <a:xfrm>
          <a:off x="5591175" y="3724275"/>
          <a:ext cx="390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 editAs="absolute">
    <xdr:from>
      <xdr:col>9</xdr:col>
      <xdr:colOff>239142</xdr:colOff>
      <xdr:row>15</xdr:row>
      <xdr:rowOff>294056</xdr:rowOff>
    </xdr:from>
    <xdr:to>
      <xdr:col>10</xdr:col>
      <xdr:colOff>212968</xdr:colOff>
      <xdr:row>17</xdr:row>
      <xdr:rowOff>217744</xdr:rowOff>
    </xdr:to>
    <xdr:sp macro="" textlink="$D$10">
      <xdr:nvSpPr>
        <xdr:cNvPr id="356" name="Text Box 1577">
          <a:extLst>
            <a:ext uri="{FF2B5EF4-FFF2-40B4-BE49-F238E27FC236}">
              <a16:creationId xmlns:a16="http://schemas.microsoft.com/office/drawing/2014/main" id="{00000000-0008-0000-0700-000064010000}"/>
            </a:ext>
          </a:extLst>
        </xdr:cNvPr>
        <xdr:cNvSpPr txBox="1">
          <a:spLocks noChangeArrowheads="1" noTextEdit="1"/>
        </xdr:cNvSpPr>
      </xdr:nvSpPr>
      <xdr:spPr bwMode="auto">
        <a:xfrm>
          <a:off x="6182742" y="3475406"/>
          <a:ext cx="650101" cy="29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D2F6EFD8-C704-494A-8897-E41291B93A25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0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7</xdr:col>
      <xdr:colOff>708</xdr:colOff>
      <xdr:row>13</xdr:row>
      <xdr:rowOff>46669</xdr:rowOff>
    </xdr:from>
    <xdr:to>
      <xdr:col>8</xdr:col>
      <xdr:colOff>31684</xdr:colOff>
      <xdr:row>14</xdr:row>
      <xdr:rowOff>113232</xdr:rowOff>
    </xdr:to>
    <xdr:sp macro="" textlink="$D$11">
      <xdr:nvSpPr>
        <xdr:cNvPr id="357" name="Text Box 1578">
          <a:extLst>
            <a:ext uri="{FF2B5EF4-FFF2-40B4-BE49-F238E27FC236}">
              <a16:creationId xmlns:a16="http://schemas.microsoft.com/office/drawing/2014/main" id="{00000000-0008-0000-0700-000065010000}"/>
            </a:ext>
          </a:extLst>
        </xdr:cNvPr>
        <xdr:cNvSpPr txBox="1">
          <a:spLocks noChangeArrowheads="1" noTextEdit="1"/>
        </xdr:cNvSpPr>
      </xdr:nvSpPr>
      <xdr:spPr bwMode="auto">
        <a:xfrm>
          <a:off x="4544133" y="2780344"/>
          <a:ext cx="650101" cy="29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C5A961C0-0C8D-4CB8-9B46-455606D9857E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6</xdr:col>
      <xdr:colOff>412761</xdr:colOff>
      <xdr:row>8</xdr:row>
      <xdr:rowOff>161366</xdr:rowOff>
    </xdr:from>
    <xdr:to>
      <xdr:col>7</xdr:col>
      <xdr:colOff>510697</xdr:colOff>
      <xdr:row>9</xdr:row>
      <xdr:rowOff>227845</xdr:rowOff>
    </xdr:to>
    <xdr:sp macro="" textlink="$D$7">
      <xdr:nvSpPr>
        <xdr:cNvPr id="358" name="Text Box 1579">
          <a:extLst>
            <a:ext uri="{FF2B5EF4-FFF2-40B4-BE49-F238E27FC236}">
              <a16:creationId xmlns:a16="http://schemas.microsoft.com/office/drawing/2014/main" id="{00000000-0008-0000-0700-000066010000}"/>
            </a:ext>
          </a:extLst>
        </xdr:cNvPr>
        <xdr:cNvSpPr txBox="1">
          <a:spLocks noChangeArrowheads="1" noTextEdit="1"/>
        </xdr:cNvSpPr>
      </xdr:nvSpPr>
      <xdr:spPr bwMode="auto">
        <a:xfrm>
          <a:off x="4508511" y="1732991"/>
          <a:ext cx="650101" cy="304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8E073506-0C7E-4AF0-87E1-ADC6AB9DC054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#VALORE!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8</xdr:col>
      <xdr:colOff>532481</xdr:colOff>
      <xdr:row>9</xdr:row>
      <xdr:rowOff>8933</xdr:rowOff>
    </xdr:from>
    <xdr:to>
      <xdr:col>9</xdr:col>
      <xdr:colOff>468318</xdr:colOff>
      <xdr:row>10</xdr:row>
      <xdr:rowOff>75496</xdr:rowOff>
    </xdr:to>
    <xdr:sp macro="" textlink="$D$8">
      <xdr:nvSpPr>
        <xdr:cNvPr id="359" name="Text Box 1580">
          <a:extLst>
            <a:ext uri="{FF2B5EF4-FFF2-40B4-BE49-F238E27FC236}">
              <a16:creationId xmlns:a16="http://schemas.microsoft.com/office/drawing/2014/main" id="{00000000-0008-0000-0700-000067010000}"/>
            </a:ext>
          </a:extLst>
        </xdr:cNvPr>
        <xdr:cNvSpPr txBox="1">
          <a:spLocks noChangeArrowheads="1" noTextEdit="1"/>
        </xdr:cNvSpPr>
      </xdr:nvSpPr>
      <xdr:spPr bwMode="auto">
        <a:xfrm>
          <a:off x="5799806" y="1818683"/>
          <a:ext cx="650101" cy="29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99CE7B4C-6AAD-4BC5-A72F-03B299AB8E17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0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14</xdr:col>
      <xdr:colOff>295595</xdr:colOff>
      <xdr:row>7</xdr:row>
      <xdr:rowOff>142410</xdr:rowOff>
    </xdr:from>
    <xdr:to>
      <xdr:col>15</xdr:col>
      <xdr:colOff>279041</xdr:colOff>
      <xdr:row>8</xdr:row>
      <xdr:rowOff>208973</xdr:rowOff>
    </xdr:to>
    <xdr:sp macro="" textlink="$D$9">
      <xdr:nvSpPr>
        <xdr:cNvPr id="360" name="Text Box 1581">
          <a:extLst>
            <a:ext uri="{FF2B5EF4-FFF2-40B4-BE49-F238E27FC236}">
              <a16:creationId xmlns:a16="http://schemas.microsoft.com/office/drawing/2014/main" id="{00000000-0008-0000-0700-000068010000}"/>
            </a:ext>
          </a:extLst>
        </xdr:cNvPr>
        <xdr:cNvSpPr txBox="1">
          <a:spLocks noChangeArrowheads="1" noTextEdit="1"/>
        </xdr:cNvSpPr>
      </xdr:nvSpPr>
      <xdr:spPr bwMode="auto">
        <a:xfrm>
          <a:off x="9068120" y="1485435"/>
          <a:ext cx="650101" cy="29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BB95A248-7358-489C-B905-2657FE3B4943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0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6</xdr:col>
      <xdr:colOff>193221</xdr:colOff>
      <xdr:row>8</xdr:row>
      <xdr:rowOff>161362</xdr:rowOff>
    </xdr:from>
    <xdr:to>
      <xdr:col>7</xdr:col>
      <xdr:colOff>106161</xdr:colOff>
      <xdr:row>10</xdr:row>
      <xdr:rowOff>28054</xdr:rowOff>
    </xdr:to>
    <xdr:sp macro="" textlink="">
      <xdr:nvSpPr>
        <xdr:cNvPr id="361" name="Text Box 1669">
          <a:extLst>
            <a:ext uri="{FF2B5EF4-FFF2-40B4-BE49-F238E27FC236}">
              <a16:creationId xmlns:a16="http://schemas.microsoft.com/office/drawing/2014/main" id="{00000000-0008-0000-0700-000069010000}"/>
            </a:ext>
          </a:extLst>
        </xdr:cNvPr>
        <xdr:cNvSpPr txBox="1">
          <a:spLocks noChangeArrowheads="1"/>
        </xdr:cNvSpPr>
      </xdr:nvSpPr>
      <xdr:spPr bwMode="auto">
        <a:xfrm>
          <a:off x="4241346" y="1742512"/>
          <a:ext cx="427463" cy="3142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it-IT" sz="1200" b="1" i="0" strike="noStrike">
              <a:solidFill>
                <a:srgbClr val="000000"/>
              </a:solidFill>
              <a:latin typeface="Arial"/>
              <a:cs typeface="Arial"/>
            </a:rPr>
            <a:t>A =</a:t>
          </a:r>
        </a:p>
      </xdr:txBody>
    </xdr:sp>
    <xdr:clientData/>
  </xdr:twoCellAnchor>
  <xdr:twoCellAnchor editAs="absolute">
    <xdr:from>
      <xdr:col>6</xdr:col>
      <xdr:colOff>210412</xdr:colOff>
      <xdr:row>13</xdr:row>
      <xdr:rowOff>56190</xdr:rowOff>
    </xdr:from>
    <xdr:to>
      <xdr:col>7</xdr:col>
      <xdr:colOff>123781</xdr:colOff>
      <xdr:row>14</xdr:row>
      <xdr:rowOff>132275</xdr:rowOff>
    </xdr:to>
    <xdr:sp macro="" textlink="">
      <xdr:nvSpPr>
        <xdr:cNvPr id="362" name="Text Box 1670">
          <a:extLst>
            <a:ext uri="{FF2B5EF4-FFF2-40B4-BE49-F238E27FC236}">
              <a16:creationId xmlns:a16="http://schemas.microsoft.com/office/drawing/2014/main" id="{00000000-0008-0000-0700-00006A010000}"/>
            </a:ext>
          </a:extLst>
        </xdr:cNvPr>
        <xdr:cNvSpPr txBox="1">
          <a:spLocks noChangeArrowheads="1"/>
        </xdr:cNvSpPr>
      </xdr:nvSpPr>
      <xdr:spPr bwMode="auto">
        <a:xfrm>
          <a:off x="4268062" y="2789865"/>
          <a:ext cx="427463" cy="304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it-IT" sz="1200" b="1" i="0" strike="noStrike">
              <a:solidFill>
                <a:srgbClr val="000000"/>
              </a:solidFill>
              <a:latin typeface="Arial"/>
              <a:cs typeface="Arial"/>
            </a:rPr>
            <a:t>C =</a:t>
          </a:r>
        </a:p>
      </xdr:txBody>
    </xdr:sp>
    <xdr:clientData/>
  </xdr:twoCellAnchor>
  <xdr:twoCellAnchor editAs="absolute">
    <xdr:from>
      <xdr:col>8</xdr:col>
      <xdr:colOff>533101</xdr:colOff>
      <xdr:row>15</xdr:row>
      <xdr:rowOff>294056</xdr:rowOff>
    </xdr:from>
    <xdr:to>
      <xdr:col>9</xdr:col>
      <xdr:colOff>264428</xdr:colOff>
      <xdr:row>17</xdr:row>
      <xdr:rowOff>227266</xdr:rowOff>
    </xdr:to>
    <xdr:sp macro="" textlink="">
      <xdr:nvSpPr>
        <xdr:cNvPr id="363" name="Text Box 1671">
          <a:extLst>
            <a:ext uri="{FF2B5EF4-FFF2-40B4-BE49-F238E27FC236}">
              <a16:creationId xmlns:a16="http://schemas.microsoft.com/office/drawing/2014/main" id="{00000000-0008-0000-0700-00006B010000}"/>
            </a:ext>
          </a:extLst>
        </xdr:cNvPr>
        <xdr:cNvSpPr txBox="1">
          <a:spLocks noChangeArrowheads="1"/>
        </xdr:cNvSpPr>
      </xdr:nvSpPr>
      <xdr:spPr bwMode="auto">
        <a:xfrm>
          <a:off x="5790901" y="3475406"/>
          <a:ext cx="427463" cy="304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it-IT" sz="1200" b="1" i="0" strike="noStrike">
              <a:solidFill>
                <a:srgbClr val="000000"/>
              </a:solidFill>
              <a:latin typeface="Arial"/>
              <a:cs typeface="Arial"/>
            </a:rPr>
            <a:t>da  =</a:t>
          </a:r>
        </a:p>
      </xdr:txBody>
    </xdr:sp>
    <xdr:clientData/>
  </xdr:twoCellAnchor>
  <xdr:twoCellAnchor editAs="absolute">
    <xdr:from>
      <xdr:col>8</xdr:col>
      <xdr:colOff>260128</xdr:colOff>
      <xdr:row>9</xdr:row>
      <xdr:rowOff>18451</xdr:rowOff>
    </xdr:from>
    <xdr:to>
      <xdr:col>9</xdr:col>
      <xdr:colOff>1813</xdr:colOff>
      <xdr:row>10</xdr:row>
      <xdr:rowOff>113749</xdr:rowOff>
    </xdr:to>
    <xdr:sp macro="" textlink="">
      <xdr:nvSpPr>
        <xdr:cNvPr id="364" name="Text Box 1672">
          <a:extLst>
            <a:ext uri="{FF2B5EF4-FFF2-40B4-BE49-F238E27FC236}">
              <a16:creationId xmlns:a16="http://schemas.microsoft.com/office/drawing/2014/main" id="{00000000-0008-0000-0700-00006C010000}"/>
            </a:ext>
          </a:extLst>
        </xdr:cNvPr>
        <xdr:cNvSpPr txBox="1">
          <a:spLocks noChangeArrowheads="1"/>
        </xdr:cNvSpPr>
      </xdr:nvSpPr>
      <xdr:spPr bwMode="auto">
        <a:xfrm>
          <a:off x="5470303" y="1837726"/>
          <a:ext cx="427463" cy="304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it-IT" sz="1200" b="1" i="0" strike="noStrike">
              <a:solidFill>
                <a:srgbClr val="000000"/>
              </a:solidFill>
              <a:latin typeface="Arial"/>
              <a:cs typeface="Arial"/>
            </a:rPr>
            <a:t>L1 =</a:t>
          </a:r>
        </a:p>
      </xdr:txBody>
    </xdr:sp>
    <xdr:clientData/>
  </xdr:twoCellAnchor>
  <xdr:twoCellAnchor editAs="absolute">
    <xdr:from>
      <xdr:col>14</xdr:col>
      <xdr:colOff>9513</xdr:colOff>
      <xdr:row>7</xdr:row>
      <xdr:rowOff>156024</xdr:rowOff>
    </xdr:from>
    <xdr:to>
      <xdr:col>14</xdr:col>
      <xdr:colOff>360983</xdr:colOff>
      <xdr:row>9</xdr:row>
      <xdr:rowOff>3344</xdr:rowOff>
    </xdr:to>
    <xdr:sp macro="" textlink="">
      <xdr:nvSpPr>
        <xdr:cNvPr id="365" name="Text Box 1673">
          <a:extLst>
            <a:ext uri="{FF2B5EF4-FFF2-40B4-BE49-F238E27FC236}">
              <a16:creationId xmlns:a16="http://schemas.microsoft.com/office/drawing/2014/main" id="{00000000-0008-0000-0700-00006D010000}"/>
            </a:ext>
          </a:extLst>
        </xdr:cNvPr>
        <xdr:cNvSpPr txBox="1">
          <a:spLocks noChangeArrowheads="1"/>
        </xdr:cNvSpPr>
      </xdr:nvSpPr>
      <xdr:spPr bwMode="auto">
        <a:xfrm>
          <a:off x="8723527" y="1501770"/>
          <a:ext cx="427463" cy="3142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it-IT" sz="1200" b="1" i="0" strike="noStrike">
              <a:solidFill>
                <a:srgbClr val="000000"/>
              </a:solidFill>
              <a:latin typeface="Arial"/>
              <a:cs typeface="Arial"/>
            </a:rPr>
            <a:t>L2 =</a:t>
          </a:r>
        </a:p>
      </xdr:txBody>
    </xdr:sp>
    <xdr:clientData/>
  </xdr:twoCellAnchor>
  <xdr:twoCellAnchor editAs="absolute">
    <xdr:from>
      <xdr:col>13</xdr:col>
      <xdr:colOff>295275</xdr:colOff>
      <xdr:row>5</xdr:row>
      <xdr:rowOff>161925</xdr:rowOff>
    </xdr:from>
    <xdr:to>
      <xdr:col>14</xdr:col>
      <xdr:colOff>304800</xdr:colOff>
      <xdr:row>8</xdr:row>
      <xdr:rowOff>152400</xdr:rowOff>
    </xdr:to>
    <xdr:sp macro="" textlink="">
      <xdr:nvSpPr>
        <xdr:cNvPr id="13966" name="Line 1699">
          <a:extLst>
            <a:ext uri="{FF2B5EF4-FFF2-40B4-BE49-F238E27FC236}">
              <a16:creationId xmlns:a16="http://schemas.microsoft.com/office/drawing/2014/main" id="{00000000-0008-0000-0700-00008E360000}"/>
            </a:ext>
          </a:extLst>
        </xdr:cNvPr>
        <xdr:cNvSpPr>
          <a:spLocks noChangeShapeType="1"/>
        </xdr:cNvSpPr>
      </xdr:nvSpPr>
      <xdr:spPr bwMode="auto">
        <a:xfrm flipV="1">
          <a:off x="8467725" y="1095375"/>
          <a:ext cx="542925" cy="6381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 editAs="absolute">
    <xdr:from>
      <xdr:col>12</xdr:col>
      <xdr:colOff>213986</xdr:colOff>
      <xdr:row>7</xdr:row>
      <xdr:rowOff>107039</xdr:rowOff>
    </xdr:from>
    <xdr:to>
      <xdr:col>13</xdr:col>
      <xdr:colOff>311646</xdr:colOff>
      <xdr:row>8</xdr:row>
      <xdr:rowOff>173809</xdr:rowOff>
    </xdr:to>
    <xdr:sp macro="" textlink="$D$8">
      <xdr:nvSpPr>
        <xdr:cNvPr id="367" name="Text Box 1700">
          <a:extLst>
            <a:ext uri="{FF2B5EF4-FFF2-40B4-BE49-F238E27FC236}">
              <a16:creationId xmlns:a16="http://schemas.microsoft.com/office/drawing/2014/main" id="{00000000-0008-0000-0700-00006F010000}"/>
            </a:ext>
          </a:extLst>
        </xdr:cNvPr>
        <xdr:cNvSpPr txBox="1">
          <a:spLocks noChangeArrowheads="1" noTextEdit="1"/>
        </xdr:cNvSpPr>
      </xdr:nvSpPr>
      <xdr:spPr bwMode="auto">
        <a:xfrm>
          <a:off x="7899300" y="1452785"/>
          <a:ext cx="650101" cy="304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E8DAFEAE-FA98-4E2E-987D-1E945D6CC699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0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11</xdr:col>
      <xdr:colOff>352567</xdr:colOff>
      <xdr:row>7</xdr:row>
      <xdr:rowOff>119275</xdr:rowOff>
    </xdr:from>
    <xdr:to>
      <xdr:col>12</xdr:col>
      <xdr:colOff>275590</xdr:colOff>
      <xdr:row>8</xdr:row>
      <xdr:rowOff>195360</xdr:rowOff>
    </xdr:to>
    <xdr:sp macro="" textlink="">
      <xdr:nvSpPr>
        <xdr:cNvPr id="368" name="Text Box 1701">
          <a:extLst>
            <a:ext uri="{FF2B5EF4-FFF2-40B4-BE49-F238E27FC236}">
              <a16:creationId xmlns:a16="http://schemas.microsoft.com/office/drawing/2014/main" id="{00000000-0008-0000-0700-000070010000}"/>
            </a:ext>
          </a:extLst>
        </xdr:cNvPr>
        <xdr:cNvSpPr txBox="1">
          <a:spLocks noChangeArrowheads="1"/>
        </xdr:cNvSpPr>
      </xdr:nvSpPr>
      <xdr:spPr bwMode="auto">
        <a:xfrm>
          <a:off x="7542581" y="1465021"/>
          <a:ext cx="427463" cy="304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it-IT" sz="1200" b="1" i="0" strike="noStrike">
              <a:solidFill>
                <a:srgbClr val="000000"/>
              </a:solidFill>
              <a:latin typeface="Arial"/>
              <a:cs typeface="Arial"/>
            </a:rPr>
            <a:t>L1 =</a:t>
          </a:r>
        </a:p>
      </xdr:txBody>
    </xdr:sp>
    <xdr:clientData/>
  </xdr:twoCellAnchor>
  <xdr:twoCellAnchor editAs="absolute">
    <xdr:from>
      <xdr:col>8</xdr:col>
      <xdr:colOff>428625</xdr:colOff>
      <xdr:row>15</xdr:row>
      <xdr:rowOff>38100</xdr:rowOff>
    </xdr:from>
    <xdr:to>
      <xdr:col>9</xdr:col>
      <xdr:colOff>104775</xdr:colOff>
      <xdr:row>15</xdr:row>
      <xdr:rowOff>38100</xdr:rowOff>
    </xdr:to>
    <xdr:sp macro="" textlink="">
      <xdr:nvSpPr>
        <xdr:cNvPr id="13969" name="Line 2007">
          <a:extLst>
            <a:ext uri="{FF2B5EF4-FFF2-40B4-BE49-F238E27FC236}">
              <a16:creationId xmlns:a16="http://schemas.microsoft.com/office/drawing/2014/main" id="{00000000-0008-0000-0700-000091360000}"/>
            </a:ext>
          </a:extLst>
        </xdr:cNvPr>
        <xdr:cNvSpPr>
          <a:spLocks noChangeShapeType="1"/>
        </xdr:cNvSpPr>
      </xdr:nvSpPr>
      <xdr:spPr bwMode="auto">
        <a:xfrm>
          <a:off x="5591175" y="3228975"/>
          <a:ext cx="409575" cy="0"/>
        </a:xfrm>
        <a:prstGeom prst="line">
          <a:avLst/>
        </a:prstGeom>
        <a:noFill/>
        <a:ln w="2540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428625</xdr:colOff>
      <xdr:row>15</xdr:row>
      <xdr:rowOff>38100</xdr:rowOff>
    </xdr:from>
    <xdr:to>
      <xdr:col>8</xdr:col>
      <xdr:colOff>428625</xdr:colOff>
      <xdr:row>15</xdr:row>
      <xdr:rowOff>152400</xdr:rowOff>
    </xdr:to>
    <xdr:sp macro="" textlink="">
      <xdr:nvSpPr>
        <xdr:cNvPr id="13970" name="Line 2008">
          <a:extLst>
            <a:ext uri="{FF2B5EF4-FFF2-40B4-BE49-F238E27FC236}">
              <a16:creationId xmlns:a16="http://schemas.microsoft.com/office/drawing/2014/main" id="{00000000-0008-0000-0700-000092360000}"/>
            </a:ext>
          </a:extLst>
        </xdr:cNvPr>
        <xdr:cNvSpPr>
          <a:spLocks noChangeShapeType="1"/>
        </xdr:cNvSpPr>
      </xdr:nvSpPr>
      <xdr:spPr bwMode="auto">
        <a:xfrm>
          <a:off x="5591175" y="3228975"/>
          <a:ext cx="0" cy="114300"/>
        </a:xfrm>
        <a:prstGeom prst="line">
          <a:avLst/>
        </a:prstGeom>
        <a:noFill/>
        <a:ln w="2540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95250</xdr:colOff>
      <xdr:row>15</xdr:row>
      <xdr:rowOff>38100</xdr:rowOff>
    </xdr:from>
    <xdr:to>
      <xdr:col>9</xdr:col>
      <xdr:colOff>95250</xdr:colOff>
      <xdr:row>15</xdr:row>
      <xdr:rowOff>152400</xdr:rowOff>
    </xdr:to>
    <xdr:sp macro="" textlink="">
      <xdr:nvSpPr>
        <xdr:cNvPr id="13971" name="Line 2009">
          <a:extLst>
            <a:ext uri="{FF2B5EF4-FFF2-40B4-BE49-F238E27FC236}">
              <a16:creationId xmlns:a16="http://schemas.microsoft.com/office/drawing/2014/main" id="{00000000-0008-0000-0700-000093360000}"/>
            </a:ext>
          </a:extLst>
        </xdr:cNvPr>
        <xdr:cNvSpPr>
          <a:spLocks noChangeShapeType="1"/>
        </xdr:cNvSpPr>
      </xdr:nvSpPr>
      <xdr:spPr bwMode="auto">
        <a:xfrm>
          <a:off x="5991225" y="3228975"/>
          <a:ext cx="0" cy="114300"/>
        </a:xfrm>
        <a:prstGeom prst="line">
          <a:avLst/>
        </a:prstGeom>
        <a:noFill/>
        <a:ln w="2540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428625</xdr:colOff>
      <xdr:row>15</xdr:row>
      <xdr:rowOff>152400</xdr:rowOff>
    </xdr:from>
    <xdr:to>
      <xdr:col>9</xdr:col>
      <xdr:colOff>104775</xdr:colOff>
      <xdr:row>15</xdr:row>
      <xdr:rowOff>152400</xdr:rowOff>
    </xdr:to>
    <xdr:sp macro="" textlink="">
      <xdr:nvSpPr>
        <xdr:cNvPr id="13972" name="Line 2011">
          <a:extLst>
            <a:ext uri="{FF2B5EF4-FFF2-40B4-BE49-F238E27FC236}">
              <a16:creationId xmlns:a16="http://schemas.microsoft.com/office/drawing/2014/main" id="{00000000-0008-0000-0700-000094360000}"/>
            </a:ext>
          </a:extLst>
        </xdr:cNvPr>
        <xdr:cNvSpPr>
          <a:spLocks noChangeShapeType="1"/>
        </xdr:cNvSpPr>
      </xdr:nvSpPr>
      <xdr:spPr bwMode="auto">
        <a:xfrm>
          <a:off x="5591175" y="3343275"/>
          <a:ext cx="409575" cy="0"/>
        </a:xfrm>
        <a:prstGeom prst="line">
          <a:avLst/>
        </a:prstGeom>
        <a:noFill/>
        <a:ln w="2540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304800</xdr:colOff>
      <xdr:row>15</xdr:row>
      <xdr:rowOff>152400</xdr:rowOff>
    </xdr:from>
    <xdr:to>
      <xdr:col>8</xdr:col>
      <xdr:colOff>419100</xdr:colOff>
      <xdr:row>15</xdr:row>
      <xdr:rowOff>152400</xdr:rowOff>
    </xdr:to>
    <xdr:sp macro="" textlink="">
      <xdr:nvSpPr>
        <xdr:cNvPr id="13973" name="Line 2012">
          <a:extLst>
            <a:ext uri="{FF2B5EF4-FFF2-40B4-BE49-F238E27FC236}">
              <a16:creationId xmlns:a16="http://schemas.microsoft.com/office/drawing/2014/main" id="{00000000-0008-0000-0700-000095360000}"/>
            </a:ext>
          </a:extLst>
        </xdr:cNvPr>
        <xdr:cNvSpPr>
          <a:spLocks noChangeShapeType="1"/>
        </xdr:cNvSpPr>
      </xdr:nvSpPr>
      <xdr:spPr bwMode="auto">
        <a:xfrm flipH="1">
          <a:off x="4848225" y="3343275"/>
          <a:ext cx="7334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323850</xdr:colOff>
      <xdr:row>15</xdr:row>
      <xdr:rowOff>152400</xdr:rowOff>
    </xdr:from>
    <xdr:to>
      <xdr:col>7</xdr:col>
      <xdr:colOff>323850</xdr:colOff>
      <xdr:row>17</xdr:row>
      <xdr:rowOff>19050</xdr:rowOff>
    </xdr:to>
    <xdr:sp macro="" textlink="">
      <xdr:nvSpPr>
        <xdr:cNvPr id="13974" name="Line 2013">
          <a:extLst>
            <a:ext uri="{FF2B5EF4-FFF2-40B4-BE49-F238E27FC236}">
              <a16:creationId xmlns:a16="http://schemas.microsoft.com/office/drawing/2014/main" id="{00000000-0008-0000-0700-000096360000}"/>
            </a:ext>
          </a:extLst>
        </xdr:cNvPr>
        <xdr:cNvSpPr>
          <a:spLocks noChangeShapeType="1"/>
        </xdr:cNvSpPr>
      </xdr:nvSpPr>
      <xdr:spPr bwMode="auto">
        <a:xfrm flipV="1">
          <a:off x="4867275" y="3343275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absolute">
    <xdr:from>
      <xdr:col>7</xdr:col>
      <xdr:colOff>493220</xdr:colOff>
      <xdr:row>16</xdr:row>
      <xdr:rowOff>23061</xdr:rowOff>
    </xdr:from>
    <xdr:to>
      <xdr:col>8</xdr:col>
      <xdr:colOff>514676</xdr:colOff>
      <xdr:row>18</xdr:row>
      <xdr:rowOff>22903</xdr:rowOff>
    </xdr:to>
    <xdr:sp macro="" textlink="$D$13">
      <xdr:nvSpPr>
        <xdr:cNvPr id="375" name="Text Box 2014">
          <a:extLst>
            <a:ext uri="{FF2B5EF4-FFF2-40B4-BE49-F238E27FC236}">
              <a16:creationId xmlns:a16="http://schemas.microsoft.com/office/drawing/2014/main" id="{00000000-0008-0000-0700-000077010000}"/>
            </a:ext>
          </a:extLst>
        </xdr:cNvPr>
        <xdr:cNvSpPr txBox="1">
          <a:spLocks noChangeArrowheads="1" noTextEdit="1"/>
        </xdr:cNvSpPr>
      </xdr:nvSpPr>
      <xdr:spPr bwMode="auto">
        <a:xfrm>
          <a:off x="5127625" y="3524320"/>
          <a:ext cx="648459" cy="2991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1EA87BD1-695C-4C6F-8BBA-7E769C1A3E6A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120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7</xdr:col>
      <xdr:colOff>158528</xdr:colOff>
      <xdr:row>16</xdr:row>
      <xdr:rowOff>55905</xdr:rowOff>
    </xdr:from>
    <xdr:to>
      <xdr:col>8</xdr:col>
      <xdr:colOff>4628</xdr:colOff>
      <xdr:row>18</xdr:row>
      <xdr:rowOff>55790</xdr:rowOff>
    </xdr:to>
    <xdr:sp macro="" textlink="">
      <xdr:nvSpPr>
        <xdr:cNvPr id="376" name="Text Box 2015">
          <a:extLst>
            <a:ext uri="{FF2B5EF4-FFF2-40B4-BE49-F238E27FC236}">
              <a16:creationId xmlns:a16="http://schemas.microsoft.com/office/drawing/2014/main" id="{00000000-0008-0000-0700-000078010000}"/>
            </a:ext>
          </a:extLst>
        </xdr:cNvPr>
        <xdr:cNvSpPr txBox="1">
          <a:spLocks noChangeArrowheads="1"/>
        </xdr:cNvSpPr>
      </xdr:nvSpPr>
      <xdr:spPr bwMode="auto">
        <a:xfrm>
          <a:off x="4740053" y="3542055"/>
          <a:ext cx="427463" cy="304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it-IT" sz="1200" b="1" i="0" strike="noStrike">
              <a:solidFill>
                <a:srgbClr val="000000"/>
              </a:solidFill>
              <a:latin typeface="Arial"/>
              <a:cs typeface="Arial"/>
            </a:rPr>
            <a:t>  a  =</a:t>
          </a:r>
        </a:p>
      </xdr:txBody>
    </xdr:sp>
    <xdr:clientData/>
  </xdr:twoCellAnchor>
  <xdr:twoCellAnchor editAs="absolute">
    <xdr:from>
      <xdr:col>12</xdr:col>
      <xdr:colOff>28575</xdr:colOff>
      <xdr:row>15</xdr:row>
      <xdr:rowOff>104775</xdr:rowOff>
    </xdr:from>
    <xdr:to>
      <xdr:col>12</xdr:col>
      <xdr:colOff>28575</xdr:colOff>
      <xdr:row>16</xdr:row>
      <xdr:rowOff>47625</xdr:rowOff>
    </xdr:to>
    <xdr:sp macro="" textlink="">
      <xdr:nvSpPr>
        <xdr:cNvPr id="13977" name="Line 2017">
          <a:extLst>
            <a:ext uri="{FF2B5EF4-FFF2-40B4-BE49-F238E27FC236}">
              <a16:creationId xmlns:a16="http://schemas.microsoft.com/office/drawing/2014/main" id="{00000000-0008-0000-0700-000099360000}"/>
            </a:ext>
          </a:extLst>
        </xdr:cNvPr>
        <xdr:cNvSpPr>
          <a:spLocks noChangeShapeType="1"/>
        </xdr:cNvSpPr>
      </xdr:nvSpPr>
      <xdr:spPr bwMode="auto">
        <a:xfrm>
          <a:off x="7667625" y="3295650"/>
          <a:ext cx="0" cy="238125"/>
        </a:xfrm>
        <a:prstGeom prst="line">
          <a:avLst/>
        </a:prstGeom>
        <a:noFill/>
        <a:ln w="2540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16</xdr:row>
      <xdr:rowOff>28575</xdr:rowOff>
    </xdr:from>
    <xdr:to>
      <xdr:col>13</xdr:col>
      <xdr:colOff>200025</xdr:colOff>
      <xdr:row>17</xdr:row>
      <xdr:rowOff>85725</xdr:rowOff>
    </xdr:to>
    <xdr:grpSp>
      <xdr:nvGrpSpPr>
        <xdr:cNvPr id="13978" name="Group 2079">
          <a:extLst>
            <a:ext uri="{FF2B5EF4-FFF2-40B4-BE49-F238E27FC236}">
              <a16:creationId xmlns:a16="http://schemas.microsoft.com/office/drawing/2014/main" id="{00000000-0008-0000-0700-00009A360000}"/>
            </a:ext>
          </a:extLst>
        </xdr:cNvPr>
        <xdr:cNvGrpSpPr>
          <a:grpSpLocks noChangeAspect="1"/>
        </xdr:cNvGrpSpPr>
      </xdr:nvGrpSpPr>
      <xdr:grpSpPr bwMode="auto">
        <a:xfrm>
          <a:off x="7675789" y="3552825"/>
          <a:ext cx="702129" cy="138793"/>
          <a:chOff x="7768" y="4961"/>
          <a:chExt cx="259" cy="57"/>
        </a:xfrm>
      </xdr:grpSpPr>
      <xdr:sp macro="" textlink="">
        <xdr:nvSpPr>
          <xdr:cNvPr id="13983" name="Freeform 2020">
            <a:extLst>
              <a:ext uri="{FF2B5EF4-FFF2-40B4-BE49-F238E27FC236}">
                <a16:creationId xmlns:a16="http://schemas.microsoft.com/office/drawing/2014/main" id="{00000000-0008-0000-0700-00009F360000}"/>
              </a:ext>
            </a:extLst>
          </xdr:cNvPr>
          <xdr:cNvSpPr>
            <a:spLocks noChangeAspect="1"/>
          </xdr:cNvSpPr>
        </xdr:nvSpPr>
        <xdr:spPr bwMode="auto">
          <a:xfrm>
            <a:off x="7768" y="4979"/>
            <a:ext cx="5" cy="5"/>
          </a:xfrm>
          <a:custGeom>
            <a:avLst/>
            <a:gdLst>
              <a:gd name="T0" fmla="*/ 3 w 5"/>
              <a:gd name="T1" fmla="*/ 3 h 5"/>
              <a:gd name="T2" fmla="*/ 1 w 5"/>
              <a:gd name="T3" fmla="*/ 5 h 5"/>
              <a:gd name="T4" fmla="*/ 1 w 5"/>
              <a:gd name="T5" fmla="*/ 5 h 5"/>
              <a:gd name="T6" fmla="*/ 1 w 5"/>
              <a:gd name="T7" fmla="*/ 4 h 5"/>
              <a:gd name="T8" fmla="*/ 0 w 5"/>
              <a:gd name="T9" fmla="*/ 4 h 5"/>
              <a:gd name="T10" fmla="*/ 0 w 5"/>
              <a:gd name="T11" fmla="*/ 3 h 5"/>
              <a:gd name="T12" fmla="*/ 0 w 5"/>
              <a:gd name="T13" fmla="*/ 3 h 5"/>
              <a:gd name="T14" fmla="*/ 1 w 5"/>
              <a:gd name="T15" fmla="*/ 2 h 5"/>
              <a:gd name="T16" fmla="*/ 1 w 5"/>
              <a:gd name="T17" fmla="*/ 1 h 5"/>
              <a:gd name="T18" fmla="*/ 1 w 5"/>
              <a:gd name="T19" fmla="*/ 1 h 5"/>
              <a:gd name="T20" fmla="*/ 2 w 5"/>
              <a:gd name="T21" fmla="*/ 1 h 5"/>
              <a:gd name="T22" fmla="*/ 2 w 5"/>
              <a:gd name="T23" fmla="*/ 0 h 5"/>
              <a:gd name="T24" fmla="*/ 3 w 5"/>
              <a:gd name="T25" fmla="*/ 0 h 5"/>
              <a:gd name="T26" fmla="*/ 3 w 5"/>
              <a:gd name="T27" fmla="*/ 0 h 5"/>
              <a:gd name="T28" fmla="*/ 4 w 5"/>
              <a:gd name="T29" fmla="*/ 1 h 5"/>
              <a:gd name="T30" fmla="*/ 5 w 5"/>
              <a:gd name="T31" fmla="*/ 1 h 5"/>
              <a:gd name="T32" fmla="*/ 3 w 5"/>
              <a:gd name="T33" fmla="*/ 3 h 5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5"/>
              <a:gd name="T52" fmla="*/ 0 h 5"/>
              <a:gd name="T53" fmla="*/ 5 w 5"/>
              <a:gd name="T54" fmla="*/ 5 h 5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5" h="5">
                <a:moveTo>
                  <a:pt x="3" y="3"/>
                </a:moveTo>
                <a:lnTo>
                  <a:pt x="1" y="5"/>
                </a:lnTo>
                <a:lnTo>
                  <a:pt x="1" y="4"/>
                </a:lnTo>
                <a:lnTo>
                  <a:pt x="0" y="4"/>
                </a:lnTo>
                <a:lnTo>
                  <a:pt x="0" y="3"/>
                </a:lnTo>
                <a:lnTo>
                  <a:pt x="1" y="2"/>
                </a:lnTo>
                <a:lnTo>
                  <a:pt x="1" y="1"/>
                </a:lnTo>
                <a:lnTo>
                  <a:pt x="2" y="1"/>
                </a:lnTo>
                <a:lnTo>
                  <a:pt x="2" y="0"/>
                </a:lnTo>
                <a:lnTo>
                  <a:pt x="3" y="0"/>
                </a:lnTo>
                <a:lnTo>
                  <a:pt x="4" y="1"/>
                </a:lnTo>
                <a:lnTo>
                  <a:pt x="5" y="1"/>
                </a:lnTo>
                <a:lnTo>
                  <a:pt x="3" y="3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84" name="Freeform 2021">
            <a:extLst>
              <a:ext uri="{FF2B5EF4-FFF2-40B4-BE49-F238E27FC236}">
                <a16:creationId xmlns:a16="http://schemas.microsoft.com/office/drawing/2014/main" id="{00000000-0008-0000-0700-0000A0360000}"/>
              </a:ext>
            </a:extLst>
          </xdr:cNvPr>
          <xdr:cNvSpPr>
            <a:spLocks noChangeAspect="1"/>
          </xdr:cNvSpPr>
        </xdr:nvSpPr>
        <xdr:spPr bwMode="auto">
          <a:xfrm>
            <a:off x="7768" y="4979"/>
            <a:ext cx="5" cy="5"/>
          </a:xfrm>
          <a:custGeom>
            <a:avLst/>
            <a:gdLst>
              <a:gd name="T0" fmla="*/ 1 w 5"/>
              <a:gd name="T1" fmla="*/ 5 h 5"/>
              <a:gd name="T2" fmla="*/ 1 w 5"/>
              <a:gd name="T3" fmla="*/ 5 h 5"/>
              <a:gd name="T4" fmla="*/ 1 w 5"/>
              <a:gd name="T5" fmla="*/ 4 h 5"/>
              <a:gd name="T6" fmla="*/ 0 w 5"/>
              <a:gd name="T7" fmla="*/ 4 h 5"/>
              <a:gd name="T8" fmla="*/ 0 w 5"/>
              <a:gd name="T9" fmla="*/ 3 h 5"/>
              <a:gd name="T10" fmla="*/ 0 w 5"/>
              <a:gd name="T11" fmla="*/ 3 h 5"/>
              <a:gd name="T12" fmla="*/ 1 w 5"/>
              <a:gd name="T13" fmla="*/ 2 h 5"/>
              <a:gd name="T14" fmla="*/ 1 w 5"/>
              <a:gd name="T15" fmla="*/ 1 h 5"/>
              <a:gd name="T16" fmla="*/ 1 w 5"/>
              <a:gd name="T17" fmla="*/ 1 h 5"/>
              <a:gd name="T18" fmla="*/ 2 w 5"/>
              <a:gd name="T19" fmla="*/ 1 h 5"/>
              <a:gd name="T20" fmla="*/ 2 w 5"/>
              <a:gd name="T21" fmla="*/ 0 h 5"/>
              <a:gd name="T22" fmla="*/ 3 w 5"/>
              <a:gd name="T23" fmla="*/ 0 h 5"/>
              <a:gd name="T24" fmla="*/ 3 w 5"/>
              <a:gd name="T25" fmla="*/ 0 h 5"/>
              <a:gd name="T26" fmla="*/ 4 w 5"/>
              <a:gd name="T27" fmla="*/ 1 h 5"/>
              <a:gd name="T28" fmla="*/ 5 w 5"/>
              <a:gd name="T29" fmla="*/ 1 h 5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5"/>
              <a:gd name="T46" fmla="*/ 0 h 5"/>
              <a:gd name="T47" fmla="*/ 5 w 5"/>
              <a:gd name="T48" fmla="*/ 5 h 5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5" h="5">
                <a:moveTo>
                  <a:pt x="1" y="5"/>
                </a:moveTo>
                <a:lnTo>
                  <a:pt x="1" y="5"/>
                </a:lnTo>
                <a:lnTo>
                  <a:pt x="1" y="4"/>
                </a:lnTo>
                <a:lnTo>
                  <a:pt x="0" y="4"/>
                </a:lnTo>
                <a:lnTo>
                  <a:pt x="0" y="3"/>
                </a:lnTo>
                <a:lnTo>
                  <a:pt x="1" y="2"/>
                </a:lnTo>
                <a:lnTo>
                  <a:pt x="1" y="1"/>
                </a:lnTo>
                <a:lnTo>
                  <a:pt x="2" y="1"/>
                </a:lnTo>
                <a:lnTo>
                  <a:pt x="2" y="0"/>
                </a:lnTo>
                <a:lnTo>
                  <a:pt x="3" y="0"/>
                </a:lnTo>
                <a:lnTo>
                  <a:pt x="4" y="1"/>
                </a:lnTo>
                <a:lnTo>
                  <a:pt x="5" y="1"/>
                </a:lnTo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85" name="Freeform 2022">
            <a:extLst>
              <a:ext uri="{FF2B5EF4-FFF2-40B4-BE49-F238E27FC236}">
                <a16:creationId xmlns:a16="http://schemas.microsoft.com/office/drawing/2014/main" id="{00000000-0008-0000-0700-0000A1360000}"/>
              </a:ext>
            </a:extLst>
          </xdr:cNvPr>
          <xdr:cNvSpPr>
            <a:spLocks noChangeAspect="1"/>
          </xdr:cNvSpPr>
        </xdr:nvSpPr>
        <xdr:spPr bwMode="auto">
          <a:xfrm>
            <a:off x="7769" y="4980"/>
            <a:ext cx="16" cy="13"/>
          </a:xfrm>
          <a:custGeom>
            <a:avLst/>
            <a:gdLst>
              <a:gd name="T0" fmla="*/ 4 w 16"/>
              <a:gd name="T1" fmla="*/ 0 h 13"/>
              <a:gd name="T2" fmla="*/ 2 w 16"/>
              <a:gd name="T3" fmla="*/ 2 h 13"/>
              <a:gd name="T4" fmla="*/ 0 w 16"/>
              <a:gd name="T5" fmla="*/ 4 h 13"/>
              <a:gd name="T6" fmla="*/ 13 w 16"/>
              <a:gd name="T7" fmla="*/ 13 h 13"/>
              <a:gd name="T8" fmla="*/ 14 w 16"/>
              <a:gd name="T9" fmla="*/ 11 h 13"/>
              <a:gd name="T10" fmla="*/ 16 w 16"/>
              <a:gd name="T11" fmla="*/ 9 h 13"/>
              <a:gd name="T12" fmla="*/ 4 w 16"/>
              <a:gd name="T13" fmla="*/ 0 h 13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6"/>
              <a:gd name="T22" fmla="*/ 0 h 13"/>
              <a:gd name="T23" fmla="*/ 16 w 16"/>
              <a:gd name="T24" fmla="*/ 13 h 13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6" h="13">
                <a:moveTo>
                  <a:pt x="4" y="0"/>
                </a:moveTo>
                <a:lnTo>
                  <a:pt x="2" y="2"/>
                </a:lnTo>
                <a:lnTo>
                  <a:pt x="0" y="4"/>
                </a:lnTo>
                <a:lnTo>
                  <a:pt x="13" y="13"/>
                </a:lnTo>
                <a:lnTo>
                  <a:pt x="14" y="11"/>
                </a:lnTo>
                <a:lnTo>
                  <a:pt x="16" y="9"/>
                </a:lnTo>
                <a:lnTo>
                  <a:pt x="4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86" name="Freeform 2023">
            <a:extLst>
              <a:ext uri="{FF2B5EF4-FFF2-40B4-BE49-F238E27FC236}">
                <a16:creationId xmlns:a16="http://schemas.microsoft.com/office/drawing/2014/main" id="{00000000-0008-0000-0700-0000A2360000}"/>
              </a:ext>
            </a:extLst>
          </xdr:cNvPr>
          <xdr:cNvSpPr>
            <a:spLocks noChangeAspect="1"/>
          </xdr:cNvSpPr>
        </xdr:nvSpPr>
        <xdr:spPr bwMode="auto">
          <a:xfrm>
            <a:off x="7769" y="4980"/>
            <a:ext cx="16" cy="13"/>
          </a:xfrm>
          <a:custGeom>
            <a:avLst/>
            <a:gdLst>
              <a:gd name="T0" fmla="*/ 4 w 16"/>
              <a:gd name="T1" fmla="*/ 0 h 13"/>
              <a:gd name="T2" fmla="*/ 2 w 16"/>
              <a:gd name="T3" fmla="*/ 2 h 13"/>
              <a:gd name="T4" fmla="*/ 0 w 16"/>
              <a:gd name="T5" fmla="*/ 4 h 13"/>
              <a:gd name="T6" fmla="*/ 13 w 16"/>
              <a:gd name="T7" fmla="*/ 13 h 13"/>
              <a:gd name="T8" fmla="*/ 14 w 16"/>
              <a:gd name="T9" fmla="*/ 11 h 13"/>
              <a:gd name="T10" fmla="*/ 16 w 16"/>
              <a:gd name="T11" fmla="*/ 9 h 13"/>
              <a:gd name="T12" fmla="*/ 4 w 16"/>
              <a:gd name="T13" fmla="*/ 0 h 13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6"/>
              <a:gd name="T22" fmla="*/ 0 h 13"/>
              <a:gd name="T23" fmla="*/ 16 w 16"/>
              <a:gd name="T24" fmla="*/ 13 h 13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6" h="13">
                <a:moveTo>
                  <a:pt x="4" y="0"/>
                </a:moveTo>
                <a:lnTo>
                  <a:pt x="2" y="2"/>
                </a:lnTo>
                <a:lnTo>
                  <a:pt x="0" y="4"/>
                </a:lnTo>
                <a:lnTo>
                  <a:pt x="13" y="13"/>
                </a:lnTo>
                <a:lnTo>
                  <a:pt x="14" y="11"/>
                </a:lnTo>
                <a:lnTo>
                  <a:pt x="16" y="9"/>
                </a:lnTo>
                <a:lnTo>
                  <a:pt x="4" y="0"/>
                </a:lnTo>
                <a:close/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87" name="Freeform 2024">
            <a:extLst>
              <a:ext uri="{FF2B5EF4-FFF2-40B4-BE49-F238E27FC236}">
                <a16:creationId xmlns:a16="http://schemas.microsoft.com/office/drawing/2014/main" id="{00000000-0008-0000-0700-0000A3360000}"/>
              </a:ext>
            </a:extLst>
          </xdr:cNvPr>
          <xdr:cNvSpPr>
            <a:spLocks noChangeAspect="1"/>
          </xdr:cNvSpPr>
        </xdr:nvSpPr>
        <xdr:spPr bwMode="auto">
          <a:xfrm>
            <a:off x="7782" y="4991"/>
            <a:ext cx="1" cy="2"/>
          </a:xfrm>
          <a:custGeom>
            <a:avLst/>
            <a:gdLst>
              <a:gd name="T0" fmla="*/ 1 w 1"/>
              <a:gd name="T1" fmla="*/ 0 h 2"/>
              <a:gd name="T2" fmla="*/ 0 w 1"/>
              <a:gd name="T3" fmla="*/ 2 h 2"/>
              <a:gd name="T4" fmla="*/ 0 w 1"/>
              <a:gd name="T5" fmla="*/ 2 h 2"/>
              <a:gd name="T6" fmla="*/ 1 w 1"/>
              <a:gd name="T7" fmla="*/ 0 h 2"/>
              <a:gd name="T8" fmla="*/ 0 60000 65536"/>
              <a:gd name="T9" fmla="*/ 0 60000 65536"/>
              <a:gd name="T10" fmla="*/ 0 60000 65536"/>
              <a:gd name="T11" fmla="*/ 0 60000 65536"/>
              <a:gd name="T12" fmla="*/ 0 w 1"/>
              <a:gd name="T13" fmla="*/ 0 h 2"/>
              <a:gd name="T14" fmla="*/ 1 w 1"/>
              <a:gd name="T15" fmla="*/ 2 h 2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" h="2">
                <a:moveTo>
                  <a:pt x="1" y="0"/>
                </a:moveTo>
                <a:lnTo>
                  <a:pt x="0" y="2"/>
                </a:lnTo>
                <a:lnTo>
                  <a:pt x="1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88" name="Line 2025">
            <a:extLst>
              <a:ext uri="{FF2B5EF4-FFF2-40B4-BE49-F238E27FC236}">
                <a16:creationId xmlns:a16="http://schemas.microsoft.com/office/drawing/2014/main" id="{00000000-0008-0000-0700-0000A43600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7782" y="4993"/>
            <a:ext cx="1" cy="1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89" name="Freeform 2026">
            <a:extLst>
              <a:ext uri="{FF2B5EF4-FFF2-40B4-BE49-F238E27FC236}">
                <a16:creationId xmlns:a16="http://schemas.microsoft.com/office/drawing/2014/main" id="{00000000-0008-0000-0700-0000A5360000}"/>
              </a:ext>
            </a:extLst>
          </xdr:cNvPr>
          <xdr:cNvSpPr>
            <a:spLocks noChangeAspect="1"/>
          </xdr:cNvSpPr>
        </xdr:nvSpPr>
        <xdr:spPr bwMode="auto">
          <a:xfrm>
            <a:off x="7782" y="4989"/>
            <a:ext cx="19" cy="12"/>
          </a:xfrm>
          <a:custGeom>
            <a:avLst/>
            <a:gdLst>
              <a:gd name="T0" fmla="*/ 3 w 19"/>
              <a:gd name="T1" fmla="*/ 0 h 12"/>
              <a:gd name="T2" fmla="*/ 1 w 19"/>
              <a:gd name="T3" fmla="*/ 2 h 12"/>
              <a:gd name="T4" fmla="*/ 0 w 19"/>
              <a:gd name="T5" fmla="*/ 4 h 12"/>
              <a:gd name="T6" fmla="*/ 17 w 19"/>
              <a:gd name="T7" fmla="*/ 12 h 12"/>
              <a:gd name="T8" fmla="*/ 18 w 19"/>
              <a:gd name="T9" fmla="*/ 10 h 12"/>
              <a:gd name="T10" fmla="*/ 19 w 19"/>
              <a:gd name="T11" fmla="*/ 8 h 12"/>
              <a:gd name="T12" fmla="*/ 3 w 19"/>
              <a:gd name="T13" fmla="*/ 0 h 12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9"/>
              <a:gd name="T22" fmla="*/ 0 h 12"/>
              <a:gd name="T23" fmla="*/ 19 w 19"/>
              <a:gd name="T24" fmla="*/ 12 h 12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9" h="12">
                <a:moveTo>
                  <a:pt x="3" y="0"/>
                </a:moveTo>
                <a:lnTo>
                  <a:pt x="1" y="2"/>
                </a:lnTo>
                <a:lnTo>
                  <a:pt x="0" y="4"/>
                </a:lnTo>
                <a:lnTo>
                  <a:pt x="17" y="12"/>
                </a:lnTo>
                <a:lnTo>
                  <a:pt x="18" y="10"/>
                </a:lnTo>
                <a:lnTo>
                  <a:pt x="19" y="8"/>
                </a:lnTo>
                <a:lnTo>
                  <a:pt x="3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90" name="Freeform 2027">
            <a:extLst>
              <a:ext uri="{FF2B5EF4-FFF2-40B4-BE49-F238E27FC236}">
                <a16:creationId xmlns:a16="http://schemas.microsoft.com/office/drawing/2014/main" id="{00000000-0008-0000-0700-0000A6360000}"/>
              </a:ext>
            </a:extLst>
          </xdr:cNvPr>
          <xdr:cNvSpPr>
            <a:spLocks noChangeAspect="1"/>
          </xdr:cNvSpPr>
        </xdr:nvSpPr>
        <xdr:spPr bwMode="auto">
          <a:xfrm>
            <a:off x="7782" y="4989"/>
            <a:ext cx="19" cy="12"/>
          </a:xfrm>
          <a:custGeom>
            <a:avLst/>
            <a:gdLst>
              <a:gd name="T0" fmla="*/ 3 w 19"/>
              <a:gd name="T1" fmla="*/ 0 h 12"/>
              <a:gd name="T2" fmla="*/ 1 w 19"/>
              <a:gd name="T3" fmla="*/ 2 h 12"/>
              <a:gd name="T4" fmla="*/ 0 w 19"/>
              <a:gd name="T5" fmla="*/ 4 h 12"/>
              <a:gd name="T6" fmla="*/ 17 w 19"/>
              <a:gd name="T7" fmla="*/ 12 h 12"/>
              <a:gd name="T8" fmla="*/ 18 w 19"/>
              <a:gd name="T9" fmla="*/ 10 h 12"/>
              <a:gd name="T10" fmla="*/ 19 w 19"/>
              <a:gd name="T11" fmla="*/ 8 h 12"/>
              <a:gd name="T12" fmla="*/ 3 w 19"/>
              <a:gd name="T13" fmla="*/ 0 h 12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9"/>
              <a:gd name="T22" fmla="*/ 0 h 12"/>
              <a:gd name="T23" fmla="*/ 19 w 19"/>
              <a:gd name="T24" fmla="*/ 12 h 12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9" h="12">
                <a:moveTo>
                  <a:pt x="3" y="0"/>
                </a:moveTo>
                <a:lnTo>
                  <a:pt x="1" y="2"/>
                </a:lnTo>
                <a:lnTo>
                  <a:pt x="0" y="4"/>
                </a:lnTo>
                <a:lnTo>
                  <a:pt x="17" y="12"/>
                </a:lnTo>
                <a:lnTo>
                  <a:pt x="18" y="10"/>
                </a:lnTo>
                <a:lnTo>
                  <a:pt x="19" y="8"/>
                </a:lnTo>
                <a:lnTo>
                  <a:pt x="3" y="0"/>
                </a:lnTo>
                <a:close/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91" name="Freeform 2028">
            <a:extLst>
              <a:ext uri="{FF2B5EF4-FFF2-40B4-BE49-F238E27FC236}">
                <a16:creationId xmlns:a16="http://schemas.microsoft.com/office/drawing/2014/main" id="{00000000-0008-0000-0700-0000A7360000}"/>
              </a:ext>
            </a:extLst>
          </xdr:cNvPr>
          <xdr:cNvSpPr>
            <a:spLocks noChangeAspect="1"/>
          </xdr:cNvSpPr>
        </xdr:nvSpPr>
        <xdr:spPr bwMode="auto">
          <a:xfrm>
            <a:off x="7799" y="4999"/>
            <a:ext cx="1" cy="3"/>
          </a:xfrm>
          <a:custGeom>
            <a:avLst/>
            <a:gdLst>
              <a:gd name="T0" fmla="*/ 1 w 1"/>
              <a:gd name="T1" fmla="*/ 0 h 3"/>
              <a:gd name="T2" fmla="*/ 0 w 1"/>
              <a:gd name="T3" fmla="*/ 2 h 3"/>
              <a:gd name="T4" fmla="*/ 0 w 1"/>
              <a:gd name="T5" fmla="*/ 3 h 3"/>
              <a:gd name="T6" fmla="*/ 1 w 1"/>
              <a:gd name="T7" fmla="*/ 0 h 3"/>
              <a:gd name="T8" fmla="*/ 0 60000 65536"/>
              <a:gd name="T9" fmla="*/ 0 60000 65536"/>
              <a:gd name="T10" fmla="*/ 0 60000 65536"/>
              <a:gd name="T11" fmla="*/ 0 60000 65536"/>
              <a:gd name="T12" fmla="*/ 0 w 1"/>
              <a:gd name="T13" fmla="*/ 0 h 3"/>
              <a:gd name="T14" fmla="*/ 1 w 1"/>
              <a:gd name="T15" fmla="*/ 3 h 3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" h="3">
                <a:moveTo>
                  <a:pt x="1" y="0"/>
                </a:moveTo>
                <a:lnTo>
                  <a:pt x="0" y="2"/>
                </a:lnTo>
                <a:lnTo>
                  <a:pt x="0" y="3"/>
                </a:lnTo>
                <a:lnTo>
                  <a:pt x="1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92" name="Line 2029">
            <a:extLst>
              <a:ext uri="{FF2B5EF4-FFF2-40B4-BE49-F238E27FC236}">
                <a16:creationId xmlns:a16="http://schemas.microsoft.com/office/drawing/2014/main" id="{00000000-0008-0000-0700-0000A83600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7799" y="5001"/>
            <a:ext cx="1" cy="1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93" name="Freeform 2030">
            <a:extLst>
              <a:ext uri="{FF2B5EF4-FFF2-40B4-BE49-F238E27FC236}">
                <a16:creationId xmlns:a16="http://schemas.microsoft.com/office/drawing/2014/main" id="{00000000-0008-0000-0700-0000A9360000}"/>
              </a:ext>
            </a:extLst>
          </xdr:cNvPr>
          <xdr:cNvSpPr>
            <a:spLocks noChangeAspect="1"/>
          </xdr:cNvSpPr>
        </xdr:nvSpPr>
        <xdr:spPr bwMode="auto">
          <a:xfrm>
            <a:off x="7799" y="4997"/>
            <a:ext cx="21" cy="11"/>
          </a:xfrm>
          <a:custGeom>
            <a:avLst/>
            <a:gdLst>
              <a:gd name="T0" fmla="*/ 2 w 21"/>
              <a:gd name="T1" fmla="*/ 0 h 11"/>
              <a:gd name="T2" fmla="*/ 1 w 21"/>
              <a:gd name="T3" fmla="*/ 2 h 11"/>
              <a:gd name="T4" fmla="*/ 0 w 21"/>
              <a:gd name="T5" fmla="*/ 5 h 11"/>
              <a:gd name="T6" fmla="*/ 19 w 21"/>
              <a:gd name="T7" fmla="*/ 11 h 11"/>
              <a:gd name="T8" fmla="*/ 20 w 21"/>
              <a:gd name="T9" fmla="*/ 9 h 11"/>
              <a:gd name="T10" fmla="*/ 21 w 21"/>
              <a:gd name="T11" fmla="*/ 6 h 11"/>
              <a:gd name="T12" fmla="*/ 2 w 21"/>
              <a:gd name="T13" fmla="*/ 0 h 1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11"/>
              <a:gd name="T23" fmla="*/ 21 w 21"/>
              <a:gd name="T24" fmla="*/ 11 h 1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11">
                <a:moveTo>
                  <a:pt x="2" y="0"/>
                </a:moveTo>
                <a:lnTo>
                  <a:pt x="1" y="2"/>
                </a:lnTo>
                <a:lnTo>
                  <a:pt x="0" y="5"/>
                </a:lnTo>
                <a:lnTo>
                  <a:pt x="19" y="11"/>
                </a:lnTo>
                <a:lnTo>
                  <a:pt x="20" y="9"/>
                </a:lnTo>
                <a:lnTo>
                  <a:pt x="21" y="6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94" name="Freeform 2031">
            <a:extLst>
              <a:ext uri="{FF2B5EF4-FFF2-40B4-BE49-F238E27FC236}">
                <a16:creationId xmlns:a16="http://schemas.microsoft.com/office/drawing/2014/main" id="{00000000-0008-0000-0700-0000AA360000}"/>
              </a:ext>
            </a:extLst>
          </xdr:cNvPr>
          <xdr:cNvSpPr>
            <a:spLocks noChangeAspect="1"/>
          </xdr:cNvSpPr>
        </xdr:nvSpPr>
        <xdr:spPr bwMode="auto">
          <a:xfrm>
            <a:off x="7799" y="4997"/>
            <a:ext cx="21" cy="11"/>
          </a:xfrm>
          <a:custGeom>
            <a:avLst/>
            <a:gdLst>
              <a:gd name="T0" fmla="*/ 2 w 21"/>
              <a:gd name="T1" fmla="*/ 0 h 11"/>
              <a:gd name="T2" fmla="*/ 1 w 21"/>
              <a:gd name="T3" fmla="*/ 2 h 11"/>
              <a:gd name="T4" fmla="*/ 0 w 21"/>
              <a:gd name="T5" fmla="*/ 5 h 11"/>
              <a:gd name="T6" fmla="*/ 19 w 21"/>
              <a:gd name="T7" fmla="*/ 11 h 11"/>
              <a:gd name="T8" fmla="*/ 20 w 21"/>
              <a:gd name="T9" fmla="*/ 9 h 11"/>
              <a:gd name="T10" fmla="*/ 21 w 21"/>
              <a:gd name="T11" fmla="*/ 6 h 11"/>
              <a:gd name="T12" fmla="*/ 2 w 21"/>
              <a:gd name="T13" fmla="*/ 0 h 1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11"/>
              <a:gd name="T23" fmla="*/ 21 w 21"/>
              <a:gd name="T24" fmla="*/ 11 h 1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11">
                <a:moveTo>
                  <a:pt x="2" y="0"/>
                </a:moveTo>
                <a:lnTo>
                  <a:pt x="1" y="2"/>
                </a:lnTo>
                <a:lnTo>
                  <a:pt x="0" y="5"/>
                </a:lnTo>
                <a:lnTo>
                  <a:pt x="19" y="11"/>
                </a:lnTo>
                <a:lnTo>
                  <a:pt x="20" y="9"/>
                </a:lnTo>
                <a:lnTo>
                  <a:pt x="21" y="6"/>
                </a:lnTo>
                <a:lnTo>
                  <a:pt x="2" y="0"/>
                </a:lnTo>
                <a:close/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95" name="Freeform 2032">
            <a:extLst>
              <a:ext uri="{FF2B5EF4-FFF2-40B4-BE49-F238E27FC236}">
                <a16:creationId xmlns:a16="http://schemas.microsoft.com/office/drawing/2014/main" id="{00000000-0008-0000-0700-0000AB360000}"/>
              </a:ext>
            </a:extLst>
          </xdr:cNvPr>
          <xdr:cNvSpPr>
            <a:spLocks noChangeAspect="1"/>
          </xdr:cNvSpPr>
        </xdr:nvSpPr>
        <xdr:spPr bwMode="auto">
          <a:xfrm>
            <a:off x="7818" y="5006"/>
            <a:ext cx="1" cy="2"/>
          </a:xfrm>
          <a:custGeom>
            <a:avLst/>
            <a:gdLst>
              <a:gd name="T0" fmla="*/ 1 w 1"/>
              <a:gd name="T1" fmla="*/ 0 h 2"/>
              <a:gd name="T2" fmla="*/ 0 w 1"/>
              <a:gd name="T3" fmla="*/ 2 h 2"/>
              <a:gd name="T4" fmla="*/ 1 w 1"/>
              <a:gd name="T5" fmla="*/ 2 h 2"/>
              <a:gd name="T6" fmla="*/ 1 w 1"/>
              <a:gd name="T7" fmla="*/ 0 h 2"/>
              <a:gd name="T8" fmla="*/ 0 60000 65536"/>
              <a:gd name="T9" fmla="*/ 0 60000 65536"/>
              <a:gd name="T10" fmla="*/ 0 60000 65536"/>
              <a:gd name="T11" fmla="*/ 0 60000 65536"/>
              <a:gd name="T12" fmla="*/ 0 w 1"/>
              <a:gd name="T13" fmla="*/ 0 h 2"/>
              <a:gd name="T14" fmla="*/ 1 w 1"/>
              <a:gd name="T15" fmla="*/ 2 h 2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" h="2">
                <a:moveTo>
                  <a:pt x="1" y="0"/>
                </a:moveTo>
                <a:lnTo>
                  <a:pt x="0" y="2"/>
                </a:lnTo>
                <a:lnTo>
                  <a:pt x="1" y="2"/>
                </a:lnTo>
                <a:lnTo>
                  <a:pt x="1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96" name="Line 2033">
            <a:extLst>
              <a:ext uri="{FF2B5EF4-FFF2-40B4-BE49-F238E27FC236}">
                <a16:creationId xmlns:a16="http://schemas.microsoft.com/office/drawing/2014/main" id="{00000000-0008-0000-0700-0000AC3600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7818" y="5008"/>
            <a:ext cx="1" cy="1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97" name="Freeform 2034">
            <a:extLst>
              <a:ext uri="{FF2B5EF4-FFF2-40B4-BE49-F238E27FC236}">
                <a16:creationId xmlns:a16="http://schemas.microsoft.com/office/drawing/2014/main" id="{00000000-0008-0000-0700-0000AD360000}"/>
              </a:ext>
            </a:extLst>
          </xdr:cNvPr>
          <xdr:cNvSpPr>
            <a:spLocks noChangeAspect="1"/>
          </xdr:cNvSpPr>
        </xdr:nvSpPr>
        <xdr:spPr bwMode="auto">
          <a:xfrm>
            <a:off x="7819" y="5003"/>
            <a:ext cx="23" cy="10"/>
          </a:xfrm>
          <a:custGeom>
            <a:avLst/>
            <a:gdLst>
              <a:gd name="T0" fmla="*/ 1 w 23"/>
              <a:gd name="T1" fmla="*/ 0 h 10"/>
              <a:gd name="T2" fmla="*/ 0 w 23"/>
              <a:gd name="T3" fmla="*/ 3 h 10"/>
              <a:gd name="T4" fmla="*/ 0 w 23"/>
              <a:gd name="T5" fmla="*/ 5 h 10"/>
              <a:gd name="T6" fmla="*/ 22 w 23"/>
              <a:gd name="T7" fmla="*/ 10 h 10"/>
              <a:gd name="T8" fmla="*/ 22 w 23"/>
              <a:gd name="T9" fmla="*/ 7 h 10"/>
              <a:gd name="T10" fmla="*/ 23 w 23"/>
              <a:gd name="T11" fmla="*/ 5 h 10"/>
              <a:gd name="T12" fmla="*/ 1 w 23"/>
              <a:gd name="T13" fmla="*/ 0 h 10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3"/>
              <a:gd name="T22" fmla="*/ 0 h 10"/>
              <a:gd name="T23" fmla="*/ 23 w 23"/>
              <a:gd name="T24" fmla="*/ 10 h 10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3" h="10">
                <a:moveTo>
                  <a:pt x="1" y="0"/>
                </a:moveTo>
                <a:lnTo>
                  <a:pt x="0" y="3"/>
                </a:lnTo>
                <a:lnTo>
                  <a:pt x="0" y="5"/>
                </a:lnTo>
                <a:lnTo>
                  <a:pt x="22" y="10"/>
                </a:lnTo>
                <a:lnTo>
                  <a:pt x="22" y="7"/>
                </a:lnTo>
                <a:lnTo>
                  <a:pt x="23" y="5"/>
                </a:lnTo>
                <a:lnTo>
                  <a:pt x="1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98" name="Freeform 2035">
            <a:extLst>
              <a:ext uri="{FF2B5EF4-FFF2-40B4-BE49-F238E27FC236}">
                <a16:creationId xmlns:a16="http://schemas.microsoft.com/office/drawing/2014/main" id="{00000000-0008-0000-0700-0000AE360000}"/>
              </a:ext>
            </a:extLst>
          </xdr:cNvPr>
          <xdr:cNvSpPr>
            <a:spLocks noChangeAspect="1"/>
          </xdr:cNvSpPr>
        </xdr:nvSpPr>
        <xdr:spPr bwMode="auto">
          <a:xfrm>
            <a:off x="7819" y="5003"/>
            <a:ext cx="23" cy="10"/>
          </a:xfrm>
          <a:custGeom>
            <a:avLst/>
            <a:gdLst>
              <a:gd name="T0" fmla="*/ 1 w 23"/>
              <a:gd name="T1" fmla="*/ 0 h 10"/>
              <a:gd name="T2" fmla="*/ 0 w 23"/>
              <a:gd name="T3" fmla="*/ 3 h 10"/>
              <a:gd name="T4" fmla="*/ 0 w 23"/>
              <a:gd name="T5" fmla="*/ 5 h 10"/>
              <a:gd name="T6" fmla="*/ 22 w 23"/>
              <a:gd name="T7" fmla="*/ 10 h 10"/>
              <a:gd name="T8" fmla="*/ 22 w 23"/>
              <a:gd name="T9" fmla="*/ 7 h 10"/>
              <a:gd name="T10" fmla="*/ 23 w 23"/>
              <a:gd name="T11" fmla="*/ 5 h 10"/>
              <a:gd name="T12" fmla="*/ 1 w 23"/>
              <a:gd name="T13" fmla="*/ 0 h 10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3"/>
              <a:gd name="T22" fmla="*/ 0 h 10"/>
              <a:gd name="T23" fmla="*/ 23 w 23"/>
              <a:gd name="T24" fmla="*/ 10 h 10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3" h="10">
                <a:moveTo>
                  <a:pt x="1" y="0"/>
                </a:moveTo>
                <a:lnTo>
                  <a:pt x="0" y="3"/>
                </a:lnTo>
                <a:lnTo>
                  <a:pt x="0" y="5"/>
                </a:lnTo>
                <a:lnTo>
                  <a:pt x="22" y="10"/>
                </a:lnTo>
                <a:lnTo>
                  <a:pt x="22" y="7"/>
                </a:lnTo>
                <a:lnTo>
                  <a:pt x="23" y="5"/>
                </a:lnTo>
                <a:lnTo>
                  <a:pt x="1" y="0"/>
                </a:lnTo>
                <a:close/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99" name="Rectangle 2036">
            <a:extLst>
              <a:ext uri="{FF2B5EF4-FFF2-40B4-BE49-F238E27FC236}">
                <a16:creationId xmlns:a16="http://schemas.microsoft.com/office/drawing/2014/main" id="{00000000-0008-0000-0700-0000AF36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7841" y="5010"/>
            <a:ext cx="1" cy="3"/>
          </a:xfrm>
          <a:prstGeom prst="rect">
            <a:avLst/>
          </a:prstGeom>
          <a:solidFill>
            <a:srgbClr val="00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000" name="Line 2037">
            <a:extLst>
              <a:ext uri="{FF2B5EF4-FFF2-40B4-BE49-F238E27FC236}">
                <a16:creationId xmlns:a16="http://schemas.microsoft.com/office/drawing/2014/main" id="{00000000-0008-0000-0700-0000B03600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7841" y="5013"/>
            <a:ext cx="1" cy="1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01" name="Freeform 2038">
            <a:extLst>
              <a:ext uri="{FF2B5EF4-FFF2-40B4-BE49-F238E27FC236}">
                <a16:creationId xmlns:a16="http://schemas.microsoft.com/office/drawing/2014/main" id="{00000000-0008-0000-0700-0000B1360000}"/>
              </a:ext>
            </a:extLst>
          </xdr:cNvPr>
          <xdr:cNvSpPr>
            <a:spLocks noChangeAspect="1"/>
          </xdr:cNvSpPr>
        </xdr:nvSpPr>
        <xdr:spPr bwMode="auto">
          <a:xfrm>
            <a:off x="7841" y="5008"/>
            <a:ext cx="24" cy="8"/>
          </a:xfrm>
          <a:custGeom>
            <a:avLst/>
            <a:gdLst>
              <a:gd name="T0" fmla="*/ 1 w 24"/>
              <a:gd name="T1" fmla="*/ 0 h 8"/>
              <a:gd name="T2" fmla="*/ 0 w 24"/>
              <a:gd name="T3" fmla="*/ 2 h 8"/>
              <a:gd name="T4" fmla="*/ 0 w 24"/>
              <a:gd name="T5" fmla="*/ 5 h 8"/>
              <a:gd name="T6" fmla="*/ 24 w 24"/>
              <a:gd name="T7" fmla="*/ 8 h 8"/>
              <a:gd name="T8" fmla="*/ 24 w 24"/>
              <a:gd name="T9" fmla="*/ 6 h 8"/>
              <a:gd name="T10" fmla="*/ 24 w 24"/>
              <a:gd name="T11" fmla="*/ 3 h 8"/>
              <a:gd name="T12" fmla="*/ 1 w 24"/>
              <a:gd name="T13" fmla="*/ 0 h 8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4"/>
              <a:gd name="T22" fmla="*/ 0 h 8"/>
              <a:gd name="T23" fmla="*/ 24 w 24"/>
              <a:gd name="T24" fmla="*/ 8 h 8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4" h="8">
                <a:moveTo>
                  <a:pt x="1" y="0"/>
                </a:moveTo>
                <a:lnTo>
                  <a:pt x="0" y="2"/>
                </a:lnTo>
                <a:lnTo>
                  <a:pt x="0" y="5"/>
                </a:lnTo>
                <a:lnTo>
                  <a:pt x="24" y="8"/>
                </a:lnTo>
                <a:lnTo>
                  <a:pt x="24" y="6"/>
                </a:lnTo>
                <a:lnTo>
                  <a:pt x="24" y="3"/>
                </a:lnTo>
                <a:lnTo>
                  <a:pt x="1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02" name="Freeform 2039">
            <a:extLst>
              <a:ext uri="{FF2B5EF4-FFF2-40B4-BE49-F238E27FC236}">
                <a16:creationId xmlns:a16="http://schemas.microsoft.com/office/drawing/2014/main" id="{00000000-0008-0000-0700-0000B2360000}"/>
              </a:ext>
            </a:extLst>
          </xdr:cNvPr>
          <xdr:cNvSpPr>
            <a:spLocks noChangeAspect="1"/>
          </xdr:cNvSpPr>
        </xdr:nvSpPr>
        <xdr:spPr bwMode="auto">
          <a:xfrm>
            <a:off x="7841" y="5008"/>
            <a:ext cx="24" cy="8"/>
          </a:xfrm>
          <a:custGeom>
            <a:avLst/>
            <a:gdLst>
              <a:gd name="T0" fmla="*/ 1 w 24"/>
              <a:gd name="T1" fmla="*/ 0 h 8"/>
              <a:gd name="T2" fmla="*/ 0 w 24"/>
              <a:gd name="T3" fmla="*/ 2 h 8"/>
              <a:gd name="T4" fmla="*/ 0 w 24"/>
              <a:gd name="T5" fmla="*/ 5 h 8"/>
              <a:gd name="T6" fmla="*/ 24 w 24"/>
              <a:gd name="T7" fmla="*/ 8 h 8"/>
              <a:gd name="T8" fmla="*/ 24 w 24"/>
              <a:gd name="T9" fmla="*/ 6 h 8"/>
              <a:gd name="T10" fmla="*/ 24 w 24"/>
              <a:gd name="T11" fmla="*/ 3 h 8"/>
              <a:gd name="T12" fmla="*/ 1 w 24"/>
              <a:gd name="T13" fmla="*/ 0 h 8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4"/>
              <a:gd name="T22" fmla="*/ 0 h 8"/>
              <a:gd name="T23" fmla="*/ 24 w 24"/>
              <a:gd name="T24" fmla="*/ 8 h 8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4" h="8">
                <a:moveTo>
                  <a:pt x="1" y="0"/>
                </a:moveTo>
                <a:lnTo>
                  <a:pt x="0" y="2"/>
                </a:lnTo>
                <a:lnTo>
                  <a:pt x="0" y="5"/>
                </a:lnTo>
                <a:lnTo>
                  <a:pt x="24" y="8"/>
                </a:lnTo>
                <a:lnTo>
                  <a:pt x="24" y="6"/>
                </a:lnTo>
                <a:lnTo>
                  <a:pt x="24" y="3"/>
                </a:lnTo>
                <a:lnTo>
                  <a:pt x="1" y="0"/>
                </a:lnTo>
                <a:close/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03" name="Rectangle 2040">
            <a:extLst>
              <a:ext uri="{FF2B5EF4-FFF2-40B4-BE49-F238E27FC236}">
                <a16:creationId xmlns:a16="http://schemas.microsoft.com/office/drawing/2014/main" id="{00000000-0008-0000-0700-0000B336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7865" y="5014"/>
            <a:ext cx="1" cy="2"/>
          </a:xfrm>
          <a:prstGeom prst="rect">
            <a:avLst/>
          </a:prstGeom>
          <a:solidFill>
            <a:srgbClr val="00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004" name="Line 2041">
            <a:extLst>
              <a:ext uri="{FF2B5EF4-FFF2-40B4-BE49-F238E27FC236}">
                <a16:creationId xmlns:a16="http://schemas.microsoft.com/office/drawing/2014/main" id="{00000000-0008-0000-0700-0000B43600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7865" y="5016"/>
            <a:ext cx="1" cy="1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05" name="Freeform 2042">
            <a:extLst>
              <a:ext uri="{FF2B5EF4-FFF2-40B4-BE49-F238E27FC236}">
                <a16:creationId xmlns:a16="http://schemas.microsoft.com/office/drawing/2014/main" id="{00000000-0008-0000-0700-0000B5360000}"/>
              </a:ext>
            </a:extLst>
          </xdr:cNvPr>
          <xdr:cNvSpPr>
            <a:spLocks noChangeAspect="1"/>
          </xdr:cNvSpPr>
        </xdr:nvSpPr>
        <xdr:spPr bwMode="auto">
          <a:xfrm>
            <a:off x="7865" y="5011"/>
            <a:ext cx="25" cy="6"/>
          </a:xfrm>
          <a:custGeom>
            <a:avLst/>
            <a:gdLst>
              <a:gd name="T0" fmla="*/ 0 w 25"/>
              <a:gd name="T1" fmla="*/ 0 h 6"/>
              <a:gd name="T2" fmla="*/ 0 w 25"/>
              <a:gd name="T3" fmla="*/ 3 h 6"/>
              <a:gd name="T4" fmla="*/ 0 w 25"/>
              <a:gd name="T5" fmla="*/ 5 h 6"/>
              <a:gd name="T6" fmla="*/ 25 w 25"/>
              <a:gd name="T7" fmla="*/ 6 h 6"/>
              <a:gd name="T8" fmla="*/ 25 w 25"/>
              <a:gd name="T9" fmla="*/ 4 h 6"/>
              <a:gd name="T10" fmla="*/ 25 w 25"/>
              <a:gd name="T11" fmla="*/ 1 h 6"/>
              <a:gd name="T12" fmla="*/ 0 w 25"/>
              <a:gd name="T13" fmla="*/ 0 h 6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5"/>
              <a:gd name="T22" fmla="*/ 0 h 6"/>
              <a:gd name="T23" fmla="*/ 25 w 25"/>
              <a:gd name="T24" fmla="*/ 6 h 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5" h="6">
                <a:moveTo>
                  <a:pt x="0" y="0"/>
                </a:moveTo>
                <a:lnTo>
                  <a:pt x="0" y="3"/>
                </a:lnTo>
                <a:lnTo>
                  <a:pt x="0" y="5"/>
                </a:lnTo>
                <a:lnTo>
                  <a:pt x="25" y="6"/>
                </a:lnTo>
                <a:lnTo>
                  <a:pt x="25" y="4"/>
                </a:lnTo>
                <a:lnTo>
                  <a:pt x="25" y="1"/>
                </a:lnTo>
                <a:lnTo>
                  <a:pt x="0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06" name="Freeform 2043">
            <a:extLst>
              <a:ext uri="{FF2B5EF4-FFF2-40B4-BE49-F238E27FC236}">
                <a16:creationId xmlns:a16="http://schemas.microsoft.com/office/drawing/2014/main" id="{00000000-0008-0000-0700-0000B6360000}"/>
              </a:ext>
            </a:extLst>
          </xdr:cNvPr>
          <xdr:cNvSpPr>
            <a:spLocks noChangeAspect="1"/>
          </xdr:cNvSpPr>
        </xdr:nvSpPr>
        <xdr:spPr bwMode="auto">
          <a:xfrm>
            <a:off x="7865" y="5011"/>
            <a:ext cx="25" cy="6"/>
          </a:xfrm>
          <a:custGeom>
            <a:avLst/>
            <a:gdLst>
              <a:gd name="T0" fmla="*/ 0 w 25"/>
              <a:gd name="T1" fmla="*/ 0 h 6"/>
              <a:gd name="T2" fmla="*/ 0 w 25"/>
              <a:gd name="T3" fmla="*/ 3 h 6"/>
              <a:gd name="T4" fmla="*/ 0 w 25"/>
              <a:gd name="T5" fmla="*/ 5 h 6"/>
              <a:gd name="T6" fmla="*/ 25 w 25"/>
              <a:gd name="T7" fmla="*/ 6 h 6"/>
              <a:gd name="T8" fmla="*/ 25 w 25"/>
              <a:gd name="T9" fmla="*/ 4 h 6"/>
              <a:gd name="T10" fmla="*/ 25 w 25"/>
              <a:gd name="T11" fmla="*/ 1 h 6"/>
              <a:gd name="T12" fmla="*/ 0 w 25"/>
              <a:gd name="T13" fmla="*/ 0 h 6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5"/>
              <a:gd name="T22" fmla="*/ 0 h 6"/>
              <a:gd name="T23" fmla="*/ 25 w 25"/>
              <a:gd name="T24" fmla="*/ 6 h 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5" h="6">
                <a:moveTo>
                  <a:pt x="0" y="0"/>
                </a:moveTo>
                <a:lnTo>
                  <a:pt x="0" y="3"/>
                </a:lnTo>
                <a:lnTo>
                  <a:pt x="0" y="5"/>
                </a:lnTo>
                <a:lnTo>
                  <a:pt x="25" y="6"/>
                </a:lnTo>
                <a:lnTo>
                  <a:pt x="25" y="4"/>
                </a:lnTo>
                <a:lnTo>
                  <a:pt x="25" y="1"/>
                </a:lnTo>
                <a:lnTo>
                  <a:pt x="0" y="0"/>
                </a:lnTo>
                <a:close/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07" name="Rectangle 2044">
            <a:extLst>
              <a:ext uri="{FF2B5EF4-FFF2-40B4-BE49-F238E27FC236}">
                <a16:creationId xmlns:a16="http://schemas.microsoft.com/office/drawing/2014/main" id="{00000000-0008-0000-0700-0000B736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7890" y="5015"/>
            <a:ext cx="1" cy="2"/>
          </a:xfrm>
          <a:prstGeom prst="rect">
            <a:avLst/>
          </a:prstGeom>
          <a:solidFill>
            <a:srgbClr val="00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008" name="Line 2045">
            <a:extLst>
              <a:ext uri="{FF2B5EF4-FFF2-40B4-BE49-F238E27FC236}">
                <a16:creationId xmlns:a16="http://schemas.microsoft.com/office/drawing/2014/main" id="{00000000-0008-0000-0700-0000B83600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7890" y="5017"/>
            <a:ext cx="1" cy="1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09" name="Freeform 2046">
            <a:extLst>
              <a:ext uri="{FF2B5EF4-FFF2-40B4-BE49-F238E27FC236}">
                <a16:creationId xmlns:a16="http://schemas.microsoft.com/office/drawing/2014/main" id="{00000000-0008-0000-0700-0000B9360000}"/>
              </a:ext>
            </a:extLst>
          </xdr:cNvPr>
          <xdr:cNvSpPr>
            <a:spLocks noChangeAspect="1"/>
          </xdr:cNvSpPr>
        </xdr:nvSpPr>
        <xdr:spPr bwMode="auto">
          <a:xfrm>
            <a:off x="7890" y="5011"/>
            <a:ext cx="25" cy="6"/>
          </a:xfrm>
          <a:custGeom>
            <a:avLst/>
            <a:gdLst>
              <a:gd name="T0" fmla="*/ 0 w 25"/>
              <a:gd name="T1" fmla="*/ 1 h 6"/>
              <a:gd name="T2" fmla="*/ 0 w 25"/>
              <a:gd name="T3" fmla="*/ 4 h 6"/>
              <a:gd name="T4" fmla="*/ 0 w 25"/>
              <a:gd name="T5" fmla="*/ 6 h 6"/>
              <a:gd name="T6" fmla="*/ 25 w 25"/>
              <a:gd name="T7" fmla="*/ 6 h 6"/>
              <a:gd name="T8" fmla="*/ 25 w 25"/>
              <a:gd name="T9" fmla="*/ 3 h 6"/>
              <a:gd name="T10" fmla="*/ 24 w 25"/>
              <a:gd name="T11" fmla="*/ 0 h 6"/>
              <a:gd name="T12" fmla="*/ 0 w 25"/>
              <a:gd name="T13" fmla="*/ 1 h 6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5"/>
              <a:gd name="T22" fmla="*/ 0 h 6"/>
              <a:gd name="T23" fmla="*/ 25 w 25"/>
              <a:gd name="T24" fmla="*/ 6 h 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5" h="6">
                <a:moveTo>
                  <a:pt x="0" y="1"/>
                </a:moveTo>
                <a:lnTo>
                  <a:pt x="0" y="4"/>
                </a:lnTo>
                <a:lnTo>
                  <a:pt x="0" y="6"/>
                </a:lnTo>
                <a:lnTo>
                  <a:pt x="25" y="6"/>
                </a:lnTo>
                <a:lnTo>
                  <a:pt x="25" y="3"/>
                </a:lnTo>
                <a:lnTo>
                  <a:pt x="24" y="0"/>
                </a:lnTo>
                <a:lnTo>
                  <a:pt x="0" y="1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10" name="Freeform 2047">
            <a:extLst>
              <a:ext uri="{FF2B5EF4-FFF2-40B4-BE49-F238E27FC236}">
                <a16:creationId xmlns:a16="http://schemas.microsoft.com/office/drawing/2014/main" id="{00000000-0008-0000-0700-0000BA360000}"/>
              </a:ext>
            </a:extLst>
          </xdr:cNvPr>
          <xdr:cNvSpPr>
            <a:spLocks noChangeAspect="1"/>
          </xdr:cNvSpPr>
        </xdr:nvSpPr>
        <xdr:spPr bwMode="auto">
          <a:xfrm>
            <a:off x="7890" y="5011"/>
            <a:ext cx="25" cy="6"/>
          </a:xfrm>
          <a:custGeom>
            <a:avLst/>
            <a:gdLst>
              <a:gd name="T0" fmla="*/ 0 w 25"/>
              <a:gd name="T1" fmla="*/ 1 h 6"/>
              <a:gd name="T2" fmla="*/ 0 w 25"/>
              <a:gd name="T3" fmla="*/ 4 h 6"/>
              <a:gd name="T4" fmla="*/ 0 w 25"/>
              <a:gd name="T5" fmla="*/ 6 h 6"/>
              <a:gd name="T6" fmla="*/ 25 w 25"/>
              <a:gd name="T7" fmla="*/ 6 h 6"/>
              <a:gd name="T8" fmla="*/ 25 w 25"/>
              <a:gd name="T9" fmla="*/ 3 h 6"/>
              <a:gd name="T10" fmla="*/ 24 w 25"/>
              <a:gd name="T11" fmla="*/ 0 h 6"/>
              <a:gd name="T12" fmla="*/ 0 w 25"/>
              <a:gd name="T13" fmla="*/ 1 h 6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5"/>
              <a:gd name="T22" fmla="*/ 0 h 6"/>
              <a:gd name="T23" fmla="*/ 25 w 25"/>
              <a:gd name="T24" fmla="*/ 6 h 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5" h="6">
                <a:moveTo>
                  <a:pt x="0" y="1"/>
                </a:moveTo>
                <a:lnTo>
                  <a:pt x="0" y="4"/>
                </a:lnTo>
                <a:lnTo>
                  <a:pt x="0" y="6"/>
                </a:lnTo>
                <a:lnTo>
                  <a:pt x="25" y="6"/>
                </a:lnTo>
                <a:lnTo>
                  <a:pt x="25" y="3"/>
                </a:lnTo>
                <a:lnTo>
                  <a:pt x="24" y="0"/>
                </a:lnTo>
                <a:lnTo>
                  <a:pt x="0" y="1"/>
                </a:lnTo>
                <a:close/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11" name="Rectangle 2048">
            <a:extLst>
              <a:ext uri="{FF2B5EF4-FFF2-40B4-BE49-F238E27FC236}">
                <a16:creationId xmlns:a16="http://schemas.microsoft.com/office/drawing/2014/main" id="{00000000-0008-0000-0700-0000BB36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7915" y="5014"/>
            <a:ext cx="1" cy="3"/>
          </a:xfrm>
          <a:prstGeom prst="rect">
            <a:avLst/>
          </a:prstGeom>
          <a:solidFill>
            <a:srgbClr val="00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012" name="Line 2049">
            <a:extLst>
              <a:ext uri="{FF2B5EF4-FFF2-40B4-BE49-F238E27FC236}">
                <a16:creationId xmlns:a16="http://schemas.microsoft.com/office/drawing/2014/main" id="{00000000-0008-0000-0700-0000BC3600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7915" y="5017"/>
            <a:ext cx="1" cy="1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13" name="Freeform 2050">
            <a:extLst>
              <a:ext uri="{FF2B5EF4-FFF2-40B4-BE49-F238E27FC236}">
                <a16:creationId xmlns:a16="http://schemas.microsoft.com/office/drawing/2014/main" id="{00000000-0008-0000-0700-0000BD360000}"/>
              </a:ext>
            </a:extLst>
          </xdr:cNvPr>
          <xdr:cNvSpPr>
            <a:spLocks noChangeAspect="1"/>
          </xdr:cNvSpPr>
        </xdr:nvSpPr>
        <xdr:spPr bwMode="auto">
          <a:xfrm>
            <a:off x="7914" y="5009"/>
            <a:ext cx="25" cy="8"/>
          </a:xfrm>
          <a:custGeom>
            <a:avLst/>
            <a:gdLst>
              <a:gd name="T0" fmla="*/ 0 w 25"/>
              <a:gd name="T1" fmla="*/ 2 h 8"/>
              <a:gd name="T2" fmla="*/ 1 w 25"/>
              <a:gd name="T3" fmla="*/ 5 h 8"/>
              <a:gd name="T4" fmla="*/ 1 w 25"/>
              <a:gd name="T5" fmla="*/ 8 h 8"/>
              <a:gd name="T6" fmla="*/ 25 w 25"/>
              <a:gd name="T7" fmla="*/ 5 h 8"/>
              <a:gd name="T8" fmla="*/ 25 w 25"/>
              <a:gd name="T9" fmla="*/ 2 h 8"/>
              <a:gd name="T10" fmla="*/ 24 w 25"/>
              <a:gd name="T11" fmla="*/ 0 h 8"/>
              <a:gd name="T12" fmla="*/ 0 w 25"/>
              <a:gd name="T13" fmla="*/ 2 h 8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5"/>
              <a:gd name="T22" fmla="*/ 0 h 8"/>
              <a:gd name="T23" fmla="*/ 25 w 25"/>
              <a:gd name="T24" fmla="*/ 8 h 8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5" h="8">
                <a:moveTo>
                  <a:pt x="0" y="2"/>
                </a:moveTo>
                <a:lnTo>
                  <a:pt x="1" y="5"/>
                </a:lnTo>
                <a:lnTo>
                  <a:pt x="1" y="8"/>
                </a:lnTo>
                <a:lnTo>
                  <a:pt x="25" y="5"/>
                </a:lnTo>
                <a:lnTo>
                  <a:pt x="25" y="2"/>
                </a:lnTo>
                <a:lnTo>
                  <a:pt x="24" y="0"/>
                </a:lnTo>
                <a:lnTo>
                  <a:pt x="0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14" name="Freeform 2051">
            <a:extLst>
              <a:ext uri="{FF2B5EF4-FFF2-40B4-BE49-F238E27FC236}">
                <a16:creationId xmlns:a16="http://schemas.microsoft.com/office/drawing/2014/main" id="{00000000-0008-0000-0700-0000BE360000}"/>
              </a:ext>
            </a:extLst>
          </xdr:cNvPr>
          <xdr:cNvSpPr>
            <a:spLocks noChangeAspect="1"/>
          </xdr:cNvSpPr>
        </xdr:nvSpPr>
        <xdr:spPr bwMode="auto">
          <a:xfrm>
            <a:off x="7914" y="5009"/>
            <a:ext cx="25" cy="8"/>
          </a:xfrm>
          <a:custGeom>
            <a:avLst/>
            <a:gdLst>
              <a:gd name="T0" fmla="*/ 0 w 25"/>
              <a:gd name="T1" fmla="*/ 2 h 8"/>
              <a:gd name="T2" fmla="*/ 1 w 25"/>
              <a:gd name="T3" fmla="*/ 5 h 8"/>
              <a:gd name="T4" fmla="*/ 1 w 25"/>
              <a:gd name="T5" fmla="*/ 8 h 8"/>
              <a:gd name="T6" fmla="*/ 25 w 25"/>
              <a:gd name="T7" fmla="*/ 5 h 8"/>
              <a:gd name="T8" fmla="*/ 25 w 25"/>
              <a:gd name="T9" fmla="*/ 2 h 8"/>
              <a:gd name="T10" fmla="*/ 24 w 25"/>
              <a:gd name="T11" fmla="*/ 0 h 8"/>
              <a:gd name="T12" fmla="*/ 0 w 25"/>
              <a:gd name="T13" fmla="*/ 2 h 8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5"/>
              <a:gd name="T22" fmla="*/ 0 h 8"/>
              <a:gd name="T23" fmla="*/ 25 w 25"/>
              <a:gd name="T24" fmla="*/ 8 h 8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5" h="8">
                <a:moveTo>
                  <a:pt x="0" y="2"/>
                </a:moveTo>
                <a:lnTo>
                  <a:pt x="1" y="5"/>
                </a:lnTo>
                <a:lnTo>
                  <a:pt x="1" y="8"/>
                </a:lnTo>
                <a:lnTo>
                  <a:pt x="25" y="5"/>
                </a:lnTo>
                <a:lnTo>
                  <a:pt x="25" y="2"/>
                </a:lnTo>
                <a:lnTo>
                  <a:pt x="24" y="0"/>
                </a:lnTo>
                <a:lnTo>
                  <a:pt x="0" y="2"/>
                </a:lnTo>
                <a:close/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15" name="Rectangle 2052">
            <a:extLst>
              <a:ext uri="{FF2B5EF4-FFF2-40B4-BE49-F238E27FC236}">
                <a16:creationId xmlns:a16="http://schemas.microsoft.com/office/drawing/2014/main" id="{00000000-0008-0000-0700-0000BF36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7939" y="5011"/>
            <a:ext cx="1" cy="3"/>
          </a:xfrm>
          <a:prstGeom prst="rect">
            <a:avLst/>
          </a:prstGeom>
          <a:solidFill>
            <a:srgbClr val="00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016" name="Line 2053">
            <a:extLst>
              <a:ext uri="{FF2B5EF4-FFF2-40B4-BE49-F238E27FC236}">
                <a16:creationId xmlns:a16="http://schemas.microsoft.com/office/drawing/2014/main" id="{00000000-0008-0000-0700-0000C03600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7939" y="5014"/>
            <a:ext cx="1" cy="1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17" name="Freeform 2054">
            <a:extLst>
              <a:ext uri="{FF2B5EF4-FFF2-40B4-BE49-F238E27FC236}">
                <a16:creationId xmlns:a16="http://schemas.microsoft.com/office/drawing/2014/main" id="{00000000-0008-0000-0700-0000C1360000}"/>
              </a:ext>
            </a:extLst>
          </xdr:cNvPr>
          <xdr:cNvSpPr>
            <a:spLocks noChangeAspect="1"/>
          </xdr:cNvSpPr>
        </xdr:nvSpPr>
        <xdr:spPr bwMode="auto">
          <a:xfrm>
            <a:off x="7938" y="5004"/>
            <a:ext cx="24" cy="10"/>
          </a:xfrm>
          <a:custGeom>
            <a:avLst/>
            <a:gdLst>
              <a:gd name="T0" fmla="*/ 0 w 24"/>
              <a:gd name="T1" fmla="*/ 5 h 10"/>
              <a:gd name="T2" fmla="*/ 1 w 24"/>
              <a:gd name="T3" fmla="*/ 7 h 10"/>
              <a:gd name="T4" fmla="*/ 1 w 24"/>
              <a:gd name="T5" fmla="*/ 10 h 10"/>
              <a:gd name="T6" fmla="*/ 24 w 24"/>
              <a:gd name="T7" fmla="*/ 5 h 10"/>
              <a:gd name="T8" fmla="*/ 23 w 24"/>
              <a:gd name="T9" fmla="*/ 3 h 10"/>
              <a:gd name="T10" fmla="*/ 22 w 24"/>
              <a:gd name="T11" fmla="*/ 0 h 10"/>
              <a:gd name="T12" fmla="*/ 0 w 24"/>
              <a:gd name="T13" fmla="*/ 5 h 10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4"/>
              <a:gd name="T22" fmla="*/ 0 h 10"/>
              <a:gd name="T23" fmla="*/ 24 w 24"/>
              <a:gd name="T24" fmla="*/ 10 h 10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4" h="10">
                <a:moveTo>
                  <a:pt x="0" y="5"/>
                </a:moveTo>
                <a:lnTo>
                  <a:pt x="1" y="7"/>
                </a:lnTo>
                <a:lnTo>
                  <a:pt x="1" y="10"/>
                </a:lnTo>
                <a:lnTo>
                  <a:pt x="24" y="5"/>
                </a:lnTo>
                <a:lnTo>
                  <a:pt x="23" y="3"/>
                </a:lnTo>
                <a:lnTo>
                  <a:pt x="22" y="0"/>
                </a:lnTo>
                <a:lnTo>
                  <a:pt x="0" y="5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18" name="Freeform 2055">
            <a:extLst>
              <a:ext uri="{FF2B5EF4-FFF2-40B4-BE49-F238E27FC236}">
                <a16:creationId xmlns:a16="http://schemas.microsoft.com/office/drawing/2014/main" id="{00000000-0008-0000-0700-0000C2360000}"/>
              </a:ext>
            </a:extLst>
          </xdr:cNvPr>
          <xdr:cNvSpPr>
            <a:spLocks noChangeAspect="1"/>
          </xdr:cNvSpPr>
        </xdr:nvSpPr>
        <xdr:spPr bwMode="auto">
          <a:xfrm>
            <a:off x="7938" y="5004"/>
            <a:ext cx="24" cy="10"/>
          </a:xfrm>
          <a:custGeom>
            <a:avLst/>
            <a:gdLst>
              <a:gd name="T0" fmla="*/ 0 w 24"/>
              <a:gd name="T1" fmla="*/ 5 h 10"/>
              <a:gd name="T2" fmla="*/ 1 w 24"/>
              <a:gd name="T3" fmla="*/ 7 h 10"/>
              <a:gd name="T4" fmla="*/ 1 w 24"/>
              <a:gd name="T5" fmla="*/ 10 h 10"/>
              <a:gd name="T6" fmla="*/ 24 w 24"/>
              <a:gd name="T7" fmla="*/ 5 h 10"/>
              <a:gd name="T8" fmla="*/ 23 w 24"/>
              <a:gd name="T9" fmla="*/ 3 h 10"/>
              <a:gd name="T10" fmla="*/ 22 w 24"/>
              <a:gd name="T11" fmla="*/ 0 h 10"/>
              <a:gd name="T12" fmla="*/ 0 w 24"/>
              <a:gd name="T13" fmla="*/ 5 h 10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4"/>
              <a:gd name="T22" fmla="*/ 0 h 10"/>
              <a:gd name="T23" fmla="*/ 24 w 24"/>
              <a:gd name="T24" fmla="*/ 10 h 10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4" h="10">
                <a:moveTo>
                  <a:pt x="0" y="5"/>
                </a:moveTo>
                <a:lnTo>
                  <a:pt x="1" y="7"/>
                </a:lnTo>
                <a:lnTo>
                  <a:pt x="1" y="10"/>
                </a:lnTo>
                <a:lnTo>
                  <a:pt x="24" y="5"/>
                </a:lnTo>
                <a:lnTo>
                  <a:pt x="23" y="3"/>
                </a:lnTo>
                <a:lnTo>
                  <a:pt x="22" y="0"/>
                </a:lnTo>
                <a:lnTo>
                  <a:pt x="0" y="5"/>
                </a:lnTo>
                <a:close/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19" name="Freeform 2056">
            <a:extLst>
              <a:ext uri="{FF2B5EF4-FFF2-40B4-BE49-F238E27FC236}">
                <a16:creationId xmlns:a16="http://schemas.microsoft.com/office/drawing/2014/main" id="{00000000-0008-0000-0700-0000C3360000}"/>
              </a:ext>
            </a:extLst>
          </xdr:cNvPr>
          <xdr:cNvSpPr>
            <a:spLocks noChangeAspect="1"/>
          </xdr:cNvSpPr>
        </xdr:nvSpPr>
        <xdr:spPr bwMode="auto">
          <a:xfrm>
            <a:off x="7961" y="5007"/>
            <a:ext cx="1" cy="2"/>
          </a:xfrm>
          <a:custGeom>
            <a:avLst/>
            <a:gdLst>
              <a:gd name="T0" fmla="*/ 0 w 1"/>
              <a:gd name="T1" fmla="*/ 0 h 2"/>
              <a:gd name="T2" fmla="*/ 1 w 1"/>
              <a:gd name="T3" fmla="*/ 2 h 2"/>
              <a:gd name="T4" fmla="*/ 1 w 1"/>
              <a:gd name="T5" fmla="*/ 2 h 2"/>
              <a:gd name="T6" fmla="*/ 0 w 1"/>
              <a:gd name="T7" fmla="*/ 0 h 2"/>
              <a:gd name="T8" fmla="*/ 0 60000 65536"/>
              <a:gd name="T9" fmla="*/ 0 60000 65536"/>
              <a:gd name="T10" fmla="*/ 0 60000 65536"/>
              <a:gd name="T11" fmla="*/ 0 60000 65536"/>
              <a:gd name="T12" fmla="*/ 0 w 1"/>
              <a:gd name="T13" fmla="*/ 0 h 2"/>
              <a:gd name="T14" fmla="*/ 1 w 1"/>
              <a:gd name="T15" fmla="*/ 2 h 2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" h="2">
                <a:moveTo>
                  <a:pt x="0" y="0"/>
                </a:move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20" name="Line 2057">
            <a:extLst>
              <a:ext uri="{FF2B5EF4-FFF2-40B4-BE49-F238E27FC236}">
                <a16:creationId xmlns:a16="http://schemas.microsoft.com/office/drawing/2014/main" id="{00000000-0008-0000-0700-0000C43600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7962" y="5009"/>
            <a:ext cx="1" cy="1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21" name="Freeform 2058">
            <a:extLst>
              <a:ext uri="{FF2B5EF4-FFF2-40B4-BE49-F238E27FC236}">
                <a16:creationId xmlns:a16="http://schemas.microsoft.com/office/drawing/2014/main" id="{00000000-0008-0000-0700-0000C5360000}"/>
              </a:ext>
            </a:extLst>
          </xdr:cNvPr>
          <xdr:cNvSpPr>
            <a:spLocks noChangeAspect="1"/>
          </xdr:cNvSpPr>
        </xdr:nvSpPr>
        <xdr:spPr bwMode="auto">
          <a:xfrm>
            <a:off x="7960" y="4998"/>
            <a:ext cx="22" cy="11"/>
          </a:xfrm>
          <a:custGeom>
            <a:avLst/>
            <a:gdLst>
              <a:gd name="T0" fmla="*/ 0 w 22"/>
              <a:gd name="T1" fmla="*/ 6 h 11"/>
              <a:gd name="T2" fmla="*/ 1 w 22"/>
              <a:gd name="T3" fmla="*/ 9 h 11"/>
              <a:gd name="T4" fmla="*/ 2 w 22"/>
              <a:gd name="T5" fmla="*/ 11 h 11"/>
              <a:gd name="T6" fmla="*/ 22 w 22"/>
              <a:gd name="T7" fmla="*/ 5 h 11"/>
              <a:gd name="T8" fmla="*/ 21 w 22"/>
              <a:gd name="T9" fmla="*/ 2 h 11"/>
              <a:gd name="T10" fmla="*/ 20 w 22"/>
              <a:gd name="T11" fmla="*/ 0 h 11"/>
              <a:gd name="T12" fmla="*/ 0 w 22"/>
              <a:gd name="T13" fmla="*/ 6 h 1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2"/>
              <a:gd name="T22" fmla="*/ 0 h 11"/>
              <a:gd name="T23" fmla="*/ 22 w 22"/>
              <a:gd name="T24" fmla="*/ 11 h 1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2" h="11">
                <a:moveTo>
                  <a:pt x="0" y="6"/>
                </a:moveTo>
                <a:lnTo>
                  <a:pt x="1" y="9"/>
                </a:lnTo>
                <a:lnTo>
                  <a:pt x="2" y="11"/>
                </a:lnTo>
                <a:lnTo>
                  <a:pt x="22" y="5"/>
                </a:lnTo>
                <a:lnTo>
                  <a:pt x="21" y="2"/>
                </a:lnTo>
                <a:lnTo>
                  <a:pt x="20" y="0"/>
                </a:lnTo>
                <a:lnTo>
                  <a:pt x="0" y="6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22" name="Freeform 2059">
            <a:extLst>
              <a:ext uri="{FF2B5EF4-FFF2-40B4-BE49-F238E27FC236}">
                <a16:creationId xmlns:a16="http://schemas.microsoft.com/office/drawing/2014/main" id="{00000000-0008-0000-0700-0000C6360000}"/>
              </a:ext>
            </a:extLst>
          </xdr:cNvPr>
          <xdr:cNvSpPr>
            <a:spLocks noChangeAspect="1"/>
          </xdr:cNvSpPr>
        </xdr:nvSpPr>
        <xdr:spPr bwMode="auto">
          <a:xfrm>
            <a:off x="7960" y="4998"/>
            <a:ext cx="22" cy="11"/>
          </a:xfrm>
          <a:custGeom>
            <a:avLst/>
            <a:gdLst>
              <a:gd name="T0" fmla="*/ 0 w 22"/>
              <a:gd name="T1" fmla="*/ 6 h 11"/>
              <a:gd name="T2" fmla="*/ 1 w 22"/>
              <a:gd name="T3" fmla="*/ 9 h 11"/>
              <a:gd name="T4" fmla="*/ 2 w 22"/>
              <a:gd name="T5" fmla="*/ 11 h 11"/>
              <a:gd name="T6" fmla="*/ 22 w 22"/>
              <a:gd name="T7" fmla="*/ 5 h 11"/>
              <a:gd name="T8" fmla="*/ 21 w 22"/>
              <a:gd name="T9" fmla="*/ 2 h 11"/>
              <a:gd name="T10" fmla="*/ 20 w 22"/>
              <a:gd name="T11" fmla="*/ 0 h 11"/>
              <a:gd name="T12" fmla="*/ 0 w 22"/>
              <a:gd name="T13" fmla="*/ 6 h 1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2"/>
              <a:gd name="T22" fmla="*/ 0 h 11"/>
              <a:gd name="T23" fmla="*/ 22 w 22"/>
              <a:gd name="T24" fmla="*/ 11 h 1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2" h="11">
                <a:moveTo>
                  <a:pt x="0" y="6"/>
                </a:moveTo>
                <a:lnTo>
                  <a:pt x="1" y="9"/>
                </a:lnTo>
                <a:lnTo>
                  <a:pt x="2" y="11"/>
                </a:lnTo>
                <a:lnTo>
                  <a:pt x="22" y="5"/>
                </a:lnTo>
                <a:lnTo>
                  <a:pt x="21" y="2"/>
                </a:lnTo>
                <a:lnTo>
                  <a:pt x="20" y="0"/>
                </a:lnTo>
                <a:lnTo>
                  <a:pt x="0" y="6"/>
                </a:lnTo>
                <a:close/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23" name="Freeform 2060">
            <a:extLst>
              <a:ext uri="{FF2B5EF4-FFF2-40B4-BE49-F238E27FC236}">
                <a16:creationId xmlns:a16="http://schemas.microsoft.com/office/drawing/2014/main" id="{00000000-0008-0000-0700-0000C7360000}"/>
              </a:ext>
            </a:extLst>
          </xdr:cNvPr>
          <xdr:cNvSpPr>
            <a:spLocks noChangeAspect="1"/>
          </xdr:cNvSpPr>
        </xdr:nvSpPr>
        <xdr:spPr bwMode="auto">
          <a:xfrm>
            <a:off x="7981" y="5000"/>
            <a:ext cx="1" cy="3"/>
          </a:xfrm>
          <a:custGeom>
            <a:avLst/>
            <a:gdLst>
              <a:gd name="T0" fmla="*/ 0 w 1"/>
              <a:gd name="T1" fmla="*/ 0 h 3"/>
              <a:gd name="T2" fmla="*/ 1 w 1"/>
              <a:gd name="T3" fmla="*/ 3 h 3"/>
              <a:gd name="T4" fmla="*/ 1 w 1"/>
              <a:gd name="T5" fmla="*/ 3 h 3"/>
              <a:gd name="T6" fmla="*/ 0 w 1"/>
              <a:gd name="T7" fmla="*/ 0 h 3"/>
              <a:gd name="T8" fmla="*/ 0 60000 65536"/>
              <a:gd name="T9" fmla="*/ 0 60000 65536"/>
              <a:gd name="T10" fmla="*/ 0 60000 65536"/>
              <a:gd name="T11" fmla="*/ 0 60000 65536"/>
              <a:gd name="T12" fmla="*/ 0 w 1"/>
              <a:gd name="T13" fmla="*/ 0 h 3"/>
              <a:gd name="T14" fmla="*/ 1 w 1"/>
              <a:gd name="T15" fmla="*/ 3 h 3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" h="3">
                <a:moveTo>
                  <a:pt x="0" y="0"/>
                </a:moveTo>
                <a:lnTo>
                  <a:pt x="1" y="3"/>
                </a:lnTo>
                <a:lnTo>
                  <a:pt x="0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24" name="Line 2061">
            <a:extLst>
              <a:ext uri="{FF2B5EF4-FFF2-40B4-BE49-F238E27FC236}">
                <a16:creationId xmlns:a16="http://schemas.microsoft.com/office/drawing/2014/main" id="{00000000-0008-0000-0700-0000C83600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7982" y="5003"/>
            <a:ext cx="1" cy="1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25" name="Freeform 2062">
            <a:extLst>
              <a:ext uri="{FF2B5EF4-FFF2-40B4-BE49-F238E27FC236}">
                <a16:creationId xmlns:a16="http://schemas.microsoft.com/office/drawing/2014/main" id="{00000000-0008-0000-0700-0000C9360000}"/>
              </a:ext>
            </a:extLst>
          </xdr:cNvPr>
          <xdr:cNvSpPr>
            <a:spLocks noChangeAspect="1"/>
          </xdr:cNvSpPr>
        </xdr:nvSpPr>
        <xdr:spPr bwMode="auto">
          <a:xfrm>
            <a:off x="7980" y="4990"/>
            <a:ext cx="19" cy="13"/>
          </a:xfrm>
          <a:custGeom>
            <a:avLst/>
            <a:gdLst>
              <a:gd name="T0" fmla="*/ 0 w 19"/>
              <a:gd name="T1" fmla="*/ 8 h 13"/>
              <a:gd name="T2" fmla="*/ 1 w 19"/>
              <a:gd name="T3" fmla="*/ 10 h 13"/>
              <a:gd name="T4" fmla="*/ 2 w 19"/>
              <a:gd name="T5" fmla="*/ 13 h 13"/>
              <a:gd name="T6" fmla="*/ 19 w 19"/>
              <a:gd name="T7" fmla="*/ 5 h 13"/>
              <a:gd name="T8" fmla="*/ 18 w 19"/>
              <a:gd name="T9" fmla="*/ 3 h 13"/>
              <a:gd name="T10" fmla="*/ 17 w 19"/>
              <a:gd name="T11" fmla="*/ 0 h 13"/>
              <a:gd name="T12" fmla="*/ 0 w 19"/>
              <a:gd name="T13" fmla="*/ 8 h 13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9"/>
              <a:gd name="T22" fmla="*/ 0 h 13"/>
              <a:gd name="T23" fmla="*/ 19 w 19"/>
              <a:gd name="T24" fmla="*/ 13 h 13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9" h="13">
                <a:moveTo>
                  <a:pt x="0" y="8"/>
                </a:moveTo>
                <a:lnTo>
                  <a:pt x="1" y="10"/>
                </a:lnTo>
                <a:lnTo>
                  <a:pt x="2" y="13"/>
                </a:lnTo>
                <a:lnTo>
                  <a:pt x="19" y="5"/>
                </a:lnTo>
                <a:lnTo>
                  <a:pt x="18" y="3"/>
                </a:lnTo>
                <a:lnTo>
                  <a:pt x="17" y="0"/>
                </a:lnTo>
                <a:lnTo>
                  <a:pt x="0" y="8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26" name="Freeform 2063">
            <a:extLst>
              <a:ext uri="{FF2B5EF4-FFF2-40B4-BE49-F238E27FC236}">
                <a16:creationId xmlns:a16="http://schemas.microsoft.com/office/drawing/2014/main" id="{00000000-0008-0000-0700-0000CA360000}"/>
              </a:ext>
            </a:extLst>
          </xdr:cNvPr>
          <xdr:cNvSpPr>
            <a:spLocks noChangeAspect="1"/>
          </xdr:cNvSpPr>
        </xdr:nvSpPr>
        <xdr:spPr bwMode="auto">
          <a:xfrm>
            <a:off x="7980" y="4990"/>
            <a:ext cx="19" cy="13"/>
          </a:xfrm>
          <a:custGeom>
            <a:avLst/>
            <a:gdLst>
              <a:gd name="T0" fmla="*/ 0 w 19"/>
              <a:gd name="T1" fmla="*/ 8 h 13"/>
              <a:gd name="T2" fmla="*/ 1 w 19"/>
              <a:gd name="T3" fmla="*/ 10 h 13"/>
              <a:gd name="T4" fmla="*/ 2 w 19"/>
              <a:gd name="T5" fmla="*/ 13 h 13"/>
              <a:gd name="T6" fmla="*/ 19 w 19"/>
              <a:gd name="T7" fmla="*/ 5 h 13"/>
              <a:gd name="T8" fmla="*/ 18 w 19"/>
              <a:gd name="T9" fmla="*/ 3 h 13"/>
              <a:gd name="T10" fmla="*/ 17 w 19"/>
              <a:gd name="T11" fmla="*/ 0 h 13"/>
              <a:gd name="T12" fmla="*/ 0 w 19"/>
              <a:gd name="T13" fmla="*/ 8 h 13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9"/>
              <a:gd name="T22" fmla="*/ 0 h 13"/>
              <a:gd name="T23" fmla="*/ 19 w 19"/>
              <a:gd name="T24" fmla="*/ 13 h 13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9" h="13">
                <a:moveTo>
                  <a:pt x="0" y="8"/>
                </a:moveTo>
                <a:lnTo>
                  <a:pt x="1" y="10"/>
                </a:lnTo>
                <a:lnTo>
                  <a:pt x="2" y="13"/>
                </a:lnTo>
                <a:lnTo>
                  <a:pt x="19" y="5"/>
                </a:lnTo>
                <a:lnTo>
                  <a:pt x="18" y="3"/>
                </a:lnTo>
                <a:lnTo>
                  <a:pt x="17" y="0"/>
                </a:lnTo>
                <a:lnTo>
                  <a:pt x="0" y="8"/>
                </a:lnTo>
                <a:close/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27" name="Freeform 2064">
            <a:extLst>
              <a:ext uri="{FF2B5EF4-FFF2-40B4-BE49-F238E27FC236}">
                <a16:creationId xmlns:a16="http://schemas.microsoft.com/office/drawing/2014/main" id="{00000000-0008-0000-0700-0000CB360000}"/>
              </a:ext>
            </a:extLst>
          </xdr:cNvPr>
          <xdr:cNvSpPr>
            <a:spLocks noChangeAspect="1"/>
          </xdr:cNvSpPr>
        </xdr:nvSpPr>
        <xdr:spPr bwMode="auto">
          <a:xfrm>
            <a:off x="7998" y="4993"/>
            <a:ext cx="1" cy="2"/>
          </a:xfrm>
          <a:custGeom>
            <a:avLst/>
            <a:gdLst>
              <a:gd name="T0" fmla="*/ 0 w 1"/>
              <a:gd name="T1" fmla="*/ 0 h 2"/>
              <a:gd name="T2" fmla="*/ 1 w 1"/>
              <a:gd name="T3" fmla="*/ 2 h 2"/>
              <a:gd name="T4" fmla="*/ 1 w 1"/>
              <a:gd name="T5" fmla="*/ 2 h 2"/>
              <a:gd name="T6" fmla="*/ 0 w 1"/>
              <a:gd name="T7" fmla="*/ 0 h 2"/>
              <a:gd name="T8" fmla="*/ 0 60000 65536"/>
              <a:gd name="T9" fmla="*/ 0 60000 65536"/>
              <a:gd name="T10" fmla="*/ 0 60000 65536"/>
              <a:gd name="T11" fmla="*/ 0 60000 65536"/>
              <a:gd name="T12" fmla="*/ 0 w 1"/>
              <a:gd name="T13" fmla="*/ 0 h 2"/>
              <a:gd name="T14" fmla="*/ 1 w 1"/>
              <a:gd name="T15" fmla="*/ 2 h 2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" h="2">
                <a:moveTo>
                  <a:pt x="0" y="0"/>
                </a:move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28" name="Line 2065">
            <a:extLst>
              <a:ext uri="{FF2B5EF4-FFF2-40B4-BE49-F238E27FC236}">
                <a16:creationId xmlns:a16="http://schemas.microsoft.com/office/drawing/2014/main" id="{00000000-0008-0000-0700-0000CC3600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7999" y="4995"/>
            <a:ext cx="1" cy="1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29" name="Freeform 2066">
            <a:extLst>
              <a:ext uri="{FF2B5EF4-FFF2-40B4-BE49-F238E27FC236}">
                <a16:creationId xmlns:a16="http://schemas.microsoft.com/office/drawing/2014/main" id="{00000000-0008-0000-0700-0000CD360000}"/>
              </a:ext>
            </a:extLst>
          </xdr:cNvPr>
          <xdr:cNvSpPr>
            <a:spLocks noChangeAspect="1"/>
          </xdr:cNvSpPr>
        </xdr:nvSpPr>
        <xdr:spPr bwMode="auto">
          <a:xfrm>
            <a:off x="7996" y="4981"/>
            <a:ext cx="16" cy="14"/>
          </a:xfrm>
          <a:custGeom>
            <a:avLst/>
            <a:gdLst>
              <a:gd name="T0" fmla="*/ 0 w 16"/>
              <a:gd name="T1" fmla="*/ 9 h 14"/>
              <a:gd name="T2" fmla="*/ 2 w 16"/>
              <a:gd name="T3" fmla="*/ 12 h 14"/>
              <a:gd name="T4" fmla="*/ 3 w 16"/>
              <a:gd name="T5" fmla="*/ 14 h 14"/>
              <a:gd name="T6" fmla="*/ 16 w 16"/>
              <a:gd name="T7" fmla="*/ 5 h 14"/>
              <a:gd name="T8" fmla="*/ 15 w 16"/>
              <a:gd name="T9" fmla="*/ 3 h 14"/>
              <a:gd name="T10" fmla="*/ 13 w 16"/>
              <a:gd name="T11" fmla="*/ 0 h 14"/>
              <a:gd name="T12" fmla="*/ 0 w 16"/>
              <a:gd name="T13" fmla="*/ 9 h 1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6"/>
              <a:gd name="T22" fmla="*/ 0 h 14"/>
              <a:gd name="T23" fmla="*/ 16 w 16"/>
              <a:gd name="T24" fmla="*/ 14 h 1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6" h="14">
                <a:moveTo>
                  <a:pt x="0" y="9"/>
                </a:moveTo>
                <a:lnTo>
                  <a:pt x="2" y="12"/>
                </a:lnTo>
                <a:lnTo>
                  <a:pt x="3" y="14"/>
                </a:lnTo>
                <a:lnTo>
                  <a:pt x="16" y="5"/>
                </a:lnTo>
                <a:lnTo>
                  <a:pt x="15" y="3"/>
                </a:lnTo>
                <a:lnTo>
                  <a:pt x="13" y="0"/>
                </a:lnTo>
                <a:lnTo>
                  <a:pt x="0" y="9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30" name="Freeform 2067">
            <a:extLst>
              <a:ext uri="{FF2B5EF4-FFF2-40B4-BE49-F238E27FC236}">
                <a16:creationId xmlns:a16="http://schemas.microsoft.com/office/drawing/2014/main" id="{00000000-0008-0000-0700-0000CE360000}"/>
              </a:ext>
            </a:extLst>
          </xdr:cNvPr>
          <xdr:cNvSpPr>
            <a:spLocks noChangeAspect="1"/>
          </xdr:cNvSpPr>
        </xdr:nvSpPr>
        <xdr:spPr bwMode="auto">
          <a:xfrm>
            <a:off x="7996" y="4981"/>
            <a:ext cx="16" cy="14"/>
          </a:xfrm>
          <a:custGeom>
            <a:avLst/>
            <a:gdLst>
              <a:gd name="T0" fmla="*/ 0 w 16"/>
              <a:gd name="T1" fmla="*/ 9 h 14"/>
              <a:gd name="T2" fmla="*/ 2 w 16"/>
              <a:gd name="T3" fmla="*/ 12 h 14"/>
              <a:gd name="T4" fmla="*/ 3 w 16"/>
              <a:gd name="T5" fmla="*/ 14 h 14"/>
              <a:gd name="T6" fmla="*/ 16 w 16"/>
              <a:gd name="T7" fmla="*/ 5 h 14"/>
              <a:gd name="T8" fmla="*/ 15 w 16"/>
              <a:gd name="T9" fmla="*/ 3 h 14"/>
              <a:gd name="T10" fmla="*/ 13 w 16"/>
              <a:gd name="T11" fmla="*/ 0 h 14"/>
              <a:gd name="T12" fmla="*/ 0 w 16"/>
              <a:gd name="T13" fmla="*/ 9 h 1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6"/>
              <a:gd name="T22" fmla="*/ 0 h 14"/>
              <a:gd name="T23" fmla="*/ 16 w 16"/>
              <a:gd name="T24" fmla="*/ 14 h 1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6" h="14">
                <a:moveTo>
                  <a:pt x="0" y="9"/>
                </a:moveTo>
                <a:lnTo>
                  <a:pt x="2" y="12"/>
                </a:lnTo>
                <a:lnTo>
                  <a:pt x="3" y="14"/>
                </a:lnTo>
                <a:lnTo>
                  <a:pt x="16" y="5"/>
                </a:lnTo>
                <a:lnTo>
                  <a:pt x="15" y="3"/>
                </a:lnTo>
                <a:lnTo>
                  <a:pt x="13" y="0"/>
                </a:lnTo>
                <a:lnTo>
                  <a:pt x="0" y="9"/>
                </a:lnTo>
                <a:close/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31" name="Freeform 2068">
            <a:extLst>
              <a:ext uri="{FF2B5EF4-FFF2-40B4-BE49-F238E27FC236}">
                <a16:creationId xmlns:a16="http://schemas.microsoft.com/office/drawing/2014/main" id="{00000000-0008-0000-0700-0000CF360000}"/>
              </a:ext>
            </a:extLst>
          </xdr:cNvPr>
          <xdr:cNvSpPr>
            <a:spLocks noChangeAspect="1"/>
          </xdr:cNvSpPr>
        </xdr:nvSpPr>
        <xdr:spPr bwMode="auto">
          <a:xfrm>
            <a:off x="8011" y="4984"/>
            <a:ext cx="2" cy="2"/>
          </a:xfrm>
          <a:custGeom>
            <a:avLst/>
            <a:gdLst>
              <a:gd name="T0" fmla="*/ 0 w 2"/>
              <a:gd name="T1" fmla="*/ 0 h 2"/>
              <a:gd name="T2" fmla="*/ 1 w 2"/>
              <a:gd name="T3" fmla="*/ 2 h 2"/>
              <a:gd name="T4" fmla="*/ 2 w 2"/>
              <a:gd name="T5" fmla="*/ 2 h 2"/>
              <a:gd name="T6" fmla="*/ 2 w 2"/>
              <a:gd name="T7" fmla="*/ 1 h 2"/>
              <a:gd name="T8" fmla="*/ 0 w 2"/>
              <a:gd name="T9" fmla="*/ 0 h 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2"/>
              <a:gd name="T16" fmla="*/ 0 h 2"/>
              <a:gd name="T17" fmla="*/ 2 w 2"/>
              <a:gd name="T18" fmla="*/ 2 h 2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2" h="2">
                <a:moveTo>
                  <a:pt x="0" y="0"/>
                </a:moveTo>
                <a:lnTo>
                  <a:pt x="1" y="2"/>
                </a:lnTo>
                <a:lnTo>
                  <a:pt x="2" y="2"/>
                </a:lnTo>
                <a:lnTo>
                  <a:pt x="2" y="1"/>
                </a:lnTo>
                <a:lnTo>
                  <a:pt x="0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32" name="Freeform 2069">
            <a:extLst>
              <a:ext uri="{FF2B5EF4-FFF2-40B4-BE49-F238E27FC236}">
                <a16:creationId xmlns:a16="http://schemas.microsoft.com/office/drawing/2014/main" id="{00000000-0008-0000-0700-0000D0360000}"/>
              </a:ext>
            </a:extLst>
          </xdr:cNvPr>
          <xdr:cNvSpPr>
            <a:spLocks noChangeAspect="1"/>
          </xdr:cNvSpPr>
        </xdr:nvSpPr>
        <xdr:spPr bwMode="auto">
          <a:xfrm>
            <a:off x="8012" y="4985"/>
            <a:ext cx="1" cy="1"/>
          </a:xfrm>
          <a:custGeom>
            <a:avLst/>
            <a:gdLst>
              <a:gd name="T0" fmla="*/ 0 w 1"/>
              <a:gd name="T1" fmla="*/ 1 h 1"/>
              <a:gd name="T2" fmla="*/ 1 w 1"/>
              <a:gd name="T3" fmla="*/ 1 h 1"/>
              <a:gd name="T4" fmla="*/ 1 w 1"/>
              <a:gd name="T5" fmla="*/ 0 h 1"/>
              <a:gd name="T6" fmla="*/ 0 60000 65536"/>
              <a:gd name="T7" fmla="*/ 0 60000 65536"/>
              <a:gd name="T8" fmla="*/ 0 60000 65536"/>
              <a:gd name="T9" fmla="*/ 0 w 1"/>
              <a:gd name="T10" fmla="*/ 0 h 1"/>
              <a:gd name="T11" fmla="*/ 1 w 1"/>
              <a:gd name="T12" fmla="*/ 1 h 1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1" h="1">
                <a:moveTo>
                  <a:pt x="0" y="1"/>
                </a:moveTo>
                <a:lnTo>
                  <a:pt x="1" y="1"/>
                </a:lnTo>
                <a:lnTo>
                  <a:pt x="1" y="0"/>
                </a:lnTo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33" name="Freeform 2070">
            <a:extLst>
              <a:ext uri="{FF2B5EF4-FFF2-40B4-BE49-F238E27FC236}">
                <a16:creationId xmlns:a16="http://schemas.microsoft.com/office/drawing/2014/main" id="{00000000-0008-0000-0700-0000D1360000}"/>
              </a:ext>
            </a:extLst>
          </xdr:cNvPr>
          <xdr:cNvSpPr>
            <a:spLocks noChangeAspect="1"/>
          </xdr:cNvSpPr>
        </xdr:nvSpPr>
        <xdr:spPr bwMode="auto">
          <a:xfrm>
            <a:off x="8009" y="4972"/>
            <a:ext cx="13" cy="13"/>
          </a:xfrm>
          <a:custGeom>
            <a:avLst/>
            <a:gdLst>
              <a:gd name="T0" fmla="*/ 0 w 13"/>
              <a:gd name="T1" fmla="*/ 10 h 13"/>
              <a:gd name="T2" fmla="*/ 2 w 13"/>
              <a:gd name="T3" fmla="*/ 12 h 13"/>
              <a:gd name="T4" fmla="*/ 4 w 13"/>
              <a:gd name="T5" fmla="*/ 13 h 13"/>
              <a:gd name="T6" fmla="*/ 13 w 13"/>
              <a:gd name="T7" fmla="*/ 3 h 13"/>
              <a:gd name="T8" fmla="*/ 11 w 13"/>
              <a:gd name="T9" fmla="*/ 2 h 13"/>
              <a:gd name="T10" fmla="*/ 9 w 13"/>
              <a:gd name="T11" fmla="*/ 0 h 13"/>
              <a:gd name="T12" fmla="*/ 0 w 13"/>
              <a:gd name="T13" fmla="*/ 10 h 13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3"/>
              <a:gd name="T22" fmla="*/ 0 h 13"/>
              <a:gd name="T23" fmla="*/ 13 w 13"/>
              <a:gd name="T24" fmla="*/ 13 h 13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3" h="13">
                <a:moveTo>
                  <a:pt x="0" y="10"/>
                </a:moveTo>
                <a:lnTo>
                  <a:pt x="2" y="12"/>
                </a:lnTo>
                <a:lnTo>
                  <a:pt x="4" y="13"/>
                </a:lnTo>
                <a:lnTo>
                  <a:pt x="13" y="3"/>
                </a:lnTo>
                <a:lnTo>
                  <a:pt x="11" y="2"/>
                </a:lnTo>
                <a:lnTo>
                  <a:pt x="9" y="0"/>
                </a:lnTo>
                <a:lnTo>
                  <a:pt x="0" y="1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34" name="Freeform 2071">
            <a:extLst>
              <a:ext uri="{FF2B5EF4-FFF2-40B4-BE49-F238E27FC236}">
                <a16:creationId xmlns:a16="http://schemas.microsoft.com/office/drawing/2014/main" id="{00000000-0008-0000-0700-0000D2360000}"/>
              </a:ext>
            </a:extLst>
          </xdr:cNvPr>
          <xdr:cNvSpPr>
            <a:spLocks noChangeAspect="1"/>
          </xdr:cNvSpPr>
        </xdr:nvSpPr>
        <xdr:spPr bwMode="auto">
          <a:xfrm>
            <a:off x="8009" y="4972"/>
            <a:ext cx="13" cy="13"/>
          </a:xfrm>
          <a:custGeom>
            <a:avLst/>
            <a:gdLst>
              <a:gd name="T0" fmla="*/ 0 w 13"/>
              <a:gd name="T1" fmla="*/ 10 h 13"/>
              <a:gd name="T2" fmla="*/ 2 w 13"/>
              <a:gd name="T3" fmla="*/ 12 h 13"/>
              <a:gd name="T4" fmla="*/ 4 w 13"/>
              <a:gd name="T5" fmla="*/ 13 h 13"/>
              <a:gd name="T6" fmla="*/ 13 w 13"/>
              <a:gd name="T7" fmla="*/ 3 h 13"/>
              <a:gd name="T8" fmla="*/ 11 w 13"/>
              <a:gd name="T9" fmla="*/ 2 h 13"/>
              <a:gd name="T10" fmla="*/ 9 w 13"/>
              <a:gd name="T11" fmla="*/ 0 h 13"/>
              <a:gd name="T12" fmla="*/ 0 w 13"/>
              <a:gd name="T13" fmla="*/ 10 h 13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3"/>
              <a:gd name="T22" fmla="*/ 0 h 13"/>
              <a:gd name="T23" fmla="*/ 13 w 13"/>
              <a:gd name="T24" fmla="*/ 13 h 13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3" h="13">
                <a:moveTo>
                  <a:pt x="0" y="10"/>
                </a:moveTo>
                <a:lnTo>
                  <a:pt x="2" y="12"/>
                </a:lnTo>
                <a:lnTo>
                  <a:pt x="4" y="13"/>
                </a:lnTo>
                <a:lnTo>
                  <a:pt x="13" y="3"/>
                </a:lnTo>
                <a:lnTo>
                  <a:pt x="11" y="2"/>
                </a:lnTo>
                <a:lnTo>
                  <a:pt x="9" y="0"/>
                </a:lnTo>
                <a:lnTo>
                  <a:pt x="0" y="10"/>
                </a:lnTo>
                <a:close/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35" name="Freeform 2072">
            <a:extLst>
              <a:ext uri="{FF2B5EF4-FFF2-40B4-BE49-F238E27FC236}">
                <a16:creationId xmlns:a16="http://schemas.microsoft.com/office/drawing/2014/main" id="{00000000-0008-0000-0700-0000D3360000}"/>
              </a:ext>
            </a:extLst>
          </xdr:cNvPr>
          <xdr:cNvSpPr>
            <a:spLocks noChangeAspect="1"/>
          </xdr:cNvSpPr>
        </xdr:nvSpPr>
        <xdr:spPr bwMode="auto">
          <a:xfrm>
            <a:off x="8020" y="4974"/>
            <a:ext cx="2" cy="1"/>
          </a:xfrm>
          <a:custGeom>
            <a:avLst/>
            <a:gdLst>
              <a:gd name="T0" fmla="*/ 0 w 2"/>
              <a:gd name="T1" fmla="*/ 0 h 1"/>
              <a:gd name="T2" fmla="*/ 2 w 2"/>
              <a:gd name="T3" fmla="*/ 1 h 1"/>
              <a:gd name="T4" fmla="*/ 2 w 2"/>
              <a:gd name="T5" fmla="*/ 1 h 1"/>
              <a:gd name="T6" fmla="*/ 2 w 2"/>
              <a:gd name="T7" fmla="*/ 1 h 1"/>
              <a:gd name="T8" fmla="*/ 0 w 2"/>
              <a:gd name="T9" fmla="*/ 0 h 1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2"/>
              <a:gd name="T16" fmla="*/ 0 h 1"/>
              <a:gd name="T17" fmla="*/ 2 w 2"/>
              <a:gd name="T18" fmla="*/ 1 h 1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2" h="1">
                <a:moveTo>
                  <a:pt x="0" y="0"/>
                </a:moveTo>
                <a:lnTo>
                  <a:pt x="2" y="1"/>
                </a:lnTo>
                <a:lnTo>
                  <a:pt x="0" y="0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36" name="Freeform 2073">
            <a:extLst>
              <a:ext uri="{FF2B5EF4-FFF2-40B4-BE49-F238E27FC236}">
                <a16:creationId xmlns:a16="http://schemas.microsoft.com/office/drawing/2014/main" id="{00000000-0008-0000-0700-0000D4360000}"/>
              </a:ext>
            </a:extLst>
          </xdr:cNvPr>
          <xdr:cNvSpPr>
            <a:spLocks noChangeAspect="1"/>
          </xdr:cNvSpPr>
        </xdr:nvSpPr>
        <xdr:spPr bwMode="auto">
          <a:xfrm>
            <a:off x="8022" y="4975"/>
            <a:ext cx="1" cy="1"/>
          </a:xfrm>
          <a:custGeom>
            <a:avLst/>
            <a:gdLst>
              <a:gd name="T0" fmla="*/ 0 w 1"/>
              <a:gd name="T1" fmla="*/ 0 h 1"/>
              <a:gd name="T2" fmla="*/ 0 w 1"/>
              <a:gd name="T3" fmla="*/ 0 h 1"/>
              <a:gd name="T4" fmla="*/ 0 w 1"/>
              <a:gd name="T5" fmla="*/ 0 h 1"/>
              <a:gd name="T6" fmla="*/ 0 60000 65536"/>
              <a:gd name="T7" fmla="*/ 0 60000 65536"/>
              <a:gd name="T8" fmla="*/ 0 60000 65536"/>
              <a:gd name="T9" fmla="*/ 0 w 1"/>
              <a:gd name="T10" fmla="*/ 0 h 1"/>
              <a:gd name="T11" fmla="*/ 1 w 1"/>
              <a:gd name="T12" fmla="*/ 1 h 1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1" h="1">
                <a:moveTo>
                  <a:pt x="0" y="0"/>
                </a:moveTo>
                <a:lnTo>
                  <a:pt x="0" y="0"/>
                </a:lnTo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37" name="Freeform 2074">
            <a:extLst>
              <a:ext uri="{FF2B5EF4-FFF2-40B4-BE49-F238E27FC236}">
                <a16:creationId xmlns:a16="http://schemas.microsoft.com/office/drawing/2014/main" id="{00000000-0008-0000-0700-0000D5360000}"/>
              </a:ext>
            </a:extLst>
          </xdr:cNvPr>
          <xdr:cNvSpPr>
            <a:spLocks noChangeAspect="1"/>
          </xdr:cNvSpPr>
        </xdr:nvSpPr>
        <xdr:spPr bwMode="auto">
          <a:xfrm>
            <a:off x="8017" y="4962"/>
            <a:ext cx="10" cy="13"/>
          </a:xfrm>
          <a:custGeom>
            <a:avLst/>
            <a:gdLst>
              <a:gd name="T0" fmla="*/ 0 w 10"/>
              <a:gd name="T1" fmla="*/ 11 h 13"/>
              <a:gd name="T2" fmla="*/ 3 w 10"/>
              <a:gd name="T3" fmla="*/ 12 h 13"/>
              <a:gd name="T4" fmla="*/ 5 w 10"/>
              <a:gd name="T5" fmla="*/ 13 h 13"/>
              <a:gd name="T6" fmla="*/ 10 w 10"/>
              <a:gd name="T7" fmla="*/ 2 h 13"/>
              <a:gd name="T8" fmla="*/ 7 w 10"/>
              <a:gd name="T9" fmla="*/ 1 h 13"/>
              <a:gd name="T10" fmla="*/ 5 w 10"/>
              <a:gd name="T11" fmla="*/ 0 h 13"/>
              <a:gd name="T12" fmla="*/ 0 w 10"/>
              <a:gd name="T13" fmla="*/ 11 h 13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0"/>
              <a:gd name="T22" fmla="*/ 0 h 13"/>
              <a:gd name="T23" fmla="*/ 10 w 10"/>
              <a:gd name="T24" fmla="*/ 13 h 13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0" h="13">
                <a:moveTo>
                  <a:pt x="0" y="11"/>
                </a:moveTo>
                <a:lnTo>
                  <a:pt x="3" y="12"/>
                </a:lnTo>
                <a:lnTo>
                  <a:pt x="5" y="13"/>
                </a:lnTo>
                <a:lnTo>
                  <a:pt x="10" y="2"/>
                </a:lnTo>
                <a:lnTo>
                  <a:pt x="7" y="1"/>
                </a:lnTo>
                <a:lnTo>
                  <a:pt x="5" y="0"/>
                </a:lnTo>
                <a:lnTo>
                  <a:pt x="0" y="11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38" name="Freeform 2075">
            <a:extLst>
              <a:ext uri="{FF2B5EF4-FFF2-40B4-BE49-F238E27FC236}">
                <a16:creationId xmlns:a16="http://schemas.microsoft.com/office/drawing/2014/main" id="{00000000-0008-0000-0700-0000D6360000}"/>
              </a:ext>
            </a:extLst>
          </xdr:cNvPr>
          <xdr:cNvSpPr>
            <a:spLocks noChangeAspect="1"/>
          </xdr:cNvSpPr>
        </xdr:nvSpPr>
        <xdr:spPr bwMode="auto">
          <a:xfrm>
            <a:off x="8017" y="4962"/>
            <a:ext cx="10" cy="13"/>
          </a:xfrm>
          <a:custGeom>
            <a:avLst/>
            <a:gdLst>
              <a:gd name="T0" fmla="*/ 0 w 10"/>
              <a:gd name="T1" fmla="*/ 11 h 13"/>
              <a:gd name="T2" fmla="*/ 3 w 10"/>
              <a:gd name="T3" fmla="*/ 12 h 13"/>
              <a:gd name="T4" fmla="*/ 5 w 10"/>
              <a:gd name="T5" fmla="*/ 13 h 13"/>
              <a:gd name="T6" fmla="*/ 10 w 10"/>
              <a:gd name="T7" fmla="*/ 2 h 13"/>
              <a:gd name="T8" fmla="*/ 7 w 10"/>
              <a:gd name="T9" fmla="*/ 1 h 13"/>
              <a:gd name="T10" fmla="*/ 5 w 10"/>
              <a:gd name="T11" fmla="*/ 0 h 13"/>
              <a:gd name="T12" fmla="*/ 0 w 10"/>
              <a:gd name="T13" fmla="*/ 11 h 13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0"/>
              <a:gd name="T22" fmla="*/ 0 h 13"/>
              <a:gd name="T23" fmla="*/ 10 w 10"/>
              <a:gd name="T24" fmla="*/ 13 h 13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0" h="13">
                <a:moveTo>
                  <a:pt x="0" y="11"/>
                </a:moveTo>
                <a:lnTo>
                  <a:pt x="3" y="12"/>
                </a:lnTo>
                <a:lnTo>
                  <a:pt x="5" y="13"/>
                </a:lnTo>
                <a:lnTo>
                  <a:pt x="10" y="2"/>
                </a:lnTo>
                <a:lnTo>
                  <a:pt x="7" y="1"/>
                </a:lnTo>
                <a:lnTo>
                  <a:pt x="5" y="0"/>
                </a:lnTo>
                <a:lnTo>
                  <a:pt x="0" y="11"/>
                </a:lnTo>
                <a:close/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39" name="Freeform 2076">
            <a:extLst>
              <a:ext uri="{FF2B5EF4-FFF2-40B4-BE49-F238E27FC236}">
                <a16:creationId xmlns:a16="http://schemas.microsoft.com/office/drawing/2014/main" id="{00000000-0008-0000-0700-0000D7360000}"/>
              </a:ext>
            </a:extLst>
          </xdr:cNvPr>
          <xdr:cNvSpPr>
            <a:spLocks noChangeAspect="1"/>
          </xdr:cNvSpPr>
        </xdr:nvSpPr>
        <xdr:spPr bwMode="auto">
          <a:xfrm>
            <a:off x="8022" y="4961"/>
            <a:ext cx="5" cy="3"/>
          </a:xfrm>
          <a:custGeom>
            <a:avLst/>
            <a:gdLst>
              <a:gd name="T0" fmla="*/ 2 w 5"/>
              <a:gd name="T1" fmla="*/ 2 h 3"/>
              <a:gd name="T2" fmla="*/ 0 w 5"/>
              <a:gd name="T3" fmla="*/ 1 h 3"/>
              <a:gd name="T4" fmla="*/ 0 w 5"/>
              <a:gd name="T5" fmla="*/ 1 h 3"/>
              <a:gd name="T6" fmla="*/ 1 w 5"/>
              <a:gd name="T7" fmla="*/ 0 h 3"/>
              <a:gd name="T8" fmla="*/ 1 w 5"/>
              <a:gd name="T9" fmla="*/ 0 h 3"/>
              <a:gd name="T10" fmla="*/ 2 w 5"/>
              <a:gd name="T11" fmla="*/ 0 h 3"/>
              <a:gd name="T12" fmla="*/ 2 w 5"/>
              <a:gd name="T13" fmla="*/ 0 h 3"/>
              <a:gd name="T14" fmla="*/ 3 w 5"/>
              <a:gd name="T15" fmla="*/ 0 h 3"/>
              <a:gd name="T16" fmla="*/ 3 w 5"/>
              <a:gd name="T17" fmla="*/ 0 h 3"/>
              <a:gd name="T18" fmla="*/ 4 w 5"/>
              <a:gd name="T19" fmla="*/ 0 h 3"/>
              <a:gd name="T20" fmla="*/ 4 w 5"/>
              <a:gd name="T21" fmla="*/ 1 h 3"/>
              <a:gd name="T22" fmla="*/ 5 w 5"/>
              <a:gd name="T23" fmla="*/ 1 h 3"/>
              <a:gd name="T24" fmla="*/ 5 w 5"/>
              <a:gd name="T25" fmla="*/ 2 h 3"/>
              <a:gd name="T26" fmla="*/ 5 w 5"/>
              <a:gd name="T27" fmla="*/ 2 h 3"/>
              <a:gd name="T28" fmla="*/ 5 w 5"/>
              <a:gd name="T29" fmla="*/ 3 h 3"/>
              <a:gd name="T30" fmla="*/ 5 w 5"/>
              <a:gd name="T31" fmla="*/ 3 h 3"/>
              <a:gd name="T32" fmla="*/ 2 w 5"/>
              <a:gd name="T33" fmla="*/ 2 h 3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5"/>
              <a:gd name="T52" fmla="*/ 0 h 3"/>
              <a:gd name="T53" fmla="*/ 5 w 5"/>
              <a:gd name="T54" fmla="*/ 3 h 3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5" h="3">
                <a:moveTo>
                  <a:pt x="2" y="2"/>
                </a:moveTo>
                <a:lnTo>
                  <a:pt x="0" y="1"/>
                </a:lnTo>
                <a:lnTo>
                  <a:pt x="1" y="0"/>
                </a:lnTo>
                <a:lnTo>
                  <a:pt x="2" y="0"/>
                </a:lnTo>
                <a:lnTo>
                  <a:pt x="3" y="0"/>
                </a:lnTo>
                <a:lnTo>
                  <a:pt x="4" y="0"/>
                </a:lnTo>
                <a:lnTo>
                  <a:pt x="4" y="1"/>
                </a:lnTo>
                <a:lnTo>
                  <a:pt x="5" y="1"/>
                </a:lnTo>
                <a:lnTo>
                  <a:pt x="5" y="2"/>
                </a:lnTo>
                <a:lnTo>
                  <a:pt x="5" y="3"/>
                </a:lnTo>
                <a:lnTo>
                  <a:pt x="2" y="2"/>
                </a:lnTo>
                <a:close/>
              </a:path>
            </a:pathLst>
          </a:cu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40" name="Freeform 2077">
            <a:extLst>
              <a:ext uri="{FF2B5EF4-FFF2-40B4-BE49-F238E27FC236}">
                <a16:creationId xmlns:a16="http://schemas.microsoft.com/office/drawing/2014/main" id="{00000000-0008-0000-0700-0000D8360000}"/>
              </a:ext>
            </a:extLst>
          </xdr:cNvPr>
          <xdr:cNvSpPr>
            <a:spLocks noChangeAspect="1"/>
          </xdr:cNvSpPr>
        </xdr:nvSpPr>
        <xdr:spPr bwMode="auto">
          <a:xfrm>
            <a:off x="8022" y="4961"/>
            <a:ext cx="5" cy="3"/>
          </a:xfrm>
          <a:custGeom>
            <a:avLst/>
            <a:gdLst>
              <a:gd name="T0" fmla="*/ 0 w 5"/>
              <a:gd name="T1" fmla="*/ 1 h 3"/>
              <a:gd name="T2" fmla="*/ 0 w 5"/>
              <a:gd name="T3" fmla="*/ 1 h 3"/>
              <a:gd name="T4" fmla="*/ 1 w 5"/>
              <a:gd name="T5" fmla="*/ 0 h 3"/>
              <a:gd name="T6" fmla="*/ 1 w 5"/>
              <a:gd name="T7" fmla="*/ 0 h 3"/>
              <a:gd name="T8" fmla="*/ 2 w 5"/>
              <a:gd name="T9" fmla="*/ 0 h 3"/>
              <a:gd name="T10" fmla="*/ 2 w 5"/>
              <a:gd name="T11" fmla="*/ 0 h 3"/>
              <a:gd name="T12" fmla="*/ 3 w 5"/>
              <a:gd name="T13" fmla="*/ 0 h 3"/>
              <a:gd name="T14" fmla="*/ 3 w 5"/>
              <a:gd name="T15" fmla="*/ 0 h 3"/>
              <a:gd name="T16" fmla="*/ 4 w 5"/>
              <a:gd name="T17" fmla="*/ 0 h 3"/>
              <a:gd name="T18" fmla="*/ 4 w 5"/>
              <a:gd name="T19" fmla="*/ 1 h 3"/>
              <a:gd name="T20" fmla="*/ 5 w 5"/>
              <a:gd name="T21" fmla="*/ 1 h 3"/>
              <a:gd name="T22" fmla="*/ 5 w 5"/>
              <a:gd name="T23" fmla="*/ 2 h 3"/>
              <a:gd name="T24" fmla="*/ 5 w 5"/>
              <a:gd name="T25" fmla="*/ 2 h 3"/>
              <a:gd name="T26" fmla="*/ 5 w 5"/>
              <a:gd name="T27" fmla="*/ 3 h 3"/>
              <a:gd name="T28" fmla="*/ 5 w 5"/>
              <a:gd name="T29" fmla="*/ 3 h 3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5"/>
              <a:gd name="T46" fmla="*/ 0 h 3"/>
              <a:gd name="T47" fmla="*/ 5 w 5"/>
              <a:gd name="T48" fmla="*/ 3 h 3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5" h="3">
                <a:moveTo>
                  <a:pt x="0" y="1"/>
                </a:moveTo>
                <a:lnTo>
                  <a:pt x="0" y="1"/>
                </a:lnTo>
                <a:lnTo>
                  <a:pt x="1" y="0"/>
                </a:lnTo>
                <a:lnTo>
                  <a:pt x="2" y="0"/>
                </a:lnTo>
                <a:lnTo>
                  <a:pt x="3" y="0"/>
                </a:lnTo>
                <a:lnTo>
                  <a:pt x="4" y="0"/>
                </a:lnTo>
                <a:lnTo>
                  <a:pt x="4" y="1"/>
                </a:lnTo>
                <a:lnTo>
                  <a:pt x="5" y="1"/>
                </a:lnTo>
                <a:lnTo>
                  <a:pt x="5" y="2"/>
                </a:lnTo>
                <a:lnTo>
                  <a:pt x="5" y="3"/>
                </a:lnTo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 editAs="absolute">
    <xdr:from>
      <xdr:col>13</xdr:col>
      <xdr:colOff>190500</xdr:colOff>
      <xdr:row>15</xdr:row>
      <xdr:rowOff>66675</xdr:rowOff>
    </xdr:from>
    <xdr:to>
      <xdr:col>13</xdr:col>
      <xdr:colOff>190500</xdr:colOff>
      <xdr:row>15</xdr:row>
      <xdr:rowOff>295275</xdr:rowOff>
    </xdr:to>
    <xdr:sp macro="" textlink="">
      <xdr:nvSpPr>
        <xdr:cNvPr id="13979" name="Line 2080">
          <a:extLst>
            <a:ext uri="{FF2B5EF4-FFF2-40B4-BE49-F238E27FC236}">
              <a16:creationId xmlns:a16="http://schemas.microsoft.com/office/drawing/2014/main" id="{00000000-0008-0000-0700-00009B360000}"/>
            </a:ext>
          </a:extLst>
        </xdr:cNvPr>
        <xdr:cNvSpPr>
          <a:spLocks noChangeShapeType="1"/>
        </xdr:cNvSpPr>
      </xdr:nvSpPr>
      <xdr:spPr bwMode="auto">
        <a:xfrm>
          <a:off x="8362950" y="3257550"/>
          <a:ext cx="0" cy="228600"/>
        </a:xfrm>
        <a:prstGeom prst="line">
          <a:avLst/>
        </a:prstGeom>
        <a:noFill/>
        <a:ln w="2540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323850</xdr:colOff>
      <xdr:row>14</xdr:row>
      <xdr:rowOff>209550</xdr:rowOff>
    </xdr:from>
    <xdr:to>
      <xdr:col>7</xdr:col>
      <xdr:colOff>323850</xdr:colOff>
      <xdr:row>15</xdr:row>
      <xdr:rowOff>171450</xdr:rowOff>
    </xdr:to>
    <xdr:sp macro="" textlink="">
      <xdr:nvSpPr>
        <xdr:cNvPr id="13980" name="Line 2082">
          <a:extLst>
            <a:ext uri="{FF2B5EF4-FFF2-40B4-BE49-F238E27FC236}">
              <a16:creationId xmlns:a16="http://schemas.microsoft.com/office/drawing/2014/main" id="{00000000-0008-0000-0700-00009C360000}"/>
            </a:ext>
          </a:extLst>
        </xdr:cNvPr>
        <xdr:cNvSpPr>
          <a:spLocks noChangeShapeType="1"/>
        </xdr:cNvSpPr>
      </xdr:nvSpPr>
      <xdr:spPr bwMode="auto">
        <a:xfrm>
          <a:off x="4867275" y="317182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333375</xdr:colOff>
      <xdr:row>14</xdr:row>
      <xdr:rowOff>57150</xdr:rowOff>
    </xdr:from>
    <xdr:to>
      <xdr:col>7</xdr:col>
      <xdr:colOff>333375</xdr:colOff>
      <xdr:row>15</xdr:row>
      <xdr:rowOff>9525</xdr:rowOff>
    </xdr:to>
    <xdr:sp macro="" textlink="">
      <xdr:nvSpPr>
        <xdr:cNvPr id="13981" name="Line 2083">
          <a:extLst>
            <a:ext uri="{FF2B5EF4-FFF2-40B4-BE49-F238E27FC236}">
              <a16:creationId xmlns:a16="http://schemas.microsoft.com/office/drawing/2014/main" id="{00000000-0008-0000-0700-00009D360000}"/>
            </a:ext>
          </a:extLst>
        </xdr:cNvPr>
        <xdr:cNvSpPr>
          <a:spLocks noChangeShapeType="1"/>
        </xdr:cNvSpPr>
      </xdr:nvSpPr>
      <xdr:spPr bwMode="auto">
        <a:xfrm>
          <a:off x="4876800" y="301942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304800</xdr:colOff>
      <xdr:row>15</xdr:row>
      <xdr:rowOff>28575</xdr:rowOff>
    </xdr:from>
    <xdr:to>
      <xdr:col>8</xdr:col>
      <xdr:colOff>466725</xdr:colOff>
      <xdr:row>15</xdr:row>
      <xdr:rowOff>28575</xdr:rowOff>
    </xdr:to>
    <xdr:sp macro="" textlink="">
      <xdr:nvSpPr>
        <xdr:cNvPr id="13982" name="Line 2012">
          <a:extLst>
            <a:ext uri="{FF2B5EF4-FFF2-40B4-BE49-F238E27FC236}">
              <a16:creationId xmlns:a16="http://schemas.microsoft.com/office/drawing/2014/main" id="{00000000-0008-0000-0700-00009E360000}"/>
            </a:ext>
          </a:extLst>
        </xdr:cNvPr>
        <xdr:cNvSpPr>
          <a:spLocks noChangeShapeType="1"/>
        </xdr:cNvSpPr>
      </xdr:nvSpPr>
      <xdr:spPr bwMode="auto">
        <a:xfrm flipH="1">
          <a:off x="4848225" y="3219450"/>
          <a:ext cx="78105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26</xdr:row>
      <xdr:rowOff>95250</xdr:rowOff>
    </xdr:from>
    <xdr:to>
      <xdr:col>17</xdr:col>
      <xdr:colOff>123825</xdr:colOff>
      <xdr:row>42</xdr:row>
      <xdr:rowOff>95250</xdr:rowOff>
    </xdr:to>
    <xdr:sp macro="" textlink="">
      <xdr:nvSpPr>
        <xdr:cNvPr id="11876" name="Figura a mano libera 1">
          <a:extLst>
            <a:ext uri="{FF2B5EF4-FFF2-40B4-BE49-F238E27FC236}">
              <a16:creationId xmlns:a16="http://schemas.microsoft.com/office/drawing/2014/main" id="{00000000-0008-0000-0900-0000642E0000}"/>
            </a:ext>
          </a:extLst>
        </xdr:cNvPr>
        <xdr:cNvSpPr>
          <a:spLocks/>
        </xdr:cNvSpPr>
      </xdr:nvSpPr>
      <xdr:spPr bwMode="auto">
        <a:xfrm>
          <a:off x="8534400" y="4838700"/>
          <a:ext cx="771525" cy="2590800"/>
        </a:xfrm>
        <a:custGeom>
          <a:avLst/>
          <a:gdLst>
            <a:gd name="T0" fmla="*/ 0 w 1061357"/>
            <a:gd name="T1" fmla="*/ 3230705 h 2585357"/>
            <a:gd name="T2" fmla="*/ 64849 w 1061357"/>
            <a:gd name="T3" fmla="*/ 2040446 h 2585357"/>
            <a:gd name="T4" fmla="*/ 213073 w 1061357"/>
            <a:gd name="T5" fmla="*/ 799176 h 2585357"/>
            <a:gd name="T6" fmla="*/ 361296 w 1061357"/>
            <a:gd name="T7" fmla="*/ 0 h 2585357"/>
            <a:gd name="T8" fmla="*/ 0 60000 65536"/>
            <a:gd name="T9" fmla="*/ 0 60000 65536"/>
            <a:gd name="T10" fmla="*/ 0 60000 65536"/>
            <a:gd name="T11" fmla="*/ 0 60000 65536"/>
            <a:gd name="T12" fmla="*/ 0 w 1061357"/>
            <a:gd name="T13" fmla="*/ 0 h 2585357"/>
            <a:gd name="T14" fmla="*/ 1061357 w 1061357"/>
            <a:gd name="T15" fmla="*/ 2585357 h 258535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061357" h="2585357">
              <a:moveTo>
                <a:pt x="0" y="2585357"/>
              </a:moveTo>
              <a:cubicBezTo>
                <a:pt x="43089" y="2271259"/>
                <a:pt x="86179" y="1957161"/>
                <a:pt x="190500" y="1632857"/>
              </a:cubicBezTo>
              <a:cubicBezTo>
                <a:pt x="294821" y="1308553"/>
                <a:pt x="480786" y="911678"/>
                <a:pt x="625929" y="639535"/>
              </a:cubicBezTo>
              <a:cubicBezTo>
                <a:pt x="771072" y="367392"/>
                <a:pt x="916214" y="183696"/>
                <a:pt x="1061357" y="0"/>
              </a:cubicBezTo>
            </a:path>
          </a:pathLst>
        </a:custGeom>
        <a:solidFill>
          <a:srgbClr val="FFFFFF"/>
        </a:solidFill>
        <a:ln w="508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</xdr:spPr>
    </xdr:sp>
    <xdr:clientData/>
  </xdr:twoCellAnchor>
  <xdr:twoCellAnchor>
    <xdr:from>
      <xdr:col>3</xdr:col>
      <xdr:colOff>185526</xdr:colOff>
      <xdr:row>37</xdr:row>
      <xdr:rowOff>132534</xdr:rowOff>
    </xdr:from>
    <xdr:to>
      <xdr:col>4</xdr:col>
      <xdr:colOff>15899</xdr:colOff>
      <xdr:row>39</xdr:row>
      <xdr:rowOff>114047</xdr:rowOff>
    </xdr:to>
    <xdr:sp macro="" textlink="">
      <xdr:nvSpPr>
        <xdr:cNvPr id="3" name="Text Box 58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>
          <a:spLocks noChangeAspect="1" noChangeArrowheads="1"/>
        </xdr:cNvSpPr>
      </xdr:nvSpPr>
      <xdr:spPr bwMode="auto">
        <a:xfrm>
          <a:off x="2052426" y="6657159"/>
          <a:ext cx="401968" cy="3146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t>orlo</a:t>
          </a: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</xdr:col>
      <xdr:colOff>223319</xdr:colOff>
      <xdr:row>36</xdr:row>
      <xdr:rowOff>147844</xdr:rowOff>
    </xdr:from>
    <xdr:to>
      <xdr:col>4</xdr:col>
      <xdr:colOff>12468</xdr:colOff>
      <xdr:row>39</xdr:row>
      <xdr:rowOff>40510</xdr:rowOff>
    </xdr:to>
    <xdr:sp macro="" textlink="Calcolo1!D18">
      <xdr:nvSpPr>
        <xdr:cNvPr id="4" name="Text Box 56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2090219" y="6520069"/>
          <a:ext cx="361122" cy="3784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A5E567F6-0892-43D5-B5C3-475893612A8F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30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4</xdr:col>
      <xdr:colOff>209550</xdr:colOff>
      <xdr:row>52</xdr:row>
      <xdr:rowOff>66675</xdr:rowOff>
    </xdr:from>
    <xdr:to>
      <xdr:col>12</xdr:col>
      <xdr:colOff>171450</xdr:colOff>
      <xdr:row>52</xdr:row>
      <xdr:rowOff>85725</xdr:rowOff>
    </xdr:to>
    <xdr:cxnSp macro="">
      <xdr:nvCxnSpPr>
        <xdr:cNvPr id="11879" name="Connettore 1 4">
          <a:extLst>
            <a:ext uri="{FF2B5EF4-FFF2-40B4-BE49-F238E27FC236}">
              <a16:creationId xmlns:a16="http://schemas.microsoft.com/office/drawing/2014/main" id="{00000000-0008-0000-0900-0000672E0000}"/>
            </a:ext>
          </a:extLst>
        </xdr:cNvPr>
        <xdr:cNvCxnSpPr>
          <a:cxnSpLocks noChangeShapeType="1"/>
          <a:endCxn id="12248" idx="0"/>
        </xdr:cNvCxnSpPr>
      </xdr:nvCxnSpPr>
      <xdr:spPr bwMode="auto">
        <a:xfrm flipV="1">
          <a:off x="2343150" y="9020175"/>
          <a:ext cx="4400550" cy="190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 editAs="absolute">
    <xdr:from>
      <xdr:col>21</xdr:col>
      <xdr:colOff>348316</xdr:colOff>
      <xdr:row>34</xdr:row>
      <xdr:rowOff>47208</xdr:rowOff>
    </xdr:from>
    <xdr:to>
      <xdr:col>23</xdr:col>
      <xdr:colOff>283907</xdr:colOff>
      <xdr:row>36</xdr:row>
      <xdr:rowOff>109051</xdr:rowOff>
    </xdr:to>
    <xdr:sp macro="" textlink="Calcolo1!E34">
      <xdr:nvSpPr>
        <xdr:cNvPr id="6" name="Text Box 560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12606991" y="6086058"/>
          <a:ext cx="1145296" cy="385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38A767B4-79F0-4490-9AC2-7061ACF3EDA1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289906</xdr:colOff>
      <xdr:row>49</xdr:row>
      <xdr:rowOff>99469</xdr:rowOff>
    </xdr:from>
    <xdr:to>
      <xdr:col>8</xdr:col>
      <xdr:colOff>83100</xdr:colOff>
      <xdr:row>53</xdr:row>
      <xdr:rowOff>10112</xdr:rowOff>
    </xdr:to>
    <xdr:sp macro="" textlink="">
      <xdr:nvSpPr>
        <xdr:cNvPr id="7" name="Text Box 582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>
          <a:spLocks noChangeAspect="1" noChangeArrowheads="1"/>
        </xdr:cNvSpPr>
      </xdr:nvSpPr>
      <xdr:spPr bwMode="auto">
        <a:xfrm>
          <a:off x="347056" y="8658362"/>
          <a:ext cx="4177366" cy="56378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it-IT" sz="1600" b="1" i="0" u="sng" strike="noStrike">
              <a:solidFill>
                <a:srgbClr val="000000"/>
              </a:solidFill>
              <a:latin typeface="Arial"/>
              <a:cs typeface="Arial"/>
            </a:rPr>
            <a:t>H Parte</a:t>
          </a:r>
        </a:p>
        <a:p>
          <a:pPr algn="l" rtl="0">
            <a:defRPr sz="1000"/>
          </a:pPr>
          <a:r>
            <a:rPr lang="it-IT" sz="1600" b="1" i="0" u="sng" strike="noStrike">
              <a:solidFill>
                <a:srgbClr val="000000"/>
              </a:solidFill>
              <a:latin typeface="Arial"/>
              <a:cs typeface="Arial"/>
            </a:rPr>
            <a:t>superiore =</a:t>
          </a: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311150</xdr:colOff>
      <xdr:row>32</xdr:row>
      <xdr:rowOff>118821</xdr:rowOff>
    </xdr:from>
    <xdr:to>
      <xdr:col>2</xdr:col>
      <xdr:colOff>237247</xdr:colOff>
      <xdr:row>35</xdr:row>
      <xdr:rowOff>26852</xdr:rowOff>
    </xdr:to>
    <xdr:sp macro="" textlink="$U$4">
      <xdr:nvSpPr>
        <xdr:cNvPr id="8" name="Text Box 564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368300" y="5843346"/>
          <a:ext cx="1145297" cy="384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4732221C-F607-41DB-A07A-E3F1BF5768D8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80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4</xdr:col>
      <xdr:colOff>85725</xdr:colOff>
      <xdr:row>42</xdr:row>
      <xdr:rowOff>95250</xdr:rowOff>
    </xdr:from>
    <xdr:to>
      <xdr:col>4</xdr:col>
      <xdr:colOff>133350</xdr:colOff>
      <xdr:row>42</xdr:row>
      <xdr:rowOff>123825</xdr:rowOff>
    </xdr:to>
    <xdr:sp macro="" textlink="">
      <xdr:nvSpPr>
        <xdr:cNvPr id="11883" name="Freeform 6">
          <a:extLst>
            <a:ext uri="{FF2B5EF4-FFF2-40B4-BE49-F238E27FC236}">
              <a16:creationId xmlns:a16="http://schemas.microsoft.com/office/drawing/2014/main" id="{00000000-0008-0000-0900-00006B2E0000}"/>
            </a:ext>
          </a:extLst>
        </xdr:cNvPr>
        <xdr:cNvSpPr>
          <a:spLocks noChangeAspect="1"/>
        </xdr:cNvSpPr>
      </xdr:nvSpPr>
      <xdr:spPr bwMode="auto">
        <a:xfrm>
          <a:off x="2219325" y="7429500"/>
          <a:ext cx="47625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0"/>
              </a:moveTo>
              <a:lnTo>
                <a:pt x="104" y="0"/>
              </a:lnTo>
              <a:lnTo>
                <a:pt x="102" y="12"/>
              </a:lnTo>
              <a:lnTo>
                <a:pt x="99" y="23"/>
              </a:lnTo>
              <a:lnTo>
                <a:pt x="93" y="33"/>
              </a:lnTo>
              <a:lnTo>
                <a:pt x="84" y="41"/>
              </a:lnTo>
              <a:lnTo>
                <a:pt x="74" y="48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8"/>
              </a:lnTo>
              <a:lnTo>
                <a:pt x="19" y="41"/>
              </a:lnTo>
              <a:lnTo>
                <a:pt x="11" y="33"/>
              </a:lnTo>
              <a:lnTo>
                <a:pt x="4" y="23"/>
              </a:lnTo>
              <a:lnTo>
                <a:pt x="1" y="12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42</xdr:row>
      <xdr:rowOff>95250</xdr:rowOff>
    </xdr:from>
    <xdr:to>
      <xdr:col>4</xdr:col>
      <xdr:colOff>133350</xdr:colOff>
      <xdr:row>42</xdr:row>
      <xdr:rowOff>123825</xdr:rowOff>
    </xdr:to>
    <xdr:sp macro="" textlink="">
      <xdr:nvSpPr>
        <xdr:cNvPr id="11884" name="Freeform 7">
          <a:extLst>
            <a:ext uri="{FF2B5EF4-FFF2-40B4-BE49-F238E27FC236}">
              <a16:creationId xmlns:a16="http://schemas.microsoft.com/office/drawing/2014/main" id="{00000000-0008-0000-0900-00006C2E0000}"/>
            </a:ext>
          </a:extLst>
        </xdr:cNvPr>
        <xdr:cNvSpPr>
          <a:spLocks noChangeAspect="1"/>
        </xdr:cNvSpPr>
      </xdr:nvSpPr>
      <xdr:spPr bwMode="auto">
        <a:xfrm>
          <a:off x="2219325" y="7429500"/>
          <a:ext cx="47625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104" y="0"/>
              </a:moveTo>
              <a:lnTo>
                <a:pt x="102" y="12"/>
              </a:lnTo>
              <a:lnTo>
                <a:pt x="99" y="23"/>
              </a:lnTo>
              <a:lnTo>
                <a:pt x="93" y="33"/>
              </a:lnTo>
              <a:lnTo>
                <a:pt x="84" y="41"/>
              </a:lnTo>
              <a:lnTo>
                <a:pt x="74" y="48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8"/>
              </a:lnTo>
              <a:lnTo>
                <a:pt x="19" y="41"/>
              </a:lnTo>
              <a:lnTo>
                <a:pt x="11" y="33"/>
              </a:lnTo>
              <a:lnTo>
                <a:pt x="4" y="23"/>
              </a:lnTo>
              <a:lnTo>
                <a:pt x="1" y="12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20</xdr:row>
      <xdr:rowOff>133350</xdr:rowOff>
    </xdr:from>
    <xdr:to>
      <xdr:col>4</xdr:col>
      <xdr:colOff>133350</xdr:colOff>
      <xdr:row>42</xdr:row>
      <xdr:rowOff>85725</xdr:rowOff>
    </xdr:to>
    <xdr:sp macro="" textlink="">
      <xdr:nvSpPr>
        <xdr:cNvPr id="11885" name="Freeform 8">
          <a:extLst>
            <a:ext uri="{FF2B5EF4-FFF2-40B4-BE49-F238E27FC236}">
              <a16:creationId xmlns:a16="http://schemas.microsoft.com/office/drawing/2014/main" id="{00000000-0008-0000-0900-00006D2E0000}"/>
            </a:ext>
          </a:extLst>
        </xdr:cNvPr>
        <xdr:cNvSpPr>
          <a:spLocks noChangeAspect="1"/>
        </xdr:cNvSpPr>
      </xdr:nvSpPr>
      <xdr:spPr bwMode="auto">
        <a:xfrm>
          <a:off x="2219325" y="3905250"/>
          <a:ext cx="47625" cy="3514725"/>
        </a:xfrm>
        <a:custGeom>
          <a:avLst/>
          <a:gdLst>
            <a:gd name="T0" fmla="*/ 0 w 104"/>
            <a:gd name="T1" fmla="*/ 2147483647 h 7389"/>
            <a:gd name="T2" fmla="*/ 0 w 104"/>
            <a:gd name="T3" fmla="*/ 2147483647 h 7389"/>
            <a:gd name="T4" fmla="*/ 0 w 104"/>
            <a:gd name="T5" fmla="*/ 2147483647 h 7389"/>
            <a:gd name="T6" fmla="*/ 0 w 104"/>
            <a:gd name="T7" fmla="*/ 0 h 7389"/>
            <a:gd name="T8" fmla="*/ 0 w 104"/>
            <a:gd name="T9" fmla="*/ 0 h 7389"/>
            <a:gd name="T10" fmla="*/ 0 w 104"/>
            <a:gd name="T11" fmla="*/ 0 h 7389"/>
            <a:gd name="T12" fmla="*/ 0 w 104"/>
            <a:gd name="T13" fmla="*/ 2147483647 h 73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389"/>
            <a:gd name="T23" fmla="*/ 104 w 104"/>
            <a:gd name="T24" fmla="*/ 7389 h 73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389">
              <a:moveTo>
                <a:pt x="0" y="7389"/>
              </a:moveTo>
              <a:lnTo>
                <a:pt x="52" y="7389"/>
              </a:lnTo>
              <a:lnTo>
                <a:pt x="104" y="7389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738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20</xdr:row>
      <xdr:rowOff>133350</xdr:rowOff>
    </xdr:from>
    <xdr:to>
      <xdr:col>4</xdr:col>
      <xdr:colOff>133350</xdr:colOff>
      <xdr:row>42</xdr:row>
      <xdr:rowOff>85725</xdr:rowOff>
    </xdr:to>
    <xdr:sp macro="" textlink="">
      <xdr:nvSpPr>
        <xdr:cNvPr id="11886" name="Freeform 9">
          <a:extLst>
            <a:ext uri="{FF2B5EF4-FFF2-40B4-BE49-F238E27FC236}">
              <a16:creationId xmlns:a16="http://schemas.microsoft.com/office/drawing/2014/main" id="{00000000-0008-0000-0900-00006E2E0000}"/>
            </a:ext>
          </a:extLst>
        </xdr:cNvPr>
        <xdr:cNvSpPr>
          <a:spLocks noChangeAspect="1"/>
        </xdr:cNvSpPr>
      </xdr:nvSpPr>
      <xdr:spPr bwMode="auto">
        <a:xfrm>
          <a:off x="2219325" y="3905250"/>
          <a:ext cx="47625" cy="3514725"/>
        </a:xfrm>
        <a:custGeom>
          <a:avLst/>
          <a:gdLst>
            <a:gd name="T0" fmla="*/ 0 w 104"/>
            <a:gd name="T1" fmla="*/ 2147483647 h 7389"/>
            <a:gd name="T2" fmla="*/ 0 w 104"/>
            <a:gd name="T3" fmla="*/ 2147483647 h 7389"/>
            <a:gd name="T4" fmla="*/ 0 w 104"/>
            <a:gd name="T5" fmla="*/ 2147483647 h 7389"/>
            <a:gd name="T6" fmla="*/ 0 w 104"/>
            <a:gd name="T7" fmla="*/ 0 h 7389"/>
            <a:gd name="T8" fmla="*/ 0 w 104"/>
            <a:gd name="T9" fmla="*/ 0 h 7389"/>
            <a:gd name="T10" fmla="*/ 0 w 104"/>
            <a:gd name="T11" fmla="*/ 0 h 7389"/>
            <a:gd name="T12" fmla="*/ 0 w 104"/>
            <a:gd name="T13" fmla="*/ 2147483647 h 73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389"/>
            <a:gd name="T23" fmla="*/ 104 w 104"/>
            <a:gd name="T24" fmla="*/ 7389 h 73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389">
              <a:moveTo>
                <a:pt x="0" y="7389"/>
              </a:moveTo>
              <a:lnTo>
                <a:pt x="52" y="7389"/>
              </a:lnTo>
              <a:lnTo>
                <a:pt x="104" y="7389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7389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20</xdr:row>
      <xdr:rowOff>104775</xdr:rowOff>
    </xdr:from>
    <xdr:to>
      <xdr:col>4</xdr:col>
      <xdr:colOff>133350</xdr:colOff>
      <xdr:row>20</xdr:row>
      <xdr:rowOff>142875</xdr:rowOff>
    </xdr:to>
    <xdr:sp macro="" textlink="">
      <xdr:nvSpPr>
        <xdr:cNvPr id="11887" name="Freeform 10">
          <a:extLst>
            <a:ext uri="{FF2B5EF4-FFF2-40B4-BE49-F238E27FC236}">
              <a16:creationId xmlns:a16="http://schemas.microsoft.com/office/drawing/2014/main" id="{00000000-0008-0000-0900-00006F2E0000}"/>
            </a:ext>
          </a:extLst>
        </xdr:cNvPr>
        <xdr:cNvSpPr>
          <a:spLocks noChangeAspect="1"/>
        </xdr:cNvSpPr>
      </xdr:nvSpPr>
      <xdr:spPr bwMode="auto">
        <a:xfrm>
          <a:off x="2219325" y="3876675"/>
          <a:ext cx="47625" cy="38100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w 104"/>
            <a:gd name="T31" fmla="*/ 0 h 53"/>
            <a:gd name="T32" fmla="*/ 0 w 104"/>
            <a:gd name="T33" fmla="*/ 0 h 53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3"/>
            <a:gd name="T53" fmla="*/ 104 w 104"/>
            <a:gd name="T54" fmla="*/ 53 h 53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3">
              <a:moveTo>
                <a:pt x="52" y="53"/>
              </a:move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20</xdr:row>
      <xdr:rowOff>104775</xdr:rowOff>
    </xdr:from>
    <xdr:to>
      <xdr:col>4</xdr:col>
      <xdr:colOff>133350</xdr:colOff>
      <xdr:row>20</xdr:row>
      <xdr:rowOff>142875</xdr:rowOff>
    </xdr:to>
    <xdr:sp macro="" textlink="">
      <xdr:nvSpPr>
        <xdr:cNvPr id="11888" name="Freeform 11">
          <a:extLst>
            <a:ext uri="{FF2B5EF4-FFF2-40B4-BE49-F238E27FC236}">
              <a16:creationId xmlns:a16="http://schemas.microsoft.com/office/drawing/2014/main" id="{00000000-0008-0000-0900-0000702E0000}"/>
            </a:ext>
          </a:extLst>
        </xdr:cNvPr>
        <xdr:cNvSpPr>
          <a:spLocks noChangeAspect="1"/>
        </xdr:cNvSpPr>
      </xdr:nvSpPr>
      <xdr:spPr bwMode="auto">
        <a:xfrm>
          <a:off x="2219325" y="3876675"/>
          <a:ext cx="47625" cy="38100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3"/>
            <a:gd name="T47" fmla="*/ 104 w 104"/>
            <a:gd name="T48" fmla="*/ 53 h 53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3">
              <a:moveTo>
                <a:pt x="0" y="53"/>
              </a:move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20</xdr:row>
      <xdr:rowOff>104775</xdr:rowOff>
    </xdr:from>
    <xdr:to>
      <xdr:col>2</xdr:col>
      <xdr:colOff>419100</xdr:colOff>
      <xdr:row>21</xdr:row>
      <xdr:rowOff>9525</xdr:rowOff>
    </xdr:to>
    <xdr:sp macro="" textlink="">
      <xdr:nvSpPr>
        <xdr:cNvPr id="11889" name="Freeform 12">
          <a:extLst>
            <a:ext uri="{FF2B5EF4-FFF2-40B4-BE49-F238E27FC236}">
              <a16:creationId xmlns:a16="http://schemas.microsoft.com/office/drawing/2014/main" id="{00000000-0008-0000-0900-0000712E0000}"/>
            </a:ext>
          </a:extLst>
        </xdr:cNvPr>
        <xdr:cNvSpPr>
          <a:spLocks noChangeAspect="1"/>
        </xdr:cNvSpPr>
      </xdr:nvSpPr>
      <xdr:spPr bwMode="auto">
        <a:xfrm>
          <a:off x="1457325" y="3876675"/>
          <a:ext cx="28575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3"/>
              </a:moveTo>
              <a:lnTo>
                <a:pt x="52" y="104"/>
              </a:ln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5" y="75"/>
              </a:lnTo>
              <a:lnTo>
                <a:pt x="2" y="64"/>
              </a:lnTo>
              <a:lnTo>
                <a:pt x="0" y="53"/>
              </a:ln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20</xdr:row>
      <xdr:rowOff>104775</xdr:rowOff>
    </xdr:from>
    <xdr:to>
      <xdr:col>2</xdr:col>
      <xdr:colOff>419100</xdr:colOff>
      <xdr:row>21</xdr:row>
      <xdr:rowOff>9525</xdr:rowOff>
    </xdr:to>
    <xdr:sp macro="" textlink="">
      <xdr:nvSpPr>
        <xdr:cNvPr id="11890" name="Freeform 13">
          <a:extLst>
            <a:ext uri="{FF2B5EF4-FFF2-40B4-BE49-F238E27FC236}">
              <a16:creationId xmlns:a16="http://schemas.microsoft.com/office/drawing/2014/main" id="{00000000-0008-0000-0900-0000722E0000}"/>
            </a:ext>
          </a:extLst>
        </xdr:cNvPr>
        <xdr:cNvSpPr>
          <a:spLocks noChangeAspect="1"/>
        </xdr:cNvSpPr>
      </xdr:nvSpPr>
      <xdr:spPr bwMode="auto">
        <a:xfrm>
          <a:off x="1457325" y="3876675"/>
          <a:ext cx="28575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5" y="75"/>
              </a:lnTo>
              <a:lnTo>
                <a:pt x="2" y="64"/>
              </a:lnTo>
              <a:lnTo>
                <a:pt x="0" y="53"/>
              </a:ln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419100</xdr:colOff>
      <xdr:row>20</xdr:row>
      <xdr:rowOff>104775</xdr:rowOff>
    </xdr:from>
    <xdr:to>
      <xdr:col>3</xdr:col>
      <xdr:colOff>266700</xdr:colOff>
      <xdr:row>21</xdr:row>
      <xdr:rowOff>9525</xdr:rowOff>
    </xdr:to>
    <xdr:sp macro="" textlink="">
      <xdr:nvSpPr>
        <xdr:cNvPr id="11891" name="Freeform 14">
          <a:extLst>
            <a:ext uri="{FF2B5EF4-FFF2-40B4-BE49-F238E27FC236}">
              <a16:creationId xmlns:a16="http://schemas.microsoft.com/office/drawing/2014/main" id="{00000000-0008-0000-0900-0000732E0000}"/>
            </a:ext>
          </a:extLst>
        </xdr:cNvPr>
        <xdr:cNvSpPr>
          <a:spLocks noChangeAspect="1"/>
        </xdr:cNvSpPr>
      </xdr:nvSpPr>
      <xdr:spPr bwMode="auto">
        <a:xfrm>
          <a:off x="1485900" y="3876675"/>
          <a:ext cx="381000" cy="66675"/>
        </a:xfrm>
        <a:custGeom>
          <a:avLst/>
          <a:gdLst>
            <a:gd name="T0" fmla="*/ 0 w 793"/>
            <a:gd name="T1" fmla="*/ 0 h 104"/>
            <a:gd name="T2" fmla="*/ 0 w 793"/>
            <a:gd name="T3" fmla="*/ 0 h 104"/>
            <a:gd name="T4" fmla="*/ 0 w 793"/>
            <a:gd name="T5" fmla="*/ 0 h 104"/>
            <a:gd name="T6" fmla="*/ 2147483647 w 793"/>
            <a:gd name="T7" fmla="*/ 0 h 104"/>
            <a:gd name="T8" fmla="*/ 2147483647 w 793"/>
            <a:gd name="T9" fmla="*/ 0 h 104"/>
            <a:gd name="T10" fmla="*/ 2147483647 w 793"/>
            <a:gd name="T11" fmla="*/ 0 h 104"/>
            <a:gd name="T12" fmla="*/ 0 w 793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93"/>
            <a:gd name="T22" fmla="*/ 0 h 104"/>
            <a:gd name="T23" fmla="*/ 793 w 793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93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793" y="104"/>
              </a:lnTo>
              <a:lnTo>
                <a:pt x="793" y="53"/>
              </a:lnTo>
              <a:lnTo>
                <a:pt x="793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419100</xdr:colOff>
      <xdr:row>20</xdr:row>
      <xdr:rowOff>104775</xdr:rowOff>
    </xdr:from>
    <xdr:to>
      <xdr:col>3</xdr:col>
      <xdr:colOff>266700</xdr:colOff>
      <xdr:row>21</xdr:row>
      <xdr:rowOff>9525</xdr:rowOff>
    </xdr:to>
    <xdr:sp macro="" textlink="">
      <xdr:nvSpPr>
        <xdr:cNvPr id="11892" name="Freeform 15">
          <a:extLst>
            <a:ext uri="{FF2B5EF4-FFF2-40B4-BE49-F238E27FC236}">
              <a16:creationId xmlns:a16="http://schemas.microsoft.com/office/drawing/2014/main" id="{00000000-0008-0000-0900-0000742E0000}"/>
            </a:ext>
          </a:extLst>
        </xdr:cNvPr>
        <xdr:cNvSpPr>
          <a:spLocks noChangeAspect="1"/>
        </xdr:cNvSpPr>
      </xdr:nvSpPr>
      <xdr:spPr bwMode="auto">
        <a:xfrm>
          <a:off x="1485900" y="3876675"/>
          <a:ext cx="381000" cy="66675"/>
        </a:xfrm>
        <a:custGeom>
          <a:avLst/>
          <a:gdLst>
            <a:gd name="T0" fmla="*/ 0 w 793"/>
            <a:gd name="T1" fmla="*/ 0 h 104"/>
            <a:gd name="T2" fmla="*/ 0 w 793"/>
            <a:gd name="T3" fmla="*/ 0 h 104"/>
            <a:gd name="T4" fmla="*/ 0 w 793"/>
            <a:gd name="T5" fmla="*/ 0 h 104"/>
            <a:gd name="T6" fmla="*/ 2147483647 w 793"/>
            <a:gd name="T7" fmla="*/ 0 h 104"/>
            <a:gd name="T8" fmla="*/ 2147483647 w 793"/>
            <a:gd name="T9" fmla="*/ 0 h 104"/>
            <a:gd name="T10" fmla="*/ 2147483647 w 793"/>
            <a:gd name="T11" fmla="*/ 0 h 104"/>
            <a:gd name="T12" fmla="*/ 0 w 793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93"/>
            <a:gd name="T22" fmla="*/ 0 h 104"/>
            <a:gd name="T23" fmla="*/ 793 w 793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93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793" y="104"/>
              </a:lnTo>
              <a:lnTo>
                <a:pt x="793" y="53"/>
              </a:lnTo>
              <a:lnTo>
                <a:pt x="793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95250</xdr:colOff>
      <xdr:row>20</xdr:row>
      <xdr:rowOff>104775</xdr:rowOff>
    </xdr:from>
    <xdr:to>
      <xdr:col>4</xdr:col>
      <xdr:colOff>123825</xdr:colOff>
      <xdr:row>21</xdr:row>
      <xdr:rowOff>9525</xdr:rowOff>
    </xdr:to>
    <xdr:sp macro="" textlink="">
      <xdr:nvSpPr>
        <xdr:cNvPr id="11893" name="Freeform 16">
          <a:extLst>
            <a:ext uri="{FF2B5EF4-FFF2-40B4-BE49-F238E27FC236}">
              <a16:creationId xmlns:a16="http://schemas.microsoft.com/office/drawing/2014/main" id="{00000000-0008-0000-0900-0000752E0000}"/>
            </a:ext>
          </a:extLst>
        </xdr:cNvPr>
        <xdr:cNvSpPr>
          <a:spLocks noChangeAspect="1"/>
        </xdr:cNvSpPr>
      </xdr:nvSpPr>
      <xdr:spPr bwMode="auto">
        <a:xfrm>
          <a:off x="2228850" y="3876675"/>
          <a:ext cx="28575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3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95250</xdr:colOff>
      <xdr:row>20</xdr:row>
      <xdr:rowOff>104775</xdr:rowOff>
    </xdr:from>
    <xdr:to>
      <xdr:col>4</xdr:col>
      <xdr:colOff>123825</xdr:colOff>
      <xdr:row>21</xdr:row>
      <xdr:rowOff>9525</xdr:rowOff>
    </xdr:to>
    <xdr:sp macro="" textlink="">
      <xdr:nvSpPr>
        <xdr:cNvPr id="11894" name="Freeform 17">
          <a:extLst>
            <a:ext uri="{FF2B5EF4-FFF2-40B4-BE49-F238E27FC236}">
              <a16:creationId xmlns:a16="http://schemas.microsoft.com/office/drawing/2014/main" id="{00000000-0008-0000-0900-0000762E0000}"/>
            </a:ext>
          </a:extLst>
        </xdr:cNvPr>
        <xdr:cNvSpPr>
          <a:spLocks noChangeAspect="1"/>
        </xdr:cNvSpPr>
      </xdr:nvSpPr>
      <xdr:spPr bwMode="auto">
        <a:xfrm>
          <a:off x="2228850" y="3876675"/>
          <a:ext cx="28575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0</xdr:colOff>
      <xdr:row>20</xdr:row>
      <xdr:rowOff>104775</xdr:rowOff>
    </xdr:from>
    <xdr:to>
      <xdr:col>12</xdr:col>
      <xdr:colOff>28575</xdr:colOff>
      <xdr:row>20</xdr:row>
      <xdr:rowOff>142875</xdr:rowOff>
    </xdr:to>
    <xdr:sp macro="" textlink="">
      <xdr:nvSpPr>
        <xdr:cNvPr id="11895" name="Freeform 18">
          <a:extLst>
            <a:ext uri="{FF2B5EF4-FFF2-40B4-BE49-F238E27FC236}">
              <a16:creationId xmlns:a16="http://schemas.microsoft.com/office/drawing/2014/main" id="{00000000-0008-0000-0900-0000772E0000}"/>
            </a:ext>
          </a:extLst>
        </xdr:cNvPr>
        <xdr:cNvSpPr>
          <a:spLocks noChangeAspect="1"/>
        </xdr:cNvSpPr>
      </xdr:nvSpPr>
      <xdr:spPr bwMode="auto">
        <a:xfrm>
          <a:off x="6572250" y="3876675"/>
          <a:ext cx="28575" cy="38100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w 104"/>
            <a:gd name="T31" fmla="*/ 0 h 53"/>
            <a:gd name="T32" fmla="*/ 0 w 104"/>
            <a:gd name="T33" fmla="*/ 0 h 53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3"/>
            <a:gd name="T53" fmla="*/ 104 w 104"/>
            <a:gd name="T54" fmla="*/ 53 h 53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3">
              <a:moveTo>
                <a:pt x="52" y="53"/>
              </a:moveTo>
              <a:lnTo>
                <a:pt x="0" y="53"/>
              </a:ln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0</xdr:colOff>
      <xdr:row>20</xdr:row>
      <xdr:rowOff>104775</xdr:rowOff>
    </xdr:from>
    <xdr:to>
      <xdr:col>12</xdr:col>
      <xdr:colOff>28575</xdr:colOff>
      <xdr:row>20</xdr:row>
      <xdr:rowOff>142875</xdr:rowOff>
    </xdr:to>
    <xdr:sp macro="" textlink="">
      <xdr:nvSpPr>
        <xdr:cNvPr id="11896" name="Freeform 19">
          <a:extLst>
            <a:ext uri="{FF2B5EF4-FFF2-40B4-BE49-F238E27FC236}">
              <a16:creationId xmlns:a16="http://schemas.microsoft.com/office/drawing/2014/main" id="{00000000-0008-0000-0900-0000782E0000}"/>
            </a:ext>
          </a:extLst>
        </xdr:cNvPr>
        <xdr:cNvSpPr>
          <a:spLocks noChangeAspect="1"/>
        </xdr:cNvSpPr>
      </xdr:nvSpPr>
      <xdr:spPr bwMode="auto">
        <a:xfrm>
          <a:off x="6572250" y="3876675"/>
          <a:ext cx="28575" cy="38100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3"/>
            <a:gd name="T47" fmla="*/ 104 w 104"/>
            <a:gd name="T48" fmla="*/ 53 h 53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3">
              <a:moveTo>
                <a:pt x="0" y="53"/>
              </a:move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0</xdr:colOff>
      <xdr:row>20</xdr:row>
      <xdr:rowOff>133350</xdr:rowOff>
    </xdr:from>
    <xdr:to>
      <xdr:col>12</xdr:col>
      <xdr:colOff>28575</xdr:colOff>
      <xdr:row>42</xdr:row>
      <xdr:rowOff>85725</xdr:rowOff>
    </xdr:to>
    <xdr:sp macro="" textlink="">
      <xdr:nvSpPr>
        <xdr:cNvPr id="11897" name="Freeform 20">
          <a:extLst>
            <a:ext uri="{FF2B5EF4-FFF2-40B4-BE49-F238E27FC236}">
              <a16:creationId xmlns:a16="http://schemas.microsoft.com/office/drawing/2014/main" id="{00000000-0008-0000-0900-0000792E0000}"/>
            </a:ext>
          </a:extLst>
        </xdr:cNvPr>
        <xdr:cNvSpPr>
          <a:spLocks noChangeAspect="1"/>
        </xdr:cNvSpPr>
      </xdr:nvSpPr>
      <xdr:spPr bwMode="auto">
        <a:xfrm>
          <a:off x="6572250" y="3905250"/>
          <a:ext cx="28575" cy="3514725"/>
        </a:xfrm>
        <a:custGeom>
          <a:avLst/>
          <a:gdLst>
            <a:gd name="T0" fmla="*/ 0 w 104"/>
            <a:gd name="T1" fmla="*/ 0 h 7389"/>
            <a:gd name="T2" fmla="*/ 0 w 104"/>
            <a:gd name="T3" fmla="*/ 0 h 7389"/>
            <a:gd name="T4" fmla="*/ 0 w 104"/>
            <a:gd name="T5" fmla="*/ 0 h 7389"/>
            <a:gd name="T6" fmla="*/ 0 w 104"/>
            <a:gd name="T7" fmla="*/ 2147483647 h 7389"/>
            <a:gd name="T8" fmla="*/ 0 w 104"/>
            <a:gd name="T9" fmla="*/ 2147483647 h 7389"/>
            <a:gd name="T10" fmla="*/ 0 w 104"/>
            <a:gd name="T11" fmla="*/ 2147483647 h 7389"/>
            <a:gd name="T12" fmla="*/ 0 w 104"/>
            <a:gd name="T13" fmla="*/ 0 h 73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389"/>
            <a:gd name="T23" fmla="*/ 104 w 104"/>
            <a:gd name="T24" fmla="*/ 7389 h 73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389">
              <a:moveTo>
                <a:pt x="104" y="0"/>
              </a:moveTo>
              <a:lnTo>
                <a:pt x="52" y="0"/>
              </a:lnTo>
              <a:lnTo>
                <a:pt x="0" y="0"/>
              </a:lnTo>
              <a:lnTo>
                <a:pt x="0" y="7389"/>
              </a:lnTo>
              <a:lnTo>
                <a:pt x="52" y="7389"/>
              </a:lnTo>
              <a:lnTo>
                <a:pt x="104" y="7389"/>
              </a:lnTo>
              <a:lnTo>
                <a:pt x="104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390525</xdr:colOff>
      <xdr:row>42</xdr:row>
      <xdr:rowOff>76200</xdr:rowOff>
    </xdr:from>
    <xdr:to>
      <xdr:col>17</xdr:col>
      <xdr:colOff>28575</xdr:colOff>
      <xdr:row>42</xdr:row>
      <xdr:rowOff>114300</xdr:rowOff>
    </xdr:to>
    <xdr:sp macro="" textlink="">
      <xdr:nvSpPr>
        <xdr:cNvPr id="11898" name="Freeform 24">
          <a:extLst>
            <a:ext uri="{FF2B5EF4-FFF2-40B4-BE49-F238E27FC236}">
              <a16:creationId xmlns:a16="http://schemas.microsoft.com/office/drawing/2014/main" id="{00000000-0008-0000-0900-00007A2E0000}"/>
            </a:ext>
          </a:extLst>
        </xdr:cNvPr>
        <xdr:cNvSpPr>
          <a:spLocks noChangeAspect="1"/>
        </xdr:cNvSpPr>
      </xdr:nvSpPr>
      <xdr:spPr bwMode="auto">
        <a:xfrm>
          <a:off x="9096375" y="7410450"/>
          <a:ext cx="114300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2"/>
              </a:moveTo>
              <a:lnTo>
                <a:pt x="0" y="0"/>
              </a:lnTo>
              <a:lnTo>
                <a:pt x="12" y="2"/>
              </a:lnTo>
              <a:lnTo>
                <a:pt x="22" y="5"/>
              </a:lnTo>
              <a:lnTo>
                <a:pt x="33" y="12"/>
              </a:lnTo>
              <a:lnTo>
                <a:pt x="41" y="20"/>
              </a:lnTo>
              <a:lnTo>
                <a:pt x="47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7" y="75"/>
              </a:lnTo>
              <a:lnTo>
                <a:pt x="41" y="85"/>
              </a:lnTo>
              <a:lnTo>
                <a:pt x="33" y="93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390525</xdr:colOff>
      <xdr:row>42</xdr:row>
      <xdr:rowOff>76200</xdr:rowOff>
    </xdr:from>
    <xdr:to>
      <xdr:col>17</xdr:col>
      <xdr:colOff>28575</xdr:colOff>
      <xdr:row>42</xdr:row>
      <xdr:rowOff>114300</xdr:rowOff>
    </xdr:to>
    <xdr:sp macro="" textlink="">
      <xdr:nvSpPr>
        <xdr:cNvPr id="11899" name="Freeform 25">
          <a:extLst>
            <a:ext uri="{FF2B5EF4-FFF2-40B4-BE49-F238E27FC236}">
              <a16:creationId xmlns:a16="http://schemas.microsoft.com/office/drawing/2014/main" id="{00000000-0008-0000-0900-00007B2E0000}"/>
            </a:ext>
          </a:extLst>
        </xdr:cNvPr>
        <xdr:cNvSpPr>
          <a:spLocks noChangeAspect="1"/>
        </xdr:cNvSpPr>
      </xdr:nvSpPr>
      <xdr:spPr bwMode="auto">
        <a:xfrm>
          <a:off x="9096375" y="7410450"/>
          <a:ext cx="114300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5"/>
              </a:lnTo>
              <a:lnTo>
                <a:pt x="33" y="12"/>
              </a:lnTo>
              <a:lnTo>
                <a:pt x="41" y="20"/>
              </a:lnTo>
              <a:lnTo>
                <a:pt x="47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7" y="75"/>
              </a:lnTo>
              <a:lnTo>
                <a:pt x="41" y="85"/>
              </a:lnTo>
              <a:lnTo>
                <a:pt x="33" y="93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104775</xdr:colOff>
      <xdr:row>42</xdr:row>
      <xdr:rowOff>76200</xdr:rowOff>
    </xdr:from>
    <xdr:to>
      <xdr:col>16</xdr:col>
      <xdr:colOff>390525</xdr:colOff>
      <xdr:row>42</xdr:row>
      <xdr:rowOff>114300</xdr:rowOff>
    </xdr:to>
    <xdr:sp macro="" textlink="">
      <xdr:nvSpPr>
        <xdr:cNvPr id="11900" name="Freeform 26">
          <a:extLst>
            <a:ext uri="{FF2B5EF4-FFF2-40B4-BE49-F238E27FC236}">
              <a16:creationId xmlns:a16="http://schemas.microsoft.com/office/drawing/2014/main" id="{00000000-0008-0000-0900-00007C2E0000}"/>
            </a:ext>
          </a:extLst>
        </xdr:cNvPr>
        <xdr:cNvSpPr>
          <a:spLocks noChangeAspect="1"/>
        </xdr:cNvSpPr>
      </xdr:nvSpPr>
      <xdr:spPr bwMode="auto">
        <a:xfrm>
          <a:off x="2238375" y="7410450"/>
          <a:ext cx="6858000" cy="38100"/>
        </a:xfrm>
        <a:custGeom>
          <a:avLst/>
          <a:gdLst>
            <a:gd name="T0" fmla="*/ 2147483647 w 14940"/>
            <a:gd name="T1" fmla="*/ 0 h 104"/>
            <a:gd name="T2" fmla="*/ 2147483647 w 14940"/>
            <a:gd name="T3" fmla="*/ 0 h 104"/>
            <a:gd name="T4" fmla="*/ 2147483647 w 14940"/>
            <a:gd name="T5" fmla="*/ 0 h 104"/>
            <a:gd name="T6" fmla="*/ 0 w 14940"/>
            <a:gd name="T7" fmla="*/ 0 h 104"/>
            <a:gd name="T8" fmla="*/ 0 w 14940"/>
            <a:gd name="T9" fmla="*/ 0 h 104"/>
            <a:gd name="T10" fmla="*/ 0 w 14940"/>
            <a:gd name="T11" fmla="*/ 0 h 104"/>
            <a:gd name="T12" fmla="*/ 2147483647 w 14940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4940"/>
            <a:gd name="T22" fmla="*/ 0 h 104"/>
            <a:gd name="T23" fmla="*/ 14940 w 14940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4940" h="104">
              <a:moveTo>
                <a:pt x="14940" y="104"/>
              </a:moveTo>
              <a:lnTo>
                <a:pt x="14940" y="52"/>
              </a:lnTo>
              <a:lnTo>
                <a:pt x="14940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14940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104775</xdr:colOff>
      <xdr:row>42</xdr:row>
      <xdr:rowOff>76200</xdr:rowOff>
    </xdr:from>
    <xdr:to>
      <xdr:col>16</xdr:col>
      <xdr:colOff>390525</xdr:colOff>
      <xdr:row>42</xdr:row>
      <xdr:rowOff>114300</xdr:rowOff>
    </xdr:to>
    <xdr:sp macro="" textlink="">
      <xdr:nvSpPr>
        <xdr:cNvPr id="11901" name="Freeform 27">
          <a:extLst>
            <a:ext uri="{FF2B5EF4-FFF2-40B4-BE49-F238E27FC236}">
              <a16:creationId xmlns:a16="http://schemas.microsoft.com/office/drawing/2014/main" id="{00000000-0008-0000-0900-00007D2E0000}"/>
            </a:ext>
          </a:extLst>
        </xdr:cNvPr>
        <xdr:cNvSpPr>
          <a:spLocks noChangeAspect="1"/>
        </xdr:cNvSpPr>
      </xdr:nvSpPr>
      <xdr:spPr bwMode="auto">
        <a:xfrm>
          <a:off x="2238375" y="7410450"/>
          <a:ext cx="6858000" cy="38100"/>
        </a:xfrm>
        <a:custGeom>
          <a:avLst/>
          <a:gdLst>
            <a:gd name="T0" fmla="*/ 2147483647 w 14940"/>
            <a:gd name="T1" fmla="*/ 0 h 104"/>
            <a:gd name="T2" fmla="*/ 2147483647 w 14940"/>
            <a:gd name="T3" fmla="*/ 0 h 104"/>
            <a:gd name="T4" fmla="*/ 2147483647 w 14940"/>
            <a:gd name="T5" fmla="*/ 0 h 104"/>
            <a:gd name="T6" fmla="*/ 0 w 14940"/>
            <a:gd name="T7" fmla="*/ 0 h 104"/>
            <a:gd name="T8" fmla="*/ 0 w 14940"/>
            <a:gd name="T9" fmla="*/ 0 h 104"/>
            <a:gd name="T10" fmla="*/ 0 w 14940"/>
            <a:gd name="T11" fmla="*/ 0 h 104"/>
            <a:gd name="T12" fmla="*/ 2147483647 w 14940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4940"/>
            <a:gd name="T22" fmla="*/ 0 h 104"/>
            <a:gd name="T23" fmla="*/ 14940 w 14940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4940" h="104">
              <a:moveTo>
                <a:pt x="14940" y="104"/>
              </a:moveTo>
              <a:lnTo>
                <a:pt x="14940" y="52"/>
              </a:lnTo>
              <a:lnTo>
                <a:pt x="14940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14940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42</xdr:row>
      <xdr:rowOff>76200</xdr:rowOff>
    </xdr:from>
    <xdr:to>
      <xdr:col>4</xdr:col>
      <xdr:colOff>114300</xdr:colOff>
      <xdr:row>42</xdr:row>
      <xdr:rowOff>123825</xdr:rowOff>
    </xdr:to>
    <xdr:sp macro="" textlink="">
      <xdr:nvSpPr>
        <xdr:cNvPr id="11902" name="Freeform 28">
          <a:extLst>
            <a:ext uri="{FF2B5EF4-FFF2-40B4-BE49-F238E27FC236}">
              <a16:creationId xmlns:a16="http://schemas.microsoft.com/office/drawing/2014/main" id="{00000000-0008-0000-0900-00007E2E0000}"/>
            </a:ext>
          </a:extLst>
        </xdr:cNvPr>
        <xdr:cNvSpPr>
          <a:spLocks noChangeAspect="1"/>
        </xdr:cNvSpPr>
      </xdr:nvSpPr>
      <xdr:spPr bwMode="auto">
        <a:xfrm>
          <a:off x="2219325" y="7410450"/>
          <a:ext cx="2857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2"/>
              </a:moveTo>
              <a:lnTo>
                <a:pt x="52" y="104"/>
              </a:lnTo>
              <a:lnTo>
                <a:pt x="40" y="103"/>
              </a:lnTo>
              <a:lnTo>
                <a:pt x="30" y="100"/>
              </a:lnTo>
              <a:lnTo>
                <a:pt x="19" y="93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42</xdr:row>
      <xdr:rowOff>76200</xdr:rowOff>
    </xdr:from>
    <xdr:to>
      <xdr:col>4</xdr:col>
      <xdr:colOff>114300</xdr:colOff>
      <xdr:row>42</xdr:row>
      <xdr:rowOff>123825</xdr:rowOff>
    </xdr:to>
    <xdr:sp macro="" textlink="">
      <xdr:nvSpPr>
        <xdr:cNvPr id="11903" name="Freeform 29">
          <a:extLst>
            <a:ext uri="{FF2B5EF4-FFF2-40B4-BE49-F238E27FC236}">
              <a16:creationId xmlns:a16="http://schemas.microsoft.com/office/drawing/2014/main" id="{00000000-0008-0000-0900-00007F2E0000}"/>
            </a:ext>
          </a:extLst>
        </xdr:cNvPr>
        <xdr:cNvSpPr>
          <a:spLocks noChangeAspect="1"/>
        </xdr:cNvSpPr>
      </xdr:nvSpPr>
      <xdr:spPr bwMode="auto">
        <a:xfrm>
          <a:off x="2219325" y="7410450"/>
          <a:ext cx="2857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100"/>
              </a:lnTo>
              <a:lnTo>
                <a:pt x="19" y="93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371475</xdr:colOff>
      <xdr:row>42</xdr:row>
      <xdr:rowOff>95250</xdr:rowOff>
    </xdr:from>
    <xdr:to>
      <xdr:col>17</xdr:col>
      <xdr:colOff>9525</xdr:colOff>
      <xdr:row>42</xdr:row>
      <xdr:rowOff>123825</xdr:rowOff>
    </xdr:to>
    <xdr:sp macro="" textlink="">
      <xdr:nvSpPr>
        <xdr:cNvPr id="11904" name="Freeform 30">
          <a:extLst>
            <a:ext uri="{FF2B5EF4-FFF2-40B4-BE49-F238E27FC236}">
              <a16:creationId xmlns:a16="http://schemas.microsoft.com/office/drawing/2014/main" id="{00000000-0008-0000-0900-0000802E0000}"/>
            </a:ext>
          </a:extLst>
        </xdr:cNvPr>
        <xdr:cNvSpPr>
          <a:spLocks noChangeAspect="1"/>
        </xdr:cNvSpPr>
      </xdr:nvSpPr>
      <xdr:spPr bwMode="auto">
        <a:xfrm>
          <a:off x="9077325" y="7429500"/>
          <a:ext cx="114300" cy="28575"/>
        </a:xfrm>
        <a:custGeom>
          <a:avLst/>
          <a:gdLst>
            <a:gd name="T0" fmla="*/ 0 w 102"/>
            <a:gd name="T1" fmla="*/ 0 h 57"/>
            <a:gd name="T2" fmla="*/ 0 w 102"/>
            <a:gd name="T3" fmla="*/ 0 h 57"/>
            <a:gd name="T4" fmla="*/ 0 w 102"/>
            <a:gd name="T5" fmla="*/ 0 h 57"/>
            <a:gd name="T6" fmla="*/ 0 w 102"/>
            <a:gd name="T7" fmla="*/ 0 h 57"/>
            <a:gd name="T8" fmla="*/ 0 w 102"/>
            <a:gd name="T9" fmla="*/ 0 h 57"/>
            <a:gd name="T10" fmla="*/ 0 w 102"/>
            <a:gd name="T11" fmla="*/ 0 h 57"/>
            <a:gd name="T12" fmla="*/ 0 w 102"/>
            <a:gd name="T13" fmla="*/ 0 h 57"/>
            <a:gd name="T14" fmla="*/ 0 w 102"/>
            <a:gd name="T15" fmla="*/ 0 h 57"/>
            <a:gd name="T16" fmla="*/ 0 w 102"/>
            <a:gd name="T17" fmla="*/ 0 h 57"/>
            <a:gd name="T18" fmla="*/ 0 w 102"/>
            <a:gd name="T19" fmla="*/ 0 h 57"/>
            <a:gd name="T20" fmla="*/ 0 w 102"/>
            <a:gd name="T21" fmla="*/ 0 h 57"/>
            <a:gd name="T22" fmla="*/ 0 w 102"/>
            <a:gd name="T23" fmla="*/ 0 h 57"/>
            <a:gd name="T24" fmla="*/ 0 w 102"/>
            <a:gd name="T25" fmla="*/ 0 h 57"/>
            <a:gd name="T26" fmla="*/ 0 w 102"/>
            <a:gd name="T27" fmla="*/ 0 h 57"/>
            <a:gd name="T28" fmla="*/ 0 w 102"/>
            <a:gd name="T29" fmla="*/ 0 h 57"/>
            <a:gd name="T30" fmla="*/ 0 w 102"/>
            <a:gd name="T31" fmla="*/ 0 h 57"/>
            <a:gd name="T32" fmla="*/ 0 w 102"/>
            <a:gd name="T33" fmla="*/ 0 h 57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2"/>
            <a:gd name="T52" fmla="*/ 0 h 57"/>
            <a:gd name="T53" fmla="*/ 102 w 102"/>
            <a:gd name="T54" fmla="*/ 57 h 57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2" h="57">
              <a:moveTo>
                <a:pt x="51" y="5"/>
              </a:moveTo>
              <a:lnTo>
                <a:pt x="102" y="11"/>
              </a:lnTo>
              <a:lnTo>
                <a:pt x="100" y="21"/>
              </a:lnTo>
              <a:lnTo>
                <a:pt x="95" y="33"/>
              </a:lnTo>
              <a:lnTo>
                <a:pt x="89" y="41"/>
              </a:lnTo>
              <a:lnTo>
                <a:pt x="79" y="49"/>
              </a:lnTo>
              <a:lnTo>
                <a:pt x="69" y="54"/>
              </a:lnTo>
              <a:lnTo>
                <a:pt x="57" y="57"/>
              </a:lnTo>
              <a:lnTo>
                <a:pt x="46" y="57"/>
              </a:lnTo>
              <a:lnTo>
                <a:pt x="35" y="55"/>
              </a:lnTo>
              <a:lnTo>
                <a:pt x="24" y="50"/>
              </a:lnTo>
              <a:lnTo>
                <a:pt x="15" y="43"/>
              </a:lnTo>
              <a:lnTo>
                <a:pt x="8" y="34"/>
              </a:lnTo>
              <a:lnTo>
                <a:pt x="3" y="23"/>
              </a:lnTo>
              <a:lnTo>
                <a:pt x="0" y="12"/>
              </a:lnTo>
              <a:lnTo>
                <a:pt x="0" y="0"/>
              </a:lnTo>
              <a:lnTo>
                <a:pt x="51" y="5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371475</xdr:colOff>
      <xdr:row>42</xdr:row>
      <xdr:rowOff>95250</xdr:rowOff>
    </xdr:from>
    <xdr:to>
      <xdr:col>17</xdr:col>
      <xdr:colOff>9525</xdr:colOff>
      <xdr:row>42</xdr:row>
      <xdr:rowOff>123825</xdr:rowOff>
    </xdr:to>
    <xdr:sp macro="" textlink="">
      <xdr:nvSpPr>
        <xdr:cNvPr id="11905" name="Freeform 31">
          <a:extLst>
            <a:ext uri="{FF2B5EF4-FFF2-40B4-BE49-F238E27FC236}">
              <a16:creationId xmlns:a16="http://schemas.microsoft.com/office/drawing/2014/main" id="{00000000-0008-0000-0900-0000812E0000}"/>
            </a:ext>
          </a:extLst>
        </xdr:cNvPr>
        <xdr:cNvSpPr>
          <a:spLocks noChangeAspect="1"/>
        </xdr:cNvSpPr>
      </xdr:nvSpPr>
      <xdr:spPr bwMode="auto">
        <a:xfrm>
          <a:off x="9077325" y="7429500"/>
          <a:ext cx="114300" cy="28575"/>
        </a:xfrm>
        <a:custGeom>
          <a:avLst/>
          <a:gdLst>
            <a:gd name="T0" fmla="*/ 0 w 102"/>
            <a:gd name="T1" fmla="*/ 0 h 57"/>
            <a:gd name="T2" fmla="*/ 0 w 102"/>
            <a:gd name="T3" fmla="*/ 0 h 57"/>
            <a:gd name="T4" fmla="*/ 0 w 102"/>
            <a:gd name="T5" fmla="*/ 0 h 57"/>
            <a:gd name="T6" fmla="*/ 0 w 102"/>
            <a:gd name="T7" fmla="*/ 0 h 57"/>
            <a:gd name="T8" fmla="*/ 0 w 102"/>
            <a:gd name="T9" fmla="*/ 0 h 57"/>
            <a:gd name="T10" fmla="*/ 0 w 102"/>
            <a:gd name="T11" fmla="*/ 0 h 57"/>
            <a:gd name="T12" fmla="*/ 0 w 102"/>
            <a:gd name="T13" fmla="*/ 0 h 57"/>
            <a:gd name="T14" fmla="*/ 0 w 102"/>
            <a:gd name="T15" fmla="*/ 0 h 57"/>
            <a:gd name="T16" fmla="*/ 0 w 102"/>
            <a:gd name="T17" fmla="*/ 0 h 57"/>
            <a:gd name="T18" fmla="*/ 0 w 102"/>
            <a:gd name="T19" fmla="*/ 0 h 57"/>
            <a:gd name="T20" fmla="*/ 0 w 102"/>
            <a:gd name="T21" fmla="*/ 0 h 57"/>
            <a:gd name="T22" fmla="*/ 0 w 102"/>
            <a:gd name="T23" fmla="*/ 0 h 57"/>
            <a:gd name="T24" fmla="*/ 0 w 102"/>
            <a:gd name="T25" fmla="*/ 0 h 57"/>
            <a:gd name="T26" fmla="*/ 0 w 102"/>
            <a:gd name="T27" fmla="*/ 0 h 57"/>
            <a:gd name="T28" fmla="*/ 0 w 102"/>
            <a:gd name="T29" fmla="*/ 0 h 5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2"/>
            <a:gd name="T46" fmla="*/ 0 h 57"/>
            <a:gd name="T47" fmla="*/ 102 w 102"/>
            <a:gd name="T48" fmla="*/ 57 h 5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2" h="57">
              <a:moveTo>
                <a:pt x="102" y="11"/>
              </a:moveTo>
              <a:lnTo>
                <a:pt x="100" y="21"/>
              </a:lnTo>
              <a:lnTo>
                <a:pt x="95" y="33"/>
              </a:lnTo>
              <a:lnTo>
                <a:pt x="89" y="41"/>
              </a:lnTo>
              <a:lnTo>
                <a:pt x="79" y="49"/>
              </a:lnTo>
              <a:lnTo>
                <a:pt x="69" y="54"/>
              </a:lnTo>
              <a:lnTo>
                <a:pt x="57" y="57"/>
              </a:lnTo>
              <a:lnTo>
                <a:pt x="46" y="57"/>
              </a:lnTo>
              <a:lnTo>
                <a:pt x="35" y="55"/>
              </a:lnTo>
              <a:lnTo>
                <a:pt x="24" y="50"/>
              </a:lnTo>
              <a:lnTo>
                <a:pt x="15" y="43"/>
              </a:lnTo>
              <a:lnTo>
                <a:pt x="8" y="34"/>
              </a:lnTo>
              <a:lnTo>
                <a:pt x="3" y="23"/>
              </a:lnTo>
              <a:lnTo>
                <a:pt x="0" y="12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371475</xdr:colOff>
      <xdr:row>37</xdr:row>
      <xdr:rowOff>142875</xdr:rowOff>
    </xdr:from>
    <xdr:to>
      <xdr:col>17</xdr:col>
      <xdr:colOff>76200</xdr:colOff>
      <xdr:row>42</xdr:row>
      <xdr:rowOff>104775</xdr:rowOff>
    </xdr:to>
    <xdr:sp macro="" textlink="">
      <xdr:nvSpPr>
        <xdr:cNvPr id="11906" name="Freeform 32">
          <a:extLst>
            <a:ext uri="{FF2B5EF4-FFF2-40B4-BE49-F238E27FC236}">
              <a16:creationId xmlns:a16="http://schemas.microsoft.com/office/drawing/2014/main" id="{00000000-0008-0000-0900-0000822E0000}"/>
            </a:ext>
          </a:extLst>
        </xdr:cNvPr>
        <xdr:cNvSpPr>
          <a:spLocks noChangeAspect="1"/>
        </xdr:cNvSpPr>
      </xdr:nvSpPr>
      <xdr:spPr bwMode="auto">
        <a:xfrm>
          <a:off x="9077325" y="6667500"/>
          <a:ext cx="180975" cy="771525"/>
        </a:xfrm>
        <a:custGeom>
          <a:avLst/>
          <a:gdLst>
            <a:gd name="T0" fmla="*/ 0 w 253"/>
            <a:gd name="T1" fmla="*/ 2147483647 h 1620"/>
            <a:gd name="T2" fmla="*/ 0 w 253"/>
            <a:gd name="T3" fmla="*/ 2147483647 h 1620"/>
            <a:gd name="T4" fmla="*/ 0 w 253"/>
            <a:gd name="T5" fmla="*/ 2147483647 h 1620"/>
            <a:gd name="T6" fmla="*/ 2147483647 w 253"/>
            <a:gd name="T7" fmla="*/ 0 h 1620"/>
            <a:gd name="T8" fmla="*/ 2147483647 w 253"/>
            <a:gd name="T9" fmla="*/ 0 h 1620"/>
            <a:gd name="T10" fmla="*/ 0 w 253"/>
            <a:gd name="T11" fmla="*/ 0 h 1620"/>
            <a:gd name="T12" fmla="*/ 0 w 253"/>
            <a:gd name="T13" fmla="*/ 2147483647 h 1620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53"/>
            <a:gd name="T22" fmla="*/ 0 h 1620"/>
            <a:gd name="T23" fmla="*/ 253 w 253"/>
            <a:gd name="T24" fmla="*/ 1620 h 1620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53" h="1620">
              <a:moveTo>
                <a:pt x="0" y="1609"/>
              </a:moveTo>
              <a:lnTo>
                <a:pt x="51" y="1614"/>
              </a:lnTo>
              <a:lnTo>
                <a:pt x="102" y="1620"/>
              </a:lnTo>
              <a:lnTo>
                <a:pt x="253" y="10"/>
              </a:lnTo>
              <a:lnTo>
                <a:pt x="201" y="5"/>
              </a:lnTo>
              <a:lnTo>
                <a:pt x="150" y="0"/>
              </a:lnTo>
              <a:lnTo>
                <a:pt x="0" y="160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371475</xdr:colOff>
      <xdr:row>37</xdr:row>
      <xdr:rowOff>142875</xdr:rowOff>
    </xdr:from>
    <xdr:to>
      <xdr:col>17</xdr:col>
      <xdr:colOff>76200</xdr:colOff>
      <xdr:row>42</xdr:row>
      <xdr:rowOff>104775</xdr:rowOff>
    </xdr:to>
    <xdr:sp macro="" textlink="">
      <xdr:nvSpPr>
        <xdr:cNvPr id="11907" name="Freeform 33">
          <a:extLst>
            <a:ext uri="{FF2B5EF4-FFF2-40B4-BE49-F238E27FC236}">
              <a16:creationId xmlns:a16="http://schemas.microsoft.com/office/drawing/2014/main" id="{00000000-0008-0000-0900-0000832E0000}"/>
            </a:ext>
          </a:extLst>
        </xdr:cNvPr>
        <xdr:cNvSpPr>
          <a:spLocks noChangeAspect="1"/>
        </xdr:cNvSpPr>
      </xdr:nvSpPr>
      <xdr:spPr bwMode="auto">
        <a:xfrm>
          <a:off x="9077325" y="6667500"/>
          <a:ext cx="180975" cy="771525"/>
        </a:xfrm>
        <a:custGeom>
          <a:avLst/>
          <a:gdLst>
            <a:gd name="T0" fmla="*/ 0 w 253"/>
            <a:gd name="T1" fmla="*/ 2147483647 h 1620"/>
            <a:gd name="T2" fmla="*/ 0 w 253"/>
            <a:gd name="T3" fmla="*/ 2147483647 h 1620"/>
            <a:gd name="T4" fmla="*/ 0 w 253"/>
            <a:gd name="T5" fmla="*/ 2147483647 h 1620"/>
            <a:gd name="T6" fmla="*/ 2147483647 w 253"/>
            <a:gd name="T7" fmla="*/ 0 h 1620"/>
            <a:gd name="T8" fmla="*/ 2147483647 w 253"/>
            <a:gd name="T9" fmla="*/ 0 h 1620"/>
            <a:gd name="T10" fmla="*/ 0 w 253"/>
            <a:gd name="T11" fmla="*/ 0 h 1620"/>
            <a:gd name="T12" fmla="*/ 0 w 253"/>
            <a:gd name="T13" fmla="*/ 2147483647 h 1620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53"/>
            <a:gd name="T22" fmla="*/ 0 h 1620"/>
            <a:gd name="T23" fmla="*/ 253 w 253"/>
            <a:gd name="T24" fmla="*/ 1620 h 1620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53" h="1620">
              <a:moveTo>
                <a:pt x="0" y="1609"/>
              </a:moveTo>
              <a:lnTo>
                <a:pt x="51" y="1614"/>
              </a:lnTo>
              <a:lnTo>
                <a:pt x="102" y="1620"/>
              </a:lnTo>
              <a:lnTo>
                <a:pt x="253" y="10"/>
              </a:lnTo>
              <a:lnTo>
                <a:pt x="201" y="5"/>
              </a:lnTo>
              <a:lnTo>
                <a:pt x="150" y="0"/>
              </a:lnTo>
              <a:lnTo>
                <a:pt x="0" y="1609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47625</xdr:colOff>
      <xdr:row>37</xdr:row>
      <xdr:rowOff>95250</xdr:rowOff>
    </xdr:from>
    <xdr:to>
      <xdr:col>17</xdr:col>
      <xdr:colOff>95250</xdr:colOff>
      <xdr:row>37</xdr:row>
      <xdr:rowOff>123825</xdr:rowOff>
    </xdr:to>
    <xdr:sp macro="" textlink="">
      <xdr:nvSpPr>
        <xdr:cNvPr id="11908" name="Freeform 34">
          <a:extLst>
            <a:ext uri="{FF2B5EF4-FFF2-40B4-BE49-F238E27FC236}">
              <a16:creationId xmlns:a16="http://schemas.microsoft.com/office/drawing/2014/main" id="{00000000-0008-0000-0900-0000842E0000}"/>
            </a:ext>
          </a:extLst>
        </xdr:cNvPr>
        <xdr:cNvSpPr>
          <a:spLocks noChangeAspect="1"/>
        </xdr:cNvSpPr>
      </xdr:nvSpPr>
      <xdr:spPr bwMode="auto">
        <a:xfrm>
          <a:off x="9229725" y="6619875"/>
          <a:ext cx="47625" cy="28575"/>
        </a:xfrm>
        <a:custGeom>
          <a:avLst/>
          <a:gdLst>
            <a:gd name="T0" fmla="*/ 0 w 103"/>
            <a:gd name="T1" fmla="*/ 0 h 57"/>
            <a:gd name="T2" fmla="*/ 0 w 103"/>
            <a:gd name="T3" fmla="*/ 0 h 57"/>
            <a:gd name="T4" fmla="*/ 0 w 103"/>
            <a:gd name="T5" fmla="*/ 0 h 57"/>
            <a:gd name="T6" fmla="*/ 0 w 103"/>
            <a:gd name="T7" fmla="*/ 0 h 57"/>
            <a:gd name="T8" fmla="*/ 0 w 103"/>
            <a:gd name="T9" fmla="*/ 0 h 57"/>
            <a:gd name="T10" fmla="*/ 0 w 103"/>
            <a:gd name="T11" fmla="*/ 0 h 57"/>
            <a:gd name="T12" fmla="*/ 0 w 103"/>
            <a:gd name="T13" fmla="*/ 0 h 57"/>
            <a:gd name="T14" fmla="*/ 0 w 103"/>
            <a:gd name="T15" fmla="*/ 0 h 57"/>
            <a:gd name="T16" fmla="*/ 0 w 103"/>
            <a:gd name="T17" fmla="*/ 0 h 57"/>
            <a:gd name="T18" fmla="*/ 0 w 103"/>
            <a:gd name="T19" fmla="*/ 0 h 57"/>
            <a:gd name="T20" fmla="*/ 0 w 103"/>
            <a:gd name="T21" fmla="*/ 0 h 57"/>
            <a:gd name="T22" fmla="*/ 0 w 103"/>
            <a:gd name="T23" fmla="*/ 0 h 57"/>
            <a:gd name="T24" fmla="*/ 0 w 103"/>
            <a:gd name="T25" fmla="*/ 0 h 57"/>
            <a:gd name="T26" fmla="*/ 0 w 103"/>
            <a:gd name="T27" fmla="*/ 0 h 57"/>
            <a:gd name="T28" fmla="*/ 0 w 103"/>
            <a:gd name="T29" fmla="*/ 0 h 57"/>
            <a:gd name="T30" fmla="*/ 0 w 103"/>
            <a:gd name="T31" fmla="*/ 0 h 57"/>
            <a:gd name="T32" fmla="*/ 0 w 103"/>
            <a:gd name="T33" fmla="*/ 0 h 57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3"/>
            <a:gd name="T52" fmla="*/ 0 h 57"/>
            <a:gd name="T53" fmla="*/ 103 w 103"/>
            <a:gd name="T54" fmla="*/ 57 h 57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3" h="57">
              <a:moveTo>
                <a:pt x="51" y="52"/>
              </a:moveTo>
              <a:lnTo>
                <a:pt x="0" y="47"/>
              </a:lnTo>
              <a:lnTo>
                <a:pt x="2" y="36"/>
              </a:lnTo>
              <a:lnTo>
                <a:pt x="7" y="25"/>
              </a:lnTo>
              <a:lnTo>
                <a:pt x="13" y="16"/>
              </a:lnTo>
              <a:lnTo>
                <a:pt x="23" y="9"/>
              </a:lnTo>
              <a:lnTo>
                <a:pt x="33" y="4"/>
              </a:lnTo>
              <a:lnTo>
                <a:pt x="45" y="0"/>
              </a:lnTo>
              <a:lnTo>
                <a:pt x="56" y="0"/>
              </a:lnTo>
              <a:lnTo>
                <a:pt x="67" y="2"/>
              </a:lnTo>
              <a:lnTo>
                <a:pt x="78" y="8"/>
              </a:lnTo>
              <a:lnTo>
                <a:pt x="87" y="14"/>
              </a:lnTo>
              <a:lnTo>
                <a:pt x="94" y="23"/>
              </a:lnTo>
              <a:lnTo>
                <a:pt x="99" y="34"/>
              </a:lnTo>
              <a:lnTo>
                <a:pt x="103" y="46"/>
              </a:lnTo>
              <a:lnTo>
                <a:pt x="103" y="57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47625</xdr:colOff>
      <xdr:row>37</xdr:row>
      <xdr:rowOff>95250</xdr:rowOff>
    </xdr:from>
    <xdr:to>
      <xdr:col>17</xdr:col>
      <xdr:colOff>95250</xdr:colOff>
      <xdr:row>37</xdr:row>
      <xdr:rowOff>123825</xdr:rowOff>
    </xdr:to>
    <xdr:sp macro="" textlink="">
      <xdr:nvSpPr>
        <xdr:cNvPr id="11909" name="Freeform 35">
          <a:extLst>
            <a:ext uri="{FF2B5EF4-FFF2-40B4-BE49-F238E27FC236}">
              <a16:creationId xmlns:a16="http://schemas.microsoft.com/office/drawing/2014/main" id="{00000000-0008-0000-0900-0000852E0000}"/>
            </a:ext>
          </a:extLst>
        </xdr:cNvPr>
        <xdr:cNvSpPr>
          <a:spLocks noChangeAspect="1"/>
        </xdr:cNvSpPr>
      </xdr:nvSpPr>
      <xdr:spPr bwMode="auto">
        <a:xfrm>
          <a:off x="9229725" y="6619875"/>
          <a:ext cx="47625" cy="28575"/>
        </a:xfrm>
        <a:custGeom>
          <a:avLst/>
          <a:gdLst>
            <a:gd name="T0" fmla="*/ 0 w 103"/>
            <a:gd name="T1" fmla="*/ 0 h 57"/>
            <a:gd name="T2" fmla="*/ 0 w 103"/>
            <a:gd name="T3" fmla="*/ 0 h 57"/>
            <a:gd name="T4" fmla="*/ 0 w 103"/>
            <a:gd name="T5" fmla="*/ 0 h 57"/>
            <a:gd name="T6" fmla="*/ 0 w 103"/>
            <a:gd name="T7" fmla="*/ 0 h 57"/>
            <a:gd name="T8" fmla="*/ 0 w 103"/>
            <a:gd name="T9" fmla="*/ 0 h 57"/>
            <a:gd name="T10" fmla="*/ 0 w 103"/>
            <a:gd name="T11" fmla="*/ 0 h 57"/>
            <a:gd name="T12" fmla="*/ 0 w 103"/>
            <a:gd name="T13" fmla="*/ 0 h 57"/>
            <a:gd name="T14" fmla="*/ 0 w 103"/>
            <a:gd name="T15" fmla="*/ 0 h 57"/>
            <a:gd name="T16" fmla="*/ 0 w 103"/>
            <a:gd name="T17" fmla="*/ 0 h 57"/>
            <a:gd name="T18" fmla="*/ 0 w 103"/>
            <a:gd name="T19" fmla="*/ 0 h 57"/>
            <a:gd name="T20" fmla="*/ 0 w 103"/>
            <a:gd name="T21" fmla="*/ 0 h 57"/>
            <a:gd name="T22" fmla="*/ 0 w 103"/>
            <a:gd name="T23" fmla="*/ 0 h 57"/>
            <a:gd name="T24" fmla="*/ 0 w 103"/>
            <a:gd name="T25" fmla="*/ 0 h 57"/>
            <a:gd name="T26" fmla="*/ 0 w 103"/>
            <a:gd name="T27" fmla="*/ 0 h 57"/>
            <a:gd name="T28" fmla="*/ 0 w 103"/>
            <a:gd name="T29" fmla="*/ 0 h 5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3"/>
            <a:gd name="T46" fmla="*/ 0 h 57"/>
            <a:gd name="T47" fmla="*/ 103 w 103"/>
            <a:gd name="T48" fmla="*/ 57 h 5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3" h="57">
              <a:moveTo>
                <a:pt x="0" y="47"/>
              </a:moveTo>
              <a:lnTo>
                <a:pt x="2" y="36"/>
              </a:lnTo>
              <a:lnTo>
                <a:pt x="7" y="25"/>
              </a:lnTo>
              <a:lnTo>
                <a:pt x="13" y="16"/>
              </a:lnTo>
              <a:lnTo>
                <a:pt x="23" y="9"/>
              </a:lnTo>
              <a:lnTo>
                <a:pt x="33" y="4"/>
              </a:lnTo>
              <a:lnTo>
                <a:pt x="45" y="0"/>
              </a:lnTo>
              <a:lnTo>
                <a:pt x="56" y="0"/>
              </a:lnTo>
              <a:lnTo>
                <a:pt x="67" y="2"/>
              </a:lnTo>
              <a:lnTo>
                <a:pt x="78" y="8"/>
              </a:lnTo>
              <a:lnTo>
                <a:pt x="87" y="14"/>
              </a:lnTo>
              <a:lnTo>
                <a:pt x="94" y="23"/>
              </a:lnTo>
              <a:lnTo>
                <a:pt x="99" y="34"/>
              </a:lnTo>
              <a:lnTo>
                <a:pt x="103" y="46"/>
              </a:lnTo>
              <a:lnTo>
                <a:pt x="103" y="57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47625</xdr:colOff>
      <xdr:row>37</xdr:row>
      <xdr:rowOff>123825</xdr:rowOff>
    </xdr:from>
    <xdr:to>
      <xdr:col>17</xdr:col>
      <xdr:colOff>95250</xdr:colOff>
      <xdr:row>37</xdr:row>
      <xdr:rowOff>142875</xdr:rowOff>
    </xdr:to>
    <xdr:sp macro="" textlink="">
      <xdr:nvSpPr>
        <xdr:cNvPr id="11910" name="Freeform 36">
          <a:extLst>
            <a:ext uri="{FF2B5EF4-FFF2-40B4-BE49-F238E27FC236}">
              <a16:creationId xmlns:a16="http://schemas.microsoft.com/office/drawing/2014/main" id="{00000000-0008-0000-0900-0000862E0000}"/>
            </a:ext>
          </a:extLst>
        </xdr:cNvPr>
        <xdr:cNvSpPr>
          <a:spLocks noChangeAspect="1"/>
        </xdr:cNvSpPr>
      </xdr:nvSpPr>
      <xdr:spPr bwMode="auto">
        <a:xfrm>
          <a:off x="9229725" y="6648450"/>
          <a:ext cx="47625" cy="19050"/>
        </a:xfrm>
        <a:custGeom>
          <a:avLst/>
          <a:gdLst>
            <a:gd name="T0" fmla="*/ 0 w 102"/>
            <a:gd name="T1" fmla="*/ 0 h 65"/>
            <a:gd name="T2" fmla="*/ 0 w 102"/>
            <a:gd name="T3" fmla="*/ 0 h 65"/>
            <a:gd name="T4" fmla="*/ 0 w 102"/>
            <a:gd name="T5" fmla="*/ 0 h 65"/>
            <a:gd name="T6" fmla="*/ 0 w 102"/>
            <a:gd name="T7" fmla="*/ 0 h 65"/>
            <a:gd name="T8" fmla="*/ 0 w 102"/>
            <a:gd name="T9" fmla="*/ 0 h 65"/>
            <a:gd name="T10" fmla="*/ 0 w 102"/>
            <a:gd name="T11" fmla="*/ 0 h 65"/>
            <a:gd name="T12" fmla="*/ 0 w 102"/>
            <a:gd name="T13" fmla="*/ 0 h 65"/>
            <a:gd name="T14" fmla="*/ 0 w 102"/>
            <a:gd name="T15" fmla="*/ 0 h 65"/>
            <a:gd name="T16" fmla="*/ 0 w 102"/>
            <a:gd name="T17" fmla="*/ 0 h 65"/>
            <a:gd name="T18" fmla="*/ 0 w 102"/>
            <a:gd name="T19" fmla="*/ 0 h 65"/>
            <a:gd name="T20" fmla="*/ 0 w 102"/>
            <a:gd name="T21" fmla="*/ 0 h 65"/>
            <a:gd name="T22" fmla="*/ 0 w 102"/>
            <a:gd name="T23" fmla="*/ 0 h 65"/>
            <a:gd name="T24" fmla="*/ 0 w 102"/>
            <a:gd name="T25" fmla="*/ 0 h 65"/>
            <a:gd name="T26" fmla="*/ 0 w 102"/>
            <a:gd name="T27" fmla="*/ 0 h 65"/>
            <a:gd name="T28" fmla="*/ 0 w 102"/>
            <a:gd name="T29" fmla="*/ 0 h 65"/>
            <a:gd name="T30" fmla="*/ 0 w 102"/>
            <a:gd name="T31" fmla="*/ 0 h 65"/>
            <a:gd name="T32" fmla="*/ 0 w 102"/>
            <a:gd name="T33" fmla="*/ 0 h 65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2"/>
            <a:gd name="T52" fmla="*/ 0 h 65"/>
            <a:gd name="T53" fmla="*/ 102 w 102"/>
            <a:gd name="T54" fmla="*/ 65 h 65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2" h="65">
              <a:moveTo>
                <a:pt x="51" y="14"/>
              </a:moveTo>
              <a:lnTo>
                <a:pt x="102" y="27"/>
              </a:lnTo>
              <a:lnTo>
                <a:pt x="97" y="39"/>
              </a:lnTo>
              <a:lnTo>
                <a:pt x="90" y="48"/>
              </a:lnTo>
              <a:lnTo>
                <a:pt x="82" y="56"/>
              </a:lnTo>
              <a:lnTo>
                <a:pt x="71" y="62"/>
              </a:lnTo>
              <a:lnTo>
                <a:pt x="61" y="65"/>
              </a:lnTo>
              <a:lnTo>
                <a:pt x="49" y="65"/>
              </a:lnTo>
              <a:lnTo>
                <a:pt x="37" y="64"/>
              </a:lnTo>
              <a:lnTo>
                <a:pt x="26" y="60"/>
              </a:lnTo>
              <a:lnTo>
                <a:pt x="16" y="53"/>
              </a:lnTo>
              <a:lnTo>
                <a:pt x="9" y="44"/>
              </a:lnTo>
              <a:lnTo>
                <a:pt x="3" y="34"/>
              </a:lnTo>
              <a:lnTo>
                <a:pt x="0" y="23"/>
              </a:lnTo>
              <a:lnTo>
                <a:pt x="0" y="12"/>
              </a:lnTo>
              <a:lnTo>
                <a:pt x="1" y="0"/>
              </a:lnTo>
              <a:lnTo>
                <a:pt x="51" y="1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47625</xdr:colOff>
      <xdr:row>37</xdr:row>
      <xdr:rowOff>123825</xdr:rowOff>
    </xdr:from>
    <xdr:to>
      <xdr:col>17</xdr:col>
      <xdr:colOff>95250</xdr:colOff>
      <xdr:row>37</xdr:row>
      <xdr:rowOff>142875</xdr:rowOff>
    </xdr:to>
    <xdr:sp macro="" textlink="">
      <xdr:nvSpPr>
        <xdr:cNvPr id="11911" name="Freeform 37">
          <a:extLst>
            <a:ext uri="{FF2B5EF4-FFF2-40B4-BE49-F238E27FC236}">
              <a16:creationId xmlns:a16="http://schemas.microsoft.com/office/drawing/2014/main" id="{00000000-0008-0000-0900-0000872E0000}"/>
            </a:ext>
          </a:extLst>
        </xdr:cNvPr>
        <xdr:cNvSpPr>
          <a:spLocks noChangeAspect="1"/>
        </xdr:cNvSpPr>
      </xdr:nvSpPr>
      <xdr:spPr bwMode="auto">
        <a:xfrm>
          <a:off x="9229725" y="6648450"/>
          <a:ext cx="47625" cy="19050"/>
        </a:xfrm>
        <a:custGeom>
          <a:avLst/>
          <a:gdLst>
            <a:gd name="T0" fmla="*/ 0 w 102"/>
            <a:gd name="T1" fmla="*/ 0 h 65"/>
            <a:gd name="T2" fmla="*/ 0 w 102"/>
            <a:gd name="T3" fmla="*/ 0 h 65"/>
            <a:gd name="T4" fmla="*/ 0 w 102"/>
            <a:gd name="T5" fmla="*/ 0 h 65"/>
            <a:gd name="T6" fmla="*/ 0 w 102"/>
            <a:gd name="T7" fmla="*/ 0 h 65"/>
            <a:gd name="T8" fmla="*/ 0 w 102"/>
            <a:gd name="T9" fmla="*/ 0 h 65"/>
            <a:gd name="T10" fmla="*/ 0 w 102"/>
            <a:gd name="T11" fmla="*/ 0 h 65"/>
            <a:gd name="T12" fmla="*/ 0 w 102"/>
            <a:gd name="T13" fmla="*/ 0 h 65"/>
            <a:gd name="T14" fmla="*/ 0 w 102"/>
            <a:gd name="T15" fmla="*/ 0 h 65"/>
            <a:gd name="T16" fmla="*/ 0 w 102"/>
            <a:gd name="T17" fmla="*/ 0 h 65"/>
            <a:gd name="T18" fmla="*/ 0 w 102"/>
            <a:gd name="T19" fmla="*/ 0 h 65"/>
            <a:gd name="T20" fmla="*/ 0 w 102"/>
            <a:gd name="T21" fmla="*/ 0 h 65"/>
            <a:gd name="T22" fmla="*/ 0 w 102"/>
            <a:gd name="T23" fmla="*/ 0 h 65"/>
            <a:gd name="T24" fmla="*/ 0 w 102"/>
            <a:gd name="T25" fmla="*/ 0 h 65"/>
            <a:gd name="T26" fmla="*/ 0 w 102"/>
            <a:gd name="T27" fmla="*/ 0 h 65"/>
            <a:gd name="T28" fmla="*/ 0 w 102"/>
            <a:gd name="T29" fmla="*/ 0 h 65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2"/>
            <a:gd name="T46" fmla="*/ 0 h 65"/>
            <a:gd name="T47" fmla="*/ 102 w 102"/>
            <a:gd name="T48" fmla="*/ 65 h 65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2" h="65">
              <a:moveTo>
                <a:pt x="102" y="27"/>
              </a:moveTo>
              <a:lnTo>
                <a:pt x="97" y="39"/>
              </a:lnTo>
              <a:lnTo>
                <a:pt x="90" y="48"/>
              </a:lnTo>
              <a:lnTo>
                <a:pt x="82" y="56"/>
              </a:lnTo>
              <a:lnTo>
                <a:pt x="71" y="62"/>
              </a:lnTo>
              <a:lnTo>
                <a:pt x="61" y="65"/>
              </a:lnTo>
              <a:lnTo>
                <a:pt x="49" y="65"/>
              </a:lnTo>
              <a:lnTo>
                <a:pt x="37" y="64"/>
              </a:lnTo>
              <a:lnTo>
                <a:pt x="26" y="60"/>
              </a:lnTo>
              <a:lnTo>
                <a:pt x="16" y="53"/>
              </a:lnTo>
              <a:lnTo>
                <a:pt x="9" y="44"/>
              </a:lnTo>
              <a:lnTo>
                <a:pt x="3" y="34"/>
              </a:lnTo>
              <a:lnTo>
                <a:pt x="0" y="23"/>
              </a:lnTo>
              <a:lnTo>
                <a:pt x="0" y="12"/>
              </a:lnTo>
              <a:lnTo>
                <a:pt x="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47625</xdr:colOff>
      <xdr:row>34</xdr:row>
      <xdr:rowOff>9525</xdr:rowOff>
    </xdr:from>
    <xdr:to>
      <xdr:col>17</xdr:col>
      <xdr:colOff>238125</xdr:colOff>
      <xdr:row>37</xdr:row>
      <xdr:rowOff>123825</xdr:rowOff>
    </xdr:to>
    <xdr:sp macro="" textlink="">
      <xdr:nvSpPr>
        <xdr:cNvPr id="11912" name="Freeform 38">
          <a:extLst>
            <a:ext uri="{FF2B5EF4-FFF2-40B4-BE49-F238E27FC236}">
              <a16:creationId xmlns:a16="http://schemas.microsoft.com/office/drawing/2014/main" id="{00000000-0008-0000-0900-0000882E0000}"/>
            </a:ext>
          </a:extLst>
        </xdr:cNvPr>
        <xdr:cNvSpPr>
          <a:spLocks noChangeAspect="1"/>
        </xdr:cNvSpPr>
      </xdr:nvSpPr>
      <xdr:spPr bwMode="auto">
        <a:xfrm>
          <a:off x="9229725" y="6048375"/>
          <a:ext cx="190500" cy="600075"/>
        </a:xfrm>
        <a:custGeom>
          <a:avLst/>
          <a:gdLst>
            <a:gd name="T0" fmla="*/ 0 w 454"/>
            <a:gd name="T1" fmla="*/ 2147483647 h 1291"/>
            <a:gd name="T2" fmla="*/ 0 w 454"/>
            <a:gd name="T3" fmla="*/ 2147483647 h 1291"/>
            <a:gd name="T4" fmla="*/ 0 w 454"/>
            <a:gd name="T5" fmla="*/ 2147483647 h 1291"/>
            <a:gd name="T6" fmla="*/ 2147483647 w 454"/>
            <a:gd name="T7" fmla="*/ 0 h 1291"/>
            <a:gd name="T8" fmla="*/ 2147483647 w 454"/>
            <a:gd name="T9" fmla="*/ 0 h 1291"/>
            <a:gd name="T10" fmla="*/ 2147483647 w 454"/>
            <a:gd name="T11" fmla="*/ 0 h 1291"/>
            <a:gd name="T12" fmla="*/ 0 w 454"/>
            <a:gd name="T13" fmla="*/ 2147483647 h 129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54"/>
            <a:gd name="T22" fmla="*/ 0 h 1291"/>
            <a:gd name="T23" fmla="*/ 454 w 454"/>
            <a:gd name="T24" fmla="*/ 1291 h 129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54" h="1291">
              <a:moveTo>
                <a:pt x="0" y="1264"/>
              </a:moveTo>
              <a:lnTo>
                <a:pt x="50" y="1278"/>
              </a:lnTo>
              <a:lnTo>
                <a:pt x="101" y="1291"/>
              </a:lnTo>
              <a:lnTo>
                <a:pt x="454" y="27"/>
              </a:lnTo>
              <a:lnTo>
                <a:pt x="404" y="14"/>
              </a:lnTo>
              <a:lnTo>
                <a:pt x="354" y="0"/>
              </a:lnTo>
              <a:lnTo>
                <a:pt x="0" y="126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47625</xdr:colOff>
      <xdr:row>34</xdr:row>
      <xdr:rowOff>9525</xdr:rowOff>
    </xdr:from>
    <xdr:to>
      <xdr:col>17</xdr:col>
      <xdr:colOff>238125</xdr:colOff>
      <xdr:row>37</xdr:row>
      <xdr:rowOff>123825</xdr:rowOff>
    </xdr:to>
    <xdr:sp macro="" textlink="">
      <xdr:nvSpPr>
        <xdr:cNvPr id="11913" name="Freeform 39">
          <a:extLst>
            <a:ext uri="{FF2B5EF4-FFF2-40B4-BE49-F238E27FC236}">
              <a16:creationId xmlns:a16="http://schemas.microsoft.com/office/drawing/2014/main" id="{00000000-0008-0000-0900-0000892E0000}"/>
            </a:ext>
          </a:extLst>
        </xdr:cNvPr>
        <xdr:cNvSpPr>
          <a:spLocks noChangeAspect="1"/>
        </xdr:cNvSpPr>
      </xdr:nvSpPr>
      <xdr:spPr bwMode="auto">
        <a:xfrm>
          <a:off x="9229725" y="6048375"/>
          <a:ext cx="190500" cy="600075"/>
        </a:xfrm>
        <a:custGeom>
          <a:avLst/>
          <a:gdLst>
            <a:gd name="T0" fmla="*/ 0 w 454"/>
            <a:gd name="T1" fmla="*/ 2147483647 h 1291"/>
            <a:gd name="T2" fmla="*/ 0 w 454"/>
            <a:gd name="T3" fmla="*/ 2147483647 h 1291"/>
            <a:gd name="T4" fmla="*/ 0 w 454"/>
            <a:gd name="T5" fmla="*/ 2147483647 h 1291"/>
            <a:gd name="T6" fmla="*/ 2147483647 w 454"/>
            <a:gd name="T7" fmla="*/ 0 h 1291"/>
            <a:gd name="T8" fmla="*/ 2147483647 w 454"/>
            <a:gd name="T9" fmla="*/ 0 h 1291"/>
            <a:gd name="T10" fmla="*/ 2147483647 w 454"/>
            <a:gd name="T11" fmla="*/ 0 h 1291"/>
            <a:gd name="T12" fmla="*/ 0 w 454"/>
            <a:gd name="T13" fmla="*/ 2147483647 h 129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54"/>
            <a:gd name="T22" fmla="*/ 0 h 1291"/>
            <a:gd name="T23" fmla="*/ 454 w 454"/>
            <a:gd name="T24" fmla="*/ 1291 h 129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54" h="1291">
              <a:moveTo>
                <a:pt x="0" y="1264"/>
              </a:moveTo>
              <a:lnTo>
                <a:pt x="50" y="1278"/>
              </a:lnTo>
              <a:lnTo>
                <a:pt x="101" y="1291"/>
              </a:lnTo>
              <a:lnTo>
                <a:pt x="454" y="27"/>
              </a:lnTo>
              <a:lnTo>
                <a:pt x="404" y="14"/>
              </a:lnTo>
              <a:lnTo>
                <a:pt x="354" y="0"/>
              </a:lnTo>
              <a:lnTo>
                <a:pt x="0" y="126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180975</xdr:colOff>
      <xdr:row>34</xdr:row>
      <xdr:rowOff>9525</xdr:rowOff>
    </xdr:from>
    <xdr:to>
      <xdr:col>17</xdr:col>
      <xdr:colOff>228600</xdr:colOff>
      <xdr:row>34</xdr:row>
      <xdr:rowOff>38100</xdr:rowOff>
    </xdr:to>
    <xdr:sp macro="" textlink="">
      <xdr:nvSpPr>
        <xdr:cNvPr id="11914" name="Freeform 40">
          <a:extLst>
            <a:ext uri="{FF2B5EF4-FFF2-40B4-BE49-F238E27FC236}">
              <a16:creationId xmlns:a16="http://schemas.microsoft.com/office/drawing/2014/main" id="{00000000-0008-0000-0900-00008A2E0000}"/>
            </a:ext>
          </a:extLst>
        </xdr:cNvPr>
        <xdr:cNvSpPr>
          <a:spLocks noChangeAspect="1"/>
        </xdr:cNvSpPr>
      </xdr:nvSpPr>
      <xdr:spPr bwMode="auto">
        <a:xfrm>
          <a:off x="9363075" y="6048375"/>
          <a:ext cx="47625" cy="28575"/>
        </a:xfrm>
        <a:custGeom>
          <a:avLst/>
          <a:gdLst>
            <a:gd name="T0" fmla="*/ 0 w 101"/>
            <a:gd name="T1" fmla="*/ 0 h 65"/>
            <a:gd name="T2" fmla="*/ 0 w 101"/>
            <a:gd name="T3" fmla="*/ 0 h 65"/>
            <a:gd name="T4" fmla="*/ 0 w 101"/>
            <a:gd name="T5" fmla="*/ 0 h 65"/>
            <a:gd name="T6" fmla="*/ 0 w 101"/>
            <a:gd name="T7" fmla="*/ 0 h 65"/>
            <a:gd name="T8" fmla="*/ 0 w 101"/>
            <a:gd name="T9" fmla="*/ 0 h 65"/>
            <a:gd name="T10" fmla="*/ 0 w 101"/>
            <a:gd name="T11" fmla="*/ 0 h 65"/>
            <a:gd name="T12" fmla="*/ 0 w 101"/>
            <a:gd name="T13" fmla="*/ 0 h 65"/>
            <a:gd name="T14" fmla="*/ 0 w 101"/>
            <a:gd name="T15" fmla="*/ 0 h 65"/>
            <a:gd name="T16" fmla="*/ 0 w 101"/>
            <a:gd name="T17" fmla="*/ 0 h 65"/>
            <a:gd name="T18" fmla="*/ 0 w 101"/>
            <a:gd name="T19" fmla="*/ 0 h 65"/>
            <a:gd name="T20" fmla="*/ 0 w 101"/>
            <a:gd name="T21" fmla="*/ 0 h 65"/>
            <a:gd name="T22" fmla="*/ 0 w 101"/>
            <a:gd name="T23" fmla="*/ 0 h 65"/>
            <a:gd name="T24" fmla="*/ 0 w 101"/>
            <a:gd name="T25" fmla="*/ 0 h 65"/>
            <a:gd name="T26" fmla="*/ 0 w 101"/>
            <a:gd name="T27" fmla="*/ 0 h 65"/>
            <a:gd name="T28" fmla="*/ 0 w 101"/>
            <a:gd name="T29" fmla="*/ 0 h 65"/>
            <a:gd name="T30" fmla="*/ 0 w 101"/>
            <a:gd name="T31" fmla="*/ 0 h 65"/>
            <a:gd name="T32" fmla="*/ 0 w 101"/>
            <a:gd name="T33" fmla="*/ 0 h 65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1"/>
            <a:gd name="T52" fmla="*/ 0 h 65"/>
            <a:gd name="T53" fmla="*/ 101 w 101"/>
            <a:gd name="T54" fmla="*/ 65 h 65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1" h="65">
              <a:moveTo>
                <a:pt x="50" y="52"/>
              </a:moveTo>
              <a:lnTo>
                <a:pt x="0" y="38"/>
              </a:lnTo>
              <a:lnTo>
                <a:pt x="4" y="26"/>
              </a:lnTo>
              <a:lnTo>
                <a:pt x="11" y="17"/>
              </a:lnTo>
              <a:lnTo>
                <a:pt x="20" y="10"/>
              </a:lnTo>
              <a:lnTo>
                <a:pt x="30" y="3"/>
              </a:lnTo>
              <a:lnTo>
                <a:pt x="41" y="0"/>
              </a:lnTo>
              <a:lnTo>
                <a:pt x="52" y="0"/>
              </a:lnTo>
              <a:lnTo>
                <a:pt x="64" y="1"/>
              </a:lnTo>
              <a:lnTo>
                <a:pt x="75" y="5"/>
              </a:lnTo>
              <a:lnTo>
                <a:pt x="85" y="13"/>
              </a:lnTo>
              <a:lnTo>
                <a:pt x="92" y="21"/>
              </a:lnTo>
              <a:lnTo>
                <a:pt x="98" y="32"/>
              </a:lnTo>
              <a:lnTo>
                <a:pt x="101" y="42"/>
              </a:lnTo>
              <a:lnTo>
                <a:pt x="101" y="54"/>
              </a:lnTo>
              <a:lnTo>
                <a:pt x="100" y="65"/>
              </a:lnTo>
              <a:lnTo>
                <a:pt x="5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180975</xdr:colOff>
      <xdr:row>34</xdr:row>
      <xdr:rowOff>9525</xdr:rowOff>
    </xdr:from>
    <xdr:to>
      <xdr:col>17</xdr:col>
      <xdr:colOff>228600</xdr:colOff>
      <xdr:row>34</xdr:row>
      <xdr:rowOff>38100</xdr:rowOff>
    </xdr:to>
    <xdr:sp macro="" textlink="">
      <xdr:nvSpPr>
        <xdr:cNvPr id="11915" name="Freeform 41">
          <a:extLst>
            <a:ext uri="{FF2B5EF4-FFF2-40B4-BE49-F238E27FC236}">
              <a16:creationId xmlns:a16="http://schemas.microsoft.com/office/drawing/2014/main" id="{00000000-0008-0000-0900-00008B2E0000}"/>
            </a:ext>
          </a:extLst>
        </xdr:cNvPr>
        <xdr:cNvSpPr>
          <a:spLocks noChangeAspect="1"/>
        </xdr:cNvSpPr>
      </xdr:nvSpPr>
      <xdr:spPr bwMode="auto">
        <a:xfrm>
          <a:off x="9363075" y="6048375"/>
          <a:ext cx="47625" cy="28575"/>
        </a:xfrm>
        <a:custGeom>
          <a:avLst/>
          <a:gdLst>
            <a:gd name="T0" fmla="*/ 0 w 101"/>
            <a:gd name="T1" fmla="*/ 0 h 65"/>
            <a:gd name="T2" fmla="*/ 0 w 101"/>
            <a:gd name="T3" fmla="*/ 0 h 65"/>
            <a:gd name="T4" fmla="*/ 0 w 101"/>
            <a:gd name="T5" fmla="*/ 0 h 65"/>
            <a:gd name="T6" fmla="*/ 0 w 101"/>
            <a:gd name="T7" fmla="*/ 0 h 65"/>
            <a:gd name="T8" fmla="*/ 0 w 101"/>
            <a:gd name="T9" fmla="*/ 0 h 65"/>
            <a:gd name="T10" fmla="*/ 0 w 101"/>
            <a:gd name="T11" fmla="*/ 0 h 65"/>
            <a:gd name="T12" fmla="*/ 0 w 101"/>
            <a:gd name="T13" fmla="*/ 0 h 65"/>
            <a:gd name="T14" fmla="*/ 0 w 101"/>
            <a:gd name="T15" fmla="*/ 0 h 65"/>
            <a:gd name="T16" fmla="*/ 0 w 101"/>
            <a:gd name="T17" fmla="*/ 0 h 65"/>
            <a:gd name="T18" fmla="*/ 0 w 101"/>
            <a:gd name="T19" fmla="*/ 0 h 65"/>
            <a:gd name="T20" fmla="*/ 0 w 101"/>
            <a:gd name="T21" fmla="*/ 0 h 65"/>
            <a:gd name="T22" fmla="*/ 0 w 101"/>
            <a:gd name="T23" fmla="*/ 0 h 65"/>
            <a:gd name="T24" fmla="*/ 0 w 101"/>
            <a:gd name="T25" fmla="*/ 0 h 65"/>
            <a:gd name="T26" fmla="*/ 0 w 101"/>
            <a:gd name="T27" fmla="*/ 0 h 65"/>
            <a:gd name="T28" fmla="*/ 0 w 101"/>
            <a:gd name="T29" fmla="*/ 0 h 65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1"/>
            <a:gd name="T46" fmla="*/ 0 h 65"/>
            <a:gd name="T47" fmla="*/ 101 w 101"/>
            <a:gd name="T48" fmla="*/ 65 h 65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1" h="65">
              <a:moveTo>
                <a:pt x="0" y="38"/>
              </a:moveTo>
              <a:lnTo>
                <a:pt x="4" y="26"/>
              </a:lnTo>
              <a:lnTo>
                <a:pt x="11" y="17"/>
              </a:lnTo>
              <a:lnTo>
                <a:pt x="20" y="10"/>
              </a:lnTo>
              <a:lnTo>
                <a:pt x="30" y="3"/>
              </a:lnTo>
              <a:lnTo>
                <a:pt x="41" y="0"/>
              </a:lnTo>
              <a:lnTo>
                <a:pt x="52" y="0"/>
              </a:lnTo>
              <a:lnTo>
                <a:pt x="64" y="1"/>
              </a:lnTo>
              <a:lnTo>
                <a:pt x="75" y="5"/>
              </a:lnTo>
              <a:lnTo>
                <a:pt x="85" y="13"/>
              </a:lnTo>
              <a:lnTo>
                <a:pt x="92" y="21"/>
              </a:lnTo>
              <a:lnTo>
                <a:pt x="98" y="32"/>
              </a:lnTo>
              <a:lnTo>
                <a:pt x="101" y="42"/>
              </a:lnTo>
              <a:lnTo>
                <a:pt x="101" y="54"/>
              </a:lnTo>
              <a:lnTo>
                <a:pt x="100" y="65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180975</xdr:colOff>
      <xdr:row>34</xdr:row>
      <xdr:rowOff>9525</xdr:rowOff>
    </xdr:from>
    <xdr:to>
      <xdr:col>17</xdr:col>
      <xdr:colOff>228600</xdr:colOff>
      <xdr:row>34</xdr:row>
      <xdr:rowOff>57150</xdr:rowOff>
    </xdr:to>
    <xdr:sp macro="" textlink="">
      <xdr:nvSpPr>
        <xdr:cNvPr id="11916" name="Freeform 42">
          <a:extLst>
            <a:ext uri="{FF2B5EF4-FFF2-40B4-BE49-F238E27FC236}">
              <a16:creationId xmlns:a16="http://schemas.microsoft.com/office/drawing/2014/main" id="{00000000-0008-0000-0900-00008C2E0000}"/>
            </a:ext>
          </a:extLst>
        </xdr:cNvPr>
        <xdr:cNvSpPr>
          <a:spLocks noChangeAspect="1"/>
        </xdr:cNvSpPr>
      </xdr:nvSpPr>
      <xdr:spPr bwMode="auto">
        <a:xfrm>
          <a:off x="9363075" y="6048375"/>
          <a:ext cx="47625" cy="47625"/>
        </a:xfrm>
        <a:custGeom>
          <a:avLst/>
          <a:gdLst>
            <a:gd name="T0" fmla="*/ 0 w 95"/>
            <a:gd name="T1" fmla="*/ 0 h 79"/>
            <a:gd name="T2" fmla="*/ 0 w 95"/>
            <a:gd name="T3" fmla="*/ 0 h 79"/>
            <a:gd name="T4" fmla="*/ 0 w 95"/>
            <a:gd name="T5" fmla="*/ 0 h 79"/>
            <a:gd name="T6" fmla="*/ 0 w 95"/>
            <a:gd name="T7" fmla="*/ 0 h 79"/>
            <a:gd name="T8" fmla="*/ 0 w 95"/>
            <a:gd name="T9" fmla="*/ 0 h 79"/>
            <a:gd name="T10" fmla="*/ 0 w 95"/>
            <a:gd name="T11" fmla="*/ 0 h 79"/>
            <a:gd name="T12" fmla="*/ 0 w 95"/>
            <a:gd name="T13" fmla="*/ 0 h 79"/>
            <a:gd name="T14" fmla="*/ 0 w 95"/>
            <a:gd name="T15" fmla="*/ 0 h 79"/>
            <a:gd name="T16" fmla="*/ 0 w 95"/>
            <a:gd name="T17" fmla="*/ 0 h 79"/>
            <a:gd name="T18" fmla="*/ 0 w 95"/>
            <a:gd name="T19" fmla="*/ 0 h 79"/>
            <a:gd name="T20" fmla="*/ 0 w 95"/>
            <a:gd name="T21" fmla="*/ 0 h 79"/>
            <a:gd name="T22" fmla="*/ 0 w 95"/>
            <a:gd name="T23" fmla="*/ 0 h 79"/>
            <a:gd name="T24" fmla="*/ 0 w 95"/>
            <a:gd name="T25" fmla="*/ 0 h 79"/>
            <a:gd name="T26" fmla="*/ 0 w 95"/>
            <a:gd name="T27" fmla="*/ 0 h 79"/>
            <a:gd name="T28" fmla="*/ 0 w 95"/>
            <a:gd name="T29" fmla="*/ 0 h 79"/>
            <a:gd name="T30" fmla="*/ 0 w 95"/>
            <a:gd name="T31" fmla="*/ 0 h 79"/>
            <a:gd name="T32" fmla="*/ 0 w 95"/>
            <a:gd name="T33" fmla="*/ 0 h 79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95"/>
            <a:gd name="T52" fmla="*/ 0 h 79"/>
            <a:gd name="T53" fmla="*/ 95 w 95"/>
            <a:gd name="T54" fmla="*/ 79 h 79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95" h="79">
              <a:moveTo>
                <a:pt x="51" y="28"/>
              </a:moveTo>
              <a:lnTo>
                <a:pt x="95" y="55"/>
              </a:lnTo>
              <a:lnTo>
                <a:pt x="88" y="64"/>
              </a:lnTo>
              <a:lnTo>
                <a:pt x="79" y="72"/>
              </a:lnTo>
              <a:lnTo>
                <a:pt x="69" y="77"/>
              </a:lnTo>
              <a:lnTo>
                <a:pt x="57" y="79"/>
              </a:lnTo>
              <a:lnTo>
                <a:pt x="46" y="79"/>
              </a:lnTo>
              <a:lnTo>
                <a:pt x="34" y="77"/>
              </a:lnTo>
              <a:lnTo>
                <a:pt x="24" y="72"/>
              </a:lnTo>
              <a:lnTo>
                <a:pt x="14" y="64"/>
              </a:lnTo>
              <a:lnTo>
                <a:pt x="7" y="56"/>
              </a:lnTo>
              <a:lnTo>
                <a:pt x="2" y="45"/>
              </a:lnTo>
              <a:lnTo>
                <a:pt x="0" y="34"/>
              </a:lnTo>
              <a:lnTo>
                <a:pt x="0" y="22"/>
              </a:lnTo>
              <a:lnTo>
                <a:pt x="2" y="11"/>
              </a:lnTo>
              <a:lnTo>
                <a:pt x="7" y="0"/>
              </a:lnTo>
              <a:lnTo>
                <a:pt x="51" y="28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180975</xdr:colOff>
      <xdr:row>34</xdr:row>
      <xdr:rowOff>9525</xdr:rowOff>
    </xdr:from>
    <xdr:to>
      <xdr:col>17</xdr:col>
      <xdr:colOff>228600</xdr:colOff>
      <xdr:row>34</xdr:row>
      <xdr:rowOff>57150</xdr:rowOff>
    </xdr:to>
    <xdr:sp macro="" textlink="">
      <xdr:nvSpPr>
        <xdr:cNvPr id="11917" name="Freeform 43">
          <a:extLst>
            <a:ext uri="{FF2B5EF4-FFF2-40B4-BE49-F238E27FC236}">
              <a16:creationId xmlns:a16="http://schemas.microsoft.com/office/drawing/2014/main" id="{00000000-0008-0000-0900-00008D2E0000}"/>
            </a:ext>
          </a:extLst>
        </xdr:cNvPr>
        <xdr:cNvSpPr>
          <a:spLocks noChangeAspect="1"/>
        </xdr:cNvSpPr>
      </xdr:nvSpPr>
      <xdr:spPr bwMode="auto">
        <a:xfrm>
          <a:off x="9363075" y="6048375"/>
          <a:ext cx="47625" cy="47625"/>
        </a:xfrm>
        <a:custGeom>
          <a:avLst/>
          <a:gdLst>
            <a:gd name="T0" fmla="*/ 0 w 95"/>
            <a:gd name="T1" fmla="*/ 0 h 79"/>
            <a:gd name="T2" fmla="*/ 0 w 95"/>
            <a:gd name="T3" fmla="*/ 0 h 79"/>
            <a:gd name="T4" fmla="*/ 0 w 95"/>
            <a:gd name="T5" fmla="*/ 0 h 79"/>
            <a:gd name="T6" fmla="*/ 0 w 95"/>
            <a:gd name="T7" fmla="*/ 0 h 79"/>
            <a:gd name="T8" fmla="*/ 0 w 95"/>
            <a:gd name="T9" fmla="*/ 0 h 79"/>
            <a:gd name="T10" fmla="*/ 0 w 95"/>
            <a:gd name="T11" fmla="*/ 0 h 79"/>
            <a:gd name="T12" fmla="*/ 0 w 95"/>
            <a:gd name="T13" fmla="*/ 0 h 79"/>
            <a:gd name="T14" fmla="*/ 0 w 95"/>
            <a:gd name="T15" fmla="*/ 0 h 79"/>
            <a:gd name="T16" fmla="*/ 0 w 95"/>
            <a:gd name="T17" fmla="*/ 0 h 79"/>
            <a:gd name="T18" fmla="*/ 0 w 95"/>
            <a:gd name="T19" fmla="*/ 0 h 79"/>
            <a:gd name="T20" fmla="*/ 0 w 95"/>
            <a:gd name="T21" fmla="*/ 0 h 79"/>
            <a:gd name="T22" fmla="*/ 0 w 95"/>
            <a:gd name="T23" fmla="*/ 0 h 79"/>
            <a:gd name="T24" fmla="*/ 0 w 95"/>
            <a:gd name="T25" fmla="*/ 0 h 79"/>
            <a:gd name="T26" fmla="*/ 0 w 95"/>
            <a:gd name="T27" fmla="*/ 0 h 79"/>
            <a:gd name="T28" fmla="*/ 0 w 95"/>
            <a:gd name="T29" fmla="*/ 0 h 79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95"/>
            <a:gd name="T46" fmla="*/ 0 h 79"/>
            <a:gd name="T47" fmla="*/ 95 w 95"/>
            <a:gd name="T48" fmla="*/ 79 h 79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95" h="79">
              <a:moveTo>
                <a:pt x="95" y="55"/>
              </a:moveTo>
              <a:lnTo>
                <a:pt x="88" y="64"/>
              </a:lnTo>
              <a:lnTo>
                <a:pt x="79" y="72"/>
              </a:lnTo>
              <a:lnTo>
                <a:pt x="69" y="77"/>
              </a:lnTo>
              <a:lnTo>
                <a:pt x="57" y="79"/>
              </a:lnTo>
              <a:lnTo>
                <a:pt x="46" y="79"/>
              </a:lnTo>
              <a:lnTo>
                <a:pt x="34" y="77"/>
              </a:lnTo>
              <a:lnTo>
                <a:pt x="24" y="72"/>
              </a:lnTo>
              <a:lnTo>
                <a:pt x="14" y="64"/>
              </a:lnTo>
              <a:lnTo>
                <a:pt x="7" y="56"/>
              </a:lnTo>
              <a:lnTo>
                <a:pt x="2" y="45"/>
              </a:lnTo>
              <a:lnTo>
                <a:pt x="0" y="34"/>
              </a:lnTo>
              <a:lnTo>
                <a:pt x="0" y="22"/>
              </a:lnTo>
              <a:lnTo>
                <a:pt x="2" y="11"/>
              </a:lnTo>
              <a:lnTo>
                <a:pt x="7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180975</xdr:colOff>
      <xdr:row>30</xdr:row>
      <xdr:rowOff>85725</xdr:rowOff>
    </xdr:from>
    <xdr:to>
      <xdr:col>19</xdr:col>
      <xdr:colOff>0</xdr:colOff>
      <xdr:row>34</xdr:row>
      <xdr:rowOff>38100</xdr:rowOff>
    </xdr:to>
    <xdr:sp macro="" textlink="">
      <xdr:nvSpPr>
        <xdr:cNvPr id="11918" name="Freeform 44">
          <a:extLst>
            <a:ext uri="{FF2B5EF4-FFF2-40B4-BE49-F238E27FC236}">
              <a16:creationId xmlns:a16="http://schemas.microsoft.com/office/drawing/2014/main" id="{00000000-0008-0000-0900-00008E2E0000}"/>
            </a:ext>
          </a:extLst>
        </xdr:cNvPr>
        <xdr:cNvSpPr>
          <a:spLocks noChangeAspect="1"/>
        </xdr:cNvSpPr>
      </xdr:nvSpPr>
      <xdr:spPr bwMode="auto">
        <a:xfrm>
          <a:off x="9363075" y="5476875"/>
          <a:ext cx="466725" cy="600075"/>
        </a:xfrm>
        <a:custGeom>
          <a:avLst/>
          <a:gdLst>
            <a:gd name="T0" fmla="*/ 0 w 825"/>
            <a:gd name="T1" fmla="*/ 2147483647 h 1245"/>
            <a:gd name="T2" fmla="*/ 0 w 825"/>
            <a:gd name="T3" fmla="*/ 2147483647 h 1245"/>
            <a:gd name="T4" fmla="*/ 0 w 825"/>
            <a:gd name="T5" fmla="*/ 2147483647 h 1245"/>
            <a:gd name="T6" fmla="*/ 2147483647 w 825"/>
            <a:gd name="T7" fmla="*/ 0 h 1245"/>
            <a:gd name="T8" fmla="*/ 2147483647 w 825"/>
            <a:gd name="T9" fmla="*/ 0 h 1245"/>
            <a:gd name="T10" fmla="*/ 2147483647 w 825"/>
            <a:gd name="T11" fmla="*/ 0 h 1245"/>
            <a:gd name="T12" fmla="*/ 0 w 825"/>
            <a:gd name="T13" fmla="*/ 2147483647 h 124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25"/>
            <a:gd name="T22" fmla="*/ 0 h 1245"/>
            <a:gd name="T23" fmla="*/ 825 w 825"/>
            <a:gd name="T24" fmla="*/ 1245 h 124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25" h="1245">
              <a:moveTo>
                <a:pt x="0" y="1190"/>
              </a:moveTo>
              <a:lnTo>
                <a:pt x="44" y="1218"/>
              </a:lnTo>
              <a:lnTo>
                <a:pt x="88" y="1245"/>
              </a:lnTo>
              <a:lnTo>
                <a:pt x="825" y="54"/>
              </a:lnTo>
              <a:lnTo>
                <a:pt x="781" y="27"/>
              </a:lnTo>
              <a:lnTo>
                <a:pt x="737" y="0"/>
              </a:lnTo>
              <a:lnTo>
                <a:pt x="0" y="119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180975</xdr:colOff>
      <xdr:row>30</xdr:row>
      <xdr:rowOff>85725</xdr:rowOff>
    </xdr:from>
    <xdr:to>
      <xdr:col>19</xdr:col>
      <xdr:colOff>0</xdr:colOff>
      <xdr:row>34</xdr:row>
      <xdr:rowOff>38100</xdr:rowOff>
    </xdr:to>
    <xdr:sp macro="" textlink="">
      <xdr:nvSpPr>
        <xdr:cNvPr id="11919" name="Freeform 45">
          <a:extLst>
            <a:ext uri="{FF2B5EF4-FFF2-40B4-BE49-F238E27FC236}">
              <a16:creationId xmlns:a16="http://schemas.microsoft.com/office/drawing/2014/main" id="{00000000-0008-0000-0900-00008F2E0000}"/>
            </a:ext>
          </a:extLst>
        </xdr:cNvPr>
        <xdr:cNvSpPr>
          <a:spLocks noChangeAspect="1"/>
        </xdr:cNvSpPr>
      </xdr:nvSpPr>
      <xdr:spPr bwMode="auto">
        <a:xfrm>
          <a:off x="9363075" y="5476875"/>
          <a:ext cx="466725" cy="600075"/>
        </a:xfrm>
        <a:custGeom>
          <a:avLst/>
          <a:gdLst>
            <a:gd name="T0" fmla="*/ 0 w 825"/>
            <a:gd name="T1" fmla="*/ 2147483647 h 1245"/>
            <a:gd name="T2" fmla="*/ 0 w 825"/>
            <a:gd name="T3" fmla="*/ 2147483647 h 1245"/>
            <a:gd name="T4" fmla="*/ 0 w 825"/>
            <a:gd name="T5" fmla="*/ 2147483647 h 1245"/>
            <a:gd name="T6" fmla="*/ 2147483647 w 825"/>
            <a:gd name="T7" fmla="*/ 0 h 1245"/>
            <a:gd name="T8" fmla="*/ 2147483647 w 825"/>
            <a:gd name="T9" fmla="*/ 0 h 1245"/>
            <a:gd name="T10" fmla="*/ 2147483647 w 825"/>
            <a:gd name="T11" fmla="*/ 0 h 1245"/>
            <a:gd name="T12" fmla="*/ 0 w 825"/>
            <a:gd name="T13" fmla="*/ 2147483647 h 124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25"/>
            <a:gd name="T22" fmla="*/ 0 h 1245"/>
            <a:gd name="T23" fmla="*/ 825 w 825"/>
            <a:gd name="T24" fmla="*/ 1245 h 124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25" h="1245">
              <a:moveTo>
                <a:pt x="0" y="1190"/>
              </a:moveTo>
              <a:lnTo>
                <a:pt x="44" y="1218"/>
              </a:lnTo>
              <a:lnTo>
                <a:pt x="88" y="1245"/>
              </a:lnTo>
              <a:lnTo>
                <a:pt x="825" y="54"/>
              </a:lnTo>
              <a:lnTo>
                <a:pt x="781" y="27"/>
              </a:lnTo>
              <a:lnTo>
                <a:pt x="737" y="0"/>
              </a:lnTo>
              <a:lnTo>
                <a:pt x="0" y="119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219075</xdr:colOff>
      <xdr:row>30</xdr:row>
      <xdr:rowOff>76200</xdr:rowOff>
    </xdr:from>
    <xdr:to>
      <xdr:col>19</xdr:col>
      <xdr:colOff>0</xdr:colOff>
      <xdr:row>30</xdr:row>
      <xdr:rowOff>104775</xdr:rowOff>
    </xdr:to>
    <xdr:sp macro="" textlink="">
      <xdr:nvSpPr>
        <xdr:cNvPr id="11920" name="Freeform 46">
          <a:extLst>
            <a:ext uri="{FF2B5EF4-FFF2-40B4-BE49-F238E27FC236}">
              <a16:creationId xmlns:a16="http://schemas.microsoft.com/office/drawing/2014/main" id="{00000000-0008-0000-0900-0000902E0000}"/>
            </a:ext>
          </a:extLst>
        </xdr:cNvPr>
        <xdr:cNvSpPr>
          <a:spLocks noChangeAspect="1"/>
        </xdr:cNvSpPr>
      </xdr:nvSpPr>
      <xdr:spPr bwMode="auto">
        <a:xfrm>
          <a:off x="9744075" y="5467350"/>
          <a:ext cx="85725" cy="28575"/>
        </a:xfrm>
        <a:custGeom>
          <a:avLst/>
          <a:gdLst>
            <a:gd name="T0" fmla="*/ 0 w 96"/>
            <a:gd name="T1" fmla="*/ 0 h 79"/>
            <a:gd name="T2" fmla="*/ 0 w 96"/>
            <a:gd name="T3" fmla="*/ 0 h 79"/>
            <a:gd name="T4" fmla="*/ 0 w 96"/>
            <a:gd name="T5" fmla="*/ 0 h 79"/>
            <a:gd name="T6" fmla="*/ 0 w 96"/>
            <a:gd name="T7" fmla="*/ 0 h 79"/>
            <a:gd name="T8" fmla="*/ 0 w 96"/>
            <a:gd name="T9" fmla="*/ 0 h 79"/>
            <a:gd name="T10" fmla="*/ 0 w 96"/>
            <a:gd name="T11" fmla="*/ 0 h 79"/>
            <a:gd name="T12" fmla="*/ 0 w 96"/>
            <a:gd name="T13" fmla="*/ 0 h 79"/>
            <a:gd name="T14" fmla="*/ 0 w 96"/>
            <a:gd name="T15" fmla="*/ 0 h 79"/>
            <a:gd name="T16" fmla="*/ 0 w 96"/>
            <a:gd name="T17" fmla="*/ 0 h 79"/>
            <a:gd name="T18" fmla="*/ 0 w 96"/>
            <a:gd name="T19" fmla="*/ 0 h 79"/>
            <a:gd name="T20" fmla="*/ 0 w 96"/>
            <a:gd name="T21" fmla="*/ 0 h 79"/>
            <a:gd name="T22" fmla="*/ 0 w 96"/>
            <a:gd name="T23" fmla="*/ 0 h 79"/>
            <a:gd name="T24" fmla="*/ 0 w 96"/>
            <a:gd name="T25" fmla="*/ 0 h 79"/>
            <a:gd name="T26" fmla="*/ 0 w 96"/>
            <a:gd name="T27" fmla="*/ 0 h 79"/>
            <a:gd name="T28" fmla="*/ 0 w 96"/>
            <a:gd name="T29" fmla="*/ 0 h 79"/>
            <a:gd name="T30" fmla="*/ 0 w 96"/>
            <a:gd name="T31" fmla="*/ 0 h 79"/>
            <a:gd name="T32" fmla="*/ 0 w 96"/>
            <a:gd name="T33" fmla="*/ 0 h 79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96"/>
            <a:gd name="T52" fmla="*/ 0 h 79"/>
            <a:gd name="T53" fmla="*/ 96 w 96"/>
            <a:gd name="T54" fmla="*/ 79 h 79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96" h="79">
              <a:moveTo>
                <a:pt x="44" y="52"/>
              </a:moveTo>
              <a:lnTo>
                <a:pt x="0" y="25"/>
              </a:lnTo>
              <a:lnTo>
                <a:pt x="7" y="15"/>
              </a:lnTo>
              <a:lnTo>
                <a:pt x="16" y="8"/>
              </a:lnTo>
              <a:lnTo>
                <a:pt x="26" y="3"/>
              </a:lnTo>
              <a:lnTo>
                <a:pt x="38" y="0"/>
              </a:lnTo>
              <a:lnTo>
                <a:pt x="49" y="0"/>
              </a:lnTo>
              <a:lnTo>
                <a:pt x="61" y="3"/>
              </a:lnTo>
              <a:lnTo>
                <a:pt x="71" y="8"/>
              </a:lnTo>
              <a:lnTo>
                <a:pt x="81" y="15"/>
              </a:lnTo>
              <a:lnTo>
                <a:pt x="88" y="24"/>
              </a:lnTo>
              <a:lnTo>
                <a:pt x="93" y="34"/>
              </a:lnTo>
              <a:lnTo>
                <a:pt x="96" y="46"/>
              </a:lnTo>
              <a:lnTo>
                <a:pt x="96" y="57"/>
              </a:lnTo>
              <a:lnTo>
                <a:pt x="93" y="69"/>
              </a:lnTo>
              <a:lnTo>
                <a:pt x="88" y="79"/>
              </a:lnTo>
              <a:lnTo>
                <a:pt x="44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219075</xdr:colOff>
      <xdr:row>30</xdr:row>
      <xdr:rowOff>76200</xdr:rowOff>
    </xdr:from>
    <xdr:to>
      <xdr:col>19</xdr:col>
      <xdr:colOff>0</xdr:colOff>
      <xdr:row>30</xdr:row>
      <xdr:rowOff>104775</xdr:rowOff>
    </xdr:to>
    <xdr:sp macro="" textlink="">
      <xdr:nvSpPr>
        <xdr:cNvPr id="11921" name="Freeform 47">
          <a:extLst>
            <a:ext uri="{FF2B5EF4-FFF2-40B4-BE49-F238E27FC236}">
              <a16:creationId xmlns:a16="http://schemas.microsoft.com/office/drawing/2014/main" id="{00000000-0008-0000-0900-0000912E0000}"/>
            </a:ext>
          </a:extLst>
        </xdr:cNvPr>
        <xdr:cNvSpPr>
          <a:spLocks noChangeAspect="1"/>
        </xdr:cNvSpPr>
      </xdr:nvSpPr>
      <xdr:spPr bwMode="auto">
        <a:xfrm>
          <a:off x="9744075" y="5467350"/>
          <a:ext cx="85725" cy="28575"/>
        </a:xfrm>
        <a:custGeom>
          <a:avLst/>
          <a:gdLst>
            <a:gd name="T0" fmla="*/ 0 w 96"/>
            <a:gd name="T1" fmla="*/ 0 h 79"/>
            <a:gd name="T2" fmla="*/ 0 w 96"/>
            <a:gd name="T3" fmla="*/ 0 h 79"/>
            <a:gd name="T4" fmla="*/ 0 w 96"/>
            <a:gd name="T5" fmla="*/ 0 h 79"/>
            <a:gd name="T6" fmla="*/ 0 w 96"/>
            <a:gd name="T7" fmla="*/ 0 h 79"/>
            <a:gd name="T8" fmla="*/ 0 w 96"/>
            <a:gd name="T9" fmla="*/ 0 h 79"/>
            <a:gd name="T10" fmla="*/ 0 w 96"/>
            <a:gd name="T11" fmla="*/ 0 h 79"/>
            <a:gd name="T12" fmla="*/ 0 w 96"/>
            <a:gd name="T13" fmla="*/ 0 h 79"/>
            <a:gd name="T14" fmla="*/ 0 w 96"/>
            <a:gd name="T15" fmla="*/ 0 h 79"/>
            <a:gd name="T16" fmla="*/ 0 w 96"/>
            <a:gd name="T17" fmla="*/ 0 h 79"/>
            <a:gd name="T18" fmla="*/ 0 w 96"/>
            <a:gd name="T19" fmla="*/ 0 h 79"/>
            <a:gd name="T20" fmla="*/ 0 w 96"/>
            <a:gd name="T21" fmla="*/ 0 h 79"/>
            <a:gd name="T22" fmla="*/ 0 w 96"/>
            <a:gd name="T23" fmla="*/ 0 h 79"/>
            <a:gd name="T24" fmla="*/ 0 w 96"/>
            <a:gd name="T25" fmla="*/ 0 h 79"/>
            <a:gd name="T26" fmla="*/ 0 w 96"/>
            <a:gd name="T27" fmla="*/ 0 h 79"/>
            <a:gd name="T28" fmla="*/ 0 w 96"/>
            <a:gd name="T29" fmla="*/ 0 h 79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96"/>
            <a:gd name="T46" fmla="*/ 0 h 79"/>
            <a:gd name="T47" fmla="*/ 96 w 96"/>
            <a:gd name="T48" fmla="*/ 79 h 79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96" h="79">
              <a:moveTo>
                <a:pt x="0" y="25"/>
              </a:moveTo>
              <a:lnTo>
                <a:pt x="7" y="15"/>
              </a:lnTo>
              <a:lnTo>
                <a:pt x="16" y="8"/>
              </a:lnTo>
              <a:lnTo>
                <a:pt x="26" y="3"/>
              </a:lnTo>
              <a:lnTo>
                <a:pt x="38" y="0"/>
              </a:lnTo>
              <a:lnTo>
                <a:pt x="49" y="0"/>
              </a:lnTo>
              <a:lnTo>
                <a:pt x="61" y="3"/>
              </a:lnTo>
              <a:lnTo>
                <a:pt x="71" y="8"/>
              </a:lnTo>
              <a:lnTo>
                <a:pt x="81" y="15"/>
              </a:lnTo>
              <a:lnTo>
                <a:pt x="88" y="24"/>
              </a:lnTo>
              <a:lnTo>
                <a:pt x="93" y="34"/>
              </a:lnTo>
              <a:lnTo>
                <a:pt x="96" y="46"/>
              </a:lnTo>
              <a:lnTo>
                <a:pt x="96" y="57"/>
              </a:lnTo>
              <a:lnTo>
                <a:pt x="93" y="69"/>
              </a:lnTo>
              <a:lnTo>
                <a:pt x="88" y="79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219075</xdr:colOff>
      <xdr:row>30</xdr:row>
      <xdr:rowOff>85725</xdr:rowOff>
    </xdr:from>
    <xdr:to>
      <xdr:col>19</xdr:col>
      <xdr:colOff>0</xdr:colOff>
      <xdr:row>30</xdr:row>
      <xdr:rowOff>123825</xdr:rowOff>
    </xdr:to>
    <xdr:sp macro="" textlink="">
      <xdr:nvSpPr>
        <xdr:cNvPr id="11922" name="Freeform 48">
          <a:extLst>
            <a:ext uri="{FF2B5EF4-FFF2-40B4-BE49-F238E27FC236}">
              <a16:creationId xmlns:a16="http://schemas.microsoft.com/office/drawing/2014/main" id="{00000000-0008-0000-0900-0000922E0000}"/>
            </a:ext>
          </a:extLst>
        </xdr:cNvPr>
        <xdr:cNvSpPr>
          <a:spLocks noChangeAspect="1"/>
        </xdr:cNvSpPr>
      </xdr:nvSpPr>
      <xdr:spPr bwMode="auto">
        <a:xfrm>
          <a:off x="9744075" y="5476875"/>
          <a:ext cx="85725" cy="38100"/>
        </a:xfrm>
        <a:custGeom>
          <a:avLst/>
          <a:gdLst>
            <a:gd name="T0" fmla="*/ 0 w 88"/>
            <a:gd name="T1" fmla="*/ 0 h 88"/>
            <a:gd name="T2" fmla="*/ 0 w 88"/>
            <a:gd name="T3" fmla="*/ 0 h 88"/>
            <a:gd name="T4" fmla="*/ 0 w 88"/>
            <a:gd name="T5" fmla="*/ 0 h 88"/>
            <a:gd name="T6" fmla="*/ 0 w 88"/>
            <a:gd name="T7" fmla="*/ 0 h 88"/>
            <a:gd name="T8" fmla="*/ 0 w 88"/>
            <a:gd name="T9" fmla="*/ 0 h 88"/>
            <a:gd name="T10" fmla="*/ 0 w 88"/>
            <a:gd name="T11" fmla="*/ 0 h 88"/>
            <a:gd name="T12" fmla="*/ 0 w 88"/>
            <a:gd name="T13" fmla="*/ 0 h 88"/>
            <a:gd name="T14" fmla="*/ 0 w 88"/>
            <a:gd name="T15" fmla="*/ 0 h 88"/>
            <a:gd name="T16" fmla="*/ 0 w 88"/>
            <a:gd name="T17" fmla="*/ 0 h 88"/>
            <a:gd name="T18" fmla="*/ 0 w 88"/>
            <a:gd name="T19" fmla="*/ 0 h 88"/>
            <a:gd name="T20" fmla="*/ 0 w 88"/>
            <a:gd name="T21" fmla="*/ 0 h 88"/>
            <a:gd name="T22" fmla="*/ 0 w 88"/>
            <a:gd name="T23" fmla="*/ 0 h 88"/>
            <a:gd name="T24" fmla="*/ 0 w 88"/>
            <a:gd name="T25" fmla="*/ 0 h 88"/>
            <a:gd name="T26" fmla="*/ 0 w 88"/>
            <a:gd name="T27" fmla="*/ 0 h 88"/>
            <a:gd name="T28" fmla="*/ 0 w 88"/>
            <a:gd name="T29" fmla="*/ 0 h 88"/>
            <a:gd name="T30" fmla="*/ 0 w 88"/>
            <a:gd name="T31" fmla="*/ 0 h 88"/>
            <a:gd name="T32" fmla="*/ 0 w 88"/>
            <a:gd name="T33" fmla="*/ 0 h 88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88"/>
            <a:gd name="T52" fmla="*/ 0 h 88"/>
            <a:gd name="T53" fmla="*/ 88 w 88"/>
            <a:gd name="T54" fmla="*/ 88 h 88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88" h="88">
              <a:moveTo>
                <a:pt x="51" y="37"/>
              </a:moveTo>
              <a:lnTo>
                <a:pt x="88" y="74"/>
              </a:lnTo>
              <a:lnTo>
                <a:pt x="79" y="81"/>
              </a:lnTo>
              <a:lnTo>
                <a:pt x="69" y="86"/>
              </a:lnTo>
              <a:lnTo>
                <a:pt x="57" y="88"/>
              </a:lnTo>
              <a:lnTo>
                <a:pt x="46" y="88"/>
              </a:lnTo>
              <a:lnTo>
                <a:pt x="34" y="86"/>
              </a:lnTo>
              <a:lnTo>
                <a:pt x="24" y="81"/>
              </a:lnTo>
              <a:lnTo>
                <a:pt x="14" y="74"/>
              </a:lnTo>
              <a:lnTo>
                <a:pt x="7" y="65"/>
              </a:lnTo>
              <a:lnTo>
                <a:pt x="2" y="55"/>
              </a:lnTo>
              <a:lnTo>
                <a:pt x="0" y="43"/>
              </a:lnTo>
              <a:lnTo>
                <a:pt x="0" y="32"/>
              </a:lnTo>
              <a:lnTo>
                <a:pt x="2" y="20"/>
              </a:lnTo>
              <a:lnTo>
                <a:pt x="7" y="10"/>
              </a:lnTo>
              <a:lnTo>
                <a:pt x="14" y="0"/>
              </a:lnTo>
              <a:lnTo>
                <a:pt x="51" y="37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219075</xdr:colOff>
      <xdr:row>30</xdr:row>
      <xdr:rowOff>85725</xdr:rowOff>
    </xdr:from>
    <xdr:to>
      <xdr:col>19</xdr:col>
      <xdr:colOff>0</xdr:colOff>
      <xdr:row>30</xdr:row>
      <xdr:rowOff>123825</xdr:rowOff>
    </xdr:to>
    <xdr:sp macro="" textlink="">
      <xdr:nvSpPr>
        <xdr:cNvPr id="11923" name="Freeform 49">
          <a:extLst>
            <a:ext uri="{FF2B5EF4-FFF2-40B4-BE49-F238E27FC236}">
              <a16:creationId xmlns:a16="http://schemas.microsoft.com/office/drawing/2014/main" id="{00000000-0008-0000-0900-0000932E0000}"/>
            </a:ext>
          </a:extLst>
        </xdr:cNvPr>
        <xdr:cNvSpPr>
          <a:spLocks noChangeAspect="1"/>
        </xdr:cNvSpPr>
      </xdr:nvSpPr>
      <xdr:spPr bwMode="auto">
        <a:xfrm>
          <a:off x="9744075" y="5476875"/>
          <a:ext cx="85725" cy="38100"/>
        </a:xfrm>
        <a:custGeom>
          <a:avLst/>
          <a:gdLst>
            <a:gd name="T0" fmla="*/ 0 w 88"/>
            <a:gd name="T1" fmla="*/ 0 h 88"/>
            <a:gd name="T2" fmla="*/ 0 w 88"/>
            <a:gd name="T3" fmla="*/ 0 h 88"/>
            <a:gd name="T4" fmla="*/ 0 w 88"/>
            <a:gd name="T5" fmla="*/ 0 h 88"/>
            <a:gd name="T6" fmla="*/ 0 w 88"/>
            <a:gd name="T7" fmla="*/ 0 h 88"/>
            <a:gd name="T8" fmla="*/ 0 w 88"/>
            <a:gd name="T9" fmla="*/ 0 h 88"/>
            <a:gd name="T10" fmla="*/ 0 w 88"/>
            <a:gd name="T11" fmla="*/ 0 h 88"/>
            <a:gd name="T12" fmla="*/ 0 w 88"/>
            <a:gd name="T13" fmla="*/ 0 h 88"/>
            <a:gd name="T14" fmla="*/ 0 w 88"/>
            <a:gd name="T15" fmla="*/ 0 h 88"/>
            <a:gd name="T16" fmla="*/ 0 w 88"/>
            <a:gd name="T17" fmla="*/ 0 h 88"/>
            <a:gd name="T18" fmla="*/ 0 w 88"/>
            <a:gd name="T19" fmla="*/ 0 h 88"/>
            <a:gd name="T20" fmla="*/ 0 w 88"/>
            <a:gd name="T21" fmla="*/ 0 h 88"/>
            <a:gd name="T22" fmla="*/ 0 w 88"/>
            <a:gd name="T23" fmla="*/ 0 h 88"/>
            <a:gd name="T24" fmla="*/ 0 w 88"/>
            <a:gd name="T25" fmla="*/ 0 h 88"/>
            <a:gd name="T26" fmla="*/ 0 w 88"/>
            <a:gd name="T27" fmla="*/ 0 h 88"/>
            <a:gd name="T28" fmla="*/ 0 w 88"/>
            <a:gd name="T29" fmla="*/ 0 h 88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88"/>
            <a:gd name="T46" fmla="*/ 0 h 88"/>
            <a:gd name="T47" fmla="*/ 88 w 88"/>
            <a:gd name="T48" fmla="*/ 88 h 88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88" h="88">
              <a:moveTo>
                <a:pt x="88" y="74"/>
              </a:moveTo>
              <a:lnTo>
                <a:pt x="79" y="81"/>
              </a:lnTo>
              <a:lnTo>
                <a:pt x="69" y="86"/>
              </a:lnTo>
              <a:lnTo>
                <a:pt x="57" y="88"/>
              </a:lnTo>
              <a:lnTo>
                <a:pt x="46" y="88"/>
              </a:lnTo>
              <a:lnTo>
                <a:pt x="34" y="86"/>
              </a:lnTo>
              <a:lnTo>
                <a:pt x="24" y="81"/>
              </a:lnTo>
              <a:lnTo>
                <a:pt x="14" y="74"/>
              </a:lnTo>
              <a:lnTo>
                <a:pt x="7" y="65"/>
              </a:lnTo>
              <a:lnTo>
                <a:pt x="2" y="55"/>
              </a:lnTo>
              <a:lnTo>
                <a:pt x="0" y="43"/>
              </a:lnTo>
              <a:lnTo>
                <a:pt x="0" y="32"/>
              </a:lnTo>
              <a:lnTo>
                <a:pt x="2" y="20"/>
              </a:lnTo>
              <a:lnTo>
                <a:pt x="7" y="10"/>
              </a:lnTo>
              <a:lnTo>
                <a:pt x="14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219075</xdr:colOff>
      <xdr:row>28</xdr:row>
      <xdr:rowOff>9525</xdr:rowOff>
    </xdr:from>
    <xdr:to>
      <xdr:col>19</xdr:col>
      <xdr:colOff>371475</xdr:colOff>
      <xdr:row>30</xdr:row>
      <xdr:rowOff>114300</xdr:rowOff>
    </xdr:to>
    <xdr:sp macro="" textlink="">
      <xdr:nvSpPr>
        <xdr:cNvPr id="11924" name="Freeform 50">
          <a:extLst>
            <a:ext uri="{FF2B5EF4-FFF2-40B4-BE49-F238E27FC236}">
              <a16:creationId xmlns:a16="http://schemas.microsoft.com/office/drawing/2014/main" id="{00000000-0008-0000-0900-0000942E0000}"/>
            </a:ext>
          </a:extLst>
        </xdr:cNvPr>
        <xdr:cNvSpPr>
          <a:spLocks noChangeAspect="1"/>
        </xdr:cNvSpPr>
      </xdr:nvSpPr>
      <xdr:spPr bwMode="auto">
        <a:xfrm>
          <a:off x="9744075" y="5076825"/>
          <a:ext cx="457200" cy="428625"/>
        </a:xfrm>
        <a:custGeom>
          <a:avLst/>
          <a:gdLst>
            <a:gd name="T0" fmla="*/ 0 w 909"/>
            <a:gd name="T1" fmla="*/ 2147483647 h 927"/>
            <a:gd name="T2" fmla="*/ 0 w 909"/>
            <a:gd name="T3" fmla="*/ 2147483647 h 927"/>
            <a:gd name="T4" fmla="*/ 0 w 909"/>
            <a:gd name="T5" fmla="*/ 2147483647 h 927"/>
            <a:gd name="T6" fmla="*/ 2147483647 w 909"/>
            <a:gd name="T7" fmla="*/ 0 h 927"/>
            <a:gd name="T8" fmla="*/ 2147483647 w 909"/>
            <a:gd name="T9" fmla="*/ 0 h 927"/>
            <a:gd name="T10" fmla="*/ 2147483647 w 909"/>
            <a:gd name="T11" fmla="*/ 0 h 927"/>
            <a:gd name="T12" fmla="*/ 0 w 909"/>
            <a:gd name="T13" fmla="*/ 2147483647 h 9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9"/>
            <a:gd name="T22" fmla="*/ 0 h 927"/>
            <a:gd name="T23" fmla="*/ 909 w 909"/>
            <a:gd name="T24" fmla="*/ 927 h 9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9" h="927">
              <a:moveTo>
                <a:pt x="0" y="853"/>
              </a:moveTo>
              <a:lnTo>
                <a:pt x="37" y="890"/>
              </a:lnTo>
              <a:lnTo>
                <a:pt x="74" y="927"/>
              </a:lnTo>
              <a:lnTo>
                <a:pt x="909" y="73"/>
              </a:lnTo>
              <a:lnTo>
                <a:pt x="872" y="36"/>
              </a:lnTo>
              <a:lnTo>
                <a:pt x="835" y="0"/>
              </a:lnTo>
              <a:lnTo>
                <a:pt x="0" y="8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219075</xdr:colOff>
      <xdr:row>28</xdr:row>
      <xdr:rowOff>9525</xdr:rowOff>
    </xdr:from>
    <xdr:to>
      <xdr:col>19</xdr:col>
      <xdr:colOff>371475</xdr:colOff>
      <xdr:row>30</xdr:row>
      <xdr:rowOff>114300</xdr:rowOff>
    </xdr:to>
    <xdr:sp macro="" textlink="">
      <xdr:nvSpPr>
        <xdr:cNvPr id="11925" name="Freeform 51">
          <a:extLst>
            <a:ext uri="{FF2B5EF4-FFF2-40B4-BE49-F238E27FC236}">
              <a16:creationId xmlns:a16="http://schemas.microsoft.com/office/drawing/2014/main" id="{00000000-0008-0000-0900-0000952E0000}"/>
            </a:ext>
          </a:extLst>
        </xdr:cNvPr>
        <xdr:cNvSpPr>
          <a:spLocks noChangeAspect="1"/>
        </xdr:cNvSpPr>
      </xdr:nvSpPr>
      <xdr:spPr bwMode="auto">
        <a:xfrm>
          <a:off x="9744075" y="5076825"/>
          <a:ext cx="457200" cy="428625"/>
        </a:xfrm>
        <a:custGeom>
          <a:avLst/>
          <a:gdLst>
            <a:gd name="T0" fmla="*/ 0 w 909"/>
            <a:gd name="T1" fmla="*/ 2147483647 h 927"/>
            <a:gd name="T2" fmla="*/ 0 w 909"/>
            <a:gd name="T3" fmla="*/ 2147483647 h 927"/>
            <a:gd name="T4" fmla="*/ 0 w 909"/>
            <a:gd name="T5" fmla="*/ 2147483647 h 927"/>
            <a:gd name="T6" fmla="*/ 2147483647 w 909"/>
            <a:gd name="T7" fmla="*/ 0 h 927"/>
            <a:gd name="T8" fmla="*/ 2147483647 w 909"/>
            <a:gd name="T9" fmla="*/ 0 h 927"/>
            <a:gd name="T10" fmla="*/ 2147483647 w 909"/>
            <a:gd name="T11" fmla="*/ 0 h 927"/>
            <a:gd name="T12" fmla="*/ 0 w 909"/>
            <a:gd name="T13" fmla="*/ 2147483647 h 9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9"/>
            <a:gd name="T22" fmla="*/ 0 h 927"/>
            <a:gd name="T23" fmla="*/ 909 w 909"/>
            <a:gd name="T24" fmla="*/ 927 h 9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9" h="927">
              <a:moveTo>
                <a:pt x="0" y="853"/>
              </a:moveTo>
              <a:lnTo>
                <a:pt x="37" y="890"/>
              </a:lnTo>
              <a:lnTo>
                <a:pt x="74" y="927"/>
              </a:lnTo>
              <a:lnTo>
                <a:pt x="909" y="73"/>
              </a:lnTo>
              <a:lnTo>
                <a:pt x="872" y="36"/>
              </a:lnTo>
              <a:lnTo>
                <a:pt x="835" y="0"/>
              </a:lnTo>
              <a:lnTo>
                <a:pt x="0" y="853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342900</xdr:colOff>
      <xdr:row>28</xdr:row>
      <xdr:rowOff>9525</xdr:rowOff>
    </xdr:from>
    <xdr:to>
      <xdr:col>19</xdr:col>
      <xdr:colOff>381000</xdr:colOff>
      <xdr:row>28</xdr:row>
      <xdr:rowOff>47625</xdr:rowOff>
    </xdr:to>
    <xdr:sp macro="" textlink="">
      <xdr:nvSpPr>
        <xdr:cNvPr id="11926" name="Freeform 52">
          <a:extLst>
            <a:ext uri="{FF2B5EF4-FFF2-40B4-BE49-F238E27FC236}">
              <a16:creationId xmlns:a16="http://schemas.microsoft.com/office/drawing/2014/main" id="{00000000-0008-0000-0900-0000962E0000}"/>
            </a:ext>
          </a:extLst>
        </xdr:cNvPr>
        <xdr:cNvSpPr>
          <a:spLocks noChangeAspect="1"/>
        </xdr:cNvSpPr>
      </xdr:nvSpPr>
      <xdr:spPr bwMode="auto">
        <a:xfrm>
          <a:off x="10172700" y="5076825"/>
          <a:ext cx="38100" cy="38100"/>
        </a:xfrm>
        <a:custGeom>
          <a:avLst/>
          <a:gdLst>
            <a:gd name="T0" fmla="*/ 0 w 88"/>
            <a:gd name="T1" fmla="*/ 0 h 88"/>
            <a:gd name="T2" fmla="*/ 0 w 88"/>
            <a:gd name="T3" fmla="*/ 0 h 88"/>
            <a:gd name="T4" fmla="*/ 0 w 88"/>
            <a:gd name="T5" fmla="*/ 0 h 88"/>
            <a:gd name="T6" fmla="*/ 0 w 88"/>
            <a:gd name="T7" fmla="*/ 0 h 88"/>
            <a:gd name="T8" fmla="*/ 0 w 88"/>
            <a:gd name="T9" fmla="*/ 0 h 88"/>
            <a:gd name="T10" fmla="*/ 0 w 88"/>
            <a:gd name="T11" fmla="*/ 0 h 88"/>
            <a:gd name="T12" fmla="*/ 0 w 88"/>
            <a:gd name="T13" fmla="*/ 0 h 88"/>
            <a:gd name="T14" fmla="*/ 0 w 88"/>
            <a:gd name="T15" fmla="*/ 0 h 88"/>
            <a:gd name="T16" fmla="*/ 0 w 88"/>
            <a:gd name="T17" fmla="*/ 0 h 88"/>
            <a:gd name="T18" fmla="*/ 0 w 88"/>
            <a:gd name="T19" fmla="*/ 0 h 88"/>
            <a:gd name="T20" fmla="*/ 0 w 88"/>
            <a:gd name="T21" fmla="*/ 0 h 88"/>
            <a:gd name="T22" fmla="*/ 0 w 88"/>
            <a:gd name="T23" fmla="*/ 0 h 88"/>
            <a:gd name="T24" fmla="*/ 0 w 88"/>
            <a:gd name="T25" fmla="*/ 0 h 88"/>
            <a:gd name="T26" fmla="*/ 0 w 88"/>
            <a:gd name="T27" fmla="*/ 0 h 88"/>
            <a:gd name="T28" fmla="*/ 0 w 88"/>
            <a:gd name="T29" fmla="*/ 0 h 88"/>
            <a:gd name="T30" fmla="*/ 0 w 88"/>
            <a:gd name="T31" fmla="*/ 0 h 88"/>
            <a:gd name="T32" fmla="*/ 0 w 88"/>
            <a:gd name="T33" fmla="*/ 0 h 88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88"/>
            <a:gd name="T52" fmla="*/ 0 h 88"/>
            <a:gd name="T53" fmla="*/ 88 w 88"/>
            <a:gd name="T54" fmla="*/ 88 h 88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88" h="88">
              <a:moveTo>
                <a:pt x="37" y="51"/>
              </a:moveTo>
              <a:lnTo>
                <a:pt x="0" y="15"/>
              </a:lnTo>
              <a:lnTo>
                <a:pt x="8" y="7"/>
              </a:lnTo>
              <a:lnTo>
                <a:pt x="19" y="2"/>
              </a:lnTo>
              <a:lnTo>
                <a:pt x="31" y="0"/>
              </a:lnTo>
              <a:lnTo>
                <a:pt x="42" y="0"/>
              </a:lnTo>
              <a:lnTo>
                <a:pt x="54" y="2"/>
              </a:lnTo>
              <a:lnTo>
                <a:pt x="64" y="7"/>
              </a:lnTo>
              <a:lnTo>
                <a:pt x="74" y="15"/>
              </a:lnTo>
              <a:lnTo>
                <a:pt x="81" y="23"/>
              </a:lnTo>
              <a:lnTo>
                <a:pt x="86" y="33"/>
              </a:lnTo>
              <a:lnTo>
                <a:pt x="88" y="45"/>
              </a:lnTo>
              <a:lnTo>
                <a:pt x="88" y="57"/>
              </a:lnTo>
              <a:lnTo>
                <a:pt x="86" y="68"/>
              </a:lnTo>
              <a:lnTo>
                <a:pt x="81" y="79"/>
              </a:lnTo>
              <a:lnTo>
                <a:pt x="74" y="88"/>
              </a:lnTo>
              <a:lnTo>
                <a:pt x="37" y="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342900</xdr:colOff>
      <xdr:row>28</xdr:row>
      <xdr:rowOff>9525</xdr:rowOff>
    </xdr:from>
    <xdr:to>
      <xdr:col>19</xdr:col>
      <xdr:colOff>381000</xdr:colOff>
      <xdr:row>28</xdr:row>
      <xdr:rowOff>47625</xdr:rowOff>
    </xdr:to>
    <xdr:sp macro="" textlink="">
      <xdr:nvSpPr>
        <xdr:cNvPr id="11927" name="Freeform 53">
          <a:extLst>
            <a:ext uri="{FF2B5EF4-FFF2-40B4-BE49-F238E27FC236}">
              <a16:creationId xmlns:a16="http://schemas.microsoft.com/office/drawing/2014/main" id="{00000000-0008-0000-0900-0000972E0000}"/>
            </a:ext>
          </a:extLst>
        </xdr:cNvPr>
        <xdr:cNvSpPr>
          <a:spLocks noChangeAspect="1"/>
        </xdr:cNvSpPr>
      </xdr:nvSpPr>
      <xdr:spPr bwMode="auto">
        <a:xfrm>
          <a:off x="10172700" y="5076825"/>
          <a:ext cx="38100" cy="38100"/>
        </a:xfrm>
        <a:custGeom>
          <a:avLst/>
          <a:gdLst>
            <a:gd name="T0" fmla="*/ 0 w 88"/>
            <a:gd name="T1" fmla="*/ 0 h 88"/>
            <a:gd name="T2" fmla="*/ 0 w 88"/>
            <a:gd name="T3" fmla="*/ 0 h 88"/>
            <a:gd name="T4" fmla="*/ 0 w 88"/>
            <a:gd name="T5" fmla="*/ 0 h 88"/>
            <a:gd name="T6" fmla="*/ 0 w 88"/>
            <a:gd name="T7" fmla="*/ 0 h 88"/>
            <a:gd name="T8" fmla="*/ 0 w 88"/>
            <a:gd name="T9" fmla="*/ 0 h 88"/>
            <a:gd name="T10" fmla="*/ 0 w 88"/>
            <a:gd name="T11" fmla="*/ 0 h 88"/>
            <a:gd name="T12" fmla="*/ 0 w 88"/>
            <a:gd name="T13" fmla="*/ 0 h 88"/>
            <a:gd name="T14" fmla="*/ 0 w 88"/>
            <a:gd name="T15" fmla="*/ 0 h 88"/>
            <a:gd name="T16" fmla="*/ 0 w 88"/>
            <a:gd name="T17" fmla="*/ 0 h 88"/>
            <a:gd name="T18" fmla="*/ 0 w 88"/>
            <a:gd name="T19" fmla="*/ 0 h 88"/>
            <a:gd name="T20" fmla="*/ 0 w 88"/>
            <a:gd name="T21" fmla="*/ 0 h 88"/>
            <a:gd name="T22" fmla="*/ 0 w 88"/>
            <a:gd name="T23" fmla="*/ 0 h 88"/>
            <a:gd name="T24" fmla="*/ 0 w 88"/>
            <a:gd name="T25" fmla="*/ 0 h 88"/>
            <a:gd name="T26" fmla="*/ 0 w 88"/>
            <a:gd name="T27" fmla="*/ 0 h 88"/>
            <a:gd name="T28" fmla="*/ 0 w 88"/>
            <a:gd name="T29" fmla="*/ 0 h 88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88"/>
            <a:gd name="T46" fmla="*/ 0 h 88"/>
            <a:gd name="T47" fmla="*/ 88 w 88"/>
            <a:gd name="T48" fmla="*/ 88 h 88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88" h="88">
              <a:moveTo>
                <a:pt x="0" y="15"/>
              </a:moveTo>
              <a:lnTo>
                <a:pt x="8" y="7"/>
              </a:lnTo>
              <a:lnTo>
                <a:pt x="19" y="2"/>
              </a:lnTo>
              <a:lnTo>
                <a:pt x="31" y="0"/>
              </a:lnTo>
              <a:lnTo>
                <a:pt x="42" y="0"/>
              </a:lnTo>
              <a:lnTo>
                <a:pt x="54" y="2"/>
              </a:lnTo>
              <a:lnTo>
                <a:pt x="64" y="7"/>
              </a:lnTo>
              <a:lnTo>
                <a:pt x="74" y="15"/>
              </a:lnTo>
              <a:lnTo>
                <a:pt x="81" y="23"/>
              </a:lnTo>
              <a:lnTo>
                <a:pt x="86" y="33"/>
              </a:lnTo>
              <a:lnTo>
                <a:pt x="88" y="45"/>
              </a:lnTo>
              <a:lnTo>
                <a:pt x="88" y="57"/>
              </a:lnTo>
              <a:lnTo>
                <a:pt x="86" y="68"/>
              </a:lnTo>
              <a:lnTo>
                <a:pt x="81" y="79"/>
              </a:lnTo>
              <a:lnTo>
                <a:pt x="74" y="88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342900</xdr:colOff>
      <xdr:row>28</xdr:row>
      <xdr:rowOff>9525</xdr:rowOff>
    </xdr:from>
    <xdr:to>
      <xdr:col>19</xdr:col>
      <xdr:colOff>371475</xdr:colOff>
      <xdr:row>28</xdr:row>
      <xdr:rowOff>57150</xdr:rowOff>
    </xdr:to>
    <xdr:sp macro="" textlink="">
      <xdr:nvSpPr>
        <xdr:cNvPr id="11928" name="Freeform 54">
          <a:extLst>
            <a:ext uri="{FF2B5EF4-FFF2-40B4-BE49-F238E27FC236}">
              <a16:creationId xmlns:a16="http://schemas.microsoft.com/office/drawing/2014/main" id="{00000000-0008-0000-0900-0000982E0000}"/>
            </a:ext>
          </a:extLst>
        </xdr:cNvPr>
        <xdr:cNvSpPr>
          <a:spLocks noChangeAspect="1"/>
        </xdr:cNvSpPr>
      </xdr:nvSpPr>
      <xdr:spPr bwMode="auto">
        <a:xfrm>
          <a:off x="10172700" y="5076825"/>
          <a:ext cx="28575" cy="4762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w 67"/>
            <a:gd name="T31" fmla="*/ 0 h 101"/>
            <a:gd name="T32" fmla="*/ 0 w 67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7"/>
            <a:gd name="T52" fmla="*/ 0 h 101"/>
            <a:gd name="T53" fmla="*/ 67 w 67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7" h="101">
              <a:moveTo>
                <a:pt x="16" y="49"/>
              </a:moveTo>
              <a:lnTo>
                <a:pt x="32" y="0"/>
              </a:lnTo>
              <a:lnTo>
                <a:pt x="42" y="4"/>
              </a:lnTo>
              <a:lnTo>
                <a:pt x="52" y="11"/>
              </a:lnTo>
              <a:lnTo>
                <a:pt x="59" y="21"/>
              </a:lnTo>
              <a:lnTo>
                <a:pt x="64" y="31"/>
              </a:lnTo>
              <a:lnTo>
                <a:pt x="67" y="42"/>
              </a:lnTo>
              <a:lnTo>
                <a:pt x="67" y="53"/>
              </a:lnTo>
              <a:lnTo>
                <a:pt x="65" y="65"/>
              </a:lnTo>
              <a:lnTo>
                <a:pt x="61" y="76"/>
              </a:lnTo>
              <a:lnTo>
                <a:pt x="54" y="85"/>
              </a:lnTo>
              <a:lnTo>
                <a:pt x="44" y="92"/>
              </a:lnTo>
              <a:lnTo>
                <a:pt x="34" y="98"/>
              </a:lnTo>
              <a:lnTo>
                <a:pt x="23" y="101"/>
              </a:lnTo>
              <a:lnTo>
                <a:pt x="12" y="101"/>
              </a:lnTo>
              <a:lnTo>
                <a:pt x="0" y="99"/>
              </a:lnTo>
              <a:lnTo>
                <a:pt x="16" y="4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342900</xdr:colOff>
      <xdr:row>28</xdr:row>
      <xdr:rowOff>9525</xdr:rowOff>
    </xdr:from>
    <xdr:to>
      <xdr:col>19</xdr:col>
      <xdr:colOff>371475</xdr:colOff>
      <xdr:row>28</xdr:row>
      <xdr:rowOff>57150</xdr:rowOff>
    </xdr:to>
    <xdr:sp macro="" textlink="">
      <xdr:nvSpPr>
        <xdr:cNvPr id="11929" name="Freeform 55">
          <a:extLst>
            <a:ext uri="{FF2B5EF4-FFF2-40B4-BE49-F238E27FC236}">
              <a16:creationId xmlns:a16="http://schemas.microsoft.com/office/drawing/2014/main" id="{00000000-0008-0000-0900-0000992E0000}"/>
            </a:ext>
          </a:extLst>
        </xdr:cNvPr>
        <xdr:cNvSpPr>
          <a:spLocks noChangeAspect="1"/>
        </xdr:cNvSpPr>
      </xdr:nvSpPr>
      <xdr:spPr bwMode="auto">
        <a:xfrm>
          <a:off x="10172700" y="5076825"/>
          <a:ext cx="28575" cy="4762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7"/>
            <a:gd name="T46" fmla="*/ 0 h 101"/>
            <a:gd name="T47" fmla="*/ 67 w 67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7" h="101">
              <a:moveTo>
                <a:pt x="32" y="0"/>
              </a:moveTo>
              <a:lnTo>
                <a:pt x="42" y="4"/>
              </a:lnTo>
              <a:lnTo>
                <a:pt x="52" y="11"/>
              </a:lnTo>
              <a:lnTo>
                <a:pt x="59" y="21"/>
              </a:lnTo>
              <a:lnTo>
                <a:pt x="64" y="31"/>
              </a:lnTo>
              <a:lnTo>
                <a:pt x="67" y="42"/>
              </a:lnTo>
              <a:lnTo>
                <a:pt x="67" y="53"/>
              </a:lnTo>
              <a:lnTo>
                <a:pt x="65" y="65"/>
              </a:lnTo>
              <a:lnTo>
                <a:pt x="61" y="76"/>
              </a:lnTo>
              <a:lnTo>
                <a:pt x="54" y="85"/>
              </a:lnTo>
              <a:lnTo>
                <a:pt x="44" y="92"/>
              </a:lnTo>
              <a:lnTo>
                <a:pt x="34" y="98"/>
              </a:lnTo>
              <a:lnTo>
                <a:pt x="23" y="101"/>
              </a:lnTo>
              <a:lnTo>
                <a:pt x="12" y="101"/>
              </a:lnTo>
              <a:lnTo>
                <a:pt x="0" y="99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9525</xdr:colOff>
      <xdr:row>20</xdr:row>
      <xdr:rowOff>104775</xdr:rowOff>
    </xdr:from>
    <xdr:to>
      <xdr:col>19</xdr:col>
      <xdr:colOff>371475</xdr:colOff>
      <xdr:row>28</xdr:row>
      <xdr:rowOff>47625</xdr:rowOff>
    </xdr:to>
    <xdr:sp macro="" textlink="">
      <xdr:nvSpPr>
        <xdr:cNvPr id="11930" name="Freeform 56">
          <a:extLst>
            <a:ext uri="{FF2B5EF4-FFF2-40B4-BE49-F238E27FC236}">
              <a16:creationId xmlns:a16="http://schemas.microsoft.com/office/drawing/2014/main" id="{00000000-0008-0000-0900-00009A2E0000}"/>
            </a:ext>
          </a:extLst>
        </xdr:cNvPr>
        <xdr:cNvSpPr>
          <a:spLocks noChangeAspect="1"/>
        </xdr:cNvSpPr>
      </xdr:nvSpPr>
      <xdr:spPr bwMode="auto">
        <a:xfrm>
          <a:off x="6581775" y="3876675"/>
          <a:ext cx="3619500" cy="1238250"/>
        </a:xfrm>
        <a:custGeom>
          <a:avLst/>
          <a:gdLst>
            <a:gd name="T0" fmla="*/ 2147483647 w 7674"/>
            <a:gd name="T1" fmla="*/ 2147483647 h 2571"/>
            <a:gd name="T2" fmla="*/ 2147483647 w 7674"/>
            <a:gd name="T3" fmla="*/ 2147483647 h 2571"/>
            <a:gd name="T4" fmla="*/ 2147483647 w 7674"/>
            <a:gd name="T5" fmla="*/ 2147483647 h 2571"/>
            <a:gd name="T6" fmla="*/ 0 w 7674"/>
            <a:gd name="T7" fmla="*/ 0 h 2571"/>
            <a:gd name="T8" fmla="*/ 0 w 7674"/>
            <a:gd name="T9" fmla="*/ 0 h 2571"/>
            <a:gd name="T10" fmla="*/ 0 w 7674"/>
            <a:gd name="T11" fmla="*/ 0 h 2571"/>
            <a:gd name="T12" fmla="*/ 2147483647 w 7674"/>
            <a:gd name="T13" fmla="*/ 2147483647 h 257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674"/>
            <a:gd name="T22" fmla="*/ 0 h 2571"/>
            <a:gd name="T23" fmla="*/ 7674 w 7674"/>
            <a:gd name="T24" fmla="*/ 2571 h 257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674" h="2571">
              <a:moveTo>
                <a:pt x="7642" y="2571"/>
              </a:moveTo>
              <a:lnTo>
                <a:pt x="7658" y="2521"/>
              </a:lnTo>
              <a:lnTo>
                <a:pt x="7674" y="2472"/>
              </a:lnTo>
              <a:lnTo>
                <a:pt x="32" y="0"/>
              </a:lnTo>
              <a:lnTo>
                <a:pt x="16" y="50"/>
              </a:lnTo>
              <a:lnTo>
                <a:pt x="0" y="99"/>
              </a:lnTo>
              <a:lnTo>
                <a:pt x="7642" y="257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9525</xdr:colOff>
      <xdr:row>20</xdr:row>
      <xdr:rowOff>104775</xdr:rowOff>
    </xdr:from>
    <xdr:to>
      <xdr:col>19</xdr:col>
      <xdr:colOff>371475</xdr:colOff>
      <xdr:row>28</xdr:row>
      <xdr:rowOff>47625</xdr:rowOff>
    </xdr:to>
    <xdr:sp macro="" textlink="">
      <xdr:nvSpPr>
        <xdr:cNvPr id="11931" name="Freeform 57">
          <a:extLst>
            <a:ext uri="{FF2B5EF4-FFF2-40B4-BE49-F238E27FC236}">
              <a16:creationId xmlns:a16="http://schemas.microsoft.com/office/drawing/2014/main" id="{00000000-0008-0000-0900-00009B2E0000}"/>
            </a:ext>
          </a:extLst>
        </xdr:cNvPr>
        <xdr:cNvSpPr>
          <a:spLocks noChangeAspect="1"/>
        </xdr:cNvSpPr>
      </xdr:nvSpPr>
      <xdr:spPr bwMode="auto">
        <a:xfrm>
          <a:off x="6581775" y="3876675"/>
          <a:ext cx="3619500" cy="1238250"/>
        </a:xfrm>
        <a:custGeom>
          <a:avLst/>
          <a:gdLst>
            <a:gd name="T0" fmla="*/ 2147483647 w 7674"/>
            <a:gd name="T1" fmla="*/ 2147483647 h 2571"/>
            <a:gd name="T2" fmla="*/ 2147483647 w 7674"/>
            <a:gd name="T3" fmla="*/ 2147483647 h 2571"/>
            <a:gd name="T4" fmla="*/ 2147483647 w 7674"/>
            <a:gd name="T5" fmla="*/ 2147483647 h 2571"/>
            <a:gd name="T6" fmla="*/ 0 w 7674"/>
            <a:gd name="T7" fmla="*/ 0 h 2571"/>
            <a:gd name="T8" fmla="*/ 0 w 7674"/>
            <a:gd name="T9" fmla="*/ 0 h 2571"/>
            <a:gd name="T10" fmla="*/ 0 w 7674"/>
            <a:gd name="T11" fmla="*/ 0 h 2571"/>
            <a:gd name="T12" fmla="*/ 2147483647 w 7674"/>
            <a:gd name="T13" fmla="*/ 2147483647 h 257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674"/>
            <a:gd name="T22" fmla="*/ 0 h 2571"/>
            <a:gd name="T23" fmla="*/ 7674 w 7674"/>
            <a:gd name="T24" fmla="*/ 2571 h 257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674" h="2571">
              <a:moveTo>
                <a:pt x="7642" y="2571"/>
              </a:moveTo>
              <a:lnTo>
                <a:pt x="7658" y="2521"/>
              </a:lnTo>
              <a:lnTo>
                <a:pt x="7674" y="2472"/>
              </a:lnTo>
              <a:lnTo>
                <a:pt x="32" y="0"/>
              </a:lnTo>
              <a:lnTo>
                <a:pt x="16" y="50"/>
              </a:lnTo>
              <a:lnTo>
                <a:pt x="0" y="99"/>
              </a:lnTo>
              <a:lnTo>
                <a:pt x="7642" y="257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0</xdr:colOff>
      <xdr:row>20</xdr:row>
      <xdr:rowOff>104775</xdr:rowOff>
    </xdr:from>
    <xdr:to>
      <xdr:col>12</xdr:col>
      <xdr:colOff>19050</xdr:colOff>
      <xdr:row>21</xdr:row>
      <xdr:rowOff>9525</xdr:rowOff>
    </xdr:to>
    <xdr:sp macro="" textlink="">
      <xdr:nvSpPr>
        <xdr:cNvPr id="11932" name="Freeform 58">
          <a:extLst>
            <a:ext uri="{FF2B5EF4-FFF2-40B4-BE49-F238E27FC236}">
              <a16:creationId xmlns:a16="http://schemas.microsoft.com/office/drawing/2014/main" id="{00000000-0008-0000-0900-00009C2E0000}"/>
            </a:ext>
          </a:extLst>
        </xdr:cNvPr>
        <xdr:cNvSpPr>
          <a:spLocks noChangeAspect="1"/>
        </xdr:cNvSpPr>
      </xdr:nvSpPr>
      <xdr:spPr bwMode="auto">
        <a:xfrm>
          <a:off x="6572250" y="3876675"/>
          <a:ext cx="19050" cy="66675"/>
        </a:xfrm>
        <a:custGeom>
          <a:avLst/>
          <a:gdLst>
            <a:gd name="T0" fmla="*/ 0 w 68"/>
            <a:gd name="T1" fmla="*/ 0 h 101"/>
            <a:gd name="T2" fmla="*/ 0 w 68"/>
            <a:gd name="T3" fmla="*/ 0 h 101"/>
            <a:gd name="T4" fmla="*/ 0 w 68"/>
            <a:gd name="T5" fmla="*/ 0 h 101"/>
            <a:gd name="T6" fmla="*/ 0 w 68"/>
            <a:gd name="T7" fmla="*/ 0 h 101"/>
            <a:gd name="T8" fmla="*/ 0 w 68"/>
            <a:gd name="T9" fmla="*/ 0 h 101"/>
            <a:gd name="T10" fmla="*/ 0 w 68"/>
            <a:gd name="T11" fmla="*/ 0 h 101"/>
            <a:gd name="T12" fmla="*/ 0 w 68"/>
            <a:gd name="T13" fmla="*/ 0 h 101"/>
            <a:gd name="T14" fmla="*/ 0 w 68"/>
            <a:gd name="T15" fmla="*/ 0 h 101"/>
            <a:gd name="T16" fmla="*/ 0 w 68"/>
            <a:gd name="T17" fmla="*/ 0 h 101"/>
            <a:gd name="T18" fmla="*/ 0 w 68"/>
            <a:gd name="T19" fmla="*/ 0 h 101"/>
            <a:gd name="T20" fmla="*/ 0 w 68"/>
            <a:gd name="T21" fmla="*/ 0 h 101"/>
            <a:gd name="T22" fmla="*/ 0 w 68"/>
            <a:gd name="T23" fmla="*/ 0 h 101"/>
            <a:gd name="T24" fmla="*/ 0 w 68"/>
            <a:gd name="T25" fmla="*/ 0 h 101"/>
            <a:gd name="T26" fmla="*/ 0 w 68"/>
            <a:gd name="T27" fmla="*/ 0 h 101"/>
            <a:gd name="T28" fmla="*/ 0 w 68"/>
            <a:gd name="T29" fmla="*/ 0 h 101"/>
            <a:gd name="T30" fmla="*/ 0 w 68"/>
            <a:gd name="T31" fmla="*/ 0 h 101"/>
            <a:gd name="T32" fmla="*/ 0 w 68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8"/>
            <a:gd name="T52" fmla="*/ 0 h 101"/>
            <a:gd name="T53" fmla="*/ 68 w 68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8" h="101">
              <a:moveTo>
                <a:pt x="52" y="52"/>
              </a:moveTo>
              <a:lnTo>
                <a:pt x="36" y="101"/>
              </a:lnTo>
              <a:lnTo>
                <a:pt x="26" y="97"/>
              </a:lnTo>
              <a:lnTo>
                <a:pt x="16" y="89"/>
              </a:lnTo>
              <a:lnTo>
                <a:pt x="9" y="80"/>
              </a:lnTo>
              <a:lnTo>
                <a:pt x="4" y="69"/>
              </a:lnTo>
              <a:lnTo>
                <a:pt x="0" y="59"/>
              </a:lnTo>
              <a:lnTo>
                <a:pt x="0" y="47"/>
              </a:lnTo>
              <a:lnTo>
                <a:pt x="3" y="36"/>
              </a:lnTo>
              <a:lnTo>
                <a:pt x="7" y="25"/>
              </a:lnTo>
              <a:lnTo>
                <a:pt x="14" y="16"/>
              </a:lnTo>
              <a:lnTo>
                <a:pt x="24" y="9"/>
              </a:lnTo>
              <a:lnTo>
                <a:pt x="34" y="3"/>
              </a:lnTo>
              <a:lnTo>
                <a:pt x="45" y="0"/>
              </a:lnTo>
              <a:lnTo>
                <a:pt x="56" y="0"/>
              </a:lnTo>
              <a:lnTo>
                <a:pt x="68" y="2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0</xdr:colOff>
      <xdr:row>20</xdr:row>
      <xdr:rowOff>104775</xdr:rowOff>
    </xdr:from>
    <xdr:to>
      <xdr:col>12</xdr:col>
      <xdr:colOff>19050</xdr:colOff>
      <xdr:row>21</xdr:row>
      <xdr:rowOff>9525</xdr:rowOff>
    </xdr:to>
    <xdr:sp macro="" textlink="">
      <xdr:nvSpPr>
        <xdr:cNvPr id="11933" name="Freeform 59">
          <a:extLst>
            <a:ext uri="{FF2B5EF4-FFF2-40B4-BE49-F238E27FC236}">
              <a16:creationId xmlns:a16="http://schemas.microsoft.com/office/drawing/2014/main" id="{00000000-0008-0000-0900-00009D2E0000}"/>
            </a:ext>
          </a:extLst>
        </xdr:cNvPr>
        <xdr:cNvSpPr>
          <a:spLocks noChangeAspect="1"/>
        </xdr:cNvSpPr>
      </xdr:nvSpPr>
      <xdr:spPr bwMode="auto">
        <a:xfrm>
          <a:off x="6572250" y="3876675"/>
          <a:ext cx="19050" cy="66675"/>
        </a:xfrm>
        <a:custGeom>
          <a:avLst/>
          <a:gdLst>
            <a:gd name="T0" fmla="*/ 0 w 68"/>
            <a:gd name="T1" fmla="*/ 0 h 101"/>
            <a:gd name="T2" fmla="*/ 0 w 68"/>
            <a:gd name="T3" fmla="*/ 0 h 101"/>
            <a:gd name="T4" fmla="*/ 0 w 68"/>
            <a:gd name="T5" fmla="*/ 0 h 101"/>
            <a:gd name="T6" fmla="*/ 0 w 68"/>
            <a:gd name="T7" fmla="*/ 0 h 101"/>
            <a:gd name="T8" fmla="*/ 0 w 68"/>
            <a:gd name="T9" fmla="*/ 0 h 101"/>
            <a:gd name="T10" fmla="*/ 0 w 68"/>
            <a:gd name="T11" fmla="*/ 0 h 101"/>
            <a:gd name="T12" fmla="*/ 0 w 68"/>
            <a:gd name="T13" fmla="*/ 0 h 101"/>
            <a:gd name="T14" fmla="*/ 0 w 68"/>
            <a:gd name="T15" fmla="*/ 0 h 101"/>
            <a:gd name="T16" fmla="*/ 0 w 68"/>
            <a:gd name="T17" fmla="*/ 0 h 101"/>
            <a:gd name="T18" fmla="*/ 0 w 68"/>
            <a:gd name="T19" fmla="*/ 0 h 101"/>
            <a:gd name="T20" fmla="*/ 0 w 68"/>
            <a:gd name="T21" fmla="*/ 0 h 101"/>
            <a:gd name="T22" fmla="*/ 0 w 68"/>
            <a:gd name="T23" fmla="*/ 0 h 101"/>
            <a:gd name="T24" fmla="*/ 0 w 68"/>
            <a:gd name="T25" fmla="*/ 0 h 101"/>
            <a:gd name="T26" fmla="*/ 0 w 68"/>
            <a:gd name="T27" fmla="*/ 0 h 101"/>
            <a:gd name="T28" fmla="*/ 0 w 68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8"/>
            <a:gd name="T46" fmla="*/ 0 h 101"/>
            <a:gd name="T47" fmla="*/ 68 w 68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8" h="101">
              <a:moveTo>
                <a:pt x="36" y="101"/>
              </a:moveTo>
              <a:lnTo>
                <a:pt x="26" y="97"/>
              </a:lnTo>
              <a:lnTo>
                <a:pt x="16" y="89"/>
              </a:lnTo>
              <a:lnTo>
                <a:pt x="9" y="80"/>
              </a:lnTo>
              <a:lnTo>
                <a:pt x="4" y="69"/>
              </a:lnTo>
              <a:lnTo>
                <a:pt x="0" y="59"/>
              </a:lnTo>
              <a:lnTo>
                <a:pt x="0" y="47"/>
              </a:lnTo>
              <a:lnTo>
                <a:pt x="3" y="36"/>
              </a:lnTo>
              <a:lnTo>
                <a:pt x="7" y="25"/>
              </a:lnTo>
              <a:lnTo>
                <a:pt x="14" y="16"/>
              </a:lnTo>
              <a:lnTo>
                <a:pt x="24" y="9"/>
              </a:lnTo>
              <a:lnTo>
                <a:pt x="34" y="3"/>
              </a:lnTo>
              <a:lnTo>
                <a:pt x="45" y="0"/>
              </a:lnTo>
              <a:lnTo>
                <a:pt x="56" y="0"/>
              </a:lnTo>
              <a:lnTo>
                <a:pt x="68" y="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18</xdr:row>
      <xdr:rowOff>47625</xdr:rowOff>
    </xdr:from>
    <xdr:to>
      <xdr:col>4</xdr:col>
      <xdr:colOff>114300</xdr:colOff>
      <xdr:row>18</xdr:row>
      <xdr:rowOff>85725</xdr:rowOff>
    </xdr:to>
    <xdr:sp macro="" textlink="">
      <xdr:nvSpPr>
        <xdr:cNvPr id="11934" name="Freeform 60">
          <a:extLst>
            <a:ext uri="{FF2B5EF4-FFF2-40B4-BE49-F238E27FC236}">
              <a16:creationId xmlns:a16="http://schemas.microsoft.com/office/drawing/2014/main" id="{00000000-0008-0000-0900-00009E2E0000}"/>
            </a:ext>
          </a:extLst>
        </xdr:cNvPr>
        <xdr:cNvSpPr>
          <a:spLocks noChangeAspect="1"/>
        </xdr:cNvSpPr>
      </xdr:nvSpPr>
      <xdr:spPr bwMode="auto">
        <a:xfrm>
          <a:off x="2219325" y="3495675"/>
          <a:ext cx="2857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3"/>
              </a:moveTo>
              <a:lnTo>
                <a:pt x="52" y="104"/>
              </a:ln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18</xdr:row>
      <xdr:rowOff>47625</xdr:rowOff>
    </xdr:from>
    <xdr:to>
      <xdr:col>4</xdr:col>
      <xdr:colOff>114300</xdr:colOff>
      <xdr:row>18</xdr:row>
      <xdr:rowOff>85725</xdr:rowOff>
    </xdr:to>
    <xdr:sp macro="" textlink="">
      <xdr:nvSpPr>
        <xdr:cNvPr id="11935" name="Freeform 61">
          <a:extLst>
            <a:ext uri="{FF2B5EF4-FFF2-40B4-BE49-F238E27FC236}">
              <a16:creationId xmlns:a16="http://schemas.microsoft.com/office/drawing/2014/main" id="{00000000-0008-0000-0900-00009F2E0000}"/>
            </a:ext>
          </a:extLst>
        </xdr:cNvPr>
        <xdr:cNvSpPr>
          <a:spLocks noChangeAspect="1"/>
        </xdr:cNvSpPr>
      </xdr:nvSpPr>
      <xdr:spPr bwMode="auto">
        <a:xfrm>
          <a:off x="2219325" y="3495675"/>
          <a:ext cx="2857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104775</xdr:colOff>
      <xdr:row>18</xdr:row>
      <xdr:rowOff>47625</xdr:rowOff>
    </xdr:from>
    <xdr:to>
      <xdr:col>4</xdr:col>
      <xdr:colOff>342900</xdr:colOff>
      <xdr:row>18</xdr:row>
      <xdr:rowOff>85725</xdr:rowOff>
    </xdr:to>
    <xdr:sp macro="" textlink="">
      <xdr:nvSpPr>
        <xdr:cNvPr id="11936" name="Freeform 62">
          <a:extLst>
            <a:ext uri="{FF2B5EF4-FFF2-40B4-BE49-F238E27FC236}">
              <a16:creationId xmlns:a16="http://schemas.microsoft.com/office/drawing/2014/main" id="{00000000-0008-0000-0900-0000A02E0000}"/>
            </a:ext>
          </a:extLst>
        </xdr:cNvPr>
        <xdr:cNvSpPr>
          <a:spLocks noChangeAspect="1"/>
        </xdr:cNvSpPr>
      </xdr:nvSpPr>
      <xdr:spPr bwMode="auto">
        <a:xfrm>
          <a:off x="2238375" y="3495675"/>
          <a:ext cx="238125" cy="38100"/>
        </a:xfrm>
        <a:custGeom>
          <a:avLst/>
          <a:gdLst>
            <a:gd name="T0" fmla="*/ 0 w 559"/>
            <a:gd name="T1" fmla="*/ 0 h 104"/>
            <a:gd name="T2" fmla="*/ 0 w 559"/>
            <a:gd name="T3" fmla="*/ 0 h 104"/>
            <a:gd name="T4" fmla="*/ 0 w 559"/>
            <a:gd name="T5" fmla="*/ 0 h 104"/>
            <a:gd name="T6" fmla="*/ 2147483647 w 559"/>
            <a:gd name="T7" fmla="*/ 0 h 104"/>
            <a:gd name="T8" fmla="*/ 2147483647 w 559"/>
            <a:gd name="T9" fmla="*/ 0 h 104"/>
            <a:gd name="T10" fmla="*/ 2147483647 w 559"/>
            <a:gd name="T11" fmla="*/ 0 h 104"/>
            <a:gd name="T12" fmla="*/ 0 w 559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59"/>
            <a:gd name="T22" fmla="*/ 0 h 104"/>
            <a:gd name="T23" fmla="*/ 559 w 559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59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559" y="104"/>
              </a:lnTo>
              <a:lnTo>
                <a:pt x="559" y="53"/>
              </a:lnTo>
              <a:lnTo>
                <a:pt x="559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104775</xdr:colOff>
      <xdr:row>18</xdr:row>
      <xdr:rowOff>47625</xdr:rowOff>
    </xdr:from>
    <xdr:to>
      <xdr:col>4</xdr:col>
      <xdr:colOff>342900</xdr:colOff>
      <xdr:row>18</xdr:row>
      <xdr:rowOff>85725</xdr:rowOff>
    </xdr:to>
    <xdr:sp macro="" textlink="">
      <xdr:nvSpPr>
        <xdr:cNvPr id="11937" name="Freeform 63">
          <a:extLst>
            <a:ext uri="{FF2B5EF4-FFF2-40B4-BE49-F238E27FC236}">
              <a16:creationId xmlns:a16="http://schemas.microsoft.com/office/drawing/2014/main" id="{00000000-0008-0000-0900-0000A12E0000}"/>
            </a:ext>
          </a:extLst>
        </xdr:cNvPr>
        <xdr:cNvSpPr>
          <a:spLocks noChangeAspect="1"/>
        </xdr:cNvSpPr>
      </xdr:nvSpPr>
      <xdr:spPr bwMode="auto">
        <a:xfrm>
          <a:off x="2238375" y="3495675"/>
          <a:ext cx="238125" cy="38100"/>
        </a:xfrm>
        <a:custGeom>
          <a:avLst/>
          <a:gdLst>
            <a:gd name="T0" fmla="*/ 0 w 559"/>
            <a:gd name="T1" fmla="*/ 0 h 104"/>
            <a:gd name="T2" fmla="*/ 0 w 559"/>
            <a:gd name="T3" fmla="*/ 0 h 104"/>
            <a:gd name="T4" fmla="*/ 0 w 559"/>
            <a:gd name="T5" fmla="*/ 0 h 104"/>
            <a:gd name="T6" fmla="*/ 2147483647 w 559"/>
            <a:gd name="T7" fmla="*/ 0 h 104"/>
            <a:gd name="T8" fmla="*/ 2147483647 w 559"/>
            <a:gd name="T9" fmla="*/ 0 h 104"/>
            <a:gd name="T10" fmla="*/ 2147483647 w 559"/>
            <a:gd name="T11" fmla="*/ 0 h 104"/>
            <a:gd name="T12" fmla="*/ 0 w 559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59"/>
            <a:gd name="T22" fmla="*/ 0 h 104"/>
            <a:gd name="T23" fmla="*/ 559 w 559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59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559" y="104"/>
              </a:lnTo>
              <a:lnTo>
                <a:pt x="559" y="53"/>
              </a:lnTo>
              <a:lnTo>
                <a:pt x="559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352425</xdr:colOff>
      <xdr:row>18</xdr:row>
      <xdr:rowOff>47625</xdr:rowOff>
    </xdr:from>
    <xdr:to>
      <xdr:col>4</xdr:col>
      <xdr:colOff>371475</xdr:colOff>
      <xdr:row>18</xdr:row>
      <xdr:rowOff>85725</xdr:rowOff>
    </xdr:to>
    <xdr:sp macro="" textlink="">
      <xdr:nvSpPr>
        <xdr:cNvPr id="11938" name="Freeform 64">
          <a:extLst>
            <a:ext uri="{FF2B5EF4-FFF2-40B4-BE49-F238E27FC236}">
              <a16:creationId xmlns:a16="http://schemas.microsoft.com/office/drawing/2014/main" id="{00000000-0008-0000-0900-0000A22E0000}"/>
            </a:ext>
          </a:extLst>
        </xdr:cNvPr>
        <xdr:cNvSpPr>
          <a:spLocks noChangeAspect="1"/>
        </xdr:cNvSpPr>
      </xdr:nvSpPr>
      <xdr:spPr bwMode="auto">
        <a:xfrm>
          <a:off x="2486025" y="3495675"/>
          <a:ext cx="19050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3"/>
              </a:moveTo>
              <a:lnTo>
                <a:pt x="0" y="0"/>
              </a:lnTo>
              <a:lnTo>
                <a:pt x="12" y="2"/>
              </a:lnTo>
              <a:lnTo>
                <a:pt x="22" y="6"/>
              </a:lnTo>
              <a:lnTo>
                <a:pt x="33" y="12"/>
              </a:lnTo>
              <a:lnTo>
                <a:pt x="41" y="20"/>
              </a:lnTo>
              <a:lnTo>
                <a:pt x="48" y="31"/>
              </a:lnTo>
              <a:lnTo>
                <a:pt x="51" y="41"/>
              </a:lnTo>
              <a:lnTo>
                <a:pt x="53" y="53"/>
              </a:lnTo>
              <a:lnTo>
                <a:pt x="51" y="64"/>
              </a:lnTo>
              <a:lnTo>
                <a:pt x="48" y="75"/>
              </a:lnTo>
              <a:lnTo>
                <a:pt x="41" y="85"/>
              </a:lnTo>
              <a:lnTo>
                <a:pt x="33" y="94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352425</xdr:colOff>
      <xdr:row>18</xdr:row>
      <xdr:rowOff>47625</xdr:rowOff>
    </xdr:from>
    <xdr:to>
      <xdr:col>4</xdr:col>
      <xdr:colOff>371475</xdr:colOff>
      <xdr:row>18</xdr:row>
      <xdr:rowOff>85725</xdr:rowOff>
    </xdr:to>
    <xdr:sp macro="" textlink="">
      <xdr:nvSpPr>
        <xdr:cNvPr id="11939" name="Freeform 65">
          <a:extLst>
            <a:ext uri="{FF2B5EF4-FFF2-40B4-BE49-F238E27FC236}">
              <a16:creationId xmlns:a16="http://schemas.microsoft.com/office/drawing/2014/main" id="{00000000-0008-0000-0900-0000A32E0000}"/>
            </a:ext>
          </a:extLst>
        </xdr:cNvPr>
        <xdr:cNvSpPr>
          <a:spLocks noChangeAspect="1"/>
        </xdr:cNvSpPr>
      </xdr:nvSpPr>
      <xdr:spPr bwMode="auto">
        <a:xfrm>
          <a:off x="2486025" y="3495675"/>
          <a:ext cx="19050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6"/>
              </a:lnTo>
              <a:lnTo>
                <a:pt x="33" y="12"/>
              </a:lnTo>
              <a:lnTo>
                <a:pt x="41" y="20"/>
              </a:lnTo>
              <a:lnTo>
                <a:pt x="48" y="31"/>
              </a:lnTo>
              <a:lnTo>
                <a:pt x="51" y="41"/>
              </a:lnTo>
              <a:lnTo>
                <a:pt x="53" y="53"/>
              </a:lnTo>
              <a:lnTo>
                <a:pt x="51" y="64"/>
              </a:lnTo>
              <a:lnTo>
                <a:pt x="48" y="75"/>
              </a:lnTo>
              <a:lnTo>
                <a:pt x="41" y="85"/>
              </a:lnTo>
              <a:lnTo>
                <a:pt x="33" y="94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447675</xdr:colOff>
      <xdr:row>18</xdr:row>
      <xdr:rowOff>47625</xdr:rowOff>
    </xdr:from>
    <xdr:to>
      <xdr:col>4</xdr:col>
      <xdr:colOff>457200</xdr:colOff>
      <xdr:row>18</xdr:row>
      <xdr:rowOff>85725</xdr:rowOff>
    </xdr:to>
    <xdr:sp macro="" textlink="">
      <xdr:nvSpPr>
        <xdr:cNvPr id="11940" name="Freeform 66">
          <a:extLst>
            <a:ext uri="{FF2B5EF4-FFF2-40B4-BE49-F238E27FC236}">
              <a16:creationId xmlns:a16="http://schemas.microsoft.com/office/drawing/2014/main" id="{00000000-0008-0000-0900-0000A42E0000}"/>
            </a:ext>
          </a:extLst>
        </xdr:cNvPr>
        <xdr:cNvSpPr>
          <a:spLocks noChangeAspect="1"/>
        </xdr:cNvSpPr>
      </xdr:nvSpPr>
      <xdr:spPr bwMode="auto">
        <a:xfrm>
          <a:off x="2581275" y="3495675"/>
          <a:ext cx="9525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3"/>
              </a:moveTo>
              <a:lnTo>
                <a:pt x="51" y="104"/>
              </a:ln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1" y="0"/>
              </a:lnTo>
              <a:lnTo>
                <a:pt x="51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447675</xdr:colOff>
      <xdr:row>18</xdr:row>
      <xdr:rowOff>47625</xdr:rowOff>
    </xdr:from>
    <xdr:to>
      <xdr:col>4</xdr:col>
      <xdr:colOff>457200</xdr:colOff>
      <xdr:row>18</xdr:row>
      <xdr:rowOff>85725</xdr:rowOff>
    </xdr:to>
    <xdr:sp macro="" textlink="">
      <xdr:nvSpPr>
        <xdr:cNvPr id="11941" name="Freeform 67">
          <a:extLst>
            <a:ext uri="{FF2B5EF4-FFF2-40B4-BE49-F238E27FC236}">
              <a16:creationId xmlns:a16="http://schemas.microsoft.com/office/drawing/2014/main" id="{00000000-0008-0000-0900-0000A52E0000}"/>
            </a:ext>
          </a:extLst>
        </xdr:cNvPr>
        <xdr:cNvSpPr>
          <a:spLocks noChangeAspect="1"/>
        </xdr:cNvSpPr>
      </xdr:nvSpPr>
      <xdr:spPr bwMode="auto">
        <a:xfrm>
          <a:off x="2581275" y="3495675"/>
          <a:ext cx="9525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457200</xdr:colOff>
      <xdr:row>18</xdr:row>
      <xdr:rowOff>47625</xdr:rowOff>
    </xdr:from>
    <xdr:to>
      <xdr:col>5</xdr:col>
      <xdr:colOff>276225</xdr:colOff>
      <xdr:row>18</xdr:row>
      <xdr:rowOff>85725</xdr:rowOff>
    </xdr:to>
    <xdr:sp macro="" textlink="">
      <xdr:nvSpPr>
        <xdr:cNvPr id="11942" name="Freeform 68">
          <a:extLst>
            <a:ext uri="{FF2B5EF4-FFF2-40B4-BE49-F238E27FC236}">
              <a16:creationId xmlns:a16="http://schemas.microsoft.com/office/drawing/2014/main" id="{00000000-0008-0000-0900-0000A62E0000}"/>
            </a:ext>
          </a:extLst>
        </xdr:cNvPr>
        <xdr:cNvSpPr>
          <a:spLocks noChangeAspect="1"/>
        </xdr:cNvSpPr>
      </xdr:nvSpPr>
      <xdr:spPr bwMode="auto">
        <a:xfrm>
          <a:off x="2590800" y="3495675"/>
          <a:ext cx="523875" cy="38100"/>
        </a:xfrm>
        <a:custGeom>
          <a:avLst/>
          <a:gdLst>
            <a:gd name="T0" fmla="*/ 0 w 918"/>
            <a:gd name="T1" fmla="*/ 0 h 104"/>
            <a:gd name="T2" fmla="*/ 0 w 918"/>
            <a:gd name="T3" fmla="*/ 0 h 104"/>
            <a:gd name="T4" fmla="*/ 0 w 918"/>
            <a:gd name="T5" fmla="*/ 0 h 104"/>
            <a:gd name="T6" fmla="*/ 2147483647 w 918"/>
            <a:gd name="T7" fmla="*/ 0 h 104"/>
            <a:gd name="T8" fmla="*/ 2147483647 w 918"/>
            <a:gd name="T9" fmla="*/ 0 h 104"/>
            <a:gd name="T10" fmla="*/ 2147483647 w 918"/>
            <a:gd name="T11" fmla="*/ 0 h 104"/>
            <a:gd name="T12" fmla="*/ 0 w 918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8"/>
            <a:gd name="T22" fmla="*/ 0 h 104"/>
            <a:gd name="T23" fmla="*/ 918 w 918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8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8" y="104"/>
              </a:lnTo>
              <a:lnTo>
                <a:pt x="918" y="53"/>
              </a:lnTo>
              <a:lnTo>
                <a:pt x="918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457200</xdr:colOff>
      <xdr:row>18</xdr:row>
      <xdr:rowOff>47625</xdr:rowOff>
    </xdr:from>
    <xdr:to>
      <xdr:col>5</xdr:col>
      <xdr:colOff>276225</xdr:colOff>
      <xdr:row>18</xdr:row>
      <xdr:rowOff>85725</xdr:rowOff>
    </xdr:to>
    <xdr:sp macro="" textlink="">
      <xdr:nvSpPr>
        <xdr:cNvPr id="11943" name="Freeform 69">
          <a:extLst>
            <a:ext uri="{FF2B5EF4-FFF2-40B4-BE49-F238E27FC236}">
              <a16:creationId xmlns:a16="http://schemas.microsoft.com/office/drawing/2014/main" id="{00000000-0008-0000-0900-0000A72E0000}"/>
            </a:ext>
          </a:extLst>
        </xdr:cNvPr>
        <xdr:cNvSpPr>
          <a:spLocks noChangeAspect="1"/>
        </xdr:cNvSpPr>
      </xdr:nvSpPr>
      <xdr:spPr bwMode="auto">
        <a:xfrm>
          <a:off x="2590800" y="3495675"/>
          <a:ext cx="523875" cy="38100"/>
        </a:xfrm>
        <a:custGeom>
          <a:avLst/>
          <a:gdLst>
            <a:gd name="T0" fmla="*/ 0 w 918"/>
            <a:gd name="T1" fmla="*/ 0 h 104"/>
            <a:gd name="T2" fmla="*/ 0 w 918"/>
            <a:gd name="T3" fmla="*/ 0 h 104"/>
            <a:gd name="T4" fmla="*/ 0 w 918"/>
            <a:gd name="T5" fmla="*/ 0 h 104"/>
            <a:gd name="T6" fmla="*/ 2147483647 w 918"/>
            <a:gd name="T7" fmla="*/ 0 h 104"/>
            <a:gd name="T8" fmla="*/ 2147483647 w 918"/>
            <a:gd name="T9" fmla="*/ 0 h 104"/>
            <a:gd name="T10" fmla="*/ 2147483647 w 918"/>
            <a:gd name="T11" fmla="*/ 0 h 104"/>
            <a:gd name="T12" fmla="*/ 0 w 918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8"/>
            <a:gd name="T22" fmla="*/ 0 h 104"/>
            <a:gd name="T23" fmla="*/ 918 w 918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8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8" y="104"/>
              </a:lnTo>
              <a:lnTo>
                <a:pt x="918" y="53"/>
              </a:lnTo>
              <a:lnTo>
                <a:pt x="918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257175</xdr:colOff>
      <xdr:row>18</xdr:row>
      <xdr:rowOff>47625</xdr:rowOff>
    </xdr:from>
    <xdr:to>
      <xdr:col>5</xdr:col>
      <xdr:colOff>276225</xdr:colOff>
      <xdr:row>18</xdr:row>
      <xdr:rowOff>85725</xdr:rowOff>
    </xdr:to>
    <xdr:sp macro="" textlink="">
      <xdr:nvSpPr>
        <xdr:cNvPr id="11944" name="Freeform 70">
          <a:extLst>
            <a:ext uri="{FF2B5EF4-FFF2-40B4-BE49-F238E27FC236}">
              <a16:creationId xmlns:a16="http://schemas.microsoft.com/office/drawing/2014/main" id="{00000000-0008-0000-0900-0000A82E0000}"/>
            </a:ext>
          </a:extLst>
        </xdr:cNvPr>
        <xdr:cNvSpPr>
          <a:spLocks noChangeAspect="1"/>
        </xdr:cNvSpPr>
      </xdr:nvSpPr>
      <xdr:spPr bwMode="auto">
        <a:xfrm>
          <a:off x="3095625" y="3495675"/>
          <a:ext cx="19050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3"/>
              </a:moveTo>
              <a:lnTo>
                <a:pt x="0" y="0"/>
              </a:lnTo>
              <a:lnTo>
                <a:pt x="11" y="2"/>
              </a:lnTo>
              <a:lnTo>
                <a:pt x="22" y="6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257175</xdr:colOff>
      <xdr:row>18</xdr:row>
      <xdr:rowOff>47625</xdr:rowOff>
    </xdr:from>
    <xdr:to>
      <xdr:col>5</xdr:col>
      <xdr:colOff>276225</xdr:colOff>
      <xdr:row>18</xdr:row>
      <xdr:rowOff>85725</xdr:rowOff>
    </xdr:to>
    <xdr:sp macro="" textlink="">
      <xdr:nvSpPr>
        <xdr:cNvPr id="11945" name="Freeform 71">
          <a:extLst>
            <a:ext uri="{FF2B5EF4-FFF2-40B4-BE49-F238E27FC236}">
              <a16:creationId xmlns:a16="http://schemas.microsoft.com/office/drawing/2014/main" id="{00000000-0008-0000-0900-0000A92E0000}"/>
            </a:ext>
          </a:extLst>
        </xdr:cNvPr>
        <xdr:cNvSpPr>
          <a:spLocks noChangeAspect="1"/>
        </xdr:cNvSpPr>
      </xdr:nvSpPr>
      <xdr:spPr bwMode="auto">
        <a:xfrm>
          <a:off x="3095625" y="3495675"/>
          <a:ext cx="19050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6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342900</xdr:colOff>
      <xdr:row>18</xdr:row>
      <xdr:rowOff>47625</xdr:rowOff>
    </xdr:from>
    <xdr:to>
      <xdr:col>5</xdr:col>
      <xdr:colOff>371475</xdr:colOff>
      <xdr:row>18</xdr:row>
      <xdr:rowOff>85725</xdr:rowOff>
    </xdr:to>
    <xdr:sp macro="" textlink="">
      <xdr:nvSpPr>
        <xdr:cNvPr id="11946" name="Freeform 72">
          <a:extLst>
            <a:ext uri="{FF2B5EF4-FFF2-40B4-BE49-F238E27FC236}">
              <a16:creationId xmlns:a16="http://schemas.microsoft.com/office/drawing/2014/main" id="{00000000-0008-0000-0900-0000AA2E0000}"/>
            </a:ext>
          </a:extLst>
        </xdr:cNvPr>
        <xdr:cNvSpPr>
          <a:spLocks noChangeAspect="1"/>
        </xdr:cNvSpPr>
      </xdr:nvSpPr>
      <xdr:spPr bwMode="auto">
        <a:xfrm>
          <a:off x="3181350" y="3495675"/>
          <a:ext cx="2857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3"/>
              </a:moveTo>
              <a:lnTo>
                <a:pt x="52" y="104"/>
              </a:ln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5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342900</xdr:colOff>
      <xdr:row>18</xdr:row>
      <xdr:rowOff>47625</xdr:rowOff>
    </xdr:from>
    <xdr:to>
      <xdr:col>5</xdr:col>
      <xdr:colOff>371475</xdr:colOff>
      <xdr:row>18</xdr:row>
      <xdr:rowOff>85725</xdr:rowOff>
    </xdr:to>
    <xdr:sp macro="" textlink="">
      <xdr:nvSpPr>
        <xdr:cNvPr id="11947" name="Freeform 73">
          <a:extLst>
            <a:ext uri="{FF2B5EF4-FFF2-40B4-BE49-F238E27FC236}">
              <a16:creationId xmlns:a16="http://schemas.microsoft.com/office/drawing/2014/main" id="{00000000-0008-0000-0900-0000AB2E0000}"/>
            </a:ext>
          </a:extLst>
        </xdr:cNvPr>
        <xdr:cNvSpPr>
          <a:spLocks noChangeAspect="1"/>
        </xdr:cNvSpPr>
      </xdr:nvSpPr>
      <xdr:spPr bwMode="auto">
        <a:xfrm>
          <a:off x="3181350" y="3495675"/>
          <a:ext cx="2857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5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371475</xdr:colOff>
      <xdr:row>18</xdr:row>
      <xdr:rowOff>47625</xdr:rowOff>
    </xdr:from>
    <xdr:to>
      <xdr:col>6</xdr:col>
      <xdr:colOff>257175</xdr:colOff>
      <xdr:row>18</xdr:row>
      <xdr:rowOff>85725</xdr:rowOff>
    </xdr:to>
    <xdr:sp macro="" textlink="">
      <xdr:nvSpPr>
        <xdr:cNvPr id="11948" name="Freeform 74">
          <a:extLst>
            <a:ext uri="{FF2B5EF4-FFF2-40B4-BE49-F238E27FC236}">
              <a16:creationId xmlns:a16="http://schemas.microsoft.com/office/drawing/2014/main" id="{00000000-0008-0000-0900-0000AC2E0000}"/>
            </a:ext>
          </a:extLst>
        </xdr:cNvPr>
        <xdr:cNvSpPr>
          <a:spLocks noChangeAspect="1"/>
        </xdr:cNvSpPr>
      </xdr:nvSpPr>
      <xdr:spPr bwMode="auto">
        <a:xfrm>
          <a:off x="3209925" y="3495675"/>
          <a:ext cx="419100" cy="38100"/>
        </a:xfrm>
        <a:custGeom>
          <a:avLst/>
          <a:gdLst>
            <a:gd name="T0" fmla="*/ 0 w 916"/>
            <a:gd name="T1" fmla="*/ 0 h 104"/>
            <a:gd name="T2" fmla="*/ 0 w 916"/>
            <a:gd name="T3" fmla="*/ 0 h 104"/>
            <a:gd name="T4" fmla="*/ 0 w 916"/>
            <a:gd name="T5" fmla="*/ 0 h 104"/>
            <a:gd name="T6" fmla="*/ 2147483647 w 916"/>
            <a:gd name="T7" fmla="*/ 0 h 104"/>
            <a:gd name="T8" fmla="*/ 2147483647 w 916"/>
            <a:gd name="T9" fmla="*/ 0 h 104"/>
            <a:gd name="T10" fmla="*/ 2147483647 w 916"/>
            <a:gd name="T11" fmla="*/ 0 h 104"/>
            <a:gd name="T12" fmla="*/ 0 w 916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6"/>
            <a:gd name="T22" fmla="*/ 0 h 104"/>
            <a:gd name="T23" fmla="*/ 916 w 916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6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6" y="104"/>
              </a:lnTo>
              <a:lnTo>
                <a:pt x="916" y="53"/>
              </a:lnTo>
              <a:lnTo>
                <a:pt x="916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371475</xdr:colOff>
      <xdr:row>18</xdr:row>
      <xdr:rowOff>47625</xdr:rowOff>
    </xdr:from>
    <xdr:to>
      <xdr:col>6</xdr:col>
      <xdr:colOff>257175</xdr:colOff>
      <xdr:row>18</xdr:row>
      <xdr:rowOff>85725</xdr:rowOff>
    </xdr:to>
    <xdr:sp macro="" textlink="">
      <xdr:nvSpPr>
        <xdr:cNvPr id="11949" name="Freeform 75">
          <a:extLst>
            <a:ext uri="{FF2B5EF4-FFF2-40B4-BE49-F238E27FC236}">
              <a16:creationId xmlns:a16="http://schemas.microsoft.com/office/drawing/2014/main" id="{00000000-0008-0000-0900-0000AD2E0000}"/>
            </a:ext>
          </a:extLst>
        </xdr:cNvPr>
        <xdr:cNvSpPr>
          <a:spLocks noChangeAspect="1"/>
        </xdr:cNvSpPr>
      </xdr:nvSpPr>
      <xdr:spPr bwMode="auto">
        <a:xfrm>
          <a:off x="3209925" y="3495675"/>
          <a:ext cx="419100" cy="38100"/>
        </a:xfrm>
        <a:custGeom>
          <a:avLst/>
          <a:gdLst>
            <a:gd name="T0" fmla="*/ 0 w 916"/>
            <a:gd name="T1" fmla="*/ 0 h 104"/>
            <a:gd name="T2" fmla="*/ 0 w 916"/>
            <a:gd name="T3" fmla="*/ 0 h 104"/>
            <a:gd name="T4" fmla="*/ 0 w 916"/>
            <a:gd name="T5" fmla="*/ 0 h 104"/>
            <a:gd name="T6" fmla="*/ 2147483647 w 916"/>
            <a:gd name="T7" fmla="*/ 0 h 104"/>
            <a:gd name="T8" fmla="*/ 2147483647 w 916"/>
            <a:gd name="T9" fmla="*/ 0 h 104"/>
            <a:gd name="T10" fmla="*/ 2147483647 w 916"/>
            <a:gd name="T11" fmla="*/ 0 h 104"/>
            <a:gd name="T12" fmla="*/ 0 w 916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6"/>
            <a:gd name="T22" fmla="*/ 0 h 104"/>
            <a:gd name="T23" fmla="*/ 916 w 916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6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6" y="104"/>
              </a:lnTo>
              <a:lnTo>
                <a:pt x="916" y="53"/>
              </a:lnTo>
              <a:lnTo>
                <a:pt x="916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257175</xdr:colOff>
      <xdr:row>18</xdr:row>
      <xdr:rowOff>47625</xdr:rowOff>
    </xdr:from>
    <xdr:to>
      <xdr:col>6</xdr:col>
      <xdr:colOff>266700</xdr:colOff>
      <xdr:row>18</xdr:row>
      <xdr:rowOff>85725</xdr:rowOff>
    </xdr:to>
    <xdr:sp macro="" textlink="">
      <xdr:nvSpPr>
        <xdr:cNvPr id="11950" name="Freeform 76">
          <a:extLst>
            <a:ext uri="{FF2B5EF4-FFF2-40B4-BE49-F238E27FC236}">
              <a16:creationId xmlns:a16="http://schemas.microsoft.com/office/drawing/2014/main" id="{00000000-0008-0000-0900-0000AE2E0000}"/>
            </a:ext>
          </a:extLst>
        </xdr:cNvPr>
        <xdr:cNvSpPr>
          <a:spLocks noChangeAspect="1"/>
        </xdr:cNvSpPr>
      </xdr:nvSpPr>
      <xdr:spPr bwMode="auto">
        <a:xfrm>
          <a:off x="3629025" y="3495675"/>
          <a:ext cx="9525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3"/>
              </a:moveTo>
              <a:lnTo>
                <a:pt x="0" y="0"/>
              </a:lnTo>
              <a:lnTo>
                <a:pt x="12" y="2"/>
              </a:lnTo>
              <a:lnTo>
                <a:pt x="23" y="6"/>
              </a:lnTo>
              <a:lnTo>
                <a:pt x="33" y="12"/>
              </a:lnTo>
              <a:lnTo>
                <a:pt x="41" y="20"/>
              </a:lnTo>
              <a:lnTo>
                <a:pt x="48" y="31"/>
              </a:lnTo>
              <a:lnTo>
                <a:pt x="51" y="41"/>
              </a:lnTo>
              <a:lnTo>
                <a:pt x="53" y="53"/>
              </a:lnTo>
              <a:lnTo>
                <a:pt x="51" y="64"/>
              </a:lnTo>
              <a:lnTo>
                <a:pt x="48" y="75"/>
              </a:lnTo>
              <a:lnTo>
                <a:pt x="41" y="85"/>
              </a:lnTo>
              <a:lnTo>
                <a:pt x="33" y="94"/>
              </a:lnTo>
              <a:lnTo>
                <a:pt x="23" y="100"/>
              </a:lnTo>
              <a:lnTo>
                <a:pt x="12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257175</xdr:colOff>
      <xdr:row>18</xdr:row>
      <xdr:rowOff>47625</xdr:rowOff>
    </xdr:from>
    <xdr:to>
      <xdr:col>6</xdr:col>
      <xdr:colOff>266700</xdr:colOff>
      <xdr:row>18</xdr:row>
      <xdr:rowOff>85725</xdr:rowOff>
    </xdr:to>
    <xdr:sp macro="" textlink="">
      <xdr:nvSpPr>
        <xdr:cNvPr id="11951" name="Freeform 77">
          <a:extLst>
            <a:ext uri="{FF2B5EF4-FFF2-40B4-BE49-F238E27FC236}">
              <a16:creationId xmlns:a16="http://schemas.microsoft.com/office/drawing/2014/main" id="{00000000-0008-0000-0900-0000AF2E0000}"/>
            </a:ext>
          </a:extLst>
        </xdr:cNvPr>
        <xdr:cNvSpPr>
          <a:spLocks noChangeAspect="1"/>
        </xdr:cNvSpPr>
      </xdr:nvSpPr>
      <xdr:spPr bwMode="auto">
        <a:xfrm>
          <a:off x="3629025" y="3495675"/>
          <a:ext cx="9525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3" y="6"/>
              </a:lnTo>
              <a:lnTo>
                <a:pt x="33" y="12"/>
              </a:lnTo>
              <a:lnTo>
                <a:pt x="41" y="20"/>
              </a:lnTo>
              <a:lnTo>
                <a:pt x="48" y="31"/>
              </a:lnTo>
              <a:lnTo>
                <a:pt x="51" y="41"/>
              </a:lnTo>
              <a:lnTo>
                <a:pt x="53" y="53"/>
              </a:lnTo>
              <a:lnTo>
                <a:pt x="51" y="64"/>
              </a:lnTo>
              <a:lnTo>
                <a:pt x="48" y="75"/>
              </a:lnTo>
              <a:lnTo>
                <a:pt x="41" y="85"/>
              </a:lnTo>
              <a:lnTo>
                <a:pt x="33" y="94"/>
              </a:lnTo>
              <a:lnTo>
                <a:pt x="23" y="100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333375</xdr:colOff>
      <xdr:row>18</xdr:row>
      <xdr:rowOff>47625</xdr:rowOff>
    </xdr:from>
    <xdr:to>
      <xdr:col>6</xdr:col>
      <xdr:colOff>352425</xdr:colOff>
      <xdr:row>18</xdr:row>
      <xdr:rowOff>85725</xdr:rowOff>
    </xdr:to>
    <xdr:sp macro="" textlink="">
      <xdr:nvSpPr>
        <xdr:cNvPr id="11952" name="Freeform 78">
          <a:extLst>
            <a:ext uri="{FF2B5EF4-FFF2-40B4-BE49-F238E27FC236}">
              <a16:creationId xmlns:a16="http://schemas.microsoft.com/office/drawing/2014/main" id="{00000000-0008-0000-0900-0000B02E0000}"/>
            </a:ext>
          </a:extLst>
        </xdr:cNvPr>
        <xdr:cNvSpPr>
          <a:spLocks noChangeAspect="1"/>
        </xdr:cNvSpPr>
      </xdr:nvSpPr>
      <xdr:spPr bwMode="auto">
        <a:xfrm>
          <a:off x="3705225" y="3495675"/>
          <a:ext cx="19050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3"/>
              </a:moveTo>
              <a:lnTo>
                <a:pt x="51" y="104"/>
              </a:ln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1" y="0"/>
              </a:lnTo>
              <a:lnTo>
                <a:pt x="51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333375</xdr:colOff>
      <xdr:row>18</xdr:row>
      <xdr:rowOff>47625</xdr:rowOff>
    </xdr:from>
    <xdr:to>
      <xdr:col>6</xdr:col>
      <xdr:colOff>352425</xdr:colOff>
      <xdr:row>18</xdr:row>
      <xdr:rowOff>85725</xdr:rowOff>
    </xdr:to>
    <xdr:sp macro="" textlink="">
      <xdr:nvSpPr>
        <xdr:cNvPr id="11953" name="Freeform 79">
          <a:extLst>
            <a:ext uri="{FF2B5EF4-FFF2-40B4-BE49-F238E27FC236}">
              <a16:creationId xmlns:a16="http://schemas.microsoft.com/office/drawing/2014/main" id="{00000000-0008-0000-0900-0000B12E0000}"/>
            </a:ext>
          </a:extLst>
        </xdr:cNvPr>
        <xdr:cNvSpPr>
          <a:spLocks noChangeAspect="1"/>
        </xdr:cNvSpPr>
      </xdr:nvSpPr>
      <xdr:spPr bwMode="auto">
        <a:xfrm>
          <a:off x="3705225" y="3495675"/>
          <a:ext cx="19050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342900</xdr:colOff>
      <xdr:row>18</xdr:row>
      <xdr:rowOff>47625</xdr:rowOff>
    </xdr:from>
    <xdr:to>
      <xdr:col>7</xdr:col>
      <xdr:colOff>238125</xdr:colOff>
      <xdr:row>18</xdr:row>
      <xdr:rowOff>85725</xdr:rowOff>
    </xdr:to>
    <xdr:sp macro="" textlink="">
      <xdr:nvSpPr>
        <xdr:cNvPr id="11954" name="Freeform 80">
          <a:extLst>
            <a:ext uri="{FF2B5EF4-FFF2-40B4-BE49-F238E27FC236}">
              <a16:creationId xmlns:a16="http://schemas.microsoft.com/office/drawing/2014/main" id="{00000000-0008-0000-0900-0000B22E0000}"/>
            </a:ext>
          </a:extLst>
        </xdr:cNvPr>
        <xdr:cNvSpPr>
          <a:spLocks noChangeAspect="1"/>
        </xdr:cNvSpPr>
      </xdr:nvSpPr>
      <xdr:spPr bwMode="auto">
        <a:xfrm>
          <a:off x="3714750" y="3495675"/>
          <a:ext cx="428625" cy="38100"/>
        </a:xfrm>
        <a:custGeom>
          <a:avLst/>
          <a:gdLst>
            <a:gd name="T0" fmla="*/ 0 w 918"/>
            <a:gd name="T1" fmla="*/ 0 h 104"/>
            <a:gd name="T2" fmla="*/ 0 w 918"/>
            <a:gd name="T3" fmla="*/ 0 h 104"/>
            <a:gd name="T4" fmla="*/ 0 w 918"/>
            <a:gd name="T5" fmla="*/ 0 h 104"/>
            <a:gd name="T6" fmla="*/ 2147483647 w 918"/>
            <a:gd name="T7" fmla="*/ 0 h 104"/>
            <a:gd name="T8" fmla="*/ 2147483647 w 918"/>
            <a:gd name="T9" fmla="*/ 0 h 104"/>
            <a:gd name="T10" fmla="*/ 2147483647 w 918"/>
            <a:gd name="T11" fmla="*/ 0 h 104"/>
            <a:gd name="T12" fmla="*/ 0 w 918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8"/>
            <a:gd name="T22" fmla="*/ 0 h 104"/>
            <a:gd name="T23" fmla="*/ 918 w 918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8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8" y="104"/>
              </a:lnTo>
              <a:lnTo>
                <a:pt x="918" y="53"/>
              </a:lnTo>
              <a:lnTo>
                <a:pt x="918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342900</xdr:colOff>
      <xdr:row>18</xdr:row>
      <xdr:rowOff>47625</xdr:rowOff>
    </xdr:from>
    <xdr:to>
      <xdr:col>7</xdr:col>
      <xdr:colOff>238125</xdr:colOff>
      <xdr:row>18</xdr:row>
      <xdr:rowOff>85725</xdr:rowOff>
    </xdr:to>
    <xdr:sp macro="" textlink="">
      <xdr:nvSpPr>
        <xdr:cNvPr id="11955" name="Freeform 81">
          <a:extLst>
            <a:ext uri="{FF2B5EF4-FFF2-40B4-BE49-F238E27FC236}">
              <a16:creationId xmlns:a16="http://schemas.microsoft.com/office/drawing/2014/main" id="{00000000-0008-0000-0900-0000B32E0000}"/>
            </a:ext>
          </a:extLst>
        </xdr:cNvPr>
        <xdr:cNvSpPr>
          <a:spLocks noChangeAspect="1"/>
        </xdr:cNvSpPr>
      </xdr:nvSpPr>
      <xdr:spPr bwMode="auto">
        <a:xfrm>
          <a:off x="3714750" y="3495675"/>
          <a:ext cx="428625" cy="38100"/>
        </a:xfrm>
        <a:custGeom>
          <a:avLst/>
          <a:gdLst>
            <a:gd name="T0" fmla="*/ 0 w 918"/>
            <a:gd name="T1" fmla="*/ 0 h 104"/>
            <a:gd name="T2" fmla="*/ 0 w 918"/>
            <a:gd name="T3" fmla="*/ 0 h 104"/>
            <a:gd name="T4" fmla="*/ 0 w 918"/>
            <a:gd name="T5" fmla="*/ 0 h 104"/>
            <a:gd name="T6" fmla="*/ 2147483647 w 918"/>
            <a:gd name="T7" fmla="*/ 0 h 104"/>
            <a:gd name="T8" fmla="*/ 2147483647 w 918"/>
            <a:gd name="T9" fmla="*/ 0 h 104"/>
            <a:gd name="T10" fmla="*/ 2147483647 w 918"/>
            <a:gd name="T11" fmla="*/ 0 h 104"/>
            <a:gd name="T12" fmla="*/ 0 w 918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8"/>
            <a:gd name="T22" fmla="*/ 0 h 104"/>
            <a:gd name="T23" fmla="*/ 918 w 918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8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8" y="104"/>
              </a:lnTo>
              <a:lnTo>
                <a:pt x="918" y="53"/>
              </a:lnTo>
              <a:lnTo>
                <a:pt x="918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238125</xdr:colOff>
      <xdr:row>18</xdr:row>
      <xdr:rowOff>47625</xdr:rowOff>
    </xdr:from>
    <xdr:to>
      <xdr:col>7</xdr:col>
      <xdr:colOff>266700</xdr:colOff>
      <xdr:row>18</xdr:row>
      <xdr:rowOff>85725</xdr:rowOff>
    </xdr:to>
    <xdr:sp macro="" textlink="">
      <xdr:nvSpPr>
        <xdr:cNvPr id="11956" name="Freeform 82">
          <a:extLst>
            <a:ext uri="{FF2B5EF4-FFF2-40B4-BE49-F238E27FC236}">
              <a16:creationId xmlns:a16="http://schemas.microsoft.com/office/drawing/2014/main" id="{00000000-0008-0000-0900-0000B42E0000}"/>
            </a:ext>
          </a:extLst>
        </xdr:cNvPr>
        <xdr:cNvSpPr>
          <a:spLocks noChangeAspect="1"/>
        </xdr:cNvSpPr>
      </xdr:nvSpPr>
      <xdr:spPr bwMode="auto">
        <a:xfrm>
          <a:off x="4143375" y="3495675"/>
          <a:ext cx="28575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3"/>
              </a:moveTo>
              <a:lnTo>
                <a:pt x="0" y="0"/>
              </a:lnTo>
              <a:lnTo>
                <a:pt x="12" y="2"/>
              </a:lnTo>
              <a:lnTo>
                <a:pt x="22" y="6"/>
              </a:lnTo>
              <a:lnTo>
                <a:pt x="33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3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3" y="94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238125</xdr:colOff>
      <xdr:row>18</xdr:row>
      <xdr:rowOff>47625</xdr:rowOff>
    </xdr:from>
    <xdr:to>
      <xdr:col>7</xdr:col>
      <xdr:colOff>266700</xdr:colOff>
      <xdr:row>18</xdr:row>
      <xdr:rowOff>85725</xdr:rowOff>
    </xdr:to>
    <xdr:sp macro="" textlink="">
      <xdr:nvSpPr>
        <xdr:cNvPr id="11957" name="Freeform 83">
          <a:extLst>
            <a:ext uri="{FF2B5EF4-FFF2-40B4-BE49-F238E27FC236}">
              <a16:creationId xmlns:a16="http://schemas.microsoft.com/office/drawing/2014/main" id="{00000000-0008-0000-0900-0000B52E0000}"/>
            </a:ext>
          </a:extLst>
        </xdr:cNvPr>
        <xdr:cNvSpPr>
          <a:spLocks noChangeAspect="1"/>
        </xdr:cNvSpPr>
      </xdr:nvSpPr>
      <xdr:spPr bwMode="auto">
        <a:xfrm>
          <a:off x="4143375" y="3495675"/>
          <a:ext cx="28575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6"/>
              </a:lnTo>
              <a:lnTo>
                <a:pt x="33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3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3" y="94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323850</xdr:colOff>
      <xdr:row>18</xdr:row>
      <xdr:rowOff>47625</xdr:rowOff>
    </xdr:from>
    <xdr:to>
      <xdr:col>7</xdr:col>
      <xdr:colOff>333375</xdr:colOff>
      <xdr:row>18</xdr:row>
      <xdr:rowOff>85725</xdr:rowOff>
    </xdr:to>
    <xdr:sp macro="" textlink="">
      <xdr:nvSpPr>
        <xdr:cNvPr id="11958" name="Freeform 84">
          <a:extLst>
            <a:ext uri="{FF2B5EF4-FFF2-40B4-BE49-F238E27FC236}">
              <a16:creationId xmlns:a16="http://schemas.microsoft.com/office/drawing/2014/main" id="{00000000-0008-0000-0900-0000B62E0000}"/>
            </a:ext>
          </a:extLst>
        </xdr:cNvPr>
        <xdr:cNvSpPr>
          <a:spLocks noChangeAspect="1"/>
        </xdr:cNvSpPr>
      </xdr:nvSpPr>
      <xdr:spPr bwMode="auto">
        <a:xfrm>
          <a:off x="4229100" y="3495675"/>
          <a:ext cx="9525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3"/>
              </a:moveTo>
              <a:lnTo>
                <a:pt x="51" y="104"/>
              </a:lnTo>
              <a:lnTo>
                <a:pt x="39" y="103"/>
              </a:lnTo>
              <a:lnTo>
                <a:pt x="29" y="100"/>
              </a:lnTo>
              <a:lnTo>
                <a:pt x="18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8" y="12"/>
              </a:lnTo>
              <a:lnTo>
                <a:pt x="29" y="6"/>
              </a:lnTo>
              <a:lnTo>
                <a:pt x="39" y="2"/>
              </a:lnTo>
              <a:lnTo>
                <a:pt x="51" y="0"/>
              </a:lnTo>
              <a:lnTo>
                <a:pt x="51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323850</xdr:colOff>
      <xdr:row>18</xdr:row>
      <xdr:rowOff>47625</xdr:rowOff>
    </xdr:from>
    <xdr:to>
      <xdr:col>7</xdr:col>
      <xdr:colOff>333375</xdr:colOff>
      <xdr:row>18</xdr:row>
      <xdr:rowOff>85725</xdr:rowOff>
    </xdr:to>
    <xdr:sp macro="" textlink="">
      <xdr:nvSpPr>
        <xdr:cNvPr id="11959" name="Freeform 85">
          <a:extLst>
            <a:ext uri="{FF2B5EF4-FFF2-40B4-BE49-F238E27FC236}">
              <a16:creationId xmlns:a16="http://schemas.microsoft.com/office/drawing/2014/main" id="{00000000-0008-0000-0900-0000B72E0000}"/>
            </a:ext>
          </a:extLst>
        </xdr:cNvPr>
        <xdr:cNvSpPr>
          <a:spLocks noChangeAspect="1"/>
        </xdr:cNvSpPr>
      </xdr:nvSpPr>
      <xdr:spPr bwMode="auto">
        <a:xfrm>
          <a:off x="4229100" y="3495675"/>
          <a:ext cx="9525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39" y="103"/>
              </a:lnTo>
              <a:lnTo>
                <a:pt x="29" y="100"/>
              </a:lnTo>
              <a:lnTo>
                <a:pt x="18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8" y="12"/>
              </a:lnTo>
              <a:lnTo>
                <a:pt x="29" y="6"/>
              </a:lnTo>
              <a:lnTo>
                <a:pt x="39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333375</xdr:colOff>
      <xdr:row>18</xdr:row>
      <xdr:rowOff>47625</xdr:rowOff>
    </xdr:from>
    <xdr:to>
      <xdr:col>8</xdr:col>
      <xdr:colOff>238125</xdr:colOff>
      <xdr:row>18</xdr:row>
      <xdr:rowOff>85725</xdr:rowOff>
    </xdr:to>
    <xdr:sp macro="" textlink="">
      <xdr:nvSpPr>
        <xdr:cNvPr id="11960" name="Freeform 86">
          <a:extLst>
            <a:ext uri="{FF2B5EF4-FFF2-40B4-BE49-F238E27FC236}">
              <a16:creationId xmlns:a16="http://schemas.microsoft.com/office/drawing/2014/main" id="{00000000-0008-0000-0900-0000B82E0000}"/>
            </a:ext>
          </a:extLst>
        </xdr:cNvPr>
        <xdr:cNvSpPr>
          <a:spLocks noChangeAspect="1"/>
        </xdr:cNvSpPr>
      </xdr:nvSpPr>
      <xdr:spPr bwMode="auto">
        <a:xfrm>
          <a:off x="4238625" y="3495675"/>
          <a:ext cx="438150" cy="38100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7" y="104"/>
              </a:lnTo>
              <a:lnTo>
                <a:pt x="917" y="53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333375</xdr:colOff>
      <xdr:row>18</xdr:row>
      <xdr:rowOff>47625</xdr:rowOff>
    </xdr:from>
    <xdr:to>
      <xdr:col>8</xdr:col>
      <xdr:colOff>238125</xdr:colOff>
      <xdr:row>18</xdr:row>
      <xdr:rowOff>85725</xdr:rowOff>
    </xdr:to>
    <xdr:sp macro="" textlink="">
      <xdr:nvSpPr>
        <xdr:cNvPr id="11961" name="Freeform 87">
          <a:extLst>
            <a:ext uri="{FF2B5EF4-FFF2-40B4-BE49-F238E27FC236}">
              <a16:creationId xmlns:a16="http://schemas.microsoft.com/office/drawing/2014/main" id="{00000000-0008-0000-0900-0000B92E0000}"/>
            </a:ext>
          </a:extLst>
        </xdr:cNvPr>
        <xdr:cNvSpPr>
          <a:spLocks noChangeAspect="1"/>
        </xdr:cNvSpPr>
      </xdr:nvSpPr>
      <xdr:spPr bwMode="auto">
        <a:xfrm>
          <a:off x="4238625" y="3495675"/>
          <a:ext cx="438150" cy="38100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7" y="104"/>
              </a:lnTo>
              <a:lnTo>
                <a:pt x="917" y="53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238125</xdr:colOff>
      <xdr:row>18</xdr:row>
      <xdr:rowOff>47625</xdr:rowOff>
    </xdr:from>
    <xdr:to>
      <xdr:col>8</xdr:col>
      <xdr:colOff>247650</xdr:colOff>
      <xdr:row>18</xdr:row>
      <xdr:rowOff>85725</xdr:rowOff>
    </xdr:to>
    <xdr:sp macro="" textlink="">
      <xdr:nvSpPr>
        <xdr:cNvPr id="11962" name="Freeform 88">
          <a:extLst>
            <a:ext uri="{FF2B5EF4-FFF2-40B4-BE49-F238E27FC236}">
              <a16:creationId xmlns:a16="http://schemas.microsoft.com/office/drawing/2014/main" id="{00000000-0008-0000-0900-0000BA2E0000}"/>
            </a:ext>
          </a:extLst>
        </xdr:cNvPr>
        <xdr:cNvSpPr>
          <a:spLocks noChangeAspect="1"/>
        </xdr:cNvSpPr>
      </xdr:nvSpPr>
      <xdr:spPr bwMode="auto">
        <a:xfrm>
          <a:off x="4676775" y="3495675"/>
          <a:ext cx="952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3"/>
              </a:moveTo>
              <a:lnTo>
                <a:pt x="0" y="0"/>
              </a:lnTo>
              <a:lnTo>
                <a:pt x="11" y="2"/>
              </a:lnTo>
              <a:lnTo>
                <a:pt x="22" y="6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238125</xdr:colOff>
      <xdr:row>18</xdr:row>
      <xdr:rowOff>47625</xdr:rowOff>
    </xdr:from>
    <xdr:to>
      <xdr:col>8</xdr:col>
      <xdr:colOff>247650</xdr:colOff>
      <xdr:row>18</xdr:row>
      <xdr:rowOff>85725</xdr:rowOff>
    </xdr:to>
    <xdr:sp macro="" textlink="">
      <xdr:nvSpPr>
        <xdr:cNvPr id="11963" name="Freeform 89">
          <a:extLst>
            <a:ext uri="{FF2B5EF4-FFF2-40B4-BE49-F238E27FC236}">
              <a16:creationId xmlns:a16="http://schemas.microsoft.com/office/drawing/2014/main" id="{00000000-0008-0000-0900-0000BB2E0000}"/>
            </a:ext>
          </a:extLst>
        </xdr:cNvPr>
        <xdr:cNvSpPr>
          <a:spLocks noChangeAspect="1"/>
        </xdr:cNvSpPr>
      </xdr:nvSpPr>
      <xdr:spPr bwMode="auto">
        <a:xfrm>
          <a:off x="4676775" y="3495675"/>
          <a:ext cx="952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6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295275</xdr:colOff>
      <xdr:row>18</xdr:row>
      <xdr:rowOff>47625</xdr:rowOff>
    </xdr:from>
    <xdr:to>
      <xdr:col>8</xdr:col>
      <xdr:colOff>323850</xdr:colOff>
      <xdr:row>18</xdr:row>
      <xdr:rowOff>85725</xdr:rowOff>
    </xdr:to>
    <xdr:sp macro="" textlink="">
      <xdr:nvSpPr>
        <xdr:cNvPr id="11964" name="Freeform 90">
          <a:extLst>
            <a:ext uri="{FF2B5EF4-FFF2-40B4-BE49-F238E27FC236}">
              <a16:creationId xmlns:a16="http://schemas.microsoft.com/office/drawing/2014/main" id="{00000000-0008-0000-0900-0000BC2E0000}"/>
            </a:ext>
          </a:extLst>
        </xdr:cNvPr>
        <xdr:cNvSpPr>
          <a:spLocks noChangeAspect="1"/>
        </xdr:cNvSpPr>
      </xdr:nvSpPr>
      <xdr:spPr bwMode="auto">
        <a:xfrm>
          <a:off x="4733925" y="3495675"/>
          <a:ext cx="2857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3"/>
              </a:moveTo>
              <a:lnTo>
                <a:pt x="52" y="104"/>
              </a:ln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2" y="0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295275</xdr:colOff>
      <xdr:row>18</xdr:row>
      <xdr:rowOff>47625</xdr:rowOff>
    </xdr:from>
    <xdr:to>
      <xdr:col>8</xdr:col>
      <xdr:colOff>323850</xdr:colOff>
      <xdr:row>18</xdr:row>
      <xdr:rowOff>85725</xdr:rowOff>
    </xdr:to>
    <xdr:sp macro="" textlink="">
      <xdr:nvSpPr>
        <xdr:cNvPr id="11965" name="Freeform 91">
          <a:extLst>
            <a:ext uri="{FF2B5EF4-FFF2-40B4-BE49-F238E27FC236}">
              <a16:creationId xmlns:a16="http://schemas.microsoft.com/office/drawing/2014/main" id="{00000000-0008-0000-0900-0000BD2E0000}"/>
            </a:ext>
          </a:extLst>
        </xdr:cNvPr>
        <xdr:cNvSpPr>
          <a:spLocks noChangeAspect="1"/>
        </xdr:cNvSpPr>
      </xdr:nvSpPr>
      <xdr:spPr bwMode="auto">
        <a:xfrm>
          <a:off x="4733925" y="3495675"/>
          <a:ext cx="2857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314325</xdr:colOff>
      <xdr:row>18</xdr:row>
      <xdr:rowOff>47625</xdr:rowOff>
    </xdr:from>
    <xdr:to>
      <xdr:col>9</xdr:col>
      <xdr:colOff>200025</xdr:colOff>
      <xdr:row>18</xdr:row>
      <xdr:rowOff>85725</xdr:rowOff>
    </xdr:to>
    <xdr:sp macro="" textlink="">
      <xdr:nvSpPr>
        <xdr:cNvPr id="11966" name="Freeform 92">
          <a:extLst>
            <a:ext uri="{FF2B5EF4-FFF2-40B4-BE49-F238E27FC236}">
              <a16:creationId xmlns:a16="http://schemas.microsoft.com/office/drawing/2014/main" id="{00000000-0008-0000-0900-0000BE2E0000}"/>
            </a:ext>
          </a:extLst>
        </xdr:cNvPr>
        <xdr:cNvSpPr>
          <a:spLocks noChangeAspect="1"/>
        </xdr:cNvSpPr>
      </xdr:nvSpPr>
      <xdr:spPr bwMode="auto">
        <a:xfrm>
          <a:off x="4752975" y="3495675"/>
          <a:ext cx="419100" cy="38100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7" y="104"/>
              </a:lnTo>
              <a:lnTo>
                <a:pt x="917" y="53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314325</xdr:colOff>
      <xdr:row>18</xdr:row>
      <xdr:rowOff>47625</xdr:rowOff>
    </xdr:from>
    <xdr:to>
      <xdr:col>9</xdr:col>
      <xdr:colOff>200025</xdr:colOff>
      <xdr:row>18</xdr:row>
      <xdr:rowOff>85725</xdr:rowOff>
    </xdr:to>
    <xdr:sp macro="" textlink="">
      <xdr:nvSpPr>
        <xdr:cNvPr id="11967" name="Freeform 93">
          <a:extLst>
            <a:ext uri="{FF2B5EF4-FFF2-40B4-BE49-F238E27FC236}">
              <a16:creationId xmlns:a16="http://schemas.microsoft.com/office/drawing/2014/main" id="{00000000-0008-0000-0900-0000BF2E0000}"/>
            </a:ext>
          </a:extLst>
        </xdr:cNvPr>
        <xdr:cNvSpPr>
          <a:spLocks noChangeAspect="1"/>
        </xdr:cNvSpPr>
      </xdr:nvSpPr>
      <xdr:spPr bwMode="auto">
        <a:xfrm>
          <a:off x="4752975" y="3495675"/>
          <a:ext cx="419100" cy="38100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7" y="104"/>
              </a:lnTo>
              <a:lnTo>
                <a:pt x="917" y="53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219075</xdr:colOff>
      <xdr:row>18</xdr:row>
      <xdr:rowOff>47625</xdr:rowOff>
    </xdr:from>
    <xdr:to>
      <xdr:col>9</xdr:col>
      <xdr:colOff>238125</xdr:colOff>
      <xdr:row>18</xdr:row>
      <xdr:rowOff>85725</xdr:rowOff>
    </xdr:to>
    <xdr:sp macro="" textlink="">
      <xdr:nvSpPr>
        <xdr:cNvPr id="11968" name="Freeform 94">
          <a:extLst>
            <a:ext uri="{FF2B5EF4-FFF2-40B4-BE49-F238E27FC236}">
              <a16:creationId xmlns:a16="http://schemas.microsoft.com/office/drawing/2014/main" id="{00000000-0008-0000-0900-0000C02E0000}"/>
            </a:ext>
          </a:extLst>
        </xdr:cNvPr>
        <xdr:cNvSpPr>
          <a:spLocks noChangeAspect="1"/>
        </xdr:cNvSpPr>
      </xdr:nvSpPr>
      <xdr:spPr bwMode="auto">
        <a:xfrm>
          <a:off x="5191125" y="3495675"/>
          <a:ext cx="19050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3"/>
              </a:moveTo>
              <a:lnTo>
                <a:pt x="0" y="0"/>
              </a:lnTo>
              <a:lnTo>
                <a:pt x="12" y="2"/>
              </a:lnTo>
              <a:lnTo>
                <a:pt x="22" y="6"/>
              </a:lnTo>
              <a:lnTo>
                <a:pt x="33" y="12"/>
              </a:lnTo>
              <a:lnTo>
                <a:pt x="41" y="20"/>
              </a:lnTo>
              <a:lnTo>
                <a:pt x="47" y="31"/>
              </a:lnTo>
              <a:lnTo>
                <a:pt x="51" y="41"/>
              </a:lnTo>
              <a:lnTo>
                <a:pt x="53" y="53"/>
              </a:lnTo>
              <a:lnTo>
                <a:pt x="51" y="64"/>
              </a:lnTo>
              <a:lnTo>
                <a:pt x="47" y="75"/>
              </a:lnTo>
              <a:lnTo>
                <a:pt x="41" y="85"/>
              </a:lnTo>
              <a:lnTo>
                <a:pt x="33" y="94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219075</xdr:colOff>
      <xdr:row>18</xdr:row>
      <xdr:rowOff>47625</xdr:rowOff>
    </xdr:from>
    <xdr:to>
      <xdr:col>9</xdr:col>
      <xdr:colOff>238125</xdr:colOff>
      <xdr:row>18</xdr:row>
      <xdr:rowOff>85725</xdr:rowOff>
    </xdr:to>
    <xdr:sp macro="" textlink="">
      <xdr:nvSpPr>
        <xdr:cNvPr id="11969" name="Freeform 95">
          <a:extLst>
            <a:ext uri="{FF2B5EF4-FFF2-40B4-BE49-F238E27FC236}">
              <a16:creationId xmlns:a16="http://schemas.microsoft.com/office/drawing/2014/main" id="{00000000-0008-0000-0900-0000C12E0000}"/>
            </a:ext>
          </a:extLst>
        </xdr:cNvPr>
        <xdr:cNvSpPr>
          <a:spLocks noChangeAspect="1"/>
        </xdr:cNvSpPr>
      </xdr:nvSpPr>
      <xdr:spPr bwMode="auto">
        <a:xfrm>
          <a:off x="5191125" y="3495675"/>
          <a:ext cx="19050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6"/>
              </a:lnTo>
              <a:lnTo>
                <a:pt x="33" y="12"/>
              </a:lnTo>
              <a:lnTo>
                <a:pt x="41" y="20"/>
              </a:lnTo>
              <a:lnTo>
                <a:pt x="47" y="31"/>
              </a:lnTo>
              <a:lnTo>
                <a:pt x="51" y="41"/>
              </a:lnTo>
              <a:lnTo>
                <a:pt x="53" y="53"/>
              </a:lnTo>
              <a:lnTo>
                <a:pt x="51" y="64"/>
              </a:lnTo>
              <a:lnTo>
                <a:pt x="47" y="75"/>
              </a:lnTo>
              <a:lnTo>
                <a:pt x="41" y="85"/>
              </a:lnTo>
              <a:lnTo>
                <a:pt x="33" y="94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314325</xdr:colOff>
      <xdr:row>18</xdr:row>
      <xdr:rowOff>47625</xdr:rowOff>
    </xdr:from>
    <xdr:to>
      <xdr:col>9</xdr:col>
      <xdr:colOff>323850</xdr:colOff>
      <xdr:row>18</xdr:row>
      <xdr:rowOff>85725</xdr:rowOff>
    </xdr:to>
    <xdr:sp macro="" textlink="">
      <xdr:nvSpPr>
        <xdr:cNvPr id="11970" name="Freeform 96">
          <a:extLst>
            <a:ext uri="{FF2B5EF4-FFF2-40B4-BE49-F238E27FC236}">
              <a16:creationId xmlns:a16="http://schemas.microsoft.com/office/drawing/2014/main" id="{00000000-0008-0000-0900-0000C22E0000}"/>
            </a:ext>
          </a:extLst>
        </xdr:cNvPr>
        <xdr:cNvSpPr>
          <a:spLocks noChangeAspect="1"/>
        </xdr:cNvSpPr>
      </xdr:nvSpPr>
      <xdr:spPr bwMode="auto">
        <a:xfrm>
          <a:off x="5286375" y="3495675"/>
          <a:ext cx="9525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3"/>
              </a:moveTo>
              <a:lnTo>
                <a:pt x="51" y="104"/>
              </a:ln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1" y="0"/>
              </a:lnTo>
              <a:lnTo>
                <a:pt x="51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314325</xdr:colOff>
      <xdr:row>18</xdr:row>
      <xdr:rowOff>47625</xdr:rowOff>
    </xdr:from>
    <xdr:to>
      <xdr:col>9</xdr:col>
      <xdr:colOff>323850</xdr:colOff>
      <xdr:row>18</xdr:row>
      <xdr:rowOff>85725</xdr:rowOff>
    </xdr:to>
    <xdr:sp macro="" textlink="">
      <xdr:nvSpPr>
        <xdr:cNvPr id="11971" name="Freeform 97">
          <a:extLst>
            <a:ext uri="{FF2B5EF4-FFF2-40B4-BE49-F238E27FC236}">
              <a16:creationId xmlns:a16="http://schemas.microsoft.com/office/drawing/2014/main" id="{00000000-0008-0000-0900-0000C32E0000}"/>
            </a:ext>
          </a:extLst>
        </xdr:cNvPr>
        <xdr:cNvSpPr>
          <a:spLocks noChangeAspect="1"/>
        </xdr:cNvSpPr>
      </xdr:nvSpPr>
      <xdr:spPr bwMode="auto">
        <a:xfrm>
          <a:off x="5286375" y="3495675"/>
          <a:ext cx="9525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314325</xdr:colOff>
      <xdr:row>18</xdr:row>
      <xdr:rowOff>47625</xdr:rowOff>
    </xdr:from>
    <xdr:to>
      <xdr:col>10</xdr:col>
      <xdr:colOff>200025</xdr:colOff>
      <xdr:row>18</xdr:row>
      <xdr:rowOff>85725</xdr:rowOff>
    </xdr:to>
    <xdr:sp macro="" textlink="">
      <xdr:nvSpPr>
        <xdr:cNvPr id="11972" name="Freeform 98">
          <a:extLst>
            <a:ext uri="{FF2B5EF4-FFF2-40B4-BE49-F238E27FC236}">
              <a16:creationId xmlns:a16="http://schemas.microsoft.com/office/drawing/2014/main" id="{00000000-0008-0000-0900-0000C42E0000}"/>
            </a:ext>
          </a:extLst>
        </xdr:cNvPr>
        <xdr:cNvSpPr>
          <a:spLocks noChangeAspect="1"/>
        </xdr:cNvSpPr>
      </xdr:nvSpPr>
      <xdr:spPr bwMode="auto">
        <a:xfrm>
          <a:off x="5286375" y="3495675"/>
          <a:ext cx="419100" cy="38100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7" y="104"/>
              </a:lnTo>
              <a:lnTo>
                <a:pt x="917" y="53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314325</xdr:colOff>
      <xdr:row>18</xdr:row>
      <xdr:rowOff>47625</xdr:rowOff>
    </xdr:from>
    <xdr:to>
      <xdr:col>10</xdr:col>
      <xdr:colOff>200025</xdr:colOff>
      <xdr:row>18</xdr:row>
      <xdr:rowOff>85725</xdr:rowOff>
    </xdr:to>
    <xdr:sp macro="" textlink="">
      <xdr:nvSpPr>
        <xdr:cNvPr id="11973" name="Freeform 99">
          <a:extLst>
            <a:ext uri="{FF2B5EF4-FFF2-40B4-BE49-F238E27FC236}">
              <a16:creationId xmlns:a16="http://schemas.microsoft.com/office/drawing/2014/main" id="{00000000-0008-0000-0900-0000C52E0000}"/>
            </a:ext>
          </a:extLst>
        </xdr:cNvPr>
        <xdr:cNvSpPr>
          <a:spLocks noChangeAspect="1"/>
        </xdr:cNvSpPr>
      </xdr:nvSpPr>
      <xdr:spPr bwMode="auto">
        <a:xfrm>
          <a:off x="5286375" y="3495675"/>
          <a:ext cx="419100" cy="38100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7" y="104"/>
              </a:lnTo>
              <a:lnTo>
                <a:pt x="917" y="53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200025</xdr:colOff>
      <xdr:row>18</xdr:row>
      <xdr:rowOff>47625</xdr:rowOff>
    </xdr:from>
    <xdr:to>
      <xdr:col>10</xdr:col>
      <xdr:colOff>219075</xdr:colOff>
      <xdr:row>18</xdr:row>
      <xdr:rowOff>85725</xdr:rowOff>
    </xdr:to>
    <xdr:sp macro="" textlink="">
      <xdr:nvSpPr>
        <xdr:cNvPr id="11974" name="Freeform 100">
          <a:extLst>
            <a:ext uri="{FF2B5EF4-FFF2-40B4-BE49-F238E27FC236}">
              <a16:creationId xmlns:a16="http://schemas.microsoft.com/office/drawing/2014/main" id="{00000000-0008-0000-0900-0000C62E0000}"/>
            </a:ext>
          </a:extLst>
        </xdr:cNvPr>
        <xdr:cNvSpPr>
          <a:spLocks noChangeAspect="1"/>
        </xdr:cNvSpPr>
      </xdr:nvSpPr>
      <xdr:spPr bwMode="auto">
        <a:xfrm>
          <a:off x="5705475" y="3495675"/>
          <a:ext cx="19050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3"/>
              </a:moveTo>
              <a:lnTo>
                <a:pt x="0" y="0"/>
              </a:lnTo>
              <a:lnTo>
                <a:pt x="11" y="2"/>
              </a:lnTo>
              <a:lnTo>
                <a:pt x="22" y="6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200025</xdr:colOff>
      <xdr:row>18</xdr:row>
      <xdr:rowOff>47625</xdr:rowOff>
    </xdr:from>
    <xdr:to>
      <xdr:col>10</xdr:col>
      <xdr:colOff>219075</xdr:colOff>
      <xdr:row>18</xdr:row>
      <xdr:rowOff>85725</xdr:rowOff>
    </xdr:to>
    <xdr:sp macro="" textlink="">
      <xdr:nvSpPr>
        <xdr:cNvPr id="11975" name="Freeform 101">
          <a:extLst>
            <a:ext uri="{FF2B5EF4-FFF2-40B4-BE49-F238E27FC236}">
              <a16:creationId xmlns:a16="http://schemas.microsoft.com/office/drawing/2014/main" id="{00000000-0008-0000-0900-0000C72E0000}"/>
            </a:ext>
          </a:extLst>
        </xdr:cNvPr>
        <xdr:cNvSpPr>
          <a:spLocks noChangeAspect="1"/>
        </xdr:cNvSpPr>
      </xdr:nvSpPr>
      <xdr:spPr bwMode="auto">
        <a:xfrm>
          <a:off x="5705475" y="3495675"/>
          <a:ext cx="19050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6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285750</xdr:colOff>
      <xdr:row>18</xdr:row>
      <xdr:rowOff>47625</xdr:rowOff>
    </xdr:from>
    <xdr:to>
      <xdr:col>10</xdr:col>
      <xdr:colOff>314325</xdr:colOff>
      <xdr:row>18</xdr:row>
      <xdr:rowOff>85725</xdr:rowOff>
    </xdr:to>
    <xdr:sp macro="" textlink="">
      <xdr:nvSpPr>
        <xdr:cNvPr id="11976" name="Freeform 102">
          <a:extLst>
            <a:ext uri="{FF2B5EF4-FFF2-40B4-BE49-F238E27FC236}">
              <a16:creationId xmlns:a16="http://schemas.microsoft.com/office/drawing/2014/main" id="{00000000-0008-0000-0900-0000C82E0000}"/>
            </a:ext>
          </a:extLst>
        </xdr:cNvPr>
        <xdr:cNvSpPr>
          <a:spLocks noChangeAspect="1"/>
        </xdr:cNvSpPr>
      </xdr:nvSpPr>
      <xdr:spPr bwMode="auto">
        <a:xfrm>
          <a:off x="5791200" y="3495675"/>
          <a:ext cx="2857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3"/>
              </a:moveTo>
              <a:lnTo>
                <a:pt x="52" y="104"/>
              </a:ln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285750</xdr:colOff>
      <xdr:row>18</xdr:row>
      <xdr:rowOff>47625</xdr:rowOff>
    </xdr:from>
    <xdr:to>
      <xdr:col>10</xdr:col>
      <xdr:colOff>314325</xdr:colOff>
      <xdr:row>18</xdr:row>
      <xdr:rowOff>85725</xdr:rowOff>
    </xdr:to>
    <xdr:sp macro="" textlink="">
      <xdr:nvSpPr>
        <xdr:cNvPr id="11977" name="Freeform 103">
          <a:extLst>
            <a:ext uri="{FF2B5EF4-FFF2-40B4-BE49-F238E27FC236}">
              <a16:creationId xmlns:a16="http://schemas.microsoft.com/office/drawing/2014/main" id="{00000000-0008-0000-0900-0000C92E0000}"/>
            </a:ext>
          </a:extLst>
        </xdr:cNvPr>
        <xdr:cNvSpPr>
          <a:spLocks noChangeAspect="1"/>
        </xdr:cNvSpPr>
      </xdr:nvSpPr>
      <xdr:spPr bwMode="auto">
        <a:xfrm>
          <a:off x="5791200" y="3495675"/>
          <a:ext cx="2857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314325</xdr:colOff>
      <xdr:row>18</xdr:row>
      <xdr:rowOff>47625</xdr:rowOff>
    </xdr:from>
    <xdr:to>
      <xdr:col>11</xdr:col>
      <xdr:colOff>200025</xdr:colOff>
      <xdr:row>18</xdr:row>
      <xdr:rowOff>85725</xdr:rowOff>
    </xdr:to>
    <xdr:sp macro="" textlink="">
      <xdr:nvSpPr>
        <xdr:cNvPr id="11978" name="Freeform 104">
          <a:extLst>
            <a:ext uri="{FF2B5EF4-FFF2-40B4-BE49-F238E27FC236}">
              <a16:creationId xmlns:a16="http://schemas.microsoft.com/office/drawing/2014/main" id="{00000000-0008-0000-0900-0000CA2E0000}"/>
            </a:ext>
          </a:extLst>
        </xdr:cNvPr>
        <xdr:cNvSpPr>
          <a:spLocks noChangeAspect="1"/>
        </xdr:cNvSpPr>
      </xdr:nvSpPr>
      <xdr:spPr bwMode="auto">
        <a:xfrm>
          <a:off x="5819775" y="3495675"/>
          <a:ext cx="419100" cy="38100"/>
        </a:xfrm>
        <a:custGeom>
          <a:avLst/>
          <a:gdLst>
            <a:gd name="T0" fmla="*/ 0 w 916"/>
            <a:gd name="T1" fmla="*/ 0 h 104"/>
            <a:gd name="T2" fmla="*/ 0 w 916"/>
            <a:gd name="T3" fmla="*/ 0 h 104"/>
            <a:gd name="T4" fmla="*/ 0 w 916"/>
            <a:gd name="T5" fmla="*/ 0 h 104"/>
            <a:gd name="T6" fmla="*/ 2147483647 w 916"/>
            <a:gd name="T7" fmla="*/ 0 h 104"/>
            <a:gd name="T8" fmla="*/ 2147483647 w 916"/>
            <a:gd name="T9" fmla="*/ 0 h 104"/>
            <a:gd name="T10" fmla="*/ 2147483647 w 916"/>
            <a:gd name="T11" fmla="*/ 0 h 104"/>
            <a:gd name="T12" fmla="*/ 0 w 916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6"/>
            <a:gd name="T22" fmla="*/ 0 h 104"/>
            <a:gd name="T23" fmla="*/ 916 w 916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6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6" y="104"/>
              </a:lnTo>
              <a:lnTo>
                <a:pt x="916" y="53"/>
              </a:lnTo>
              <a:lnTo>
                <a:pt x="916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314325</xdr:colOff>
      <xdr:row>18</xdr:row>
      <xdr:rowOff>47625</xdr:rowOff>
    </xdr:from>
    <xdr:to>
      <xdr:col>11</xdr:col>
      <xdr:colOff>200025</xdr:colOff>
      <xdr:row>18</xdr:row>
      <xdr:rowOff>85725</xdr:rowOff>
    </xdr:to>
    <xdr:sp macro="" textlink="">
      <xdr:nvSpPr>
        <xdr:cNvPr id="11979" name="Freeform 105">
          <a:extLst>
            <a:ext uri="{FF2B5EF4-FFF2-40B4-BE49-F238E27FC236}">
              <a16:creationId xmlns:a16="http://schemas.microsoft.com/office/drawing/2014/main" id="{00000000-0008-0000-0900-0000CB2E0000}"/>
            </a:ext>
          </a:extLst>
        </xdr:cNvPr>
        <xdr:cNvSpPr>
          <a:spLocks noChangeAspect="1"/>
        </xdr:cNvSpPr>
      </xdr:nvSpPr>
      <xdr:spPr bwMode="auto">
        <a:xfrm>
          <a:off x="5819775" y="3495675"/>
          <a:ext cx="419100" cy="38100"/>
        </a:xfrm>
        <a:custGeom>
          <a:avLst/>
          <a:gdLst>
            <a:gd name="T0" fmla="*/ 0 w 916"/>
            <a:gd name="T1" fmla="*/ 0 h 104"/>
            <a:gd name="T2" fmla="*/ 0 w 916"/>
            <a:gd name="T3" fmla="*/ 0 h 104"/>
            <a:gd name="T4" fmla="*/ 0 w 916"/>
            <a:gd name="T5" fmla="*/ 0 h 104"/>
            <a:gd name="T6" fmla="*/ 2147483647 w 916"/>
            <a:gd name="T7" fmla="*/ 0 h 104"/>
            <a:gd name="T8" fmla="*/ 2147483647 w 916"/>
            <a:gd name="T9" fmla="*/ 0 h 104"/>
            <a:gd name="T10" fmla="*/ 2147483647 w 916"/>
            <a:gd name="T11" fmla="*/ 0 h 104"/>
            <a:gd name="T12" fmla="*/ 0 w 916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6"/>
            <a:gd name="T22" fmla="*/ 0 h 104"/>
            <a:gd name="T23" fmla="*/ 916 w 916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6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6" y="104"/>
              </a:lnTo>
              <a:lnTo>
                <a:pt x="916" y="53"/>
              </a:lnTo>
              <a:lnTo>
                <a:pt x="916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18</xdr:row>
      <xdr:rowOff>47625</xdr:rowOff>
    </xdr:from>
    <xdr:to>
      <xdr:col>11</xdr:col>
      <xdr:colOff>209550</xdr:colOff>
      <xdr:row>18</xdr:row>
      <xdr:rowOff>85725</xdr:rowOff>
    </xdr:to>
    <xdr:sp macro="" textlink="">
      <xdr:nvSpPr>
        <xdr:cNvPr id="11980" name="Freeform 106">
          <a:extLst>
            <a:ext uri="{FF2B5EF4-FFF2-40B4-BE49-F238E27FC236}">
              <a16:creationId xmlns:a16="http://schemas.microsoft.com/office/drawing/2014/main" id="{00000000-0008-0000-0900-0000CC2E0000}"/>
            </a:ext>
          </a:extLst>
        </xdr:cNvPr>
        <xdr:cNvSpPr>
          <a:spLocks noChangeAspect="1"/>
        </xdr:cNvSpPr>
      </xdr:nvSpPr>
      <xdr:spPr bwMode="auto">
        <a:xfrm>
          <a:off x="6219825" y="3495675"/>
          <a:ext cx="28575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3"/>
              </a:moveTo>
              <a:lnTo>
                <a:pt x="0" y="0"/>
              </a:lnTo>
              <a:lnTo>
                <a:pt x="12" y="2"/>
              </a:lnTo>
              <a:lnTo>
                <a:pt x="22" y="6"/>
              </a:lnTo>
              <a:lnTo>
                <a:pt x="33" y="12"/>
              </a:lnTo>
              <a:lnTo>
                <a:pt x="41" y="20"/>
              </a:lnTo>
              <a:lnTo>
                <a:pt x="48" y="31"/>
              </a:lnTo>
              <a:lnTo>
                <a:pt x="51" y="41"/>
              </a:lnTo>
              <a:lnTo>
                <a:pt x="53" y="53"/>
              </a:lnTo>
              <a:lnTo>
                <a:pt x="51" y="64"/>
              </a:lnTo>
              <a:lnTo>
                <a:pt x="48" y="75"/>
              </a:lnTo>
              <a:lnTo>
                <a:pt x="41" y="85"/>
              </a:lnTo>
              <a:lnTo>
                <a:pt x="33" y="94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18</xdr:row>
      <xdr:rowOff>47625</xdr:rowOff>
    </xdr:from>
    <xdr:to>
      <xdr:col>11</xdr:col>
      <xdr:colOff>209550</xdr:colOff>
      <xdr:row>18</xdr:row>
      <xdr:rowOff>85725</xdr:rowOff>
    </xdr:to>
    <xdr:sp macro="" textlink="">
      <xdr:nvSpPr>
        <xdr:cNvPr id="11981" name="Freeform 107">
          <a:extLst>
            <a:ext uri="{FF2B5EF4-FFF2-40B4-BE49-F238E27FC236}">
              <a16:creationId xmlns:a16="http://schemas.microsoft.com/office/drawing/2014/main" id="{00000000-0008-0000-0900-0000CD2E0000}"/>
            </a:ext>
          </a:extLst>
        </xdr:cNvPr>
        <xdr:cNvSpPr>
          <a:spLocks noChangeAspect="1"/>
        </xdr:cNvSpPr>
      </xdr:nvSpPr>
      <xdr:spPr bwMode="auto">
        <a:xfrm>
          <a:off x="6219825" y="3495675"/>
          <a:ext cx="28575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6"/>
              </a:lnTo>
              <a:lnTo>
                <a:pt x="33" y="12"/>
              </a:lnTo>
              <a:lnTo>
                <a:pt x="41" y="20"/>
              </a:lnTo>
              <a:lnTo>
                <a:pt x="48" y="31"/>
              </a:lnTo>
              <a:lnTo>
                <a:pt x="51" y="41"/>
              </a:lnTo>
              <a:lnTo>
                <a:pt x="53" y="53"/>
              </a:lnTo>
              <a:lnTo>
                <a:pt x="51" y="64"/>
              </a:lnTo>
              <a:lnTo>
                <a:pt x="48" y="75"/>
              </a:lnTo>
              <a:lnTo>
                <a:pt x="41" y="85"/>
              </a:lnTo>
              <a:lnTo>
                <a:pt x="33" y="94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276225</xdr:colOff>
      <xdr:row>18</xdr:row>
      <xdr:rowOff>47625</xdr:rowOff>
    </xdr:from>
    <xdr:to>
      <xdr:col>11</xdr:col>
      <xdr:colOff>295275</xdr:colOff>
      <xdr:row>18</xdr:row>
      <xdr:rowOff>85725</xdr:rowOff>
    </xdr:to>
    <xdr:sp macro="" textlink="">
      <xdr:nvSpPr>
        <xdr:cNvPr id="11982" name="Freeform 108">
          <a:extLst>
            <a:ext uri="{FF2B5EF4-FFF2-40B4-BE49-F238E27FC236}">
              <a16:creationId xmlns:a16="http://schemas.microsoft.com/office/drawing/2014/main" id="{00000000-0008-0000-0900-0000CE2E0000}"/>
            </a:ext>
          </a:extLst>
        </xdr:cNvPr>
        <xdr:cNvSpPr>
          <a:spLocks noChangeAspect="1"/>
        </xdr:cNvSpPr>
      </xdr:nvSpPr>
      <xdr:spPr bwMode="auto">
        <a:xfrm>
          <a:off x="6315075" y="3495675"/>
          <a:ext cx="19050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3"/>
              </a:moveTo>
              <a:lnTo>
                <a:pt x="51" y="104"/>
              </a:ln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1" y="0"/>
              </a:lnTo>
              <a:lnTo>
                <a:pt x="51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276225</xdr:colOff>
      <xdr:row>18</xdr:row>
      <xdr:rowOff>47625</xdr:rowOff>
    </xdr:from>
    <xdr:to>
      <xdr:col>11</xdr:col>
      <xdr:colOff>295275</xdr:colOff>
      <xdr:row>18</xdr:row>
      <xdr:rowOff>85725</xdr:rowOff>
    </xdr:to>
    <xdr:sp macro="" textlink="">
      <xdr:nvSpPr>
        <xdr:cNvPr id="11983" name="Freeform 109">
          <a:extLst>
            <a:ext uri="{FF2B5EF4-FFF2-40B4-BE49-F238E27FC236}">
              <a16:creationId xmlns:a16="http://schemas.microsoft.com/office/drawing/2014/main" id="{00000000-0008-0000-0900-0000CF2E0000}"/>
            </a:ext>
          </a:extLst>
        </xdr:cNvPr>
        <xdr:cNvSpPr>
          <a:spLocks noChangeAspect="1"/>
        </xdr:cNvSpPr>
      </xdr:nvSpPr>
      <xdr:spPr bwMode="auto">
        <a:xfrm>
          <a:off x="6315075" y="3495675"/>
          <a:ext cx="19050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304800</xdr:colOff>
      <xdr:row>18</xdr:row>
      <xdr:rowOff>47625</xdr:rowOff>
    </xdr:from>
    <xdr:to>
      <xdr:col>12</xdr:col>
      <xdr:colOff>28575</xdr:colOff>
      <xdr:row>18</xdr:row>
      <xdr:rowOff>85725</xdr:rowOff>
    </xdr:to>
    <xdr:sp macro="" textlink="">
      <xdr:nvSpPr>
        <xdr:cNvPr id="11984" name="Freeform 110">
          <a:extLst>
            <a:ext uri="{FF2B5EF4-FFF2-40B4-BE49-F238E27FC236}">
              <a16:creationId xmlns:a16="http://schemas.microsoft.com/office/drawing/2014/main" id="{00000000-0008-0000-0900-0000D02E0000}"/>
            </a:ext>
          </a:extLst>
        </xdr:cNvPr>
        <xdr:cNvSpPr>
          <a:spLocks noChangeAspect="1"/>
        </xdr:cNvSpPr>
      </xdr:nvSpPr>
      <xdr:spPr bwMode="auto">
        <a:xfrm>
          <a:off x="6343650" y="3495675"/>
          <a:ext cx="257175" cy="38100"/>
        </a:xfrm>
        <a:custGeom>
          <a:avLst/>
          <a:gdLst>
            <a:gd name="T0" fmla="*/ 0 w 560"/>
            <a:gd name="T1" fmla="*/ 0 h 104"/>
            <a:gd name="T2" fmla="*/ 0 w 560"/>
            <a:gd name="T3" fmla="*/ 0 h 104"/>
            <a:gd name="T4" fmla="*/ 0 w 560"/>
            <a:gd name="T5" fmla="*/ 0 h 104"/>
            <a:gd name="T6" fmla="*/ 2147483647 w 560"/>
            <a:gd name="T7" fmla="*/ 0 h 104"/>
            <a:gd name="T8" fmla="*/ 2147483647 w 560"/>
            <a:gd name="T9" fmla="*/ 0 h 104"/>
            <a:gd name="T10" fmla="*/ 2147483647 w 560"/>
            <a:gd name="T11" fmla="*/ 0 h 104"/>
            <a:gd name="T12" fmla="*/ 0 w 560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60"/>
            <a:gd name="T22" fmla="*/ 0 h 104"/>
            <a:gd name="T23" fmla="*/ 560 w 560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60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560" y="104"/>
              </a:lnTo>
              <a:lnTo>
                <a:pt x="560" y="53"/>
              </a:lnTo>
              <a:lnTo>
                <a:pt x="560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304800</xdr:colOff>
      <xdr:row>18</xdr:row>
      <xdr:rowOff>47625</xdr:rowOff>
    </xdr:from>
    <xdr:to>
      <xdr:col>12</xdr:col>
      <xdr:colOff>28575</xdr:colOff>
      <xdr:row>18</xdr:row>
      <xdr:rowOff>85725</xdr:rowOff>
    </xdr:to>
    <xdr:sp macro="" textlink="">
      <xdr:nvSpPr>
        <xdr:cNvPr id="11985" name="Freeform 111">
          <a:extLst>
            <a:ext uri="{FF2B5EF4-FFF2-40B4-BE49-F238E27FC236}">
              <a16:creationId xmlns:a16="http://schemas.microsoft.com/office/drawing/2014/main" id="{00000000-0008-0000-0900-0000D12E0000}"/>
            </a:ext>
          </a:extLst>
        </xdr:cNvPr>
        <xdr:cNvSpPr>
          <a:spLocks noChangeAspect="1"/>
        </xdr:cNvSpPr>
      </xdr:nvSpPr>
      <xdr:spPr bwMode="auto">
        <a:xfrm>
          <a:off x="6343650" y="3495675"/>
          <a:ext cx="257175" cy="38100"/>
        </a:xfrm>
        <a:custGeom>
          <a:avLst/>
          <a:gdLst>
            <a:gd name="T0" fmla="*/ 0 w 560"/>
            <a:gd name="T1" fmla="*/ 0 h 104"/>
            <a:gd name="T2" fmla="*/ 0 w 560"/>
            <a:gd name="T3" fmla="*/ 0 h 104"/>
            <a:gd name="T4" fmla="*/ 0 w 560"/>
            <a:gd name="T5" fmla="*/ 0 h 104"/>
            <a:gd name="T6" fmla="*/ 2147483647 w 560"/>
            <a:gd name="T7" fmla="*/ 0 h 104"/>
            <a:gd name="T8" fmla="*/ 2147483647 w 560"/>
            <a:gd name="T9" fmla="*/ 0 h 104"/>
            <a:gd name="T10" fmla="*/ 2147483647 w 560"/>
            <a:gd name="T11" fmla="*/ 0 h 104"/>
            <a:gd name="T12" fmla="*/ 0 w 560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60"/>
            <a:gd name="T22" fmla="*/ 0 h 104"/>
            <a:gd name="T23" fmla="*/ 560 w 560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60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560" y="104"/>
              </a:lnTo>
              <a:lnTo>
                <a:pt x="560" y="53"/>
              </a:lnTo>
              <a:lnTo>
                <a:pt x="560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20</xdr:col>
      <xdr:colOff>0</xdr:colOff>
      <xdr:row>25</xdr:row>
      <xdr:rowOff>123825</xdr:rowOff>
    </xdr:from>
    <xdr:to>
      <xdr:col>20</xdr:col>
      <xdr:colOff>0</xdr:colOff>
      <xdr:row>26</xdr:row>
      <xdr:rowOff>19050</xdr:rowOff>
    </xdr:to>
    <xdr:sp macro="" textlink="">
      <xdr:nvSpPr>
        <xdr:cNvPr id="11986" name="Freeform 114">
          <a:extLst>
            <a:ext uri="{FF2B5EF4-FFF2-40B4-BE49-F238E27FC236}">
              <a16:creationId xmlns:a16="http://schemas.microsoft.com/office/drawing/2014/main" id="{00000000-0008-0000-0900-0000D22E0000}"/>
            </a:ext>
          </a:extLst>
        </xdr:cNvPr>
        <xdr:cNvSpPr>
          <a:spLocks noChangeAspect="1"/>
        </xdr:cNvSpPr>
      </xdr:nvSpPr>
      <xdr:spPr bwMode="auto">
        <a:xfrm>
          <a:off x="10363200" y="4705350"/>
          <a:ext cx="0" cy="57150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w 67"/>
            <a:gd name="T31" fmla="*/ 0 h 101"/>
            <a:gd name="T32" fmla="*/ 0 w 67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7"/>
            <a:gd name="T52" fmla="*/ 0 h 101"/>
            <a:gd name="T53" fmla="*/ 0 w 67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7" h="101">
              <a:moveTo>
                <a:pt x="15" y="49"/>
              </a:moveTo>
              <a:lnTo>
                <a:pt x="31" y="0"/>
              </a:lnTo>
              <a:lnTo>
                <a:pt x="42" y="4"/>
              </a:lnTo>
              <a:lnTo>
                <a:pt x="51" y="12"/>
              </a:lnTo>
              <a:lnTo>
                <a:pt x="58" y="21"/>
              </a:lnTo>
              <a:lnTo>
                <a:pt x="64" y="32"/>
              </a:lnTo>
              <a:lnTo>
                <a:pt x="67" y="42"/>
              </a:lnTo>
              <a:lnTo>
                <a:pt x="67" y="54"/>
              </a:lnTo>
              <a:lnTo>
                <a:pt x="65" y="65"/>
              </a:lnTo>
              <a:lnTo>
                <a:pt x="61" y="76"/>
              </a:lnTo>
              <a:lnTo>
                <a:pt x="53" y="85"/>
              </a:lnTo>
              <a:lnTo>
                <a:pt x="44" y="92"/>
              </a:lnTo>
              <a:lnTo>
                <a:pt x="33" y="98"/>
              </a:lnTo>
              <a:lnTo>
                <a:pt x="23" y="101"/>
              </a:lnTo>
              <a:lnTo>
                <a:pt x="11" y="101"/>
              </a:lnTo>
              <a:lnTo>
                <a:pt x="0" y="99"/>
              </a:lnTo>
              <a:lnTo>
                <a:pt x="15" y="4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20</xdr:col>
      <xdr:colOff>0</xdr:colOff>
      <xdr:row>25</xdr:row>
      <xdr:rowOff>123825</xdr:rowOff>
    </xdr:from>
    <xdr:to>
      <xdr:col>20</xdr:col>
      <xdr:colOff>0</xdr:colOff>
      <xdr:row>26</xdr:row>
      <xdr:rowOff>19050</xdr:rowOff>
    </xdr:to>
    <xdr:sp macro="" textlink="">
      <xdr:nvSpPr>
        <xdr:cNvPr id="11987" name="Freeform 115">
          <a:extLst>
            <a:ext uri="{FF2B5EF4-FFF2-40B4-BE49-F238E27FC236}">
              <a16:creationId xmlns:a16="http://schemas.microsoft.com/office/drawing/2014/main" id="{00000000-0008-0000-0900-0000D32E0000}"/>
            </a:ext>
          </a:extLst>
        </xdr:cNvPr>
        <xdr:cNvSpPr>
          <a:spLocks noChangeAspect="1"/>
        </xdr:cNvSpPr>
      </xdr:nvSpPr>
      <xdr:spPr bwMode="auto">
        <a:xfrm>
          <a:off x="10363200" y="4705350"/>
          <a:ext cx="0" cy="57150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7"/>
            <a:gd name="T46" fmla="*/ 0 h 101"/>
            <a:gd name="T47" fmla="*/ 0 w 67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7" h="101">
              <a:moveTo>
                <a:pt x="31" y="0"/>
              </a:moveTo>
              <a:lnTo>
                <a:pt x="42" y="4"/>
              </a:lnTo>
              <a:lnTo>
                <a:pt x="51" y="12"/>
              </a:lnTo>
              <a:lnTo>
                <a:pt x="58" y="21"/>
              </a:lnTo>
              <a:lnTo>
                <a:pt x="64" y="32"/>
              </a:lnTo>
              <a:lnTo>
                <a:pt x="67" y="42"/>
              </a:lnTo>
              <a:lnTo>
                <a:pt x="67" y="54"/>
              </a:lnTo>
              <a:lnTo>
                <a:pt x="65" y="65"/>
              </a:lnTo>
              <a:lnTo>
                <a:pt x="61" y="76"/>
              </a:lnTo>
              <a:lnTo>
                <a:pt x="53" y="85"/>
              </a:lnTo>
              <a:lnTo>
                <a:pt x="44" y="92"/>
              </a:lnTo>
              <a:lnTo>
                <a:pt x="33" y="98"/>
              </a:lnTo>
              <a:lnTo>
                <a:pt x="23" y="101"/>
              </a:lnTo>
              <a:lnTo>
                <a:pt x="11" y="101"/>
              </a:lnTo>
              <a:lnTo>
                <a:pt x="0" y="99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276225</xdr:colOff>
      <xdr:row>25</xdr:row>
      <xdr:rowOff>47625</xdr:rowOff>
    </xdr:from>
    <xdr:to>
      <xdr:col>20</xdr:col>
      <xdr:colOff>0</xdr:colOff>
      <xdr:row>26</xdr:row>
      <xdr:rowOff>9525</xdr:rowOff>
    </xdr:to>
    <xdr:sp macro="" textlink="">
      <xdr:nvSpPr>
        <xdr:cNvPr id="11988" name="Freeform 116">
          <a:extLst>
            <a:ext uri="{FF2B5EF4-FFF2-40B4-BE49-F238E27FC236}">
              <a16:creationId xmlns:a16="http://schemas.microsoft.com/office/drawing/2014/main" id="{00000000-0008-0000-0900-0000D42E0000}"/>
            </a:ext>
          </a:extLst>
        </xdr:cNvPr>
        <xdr:cNvSpPr>
          <a:spLocks noChangeAspect="1"/>
        </xdr:cNvSpPr>
      </xdr:nvSpPr>
      <xdr:spPr bwMode="auto">
        <a:xfrm>
          <a:off x="10106025" y="4629150"/>
          <a:ext cx="257175" cy="123825"/>
        </a:xfrm>
        <a:custGeom>
          <a:avLst/>
          <a:gdLst>
            <a:gd name="T0" fmla="*/ 2147483647 w 471"/>
            <a:gd name="T1" fmla="*/ 2147483647 h 242"/>
            <a:gd name="T2" fmla="*/ 2147483647 w 471"/>
            <a:gd name="T3" fmla="*/ 0 h 242"/>
            <a:gd name="T4" fmla="*/ 2147483647 w 471"/>
            <a:gd name="T5" fmla="*/ 0 h 242"/>
            <a:gd name="T6" fmla="*/ 0 w 471"/>
            <a:gd name="T7" fmla="*/ 0 h 242"/>
            <a:gd name="T8" fmla="*/ 0 w 471"/>
            <a:gd name="T9" fmla="*/ 0 h 242"/>
            <a:gd name="T10" fmla="*/ 0 w 471"/>
            <a:gd name="T11" fmla="*/ 0 h 242"/>
            <a:gd name="T12" fmla="*/ 2147483647 w 471"/>
            <a:gd name="T13" fmla="*/ 2147483647 h 24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71"/>
            <a:gd name="T22" fmla="*/ 0 h 242"/>
            <a:gd name="T23" fmla="*/ 471 w 471"/>
            <a:gd name="T24" fmla="*/ 242 h 24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71" h="242">
              <a:moveTo>
                <a:pt x="440" y="242"/>
              </a:moveTo>
              <a:lnTo>
                <a:pt x="455" y="192"/>
              </a:lnTo>
              <a:lnTo>
                <a:pt x="471" y="143"/>
              </a:lnTo>
              <a:lnTo>
                <a:pt x="31" y="0"/>
              </a:lnTo>
              <a:lnTo>
                <a:pt x="15" y="50"/>
              </a:lnTo>
              <a:lnTo>
                <a:pt x="0" y="99"/>
              </a:lnTo>
              <a:lnTo>
                <a:pt x="440" y="24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276225</xdr:colOff>
      <xdr:row>25</xdr:row>
      <xdr:rowOff>47625</xdr:rowOff>
    </xdr:from>
    <xdr:to>
      <xdr:col>20</xdr:col>
      <xdr:colOff>0</xdr:colOff>
      <xdr:row>26</xdr:row>
      <xdr:rowOff>9525</xdr:rowOff>
    </xdr:to>
    <xdr:sp macro="" textlink="">
      <xdr:nvSpPr>
        <xdr:cNvPr id="11989" name="Freeform 117">
          <a:extLst>
            <a:ext uri="{FF2B5EF4-FFF2-40B4-BE49-F238E27FC236}">
              <a16:creationId xmlns:a16="http://schemas.microsoft.com/office/drawing/2014/main" id="{00000000-0008-0000-0900-0000D52E0000}"/>
            </a:ext>
          </a:extLst>
        </xdr:cNvPr>
        <xdr:cNvSpPr>
          <a:spLocks noChangeAspect="1"/>
        </xdr:cNvSpPr>
      </xdr:nvSpPr>
      <xdr:spPr bwMode="auto">
        <a:xfrm>
          <a:off x="10106025" y="4629150"/>
          <a:ext cx="257175" cy="123825"/>
        </a:xfrm>
        <a:custGeom>
          <a:avLst/>
          <a:gdLst>
            <a:gd name="T0" fmla="*/ 2147483647 w 471"/>
            <a:gd name="T1" fmla="*/ 2147483647 h 242"/>
            <a:gd name="T2" fmla="*/ 2147483647 w 471"/>
            <a:gd name="T3" fmla="*/ 0 h 242"/>
            <a:gd name="T4" fmla="*/ 2147483647 w 471"/>
            <a:gd name="T5" fmla="*/ 0 h 242"/>
            <a:gd name="T6" fmla="*/ 0 w 471"/>
            <a:gd name="T7" fmla="*/ 0 h 242"/>
            <a:gd name="T8" fmla="*/ 0 w 471"/>
            <a:gd name="T9" fmla="*/ 0 h 242"/>
            <a:gd name="T10" fmla="*/ 0 w 471"/>
            <a:gd name="T11" fmla="*/ 0 h 242"/>
            <a:gd name="T12" fmla="*/ 2147483647 w 471"/>
            <a:gd name="T13" fmla="*/ 2147483647 h 24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71"/>
            <a:gd name="T22" fmla="*/ 0 h 242"/>
            <a:gd name="T23" fmla="*/ 471 w 471"/>
            <a:gd name="T24" fmla="*/ 242 h 24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71" h="242">
              <a:moveTo>
                <a:pt x="440" y="242"/>
              </a:moveTo>
              <a:lnTo>
                <a:pt x="455" y="192"/>
              </a:lnTo>
              <a:lnTo>
                <a:pt x="471" y="143"/>
              </a:lnTo>
              <a:lnTo>
                <a:pt x="31" y="0"/>
              </a:lnTo>
              <a:lnTo>
                <a:pt x="15" y="50"/>
              </a:lnTo>
              <a:lnTo>
                <a:pt x="0" y="99"/>
              </a:lnTo>
              <a:lnTo>
                <a:pt x="440" y="24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257175</xdr:colOff>
      <xdr:row>25</xdr:row>
      <xdr:rowOff>47625</xdr:rowOff>
    </xdr:from>
    <xdr:to>
      <xdr:col>19</xdr:col>
      <xdr:colOff>285750</xdr:colOff>
      <xdr:row>25</xdr:row>
      <xdr:rowOff>95250</xdr:rowOff>
    </xdr:to>
    <xdr:sp macro="" textlink="">
      <xdr:nvSpPr>
        <xdr:cNvPr id="11990" name="Freeform 118">
          <a:extLst>
            <a:ext uri="{FF2B5EF4-FFF2-40B4-BE49-F238E27FC236}">
              <a16:creationId xmlns:a16="http://schemas.microsoft.com/office/drawing/2014/main" id="{00000000-0008-0000-0900-0000D62E0000}"/>
            </a:ext>
          </a:extLst>
        </xdr:cNvPr>
        <xdr:cNvSpPr>
          <a:spLocks noChangeAspect="1"/>
        </xdr:cNvSpPr>
      </xdr:nvSpPr>
      <xdr:spPr bwMode="auto">
        <a:xfrm>
          <a:off x="10086975" y="4629150"/>
          <a:ext cx="28575" cy="4762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w 67"/>
            <a:gd name="T31" fmla="*/ 0 h 101"/>
            <a:gd name="T32" fmla="*/ 0 w 67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7"/>
            <a:gd name="T52" fmla="*/ 0 h 101"/>
            <a:gd name="T53" fmla="*/ 67 w 67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7" h="101">
              <a:moveTo>
                <a:pt x="51" y="52"/>
              </a:moveTo>
              <a:lnTo>
                <a:pt x="36" y="101"/>
              </a:lnTo>
              <a:lnTo>
                <a:pt x="25" y="97"/>
              </a:lnTo>
              <a:lnTo>
                <a:pt x="16" y="89"/>
              </a:lnTo>
              <a:lnTo>
                <a:pt x="8" y="80"/>
              </a:lnTo>
              <a:lnTo>
                <a:pt x="3" y="69"/>
              </a:lnTo>
              <a:lnTo>
                <a:pt x="0" y="59"/>
              </a:lnTo>
              <a:lnTo>
                <a:pt x="0" y="47"/>
              </a:lnTo>
              <a:lnTo>
                <a:pt x="2" y="36"/>
              </a:lnTo>
              <a:lnTo>
                <a:pt x="7" y="25"/>
              </a:lnTo>
              <a:lnTo>
                <a:pt x="14" y="16"/>
              </a:lnTo>
              <a:lnTo>
                <a:pt x="23" y="9"/>
              </a:lnTo>
              <a:lnTo>
                <a:pt x="34" y="3"/>
              </a:lnTo>
              <a:lnTo>
                <a:pt x="44" y="0"/>
              </a:lnTo>
              <a:lnTo>
                <a:pt x="56" y="0"/>
              </a:lnTo>
              <a:lnTo>
                <a:pt x="67" y="2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257175</xdr:colOff>
      <xdr:row>25</xdr:row>
      <xdr:rowOff>47625</xdr:rowOff>
    </xdr:from>
    <xdr:to>
      <xdr:col>19</xdr:col>
      <xdr:colOff>285750</xdr:colOff>
      <xdr:row>25</xdr:row>
      <xdr:rowOff>95250</xdr:rowOff>
    </xdr:to>
    <xdr:sp macro="" textlink="">
      <xdr:nvSpPr>
        <xdr:cNvPr id="11991" name="Freeform 119">
          <a:extLst>
            <a:ext uri="{FF2B5EF4-FFF2-40B4-BE49-F238E27FC236}">
              <a16:creationId xmlns:a16="http://schemas.microsoft.com/office/drawing/2014/main" id="{00000000-0008-0000-0900-0000D72E0000}"/>
            </a:ext>
          </a:extLst>
        </xdr:cNvPr>
        <xdr:cNvSpPr>
          <a:spLocks noChangeAspect="1"/>
        </xdr:cNvSpPr>
      </xdr:nvSpPr>
      <xdr:spPr bwMode="auto">
        <a:xfrm>
          <a:off x="10086975" y="4629150"/>
          <a:ext cx="28575" cy="4762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7"/>
            <a:gd name="T46" fmla="*/ 0 h 101"/>
            <a:gd name="T47" fmla="*/ 67 w 67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7" h="101">
              <a:moveTo>
                <a:pt x="36" y="101"/>
              </a:moveTo>
              <a:lnTo>
                <a:pt x="25" y="97"/>
              </a:lnTo>
              <a:lnTo>
                <a:pt x="16" y="89"/>
              </a:lnTo>
              <a:lnTo>
                <a:pt x="8" y="80"/>
              </a:lnTo>
              <a:lnTo>
                <a:pt x="3" y="69"/>
              </a:lnTo>
              <a:lnTo>
                <a:pt x="0" y="59"/>
              </a:lnTo>
              <a:lnTo>
                <a:pt x="0" y="47"/>
              </a:lnTo>
              <a:lnTo>
                <a:pt x="2" y="36"/>
              </a:lnTo>
              <a:lnTo>
                <a:pt x="7" y="25"/>
              </a:lnTo>
              <a:lnTo>
                <a:pt x="14" y="16"/>
              </a:lnTo>
              <a:lnTo>
                <a:pt x="23" y="9"/>
              </a:lnTo>
              <a:lnTo>
                <a:pt x="34" y="3"/>
              </a:lnTo>
              <a:lnTo>
                <a:pt x="44" y="0"/>
              </a:lnTo>
              <a:lnTo>
                <a:pt x="56" y="0"/>
              </a:lnTo>
              <a:lnTo>
                <a:pt x="67" y="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47625</xdr:colOff>
      <xdr:row>24</xdr:row>
      <xdr:rowOff>47625</xdr:rowOff>
    </xdr:from>
    <xdr:to>
      <xdr:col>19</xdr:col>
      <xdr:colOff>180975</xdr:colOff>
      <xdr:row>25</xdr:row>
      <xdr:rowOff>57150</xdr:rowOff>
    </xdr:to>
    <xdr:sp macro="" textlink="">
      <xdr:nvSpPr>
        <xdr:cNvPr id="11992" name="Freeform 122">
          <a:extLst>
            <a:ext uri="{FF2B5EF4-FFF2-40B4-BE49-F238E27FC236}">
              <a16:creationId xmlns:a16="http://schemas.microsoft.com/office/drawing/2014/main" id="{00000000-0008-0000-0900-0000D82E0000}"/>
            </a:ext>
          </a:extLst>
        </xdr:cNvPr>
        <xdr:cNvSpPr>
          <a:spLocks noChangeAspect="1"/>
        </xdr:cNvSpPr>
      </xdr:nvSpPr>
      <xdr:spPr bwMode="auto">
        <a:xfrm>
          <a:off x="9572625" y="4467225"/>
          <a:ext cx="438150" cy="171450"/>
        </a:xfrm>
        <a:custGeom>
          <a:avLst/>
          <a:gdLst>
            <a:gd name="T0" fmla="*/ 2147483647 w 904"/>
            <a:gd name="T1" fmla="*/ 2147483647 h 382"/>
            <a:gd name="T2" fmla="*/ 2147483647 w 904"/>
            <a:gd name="T3" fmla="*/ 2147483647 h 382"/>
            <a:gd name="T4" fmla="*/ 2147483647 w 904"/>
            <a:gd name="T5" fmla="*/ 2147483647 h 382"/>
            <a:gd name="T6" fmla="*/ 0 w 904"/>
            <a:gd name="T7" fmla="*/ 0 h 382"/>
            <a:gd name="T8" fmla="*/ 0 w 904"/>
            <a:gd name="T9" fmla="*/ 0 h 382"/>
            <a:gd name="T10" fmla="*/ 0 w 904"/>
            <a:gd name="T11" fmla="*/ 0 h 382"/>
            <a:gd name="T12" fmla="*/ 2147483647 w 904"/>
            <a:gd name="T13" fmla="*/ 2147483647 h 38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4"/>
            <a:gd name="T22" fmla="*/ 0 h 382"/>
            <a:gd name="T23" fmla="*/ 904 w 904"/>
            <a:gd name="T24" fmla="*/ 382 h 38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4" h="382">
              <a:moveTo>
                <a:pt x="872" y="382"/>
              </a:moveTo>
              <a:lnTo>
                <a:pt x="888" y="332"/>
              </a:lnTo>
              <a:lnTo>
                <a:pt x="904" y="283"/>
              </a:lnTo>
              <a:lnTo>
                <a:pt x="31" y="0"/>
              </a:lnTo>
              <a:lnTo>
                <a:pt x="16" y="50"/>
              </a:lnTo>
              <a:lnTo>
                <a:pt x="0" y="99"/>
              </a:lnTo>
              <a:lnTo>
                <a:pt x="872" y="38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47625</xdr:colOff>
      <xdr:row>24</xdr:row>
      <xdr:rowOff>47625</xdr:rowOff>
    </xdr:from>
    <xdr:to>
      <xdr:col>19</xdr:col>
      <xdr:colOff>180975</xdr:colOff>
      <xdr:row>25</xdr:row>
      <xdr:rowOff>57150</xdr:rowOff>
    </xdr:to>
    <xdr:sp macro="" textlink="">
      <xdr:nvSpPr>
        <xdr:cNvPr id="11993" name="Freeform 123">
          <a:extLst>
            <a:ext uri="{FF2B5EF4-FFF2-40B4-BE49-F238E27FC236}">
              <a16:creationId xmlns:a16="http://schemas.microsoft.com/office/drawing/2014/main" id="{00000000-0008-0000-0900-0000D92E0000}"/>
            </a:ext>
          </a:extLst>
        </xdr:cNvPr>
        <xdr:cNvSpPr>
          <a:spLocks noChangeAspect="1"/>
        </xdr:cNvSpPr>
      </xdr:nvSpPr>
      <xdr:spPr bwMode="auto">
        <a:xfrm>
          <a:off x="9572625" y="4467225"/>
          <a:ext cx="438150" cy="171450"/>
        </a:xfrm>
        <a:custGeom>
          <a:avLst/>
          <a:gdLst>
            <a:gd name="T0" fmla="*/ 2147483647 w 904"/>
            <a:gd name="T1" fmla="*/ 2147483647 h 382"/>
            <a:gd name="T2" fmla="*/ 2147483647 w 904"/>
            <a:gd name="T3" fmla="*/ 2147483647 h 382"/>
            <a:gd name="T4" fmla="*/ 2147483647 w 904"/>
            <a:gd name="T5" fmla="*/ 2147483647 h 382"/>
            <a:gd name="T6" fmla="*/ 0 w 904"/>
            <a:gd name="T7" fmla="*/ 0 h 382"/>
            <a:gd name="T8" fmla="*/ 0 w 904"/>
            <a:gd name="T9" fmla="*/ 0 h 382"/>
            <a:gd name="T10" fmla="*/ 0 w 904"/>
            <a:gd name="T11" fmla="*/ 0 h 382"/>
            <a:gd name="T12" fmla="*/ 2147483647 w 904"/>
            <a:gd name="T13" fmla="*/ 2147483647 h 38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4"/>
            <a:gd name="T22" fmla="*/ 0 h 382"/>
            <a:gd name="T23" fmla="*/ 904 w 904"/>
            <a:gd name="T24" fmla="*/ 382 h 38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4" h="382">
              <a:moveTo>
                <a:pt x="872" y="382"/>
              </a:moveTo>
              <a:lnTo>
                <a:pt x="888" y="332"/>
              </a:lnTo>
              <a:lnTo>
                <a:pt x="904" y="283"/>
              </a:lnTo>
              <a:lnTo>
                <a:pt x="31" y="0"/>
              </a:lnTo>
              <a:lnTo>
                <a:pt x="16" y="50"/>
              </a:lnTo>
              <a:lnTo>
                <a:pt x="0" y="99"/>
              </a:lnTo>
              <a:lnTo>
                <a:pt x="872" y="38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266700</xdr:colOff>
      <xdr:row>23</xdr:row>
      <xdr:rowOff>38100</xdr:rowOff>
    </xdr:from>
    <xdr:to>
      <xdr:col>17</xdr:col>
      <xdr:colOff>257175</xdr:colOff>
      <xdr:row>24</xdr:row>
      <xdr:rowOff>47625</xdr:rowOff>
    </xdr:to>
    <xdr:sp macro="" textlink="">
      <xdr:nvSpPr>
        <xdr:cNvPr id="11994" name="Freeform 128">
          <a:extLst>
            <a:ext uri="{FF2B5EF4-FFF2-40B4-BE49-F238E27FC236}">
              <a16:creationId xmlns:a16="http://schemas.microsoft.com/office/drawing/2014/main" id="{00000000-0008-0000-0900-0000DA2E0000}"/>
            </a:ext>
          </a:extLst>
        </xdr:cNvPr>
        <xdr:cNvSpPr>
          <a:spLocks noChangeAspect="1"/>
        </xdr:cNvSpPr>
      </xdr:nvSpPr>
      <xdr:spPr bwMode="auto">
        <a:xfrm>
          <a:off x="8972550" y="4295775"/>
          <a:ext cx="466725" cy="171450"/>
        </a:xfrm>
        <a:custGeom>
          <a:avLst/>
          <a:gdLst>
            <a:gd name="T0" fmla="*/ 2147483647 w 903"/>
            <a:gd name="T1" fmla="*/ 2147483647 h 381"/>
            <a:gd name="T2" fmla="*/ 2147483647 w 903"/>
            <a:gd name="T3" fmla="*/ 2147483647 h 381"/>
            <a:gd name="T4" fmla="*/ 2147483647 w 903"/>
            <a:gd name="T5" fmla="*/ 2147483647 h 381"/>
            <a:gd name="T6" fmla="*/ 0 w 903"/>
            <a:gd name="T7" fmla="*/ 0 h 381"/>
            <a:gd name="T8" fmla="*/ 0 w 903"/>
            <a:gd name="T9" fmla="*/ 0 h 381"/>
            <a:gd name="T10" fmla="*/ 0 w 903"/>
            <a:gd name="T11" fmla="*/ 0 h 381"/>
            <a:gd name="T12" fmla="*/ 2147483647 w 903"/>
            <a:gd name="T13" fmla="*/ 2147483647 h 38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3"/>
            <a:gd name="T22" fmla="*/ 0 h 381"/>
            <a:gd name="T23" fmla="*/ 903 w 903"/>
            <a:gd name="T24" fmla="*/ 381 h 38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3" h="381">
              <a:moveTo>
                <a:pt x="871" y="381"/>
              </a:moveTo>
              <a:lnTo>
                <a:pt x="887" y="331"/>
              </a:lnTo>
              <a:lnTo>
                <a:pt x="903" y="282"/>
              </a:lnTo>
              <a:lnTo>
                <a:pt x="31" y="0"/>
              </a:lnTo>
              <a:lnTo>
                <a:pt x="16" y="49"/>
              </a:lnTo>
              <a:lnTo>
                <a:pt x="0" y="98"/>
              </a:lnTo>
              <a:lnTo>
                <a:pt x="871" y="38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266700</xdr:colOff>
      <xdr:row>23</xdr:row>
      <xdr:rowOff>38100</xdr:rowOff>
    </xdr:from>
    <xdr:to>
      <xdr:col>17</xdr:col>
      <xdr:colOff>257175</xdr:colOff>
      <xdr:row>24</xdr:row>
      <xdr:rowOff>47625</xdr:rowOff>
    </xdr:to>
    <xdr:sp macro="" textlink="">
      <xdr:nvSpPr>
        <xdr:cNvPr id="11995" name="Freeform 129">
          <a:extLst>
            <a:ext uri="{FF2B5EF4-FFF2-40B4-BE49-F238E27FC236}">
              <a16:creationId xmlns:a16="http://schemas.microsoft.com/office/drawing/2014/main" id="{00000000-0008-0000-0900-0000DB2E0000}"/>
            </a:ext>
          </a:extLst>
        </xdr:cNvPr>
        <xdr:cNvSpPr>
          <a:spLocks noChangeAspect="1"/>
        </xdr:cNvSpPr>
      </xdr:nvSpPr>
      <xdr:spPr bwMode="auto">
        <a:xfrm>
          <a:off x="8972550" y="4295775"/>
          <a:ext cx="466725" cy="171450"/>
        </a:xfrm>
        <a:custGeom>
          <a:avLst/>
          <a:gdLst>
            <a:gd name="T0" fmla="*/ 2147483647 w 903"/>
            <a:gd name="T1" fmla="*/ 2147483647 h 381"/>
            <a:gd name="T2" fmla="*/ 2147483647 w 903"/>
            <a:gd name="T3" fmla="*/ 2147483647 h 381"/>
            <a:gd name="T4" fmla="*/ 2147483647 w 903"/>
            <a:gd name="T5" fmla="*/ 2147483647 h 381"/>
            <a:gd name="T6" fmla="*/ 0 w 903"/>
            <a:gd name="T7" fmla="*/ 0 h 381"/>
            <a:gd name="T8" fmla="*/ 0 w 903"/>
            <a:gd name="T9" fmla="*/ 0 h 381"/>
            <a:gd name="T10" fmla="*/ 0 w 903"/>
            <a:gd name="T11" fmla="*/ 0 h 381"/>
            <a:gd name="T12" fmla="*/ 2147483647 w 903"/>
            <a:gd name="T13" fmla="*/ 2147483647 h 38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3"/>
            <a:gd name="T22" fmla="*/ 0 h 381"/>
            <a:gd name="T23" fmla="*/ 903 w 903"/>
            <a:gd name="T24" fmla="*/ 381 h 38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3" h="381">
              <a:moveTo>
                <a:pt x="871" y="381"/>
              </a:moveTo>
              <a:lnTo>
                <a:pt x="887" y="331"/>
              </a:lnTo>
              <a:lnTo>
                <a:pt x="903" y="282"/>
              </a:lnTo>
              <a:lnTo>
                <a:pt x="31" y="0"/>
              </a:lnTo>
              <a:lnTo>
                <a:pt x="16" y="49"/>
              </a:lnTo>
              <a:lnTo>
                <a:pt x="0" y="98"/>
              </a:lnTo>
              <a:lnTo>
                <a:pt x="871" y="38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295275</xdr:colOff>
      <xdr:row>22</xdr:row>
      <xdr:rowOff>38100</xdr:rowOff>
    </xdr:from>
    <xdr:to>
      <xdr:col>16</xdr:col>
      <xdr:colOff>180975</xdr:colOff>
      <xdr:row>23</xdr:row>
      <xdr:rowOff>47625</xdr:rowOff>
    </xdr:to>
    <xdr:sp macro="" textlink="">
      <xdr:nvSpPr>
        <xdr:cNvPr id="11996" name="Freeform 134">
          <a:extLst>
            <a:ext uri="{FF2B5EF4-FFF2-40B4-BE49-F238E27FC236}">
              <a16:creationId xmlns:a16="http://schemas.microsoft.com/office/drawing/2014/main" id="{00000000-0008-0000-0900-0000DC2E0000}"/>
            </a:ext>
          </a:extLst>
        </xdr:cNvPr>
        <xdr:cNvSpPr>
          <a:spLocks noChangeAspect="1"/>
        </xdr:cNvSpPr>
      </xdr:nvSpPr>
      <xdr:spPr bwMode="auto">
        <a:xfrm>
          <a:off x="8467725" y="4133850"/>
          <a:ext cx="419100" cy="171450"/>
        </a:xfrm>
        <a:custGeom>
          <a:avLst/>
          <a:gdLst>
            <a:gd name="T0" fmla="*/ 2147483647 w 904"/>
            <a:gd name="T1" fmla="*/ 2147483647 h 381"/>
            <a:gd name="T2" fmla="*/ 2147483647 w 904"/>
            <a:gd name="T3" fmla="*/ 2147483647 h 381"/>
            <a:gd name="T4" fmla="*/ 2147483647 w 904"/>
            <a:gd name="T5" fmla="*/ 2147483647 h 381"/>
            <a:gd name="T6" fmla="*/ 0 w 904"/>
            <a:gd name="T7" fmla="*/ 0 h 381"/>
            <a:gd name="T8" fmla="*/ 0 w 904"/>
            <a:gd name="T9" fmla="*/ 0 h 381"/>
            <a:gd name="T10" fmla="*/ 0 w 904"/>
            <a:gd name="T11" fmla="*/ 0 h 381"/>
            <a:gd name="T12" fmla="*/ 2147483647 w 904"/>
            <a:gd name="T13" fmla="*/ 2147483647 h 38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4"/>
            <a:gd name="T22" fmla="*/ 0 h 381"/>
            <a:gd name="T23" fmla="*/ 904 w 904"/>
            <a:gd name="T24" fmla="*/ 381 h 38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4" h="381">
              <a:moveTo>
                <a:pt x="872" y="381"/>
              </a:moveTo>
              <a:lnTo>
                <a:pt x="888" y="332"/>
              </a:lnTo>
              <a:lnTo>
                <a:pt x="904" y="282"/>
              </a:lnTo>
              <a:lnTo>
                <a:pt x="31" y="0"/>
              </a:lnTo>
              <a:lnTo>
                <a:pt x="16" y="49"/>
              </a:lnTo>
              <a:lnTo>
                <a:pt x="0" y="99"/>
              </a:lnTo>
              <a:lnTo>
                <a:pt x="872" y="38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295275</xdr:colOff>
      <xdr:row>22</xdr:row>
      <xdr:rowOff>38100</xdr:rowOff>
    </xdr:from>
    <xdr:to>
      <xdr:col>16</xdr:col>
      <xdr:colOff>180975</xdr:colOff>
      <xdr:row>23</xdr:row>
      <xdr:rowOff>47625</xdr:rowOff>
    </xdr:to>
    <xdr:sp macro="" textlink="">
      <xdr:nvSpPr>
        <xdr:cNvPr id="11997" name="Freeform 135">
          <a:extLst>
            <a:ext uri="{FF2B5EF4-FFF2-40B4-BE49-F238E27FC236}">
              <a16:creationId xmlns:a16="http://schemas.microsoft.com/office/drawing/2014/main" id="{00000000-0008-0000-0900-0000DD2E0000}"/>
            </a:ext>
          </a:extLst>
        </xdr:cNvPr>
        <xdr:cNvSpPr>
          <a:spLocks noChangeAspect="1"/>
        </xdr:cNvSpPr>
      </xdr:nvSpPr>
      <xdr:spPr bwMode="auto">
        <a:xfrm>
          <a:off x="8467725" y="4133850"/>
          <a:ext cx="419100" cy="171450"/>
        </a:xfrm>
        <a:custGeom>
          <a:avLst/>
          <a:gdLst>
            <a:gd name="T0" fmla="*/ 2147483647 w 904"/>
            <a:gd name="T1" fmla="*/ 2147483647 h 381"/>
            <a:gd name="T2" fmla="*/ 2147483647 w 904"/>
            <a:gd name="T3" fmla="*/ 2147483647 h 381"/>
            <a:gd name="T4" fmla="*/ 2147483647 w 904"/>
            <a:gd name="T5" fmla="*/ 2147483647 h 381"/>
            <a:gd name="T6" fmla="*/ 0 w 904"/>
            <a:gd name="T7" fmla="*/ 0 h 381"/>
            <a:gd name="T8" fmla="*/ 0 w 904"/>
            <a:gd name="T9" fmla="*/ 0 h 381"/>
            <a:gd name="T10" fmla="*/ 0 w 904"/>
            <a:gd name="T11" fmla="*/ 0 h 381"/>
            <a:gd name="T12" fmla="*/ 2147483647 w 904"/>
            <a:gd name="T13" fmla="*/ 2147483647 h 38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4"/>
            <a:gd name="T22" fmla="*/ 0 h 381"/>
            <a:gd name="T23" fmla="*/ 904 w 904"/>
            <a:gd name="T24" fmla="*/ 381 h 38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4" h="381">
              <a:moveTo>
                <a:pt x="872" y="381"/>
              </a:moveTo>
              <a:lnTo>
                <a:pt x="888" y="332"/>
              </a:lnTo>
              <a:lnTo>
                <a:pt x="904" y="282"/>
              </a:lnTo>
              <a:lnTo>
                <a:pt x="31" y="0"/>
              </a:lnTo>
              <a:lnTo>
                <a:pt x="16" y="49"/>
              </a:lnTo>
              <a:lnTo>
                <a:pt x="0" y="99"/>
              </a:lnTo>
              <a:lnTo>
                <a:pt x="872" y="38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276225</xdr:colOff>
      <xdr:row>22</xdr:row>
      <xdr:rowOff>38100</xdr:rowOff>
    </xdr:from>
    <xdr:to>
      <xdr:col>15</xdr:col>
      <xdr:colOff>304800</xdr:colOff>
      <xdr:row>22</xdr:row>
      <xdr:rowOff>85725</xdr:rowOff>
    </xdr:to>
    <xdr:sp macro="" textlink="">
      <xdr:nvSpPr>
        <xdr:cNvPr id="11998" name="Freeform 136">
          <a:extLst>
            <a:ext uri="{FF2B5EF4-FFF2-40B4-BE49-F238E27FC236}">
              <a16:creationId xmlns:a16="http://schemas.microsoft.com/office/drawing/2014/main" id="{00000000-0008-0000-0900-0000DE2E0000}"/>
            </a:ext>
          </a:extLst>
        </xdr:cNvPr>
        <xdr:cNvSpPr>
          <a:spLocks noChangeAspect="1"/>
        </xdr:cNvSpPr>
      </xdr:nvSpPr>
      <xdr:spPr bwMode="auto">
        <a:xfrm>
          <a:off x="8448675" y="4133850"/>
          <a:ext cx="28575" cy="4762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w 67"/>
            <a:gd name="T31" fmla="*/ 0 h 101"/>
            <a:gd name="T32" fmla="*/ 0 w 67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7"/>
            <a:gd name="T52" fmla="*/ 0 h 101"/>
            <a:gd name="T53" fmla="*/ 67 w 67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7" h="101">
              <a:moveTo>
                <a:pt x="52" y="51"/>
              </a:moveTo>
              <a:lnTo>
                <a:pt x="36" y="101"/>
              </a:lnTo>
              <a:lnTo>
                <a:pt x="25" y="96"/>
              </a:lnTo>
              <a:lnTo>
                <a:pt x="16" y="89"/>
              </a:lnTo>
              <a:lnTo>
                <a:pt x="9" y="80"/>
              </a:lnTo>
              <a:lnTo>
                <a:pt x="3" y="69"/>
              </a:lnTo>
              <a:lnTo>
                <a:pt x="0" y="59"/>
              </a:lnTo>
              <a:lnTo>
                <a:pt x="0" y="47"/>
              </a:lnTo>
              <a:lnTo>
                <a:pt x="2" y="35"/>
              </a:lnTo>
              <a:lnTo>
                <a:pt x="7" y="25"/>
              </a:lnTo>
              <a:lnTo>
                <a:pt x="14" y="15"/>
              </a:lnTo>
              <a:lnTo>
                <a:pt x="23" y="8"/>
              </a:lnTo>
              <a:lnTo>
                <a:pt x="34" y="3"/>
              </a:lnTo>
              <a:lnTo>
                <a:pt x="44" y="0"/>
              </a:lnTo>
              <a:lnTo>
                <a:pt x="56" y="0"/>
              </a:lnTo>
              <a:lnTo>
                <a:pt x="67" y="2"/>
              </a:lnTo>
              <a:lnTo>
                <a:pt x="52" y="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276225</xdr:colOff>
      <xdr:row>22</xdr:row>
      <xdr:rowOff>38100</xdr:rowOff>
    </xdr:from>
    <xdr:to>
      <xdr:col>15</xdr:col>
      <xdr:colOff>304800</xdr:colOff>
      <xdr:row>22</xdr:row>
      <xdr:rowOff>85725</xdr:rowOff>
    </xdr:to>
    <xdr:sp macro="" textlink="">
      <xdr:nvSpPr>
        <xdr:cNvPr id="11999" name="Freeform 137">
          <a:extLst>
            <a:ext uri="{FF2B5EF4-FFF2-40B4-BE49-F238E27FC236}">
              <a16:creationId xmlns:a16="http://schemas.microsoft.com/office/drawing/2014/main" id="{00000000-0008-0000-0900-0000DF2E0000}"/>
            </a:ext>
          </a:extLst>
        </xdr:cNvPr>
        <xdr:cNvSpPr>
          <a:spLocks noChangeAspect="1"/>
        </xdr:cNvSpPr>
      </xdr:nvSpPr>
      <xdr:spPr bwMode="auto">
        <a:xfrm>
          <a:off x="8448675" y="4133850"/>
          <a:ext cx="28575" cy="4762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7"/>
            <a:gd name="T46" fmla="*/ 0 h 101"/>
            <a:gd name="T47" fmla="*/ 67 w 67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7" h="101">
              <a:moveTo>
                <a:pt x="36" y="101"/>
              </a:moveTo>
              <a:lnTo>
                <a:pt x="25" y="96"/>
              </a:lnTo>
              <a:lnTo>
                <a:pt x="16" y="89"/>
              </a:lnTo>
              <a:lnTo>
                <a:pt x="9" y="80"/>
              </a:lnTo>
              <a:lnTo>
                <a:pt x="3" y="69"/>
              </a:lnTo>
              <a:lnTo>
                <a:pt x="0" y="59"/>
              </a:lnTo>
              <a:lnTo>
                <a:pt x="0" y="47"/>
              </a:lnTo>
              <a:lnTo>
                <a:pt x="2" y="35"/>
              </a:lnTo>
              <a:lnTo>
                <a:pt x="7" y="25"/>
              </a:lnTo>
              <a:lnTo>
                <a:pt x="14" y="15"/>
              </a:lnTo>
              <a:lnTo>
                <a:pt x="23" y="8"/>
              </a:lnTo>
              <a:lnTo>
                <a:pt x="34" y="3"/>
              </a:lnTo>
              <a:lnTo>
                <a:pt x="44" y="0"/>
              </a:lnTo>
              <a:lnTo>
                <a:pt x="56" y="0"/>
              </a:lnTo>
              <a:lnTo>
                <a:pt x="67" y="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209550</xdr:colOff>
      <xdr:row>22</xdr:row>
      <xdr:rowOff>9525</xdr:rowOff>
    </xdr:from>
    <xdr:to>
      <xdr:col>15</xdr:col>
      <xdr:colOff>238125</xdr:colOff>
      <xdr:row>22</xdr:row>
      <xdr:rowOff>57150</xdr:rowOff>
    </xdr:to>
    <xdr:sp macro="" textlink="">
      <xdr:nvSpPr>
        <xdr:cNvPr id="12000" name="Freeform 138">
          <a:extLst>
            <a:ext uri="{FF2B5EF4-FFF2-40B4-BE49-F238E27FC236}">
              <a16:creationId xmlns:a16="http://schemas.microsoft.com/office/drawing/2014/main" id="{00000000-0008-0000-0900-0000E02E0000}"/>
            </a:ext>
          </a:extLst>
        </xdr:cNvPr>
        <xdr:cNvSpPr>
          <a:spLocks noChangeAspect="1"/>
        </xdr:cNvSpPr>
      </xdr:nvSpPr>
      <xdr:spPr bwMode="auto">
        <a:xfrm>
          <a:off x="8382000" y="4105275"/>
          <a:ext cx="28575" cy="4762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w 67"/>
            <a:gd name="T31" fmla="*/ 0 h 101"/>
            <a:gd name="T32" fmla="*/ 0 w 67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7"/>
            <a:gd name="T52" fmla="*/ 0 h 101"/>
            <a:gd name="T53" fmla="*/ 67 w 67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7" h="101">
              <a:moveTo>
                <a:pt x="15" y="50"/>
              </a:moveTo>
              <a:lnTo>
                <a:pt x="31" y="0"/>
              </a:lnTo>
              <a:lnTo>
                <a:pt x="42" y="5"/>
              </a:lnTo>
              <a:lnTo>
                <a:pt x="51" y="12"/>
              </a:lnTo>
              <a:lnTo>
                <a:pt x="58" y="21"/>
              </a:lnTo>
              <a:lnTo>
                <a:pt x="64" y="32"/>
              </a:lnTo>
              <a:lnTo>
                <a:pt x="67" y="42"/>
              </a:lnTo>
              <a:lnTo>
                <a:pt x="67" y="54"/>
              </a:lnTo>
              <a:lnTo>
                <a:pt x="65" y="66"/>
              </a:lnTo>
              <a:lnTo>
                <a:pt x="60" y="76"/>
              </a:lnTo>
              <a:lnTo>
                <a:pt x="53" y="86"/>
              </a:lnTo>
              <a:lnTo>
                <a:pt x="44" y="93"/>
              </a:lnTo>
              <a:lnTo>
                <a:pt x="33" y="98"/>
              </a:lnTo>
              <a:lnTo>
                <a:pt x="23" y="101"/>
              </a:lnTo>
              <a:lnTo>
                <a:pt x="11" y="101"/>
              </a:lnTo>
              <a:lnTo>
                <a:pt x="0" y="99"/>
              </a:lnTo>
              <a:lnTo>
                <a:pt x="15" y="5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209550</xdr:colOff>
      <xdr:row>22</xdr:row>
      <xdr:rowOff>9525</xdr:rowOff>
    </xdr:from>
    <xdr:to>
      <xdr:col>15</xdr:col>
      <xdr:colOff>238125</xdr:colOff>
      <xdr:row>22</xdr:row>
      <xdr:rowOff>57150</xdr:rowOff>
    </xdr:to>
    <xdr:sp macro="" textlink="">
      <xdr:nvSpPr>
        <xdr:cNvPr id="12001" name="Freeform 139">
          <a:extLst>
            <a:ext uri="{FF2B5EF4-FFF2-40B4-BE49-F238E27FC236}">
              <a16:creationId xmlns:a16="http://schemas.microsoft.com/office/drawing/2014/main" id="{00000000-0008-0000-0900-0000E12E0000}"/>
            </a:ext>
          </a:extLst>
        </xdr:cNvPr>
        <xdr:cNvSpPr>
          <a:spLocks noChangeAspect="1"/>
        </xdr:cNvSpPr>
      </xdr:nvSpPr>
      <xdr:spPr bwMode="auto">
        <a:xfrm>
          <a:off x="8382000" y="4105275"/>
          <a:ext cx="28575" cy="4762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7"/>
            <a:gd name="T46" fmla="*/ 0 h 101"/>
            <a:gd name="T47" fmla="*/ 67 w 67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7" h="101">
              <a:moveTo>
                <a:pt x="31" y="0"/>
              </a:moveTo>
              <a:lnTo>
                <a:pt x="42" y="5"/>
              </a:lnTo>
              <a:lnTo>
                <a:pt x="51" y="12"/>
              </a:lnTo>
              <a:lnTo>
                <a:pt x="58" y="21"/>
              </a:lnTo>
              <a:lnTo>
                <a:pt x="64" y="32"/>
              </a:lnTo>
              <a:lnTo>
                <a:pt x="67" y="42"/>
              </a:lnTo>
              <a:lnTo>
                <a:pt x="67" y="54"/>
              </a:lnTo>
              <a:lnTo>
                <a:pt x="65" y="66"/>
              </a:lnTo>
              <a:lnTo>
                <a:pt x="60" y="76"/>
              </a:lnTo>
              <a:lnTo>
                <a:pt x="53" y="86"/>
              </a:lnTo>
              <a:lnTo>
                <a:pt x="44" y="93"/>
              </a:lnTo>
              <a:lnTo>
                <a:pt x="33" y="98"/>
              </a:lnTo>
              <a:lnTo>
                <a:pt x="23" y="101"/>
              </a:lnTo>
              <a:lnTo>
                <a:pt x="11" y="101"/>
              </a:lnTo>
              <a:lnTo>
                <a:pt x="0" y="99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352425</xdr:colOff>
      <xdr:row>21</xdr:row>
      <xdr:rowOff>19050</xdr:rowOff>
    </xdr:from>
    <xdr:to>
      <xdr:col>15</xdr:col>
      <xdr:colOff>238125</xdr:colOff>
      <xdr:row>22</xdr:row>
      <xdr:rowOff>47625</xdr:rowOff>
    </xdr:to>
    <xdr:sp macro="" textlink="">
      <xdr:nvSpPr>
        <xdr:cNvPr id="12002" name="Freeform 140">
          <a:extLst>
            <a:ext uri="{FF2B5EF4-FFF2-40B4-BE49-F238E27FC236}">
              <a16:creationId xmlns:a16="http://schemas.microsoft.com/office/drawing/2014/main" id="{00000000-0008-0000-0900-0000E22E0000}"/>
            </a:ext>
          </a:extLst>
        </xdr:cNvPr>
        <xdr:cNvSpPr>
          <a:spLocks noChangeAspect="1"/>
        </xdr:cNvSpPr>
      </xdr:nvSpPr>
      <xdr:spPr bwMode="auto">
        <a:xfrm>
          <a:off x="7991475" y="3952875"/>
          <a:ext cx="419100" cy="190500"/>
        </a:xfrm>
        <a:custGeom>
          <a:avLst/>
          <a:gdLst>
            <a:gd name="T0" fmla="*/ 2147483647 w 903"/>
            <a:gd name="T1" fmla="*/ 2147483647 h 381"/>
            <a:gd name="T2" fmla="*/ 2147483647 w 903"/>
            <a:gd name="T3" fmla="*/ 2147483647 h 381"/>
            <a:gd name="T4" fmla="*/ 2147483647 w 903"/>
            <a:gd name="T5" fmla="*/ 2147483647 h 381"/>
            <a:gd name="T6" fmla="*/ 0 w 903"/>
            <a:gd name="T7" fmla="*/ 0 h 381"/>
            <a:gd name="T8" fmla="*/ 0 w 903"/>
            <a:gd name="T9" fmla="*/ 0 h 381"/>
            <a:gd name="T10" fmla="*/ 0 w 903"/>
            <a:gd name="T11" fmla="*/ 0 h 381"/>
            <a:gd name="T12" fmla="*/ 2147483647 w 903"/>
            <a:gd name="T13" fmla="*/ 2147483647 h 38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3"/>
            <a:gd name="T22" fmla="*/ 0 h 381"/>
            <a:gd name="T23" fmla="*/ 903 w 903"/>
            <a:gd name="T24" fmla="*/ 381 h 38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3" h="381">
              <a:moveTo>
                <a:pt x="872" y="381"/>
              </a:moveTo>
              <a:lnTo>
                <a:pt x="887" y="332"/>
              </a:lnTo>
              <a:lnTo>
                <a:pt x="903" y="282"/>
              </a:lnTo>
              <a:lnTo>
                <a:pt x="32" y="0"/>
              </a:lnTo>
              <a:lnTo>
                <a:pt x="16" y="49"/>
              </a:lnTo>
              <a:lnTo>
                <a:pt x="0" y="99"/>
              </a:lnTo>
              <a:lnTo>
                <a:pt x="872" y="38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352425</xdr:colOff>
      <xdr:row>21</xdr:row>
      <xdr:rowOff>19050</xdr:rowOff>
    </xdr:from>
    <xdr:to>
      <xdr:col>15</xdr:col>
      <xdr:colOff>238125</xdr:colOff>
      <xdr:row>22</xdr:row>
      <xdr:rowOff>47625</xdr:rowOff>
    </xdr:to>
    <xdr:sp macro="" textlink="">
      <xdr:nvSpPr>
        <xdr:cNvPr id="12003" name="Freeform 141">
          <a:extLst>
            <a:ext uri="{FF2B5EF4-FFF2-40B4-BE49-F238E27FC236}">
              <a16:creationId xmlns:a16="http://schemas.microsoft.com/office/drawing/2014/main" id="{00000000-0008-0000-0900-0000E32E0000}"/>
            </a:ext>
          </a:extLst>
        </xdr:cNvPr>
        <xdr:cNvSpPr>
          <a:spLocks noChangeAspect="1"/>
        </xdr:cNvSpPr>
      </xdr:nvSpPr>
      <xdr:spPr bwMode="auto">
        <a:xfrm>
          <a:off x="7991475" y="3952875"/>
          <a:ext cx="419100" cy="190500"/>
        </a:xfrm>
        <a:custGeom>
          <a:avLst/>
          <a:gdLst>
            <a:gd name="T0" fmla="*/ 2147483647 w 903"/>
            <a:gd name="T1" fmla="*/ 2147483647 h 381"/>
            <a:gd name="T2" fmla="*/ 2147483647 w 903"/>
            <a:gd name="T3" fmla="*/ 2147483647 h 381"/>
            <a:gd name="T4" fmla="*/ 2147483647 w 903"/>
            <a:gd name="T5" fmla="*/ 2147483647 h 381"/>
            <a:gd name="T6" fmla="*/ 0 w 903"/>
            <a:gd name="T7" fmla="*/ 0 h 381"/>
            <a:gd name="T8" fmla="*/ 0 w 903"/>
            <a:gd name="T9" fmla="*/ 0 h 381"/>
            <a:gd name="T10" fmla="*/ 0 w 903"/>
            <a:gd name="T11" fmla="*/ 0 h 381"/>
            <a:gd name="T12" fmla="*/ 2147483647 w 903"/>
            <a:gd name="T13" fmla="*/ 2147483647 h 38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3"/>
            <a:gd name="T22" fmla="*/ 0 h 381"/>
            <a:gd name="T23" fmla="*/ 903 w 903"/>
            <a:gd name="T24" fmla="*/ 381 h 38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3" h="381">
              <a:moveTo>
                <a:pt x="872" y="381"/>
              </a:moveTo>
              <a:lnTo>
                <a:pt x="887" y="332"/>
              </a:lnTo>
              <a:lnTo>
                <a:pt x="903" y="282"/>
              </a:lnTo>
              <a:lnTo>
                <a:pt x="32" y="0"/>
              </a:lnTo>
              <a:lnTo>
                <a:pt x="16" y="49"/>
              </a:lnTo>
              <a:lnTo>
                <a:pt x="0" y="99"/>
              </a:lnTo>
              <a:lnTo>
                <a:pt x="872" y="38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314325</xdr:colOff>
      <xdr:row>21</xdr:row>
      <xdr:rowOff>19050</xdr:rowOff>
    </xdr:from>
    <xdr:to>
      <xdr:col>14</xdr:col>
      <xdr:colOff>361950</xdr:colOff>
      <xdr:row>21</xdr:row>
      <xdr:rowOff>66675</xdr:rowOff>
    </xdr:to>
    <xdr:sp macro="" textlink="">
      <xdr:nvSpPr>
        <xdr:cNvPr id="12004" name="Freeform 142">
          <a:extLst>
            <a:ext uri="{FF2B5EF4-FFF2-40B4-BE49-F238E27FC236}">
              <a16:creationId xmlns:a16="http://schemas.microsoft.com/office/drawing/2014/main" id="{00000000-0008-0000-0900-0000E42E0000}"/>
            </a:ext>
          </a:extLst>
        </xdr:cNvPr>
        <xdr:cNvSpPr>
          <a:spLocks noChangeAspect="1"/>
        </xdr:cNvSpPr>
      </xdr:nvSpPr>
      <xdr:spPr bwMode="auto">
        <a:xfrm>
          <a:off x="7953375" y="3952875"/>
          <a:ext cx="47625" cy="47625"/>
        </a:xfrm>
        <a:custGeom>
          <a:avLst/>
          <a:gdLst>
            <a:gd name="T0" fmla="*/ 0 w 68"/>
            <a:gd name="T1" fmla="*/ 0 h 101"/>
            <a:gd name="T2" fmla="*/ 0 w 68"/>
            <a:gd name="T3" fmla="*/ 0 h 101"/>
            <a:gd name="T4" fmla="*/ 0 w 68"/>
            <a:gd name="T5" fmla="*/ 0 h 101"/>
            <a:gd name="T6" fmla="*/ 0 w 68"/>
            <a:gd name="T7" fmla="*/ 0 h 101"/>
            <a:gd name="T8" fmla="*/ 0 w 68"/>
            <a:gd name="T9" fmla="*/ 0 h 101"/>
            <a:gd name="T10" fmla="*/ 0 w 68"/>
            <a:gd name="T11" fmla="*/ 0 h 101"/>
            <a:gd name="T12" fmla="*/ 0 w 68"/>
            <a:gd name="T13" fmla="*/ 0 h 101"/>
            <a:gd name="T14" fmla="*/ 0 w 68"/>
            <a:gd name="T15" fmla="*/ 0 h 101"/>
            <a:gd name="T16" fmla="*/ 0 w 68"/>
            <a:gd name="T17" fmla="*/ 0 h 101"/>
            <a:gd name="T18" fmla="*/ 0 w 68"/>
            <a:gd name="T19" fmla="*/ 0 h 101"/>
            <a:gd name="T20" fmla="*/ 0 w 68"/>
            <a:gd name="T21" fmla="*/ 0 h 101"/>
            <a:gd name="T22" fmla="*/ 0 w 68"/>
            <a:gd name="T23" fmla="*/ 0 h 101"/>
            <a:gd name="T24" fmla="*/ 0 w 68"/>
            <a:gd name="T25" fmla="*/ 0 h 101"/>
            <a:gd name="T26" fmla="*/ 0 w 68"/>
            <a:gd name="T27" fmla="*/ 0 h 101"/>
            <a:gd name="T28" fmla="*/ 0 w 68"/>
            <a:gd name="T29" fmla="*/ 0 h 101"/>
            <a:gd name="T30" fmla="*/ 2147483647 w 68"/>
            <a:gd name="T31" fmla="*/ 0 h 101"/>
            <a:gd name="T32" fmla="*/ 0 w 68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8"/>
            <a:gd name="T52" fmla="*/ 0 h 101"/>
            <a:gd name="T53" fmla="*/ 68 w 68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8" h="101">
              <a:moveTo>
                <a:pt x="52" y="51"/>
              </a:moveTo>
              <a:lnTo>
                <a:pt x="36" y="101"/>
              </a:lnTo>
              <a:lnTo>
                <a:pt x="26" y="97"/>
              </a:lnTo>
              <a:lnTo>
                <a:pt x="16" y="89"/>
              </a:lnTo>
              <a:lnTo>
                <a:pt x="9" y="80"/>
              </a:lnTo>
              <a:lnTo>
                <a:pt x="3" y="69"/>
              </a:lnTo>
              <a:lnTo>
                <a:pt x="0" y="59"/>
              </a:lnTo>
              <a:lnTo>
                <a:pt x="0" y="47"/>
              </a:lnTo>
              <a:lnTo>
                <a:pt x="2" y="36"/>
              </a:lnTo>
              <a:lnTo>
                <a:pt x="7" y="25"/>
              </a:lnTo>
              <a:lnTo>
                <a:pt x="14" y="16"/>
              </a:lnTo>
              <a:lnTo>
                <a:pt x="23" y="8"/>
              </a:lnTo>
              <a:lnTo>
                <a:pt x="34" y="3"/>
              </a:lnTo>
              <a:lnTo>
                <a:pt x="44" y="0"/>
              </a:lnTo>
              <a:lnTo>
                <a:pt x="56" y="0"/>
              </a:lnTo>
              <a:lnTo>
                <a:pt x="68" y="2"/>
              </a:lnTo>
              <a:lnTo>
                <a:pt x="52" y="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314325</xdr:colOff>
      <xdr:row>21</xdr:row>
      <xdr:rowOff>19050</xdr:rowOff>
    </xdr:from>
    <xdr:to>
      <xdr:col>14</xdr:col>
      <xdr:colOff>361950</xdr:colOff>
      <xdr:row>21</xdr:row>
      <xdr:rowOff>66675</xdr:rowOff>
    </xdr:to>
    <xdr:sp macro="" textlink="">
      <xdr:nvSpPr>
        <xdr:cNvPr id="12005" name="Freeform 143">
          <a:extLst>
            <a:ext uri="{FF2B5EF4-FFF2-40B4-BE49-F238E27FC236}">
              <a16:creationId xmlns:a16="http://schemas.microsoft.com/office/drawing/2014/main" id="{00000000-0008-0000-0900-0000E52E0000}"/>
            </a:ext>
          </a:extLst>
        </xdr:cNvPr>
        <xdr:cNvSpPr>
          <a:spLocks noChangeAspect="1"/>
        </xdr:cNvSpPr>
      </xdr:nvSpPr>
      <xdr:spPr bwMode="auto">
        <a:xfrm>
          <a:off x="7953375" y="3952875"/>
          <a:ext cx="47625" cy="47625"/>
        </a:xfrm>
        <a:custGeom>
          <a:avLst/>
          <a:gdLst>
            <a:gd name="T0" fmla="*/ 0 w 68"/>
            <a:gd name="T1" fmla="*/ 0 h 101"/>
            <a:gd name="T2" fmla="*/ 0 w 68"/>
            <a:gd name="T3" fmla="*/ 0 h 101"/>
            <a:gd name="T4" fmla="*/ 0 w 68"/>
            <a:gd name="T5" fmla="*/ 0 h 101"/>
            <a:gd name="T6" fmla="*/ 0 w 68"/>
            <a:gd name="T7" fmla="*/ 0 h 101"/>
            <a:gd name="T8" fmla="*/ 0 w 68"/>
            <a:gd name="T9" fmla="*/ 0 h 101"/>
            <a:gd name="T10" fmla="*/ 0 w 68"/>
            <a:gd name="T11" fmla="*/ 0 h 101"/>
            <a:gd name="T12" fmla="*/ 0 w 68"/>
            <a:gd name="T13" fmla="*/ 0 h 101"/>
            <a:gd name="T14" fmla="*/ 0 w 68"/>
            <a:gd name="T15" fmla="*/ 0 h 101"/>
            <a:gd name="T16" fmla="*/ 0 w 68"/>
            <a:gd name="T17" fmla="*/ 0 h 101"/>
            <a:gd name="T18" fmla="*/ 0 w 68"/>
            <a:gd name="T19" fmla="*/ 0 h 101"/>
            <a:gd name="T20" fmla="*/ 0 w 68"/>
            <a:gd name="T21" fmla="*/ 0 h 101"/>
            <a:gd name="T22" fmla="*/ 0 w 68"/>
            <a:gd name="T23" fmla="*/ 0 h 101"/>
            <a:gd name="T24" fmla="*/ 0 w 68"/>
            <a:gd name="T25" fmla="*/ 0 h 101"/>
            <a:gd name="T26" fmla="*/ 0 w 68"/>
            <a:gd name="T27" fmla="*/ 0 h 101"/>
            <a:gd name="T28" fmla="*/ 2147483647 w 68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8"/>
            <a:gd name="T46" fmla="*/ 0 h 101"/>
            <a:gd name="T47" fmla="*/ 68 w 68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8" h="101">
              <a:moveTo>
                <a:pt x="36" y="101"/>
              </a:moveTo>
              <a:lnTo>
                <a:pt x="26" y="97"/>
              </a:lnTo>
              <a:lnTo>
                <a:pt x="16" y="89"/>
              </a:lnTo>
              <a:lnTo>
                <a:pt x="9" y="80"/>
              </a:lnTo>
              <a:lnTo>
                <a:pt x="3" y="69"/>
              </a:lnTo>
              <a:lnTo>
                <a:pt x="0" y="59"/>
              </a:lnTo>
              <a:lnTo>
                <a:pt x="0" y="47"/>
              </a:lnTo>
              <a:lnTo>
                <a:pt x="2" y="36"/>
              </a:lnTo>
              <a:lnTo>
                <a:pt x="7" y="25"/>
              </a:lnTo>
              <a:lnTo>
                <a:pt x="14" y="16"/>
              </a:lnTo>
              <a:lnTo>
                <a:pt x="23" y="8"/>
              </a:lnTo>
              <a:lnTo>
                <a:pt x="34" y="3"/>
              </a:lnTo>
              <a:lnTo>
                <a:pt x="44" y="0"/>
              </a:lnTo>
              <a:lnTo>
                <a:pt x="56" y="0"/>
              </a:lnTo>
              <a:lnTo>
                <a:pt x="68" y="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257175</xdr:colOff>
      <xdr:row>21</xdr:row>
      <xdr:rowOff>9525</xdr:rowOff>
    </xdr:from>
    <xdr:to>
      <xdr:col>14</xdr:col>
      <xdr:colOff>276225</xdr:colOff>
      <xdr:row>21</xdr:row>
      <xdr:rowOff>47625</xdr:rowOff>
    </xdr:to>
    <xdr:sp macro="" textlink="">
      <xdr:nvSpPr>
        <xdr:cNvPr id="12006" name="Freeform 144">
          <a:extLst>
            <a:ext uri="{FF2B5EF4-FFF2-40B4-BE49-F238E27FC236}">
              <a16:creationId xmlns:a16="http://schemas.microsoft.com/office/drawing/2014/main" id="{00000000-0008-0000-0900-0000E62E0000}"/>
            </a:ext>
          </a:extLst>
        </xdr:cNvPr>
        <xdr:cNvSpPr>
          <a:spLocks noChangeAspect="1"/>
        </xdr:cNvSpPr>
      </xdr:nvSpPr>
      <xdr:spPr bwMode="auto">
        <a:xfrm>
          <a:off x="7896225" y="3943350"/>
          <a:ext cx="19050" cy="38100"/>
        </a:xfrm>
        <a:custGeom>
          <a:avLst/>
          <a:gdLst>
            <a:gd name="T0" fmla="*/ 0 w 67"/>
            <a:gd name="T1" fmla="*/ 0 h 100"/>
            <a:gd name="T2" fmla="*/ 0 w 67"/>
            <a:gd name="T3" fmla="*/ 0 h 100"/>
            <a:gd name="T4" fmla="*/ 0 w 67"/>
            <a:gd name="T5" fmla="*/ 0 h 100"/>
            <a:gd name="T6" fmla="*/ 0 w 67"/>
            <a:gd name="T7" fmla="*/ 0 h 100"/>
            <a:gd name="T8" fmla="*/ 0 w 67"/>
            <a:gd name="T9" fmla="*/ 0 h 100"/>
            <a:gd name="T10" fmla="*/ 0 w 67"/>
            <a:gd name="T11" fmla="*/ 0 h 100"/>
            <a:gd name="T12" fmla="*/ 0 w 67"/>
            <a:gd name="T13" fmla="*/ 0 h 100"/>
            <a:gd name="T14" fmla="*/ 0 w 67"/>
            <a:gd name="T15" fmla="*/ 0 h 100"/>
            <a:gd name="T16" fmla="*/ 0 w 67"/>
            <a:gd name="T17" fmla="*/ 0 h 100"/>
            <a:gd name="T18" fmla="*/ 0 w 67"/>
            <a:gd name="T19" fmla="*/ 0 h 100"/>
            <a:gd name="T20" fmla="*/ 0 w 67"/>
            <a:gd name="T21" fmla="*/ 0 h 100"/>
            <a:gd name="T22" fmla="*/ 0 w 67"/>
            <a:gd name="T23" fmla="*/ 0 h 100"/>
            <a:gd name="T24" fmla="*/ 0 w 67"/>
            <a:gd name="T25" fmla="*/ 0 h 100"/>
            <a:gd name="T26" fmla="*/ 0 w 67"/>
            <a:gd name="T27" fmla="*/ 0 h 100"/>
            <a:gd name="T28" fmla="*/ 0 w 67"/>
            <a:gd name="T29" fmla="*/ 0 h 100"/>
            <a:gd name="T30" fmla="*/ 0 w 67"/>
            <a:gd name="T31" fmla="*/ 0 h 100"/>
            <a:gd name="T32" fmla="*/ 0 w 67"/>
            <a:gd name="T33" fmla="*/ 0 h 100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7"/>
            <a:gd name="T52" fmla="*/ 0 h 100"/>
            <a:gd name="T53" fmla="*/ 67 w 67"/>
            <a:gd name="T54" fmla="*/ 100 h 100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7" h="100">
              <a:moveTo>
                <a:pt x="15" y="49"/>
              </a:moveTo>
              <a:lnTo>
                <a:pt x="31" y="0"/>
              </a:lnTo>
              <a:lnTo>
                <a:pt x="42" y="4"/>
              </a:lnTo>
              <a:lnTo>
                <a:pt x="51" y="11"/>
              </a:lnTo>
              <a:lnTo>
                <a:pt x="58" y="21"/>
              </a:lnTo>
              <a:lnTo>
                <a:pt x="64" y="31"/>
              </a:lnTo>
              <a:lnTo>
                <a:pt x="67" y="42"/>
              </a:lnTo>
              <a:lnTo>
                <a:pt x="67" y="53"/>
              </a:lnTo>
              <a:lnTo>
                <a:pt x="65" y="65"/>
              </a:lnTo>
              <a:lnTo>
                <a:pt x="61" y="75"/>
              </a:lnTo>
              <a:lnTo>
                <a:pt x="53" y="85"/>
              </a:lnTo>
              <a:lnTo>
                <a:pt x="44" y="92"/>
              </a:lnTo>
              <a:lnTo>
                <a:pt x="33" y="97"/>
              </a:lnTo>
              <a:lnTo>
                <a:pt x="23" y="100"/>
              </a:lnTo>
              <a:lnTo>
                <a:pt x="11" y="100"/>
              </a:lnTo>
              <a:lnTo>
                <a:pt x="0" y="98"/>
              </a:lnTo>
              <a:lnTo>
                <a:pt x="15" y="4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257175</xdr:colOff>
      <xdr:row>21</xdr:row>
      <xdr:rowOff>9525</xdr:rowOff>
    </xdr:from>
    <xdr:to>
      <xdr:col>14</xdr:col>
      <xdr:colOff>276225</xdr:colOff>
      <xdr:row>21</xdr:row>
      <xdr:rowOff>47625</xdr:rowOff>
    </xdr:to>
    <xdr:sp macro="" textlink="">
      <xdr:nvSpPr>
        <xdr:cNvPr id="12007" name="Freeform 145">
          <a:extLst>
            <a:ext uri="{FF2B5EF4-FFF2-40B4-BE49-F238E27FC236}">
              <a16:creationId xmlns:a16="http://schemas.microsoft.com/office/drawing/2014/main" id="{00000000-0008-0000-0900-0000E72E0000}"/>
            </a:ext>
          </a:extLst>
        </xdr:cNvPr>
        <xdr:cNvSpPr>
          <a:spLocks noChangeAspect="1"/>
        </xdr:cNvSpPr>
      </xdr:nvSpPr>
      <xdr:spPr bwMode="auto">
        <a:xfrm>
          <a:off x="7896225" y="3943350"/>
          <a:ext cx="19050" cy="38100"/>
        </a:xfrm>
        <a:custGeom>
          <a:avLst/>
          <a:gdLst>
            <a:gd name="T0" fmla="*/ 0 w 67"/>
            <a:gd name="T1" fmla="*/ 0 h 100"/>
            <a:gd name="T2" fmla="*/ 0 w 67"/>
            <a:gd name="T3" fmla="*/ 0 h 100"/>
            <a:gd name="T4" fmla="*/ 0 w 67"/>
            <a:gd name="T5" fmla="*/ 0 h 100"/>
            <a:gd name="T6" fmla="*/ 0 w 67"/>
            <a:gd name="T7" fmla="*/ 0 h 100"/>
            <a:gd name="T8" fmla="*/ 0 w 67"/>
            <a:gd name="T9" fmla="*/ 0 h 100"/>
            <a:gd name="T10" fmla="*/ 0 w 67"/>
            <a:gd name="T11" fmla="*/ 0 h 100"/>
            <a:gd name="T12" fmla="*/ 0 w 67"/>
            <a:gd name="T13" fmla="*/ 0 h 100"/>
            <a:gd name="T14" fmla="*/ 0 w 67"/>
            <a:gd name="T15" fmla="*/ 0 h 100"/>
            <a:gd name="T16" fmla="*/ 0 w 67"/>
            <a:gd name="T17" fmla="*/ 0 h 100"/>
            <a:gd name="T18" fmla="*/ 0 w 67"/>
            <a:gd name="T19" fmla="*/ 0 h 100"/>
            <a:gd name="T20" fmla="*/ 0 w 67"/>
            <a:gd name="T21" fmla="*/ 0 h 100"/>
            <a:gd name="T22" fmla="*/ 0 w 67"/>
            <a:gd name="T23" fmla="*/ 0 h 100"/>
            <a:gd name="T24" fmla="*/ 0 w 67"/>
            <a:gd name="T25" fmla="*/ 0 h 100"/>
            <a:gd name="T26" fmla="*/ 0 w 67"/>
            <a:gd name="T27" fmla="*/ 0 h 100"/>
            <a:gd name="T28" fmla="*/ 0 w 67"/>
            <a:gd name="T29" fmla="*/ 0 h 100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7"/>
            <a:gd name="T46" fmla="*/ 0 h 100"/>
            <a:gd name="T47" fmla="*/ 67 w 67"/>
            <a:gd name="T48" fmla="*/ 100 h 100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7" h="100">
              <a:moveTo>
                <a:pt x="31" y="0"/>
              </a:moveTo>
              <a:lnTo>
                <a:pt x="42" y="4"/>
              </a:lnTo>
              <a:lnTo>
                <a:pt x="51" y="11"/>
              </a:lnTo>
              <a:lnTo>
                <a:pt x="58" y="21"/>
              </a:lnTo>
              <a:lnTo>
                <a:pt x="64" y="31"/>
              </a:lnTo>
              <a:lnTo>
                <a:pt x="67" y="42"/>
              </a:lnTo>
              <a:lnTo>
                <a:pt x="67" y="53"/>
              </a:lnTo>
              <a:lnTo>
                <a:pt x="65" y="65"/>
              </a:lnTo>
              <a:lnTo>
                <a:pt x="61" y="75"/>
              </a:lnTo>
              <a:lnTo>
                <a:pt x="53" y="85"/>
              </a:lnTo>
              <a:lnTo>
                <a:pt x="44" y="92"/>
              </a:lnTo>
              <a:lnTo>
                <a:pt x="33" y="97"/>
              </a:lnTo>
              <a:lnTo>
                <a:pt x="23" y="100"/>
              </a:lnTo>
              <a:lnTo>
                <a:pt x="11" y="100"/>
              </a:lnTo>
              <a:lnTo>
                <a:pt x="0" y="98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371475</xdr:colOff>
      <xdr:row>20</xdr:row>
      <xdr:rowOff>19050</xdr:rowOff>
    </xdr:from>
    <xdr:to>
      <xdr:col>14</xdr:col>
      <xdr:colOff>257175</xdr:colOff>
      <xdr:row>21</xdr:row>
      <xdr:rowOff>38100</xdr:rowOff>
    </xdr:to>
    <xdr:sp macro="" textlink="">
      <xdr:nvSpPr>
        <xdr:cNvPr id="12008" name="Freeform 146">
          <a:extLst>
            <a:ext uri="{FF2B5EF4-FFF2-40B4-BE49-F238E27FC236}">
              <a16:creationId xmlns:a16="http://schemas.microsoft.com/office/drawing/2014/main" id="{00000000-0008-0000-0900-0000E82E0000}"/>
            </a:ext>
          </a:extLst>
        </xdr:cNvPr>
        <xdr:cNvSpPr>
          <a:spLocks noChangeAspect="1"/>
        </xdr:cNvSpPr>
      </xdr:nvSpPr>
      <xdr:spPr bwMode="auto">
        <a:xfrm>
          <a:off x="7477125" y="3790950"/>
          <a:ext cx="419100" cy="180975"/>
        </a:xfrm>
        <a:custGeom>
          <a:avLst/>
          <a:gdLst>
            <a:gd name="T0" fmla="*/ 2147483647 w 904"/>
            <a:gd name="T1" fmla="*/ 2147483647 h 381"/>
            <a:gd name="T2" fmla="*/ 2147483647 w 904"/>
            <a:gd name="T3" fmla="*/ 2147483647 h 381"/>
            <a:gd name="T4" fmla="*/ 2147483647 w 904"/>
            <a:gd name="T5" fmla="*/ 2147483647 h 381"/>
            <a:gd name="T6" fmla="*/ 0 w 904"/>
            <a:gd name="T7" fmla="*/ 0 h 381"/>
            <a:gd name="T8" fmla="*/ 0 w 904"/>
            <a:gd name="T9" fmla="*/ 0 h 381"/>
            <a:gd name="T10" fmla="*/ 0 w 904"/>
            <a:gd name="T11" fmla="*/ 0 h 381"/>
            <a:gd name="T12" fmla="*/ 2147483647 w 904"/>
            <a:gd name="T13" fmla="*/ 2147483647 h 38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4"/>
            <a:gd name="T22" fmla="*/ 0 h 381"/>
            <a:gd name="T23" fmla="*/ 904 w 904"/>
            <a:gd name="T24" fmla="*/ 381 h 38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4" h="381">
              <a:moveTo>
                <a:pt x="873" y="381"/>
              </a:moveTo>
              <a:lnTo>
                <a:pt x="888" y="332"/>
              </a:lnTo>
              <a:lnTo>
                <a:pt x="904" y="283"/>
              </a:lnTo>
              <a:lnTo>
                <a:pt x="32" y="0"/>
              </a:lnTo>
              <a:lnTo>
                <a:pt x="16" y="50"/>
              </a:lnTo>
              <a:lnTo>
                <a:pt x="0" y="99"/>
              </a:lnTo>
              <a:lnTo>
                <a:pt x="873" y="38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371475</xdr:colOff>
      <xdr:row>20</xdr:row>
      <xdr:rowOff>19050</xdr:rowOff>
    </xdr:from>
    <xdr:to>
      <xdr:col>14</xdr:col>
      <xdr:colOff>257175</xdr:colOff>
      <xdr:row>21</xdr:row>
      <xdr:rowOff>38100</xdr:rowOff>
    </xdr:to>
    <xdr:sp macro="" textlink="">
      <xdr:nvSpPr>
        <xdr:cNvPr id="12009" name="Freeform 147">
          <a:extLst>
            <a:ext uri="{FF2B5EF4-FFF2-40B4-BE49-F238E27FC236}">
              <a16:creationId xmlns:a16="http://schemas.microsoft.com/office/drawing/2014/main" id="{00000000-0008-0000-0900-0000E92E0000}"/>
            </a:ext>
          </a:extLst>
        </xdr:cNvPr>
        <xdr:cNvSpPr>
          <a:spLocks noChangeAspect="1"/>
        </xdr:cNvSpPr>
      </xdr:nvSpPr>
      <xdr:spPr bwMode="auto">
        <a:xfrm>
          <a:off x="7477125" y="3790950"/>
          <a:ext cx="419100" cy="180975"/>
        </a:xfrm>
        <a:custGeom>
          <a:avLst/>
          <a:gdLst>
            <a:gd name="T0" fmla="*/ 2147483647 w 904"/>
            <a:gd name="T1" fmla="*/ 2147483647 h 381"/>
            <a:gd name="T2" fmla="*/ 2147483647 w 904"/>
            <a:gd name="T3" fmla="*/ 2147483647 h 381"/>
            <a:gd name="T4" fmla="*/ 2147483647 w 904"/>
            <a:gd name="T5" fmla="*/ 2147483647 h 381"/>
            <a:gd name="T6" fmla="*/ 0 w 904"/>
            <a:gd name="T7" fmla="*/ 0 h 381"/>
            <a:gd name="T8" fmla="*/ 0 w 904"/>
            <a:gd name="T9" fmla="*/ 0 h 381"/>
            <a:gd name="T10" fmla="*/ 0 w 904"/>
            <a:gd name="T11" fmla="*/ 0 h 381"/>
            <a:gd name="T12" fmla="*/ 2147483647 w 904"/>
            <a:gd name="T13" fmla="*/ 2147483647 h 38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4"/>
            <a:gd name="T22" fmla="*/ 0 h 381"/>
            <a:gd name="T23" fmla="*/ 904 w 904"/>
            <a:gd name="T24" fmla="*/ 381 h 38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4" h="381">
              <a:moveTo>
                <a:pt x="873" y="381"/>
              </a:moveTo>
              <a:lnTo>
                <a:pt x="888" y="332"/>
              </a:lnTo>
              <a:lnTo>
                <a:pt x="904" y="283"/>
              </a:lnTo>
              <a:lnTo>
                <a:pt x="32" y="0"/>
              </a:lnTo>
              <a:lnTo>
                <a:pt x="16" y="50"/>
              </a:lnTo>
              <a:lnTo>
                <a:pt x="0" y="99"/>
              </a:lnTo>
              <a:lnTo>
                <a:pt x="873" y="38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352425</xdr:colOff>
      <xdr:row>20</xdr:row>
      <xdr:rowOff>19050</xdr:rowOff>
    </xdr:from>
    <xdr:to>
      <xdr:col>13</xdr:col>
      <xdr:colOff>400050</xdr:colOff>
      <xdr:row>20</xdr:row>
      <xdr:rowOff>66675</xdr:rowOff>
    </xdr:to>
    <xdr:sp macro="" textlink="">
      <xdr:nvSpPr>
        <xdr:cNvPr id="12010" name="Freeform 148">
          <a:extLst>
            <a:ext uri="{FF2B5EF4-FFF2-40B4-BE49-F238E27FC236}">
              <a16:creationId xmlns:a16="http://schemas.microsoft.com/office/drawing/2014/main" id="{00000000-0008-0000-0900-0000EA2E0000}"/>
            </a:ext>
          </a:extLst>
        </xdr:cNvPr>
        <xdr:cNvSpPr>
          <a:spLocks noChangeAspect="1"/>
        </xdr:cNvSpPr>
      </xdr:nvSpPr>
      <xdr:spPr bwMode="auto">
        <a:xfrm>
          <a:off x="7458075" y="3790950"/>
          <a:ext cx="47625" cy="47625"/>
        </a:xfrm>
        <a:custGeom>
          <a:avLst/>
          <a:gdLst>
            <a:gd name="T0" fmla="*/ 0 w 68"/>
            <a:gd name="T1" fmla="*/ 0 h 101"/>
            <a:gd name="T2" fmla="*/ 0 w 68"/>
            <a:gd name="T3" fmla="*/ 0 h 101"/>
            <a:gd name="T4" fmla="*/ 0 w 68"/>
            <a:gd name="T5" fmla="*/ 0 h 101"/>
            <a:gd name="T6" fmla="*/ 0 w 68"/>
            <a:gd name="T7" fmla="*/ 0 h 101"/>
            <a:gd name="T8" fmla="*/ 0 w 68"/>
            <a:gd name="T9" fmla="*/ 0 h 101"/>
            <a:gd name="T10" fmla="*/ 0 w 68"/>
            <a:gd name="T11" fmla="*/ 0 h 101"/>
            <a:gd name="T12" fmla="*/ 0 w 68"/>
            <a:gd name="T13" fmla="*/ 0 h 101"/>
            <a:gd name="T14" fmla="*/ 0 w 68"/>
            <a:gd name="T15" fmla="*/ 0 h 101"/>
            <a:gd name="T16" fmla="*/ 0 w 68"/>
            <a:gd name="T17" fmla="*/ 0 h 101"/>
            <a:gd name="T18" fmla="*/ 0 w 68"/>
            <a:gd name="T19" fmla="*/ 0 h 101"/>
            <a:gd name="T20" fmla="*/ 0 w 68"/>
            <a:gd name="T21" fmla="*/ 0 h 101"/>
            <a:gd name="T22" fmla="*/ 0 w 68"/>
            <a:gd name="T23" fmla="*/ 0 h 101"/>
            <a:gd name="T24" fmla="*/ 0 w 68"/>
            <a:gd name="T25" fmla="*/ 0 h 101"/>
            <a:gd name="T26" fmla="*/ 0 w 68"/>
            <a:gd name="T27" fmla="*/ 0 h 101"/>
            <a:gd name="T28" fmla="*/ 0 w 68"/>
            <a:gd name="T29" fmla="*/ 0 h 101"/>
            <a:gd name="T30" fmla="*/ 0 w 68"/>
            <a:gd name="T31" fmla="*/ 0 h 101"/>
            <a:gd name="T32" fmla="*/ 0 w 68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8"/>
            <a:gd name="T52" fmla="*/ 0 h 101"/>
            <a:gd name="T53" fmla="*/ 68 w 68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8" h="101">
              <a:moveTo>
                <a:pt x="52" y="52"/>
              </a:moveTo>
              <a:lnTo>
                <a:pt x="36" y="101"/>
              </a:lnTo>
              <a:lnTo>
                <a:pt x="26" y="97"/>
              </a:lnTo>
              <a:lnTo>
                <a:pt x="16" y="89"/>
              </a:lnTo>
              <a:lnTo>
                <a:pt x="9" y="80"/>
              </a:lnTo>
              <a:lnTo>
                <a:pt x="4" y="69"/>
              </a:lnTo>
              <a:lnTo>
                <a:pt x="0" y="59"/>
              </a:lnTo>
              <a:lnTo>
                <a:pt x="0" y="47"/>
              </a:lnTo>
              <a:lnTo>
                <a:pt x="2" y="36"/>
              </a:lnTo>
              <a:lnTo>
                <a:pt x="7" y="25"/>
              </a:lnTo>
              <a:lnTo>
                <a:pt x="14" y="16"/>
              </a:lnTo>
              <a:lnTo>
                <a:pt x="23" y="9"/>
              </a:lnTo>
              <a:lnTo>
                <a:pt x="34" y="3"/>
              </a:lnTo>
              <a:lnTo>
                <a:pt x="44" y="0"/>
              </a:lnTo>
              <a:lnTo>
                <a:pt x="56" y="0"/>
              </a:lnTo>
              <a:lnTo>
                <a:pt x="68" y="2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352425</xdr:colOff>
      <xdr:row>20</xdr:row>
      <xdr:rowOff>19050</xdr:rowOff>
    </xdr:from>
    <xdr:to>
      <xdr:col>13</xdr:col>
      <xdr:colOff>400050</xdr:colOff>
      <xdr:row>20</xdr:row>
      <xdr:rowOff>66675</xdr:rowOff>
    </xdr:to>
    <xdr:sp macro="" textlink="">
      <xdr:nvSpPr>
        <xdr:cNvPr id="12011" name="Freeform 149">
          <a:extLst>
            <a:ext uri="{FF2B5EF4-FFF2-40B4-BE49-F238E27FC236}">
              <a16:creationId xmlns:a16="http://schemas.microsoft.com/office/drawing/2014/main" id="{00000000-0008-0000-0900-0000EB2E0000}"/>
            </a:ext>
          </a:extLst>
        </xdr:cNvPr>
        <xdr:cNvSpPr>
          <a:spLocks noChangeAspect="1"/>
        </xdr:cNvSpPr>
      </xdr:nvSpPr>
      <xdr:spPr bwMode="auto">
        <a:xfrm>
          <a:off x="7458075" y="3790950"/>
          <a:ext cx="47625" cy="47625"/>
        </a:xfrm>
        <a:custGeom>
          <a:avLst/>
          <a:gdLst>
            <a:gd name="T0" fmla="*/ 0 w 68"/>
            <a:gd name="T1" fmla="*/ 0 h 101"/>
            <a:gd name="T2" fmla="*/ 0 w 68"/>
            <a:gd name="T3" fmla="*/ 0 h 101"/>
            <a:gd name="T4" fmla="*/ 0 w 68"/>
            <a:gd name="T5" fmla="*/ 0 h 101"/>
            <a:gd name="T6" fmla="*/ 0 w 68"/>
            <a:gd name="T7" fmla="*/ 0 h 101"/>
            <a:gd name="T8" fmla="*/ 0 w 68"/>
            <a:gd name="T9" fmla="*/ 0 h 101"/>
            <a:gd name="T10" fmla="*/ 0 w 68"/>
            <a:gd name="T11" fmla="*/ 0 h 101"/>
            <a:gd name="T12" fmla="*/ 0 w 68"/>
            <a:gd name="T13" fmla="*/ 0 h 101"/>
            <a:gd name="T14" fmla="*/ 0 w 68"/>
            <a:gd name="T15" fmla="*/ 0 h 101"/>
            <a:gd name="T16" fmla="*/ 0 w 68"/>
            <a:gd name="T17" fmla="*/ 0 h 101"/>
            <a:gd name="T18" fmla="*/ 0 w 68"/>
            <a:gd name="T19" fmla="*/ 0 h 101"/>
            <a:gd name="T20" fmla="*/ 0 w 68"/>
            <a:gd name="T21" fmla="*/ 0 h 101"/>
            <a:gd name="T22" fmla="*/ 0 w 68"/>
            <a:gd name="T23" fmla="*/ 0 h 101"/>
            <a:gd name="T24" fmla="*/ 0 w 68"/>
            <a:gd name="T25" fmla="*/ 0 h 101"/>
            <a:gd name="T26" fmla="*/ 0 w 68"/>
            <a:gd name="T27" fmla="*/ 0 h 101"/>
            <a:gd name="T28" fmla="*/ 0 w 68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8"/>
            <a:gd name="T46" fmla="*/ 0 h 101"/>
            <a:gd name="T47" fmla="*/ 68 w 68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8" h="101">
              <a:moveTo>
                <a:pt x="36" y="101"/>
              </a:moveTo>
              <a:lnTo>
                <a:pt x="26" y="97"/>
              </a:lnTo>
              <a:lnTo>
                <a:pt x="16" y="89"/>
              </a:lnTo>
              <a:lnTo>
                <a:pt x="9" y="80"/>
              </a:lnTo>
              <a:lnTo>
                <a:pt x="4" y="69"/>
              </a:lnTo>
              <a:lnTo>
                <a:pt x="0" y="59"/>
              </a:lnTo>
              <a:lnTo>
                <a:pt x="0" y="47"/>
              </a:lnTo>
              <a:lnTo>
                <a:pt x="2" y="36"/>
              </a:lnTo>
              <a:lnTo>
                <a:pt x="7" y="25"/>
              </a:lnTo>
              <a:lnTo>
                <a:pt x="14" y="16"/>
              </a:lnTo>
              <a:lnTo>
                <a:pt x="23" y="9"/>
              </a:lnTo>
              <a:lnTo>
                <a:pt x="34" y="3"/>
              </a:lnTo>
              <a:lnTo>
                <a:pt x="44" y="0"/>
              </a:lnTo>
              <a:lnTo>
                <a:pt x="56" y="0"/>
              </a:lnTo>
              <a:lnTo>
                <a:pt x="68" y="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276225</xdr:colOff>
      <xdr:row>19</xdr:row>
      <xdr:rowOff>142875</xdr:rowOff>
    </xdr:from>
    <xdr:to>
      <xdr:col>13</xdr:col>
      <xdr:colOff>304800</xdr:colOff>
      <xdr:row>20</xdr:row>
      <xdr:rowOff>47625</xdr:rowOff>
    </xdr:to>
    <xdr:sp macro="" textlink="">
      <xdr:nvSpPr>
        <xdr:cNvPr id="12012" name="Freeform 150">
          <a:extLst>
            <a:ext uri="{FF2B5EF4-FFF2-40B4-BE49-F238E27FC236}">
              <a16:creationId xmlns:a16="http://schemas.microsoft.com/office/drawing/2014/main" id="{00000000-0008-0000-0900-0000EC2E0000}"/>
            </a:ext>
          </a:extLst>
        </xdr:cNvPr>
        <xdr:cNvSpPr>
          <a:spLocks noChangeAspect="1"/>
        </xdr:cNvSpPr>
      </xdr:nvSpPr>
      <xdr:spPr bwMode="auto">
        <a:xfrm>
          <a:off x="7381875" y="3752850"/>
          <a:ext cx="28575" cy="6667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w 67"/>
            <a:gd name="T31" fmla="*/ 0 h 101"/>
            <a:gd name="T32" fmla="*/ 0 w 67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7"/>
            <a:gd name="T52" fmla="*/ 0 h 101"/>
            <a:gd name="T53" fmla="*/ 67 w 67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7" h="101">
              <a:moveTo>
                <a:pt x="15" y="49"/>
              </a:moveTo>
              <a:lnTo>
                <a:pt x="31" y="0"/>
              </a:lnTo>
              <a:lnTo>
                <a:pt x="42" y="4"/>
              </a:lnTo>
              <a:lnTo>
                <a:pt x="51" y="11"/>
              </a:lnTo>
              <a:lnTo>
                <a:pt x="58" y="21"/>
              </a:lnTo>
              <a:lnTo>
                <a:pt x="64" y="31"/>
              </a:lnTo>
              <a:lnTo>
                <a:pt x="67" y="42"/>
              </a:lnTo>
              <a:lnTo>
                <a:pt x="67" y="53"/>
              </a:lnTo>
              <a:lnTo>
                <a:pt x="65" y="65"/>
              </a:lnTo>
              <a:lnTo>
                <a:pt x="61" y="75"/>
              </a:lnTo>
              <a:lnTo>
                <a:pt x="53" y="85"/>
              </a:lnTo>
              <a:lnTo>
                <a:pt x="44" y="92"/>
              </a:lnTo>
              <a:lnTo>
                <a:pt x="33" y="98"/>
              </a:lnTo>
              <a:lnTo>
                <a:pt x="23" y="101"/>
              </a:lnTo>
              <a:lnTo>
                <a:pt x="11" y="101"/>
              </a:lnTo>
              <a:lnTo>
                <a:pt x="0" y="99"/>
              </a:lnTo>
              <a:lnTo>
                <a:pt x="15" y="4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276225</xdr:colOff>
      <xdr:row>19</xdr:row>
      <xdr:rowOff>142875</xdr:rowOff>
    </xdr:from>
    <xdr:to>
      <xdr:col>13</xdr:col>
      <xdr:colOff>304800</xdr:colOff>
      <xdr:row>20</xdr:row>
      <xdr:rowOff>47625</xdr:rowOff>
    </xdr:to>
    <xdr:sp macro="" textlink="">
      <xdr:nvSpPr>
        <xdr:cNvPr id="12013" name="Freeform 151">
          <a:extLst>
            <a:ext uri="{FF2B5EF4-FFF2-40B4-BE49-F238E27FC236}">
              <a16:creationId xmlns:a16="http://schemas.microsoft.com/office/drawing/2014/main" id="{00000000-0008-0000-0900-0000ED2E0000}"/>
            </a:ext>
          </a:extLst>
        </xdr:cNvPr>
        <xdr:cNvSpPr>
          <a:spLocks noChangeAspect="1"/>
        </xdr:cNvSpPr>
      </xdr:nvSpPr>
      <xdr:spPr bwMode="auto">
        <a:xfrm>
          <a:off x="7381875" y="3752850"/>
          <a:ext cx="28575" cy="6667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7"/>
            <a:gd name="T46" fmla="*/ 0 h 101"/>
            <a:gd name="T47" fmla="*/ 67 w 67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7" h="101">
              <a:moveTo>
                <a:pt x="31" y="0"/>
              </a:moveTo>
              <a:lnTo>
                <a:pt x="42" y="4"/>
              </a:lnTo>
              <a:lnTo>
                <a:pt x="51" y="11"/>
              </a:lnTo>
              <a:lnTo>
                <a:pt x="58" y="21"/>
              </a:lnTo>
              <a:lnTo>
                <a:pt x="64" y="31"/>
              </a:lnTo>
              <a:lnTo>
                <a:pt x="67" y="42"/>
              </a:lnTo>
              <a:lnTo>
                <a:pt x="67" y="53"/>
              </a:lnTo>
              <a:lnTo>
                <a:pt x="65" y="65"/>
              </a:lnTo>
              <a:lnTo>
                <a:pt x="61" y="75"/>
              </a:lnTo>
              <a:lnTo>
                <a:pt x="53" y="85"/>
              </a:lnTo>
              <a:lnTo>
                <a:pt x="44" y="92"/>
              </a:lnTo>
              <a:lnTo>
                <a:pt x="33" y="98"/>
              </a:lnTo>
              <a:lnTo>
                <a:pt x="23" y="101"/>
              </a:lnTo>
              <a:lnTo>
                <a:pt x="11" y="101"/>
              </a:lnTo>
              <a:lnTo>
                <a:pt x="0" y="99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409575</xdr:colOff>
      <xdr:row>19</xdr:row>
      <xdr:rowOff>9525</xdr:rowOff>
    </xdr:from>
    <xdr:to>
      <xdr:col>13</xdr:col>
      <xdr:colOff>295275</xdr:colOff>
      <xdr:row>20</xdr:row>
      <xdr:rowOff>38100</xdr:rowOff>
    </xdr:to>
    <xdr:sp macro="" textlink="">
      <xdr:nvSpPr>
        <xdr:cNvPr id="12014" name="Freeform 152">
          <a:extLst>
            <a:ext uri="{FF2B5EF4-FFF2-40B4-BE49-F238E27FC236}">
              <a16:creationId xmlns:a16="http://schemas.microsoft.com/office/drawing/2014/main" id="{00000000-0008-0000-0900-0000EE2E0000}"/>
            </a:ext>
          </a:extLst>
        </xdr:cNvPr>
        <xdr:cNvSpPr>
          <a:spLocks noChangeAspect="1"/>
        </xdr:cNvSpPr>
      </xdr:nvSpPr>
      <xdr:spPr bwMode="auto">
        <a:xfrm>
          <a:off x="6981825" y="3619500"/>
          <a:ext cx="419100" cy="190500"/>
        </a:xfrm>
        <a:custGeom>
          <a:avLst/>
          <a:gdLst>
            <a:gd name="T0" fmla="*/ 2147483647 w 904"/>
            <a:gd name="T1" fmla="*/ 2147483647 h 382"/>
            <a:gd name="T2" fmla="*/ 2147483647 w 904"/>
            <a:gd name="T3" fmla="*/ 2147483647 h 382"/>
            <a:gd name="T4" fmla="*/ 2147483647 w 904"/>
            <a:gd name="T5" fmla="*/ 2147483647 h 382"/>
            <a:gd name="T6" fmla="*/ 0 w 904"/>
            <a:gd name="T7" fmla="*/ 0 h 382"/>
            <a:gd name="T8" fmla="*/ 0 w 904"/>
            <a:gd name="T9" fmla="*/ 0 h 382"/>
            <a:gd name="T10" fmla="*/ 0 w 904"/>
            <a:gd name="T11" fmla="*/ 0 h 382"/>
            <a:gd name="T12" fmla="*/ 2147483647 w 904"/>
            <a:gd name="T13" fmla="*/ 2147483647 h 38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4"/>
            <a:gd name="T22" fmla="*/ 0 h 382"/>
            <a:gd name="T23" fmla="*/ 904 w 904"/>
            <a:gd name="T24" fmla="*/ 382 h 38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4" h="382">
              <a:moveTo>
                <a:pt x="873" y="382"/>
              </a:moveTo>
              <a:lnTo>
                <a:pt x="888" y="332"/>
              </a:lnTo>
              <a:lnTo>
                <a:pt x="904" y="283"/>
              </a:lnTo>
              <a:lnTo>
                <a:pt x="32" y="0"/>
              </a:lnTo>
              <a:lnTo>
                <a:pt x="16" y="50"/>
              </a:lnTo>
              <a:lnTo>
                <a:pt x="0" y="99"/>
              </a:lnTo>
              <a:lnTo>
                <a:pt x="873" y="38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409575</xdr:colOff>
      <xdr:row>19</xdr:row>
      <xdr:rowOff>9525</xdr:rowOff>
    </xdr:from>
    <xdr:to>
      <xdr:col>13</xdr:col>
      <xdr:colOff>295275</xdr:colOff>
      <xdr:row>20</xdr:row>
      <xdr:rowOff>38100</xdr:rowOff>
    </xdr:to>
    <xdr:sp macro="" textlink="">
      <xdr:nvSpPr>
        <xdr:cNvPr id="12015" name="Freeform 153">
          <a:extLst>
            <a:ext uri="{FF2B5EF4-FFF2-40B4-BE49-F238E27FC236}">
              <a16:creationId xmlns:a16="http://schemas.microsoft.com/office/drawing/2014/main" id="{00000000-0008-0000-0900-0000EF2E0000}"/>
            </a:ext>
          </a:extLst>
        </xdr:cNvPr>
        <xdr:cNvSpPr>
          <a:spLocks noChangeAspect="1"/>
        </xdr:cNvSpPr>
      </xdr:nvSpPr>
      <xdr:spPr bwMode="auto">
        <a:xfrm>
          <a:off x="6981825" y="3619500"/>
          <a:ext cx="419100" cy="190500"/>
        </a:xfrm>
        <a:custGeom>
          <a:avLst/>
          <a:gdLst>
            <a:gd name="T0" fmla="*/ 2147483647 w 904"/>
            <a:gd name="T1" fmla="*/ 2147483647 h 382"/>
            <a:gd name="T2" fmla="*/ 2147483647 w 904"/>
            <a:gd name="T3" fmla="*/ 2147483647 h 382"/>
            <a:gd name="T4" fmla="*/ 2147483647 w 904"/>
            <a:gd name="T5" fmla="*/ 2147483647 h 382"/>
            <a:gd name="T6" fmla="*/ 0 w 904"/>
            <a:gd name="T7" fmla="*/ 0 h 382"/>
            <a:gd name="T8" fmla="*/ 0 w 904"/>
            <a:gd name="T9" fmla="*/ 0 h 382"/>
            <a:gd name="T10" fmla="*/ 0 w 904"/>
            <a:gd name="T11" fmla="*/ 0 h 382"/>
            <a:gd name="T12" fmla="*/ 2147483647 w 904"/>
            <a:gd name="T13" fmla="*/ 2147483647 h 38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4"/>
            <a:gd name="T22" fmla="*/ 0 h 382"/>
            <a:gd name="T23" fmla="*/ 904 w 904"/>
            <a:gd name="T24" fmla="*/ 382 h 38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4" h="382">
              <a:moveTo>
                <a:pt x="873" y="382"/>
              </a:moveTo>
              <a:lnTo>
                <a:pt x="888" y="332"/>
              </a:lnTo>
              <a:lnTo>
                <a:pt x="904" y="283"/>
              </a:lnTo>
              <a:lnTo>
                <a:pt x="32" y="0"/>
              </a:lnTo>
              <a:lnTo>
                <a:pt x="16" y="50"/>
              </a:lnTo>
              <a:lnTo>
                <a:pt x="0" y="99"/>
              </a:lnTo>
              <a:lnTo>
                <a:pt x="873" y="38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85725</xdr:colOff>
      <xdr:row>18</xdr:row>
      <xdr:rowOff>47625</xdr:rowOff>
    </xdr:from>
    <xdr:to>
      <xdr:col>12</xdr:col>
      <xdr:colOff>342900</xdr:colOff>
      <xdr:row>19</xdr:row>
      <xdr:rowOff>38100</xdr:rowOff>
    </xdr:to>
    <xdr:sp macro="" textlink="">
      <xdr:nvSpPr>
        <xdr:cNvPr id="12016" name="Freeform 158">
          <a:extLst>
            <a:ext uri="{FF2B5EF4-FFF2-40B4-BE49-F238E27FC236}">
              <a16:creationId xmlns:a16="http://schemas.microsoft.com/office/drawing/2014/main" id="{00000000-0008-0000-0900-0000F02E0000}"/>
            </a:ext>
          </a:extLst>
        </xdr:cNvPr>
        <xdr:cNvSpPr>
          <a:spLocks noChangeAspect="1"/>
        </xdr:cNvSpPr>
      </xdr:nvSpPr>
      <xdr:spPr bwMode="auto">
        <a:xfrm>
          <a:off x="6657975" y="3495675"/>
          <a:ext cx="257175" cy="152400"/>
        </a:xfrm>
        <a:custGeom>
          <a:avLst/>
          <a:gdLst>
            <a:gd name="T0" fmla="*/ 2147483647 w 472"/>
            <a:gd name="T1" fmla="*/ 2147483647 h 242"/>
            <a:gd name="T2" fmla="*/ 2147483647 w 472"/>
            <a:gd name="T3" fmla="*/ 2147483647 h 242"/>
            <a:gd name="T4" fmla="*/ 2147483647 w 472"/>
            <a:gd name="T5" fmla="*/ 2147483647 h 242"/>
            <a:gd name="T6" fmla="*/ 0 w 472"/>
            <a:gd name="T7" fmla="*/ 0 h 242"/>
            <a:gd name="T8" fmla="*/ 0 w 472"/>
            <a:gd name="T9" fmla="*/ 0 h 242"/>
            <a:gd name="T10" fmla="*/ 0 w 472"/>
            <a:gd name="T11" fmla="*/ 0 h 242"/>
            <a:gd name="T12" fmla="*/ 2147483647 w 472"/>
            <a:gd name="T13" fmla="*/ 2147483647 h 24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72"/>
            <a:gd name="T22" fmla="*/ 0 h 242"/>
            <a:gd name="T23" fmla="*/ 472 w 472"/>
            <a:gd name="T24" fmla="*/ 242 h 24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72" h="242">
              <a:moveTo>
                <a:pt x="441" y="242"/>
              </a:moveTo>
              <a:lnTo>
                <a:pt x="457" y="192"/>
              </a:lnTo>
              <a:lnTo>
                <a:pt x="472" y="143"/>
              </a:lnTo>
              <a:lnTo>
                <a:pt x="31" y="0"/>
              </a:lnTo>
              <a:lnTo>
                <a:pt x="16" y="50"/>
              </a:lnTo>
              <a:lnTo>
                <a:pt x="0" y="99"/>
              </a:lnTo>
              <a:lnTo>
                <a:pt x="441" y="24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219075</xdr:colOff>
      <xdr:row>35</xdr:row>
      <xdr:rowOff>19050</xdr:rowOff>
    </xdr:from>
    <xdr:to>
      <xdr:col>19</xdr:col>
      <xdr:colOff>0</xdr:colOff>
      <xdr:row>35</xdr:row>
      <xdr:rowOff>47625</xdr:rowOff>
    </xdr:to>
    <xdr:sp macro="" textlink="">
      <xdr:nvSpPr>
        <xdr:cNvPr id="12017" name="Freeform 162">
          <a:extLst>
            <a:ext uri="{FF2B5EF4-FFF2-40B4-BE49-F238E27FC236}">
              <a16:creationId xmlns:a16="http://schemas.microsoft.com/office/drawing/2014/main" id="{00000000-0008-0000-0900-0000F12E0000}"/>
            </a:ext>
          </a:extLst>
        </xdr:cNvPr>
        <xdr:cNvSpPr>
          <a:spLocks noChangeAspect="1"/>
        </xdr:cNvSpPr>
      </xdr:nvSpPr>
      <xdr:spPr bwMode="auto">
        <a:xfrm>
          <a:off x="9744075" y="6219825"/>
          <a:ext cx="85725" cy="28575"/>
        </a:xfrm>
        <a:custGeom>
          <a:avLst/>
          <a:gdLst>
            <a:gd name="T0" fmla="*/ 0 w 96"/>
            <a:gd name="T1" fmla="*/ 0 h 78"/>
            <a:gd name="T2" fmla="*/ 0 w 96"/>
            <a:gd name="T3" fmla="*/ 0 h 78"/>
            <a:gd name="T4" fmla="*/ 0 w 96"/>
            <a:gd name="T5" fmla="*/ 0 h 78"/>
            <a:gd name="T6" fmla="*/ 0 w 96"/>
            <a:gd name="T7" fmla="*/ 0 h 78"/>
            <a:gd name="T8" fmla="*/ 0 w 96"/>
            <a:gd name="T9" fmla="*/ 0 h 78"/>
            <a:gd name="T10" fmla="*/ 0 w 96"/>
            <a:gd name="T11" fmla="*/ 0 h 78"/>
            <a:gd name="T12" fmla="*/ 0 w 96"/>
            <a:gd name="T13" fmla="*/ 0 h 78"/>
            <a:gd name="T14" fmla="*/ 0 w 96"/>
            <a:gd name="T15" fmla="*/ 0 h 78"/>
            <a:gd name="T16" fmla="*/ 0 w 96"/>
            <a:gd name="T17" fmla="*/ 0 h 78"/>
            <a:gd name="T18" fmla="*/ 0 w 96"/>
            <a:gd name="T19" fmla="*/ 0 h 78"/>
            <a:gd name="T20" fmla="*/ 0 w 96"/>
            <a:gd name="T21" fmla="*/ 0 h 78"/>
            <a:gd name="T22" fmla="*/ 0 w 96"/>
            <a:gd name="T23" fmla="*/ 0 h 78"/>
            <a:gd name="T24" fmla="*/ 0 w 96"/>
            <a:gd name="T25" fmla="*/ 0 h 78"/>
            <a:gd name="T26" fmla="*/ 0 w 96"/>
            <a:gd name="T27" fmla="*/ 0 h 78"/>
            <a:gd name="T28" fmla="*/ 0 w 96"/>
            <a:gd name="T29" fmla="*/ 0 h 78"/>
            <a:gd name="T30" fmla="*/ 0 w 96"/>
            <a:gd name="T31" fmla="*/ 0 h 78"/>
            <a:gd name="T32" fmla="*/ 0 w 96"/>
            <a:gd name="T33" fmla="*/ 0 h 78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96"/>
            <a:gd name="T52" fmla="*/ 0 h 78"/>
            <a:gd name="T53" fmla="*/ 96 w 96"/>
            <a:gd name="T54" fmla="*/ 78 h 78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96" h="78">
              <a:moveTo>
                <a:pt x="52" y="27"/>
              </a:moveTo>
              <a:lnTo>
                <a:pt x="96" y="54"/>
              </a:lnTo>
              <a:lnTo>
                <a:pt x="89" y="64"/>
              </a:lnTo>
              <a:lnTo>
                <a:pt x="80" y="71"/>
              </a:lnTo>
              <a:lnTo>
                <a:pt x="70" y="76"/>
              </a:lnTo>
              <a:lnTo>
                <a:pt x="58" y="78"/>
              </a:lnTo>
              <a:lnTo>
                <a:pt x="47" y="78"/>
              </a:lnTo>
              <a:lnTo>
                <a:pt x="35" y="76"/>
              </a:lnTo>
              <a:lnTo>
                <a:pt x="25" y="71"/>
              </a:lnTo>
              <a:lnTo>
                <a:pt x="15" y="64"/>
              </a:lnTo>
              <a:lnTo>
                <a:pt x="8" y="55"/>
              </a:lnTo>
              <a:lnTo>
                <a:pt x="3" y="45"/>
              </a:lnTo>
              <a:lnTo>
                <a:pt x="0" y="33"/>
              </a:lnTo>
              <a:lnTo>
                <a:pt x="0" y="22"/>
              </a:lnTo>
              <a:lnTo>
                <a:pt x="3" y="10"/>
              </a:lnTo>
              <a:lnTo>
                <a:pt x="8" y="0"/>
              </a:lnTo>
              <a:lnTo>
                <a:pt x="52" y="27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219075</xdr:colOff>
      <xdr:row>35</xdr:row>
      <xdr:rowOff>19050</xdr:rowOff>
    </xdr:from>
    <xdr:to>
      <xdr:col>19</xdr:col>
      <xdr:colOff>0</xdr:colOff>
      <xdr:row>35</xdr:row>
      <xdr:rowOff>47625</xdr:rowOff>
    </xdr:to>
    <xdr:sp macro="" textlink="">
      <xdr:nvSpPr>
        <xdr:cNvPr id="12018" name="Freeform 163">
          <a:extLst>
            <a:ext uri="{FF2B5EF4-FFF2-40B4-BE49-F238E27FC236}">
              <a16:creationId xmlns:a16="http://schemas.microsoft.com/office/drawing/2014/main" id="{00000000-0008-0000-0900-0000F22E0000}"/>
            </a:ext>
          </a:extLst>
        </xdr:cNvPr>
        <xdr:cNvSpPr>
          <a:spLocks noChangeAspect="1"/>
        </xdr:cNvSpPr>
      </xdr:nvSpPr>
      <xdr:spPr bwMode="auto">
        <a:xfrm>
          <a:off x="9744075" y="6219825"/>
          <a:ext cx="85725" cy="28575"/>
        </a:xfrm>
        <a:custGeom>
          <a:avLst/>
          <a:gdLst>
            <a:gd name="T0" fmla="*/ 0 w 96"/>
            <a:gd name="T1" fmla="*/ 0 h 78"/>
            <a:gd name="T2" fmla="*/ 0 w 96"/>
            <a:gd name="T3" fmla="*/ 0 h 78"/>
            <a:gd name="T4" fmla="*/ 0 w 96"/>
            <a:gd name="T5" fmla="*/ 0 h 78"/>
            <a:gd name="T6" fmla="*/ 0 w 96"/>
            <a:gd name="T7" fmla="*/ 0 h 78"/>
            <a:gd name="T8" fmla="*/ 0 w 96"/>
            <a:gd name="T9" fmla="*/ 0 h 78"/>
            <a:gd name="T10" fmla="*/ 0 w 96"/>
            <a:gd name="T11" fmla="*/ 0 h 78"/>
            <a:gd name="T12" fmla="*/ 0 w 96"/>
            <a:gd name="T13" fmla="*/ 0 h 78"/>
            <a:gd name="T14" fmla="*/ 0 w 96"/>
            <a:gd name="T15" fmla="*/ 0 h 78"/>
            <a:gd name="T16" fmla="*/ 0 w 96"/>
            <a:gd name="T17" fmla="*/ 0 h 78"/>
            <a:gd name="T18" fmla="*/ 0 w 96"/>
            <a:gd name="T19" fmla="*/ 0 h 78"/>
            <a:gd name="T20" fmla="*/ 0 w 96"/>
            <a:gd name="T21" fmla="*/ 0 h 78"/>
            <a:gd name="T22" fmla="*/ 0 w 96"/>
            <a:gd name="T23" fmla="*/ 0 h 78"/>
            <a:gd name="T24" fmla="*/ 0 w 96"/>
            <a:gd name="T25" fmla="*/ 0 h 78"/>
            <a:gd name="T26" fmla="*/ 0 w 96"/>
            <a:gd name="T27" fmla="*/ 0 h 78"/>
            <a:gd name="T28" fmla="*/ 0 w 96"/>
            <a:gd name="T29" fmla="*/ 0 h 78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96"/>
            <a:gd name="T46" fmla="*/ 0 h 78"/>
            <a:gd name="T47" fmla="*/ 96 w 96"/>
            <a:gd name="T48" fmla="*/ 78 h 78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96" h="78">
              <a:moveTo>
                <a:pt x="96" y="54"/>
              </a:moveTo>
              <a:lnTo>
                <a:pt x="89" y="64"/>
              </a:lnTo>
              <a:lnTo>
                <a:pt x="80" y="71"/>
              </a:lnTo>
              <a:lnTo>
                <a:pt x="70" y="76"/>
              </a:lnTo>
              <a:lnTo>
                <a:pt x="58" y="78"/>
              </a:lnTo>
              <a:lnTo>
                <a:pt x="47" y="78"/>
              </a:lnTo>
              <a:lnTo>
                <a:pt x="35" y="76"/>
              </a:lnTo>
              <a:lnTo>
                <a:pt x="25" y="71"/>
              </a:lnTo>
              <a:lnTo>
                <a:pt x="15" y="64"/>
              </a:lnTo>
              <a:lnTo>
                <a:pt x="8" y="55"/>
              </a:lnTo>
              <a:lnTo>
                <a:pt x="3" y="45"/>
              </a:lnTo>
              <a:lnTo>
                <a:pt x="0" y="33"/>
              </a:lnTo>
              <a:lnTo>
                <a:pt x="0" y="22"/>
              </a:lnTo>
              <a:lnTo>
                <a:pt x="3" y="10"/>
              </a:lnTo>
              <a:lnTo>
                <a:pt x="8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219075</xdr:colOff>
      <xdr:row>33</xdr:row>
      <xdr:rowOff>114300</xdr:rowOff>
    </xdr:from>
    <xdr:to>
      <xdr:col>19</xdr:col>
      <xdr:colOff>104775</xdr:colOff>
      <xdr:row>35</xdr:row>
      <xdr:rowOff>19050</xdr:rowOff>
    </xdr:to>
    <xdr:sp macro="" textlink="">
      <xdr:nvSpPr>
        <xdr:cNvPr id="12019" name="Freeform 164">
          <a:extLst>
            <a:ext uri="{FF2B5EF4-FFF2-40B4-BE49-F238E27FC236}">
              <a16:creationId xmlns:a16="http://schemas.microsoft.com/office/drawing/2014/main" id="{00000000-0008-0000-0900-0000F32E0000}"/>
            </a:ext>
          </a:extLst>
        </xdr:cNvPr>
        <xdr:cNvSpPr>
          <a:spLocks noChangeAspect="1"/>
        </xdr:cNvSpPr>
      </xdr:nvSpPr>
      <xdr:spPr bwMode="auto">
        <a:xfrm>
          <a:off x="9744075" y="5991225"/>
          <a:ext cx="190500" cy="228600"/>
        </a:xfrm>
        <a:custGeom>
          <a:avLst/>
          <a:gdLst>
            <a:gd name="T0" fmla="*/ 0 w 344"/>
            <a:gd name="T1" fmla="*/ 2147483647 h 467"/>
            <a:gd name="T2" fmla="*/ 0 w 344"/>
            <a:gd name="T3" fmla="*/ 2147483647 h 467"/>
            <a:gd name="T4" fmla="*/ 0 w 344"/>
            <a:gd name="T5" fmla="*/ 2147483647 h 467"/>
            <a:gd name="T6" fmla="*/ 2147483647 w 344"/>
            <a:gd name="T7" fmla="*/ 0 h 467"/>
            <a:gd name="T8" fmla="*/ 2147483647 w 344"/>
            <a:gd name="T9" fmla="*/ 0 h 467"/>
            <a:gd name="T10" fmla="*/ 2147483647 w 344"/>
            <a:gd name="T11" fmla="*/ 0 h 467"/>
            <a:gd name="T12" fmla="*/ 0 w 344"/>
            <a:gd name="T13" fmla="*/ 2147483647 h 46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4"/>
            <a:gd name="T22" fmla="*/ 0 h 467"/>
            <a:gd name="T23" fmla="*/ 344 w 344"/>
            <a:gd name="T24" fmla="*/ 467 h 46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4" h="467">
              <a:moveTo>
                <a:pt x="0" y="413"/>
              </a:moveTo>
              <a:lnTo>
                <a:pt x="44" y="440"/>
              </a:lnTo>
              <a:lnTo>
                <a:pt x="88" y="467"/>
              </a:lnTo>
              <a:lnTo>
                <a:pt x="344" y="55"/>
              </a:lnTo>
              <a:lnTo>
                <a:pt x="300" y="27"/>
              </a:lnTo>
              <a:lnTo>
                <a:pt x="256" y="0"/>
              </a:lnTo>
              <a:lnTo>
                <a:pt x="0" y="41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219075</xdr:colOff>
      <xdr:row>33</xdr:row>
      <xdr:rowOff>114300</xdr:rowOff>
    </xdr:from>
    <xdr:to>
      <xdr:col>19</xdr:col>
      <xdr:colOff>104775</xdr:colOff>
      <xdr:row>35</xdr:row>
      <xdr:rowOff>19050</xdr:rowOff>
    </xdr:to>
    <xdr:sp macro="" textlink="">
      <xdr:nvSpPr>
        <xdr:cNvPr id="12020" name="Freeform 165">
          <a:extLst>
            <a:ext uri="{FF2B5EF4-FFF2-40B4-BE49-F238E27FC236}">
              <a16:creationId xmlns:a16="http://schemas.microsoft.com/office/drawing/2014/main" id="{00000000-0008-0000-0900-0000F42E0000}"/>
            </a:ext>
          </a:extLst>
        </xdr:cNvPr>
        <xdr:cNvSpPr>
          <a:spLocks noChangeAspect="1"/>
        </xdr:cNvSpPr>
      </xdr:nvSpPr>
      <xdr:spPr bwMode="auto">
        <a:xfrm>
          <a:off x="9744075" y="5991225"/>
          <a:ext cx="190500" cy="228600"/>
        </a:xfrm>
        <a:custGeom>
          <a:avLst/>
          <a:gdLst>
            <a:gd name="T0" fmla="*/ 0 w 344"/>
            <a:gd name="T1" fmla="*/ 2147483647 h 467"/>
            <a:gd name="T2" fmla="*/ 0 w 344"/>
            <a:gd name="T3" fmla="*/ 2147483647 h 467"/>
            <a:gd name="T4" fmla="*/ 0 w 344"/>
            <a:gd name="T5" fmla="*/ 2147483647 h 467"/>
            <a:gd name="T6" fmla="*/ 2147483647 w 344"/>
            <a:gd name="T7" fmla="*/ 0 h 467"/>
            <a:gd name="T8" fmla="*/ 2147483647 w 344"/>
            <a:gd name="T9" fmla="*/ 0 h 467"/>
            <a:gd name="T10" fmla="*/ 2147483647 w 344"/>
            <a:gd name="T11" fmla="*/ 0 h 467"/>
            <a:gd name="T12" fmla="*/ 0 w 344"/>
            <a:gd name="T13" fmla="*/ 2147483647 h 46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4"/>
            <a:gd name="T22" fmla="*/ 0 h 467"/>
            <a:gd name="T23" fmla="*/ 344 w 344"/>
            <a:gd name="T24" fmla="*/ 467 h 46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4" h="467">
              <a:moveTo>
                <a:pt x="0" y="413"/>
              </a:moveTo>
              <a:lnTo>
                <a:pt x="44" y="440"/>
              </a:lnTo>
              <a:lnTo>
                <a:pt x="88" y="467"/>
              </a:lnTo>
              <a:lnTo>
                <a:pt x="344" y="55"/>
              </a:lnTo>
              <a:lnTo>
                <a:pt x="300" y="27"/>
              </a:lnTo>
              <a:lnTo>
                <a:pt x="256" y="0"/>
              </a:lnTo>
              <a:lnTo>
                <a:pt x="0" y="413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85725</xdr:colOff>
      <xdr:row>33</xdr:row>
      <xdr:rowOff>114300</xdr:rowOff>
    </xdr:from>
    <xdr:to>
      <xdr:col>19</xdr:col>
      <xdr:colOff>123825</xdr:colOff>
      <xdr:row>33</xdr:row>
      <xdr:rowOff>142875</xdr:rowOff>
    </xdr:to>
    <xdr:sp macro="" textlink="">
      <xdr:nvSpPr>
        <xdr:cNvPr id="12021" name="Freeform 166">
          <a:extLst>
            <a:ext uri="{FF2B5EF4-FFF2-40B4-BE49-F238E27FC236}">
              <a16:creationId xmlns:a16="http://schemas.microsoft.com/office/drawing/2014/main" id="{00000000-0008-0000-0900-0000F52E0000}"/>
            </a:ext>
          </a:extLst>
        </xdr:cNvPr>
        <xdr:cNvSpPr>
          <a:spLocks noChangeAspect="1"/>
        </xdr:cNvSpPr>
      </xdr:nvSpPr>
      <xdr:spPr bwMode="auto">
        <a:xfrm>
          <a:off x="9915525" y="5991225"/>
          <a:ext cx="38100" cy="28575"/>
        </a:xfrm>
        <a:custGeom>
          <a:avLst/>
          <a:gdLst>
            <a:gd name="T0" fmla="*/ 0 w 96"/>
            <a:gd name="T1" fmla="*/ 0 h 79"/>
            <a:gd name="T2" fmla="*/ 0 w 96"/>
            <a:gd name="T3" fmla="*/ 0 h 79"/>
            <a:gd name="T4" fmla="*/ 0 w 96"/>
            <a:gd name="T5" fmla="*/ 0 h 79"/>
            <a:gd name="T6" fmla="*/ 0 w 96"/>
            <a:gd name="T7" fmla="*/ 0 h 79"/>
            <a:gd name="T8" fmla="*/ 0 w 96"/>
            <a:gd name="T9" fmla="*/ 0 h 79"/>
            <a:gd name="T10" fmla="*/ 0 w 96"/>
            <a:gd name="T11" fmla="*/ 0 h 79"/>
            <a:gd name="T12" fmla="*/ 0 w 96"/>
            <a:gd name="T13" fmla="*/ 0 h 79"/>
            <a:gd name="T14" fmla="*/ 0 w 96"/>
            <a:gd name="T15" fmla="*/ 0 h 79"/>
            <a:gd name="T16" fmla="*/ 0 w 96"/>
            <a:gd name="T17" fmla="*/ 0 h 79"/>
            <a:gd name="T18" fmla="*/ 0 w 96"/>
            <a:gd name="T19" fmla="*/ 0 h 79"/>
            <a:gd name="T20" fmla="*/ 0 w 96"/>
            <a:gd name="T21" fmla="*/ 0 h 79"/>
            <a:gd name="T22" fmla="*/ 0 w 96"/>
            <a:gd name="T23" fmla="*/ 0 h 79"/>
            <a:gd name="T24" fmla="*/ 0 w 96"/>
            <a:gd name="T25" fmla="*/ 0 h 79"/>
            <a:gd name="T26" fmla="*/ 0 w 96"/>
            <a:gd name="T27" fmla="*/ 0 h 79"/>
            <a:gd name="T28" fmla="*/ 0 w 96"/>
            <a:gd name="T29" fmla="*/ 0 h 79"/>
            <a:gd name="T30" fmla="*/ 0 w 96"/>
            <a:gd name="T31" fmla="*/ 0 h 79"/>
            <a:gd name="T32" fmla="*/ 0 w 96"/>
            <a:gd name="T33" fmla="*/ 0 h 79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96"/>
            <a:gd name="T52" fmla="*/ 0 h 79"/>
            <a:gd name="T53" fmla="*/ 96 w 96"/>
            <a:gd name="T54" fmla="*/ 79 h 79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96" h="79">
              <a:moveTo>
                <a:pt x="44" y="51"/>
              </a:moveTo>
              <a:lnTo>
                <a:pt x="0" y="24"/>
              </a:lnTo>
              <a:lnTo>
                <a:pt x="7" y="15"/>
              </a:lnTo>
              <a:lnTo>
                <a:pt x="16" y="7"/>
              </a:lnTo>
              <a:lnTo>
                <a:pt x="26" y="2"/>
              </a:lnTo>
              <a:lnTo>
                <a:pt x="38" y="0"/>
              </a:lnTo>
              <a:lnTo>
                <a:pt x="49" y="0"/>
              </a:lnTo>
              <a:lnTo>
                <a:pt x="61" y="2"/>
              </a:lnTo>
              <a:lnTo>
                <a:pt x="71" y="7"/>
              </a:lnTo>
              <a:lnTo>
                <a:pt x="81" y="15"/>
              </a:lnTo>
              <a:lnTo>
                <a:pt x="88" y="23"/>
              </a:lnTo>
              <a:lnTo>
                <a:pt x="93" y="33"/>
              </a:lnTo>
              <a:lnTo>
                <a:pt x="96" y="45"/>
              </a:lnTo>
              <a:lnTo>
                <a:pt x="96" y="57"/>
              </a:lnTo>
              <a:lnTo>
                <a:pt x="93" y="68"/>
              </a:lnTo>
              <a:lnTo>
                <a:pt x="88" y="79"/>
              </a:lnTo>
              <a:lnTo>
                <a:pt x="44" y="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85725</xdr:colOff>
      <xdr:row>33</xdr:row>
      <xdr:rowOff>114300</xdr:rowOff>
    </xdr:from>
    <xdr:to>
      <xdr:col>19</xdr:col>
      <xdr:colOff>123825</xdr:colOff>
      <xdr:row>33</xdr:row>
      <xdr:rowOff>142875</xdr:rowOff>
    </xdr:to>
    <xdr:sp macro="" textlink="">
      <xdr:nvSpPr>
        <xdr:cNvPr id="12022" name="Freeform 167">
          <a:extLst>
            <a:ext uri="{FF2B5EF4-FFF2-40B4-BE49-F238E27FC236}">
              <a16:creationId xmlns:a16="http://schemas.microsoft.com/office/drawing/2014/main" id="{00000000-0008-0000-0900-0000F62E0000}"/>
            </a:ext>
          </a:extLst>
        </xdr:cNvPr>
        <xdr:cNvSpPr>
          <a:spLocks noChangeAspect="1"/>
        </xdr:cNvSpPr>
      </xdr:nvSpPr>
      <xdr:spPr bwMode="auto">
        <a:xfrm>
          <a:off x="9915525" y="5991225"/>
          <a:ext cx="38100" cy="28575"/>
        </a:xfrm>
        <a:custGeom>
          <a:avLst/>
          <a:gdLst>
            <a:gd name="T0" fmla="*/ 0 w 96"/>
            <a:gd name="T1" fmla="*/ 0 h 79"/>
            <a:gd name="T2" fmla="*/ 0 w 96"/>
            <a:gd name="T3" fmla="*/ 0 h 79"/>
            <a:gd name="T4" fmla="*/ 0 w 96"/>
            <a:gd name="T5" fmla="*/ 0 h 79"/>
            <a:gd name="T6" fmla="*/ 0 w 96"/>
            <a:gd name="T7" fmla="*/ 0 h 79"/>
            <a:gd name="T8" fmla="*/ 0 w 96"/>
            <a:gd name="T9" fmla="*/ 0 h 79"/>
            <a:gd name="T10" fmla="*/ 0 w 96"/>
            <a:gd name="T11" fmla="*/ 0 h 79"/>
            <a:gd name="T12" fmla="*/ 0 w 96"/>
            <a:gd name="T13" fmla="*/ 0 h 79"/>
            <a:gd name="T14" fmla="*/ 0 w 96"/>
            <a:gd name="T15" fmla="*/ 0 h 79"/>
            <a:gd name="T16" fmla="*/ 0 w 96"/>
            <a:gd name="T17" fmla="*/ 0 h 79"/>
            <a:gd name="T18" fmla="*/ 0 w 96"/>
            <a:gd name="T19" fmla="*/ 0 h 79"/>
            <a:gd name="T20" fmla="*/ 0 w 96"/>
            <a:gd name="T21" fmla="*/ 0 h 79"/>
            <a:gd name="T22" fmla="*/ 0 w 96"/>
            <a:gd name="T23" fmla="*/ 0 h 79"/>
            <a:gd name="T24" fmla="*/ 0 w 96"/>
            <a:gd name="T25" fmla="*/ 0 h 79"/>
            <a:gd name="T26" fmla="*/ 0 w 96"/>
            <a:gd name="T27" fmla="*/ 0 h 79"/>
            <a:gd name="T28" fmla="*/ 0 w 96"/>
            <a:gd name="T29" fmla="*/ 0 h 79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96"/>
            <a:gd name="T46" fmla="*/ 0 h 79"/>
            <a:gd name="T47" fmla="*/ 96 w 96"/>
            <a:gd name="T48" fmla="*/ 79 h 79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96" h="79">
              <a:moveTo>
                <a:pt x="0" y="24"/>
              </a:moveTo>
              <a:lnTo>
                <a:pt x="7" y="15"/>
              </a:lnTo>
              <a:lnTo>
                <a:pt x="16" y="7"/>
              </a:lnTo>
              <a:lnTo>
                <a:pt x="26" y="2"/>
              </a:lnTo>
              <a:lnTo>
                <a:pt x="38" y="0"/>
              </a:lnTo>
              <a:lnTo>
                <a:pt x="49" y="0"/>
              </a:lnTo>
              <a:lnTo>
                <a:pt x="61" y="2"/>
              </a:lnTo>
              <a:lnTo>
                <a:pt x="71" y="7"/>
              </a:lnTo>
              <a:lnTo>
                <a:pt x="81" y="15"/>
              </a:lnTo>
              <a:lnTo>
                <a:pt x="88" y="23"/>
              </a:lnTo>
              <a:lnTo>
                <a:pt x="93" y="33"/>
              </a:lnTo>
              <a:lnTo>
                <a:pt x="96" y="45"/>
              </a:lnTo>
              <a:lnTo>
                <a:pt x="96" y="57"/>
              </a:lnTo>
              <a:lnTo>
                <a:pt x="93" y="68"/>
              </a:lnTo>
              <a:lnTo>
                <a:pt x="88" y="79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123825</xdr:colOff>
      <xdr:row>32</xdr:row>
      <xdr:rowOff>9525</xdr:rowOff>
    </xdr:from>
    <xdr:to>
      <xdr:col>19</xdr:col>
      <xdr:colOff>314325</xdr:colOff>
      <xdr:row>33</xdr:row>
      <xdr:rowOff>47625</xdr:rowOff>
    </xdr:to>
    <xdr:sp macro="" textlink="">
      <xdr:nvSpPr>
        <xdr:cNvPr id="12023" name="Freeform 170">
          <a:extLst>
            <a:ext uri="{FF2B5EF4-FFF2-40B4-BE49-F238E27FC236}">
              <a16:creationId xmlns:a16="http://schemas.microsoft.com/office/drawing/2014/main" id="{00000000-0008-0000-0900-0000F72E0000}"/>
            </a:ext>
          </a:extLst>
        </xdr:cNvPr>
        <xdr:cNvSpPr>
          <a:spLocks noChangeAspect="1"/>
        </xdr:cNvSpPr>
      </xdr:nvSpPr>
      <xdr:spPr bwMode="auto">
        <a:xfrm>
          <a:off x="9953625" y="5724525"/>
          <a:ext cx="190500" cy="200025"/>
        </a:xfrm>
        <a:custGeom>
          <a:avLst/>
          <a:gdLst>
            <a:gd name="T0" fmla="*/ 0 w 343"/>
            <a:gd name="T1" fmla="*/ 2147483647 h 467"/>
            <a:gd name="T2" fmla="*/ 0 w 343"/>
            <a:gd name="T3" fmla="*/ 2147483647 h 467"/>
            <a:gd name="T4" fmla="*/ 0 w 343"/>
            <a:gd name="T5" fmla="*/ 2147483647 h 467"/>
            <a:gd name="T6" fmla="*/ 2147483647 w 343"/>
            <a:gd name="T7" fmla="*/ 0 h 467"/>
            <a:gd name="T8" fmla="*/ 2147483647 w 343"/>
            <a:gd name="T9" fmla="*/ 0 h 467"/>
            <a:gd name="T10" fmla="*/ 2147483647 w 343"/>
            <a:gd name="T11" fmla="*/ 0 h 467"/>
            <a:gd name="T12" fmla="*/ 0 w 343"/>
            <a:gd name="T13" fmla="*/ 2147483647 h 46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3"/>
            <a:gd name="T22" fmla="*/ 0 h 467"/>
            <a:gd name="T23" fmla="*/ 343 w 343"/>
            <a:gd name="T24" fmla="*/ 467 h 46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3" h="467">
              <a:moveTo>
                <a:pt x="0" y="413"/>
              </a:moveTo>
              <a:lnTo>
                <a:pt x="44" y="440"/>
              </a:lnTo>
              <a:lnTo>
                <a:pt x="88" y="467"/>
              </a:lnTo>
              <a:lnTo>
                <a:pt x="343" y="55"/>
              </a:lnTo>
              <a:lnTo>
                <a:pt x="299" y="27"/>
              </a:lnTo>
              <a:lnTo>
                <a:pt x="255" y="0"/>
              </a:lnTo>
              <a:lnTo>
                <a:pt x="0" y="41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47625</xdr:colOff>
      <xdr:row>42</xdr:row>
      <xdr:rowOff>95250</xdr:rowOff>
    </xdr:from>
    <xdr:to>
      <xdr:col>18</xdr:col>
      <xdr:colOff>76200</xdr:colOff>
      <xdr:row>42</xdr:row>
      <xdr:rowOff>123825</xdr:rowOff>
    </xdr:to>
    <xdr:sp macro="" textlink="">
      <xdr:nvSpPr>
        <xdr:cNvPr id="12024" name="Freeform 174">
          <a:extLst>
            <a:ext uri="{FF2B5EF4-FFF2-40B4-BE49-F238E27FC236}">
              <a16:creationId xmlns:a16="http://schemas.microsoft.com/office/drawing/2014/main" id="{00000000-0008-0000-0900-0000F82E0000}"/>
            </a:ext>
          </a:extLst>
        </xdr:cNvPr>
        <xdr:cNvSpPr>
          <a:spLocks noChangeAspect="1"/>
        </xdr:cNvSpPr>
      </xdr:nvSpPr>
      <xdr:spPr bwMode="auto">
        <a:xfrm>
          <a:off x="9572625" y="7429500"/>
          <a:ext cx="28575" cy="28575"/>
        </a:xfrm>
        <a:custGeom>
          <a:avLst/>
          <a:gdLst>
            <a:gd name="T0" fmla="*/ 0 w 103"/>
            <a:gd name="T1" fmla="*/ 0 h 57"/>
            <a:gd name="T2" fmla="*/ 0 w 103"/>
            <a:gd name="T3" fmla="*/ 0 h 57"/>
            <a:gd name="T4" fmla="*/ 0 w 103"/>
            <a:gd name="T5" fmla="*/ 0 h 57"/>
            <a:gd name="T6" fmla="*/ 0 w 103"/>
            <a:gd name="T7" fmla="*/ 0 h 57"/>
            <a:gd name="T8" fmla="*/ 0 w 103"/>
            <a:gd name="T9" fmla="*/ 0 h 57"/>
            <a:gd name="T10" fmla="*/ 0 w 103"/>
            <a:gd name="T11" fmla="*/ 0 h 57"/>
            <a:gd name="T12" fmla="*/ 0 w 103"/>
            <a:gd name="T13" fmla="*/ 0 h 57"/>
            <a:gd name="T14" fmla="*/ 0 w 103"/>
            <a:gd name="T15" fmla="*/ 0 h 57"/>
            <a:gd name="T16" fmla="*/ 0 w 103"/>
            <a:gd name="T17" fmla="*/ 0 h 57"/>
            <a:gd name="T18" fmla="*/ 0 w 103"/>
            <a:gd name="T19" fmla="*/ 0 h 57"/>
            <a:gd name="T20" fmla="*/ 0 w 103"/>
            <a:gd name="T21" fmla="*/ 0 h 57"/>
            <a:gd name="T22" fmla="*/ 0 w 103"/>
            <a:gd name="T23" fmla="*/ 0 h 57"/>
            <a:gd name="T24" fmla="*/ 0 w 103"/>
            <a:gd name="T25" fmla="*/ 0 h 57"/>
            <a:gd name="T26" fmla="*/ 0 w 103"/>
            <a:gd name="T27" fmla="*/ 0 h 57"/>
            <a:gd name="T28" fmla="*/ 0 w 103"/>
            <a:gd name="T29" fmla="*/ 0 h 57"/>
            <a:gd name="T30" fmla="*/ 0 w 103"/>
            <a:gd name="T31" fmla="*/ 0 h 57"/>
            <a:gd name="T32" fmla="*/ 0 w 103"/>
            <a:gd name="T33" fmla="*/ 0 h 57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3"/>
            <a:gd name="T52" fmla="*/ 0 h 57"/>
            <a:gd name="T53" fmla="*/ 103 w 103"/>
            <a:gd name="T54" fmla="*/ 57 h 57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3" h="57">
              <a:moveTo>
                <a:pt x="52" y="5"/>
              </a:moveTo>
              <a:lnTo>
                <a:pt x="103" y="11"/>
              </a:lnTo>
              <a:lnTo>
                <a:pt x="101" y="21"/>
              </a:lnTo>
              <a:lnTo>
                <a:pt x="96" y="33"/>
              </a:lnTo>
              <a:lnTo>
                <a:pt x="90" y="41"/>
              </a:lnTo>
              <a:lnTo>
                <a:pt x="80" y="49"/>
              </a:lnTo>
              <a:lnTo>
                <a:pt x="70" y="54"/>
              </a:lnTo>
              <a:lnTo>
                <a:pt x="58" y="57"/>
              </a:lnTo>
              <a:lnTo>
                <a:pt x="47" y="57"/>
              </a:lnTo>
              <a:lnTo>
                <a:pt x="36" y="55"/>
              </a:lnTo>
              <a:lnTo>
                <a:pt x="25" y="50"/>
              </a:lnTo>
              <a:lnTo>
                <a:pt x="16" y="43"/>
              </a:lnTo>
              <a:lnTo>
                <a:pt x="9" y="34"/>
              </a:lnTo>
              <a:lnTo>
                <a:pt x="4" y="23"/>
              </a:lnTo>
              <a:lnTo>
                <a:pt x="0" y="12"/>
              </a:lnTo>
              <a:lnTo>
                <a:pt x="0" y="0"/>
              </a:lnTo>
              <a:lnTo>
                <a:pt x="52" y="5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47625</xdr:colOff>
      <xdr:row>42</xdr:row>
      <xdr:rowOff>95250</xdr:rowOff>
    </xdr:from>
    <xdr:to>
      <xdr:col>18</xdr:col>
      <xdr:colOff>76200</xdr:colOff>
      <xdr:row>42</xdr:row>
      <xdr:rowOff>123825</xdr:rowOff>
    </xdr:to>
    <xdr:sp macro="" textlink="">
      <xdr:nvSpPr>
        <xdr:cNvPr id="12025" name="Freeform 175">
          <a:extLst>
            <a:ext uri="{FF2B5EF4-FFF2-40B4-BE49-F238E27FC236}">
              <a16:creationId xmlns:a16="http://schemas.microsoft.com/office/drawing/2014/main" id="{00000000-0008-0000-0900-0000F92E0000}"/>
            </a:ext>
          </a:extLst>
        </xdr:cNvPr>
        <xdr:cNvSpPr>
          <a:spLocks noChangeAspect="1"/>
        </xdr:cNvSpPr>
      </xdr:nvSpPr>
      <xdr:spPr bwMode="auto">
        <a:xfrm>
          <a:off x="9572625" y="7429500"/>
          <a:ext cx="28575" cy="28575"/>
        </a:xfrm>
        <a:custGeom>
          <a:avLst/>
          <a:gdLst>
            <a:gd name="T0" fmla="*/ 0 w 103"/>
            <a:gd name="T1" fmla="*/ 0 h 57"/>
            <a:gd name="T2" fmla="*/ 0 w 103"/>
            <a:gd name="T3" fmla="*/ 0 h 57"/>
            <a:gd name="T4" fmla="*/ 0 w 103"/>
            <a:gd name="T5" fmla="*/ 0 h 57"/>
            <a:gd name="T6" fmla="*/ 0 w 103"/>
            <a:gd name="T7" fmla="*/ 0 h 57"/>
            <a:gd name="T8" fmla="*/ 0 w 103"/>
            <a:gd name="T9" fmla="*/ 0 h 57"/>
            <a:gd name="T10" fmla="*/ 0 w 103"/>
            <a:gd name="T11" fmla="*/ 0 h 57"/>
            <a:gd name="T12" fmla="*/ 0 w 103"/>
            <a:gd name="T13" fmla="*/ 0 h 57"/>
            <a:gd name="T14" fmla="*/ 0 w 103"/>
            <a:gd name="T15" fmla="*/ 0 h 57"/>
            <a:gd name="T16" fmla="*/ 0 w 103"/>
            <a:gd name="T17" fmla="*/ 0 h 57"/>
            <a:gd name="T18" fmla="*/ 0 w 103"/>
            <a:gd name="T19" fmla="*/ 0 h 57"/>
            <a:gd name="T20" fmla="*/ 0 w 103"/>
            <a:gd name="T21" fmla="*/ 0 h 57"/>
            <a:gd name="T22" fmla="*/ 0 w 103"/>
            <a:gd name="T23" fmla="*/ 0 h 57"/>
            <a:gd name="T24" fmla="*/ 0 w 103"/>
            <a:gd name="T25" fmla="*/ 0 h 57"/>
            <a:gd name="T26" fmla="*/ 0 w 103"/>
            <a:gd name="T27" fmla="*/ 0 h 57"/>
            <a:gd name="T28" fmla="*/ 0 w 103"/>
            <a:gd name="T29" fmla="*/ 0 h 5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3"/>
            <a:gd name="T46" fmla="*/ 0 h 57"/>
            <a:gd name="T47" fmla="*/ 103 w 103"/>
            <a:gd name="T48" fmla="*/ 57 h 5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3" h="57">
              <a:moveTo>
                <a:pt x="103" y="11"/>
              </a:moveTo>
              <a:lnTo>
                <a:pt x="101" y="21"/>
              </a:lnTo>
              <a:lnTo>
                <a:pt x="96" y="33"/>
              </a:lnTo>
              <a:lnTo>
                <a:pt x="90" y="41"/>
              </a:lnTo>
              <a:lnTo>
                <a:pt x="80" y="49"/>
              </a:lnTo>
              <a:lnTo>
                <a:pt x="70" y="54"/>
              </a:lnTo>
              <a:lnTo>
                <a:pt x="58" y="57"/>
              </a:lnTo>
              <a:lnTo>
                <a:pt x="47" y="57"/>
              </a:lnTo>
              <a:lnTo>
                <a:pt x="36" y="55"/>
              </a:lnTo>
              <a:lnTo>
                <a:pt x="25" y="50"/>
              </a:lnTo>
              <a:lnTo>
                <a:pt x="16" y="43"/>
              </a:lnTo>
              <a:lnTo>
                <a:pt x="9" y="34"/>
              </a:lnTo>
              <a:lnTo>
                <a:pt x="4" y="23"/>
              </a:lnTo>
              <a:lnTo>
                <a:pt x="0" y="12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47625</xdr:colOff>
      <xdr:row>40</xdr:row>
      <xdr:rowOff>114300</xdr:rowOff>
    </xdr:from>
    <xdr:to>
      <xdr:col>18</xdr:col>
      <xdr:colOff>95250</xdr:colOff>
      <xdr:row>42</xdr:row>
      <xdr:rowOff>95250</xdr:rowOff>
    </xdr:to>
    <xdr:sp macro="" textlink="">
      <xdr:nvSpPr>
        <xdr:cNvPr id="12026" name="Freeform 176">
          <a:extLst>
            <a:ext uri="{FF2B5EF4-FFF2-40B4-BE49-F238E27FC236}">
              <a16:creationId xmlns:a16="http://schemas.microsoft.com/office/drawing/2014/main" id="{00000000-0008-0000-0900-0000FA2E0000}"/>
            </a:ext>
          </a:extLst>
        </xdr:cNvPr>
        <xdr:cNvSpPr>
          <a:spLocks noChangeAspect="1"/>
        </xdr:cNvSpPr>
      </xdr:nvSpPr>
      <xdr:spPr bwMode="auto">
        <a:xfrm>
          <a:off x="9572625" y="7124700"/>
          <a:ext cx="47625" cy="304800"/>
        </a:xfrm>
        <a:custGeom>
          <a:avLst/>
          <a:gdLst>
            <a:gd name="T0" fmla="*/ 0 w 161"/>
            <a:gd name="T1" fmla="*/ 2147483647 h 629"/>
            <a:gd name="T2" fmla="*/ 0 w 161"/>
            <a:gd name="T3" fmla="*/ 2147483647 h 629"/>
            <a:gd name="T4" fmla="*/ 0 w 161"/>
            <a:gd name="T5" fmla="*/ 2147483647 h 629"/>
            <a:gd name="T6" fmla="*/ 0 w 161"/>
            <a:gd name="T7" fmla="*/ 0 h 629"/>
            <a:gd name="T8" fmla="*/ 0 w 161"/>
            <a:gd name="T9" fmla="*/ 0 h 629"/>
            <a:gd name="T10" fmla="*/ 0 w 161"/>
            <a:gd name="T11" fmla="*/ 0 h 629"/>
            <a:gd name="T12" fmla="*/ 0 w 161"/>
            <a:gd name="T13" fmla="*/ 2147483647 h 62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61"/>
            <a:gd name="T22" fmla="*/ 0 h 629"/>
            <a:gd name="T23" fmla="*/ 161 w 161"/>
            <a:gd name="T24" fmla="*/ 629 h 62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61" h="629">
              <a:moveTo>
                <a:pt x="0" y="618"/>
              </a:moveTo>
              <a:lnTo>
                <a:pt x="52" y="623"/>
              </a:lnTo>
              <a:lnTo>
                <a:pt x="103" y="629"/>
              </a:lnTo>
              <a:lnTo>
                <a:pt x="161" y="10"/>
              </a:lnTo>
              <a:lnTo>
                <a:pt x="110" y="5"/>
              </a:lnTo>
              <a:lnTo>
                <a:pt x="58" y="0"/>
              </a:lnTo>
              <a:lnTo>
                <a:pt x="0" y="618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47625</xdr:colOff>
      <xdr:row>40</xdr:row>
      <xdr:rowOff>114300</xdr:rowOff>
    </xdr:from>
    <xdr:to>
      <xdr:col>18</xdr:col>
      <xdr:colOff>95250</xdr:colOff>
      <xdr:row>42</xdr:row>
      <xdr:rowOff>95250</xdr:rowOff>
    </xdr:to>
    <xdr:sp macro="" textlink="">
      <xdr:nvSpPr>
        <xdr:cNvPr id="12027" name="Freeform 177">
          <a:extLst>
            <a:ext uri="{FF2B5EF4-FFF2-40B4-BE49-F238E27FC236}">
              <a16:creationId xmlns:a16="http://schemas.microsoft.com/office/drawing/2014/main" id="{00000000-0008-0000-0900-0000FB2E0000}"/>
            </a:ext>
          </a:extLst>
        </xdr:cNvPr>
        <xdr:cNvSpPr>
          <a:spLocks noChangeAspect="1"/>
        </xdr:cNvSpPr>
      </xdr:nvSpPr>
      <xdr:spPr bwMode="auto">
        <a:xfrm>
          <a:off x="9572625" y="7124700"/>
          <a:ext cx="47625" cy="304800"/>
        </a:xfrm>
        <a:custGeom>
          <a:avLst/>
          <a:gdLst>
            <a:gd name="T0" fmla="*/ 0 w 161"/>
            <a:gd name="T1" fmla="*/ 2147483647 h 629"/>
            <a:gd name="T2" fmla="*/ 0 w 161"/>
            <a:gd name="T3" fmla="*/ 2147483647 h 629"/>
            <a:gd name="T4" fmla="*/ 0 w 161"/>
            <a:gd name="T5" fmla="*/ 2147483647 h 629"/>
            <a:gd name="T6" fmla="*/ 0 w 161"/>
            <a:gd name="T7" fmla="*/ 0 h 629"/>
            <a:gd name="T8" fmla="*/ 0 w 161"/>
            <a:gd name="T9" fmla="*/ 0 h 629"/>
            <a:gd name="T10" fmla="*/ 0 w 161"/>
            <a:gd name="T11" fmla="*/ 0 h 629"/>
            <a:gd name="T12" fmla="*/ 0 w 161"/>
            <a:gd name="T13" fmla="*/ 2147483647 h 62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61"/>
            <a:gd name="T22" fmla="*/ 0 h 629"/>
            <a:gd name="T23" fmla="*/ 161 w 161"/>
            <a:gd name="T24" fmla="*/ 629 h 62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61" h="629">
              <a:moveTo>
                <a:pt x="0" y="618"/>
              </a:moveTo>
              <a:lnTo>
                <a:pt x="52" y="623"/>
              </a:lnTo>
              <a:lnTo>
                <a:pt x="103" y="629"/>
              </a:lnTo>
              <a:lnTo>
                <a:pt x="161" y="10"/>
              </a:lnTo>
              <a:lnTo>
                <a:pt x="110" y="5"/>
              </a:lnTo>
              <a:lnTo>
                <a:pt x="58" y="0"/>
              </a:lnTo>
              <a:lnTo>
                <a:pt x="0" y="618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57150</xdr:colOff>
      <xdr:row>40</xdr:row>
      <xdr:rowOff>95250</xdr:rowOff>
    </xdr:from>
    <xdr:to>
      <xdr:col>18</xdr:col>
      <xdr:colOff>95250</xdr:colOff>
      <xdr:row>40</xdr:row>
      <xdr:rowOff>114300</xdr:rowOff>
    </xdr:to>
    <xdr:sp macro="" textlink="">
      <xdr:nvSpPr>
        <xdr:cNvPr id="12028" name="Freeform 178">
          <a:extLst>
            <a:ext uri="{FF2B5EF4-FFF2-40B4-BE49-F238E27FC236}">
              <a16:creationId xmlns:a16="http://schemas.microsoft.com/office/drawing/2014/main" id="{00000000-0008-0000-0900-0000FC2E0000}"/>
            </a:ext>
          </a:extLst>
        </xdr:cNvPr>
        <xdr:cNvSpPr>
          <a:spLocks noChangeAspect="1"/>
        </xdr:cNvSpPr>
      </xdr:nvSpPr>
      <xdr:spPr bwMode="auto">
        <a:xfrm>
          <a:off x="9582150" y="7105650"/>
          <a:ext cx="38100" cy="19050"/>
        </a:xfrm>
        <a:custGeom>
          <a:avLst/>
          <a:gdLst>
            <a:gd name="T0" fmla="*/ 0 w 103"/>
            <a:gd name="T1" fmla="*/ 0 h 56"/>
            <a:gd name="T2" fmla="*/ 0 w 103"/>
            <a:gd name="T3" fmla="*/ 0 h 56"/>
            <a:gd name="T4" fmla="*/ 0 w 103"/>
            <a:gd name="T5" fmla="*/ 0 h 56"/>
            <a:gd name="T6" fmla="*/ 0 w 103"/>
            <a:gd name="T7" fmla="*/ 0 h 56"/>
            <a:gd name="T8" fmla="*/ 0 w 103"/>
            <a:gd name="T9" fmla="*/ 0 h 56"/>
            <a:gd name="T10" fmla="*/ 0 w 103"/>
            <a:gd name="T11" fmla="*/ 0 h 56"/>
            <a:gd name="T12" fmla="*/ 0 w 103"/>
            <a:gd name="T13" fmla="*/ 0 h 56"/>
            <a:gd name="T14" fmla="*/ 0 w 103"/>
            <a:gd name="T15" fmla="*/ 0 h 56"/>
            <a:gd name="T16" fmla="*/ 0 w 103"/>
            <a:gd name="T17" fmla="*/ 0 h 56"/>
            <a:gd name="T18" fmla="*/ 0 w 103"/>
            <a:gd name="T19" fmla="*/ 0 h 56"/>
            <a:gd name="T20" fmla="*/ 0 w 103"/>
            <a:gd name="T21" fmla="*/ 0 h 56"/>
            <a:gd name="T22" fmla="*/ 0 w 103"/>
            <a:gd name="T23" fmla="*/ 0 h 56"/>
            <a:gd name="T24" fmla="*/ 0 w 103"/>
            <a:gd name="T25" fmla="*/ 0 h 56"/>
            <a:gd name="T26" fmla="*/ 0 w 103"/>
            <a:gd name="T27" fmla="*/ 0 h 56"/>
            <a:gd name="T28" fmla="*/ 0 w 103"/>
            <a:gd name="T29" fmla="*/ 0 h 56"/>
            <a:gd name="T30" fmla="*/ 0 w 103"/>
            <a:gd name="T31" fmla="*/ 0 h 56"/>
            <a:gd name="T32" fmla="*/ 0 w 103"/>
            <a:gd name="T33" fmla="*/ 0 h 5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3"/>
            <a:gd name="T52" fmla="*/ 0 h 56"/>
            <a:gd name="T53" fmla="*/ 103 w 103"/>
            <a:gd name="T54" fmla="*/ 56 h 56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3" h="56">
              <a:moveTo>
                <a:pt x="52" y="51"/>
              </a:moveTo>
              <a:lnTo>
                <a:pt x="0" y="46"/>
              </a:lnTo>
              <a:lnTo>
                <a:pt x="2" y="35"/>
              </a:lnTo>
              <a:lnTo>
                <a:pt x="8" y="24"/>
              </a:lnTo>
              <a:lnTo>
                <a:pt x="14" y="15"/>
              </a:lnTo>
              <a:lnTo>
                <a:pt x="23" y="8"/>
              </a:lnTo>
              <a:lnTo>
                <a:pt x="34" y="3"/>
              </a:lnTo>
              <a:lnTo>
                <a:pt x="45" y="0"/>
              </a:lnTo>
              <a:lnTo>
                <a:pt x="57" y="0"/>
              </a:lnTo>
              <a:lnTo>
                <a:pt x="67" y="2"/>
              </a:lnTo>
              <a:lnTo>
                <a:pt x="79" y="7"/>
              </a:lnTo>
              <a:lnTo>
                <a:pt x="87" y="13"/>
              </a:lnTo>
              <a:lnTo>
                <a:pt x="95" y="23"/>
              </a:lnTo>
              <a:lnTo>
                <a:pt x="100" y="33"/>
              </a:lnTo>
              <a:lnTo>
                <a:pt x="103" y="45"/>
              </a:lnTo>
              <a:lnTo>
                <a:pt x="103" y="56"/>
              </a:lnTo>
              <a:lnTo>
                <a:pt x="52" y="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57150</xdr:colOff>
      <xdr:row>40</xdr:row>
      <xdr:rowOff>95250</xdr:rowOff>
    </xdr:from>
    <xdr:to>
      <xdr:col>18</xdr:col>
      <xdr:colOff>95250</xdr:colOff>
      <xdr:row>40</xdr:row>
      <xdr:rowOff>114300</xdr:rowOff>
    </xdr:to>
    <xdr:sp macro="" textlink="">
      <xdr:nvSpPr>
        <xdr:cNvPr id="12029" name="Freeform 179">
          <a:extLst>
            <a:ext uri="{FF2B5EF4-FFF2-40B4-BE49-F238E27FC236}">
              <a16:creationId xmlns:a16="http://schemas.microsoft.com/office/drawing/2014/main" id="{00000000-0008-0000-0900-0000FD2E0000}"/>
            </a:ext>
          </a:extLst>
        </xdr:cNvPr>
        <xdr:cNvSpPr>
          <a:spLocks noChangeAspect="1"/>
        </xdr:cNvSpPr>
      </xdr:nvSpPr>
      <xdr:spPr bwMode="auto">
        <a:xfrm>
          <a:off x="9582150" y="7105650"/>
          <a:ext cx="38100" cy="19050"/>
        </a:xfrm>
        <a:custGeom>
          <a:avLst/>
          <a:gdLst>
            <a:gd name="T0" fmla="*/ 0 w 103"/>
            <a:gd name="T1" fmla="*/ 0 h 56"/>
            <a:gd name="T2" fmla="*/ 0 w 103"/>
            <a:gd name="T3" fmla="*/ 0 h 56"/>
            <a:gd name="T4" fmla="*/ 0 w 103"/>
            <a:gd name="T5" fmla="*/ 0 h 56"/>
            <a:gd name="T6" fmla="*/ 0 w 103"/>
            <a:gd name="T7" fmla="*/ 0 h 56"/>
            <a:gd name="T8" fmla="*/ 0 w 103"/>
            <a:gd name="T9" fmla="*/ 0 h 56"/>
            <a:gd name="T10" fmla="*/ 0 w 103"/>
            <a:gd name="T11" fmla="*/ 0 h 56"/>
            <a:gd name="T12" fmla="*/ 0 w 103"/>
            <a:gd name="T13" fmla="*/ 0 h 56"/>
            <a:gd name="T14" fmla="*/ 0 w 103"/>
            <a:gd name="T15" fmla="*/ 0 h 56"/>
            <a:gd name="T16" fmla="*/ 0 w 103"/>
            <a:gd name="T17" fmla="*/ 0 h 56"/>
            <a:gd name="T18" fmla="*/ 0 w 103"/>
            <a:gd name="T19" fmla="*/ 0 h 56"/>
            <a:gd name="T20" fmla="*/ 0 w 103"/>
            <a:gd name="T21" fmla="*/ 0 h 56"/>
            <a:gd name="T22" fmla="*/ 0 w 103"/>
            <a:gd name="T23" fmla="*/ 0 h 56"/>
            <a:gd name="T24" fmla="*/ 0 w 103"/>
            <a:gd name="T25" fmla="*/ 0 h 56"/>
            <a:gd name="T26" fmla="*/ 0 w 103"/>
            <a:gd name="T27" fmla="*/ 0 h 56"/>
            <a:gd name="T28" fmla="*/ 0 w 103"/>
            <a:gd name="T29" fmla="*/ 0 h 5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3"/>
            <a:gd name="T46" fmla="*/ 0 h 56"/>
            <a:gd name="T47" fmla="*/ 103 w 103"/>
            <a:gd name="T48" fmla="*/ 56 h 56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3" h="56">
              <a:moveTo>
                <a:pt x="0" y="46"/>
              </a:moveTo>
              <a:lnTo>
                <a:pt x="2" y="35"/>
              </a:lnTo>
              <a:lnTo>
                <a:pt x="8" y="24"/>
              </a:lnTo>
              <a:lnTo>
                <a:pt x="14" y="15"/>
              </a:lnTo>
              <a:lnTo>
                <a:pt x="23" y="8"/>
              </a:lnTo>
              <a:lnTo>
                <a:pt x="34" y="3"/>
              </a:lnTo>
              <a:lnTo>
                <a:pt x="45" y="0"/>
              </a:lnTo>
              <a:lnTo>
                <a:pt x="57" y="0"/>
              </a:lnTo>
              <a:lnTo>
                <a:pt x="67" y="2"/>
              </a:lnTo>
              <a:lnTo>
                <a:pt x="79" y="7"/>
              </a:lnTo>
              <a:lnTo>
                <a:pt x="87" y="13"/>
              </a:lnTo>
              <a:lnTo>
                <a:pt x="95" y="23"/>
              </a:lnTo>
              <a:lnTo>
                <a:pt x="100" y="33"/>
              </a:lnTo>
              <a:lnTo>
                <a:pt x="103" y="45"/>
              </a:lnTo>
              <a:lnTo>
                <a:pt x="103" y="56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57150</xdr:colOff>
      <xdr:row>40</xdr:row>
      <xdr:rowOff>9525</xdr:rowOff>
    </xdr:from>
    <xdr:to>
      <xdr:col>18</xdr:col>
      <xdr:colOff>95250</xdr:colOff>
      <xdr:row>40</xdr:row>
      <xdr:rowOff>38100</xdr:rowOff>
    </xdr:to>
    <xdr:sp macro="" textlink="">
      <xdr:nvSpPr>
        <xdr:cNvPr id="12030" name="Freeform 180">
          <a:extLst>
            <a:ext uri="{FF2B5EF4-FFF2-40B4-BE49-F238E27FC236}">
              <a16:creationId xmlns:a16="http://schemas.microsoft.com/office/drawing/2014/main" id="{00000000-0008-0000-0900-0000FE2E0000}"/>
            </a:ext>
          </a:extLst>
        </xdr:cNvPr>
        <xdr:cNvSpPr>
          <a:spLocks noChangeAspect="1"/>
        </xdr:cNvSpPr>
      </xdr:nvSpPr>
      <xdr:spPr bwMode="auto">
        <a:xfrm>
          <a:off x="9582150" y="7019925"/>
          <a:ext cx="38100" cy="28575"/>
        </a:xfrm>
        <a:custGeom>
          <a:avLst/>
          <a:gdLst>
            <a:gd name="T0" fmla="*/ 0 w 103"/>
            <a:gd name="T1" fmla="*/ 0 h 57"/>
            <a:gd name="T2" fmla="*/ 0 w 103"/>
            <a:gd name="T3" fmla="*/ 0 h 57"/>
            <a:gd name="T4" fmla="*/ 0 w 103"/>
            <a:gd name="T5" fmla="*/ 0 h 57"/>
            <a:gd name="T6" fmla="*/ 0 w 103"/>
            <a:gd name="T7" fmla="*/ 0 h 57"/>
            <a:gd name="T8" fmla="*/ 0 w 103"/>
            <a:gd name="T9" fmla="*/ 0 h 57"/>
            <a:gd name="T10" fmla="*/ 0 w 103"/>
            <a:gd name="T11" fmla="*/ 0 h 57"/>
            <a:gd name="T12" fmla="*/ 0 w 103"/>
            <a:gd name="T13" fmla="*/ 0 h 57"/>
            <a:gd name="T14" fmla="*/ 0 w 103"/>
            <a:gd name="T15" fmla="*/ 0 h 57"/>
            <a:gd name="T16" fmla="*/ 0 w 103"/>
            <a:gd name="T17" fmla="*/ 0 h 57"/>
            <a:gd name="T18" fmla="*/ 0 w 103"/>
            <a:gd name="T19" fmla="*/ 0 h 57"/>
            <a:gd name="T20" fmla="*/ 0 w 103"/>
            <a:gd name="T21" fmla="*/ 0 h 57"/>
            <a:gd name="T22" fmla="*/ 0 w 103"/>
            <a:gd name="T23" fmla="*/ 0 h 57"/>
            <a:gd name="T24" fmla="*/ 0 w 103"/>
            <a:gd name="T25" fmla="*/ 0 h 57"/>
            <a:gd name="T26" fmla="*/ 0 w 103"/>
            <a:gd name="T27" fmla="*/ 0 h 57"/>
            <a:gd name="T28" fmla="*/ 0 w 103"/>
            <a:gd name="T29" fmla="*/ 0 h 57"/>
            <a:gd name="T30" fmla="*/ 0 w 103"/>
            <a:gd name="T31" fmla="*/ 0 h 57"/>
            <a:gd name="T32" fmla="*/ 0 w 103"/>
            <a:gd name="T33" fmla="*/ 0 h 57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3"/>
            <a:gd name="T52" fmla="*/ 0 h 57"/>
            <a:gd name="T53" fmla="*/ 103 w 103"/>
            <a:gd name="T54" fmla="*/ 57 h 57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3" h="57">
              <a:moveTo>
                <a:pt x="52" y="5"/>
              </a:moveTo>
              <a:lnTo>
                <a:pt x="103" y="10"/>
              </a:lnTo>
              <a:lnTo>
                <a:pt x="101" y="21"/>
              </a:lnTo>
              <a:lnTo>
                <a:pt x="96" y="32"/>
              </a:lnTo>
              <a:lnTo>
                <a:pt x="89" y="41"/>
              </a:lnTo>
              <a:lnTo>
                <a:pt x="80" y="48"/>
              </a:lnTo>
              <a:lnTo>
                <a:pt x="70" y="53"/>
              </a:lnTo>
              <a:lnTo>
                <a:pt x="58" y="57"/>
              </a:lnTo>
              <a:lnTo>
                <a:pt x="46" y="57"/>
              </a:lnTo>
              <a:lnTo>
                <a:pt x="36" y="55"/>
              </a:lnTo>
              <a:lnTo>
                <a:pt x="24" y="49"/>
              </a:lnTo>
              <a:lnTo>
                <a:pt x="16" y="43"/>
              </a:lnTo>
              <a:lnTo>
                <a:pt x="9" y="34"/>
              </a:lnTo>
              <a:lnTo>
                <a:pt x="3" y="23"/>
              </a:lnTo>
              <a:lnTo>
                <a:pt x="0" y="11"/>
              </a:lnTo>
              <a:lnTo>
                <a:pt x="0" y="0"/>
              </a:lnTo>
              <a:lnTo>
                <a:pt x="52" y="5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57150</xdr:colOff>
      <xdr:row>40</xdr:row>
      <xdr:rowOff>9525</xdr:rowOff>
    </xdr:from>
    <xdr:to>
      <xdr:col>18</xdr:col>
      <xdr:colOff>95250</xdr:colOff>
      <xdr:row>40</xdr:row>
      <xdr:rowOff>38100</xdr:rowOff>
    </xdr:to>
    <xdr:sp macro="" textlink="">
      <xdr:nvSpPr>
        <xdr:cNvPr id="12031" name="Freeform 181">
          <a:extLst>
            <a:ext uri="{FF2B5EF4-FFF2-40B4-BE49-F238E27FC236}">
              <a16:creationId xmlns:a16="http://schemas.microsoft.com/office/drawing/2014/main" id="{00000000-0008-0000-0900-0000FF2E0000}"/>
            </a:ext>
          </a:extLst>
        </xdr:cNvPr>
        <xdr:cNvSpPr>
          <a:spLocks noChangeAspect="1"/>
        </xdr:cNvSpPr>
      </xdr:nvSpPr>
      <xdr:spPr bwMode="auto">
        <a:xfrm>
          <a:off x="9582150" y="7019925"/>
          <a:ext cx="38100" cy="28575"/>
        </a:xfrm>
        <a:custGeom>
          <a:avLst/>
          <a:gdLst>
            <a:gd name="T0" fmla="*/ 0 w 103"/>
            <a:gd name="T1" fmla="*/ 0 h 57"/>
            <a:gd name="T2" fmla="*/ 0 w 103"/>
            <a:gd name="T3" fmla="*/ 0 h 57"/>
            <a:gd name="T4" fmla="*/ 0 w 103"/>
            <a:gd name="T5" fmla="*/ 0 h 57"/>
            <a:gd name="T6" fmla="*/ 0 w 103"/>
            <a:gd name="T7" fmla="*/ 0 h 57"/>
            <a:gd name="T8" fmla="*/ 0 w 103"/>
            <a:gd name="T9" fmla="*/ 0 h 57"/>
            <a:gd name="T10" fmla="*/ 0 w 103"/>
            <a:gd name="T11" fmla="*/ 0 h 57"/>
            <a:gd name="T12" fmla="*/ 0 w 103"/>
            <a:gd name="T13" fmla="*/ 0 h 57"/>
            <a:gd name="T14" fmla="*/ 0 w 103"/>
            <a:gd name="T15" fmla="*/ 0 h 57"/>
            <a:gd name="T16" fmla="*/ 0 w 103"/>
            <a:gd name="T17" fmla="*/ 0 h 57"/>
            <a:gd name="T18" fmla="*/ 0 w 103"/>
            <a:gd name="T19" fmla="*/ 0 h 57"/>
            <a:gd name="T20" fmla="*/ 0 w 103"/>
            <a:gd name="T21" fmla="*/ 0 h 57"/>
            <a:gd name="T22" fmla="*/ 0 w 103"/>
            <a:gd name="T23" fmla="*/ 0 h 57"/>
            <a:gd name="T24" fmla="*/ 0 w 103"/>
            <a:gd name="T25" fmla="*/ 0 h 57"/>
            <a:gd name="T26" fmla="*/ 0 w 103"/>
            <a:gd name="T27" fmla="*/ 0 h 57"/>
            <a:gd name="T28" fmla="*/ 0 w 103"/>
            <a:gd name="T29" fmla="*/ 0 h 5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3"/>
            <a:gd name="T46" fmla="*/ 0 h 57"/>
            <a:gd name="T47" fmla="*/ 103 w 103"/>
            <a:gd name="T48" fmla="*/ 57 h 5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3" h="57">
              <a:moveTo>
                <a:pt x="103" y="10"/>
              </a:moveTo>
              <a:lnTo>
                <a:pt x="101" y="21"/>
              </a:lnTo>
              <a:lnTo>
                <a:pt x="96" y="32"/>
              </a:lnTo>
              <a:lnTo>
                <a:pt x="89" y="41"/>
              </a:lnTo>
              <a:lnTo>
                <a:pt x="80" y="48"/>
              </a:lnTo>
              <a:lnTo>
                <a:pt x="70" y="53"/>
              </a:lnTo>
              <a:lnTo>
                <a:pt x="58" y="57"/>
              </a:lnTo>
              <a:lnTo>
                <a:pt x="46" y="57"/>
              </a:lnTo>
              <a:lnTo>
                <a:pt x="36" y="55"/>
              </a:lnTo>
              <a:lnTo>
                <a:pt x="24" y="49"/>
              </a:lnTo>
              <a:lnTo>
                <a:pt x="16" y="43"/>
              </a:lnTo>
              <a:lnTo>
                <a:pt x="9" y="34"/>
              </a:lnTo>
              <a:lnTo>
                <a:pt x="3" y="23"/>
              </a:lnTo>
              <a:lnTo>
                <a:pt x="0" y="11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57150</xdr:colOff>
      <xdr:row>38</xdr:row>
      <xdr:rowOff>38100</xdr:rowOff>
    </xdr:from>
    <xdr:to>
      <xdr:col>18</xdr:col>
      <xdr:colOff>133350</xdr:colOff>
      <xdr:row>40</xdr:row>
      <xdr:rowOff>19050</xdr:rowOff>
    </xdr:to>
    <xdr:sp macro="" textlink="">
      <xdr:nvSpPr>
        <xdr:cNvPr id="12032" name="Freeform 182">
          <a:extLst>
            <a:ext uri="{FF2B5EF4-FFF2-40B4-BE49-F238E27FC236}">
              <a16:creationId xmlns:a16="http://schemas.microsoft.com/office/drawing/2014/main" id="{00000000-0008-0000-0900-0000002F0000}"/>
            </a:ext>
          </a:extLst>
        </xdr:cNvPr>
        <xdr:cNvSpPr>
          <a:spLocks noChangeAspect="1"/>
        </xdr:cNvSpPr>
      </xdr:nvSpPr>
      <xdr:spPr bwMode="auto">
        <a:xfrm>
          <a:off x="9582150" y="6724650"/>
          <a:ext cx="76200" cy="304800"/>
        </a:xfrm>
        <a:custGeom>
          <a:avLst/>
          <a:gdLst>
            <a:gd name="T0" fmla="*/ 0 w 161"/>
            <a:gd name="T1" fmla="*/ 2147483647 h 629"/>
            <a:gd name="T2" fmla="*/ 0 w 161"/>
            <a:gd name="T3" fmla="*/ 2147483647 h 629"/>
            <a:gd name="T4" fmla="*/ 0 w 161"/>
            <a:gd name="T5" fmla="*/ 2147483647 h 629"/>
            <a:gd name="T6" fmla="*/ 2147483647 w 161"/>
            <a:gd name="T7" fmla="*/ 0 h 629"/>
            <a:gd name="T8" fmla="*/ 0 w 161"/>
            <a:gd name="T9" fmla="*/ 0 h 629"/>
            <a:gd name="T10" fmla="*/ 0 w 161"/>
            <a:gd name="T11" fmla="*/ 0 h 629"/>
            <a:gd name="T12" fmla="*/ 0 w 161"/>
            <a:gd name="T13" fmla="*/ 2147483647 h 62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61"/>
            <a:gd name="T22" fmla="*/ 0 h 629"/>
            <a:gd name="T23" fmla="*/ 161 w 161"/>
            <a:gd name="T24" fmla="*/ 629 h 62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61" h="629">
              <a:moveTo>
                <a:pt x="0" y="619"/>
              </a:moveTo>
              <a:lnTo>
                <a:pt x="52" y="624"/>
              </a:lnTo>
              <a:lnTo>
                <a:pt x="103" y="629"/>
              </a:lnTo>
              <a:lnTo>
                <a:pt x="161" y="11"/>
              </a:lnTo>
              <a:lnTo>
                <a:pt x="109" y="6"/>
              </a:lnTo>
              <a:lnTo>
                <a:pt x="58" y="0"/>
              </a:lnTo>
              <a:lnTo>
                <a:pt x="0" y="61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66675</xdr:colOff>
      <xdr:row>38</xdr:row>
      <xdr:rowOff>19050</xdr:rowOff>
    </xdr:from>
    <xdr:to>
      <xdr:col>18</xdr:col>
      <xdr:colOff>123825</xdr:colOff>
      <xdr:row>38</xdr:row>
      <xdr:rowOff>47625</xdr:rowOff>
    </xdr:to>
    <xdr:sp macro="" textlink="">
      <xdr:nvSpPr>
        <xdr:cNvPr id="12033" name="Freeform 184">
          <a:extLst>
            <a:ext uri="{FF2B5EF4-FFF2-40B4-BE49-F238E27FC236}">
              <a16:creationId xmlns:a16="http://schemas.microsoft.com/office/drawing/2014/main" id="{00000000-0008-0000-0900-0000012F0000}"/>
            </a:ext>
          </a:extLst>
        </xdr:cNvPr>
        <xdr:cNvSpPr>
          <a:spLocks noChangeAspect="1"/>
        </xdr:cNvSpPr>
      </xdr:nvSpPr>
      <xdr:spPr bwMode="auto">
        <a:xfrm>
          <a:off x="9591675" y="6705600"/>
          <a:ext cx="57150" cy="28575"/>
        </a:xfrm>
        <a:custGeom>
          <a:avLst/>
          <a:gdLst>
            <a:gd name="T0" fmla="*/ 0 w 103"/>
            <a:gd name="T1" fmla="*/ 0 h 57"/>
            <a:gd name="T2" fmla="*/ 0 w 103"/>
            <a:gd name="T3" fmla="*/ 0 h 57"/>
            <a:gd name="T4" fmla="*/ 0 w 103"/>
            <a:gd name="T5" fmla="*/ 0 h 57"/>
            <a:gd name="T6" fmla="*/ 0 w 103"/>
            <a:gd name="T7" fmla="*/ 0 h 57"/>
            <a:gd name="T8" fmla="*/ 0 w 103"/>
            <a:gd name="T9" fmla="*/ 0 h 57"/>
            <a:gd name="T10" fmla="*/ 0 w 103"/>
            <a:gd name="T11" fmla="*/ 0 h 57"/>
            <a:gd name="T12" fmla="*/ 0 w 103"/>
            <a:gd name="T13" fmla="*/ 0 h 57"/>
            <a:gd name="T14" fmla="*/ 0 w 103"/>
            <a:gd name="T15" fmla="*/ 0 h 57"/>
            <a:gd name="T16" fmla="*/ 0 w 103"/>
            <a:gd name="T17" fmla="*/ 0 h 57"/>
            <a:gd name="T18" fmla="*/ 0 w 103"/>
            <a:gd name="T19" fmla="*/ 0 h 57"/>
            <a:gd name="T20" fmla="*/ 0 w 103"/>
            <a:gd name="T21" fmla="*/ 0 h 57"/>
            <a:gd name="T22" fmla="*/ 0 w 103"/>
            <a:gd name="T23" fmla="*/ 0 h 57"/>
            <a:gd name="T24" fmla="*/ 0 w 103"/>
            <a:gd name="T25" fmla="*/ 0 h 57"/>
            <a:gd name="T26" fmla="*/ 0 w 103"/>
            <a:gd name="T27" fmla="*/ 0 h 57"/>
            <a:gd name="T28" fmla="*/ 0 w 103"/>
            <a:gd name="T29" fmla="*/ 0 h 57"/>
            <a:gd name="T30" fmla="*/ 0 w 103"/>
            <a:gd name="T31" fmla="*/ 0 h 57"/>
            <a:gd name="T32" fmla="*/ 0 w 103"/>
            <a:gd name="T33" fmla="*/ 0 h 57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3"/>
            <a:gd name="T52" fmla="*/ 0 h 57"/>
            <a:gd name="T53" fmla="*/ 103 w 103"/>
            <a:gd name="T54" fmla="*/ 57 h 57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3" h="57">
              <a:moveTo>
                <a:pt x="51" y="52"/>
              </a:moveTo>
              <a:lnTo>
                <a:pt x="0" y="46"/>
              </a:lnTo>
              <a:lnTo>
                <a:pt x="2" y="36"/>
              </a:lnTo>
              <a:lnTo>
                <a:pt x="7" y="24"/>
              </a:lnTo>
              <a:lnTo>
                <a:pt x="14" y="16"/>
              </a:lnTo>
              <a:lnTo>
                <a:pt x="23" y="9"/>
              </a:lnTo>
              <a:lnTo>
                <a:pt x="34" y="3"/>
              </a:lnTo>
              <a:lnTo>
                <a:pt x="45" y="0"/>
              </a:lnTo>
              <a:lnTo>
                <a:pt x="57" y="0"/>
              </a:lnTo>
              <a:lnTo>
                <a:pt x="67" y="2"/>
              </a:lnTo>
              <a:lnTo>
                <a:pt x="79" y="8"/>
              </a:lnTo>
              <a:lnTo>
                <a:pt x="87" y="14"/>
              </a:lnTo>
              <a:lnTo>
                <a:pt x="94" y="23"/>
              </a:lnTo>
              <a:lnTo>
                <a:pt x="100" y="34"/>
              </a:lnTo>
              <a:lnTo>
                <a:pt x="103" y="45"/>
              </a:lnTo>
              <a:lnTo>
                <a:pt x="103" y="57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66675</xdr:colOff>
      <xdr:row>38</xdr:row>
      <xdr:rowOff>19050</xdr:rowOff>
    </xdr:from>
    <xdr:to>
      <xdr:col>18</xdr:col>
      <xdr:colOff>123825</xdr:colOff>
      <xdr:row>38</xdr:row>
      <xdr:rowOff>47625</xdr:rowOff>
    </xdr:to>
    <xdr:sp macro="" textlink="">
      <xdr:nvSpPr>
        <xdr:cNvPr id="12034" name="Freeform 185">
          <a:extLst>
            <a:ext uri="{FF2B5EF4-FFF2-40B4-BE49-F238E27FC236}">
              <a16:creationId xmlns:a16="http://schemas.microsoft.com/office/drawing/2014/main" id="{00000000-0008-0000-0900-0000022F0000}"/>
            </a:ext>
          </a:extLst>
        </xdr:cNvPr>
        <xdr:cNvSpPr>
          <a:spLocks noChangeAspect="1"/>
        </xdr:cNvSpPr>
      </xdr:nvSpPr>
      <xdr:spPr bwMode="auto">
        <a:xfrm>
          <a:off x="9591675" y="6705600"/>
          <a:ext cx="57150" cy="28575"/>
        </a:xfrm>
        <a:custGeom>
          <a:avLst/>
          <a:gdLst>
            <a:gd name="T0" fmla="*/ 0 w 103"/>
            <a:gd name="T1" fmla="*/ 0 h 57"/>
            <a:gd name="T2" fmla="*/ 0 w 103"/>
            <a:gd name="T3" fmla="*/ 0 h 57"/>
            <a:gd name="T4" fmla="*/ 0 w 103"/>
            <a:gd name="T5" fmla="*/ 0 h 57"/>
            <a:gd name="T6" fmla="*/ 0 w 103"/>
            <a:gd name="T7" fmla="*/ 0 h 57"/>
            <a:gd name="T8" fmla="*/ 0 w 103"/>
            <a:gd name="T9" fmla="*/ 0 h 57"/>
            <a:gd name="T10" fmla="*/ 0 w 103"/>
            <a:gd name="T11" fmla="*/ 0 h 57"/>
            <a:gd name="T12" fmla="*/ 0 w 103"/>
            <a:gd name="T13" fmla="*/ 0 h 57"/>
            <a:gd name="T14" fmla="*/ 0 w 103"/>
            <a:gd name="T15" fmla="*/ 0 h 57"/>
            <a:gd name="T16" fmla="*/ 0 w 103"/>
            <a:gd name="T17" fmla="*/ 0 h 57"/>
            <a:gd name="T18" fmla="*/ 0 w 103"/>
            <a:gd name="T19" fmla="*/ 0 h 57"/>
            <a:gd name="T20" fmla="*/ 0 w 103"/>
            <a:gd name="T21" fmla="*/ 0 h 57"/>
            <a:gd name="T22" fmla="*/ 0 w 103"/>
            <a:gd name="T23" fmla="*/ 0 h 57"/>
            <a:gd name="T24" fmla="*/ 0 w 103"/>
            <a:gd name="T25" fmla="*/ 0 h 57"/>
            <a:gd name="T26" fmla="*/ 0 w 103"/>
            <a:gd name="T27" fmla="*/ 0 h 57"/>
            <a:gd name="T28" fmla="*/ 0 w 103"/>
            <a:gd name="T29" fmla="*/ 0 h 5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3"/>
            <a:gd name="T46" fmla="*/ 0 h 57"/>
            <a:gd name="T47" fmla="*/ 103 w 103"/>
            <a:gd name="T48" fmla="*/ 57 h 5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3" h="57">
              <a:moveTo>
                <a:pt x="0" y="46"/>
              </a:moveTo>
              <a:lnTo>
                <a:pt x="2" y="36"/>
              </a:lnTo>
              <a:lnTo>
                <a:pt x="7" y="24"/>
              </a:lnTo>
              <a:lnTo>
                <a:pt x="14" y="16"/>
              </a:lnTo>
              <a:lnTo>
                <a:pt x="23" y="9"/>
              </a:lnTo>
              <a:lnTo>
                <a:pt x="34" y="3"/>
              </a:lnTo>
              <a:lnTo>
                <a:pt x="45" y="0"/>
              </a:lnTo>
              <a:lnTo>
                <a:pt x="57" y="0"/>
              </a:lnTo>
              <a:lnTo>
                <a:pt x="67" y="2"/>
              </a:lnTo>
              <a:lnTo>
                <a:pt x="79" y="8"/>
              </a:lnTo>
              <a:lnTo>
                <a:pt x="87" y="14"/>
              </a:lnTo>
              <a:lnTo>
                <a:pt x="94" y="23"/>
              </a:lnTo>
              <a:lnTo>
                <a:pt x="100" y="34"/>
              </a:lnTo>
              <a:lnTo>
                <a:pt x="103" y="45"/>
              </a:lnTo>
              <a:lnTo>
                <a:pt x="103" y="57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66675</xdr:colOff>
      <xdr:row>38</xdr:row>
      <xdr:rowOff>38100</xdr:rowOff>
    </xdr:from>
    <xdr:to>
      <xdr:col>18</xdr:col>
      <xdr:colOff>123825</xdr:colOff>
      <xdr:row>38</xdr:row>
      <xdr:rowOff>76200</xdr:rowOff>
    </xdr:to>
    <xdr:sp macro="" textlink="">
      <xdr:nvSpPr>
        <xdr:cNvPr id="12035" name="Freeform 186">
          <a:extLst>
            <a:ext uri="{FF2B5EF4-FFF2-40B4-BE49-F238E27FC236}">
              <a16:creationId xmlns:a16="http://schemas.microsoft.com/office/drawing/2014/main" id="{00000000-0008-0000-0900-0000032F0000}"/>
            </a:ext>
          </a:extLst>
        </xdr:cNvPr>
        <xdr:cNvSpPr>
          <a:spLocks noChangeAspect="1"/>
        </xdr:cNvSpPr>
      </xdr:nvSpPr>
      <xdr:spPr bwMode="auto">
        <a:xfrm>
          <a:off x="9591675" y="6724650"/>
          <a:ext cx="57150" cy="38100"/>
        </a:xfrm>
        <a:custGeom>
          <a:avLst/>
          <a:gdLst>
            <a:gd name="T0" fmla="*/ 0 w 102"/>
            <a:gd name="T1" fmla="*/ 0 h 65"/>
            <a:gd name="T2" fmla="*/ 0 w 102"/>
            <a:gd name="T3" fmla="*/ 0 h 65"/>
            <a:gd name="T4" fmla="*/ 0 w 102"/>
            <a:gd name="T5" fmla="*/ 0 h 65"/>
            <a:gd name="T6" fmla="*/ 0 w 102"/>
            <a:gd name="T7" fmla="*/ 0 h 65"/>
            <a:gd name="T8" fmla="*/ 0 w 102"/>
            <a:gd name="T9" fmla="*/ 0 h 65"/>
            <a:gd name="T10" fmla="*/ 0 w 102"/>
            <a:gd name="T11" fmla="*/ 0 h 65"/>
            <a:gd name="T12" fmla="*/ 0 w 102"/>
            <a:gd name="T13" fmla="*/ 0 h 65"/>
            <a:gd name="T14" fmla="*/ 0 w 102"/>
            <a:gd name="T15" fmla="*/ 0 h 65"/>
            <a:gd name="T16" fmla="*/ 0 w 102"/>
            <a:gd name="T17" fmla="*/ 0 h 65"/>
            <a:gd name="T18" fmla="*/ 0 w 102"/>
            <a:gd name="T19" fmla="*/ 0 h 65"/>
            <a:gd name="T20" fmla="*/ 0 w 102"/>
            <a:gd name="T21" fmla="*/ 0 h 65"/>
            <a:gd name="T22" fmla="*/ 0 w 102"/>
            <a:gd name="T23" fmla="*/ 0 h 65"/>
            <a:gd name="T24" fmla="*/ 0 w 102"/>
            <a:gd name="T25" fmla="*/ 0 h 65"/>
            <a:gd name="T26" fmla="*/ 0 w 102"/>
            <a:gd name="T27" fmla="*/ 0 h 65"/>
            <a:gd name="T28" fmla="*/ 0 w 102"/>
            <a:gd name="T29" fmla="*/ 0 h 65"/>
            <a:gd name="T30" fmla="*/ 0 w 102"/>
            <a:gd name="T31" fmla="*/ 0 h 65"/>
            <a:gd name="T32" fmla="*/ 0 w 102"/>
            <a:gd name="T33" fmla="*/ 0 h 65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2"/>
            <a:gd name="T52" fmla="*/ 0 h 65"/>
            <a:gd name="T53" fmla="*/ 102 w 102"/>
            <a:gd name="T54" fmla="*/ 65 h 65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2" h="65">
              <a:moveTo>
                <a:pt x="51" y="14"/>
              </a:moveTo>
              <a:lnTo>
                <a:pt x="102" y="27"/>
              </a:lnTo>
              <a:lnTo>
                <a:pt x="98" y="39"/>
              </a:lnTo>
              <a:lnTo>
                <a:pt x="90" y="48"/>
              </a:lnTo>
              <a:lnTo>
                <a:pt x="82" y="56"/>
              </a:lnTo>
              <a:lnTo>
                <a:pt x="71" y="62"/>
              </a:lnTo>
              <a:lnTo>
                <a:pt x="61" y="65"/>
              </a:lnTo>
              <a:lnTo>
                <a:pt x="49" y="65"/>
              </a:lnTo>
              <a:lnTo>
                <a:pt x="38" y="64"/>
              </a:lnTo>
              <a:lnTo>
                <a:pt x="26" y="60"/>
              </a:lnTo>
              <a:lnTo>
                <a:pt x="17" y="53"/>
              </a:lnTo>
              <a:lnTo>
                <a:pt x="9" y="44"/>
              </a:lnTo>
              <a:lnTo>
                <a:pt x="3" y="34"/>
              </a:lnTo>
              <a:lnTo>
                <a:pt x="0" y="23"/>
              </a:lnTo>
              <a:lnTo>
                <a:pt x="0" y="12"/>
              </a:lnTo>
              <a:lnTo>
                <a:pt x="1" y="0"/>
              </a:lnTo>
              <a:lnTo>
                <a:pt x="51" y="1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66675</xdr:colOff>
      <xdr:row>38</xdr:row>
      <xdr:rowOff>38100</xdr:rowOff>
    </xdr:from>
    <xdr:to>
      <xdr:col>18</xdr:col>
      <xdr:colOff>123825</xdr:colOff>
      <xdr:row>38</xdr:row>
      <xdr:rowOff>76200</xdr:rowOff>
    </xdr:to>
    <xdr:sp macro="" textlink="">
      <xdr:nvSpPr>
        <xdr:cNvPr id="12036" name="Freeform 187">
          <a:extLst>
            <a:ext uri="{FF2B5EF4-FFF2-40B4-BE49-F238E27FC236}">
              <a16:creationId xmlns:a16="http://schemas.microsoft.com/office/drawing/2014/main" id="{00000000-0008-0000-0900-0000042F0000}"/>
            </a:ext>
          </a:extLst>
        </xdr:cNvPr>
        <xdr:cNvSpPr>
          <a:spLocks noChangeAspect="1"/>
        </xdr:cNvSpPr>
      </xdr:nvSpPr>
      <xdr:spPr bwMode="auto">
        <a:xfrm>
          <a:off x="9591675" y="6724650"/>
          <a:ext cx="57150" cy="38100"/>
        </a:xfrm>
        <a:custGeom>
          <a:avLst/>
          <a:gdLst>
            <a:gd name="T0" fmla="*/ 0 w 102"/>
            <a:gd name="T1" fmla="*/ 0 h 65"/>
            <a:gd name="T2" fmla="*/ 0 w 102"/>
            <a:gd name="T3" fmla="*/ 0 h 65"/>
            <a:gd name="T4" fmla="*/ 0 w 102"/>
            <a:gd name="T5" fmla="*/ 0 h 65"/>
            <a:gd name="T6" fmla="*/ 0 w 102"/>
            <a:gd name="T7" fmla="*/ 0 h 65"/>
            <a:gd name="T8" fmla="*/ 0 w 102"/>
            <a:gd name="T9" fmla="*/ 0 h 65"/>
            <a:gd name="T10" fmla="*/ 0 w 102"/>
            <a:gd name="T11" fmla="*/ 0 h 65"/>
            <a:gd name="T12" fmla="*/ 0 w 102"/>
            <a:gd name="T13" fmla="*/ 0 h 65"/>
            <a:gd name="T14" fmla="*/ 0 w 102"/>
            <a:gd name="T15" fmla="*/ 0 h 65"/>
            <a:gd name="T16" fmla="*/ 0 w 102"/>
            <a:gd name="T17" fmla="*/ 0 h 65"/>
            <a:gd name="T18" fmla="*/ 0 w 102"/>
            <a:gd name="T19" fmla="*/ 0 h 65"/>
            <a:gd name="T20" fmla="*/ 0 w 102"/>
            <a:gd name="T21" fmla="*/ 0 h 65"/>
            <a:gd name="T22" fmla="*/ 0 w 102"/>
            <a:gd name="T23" fmla="*/ 0 h 65"/>
            <a:gd name="T24" fmla="*/ 0 w 102"/>
            <a:gd name="T25" fmla="*/ 0 h 65"/>
            <a:gd name="T26" fmla="*/ 0 w 102"/>
            <a:gd name="T27" fmla="*/ 0 h 65"/>
            <a:gd name="T28" fmla="*/ 0 w 102"/>
            <a:gd name="T29" fmla="*/ 0 h 65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2"/>
            <a:gd name="T46" fmla="*/ 0 h 65"/>
            <a:gd name="T47" fmla="*/ 102 w 102"/>
            <a:gd name="T48" fmla="*/ 65 h 65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2" h="65">
              <a:moveTo>
                <a:pt x="102" y="27"/>
              </a:moveTo>
              <a:lnTo>
                <a:pt x="98" y="39"/>
              </a:lnTo>
              <a:lnTo>
                <a:pt x="90" y="48"/>
              </a:lnTo>
              <a:lnTo>
                <a:pt x="82" y="56"/>
              </a:lnTo>
              <a:lnTo>
                <a:pt x="71" y="62"/>
              </a:lnTo>
              <a:lnTo>
                <a:pt x="61" y="65"/>
              </a:lnTo>
              <a:lnTo>
                <a:pt x="49" y="65"/>
              </a:lnTo>
              <a:lnTo>
                <a:pt x="38" y="64"/>
              </a:lnTo>
              <a:lnTo>
                <a:pt x="26" y="60"/>
              </a:lnTo>
              <a:lnTo>
                <a:pt x="17" y="53"/>
              </a:lnTo>
              <a:lnTo>
                <a:pt x="9" y="44"/>
              </a:lnTo>
              <a:lnTo>
                <a:pt x="3" y="34"/>
              </a:lnTo>
              <a:lnTo>
                <a:pt x="0" y="23"/>
              </a:lnTo>
              <a:lnTo>
                <a:pt x="0" y="12"/>
              </a:lnTo>
              <a:lnTo>
                <a:pt x="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123825</xdr:colOff>
      <xdr:row>35</xdr:row>
      <xdr:rowOff>95250</xdr:rowOff>
    </xdr:from>
    <xdr:to>
      <xdr:col>18</xdr:col>
      <xdr:colOff>219075</xdr:colOff>
      <xdr:row>37</xdr:row>
      <xdr:rowOff>104775</xdr:rowOff>
    </xdr:to>
    <xdr:sp macro="" textlink="">
      <xdr:nvSpPr>
        <xdr:cNvPr id="12037" name="Freeform 188">
          <a:extLst>
            <a:ext uri="{FF2B5EF4-FFF2-40B4-BE49-F238E27FC236}">
              <a16:creationId xmlns:a16="http://schemas.microsoft.com/office/drawing/2014/main" id="{00000000-0008-0000-0900-0000052F0000}"/>
            </a:ext>
          </a:extLst>
        </xdr:cNvPr>
        <xdr:cNvSpPr>
          <a:spLocks noChangeAspect="1"/>
        </xdr:cNvSpPr>
      </xdr:nvSpPr>
      <xdr:spPr bwMode="auto">
        <a:xfrm>
          <a:off x="9648825" y="6296025"/>
          <a:ext cx="95250" cy="333375"/>
        </a:xfrm>
        <a:custGeom>
          <a:avLst/>
          <a:gdLst>
            <a:gd name="T0" fmla="*/ 0 w 404"/>
            <a:gd name="T1" fmla="*/ 2147483647 h 1115"/>
            <a:gd name="T2" fmla="*/ 0 w 404"/>
            <a:gd name="T3" fmla="*/ 2147483647 h 1115"/>
            <a:gd name="T4" fmla="*/ 0 w 404"/>
            <a:gd name="T5" fmla="*/ 2147483647 h 1115"/>
            <a:gd name="T6" fmla="*/ 0 w 404"/>
            <a:gd name="T7" fmla="*/ 0 h 1115"/>
            <a:gd name="T8" fmla="*/ 0 w 404"/>
            <a:gd name="T9" fmla="*/ 0 h 1115"/>
            <a:gd name="T10" fmla="*/ 0 w 404"/>
            <a:gd name="T11" fmla="*/ 0 h 1115"/>
            <a:gd name="T12" fmla="*/ 0 w 404"/>
            <a:gd name="T13" fmla="*/ 2147483647 h 1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04"/>
            <a:gd name="T22" fmla="*/ 0 h 1115"/>
            <a:gd name="T23" fmla="*/ 404 w 404"/>
            <a:gd name="T24" fmla="*/ 1115 h 111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04" h="1115">
              <a:moveTo>
                <a:pt x="0" y="1088"/>
              </a:moveTo>
              <a:lnTo>
                <a:pt x="50" y="1102"/>
              </a:lnTo>
              <a:lnTo>
                <a:pt x="101" y="1115"/>
              </a:lnTo>
              <a:lnTo>
                <a:pt x="404" y="28"/>
              </a:lnTo>
              <a:lnTo>
                <a:pt x="354" y="14"/>
              </a:lnTo>
              <a:lnTo>
                <a:pt x="303" y="0"/>
              </a:lnTo>
              <a:lnTo>
                <a:pt x="0" y="1088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219075</xdr:colOff>
      <xdr:row>34</xdr:row>
      <xdr:rowOff>142875</xdr:rowOff>
    </xdr:from>
    <xdr:to>
      <xdr:col>19</xdr:col>
      <xdr:colOff>0</xdr:colOff>
      <xdr:row>35</xdr:row>
      <xdr:rowOff>38100</xdr:rowOff>
    </xdr:to>
    <xdr:sp macro="" textlink="">
      <xdr:nvSpPr>
        <xdr:cNvPr id="12038" name="Freeform 190">
          <a:extLst>
            <a:ext uri="{FF2B5EF4-FFF2-40B4-BE49-F238E27FC236}">
              <a16:creationId xmlns:a16="http://schemas.microsoft.com/office/drawing/2014/main" id="{00000000-0008-0000-0900-0000062F0000}"/>
            </a:ext>
          </a:extLst>
        </xdr:cNvPr>
        <xdr:cNvSpPr>
          <a:spLocks noChangeAspect="1"/>
        </xdr:cNvSpPr>
      </xdr:nvSpPr>
      <xdr:spPr bwMode="auto">
        <a:xfrm>
          <a:off x="9744075" y="6181725"/>
          <a:ext cx="85725" cy="57150"/>
        </a:xfrm>
        <a:custGeom>
          <a:avLst/>
          <a:gdLst>
            <a:gd name="T0" fmla="*/ 0 w 102"/>
            <a:gd name="T1" fmla="*/ 0 h 66"/>
            <a:gd name="T2" fmla="*/ 0 w 102"/>
            <a:gd name="T3" fmla="*/ 0 h 66"/>
            <a:gd name="T4" fmla="*/ 0 w 102"/>
            <a:gd name="T5" fmla="*/ 0 h 66"/>
            <a:gd name="T6" fmla="*/ 0 w 102"/>
            <a:gd name="T7" fmla="*/ 0 h 66"/>
            <a:gd name="T8" fmla="*/ 0 w 102"/>
            <a:gd name="T9" fmla="*/ 0 h 66"/>
            <a:gd name="T10" fmla="*/ 0 w 102"/>
            <a:gd name="T11" fmla="*/ 0 h 66"/>
            <a:gd name="T12" fmla="*/ 0 w 102"/>
            <a:gd name="T13" fmla="*/ 0 h 66"/>
            <a:gd name="T14" fmla="*/ 0 w 102"/>
            <a:gd name="T15" fmla="*/ 0 h 66"/>
            <a:gd name="T16" fmla="*/ 0 w 102"/>
            <a:gd name="T17" fmla="*/ 0 h 66"/>
            <a:gd name="T18" fmla="*/ 0 w 102"/>
            <a:gd name="T19" fmla="*/ 0 h 66"/>
            <a:gd name="T20" fmla="*/ 0 w 102"/>
            <a:gd name="T21" fmla="*/ 0 h 66"/>
            <a:gd name="T22" fmla="*/ 0 w 102"/>
            <a:gd name="T23" fmla="*/ 0 h 66"/>
            <a:gd name="T24" fmla="*/ 0 w 102"/>
            <a:gd name="T25" fmla="*/ 0 h 66"/>
            <a:gd name="T26" fmla="*/ 0 w 102"/>
            <a:gd name="T27" fmla="*/ 0 h 66"/>
            <a:gd name="T28" fmla="*/ 0 w 102"/>
            <a:gd name="T29" fmla="*/ 0 h 66"/>
            <a:gd name="T30" fmla="*/ 0 w 102"/>
            <a:gd name="T31" fmla="*/ 0 h 66"/>
            <a:gd name="T32" fmla="*/ 0 w 102"/>
            <a:gd name="T33" fmla="*/ 0 h 6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2"/>
            <a:gd name="T52" fmla="*/ 0 h 66"/>
            <a:gd name="T53" fmla="*/ 102 w 102"/>
            <a:gd name="T54" fmla="*/ 66 h 66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2" h="66">
              <a:moveTo>
                <a:pt x="51" y="52"/>
              </a:moveTo>
              <a:lnTo>
                <a:pt x="0" y="38"/>
              </a:lnTo>
              <a:lnTo>
                <a:pt x="5" y="27"/>
              </a:lnTo>
              <a:lnTo>
                <a:pt x="12" y="17"/>
              </a:lnTo>
              <a:lnTo>
                <a:pt x="20" y="10"/>
              </a:lnTo>
              <a:lnTo>
                <a:pt x="31" y="4"/>
              </a:lnTo>
              <a:lnTo>
                <a:pt x="41" y="0"/>
              </a:lnTo>
              <a:lnTo>
                <a:pt x="53" y="0"/>
              </a:lnTo>
              <a:lnTo>
                <a:pt x="65" y="2"/>
              </a:lnTo>
              <a:lnTo>
                <a:pt x="76" y="6"/>
              </a:lnTo>
              <a:lnTo>
                <a:pt x="86" y="13"/>
              </a:lnTo>
              <a:lnTo>
                <a:pt x="93" y="21"/>
              </a:lnTo>
              <a:lnTo>
                <a:pt x="99" y="32"/>
              </a:lnTo>
              <a:lnTo>
                <a:pt x="102" y="42"/>
              </a:lnTo>
              <a:lnTo>
                <a:pt x="102" y="54"/>
              </a:lnTo>
              <a:lnTo>
                <a:pt x="101" y="66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219075</xdr:colOff>
      <xdr:row>34</xdr:row>
      <xdr:rowOff>142875</xdr:rowOff>
    </xdr:from>
    <xdr:to>
      <xdr:col>19</xdr:col>
      <xdr:colOff>0</xdr:colOff>
      <xdr:row>35</xdr:row>
      <xdr:rowOff>38100</xdr:rowOff>
    </xdr:to>
    <xdr:sp macro="" textlink="">
      <xdr:nvSpPr>
        <xdr:cNvPr id="12039" name="Freeform 191">
          <a:extLst>
            <a:ext uri="{FF2B5EF4-FFF2-40B4-BE49-F238E27FC236}">
              <a16:creationId xmlns:a16="http://schemas.microsoft.com/office/drawing/2014/main" id="{00000000-0008-0000-0900-0000072F0000}"/>
            </a:ext>
          </a:extLst>
        </xdr:cNvPr>
        <xdr:cNvSpPr>
          <a:spLocks noChangeAspect="1"/>
        </xdr:cNvSpPr>
      </xdr:nvSpPr>
      <xdr:spPr bwMode="auto">
        <a:xfrm>
          <a:off x="9744075" y="6181725"/>
          <a:ext cx="85725" cy="57150"/>
        </a:xfrm>
        <a:custGeom>
          <a:avLst/>
          <a:gdLst>
            <a:gd name="T0" fmla="*/ 0 w 102"/>
            <a:gd name="T1" fmla="*/ 0 h 66"/>
            <a:gd name="T2" fmla="*/ 0 w 102"/>
            <a:gd name="T3" fmla="*/ 0 h 66"/>
            <a:gd name="T4" fmla="*/ 0 w 102"/>
            <a:gd name="T5" fmla="*/ 0 h 66"/>
            <a:gd name="T6" fmla="*/ 0 w 102"/>
            <a:gd name="T7" fmla="*/ 0 h 66"/>
            <a:gd name="T8" fmla="*/ 0 w 102"/>
            <a:gd name="T9" fmla="*/ 0 h 66"/>
            <a:gd name="T10" fmla="*/ 0 w 102"/>
            <a:gd name="T11" fmla="*/ 0 h 66"/>
            <a:gd name="T12" fmla="*/ 0 w 102"/>
            <a:gd name="T13" fmla="*/ 0 h 66"/>
            <a:gd name="T14" fmla="*/ 0 w 102"/>
            <a:gd name="T15" fmla="*/ 0 h 66"/>
            <a:gd name="T16" fmla="*/ 0 w 102"/>
            <a:gd name="T17" fmla="*/ 0 h 66"/>
            <a:gd name="T18" fmla="*/ 0 w 102"/>
            <a:gd name="T19" fmla="*/ 0 h 66"/>
            <a:gd name="T20" fmla="*/ 0 w 102"/>
            <a:gd name="T21" fmla="*/ 0 h 66"/>
            <a:gd name="T22" fmla="*/ 0 w 102"/>
            <a:gd name="T23" fmla="*/ 0 h 66"/>
            <a:gd name="T24" fmla="*/ 0 w 102"/>
            <a:gd name="T25" fmla="*/ 0 h 66"/>
            <a:gd name="T26" fmla="*/ 0 w 102"/>
            <a:gd name="T27" fmla="*/ 0 h 66"/>
            <a:gd name="T28" fmla="*/ 0 w 102"/>
            <a:gd name="T29" fmla="*/ 0 h 6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2"/>
            <a:gd name="T46" fmla="*/ 0 h 66"/>
            <a:gd name="T47" fmla="*/ 102 w 102"/>
            <a:gd name="T48" fmla="*/ 66 h 66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2" h="66">
              <a:moveTo>
                <a:pt x="0" y="38"/>
              </a:moveTo>
              <a:lnTo>
                <a:pt x="5" y="27"/>
              </a:lnTo>
              <a:lnTo>
                <a:pt x="12" y="17"/>
              </a:lnTo>
              <a:lnTo>
                <a:pt x="20" y="10"/>
              </a:lnTo>
              <a:lnTo>
                <a:pt x="31" y="4"/>
              </a:lnTo>
              <a:lnTo>
                <a:pt x="41" y="0"/>
              </a:lnTo>
              <a:lnTo>
                <a:pt x="53" y="0"/>
              </a:lnTo>
              <a:lnTo>
                <a:pt x="65" y="2"/>
              </a:lnTo>
              <a:lnTo>
                <a:pt x="76" y="6"/>
              </a:lnTo>
              <a:lnTo>
                <a:pt x="86" y="13"/>
              </a:lnTo>
              <a:lnTo>
                <a:pt x="93" y="21"/>
              </a:lnTo>
              <a:lnTo>
                <a:pt x="99" y="32"/>
              </a:lnTo>
              <a:lnTo>
                <a:pt x="102" y="42"/>
              </a:lnTo>
              <a:lnTo>
                <a:pt x="102" y="54"/>
              </a:lnTo>
              <a:lnTo>
                <a:pt x="101" y="66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219075</xdr:colOff>
      <xdr:row>35</xdr:row>
      <xdr:rowOff>19050</xdr:rowOff>
    </xdr:from>
    <xdr:to>
      <xdr:col>19</xdr:col>
      <xdr:colOff>0</xdr:colOff>
      <xdr:row>35</xdr:row>
      <xdr:rowOff>47625</xdr:rowOff>
    </xdr:to>
    <xdr:sp macro="" textlink="">
      <xdr:nvSpPr>
        <xdr:cNvPr id="12040" name="Freeform 192">
          <a:extLst>
            <a:ext uri="{FF2B5EF4-FFF2-40B4-BE49-F238E27FC236}">
              <a16:creationId xmlns:a16="http://schemas.microsoft.com/office/drawing/2014/main" id="{00000000-0008-0000-0900-0000082F0000}"/>
            </a:ext>
          </a:extLst>
        </xdr:cNvPr>
        <xdr:cNvSpPr>
          <a:spLocks noChangeAspect="1"/>
        </xdr:cNvSpPr>
      </xdr:nvSpPr>
      <xdr:spPr bwMode="auto">
        <a:xfrm>
          <a:off x="9744075" y="6219825"/>
          <a:ext cx="85725" cy="28575"/>
        </a:xfrm>
        <a:custGeom>
          <a:avLst/>
          <a:gdLst>
            <a:gd name="T0" fmla="*/ 0 w 96"/>
            <a:gd name="T1" fmla="*/ 0 h 78"/>
            <a:gd name="T2" fmla="*/ 0 w 96"/>
            <a:gd name="T3" fmla="*/ 0 h 78"/>
            <a:gd name="T4" fmla="*/ 0 w 96"/>
            <a:gd name="T5" fmla="*/ 0 h 78"/>
            <a:gd name="T6" fmla="*/ 0 w 96"/>
            <a:gd name="T7" fmla="*/ 0 h 78"/>
            <a:gd name="T8" fmla="*/ 0 w 96"/>
            <a:gd name="T9" fmla="*/ 0 h 78"/>
            <a:gd name="T10" fmla="*/ 0 w 96"/>
            <a:gd name="T11" fmla="*/ 0 h 78"/>
            <a:gd name="T12" fmla="*/ 0 w 96"/>
            <a:gd name="T13" fmla="*/ 0 h 78"/>
            <a:gd name="T14" fmla="*/ 0 w 96"/>
            <a:gd name="T15" fmla="*/ 0 h 78"/>
            <a:gd name="T16" fmla="*/ 0 w 96"/>
            <a:gd name="T17" fmla="*/ 0 h 78"/>
            <a:gd name="T18" fmla="*/ 0 w 96"/>
            <a:gd name="T19" fmla="*/ 0 h 78"/>
            <a:gd name="T20" fmla="*/ 0 w 96"/>
            <a:gd name="T21" fmla="*/ 0 h 78"/>
            <a:gd name="T22" fmla="*/ 0 w 96"/>
            <a:gd name="T23" fmla="*/ 0 h 78"/>
            <a:gd name="T24" fmla="*/ 0 w 96"/>
            <a:gd name="T25" fmla="*/ 0 h 78"/>
            <a:gd name="T26" fmla="*/ 0 w 96"/>
            <a:gd name="T27" fmla="*/ 0 h 78"/>
            <a:gd name="T28" fmla="*/ 0 w 96"/>
            <a:gd name="T29" fmla="*/ 0 h 78"/>
            <a:gd name="T30" fmla="*/ 0 w 96"/>
            <a:gd name="T31" fmla="*/ 0 h 78"/>
            <a:gd name="T32" fmla="*/ 0 w 96"/>
            <a:gd name="T33" fmla="*/ 0 h 78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96"/>
            <a:gd name="T52" fmla="*/ 0 h 78"/>
            <a:gd name="T53" fmla="*/ 96 w 96"/>
            <a:gd name="T54" fmla="*/ 78 h 78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96" h="78">
              <a:moveTo>
                <a:pt x="52" y="27"/>
              </a:moveTo>
              <a:lnTo>
                <a:pt x="96" y="54"/>
              </a:lnTo>
              <a:lnTo>
                <a:pt x="89" y="64"/>
              </a:lnTo>
              <a:lnTo>
                <a:pt x="80" y="71"/>
              </a:lnTo>
              <a:lnTo>
                <a:pt x="70" y="76"/>
              </a:lnTo>
              <a:lnTo>
                <a:pt x="58" y="78"/>
              </a:lnTo>
              <a:lnTo>
                <a:pt x="47" y="78"/>
              </a:lnTo>
              <a:lnTo>
                <a:pt x="35" y="76"/>
              </a:lnTo>
              <a:lnTo>
                <a:pt x="25" y="71"/>
              </a:lnTo>
              <a:lnTo>
                <a:pt x="15" y="64"/>
              </a:lnTo>
              <a:lnTo>
                <a:pt x="8" y="55"/>
              </a:lnTo>
              <a:lnTo>
                <a:pt x="3" y="45"/>
              </a:lnTo>
              <a:lnTo>
                <a:pt x="0" y="33"/>
              </a:lnTo>
              <a:lnTo>
                <a:pt x="0" y="22"/>
              </a:lnTo>
              <a:lnTo>
                <a:pt x="3" y="10"/>
              </a:lnTo>
              <a:lnTo>
                <a:pt x="8" y="0"/>
              </a:lnTo>
              <a:lnTo>
                <a:pt x="52" y="27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219075</xdr:colOff>
      <xdr:row>35</xdr:row>
      <xdr:rowOff>19050</xdr:rowOff>
    </xdr:from>
    <xdr:to>
      <xdr:col>19</xdr:col>
      <xdr:colOff>0</xdr:colOff>
      <xdr:row>35</xdr:row>
      <xdr:rowOff>47625</xdr:rowOff>
    </xdr:to>
    <xdr:sp macro="" textlink="">
      <xdr:nvSpPr>
        <xdr:cNvPr id="12041" name="Freeform 193">
          <a:extLst>
            <a:ext uri="{FF2B5EF4-FFF2-40B4-BE49-F238E27FC236}">
              <a16:creationId xmlns:a16="http://schemas.microsoft.com/office/drawing/2014/main" id="{00000000-0008-0000-0900-0000092F0000}"/>
            </a:ext>
          </a:extLst>
        </xdr:cNvPr>
        <xdr:cNvSpPr>
          <a:spLocks noChangeAspect="1"/>
        </xdr:cNvSpPr>
      </xdr:nvSpPr>
      <xdr:spPr bwMode="auto">
        <a:xfrm>
          <a:off x="9744075" y="6219825"/>
          <a:ext cx="85725" cy="28575"/>
        </a:xfrm>
        <a:custGeom>
          <a:avLst/>
          <a:gdLst>
            <a:gd name="T0" fmla="*/ 0 w 96"/>
            <a:gd name="T1" fmla="*/ 0 h 78"/>
            <a:gd name="T2" fmla="*/ 0 w 96"/>
            <a:gd name="T3" fmla="*/ 0 h 78"/>
            <a:gd name="T4" fmla="*/ 0 w 96"/>
            <a:gd name="T5" fmla="*/ 0 h 78"/>
            <a:gd name="T6" fmla="*/ 0 w 96"/>
            <a:gd name="T7" fmla="*/ 0 h 78"/>
            <a:gd name="T8" fmla="*/ 0 w 96"/>
            <a:gd name="T9" fmla="*/ 0 h 78"/>
            <a:gd name="T10" fmla="*/ 0 w 96"/>
            <a:gd name="T11" fmla="*/ 0 h 78"/>
            <a:gd name="T12" fmla="*/ 0 w 96"/>
            <a:gd name="T13" fmla="*/ 0 h 78"/>
            <a:gd name="T14" fmla="*/ 0 w 96"/>
            <a:gd name="T15" fmla="*/ 0 h 78"/>
            <a:gd name="T16" fmla="*/ 0 w 96"/>
            <a:gd name="T17" fmla="*/ 0 h 78"/>
            <a:gd name="T18" fmla="*/ 0 w 96"/>
            <a:gd name="T19" fmla="*/ 0 h 78"/>
            <a:gd name="T20" fmla="*/ 0 w 96"/>
            <a:gd name="T21" fmla="*/ 0 h 78"/>
            <a:gd name="T22" fmla="*/ 0 w 96"/>
            <a:gd name="T23" fmla="*/ 0 h 78"/>
            <a:gd name="T24" fmla="*/ 0 w 96"/>
            <a:gd name="T25" fmla="*/ 0 h 78"/>
            <a:gd name="T26" fmla="*/ 0 w 96"/>
            <a:gd name="T27" fmla="*/ 0 h 78"/>
            <a:gd name="T28" fmla="*/ 0 w 96"/>
            <a:gd name="T29" fmla="*/ 0 h 78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96"/>
            <a:gd name="T46" fmla="*/ 0 h 78"/>
            <a:gd name="T47" fmla="*/ 96 w 96"/>
            <a:gd name="T48" fmla="*/ 78 h 78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96" h="78">
              <a:moveTo>
                <a:pt x="96" y="54"/>
              </a:moveTo>
              <a:lnTo>
                <a:pt x="89" y="64"/>
              </a:lnTo>
              <a:lnTo>
                <a:pt x="80" y="71"/>
              </a:lnTo>
              <a:lnTo>
                <a:pt x="70" y="76"/>
              </a:lnTo>
              <a:lnTo>
                <a:pt x="58" y="78"/>
              </a:lnTo>
              <a:lnTo>
                <a:pt x="47" y="78"/>
              </a:lnTo>
              <a:lnTo>
                <a:pt x="35" y="76"/>
              </a:lnTo>
              <a:lnTo>
                <a:pt x="25" y="71"/>
              </a:lnTo>
              <a:lnTo>
                <a:pt x="15" y="64"/>
              </a:lnTo>
              <a:lnTo>
                <a:pt x="8" y="55"/>
              </a:lnTo>
              <a:lnTo>
                <a:pt x="3" y="45"/>
              </a:lnTo>
              <a:lnTo>
                <a:pt x="0" y="33"/>
              </a:lnTo>
              <a:lnTo>
                <a:pt x="0" y="22"/>
              </a:lnTo>
              <a:lnTo>
                <a:pt x="3" y="10"/>
              </a:lnTo>
              <a:lnTo>
                <a:pt x="8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219075</xdr:colOff>
      <xdr:row>33</xdr:row>
      <xdr:rowOff>114300</xdr:rowOff>
    </xdr:from>
    <xdr:to>
      <xdr:col>19</xdr:col>
      <xdr:colOff>104775</xdr:colOff>
      <xdr:row>35</xdr:row>
      <xdr:rowOff>19050</xdr:rowOff>
    </xdr:to>
    <xdr:sp macro="" textlink="">
      <xdr:nvSpPr>
        <xdr:cNvPr id="12042" name="Freeform 194">
          <a:extLst>
            <a:ext uri="{FF2B5EF4-FFF2-40B4-BE49-F238E27FC236}">
              <a16:creationId xmlns:a16="http://schemas.microsoft.com/office/drawing/2014/main" id="{00000000-0008-0000-0900-00000A2F0000}"/>
            </a:ext>
          </a:extLst>
        </xdr:cNvPr>
        <xdr:cNvSpPr>
          <a:spLocks noChangeAspect="1"/>
        </xdr:cNvSpPr>
      </xdr:nvSpPr>
      <xdr:spPr bwMode="auto">
        <a:xfrm>
          <a:off x="9744075" y="5991225"/>
          <a:ext cx="190500" cy="228600"/>
        </a:xfrm>
        <a:custGeom>
          <a:avLst/>
          <a:gdLst>
            <a:gd name="T0" fmla="*/ 0 w 344"/>
            <a:gd name="T1" fmla="*/ 2147483647 h 467"/>
            <a:gd name="T2" fmla="*/ 0 w 344"/>
            <a:gd name="T3" fmla="*/ 2147483647 h 467"/>
            <a:gd name="T4" fmla="*/ 0 w 344"/>
            <a:gd name="T5" fmla="*/ 2147483647 h 467"/>
            <a:gd name="T6" fmla="*/ 2147483647 w 344"/>
            <a:gd name="T7" fmla="*/ 0 h 467"/>
            <a:gd name="T8" fmla="*/ 2147483647 w 344"/>
            <a:gd name="T9" fmla="*/ 0 h 467"/>
            <a:gd name="T10" fmla="*/ 2147483647 w 344"/>
            <a:gd name="T11" fmla="*/ 0 h 467"/>
            <a:gd name="T12" fmla="*/ 0 w 344"/>
            <a:gd name="T13" fmla="*/ 2147483647 h 46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4"/>
            <a:gd name="T22" fmla="*/ 0 h 467"/>
            <a:gd name="T23" fmla="*/ 344 w 344"/>
            <a:gd name="T24" fmla="*/ 467 h 46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4" h="467">
              <a:moveTo>
                <a:pt x="0" y="413"/>
              </a:moveTo>
              <a:lnTo>
                <a:pt x="44" y="440"/>
              </a:lnTo>
              <a:lnTo>
                <a:pt x="88" y="467"/>
              </a:lnTo>
              <a:lnTo>
                <a:pt x="344" y="55"/>
              </a:lnTo>
              <a:lnTo>
                <a:pt x="300" y="27"/>
              </a:lnTo>
              <a:lnTo>
                <a:pt x="256" y="0"/>
              </a:lnTo>
              <a:lnTo>
                <a:pt x="0" y="41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219075</xdr:colOff>
      <xdr:row>33</xdr:row>
      <xdr:rowOff>114300</xdr:rowOff>
    </xdr:from>
    <xdr:to>
      <xdr:col>19</xdr:col>
      <xdr:colOff>104775</xdr:colOff>
      <xdr:row>35</xdr:row>
      <xdr:rowOff>19050</xdr:rowOff>
    </xdr:to>
    <xdr:sp macro="" textlink="">
      <xdr:nvSpPr>
        <xdr:cNvPr id="12043" name="Freeform 195">
          <a:extLst>
            <a:ext uri="{FF2B5EF4-FFF2-40B4-BE49-F238E27FC236}">
              <a16:creationId xmlns:a16="http://schemas.microsoft.com/office/drawing/2014/main" id="{00000000-0008-0000-0900-00000B2F0000}"/>
            </a:ext>
          </a:extLst>
        </xdr:cNvPr>
        <xdr:cNvSpPr>
          <a:spLocks noChangeAspect="1"/>
        </xdr:cNvSpPr>
      </xdr:nvSpPr>
      <xdr:spPr bwMode="auto">
        <a:xfrm>
          <a:off x="9744075" y="5991225"/>
          <a:ext cx="190500" cy="228600"/>
        </a:xfrm>
        <a:custGeom>
          <a:avLst/>
          <a:gdLst>
            <a:gd name="T0" fmla="*/ 0 w 344"/>
            <a:gd name="T1" fmla="*/ 2147483647 h 467"/>
            <a:gd name="T2" fmla="*/ 0 w 344"/>
            <a:gd name="T3" fmla="*/ 2147483647 h 467"/>
            <a:gd name="T4" fmla="*/ 0 w 344"/>
            <a:gd name="T5" fmla="*/ 2147483647 h 467"/>
            <a:gd name="T6" fmla="*/ 2147483647 w 344"/>
            <a:gd name="T7" fmla="*/ 0 h 467"/>
            <a:gd name="T8" fmla="*/ 2147483647 w 344"/>
            <a:gd name="T9" fmla="*/ 0 h 467"/>
            <a:gd name="T10" fmla="*/ 2147483647 w 344"/>
            <a:gd name="T11" fmla="*/ 0 h 467"/>
            <a:gd name="T12" fmla="*/ 0 w 344"/>
            <a:gd name="T13" fmla="*/ 2147483647 h 46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4"/>
            <a:gd name="T22" fmla="*/ 0 h 467"/>
            <a:gd name="T23" fmla="*/ 344 w 344"/>
            <a:gd name="T24" fmla="*/ 467 h 46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4" h="467">
              <a:moveTo>
                <a:pt x="0" y="413"/>
              </a:moveTo>
              <a:lnTo>
                <a:pt x="44" y="440"/>
              </a:lnTo>
              <a:lnTo>
                <a:pt x="88" y="467"/>
              </a:lnTo>
              <a:lnTo>
                <a:pt x="344" y="55"/>
              </a:lnTo>
              <a:lnTo>
                <a:pt x="300" y="27"/>
              </a:lnTo>
              <a:lnTo>
                <a:pt x="256" y="0"/>
              </a:lnTo>
              <a:lnTo>
                <a:pt x="0" y="413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85725</xdr:colOff>
      <xdr:row>33</xdr:row>
      <xdr:rowOff>114300</xdr:rowOff>
    </xdr:from>
    <xdr:to>
      <xdr:col>19</xdr:col>
      <xdr:colOff>123825</xdr:colOff>
      <xdr:row>33</xdr:row>
      <xdr:rowOff>142875</xdr:rowOff>
    </xdr:to>
    <xdr:sp macro="" textlink="">
      <xdr:nvSpPr>
        <xdr:cNvPr id="12044" name="Freeform 196">
          <a:extLst>
            <a:ext uri="{FF2B5EF4-FFF2-40B4-BE49-F238E27FC236}">
              <a16:creationId xmlns:a16="http://schemas.microsoft.com/office/drawing/2014/main" id="{00000000-0008-0000-0900-00000C2F0000}"/>
            </a:ext>
          </a:extLst>
        </xdr:cNvPr>
        <xdr:cNvSpPr>
          <a:spLocks noChangeAspect="1"/>
        </xdr:cNvSpPr>
      </xdr:nvSpPr>
      <xdr:spPr bwMode="auto">
        <a:xfrm>
          <a:off x="9915525" y="5991225"/>
          <a:ext cx="38100" cy="28575"/>
        </a:xfrm>
        <a:custGeom>
          <a:avLst/>
          <a:gdLst>
            <a:gd name="T0" fmla="*/ 0 w 96"/>
            <a:gd name="T1" fmla="*/ 0 h 79"/>
            <a:gd name="T2" fmla="*/ 0 w 96"/>
            <a:gd name="T3" fmla="*/ 0 h 79"/>
            <a:gd name="T4" fmla="*/ 0 w 96"/>
            <a:gd name="T5" fmla="*/ 0 h 79"/>
            <a:gd name="T6" fmla="*/ 0 w 96"/>
            <a:gd name="T7" fmla="*/ 0 h 79"/>
            <a:gd name="T8" fmla="*/ 0 w 96"/>
            <a:gd name="T9" fmla="*/ 0 h 79"/>
            <a:gd name="T10" fmla="*/ 0 w 96"/>
            <a:gd name="T11" fmla="*/ 0 h 79"/>
            <a:gd name="T12" fmla="*/ 0 w 96"/>
            <a:gd name="T13" fmla="*/ 0 h 79"/>
            <a:gd name="T14" fmla="*/ 0 w 96"/>
            <a:gd name="T15" fmla="*/ 0 h 79"/>
            <a:gd name="T16" fmla="*/ 0 w 96"/>
            <a:gd name="T17" fmla="*/ 0 h 79"/>
            <a:gd name="T18" fmla="*/ 0 w 96"/>
            <a:gd name="T19" fmla="*/ 0 h 79"/>
            <a:gd name="T20" fmla="*/ 0 w 96"/>
            <a:gd name="T21" fmla="*/ 0 h 79"/>
            <a:gd name="T22" fmla="*/ 0 w 96"/>
            <a:gd name="T23" fmla="*/ 0 h 79"/>
            <a:gd name="T24" fmla="*/ 0 w 96"/>
            <a:gd name="T25" fmla="*/ 0 h 79"/>
            <a:gd name="T26" fmla="*/ 0 w 96"/>
            <a:gd name="T27" fmla="*/ 0 h 79"/>
            <a:gd name="T28" fmla="*/ 0 w 96"/>
            <a:gd name="T29" fmla="*/ 0 h 79"/>
            <a:gd name="T30" fmla="*/ 0 w 96"/>
            <a:gd name="T31" fmla="*/ 0 h 79"/>
            <a:gd name="T32" fmla="*/ 0 w 96"/>
            <a:gd name="T33" fmla="*/ 0 h 79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96"/>
            <a:gd name="T52" fmla="*/ 0 h 79"/>
            <a:gd name="T53" fmla="*/ 96 w 96"/>
            <a:gd name="T54" fmla="*/ 79 h 79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96" h="79">
              <a:moveTo>
                <a:pt x="44" y="51"/>
              </a:moveTo>
              <a:lnTo>
                <a:pt x="0" y="24"/>
              </a:lnTo>
              <a:lnTo>
                <a:pt x="7" y="15"/>
              </a:lnTo>
              <a:lnTo>
                <a:pt x="16" y="7"/>
              </a:lnTo>
              <a:lnTo>
                <a:pt x="26" y="2"/>
              </a:lnTo>
              <a:lnTo>
                <a:pt x="38" y="0"/>
              </a:lnTo>
              <a:lnTo>
                <a:pt x="49" y="0"/>
              </a:lnTo>
              <a:lnTo>
                <a:pt x="61" y="2"/>
              </a:lnTo>
              <a:lnTo>
                <a:pt x="71" y="7"/>
              </a:lnTo>
              <a:lnTo>
                <a:pt x="81" y="15"/>
              </a:lnTo>
              <a:lnTo>
                <a:pt x="88" y="23"/>
              </a:lnTo>
              <a:lnTo>
                <a:pt x="93" y="33"/>
              </a:lnTo>
              <a:lnTo>
                <a:pt x="96" y="45"/>
              </a:lnTo>
              <a:lnTo>
                <a:pt x="96" y="57"/>
              </a:lnTo>
              <a:lnTo>
                <a:pt x="93" y="68"/>
              </a:lnTo>
              <a:lnTo>
                <a:pt x="88" y="79"/>
              </a:lnTo>
              <a:lnTo>
                <a:pt x="44" y="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85725</xdr:colOff>
      <xdr:row>33</xdr:row>
      <xdr:rowOff>114300</xdr:rowOff>
    </xdr:from>
    <xdr:to>
      <xdr:col>19</xdr:col>
      <xdr:colOff>123825</xdr:colOff>
      <xdr:row>33</xdr:row>
      <xdr:rowOff>142875</xdr:rowOff>
    </xdr:to>
    <xdr:sp macro="" textlink="">
      <xdr:nvSpPr>
        <xdr:cNvPr id="12045" name="Freeform 197">
          <a:extLst>
            <a:ext uri="{FF2B5EF4-FFF2-40B4-BE49-F238E27FC236}">
              <a16:creationId xmlns:a16="http://schemas.microsoft.com/office/drawing/2014/main" id="{00000000-0008-0000-0900-00000D2F0000}"/>
            </a:ext>
          </a:extLst>
        </xdr:cNvPr>
        <xdr:cNvSpPr>
          <a:spLocks noChangeAspect="1"/>
        </xdr:cNvSpPr>
      </xdr:nvSpPr>
      <xdr:spPr bwMode="auto">
        <a:xfrm>
          <a:off x="9915525" y="5991225"/>
          <a:ext cx="38100" cy="28575"/>
        </a:xfrm>
        <a:custGeom>
          <a:avLst/>
          <a:gdLst>
            <a:gd name="T0" fmla="*/ 0 w 96"/>
            <a:gd name="T1" fmla="*/ 0 h 79"/>
            <a:gd name="T2" fmla="*/ 0 w 96"/>
            <a:gd name="T3" fmla="*/ 0 h 79"/>
            <a:gd name="T4" fmla="*/ 0 w 96"/>
            <a:gd name="T5" fmla="*/ 0 h 79"/>
            <a:gd name="T6" fmla="*/ 0 w 96"/>
            <a:gd name="T7" fmla="*/ 0 h 79"/>
            <a:gd name="T8" fmla="*/ 0 w 96"/>
            <a:gd name="T9" fmla="*/ 0 h 79"/>
            <a:gd name="T10" fmla="*/ 0 w 96"/>
            <a:gd name="T11" fmla="*/ 0 h 79"/>
            <a:gd name="T12" fmla="*/ 0 w 96"/>
            <a:gd name="T13" fmla="*/ 0 h 79"/>
            <a:gd name="T14" fmla="*/ 0 w 96"/>
            <a:gd name="T15" fmla="*/ 0 h 79"/>
            <a:gd name="T16" fmla="*/ 0 w 96"/>
            <a:gd name="T17" fmla="*/ 0 h 79"/>
            <a:gd name="T18" fmla="*/ 0 w 96"/>
            <a:gd name="T19" fmla="*/ 0 h 79"/>
            <a:gd name="T20" fmla="*/ 0 w 96"/>
            <a:gd name="T21" fmla="*/ 0 h 79"/>
            <a:gd name="T22" fmla="*/ 0 w 96"/>
            <a:gd name="T23" fmla="*/ 0 h 79"/>
            <a:gd name="T24" fmla="*/ 0 w 96"/>
            <a:gd name="T25" fmla="*/ 0 h 79"/>
            <a:gd name="T26" fmla="*/ 0 w 96"/>
            <a:gd name="T27" fmla="*/ 0 h 79"/>
            <a:gd name="T28" fmla="*/ 0 w 96"/>
            <a:gd name="T29" fmla="*/ 0 h 79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96"/>
            <a:gd name="T46" fmla="*/ 0 h 79"/>
            <a:gd name="T47" fmla="*/ 96 w 96"/>
            <a:gd name="T48" fmla="*/ 79 h 79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96" h="79">
              <a:moveTo>
                <a:pt x="0" y="24"/>
              </a:moveTo>
              <a:lnTo>
                <a:pt x="7" y="15"/>
              </a:lnTo>
              <a:lnTo>
                <a:pt x="16" y="7"/>
              </a:lnTo>
              <a:lnTo>
                <a:pt x="26" y="2"/>
              </a:lnTo>
              <a:lnTo>
                <a:pt x="38" y="0"/>
              </a:lnTo>
              <a:lnTo>
                <a:pt x="49" y="0"/>
              </a:lnTo>
              <a:lnTo>
                <a:pt x="61" y="2"/>
              </a:lnTo>
              <a:lnTo>
                <a:pt x="71" y="7"/>
              </a:lnTo>
              <a:lnTo>
                <a:pt x="81" y="15"/>
              </a:lnTo>
              <a:lnTo>
                <a:pt x="88" y="23"/>
              </a:lnTo>
              <a:lnTo>
                <a:pt x="93" y="33"/>
              </a:lnTo>
              <a:lnTo>
                <a:pt x="96" y="45"/>
              </a:lnTo>
              <a:lnTo>
                <a:pt x="96" y="57"/>
              </a:lnTo>
              <a:lnTo>
                <a:pt x="93" y="68"/>
              </a:lnTo>
              <a:lnTo>
                <a:pt x="88" y="79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152400</xdr:colOff>
      <xdr:row>44</xdr:row>
      <xdr:rowOff>123825</xdr:rowOff>
    </xdr:from>
    <xdr:to>
      <xdr:col>11</xdr:col>
      <xdr:colOff>171450</xdr:colOff>
      <xdr:row>45</xdr:row>
      <xdr:rowOff>28575</xdr:rowOff>
    </xdr:to>
    <xdr:sp macro="" textlink="">
      <xdr:nvSpPr>
        <xdr:cNvPr id="12046" name="Freeform 211">
          <a:extLst>
            <a:ext uri="{FF2B5EF4-FFF2-40B4-BE49-F238E27FC236}">
              <a16:creationId xmlns:a16="http://schemas.microsoft.com/office/drawing/2014/main" id="{00000000-0008-0000-0900-00000E2F0000}"/>
            </a:ext>
          </a:extLst>
        </xdr:cNvPr>
        <xdr:cNvSpPr>
          <a:spLocks noChangeAspect="1"/>
        </xdr:cNvSpPr>
      </xdr:nvSpPr>
      <xdr:spPr bwMode="auto">
        <a:xfrm>
          <a:off x="6191250" y="7781925"/>
          <a:ext cx="19050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2"/>
              </a:moveTo>
              <a:lnTo>
                <a:pt x="52" y="104"/>
              </a:ln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5" y="74"/>
              </a:lnTo>
              <a:lnTo>
                <a:pt x="2" y="64"/>
              </a:lnTo>
              <a:lnTo>
                <a:pt x="0" y="52"/>
              </a:ln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152400</xdr:colOff>
      <xdr:row>44</xdr:row>
      <xdr:rowOff>123825</xdr:rowOff>
    </xdr:from>
    <xdr:to>
      <xdr:col>11</xdr:col>
      <xdr:colOff>171450</xdr:colOff>
      <xdr:row>45</xdr:row>
      <xdr:rowOff>28575</xdr:rowOff>
    </xdr:to>
    <xdr:sp macro="" textlink="">
      <xdr:nvSpPr>
        <xdr:cNvPr id="12047" name="Freeform 212">
          <a:extLst>
            <a:ext uri="{FF2B5EF4-FFF2-40B4-BE49-F238E27FC236}">
              <a16:creationId xmlns:a16="http://schemas.microsoft.com/office/drawing/2014/main" id="{00000000-0008-0000-0900-00000F2F0000}"/>
            </a:ext>
          </a:extLst>
        </xdr:cNvPr>
        <xdr:cNvSpPr>
          <a:spLocks noChangeAspect="1"/>
        </xdr:cNvSpPr>
      </xdr:nvSpPr>
      <xdr:spPr bwMode="auto">
        <a:xfrm>
          <a:off x="6191250" y="7781925"/>
          <a:ext cx="19050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5" y="74"/>
              </a:lnTo>
              <a:lnTo>
                <a:pt x="2" y="64"/>
              </a:lnTo>
              <a:lnTo>
                <a:pt x="0" y="52"/>
              </a:ln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44</xdr:row>
      <xdr:rowOff>123825</xdr:rowOff>
    </xdr:from>
    <xdr:to>
      <xdr:col>12</xdr:col>
      <xdr:colOff>66675</xdr:colOff>
      <xdr:row>45</xdr:row>
      <xdr:rowOff>28575</xdr:rowOff>
    </xdr:to>
    <xdr:sp macro="" textlink="">
      <xdr:nvSpPr>
        <xdr:cNvPr id="12048" name="Freeform 213">
          <a:extLst>
            <a:ext uri="{FF2B5EF4-FFF2-40B4-BE49-F238E27FC236}">
              <a16:creationId xmlns:a16="http://schemas.microsoft.com/office/drawing/2014/main" id="{00000000-0008-0000-0900-0000102F0000}"/>
            </a:ext>
          </a:extLst>
        </xdr:cNvPr>
        <xdr:cNvSpPr>
          <a:spLocks noChangeAspect="1"/>
        </xdr:cNvSpPr>
      </xdr:nvSpPr>
      <xdr:spPr bwMode="auto">
        <a:xfrm>
          <a:off x="6219825" y="7781925"/>
          <a:ext cx="419100" cy="66675"/>
        </a:xfrm>
        <a:custGeom>
          <a:avLst/>
          <a:gdLst>
            <a:gd name="T0" fmla="*/ 0 w 912"/>
            <a:gd name="T1" fmla="*/ 0 h 104"/>
            <a:gd name="T2" fmla="*/ 0 w 912"/>
            <a:gd name="T3" fmla="*/ 0 h 104"/>
            <a:gd name="T4" fmla="*/ 0 w 912"/>
            <a:gd name="T5" fmla="*/ 0 h 104"/>
            <a:gd name="T6" fmla="*/ 2147483647 w 912"/>
            <a:gd name="T7" fmla="*/ 0 h 104"/>
            <a:gd name="T8" fmla="*/ 2147483647 w 912"/>
            <a:gd name="T9" fmla="*/ 0 h 104"/>
            <a:gd name="T10" fmla="*/ 2147483647 w 912"/>
            <a:gd name="T11" fmla="*/ 0 h 104"/>
            <a:gd name="T12" fmla="*/ 0 w 912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2"/>
            <a:gd name="T22" fmla="*/ 0 h 104"/>
            <a:gd name="T23" fmla="*/ 912 w 912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2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2" y="104"/>
              </a:lnTo>
              <a:lnTo>
                <a:pt x="912" y="52"/>
              </a:lnTo>
              <a:lnTo>
                <a:pt x="912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44</xdr:row>
      <xdr:rowOff>123825</xdr:rowOff>
    </xdr:from>
    <xdr:to>
      <xdr:col>12</xdr:col>
      <xdr:colOff>409575</xdr:colOff>
      <xdr:row>45</xdr:row>
      <xdr:rowOff>28575</xdr:rowOff>
    </xdr:to>
    <xdr:sp macro="" textlink="">
      <xdr:nvSpPr>
        <xdr:cNvPr id="12049" name="Freeform 214">
          <a:extLst>
            <a:ext uri="{FF2B5EF4-FFF2-40B4-BE49-F238E27FC236}">
              <a16:creationId xmlns:a16="http://schemas.microsoft.com/office/drawing/2014/main" id="{00000000-0008-0000-0900-0000112F0000}"/>
            </a:ext>
          </a:extLst>
        </xdr:cNvPr>
        <xdr:cNvSpPr>
          <a:spLocks noChangeAspect="1"/>
        </xdr:cNvSpPr>
      </xdr:nvSpPr>
      <xdr:spPr bwMode="auto">
        <a:xfrm>
          <a:off x="6600825" y="7781925"/>
          <a:ext cx="381000" cy="66675"/>
        </a:xfrm>
        <a:custGeom>
          <a:avLst/>
          <a:gdLst>
            <a:gd name="T0" fmla="*/ 0 w 912"/>
            <a:gd name="T1" fmla="*/ 0 h 104"/>
            <a:gd name="T2" fmla="*/ 0 w 912"/>
            <a:gd name="T3" fmla="*/ 0 h 104"/>
            <a:gd name="T4" fmla="*/ 0 w 912"/>
            <a:gd name="T5" fmla="*/ 0 h 104"/>
            <a:gd name="T6" fmla="*/ 2147483647 w 912"/>
            <a:gd name="T7" fmla="*/ 0 h 104"/>
            <a:gd name="T8" fmla="*/ 2147483647 w 912"/>
            <a:gd name="T9" fmla="*/ 0 h 104"/>
            <a:gd name="T10" fmla="*/ 2147483647 w 912"/>
            <a:gd name="T11" fmla="*/ 0 h 104"/>
            <a:gd name="T12" fmla="*/ 0 w 912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2"/>
            <a:gd name="T22" fmla="*/ 0 h 104"/>
            <a:gd name="T23" fmla="*/ 912 w 912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2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2" y="104"/>
              </a:lnTo>
              <a:lnTo>
                <a:pt x="912" y="52"/>
              </a:lnTo>
              <a:lnTo>
                <a:pt x="912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57150</xdr:colOff>
      <xdr:row>44</xdr:row>
      <xdr:rowOff>123825</xdr:rowOff>
    </xdr:from>
    <xdr:to>
      <xdr:col>12</xdr:col>
      <xdr:colOff>85725</xdr:colOff>
      <xdr:row>45</xdr:row>
      <xdr:rowOff>28575</xdr:rowOff>
    </xdr:to>
    <xdr:sp macro="" textlink="">
      <xdr:nvSpPr>
        <xdr:cNvPr id="12050" name="Freeform 215">
          <a:extLst>
            <a:ext uri="{FF2B5EF4-FFF2-40B4-BE49-F238E27FC236}">
              <a16:creationId xmlns:a16="http://schemas.microsoft.com/office/drawing/2014/main" id="{00000000-0008-0000-0900-0000122F0000}"/>
            </a:ext>
          </a:extLst>
        </xdr:cNvPr>
        <xdr:cNvSpPr>
          <a:spLocks noChangeAspect="1"/>
        </xdr:cNvSpPr>
      </xdr:nvSpPr>
      <xdr:spPr bwMode="auto">
        <a:xfrm>
          <a:off x="6629400" y="7781925"/>
          <a:ext cx="28575" cy="6667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2"/>
              </a:moveTo>
              <a:lnTo>
                <a:pt x="0" y="0"/>
              </a:ln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8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8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57150</xdr:colOff>
      <xdr:row>44</xdr:row>
      <xdr:rowOff>123825</xdr:rowOff>
    </xdr:from>
    <xdr:to>
      <xdr:col>12</xdr:col>
      <xdr:colOff>85725</xdr:colOff>
      <xdr:row>45</xdr:row>
      <xdr:rowOff>28575</xdr:rowOff>
    </xdr:to>
    <xdr:sp macro="" textlink="">
      <xdr:nvSpPr>
        <xdr:cNvPr id="12051" name="Freeform 216">
          <a:extLst>
            <a:ext uri="{FF2B5EF4-FFF2-40B4-BE49-F238E27FC236}">
              <a16:creationId xmlns:a16="http://schemas.microsoft.com/office/drawing/2014/main" id="{00000000-0008-0000-0900-0000132F0000}"/>
            </a:ext>
          </a:extLst>
        </xdr:cNvPr>
        <xdr:cNvSpPr>
          <a:spLocks noChangeAspect="1"/>
        </xdr:cNvSpPr>
      </xdr:nvSpPr>
      <xdr:spPr bwMode="auto">
        <a:xfrm>
          <a:off x="6629400" y="7781925"/>
          <a:ext cx="28575" cy="6667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8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8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152400</xdr:colOff>
      <xdr:row>44</xdr:row>
      <xdr:rowOff>123825</xdr:rowOff>
    </xdr:from>
    <xdr:to>
      <xdr:col>12</xdr:col>
      <xdr:colOff>180975</xdr:colOff>
      <xdr:row>45</xdr:row>
      <xdr:rowOff>28575</xdr:rowOff>
    </xdr:to>
    <xdr:sp macro="" textlink="">
      <xdr:nvSpPr>
        <xdr:cNvPr id="12052" name="Freeform 217">
          <a:extLst>
            <a:ext uri="{FF2B5EF4-FFF2-40B4-BE49-F238E27FC236}">
              <a16:creationId xmlns:a16="http://schemas.microsoft.com/office/drawing/2014/main" id="{00000000-0008-0000-0900-0000142F0000}"/>
            </a:ext>
          </a:extLst>
        </xdr:cNvPr>
        <xdr:cNvSpPr>
          <a:spLocks noChangeAspect="1"/>
        </xdr:cNvSpPr>
      </xdr:nvSpPr>
      <xdr:spPr bwMode="auto">
        <a:xfrm>
          <a:off x="6724650" y="7781925"/>
          <a:ext cx="28575" cy="6667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2"/>
              </a:moveTo>
              <a:lnTo>
                <a:pt x="51" y="104"/>
              </a:ln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152400</xdr:colOff>
      <xdr:row>44</xdr:row>
      <xdr:rowOff>123825</xdr:rowOff>
    </xdr:from>
    <xdr:to>
      <xdr:col>12</xdr:col>
      <xdr:colOff>180975</xdr:colOff>
      <xdr:row>45</xdr:row>
      <xdr:rowOff>28575</xdr:rowOff>
    </xdr:to>
    <xdr:sp macro="" textlink="">
      <xdr:nvSpPr>
        <xdr:cNvPr id="12053" name="Freeform 218">
          <a:extLst>
            <a:ext uri="{FF2B5EF4-FFF2-40B4-BE49-F238E27FC236}">
              <a16:creationId xmlns:a16="http://schemas.microsoft.com/office/drawing/2014/main" id="{00000000-0008-0000-0900-0000152F0000}"/>
            </a:ext>
          </a:extLst>
        </xdr:cNvPr>
        <xdr:cNvSpPr>
          <a:spLocks noChangeAspect="1"/>
        </xdr:cNvSpPr>
      </xdr:nvSpPr>
      <xdr:spPr bwMode="auto">
        <a:xfrm>
          <a:off x="6724650" y="7781925"/>
          <a:ext cx="28575" cy="6667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19050</xdr:colOff>
      <xdr:row>44</xdr:row>
      <xdr:rowOff>123825</xdr:rowOff>
    </xdr:from>
    <xdr:to>
      <xdr:col>13</xdr:col>
      <xdr:colOff>409575</xdr:colOff>
      <xdr:row>45</xdr:row>
      <xdr:rowOff>28575</xdr:rowOff>
    </xdr:to>
    <xdr:sp macro="" textlink="">
      <xdr:nvSpPr>
        <xdr:cNvPr id="12054" name="Freeform 219">
          <a:extLst>
            <a:ext uri="{FF2B5EF4-FFF2-40B4-BE49-F238E27FC236}">
              <a16:creationId xmlns:a16="http://schemas.microsoft.com/office/drawing/2014/main" id="{00000000-0008-0000-0900-0000162F0000}"/>
            </a:ext>
          </a:extLst>
        </xdr:cNvPr>
        <xdr:cNvSpPr>
          <a:spLocks noChangeAspect="1"/>
        </xdr:cNvSpPr>
      </xdr:nvSpPr>
      <xdr:spPr bwMode="auto">
        <a:xfrm>
          <a:off x="7124700" y="7781925"/>
          <a:ext cx="390525" cy="66675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7" y="104"/>
              </a:lnTo>
              <a:lnTo>
                <a:pt x="917" y="52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19050</xdr:colOff>
      <xdr:row>44</xdr:row>
      <xdr:rowOff>123825</xdr:rowOff>
    </xdr:from>
    <xdr:to>
      <xdr:col>13</xdr:col>
      <xdr:colOff>409575</xdr:colOff>
      <xdr:row>45</xdr:row>
      <xdr:rowOff>28575</xdr:rowOff>
    </xdr:to>
    <xdr:sp macro="" textlink="">
      <xdr:nvSpPr>
        <xdr:cNvPr id="12055" name="Freeform 220">
          <a:extLst>
            <a:ext uri="{FF2B5EF4-FFF2-40B4-BE49-F238E27FC236}">
              <a16:creationId xmlns:a16="http://schemas.microsoft.com/office/drawing/2014/main" id="{00000000-0008-0000-0900-0000172F0000}"/>
            </a:ext>
          </a:extLst>
        </xdr:cNvPr>
        <xdr:cNvSpPr>
          <a:spLocks noChangeAspect="1"/>
        </xdr:cNvSpPr>
      </xdr:nvSpPr>
      <xdr:spPr bwMode="auto">
        <a:xfrm>
          <a:off x="7124700" y="7781925"/>
          <a:ext cx="390525" cy="66675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7" y="104"/>
              </a:lnTo>
              <a:lnTo>
                <a:pt x="917" y="52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409575</xdr:colOff>
      <xdr:row>44</xdr:row>
      <xdr:rowOff>123825</xdr:rowOff>
    </xdr:from>
    <xdr:to>
      <xdr:col>13</xdr:col>
      <xdr:colOff>438150</xdr:colOff>
      <xdr:row>45</xdr:row>
      <xdr:rowOff>28575</xdr:rowOff>
    </xdr:to>
    <xdr:sp macro="" textlink="">
      <xdr:nvSpPr>
        <xdr:cNvPr id="12056" name="Freeform 221">
          <a:extLst>
            <a:ext uri="{FF2B5EF4-FFF2-40B4-BE49-F238E27FC236}">
              <a16:creationId xmlns:a16="http://schemas.microsoft.com/office/drawing/2014/main" id="{00000000-0008-0000-0900-0000182F0000}"/>
            </a:ext>
          </a:extLst>
        </xdr:cNvPr>
        <xdr:cNvSpPr>
          <a:spLocks noChangeAspect="1"/>
        </xdr:cNvSpPr>
      </xdr:nvSpPr>
      <xdr:spPr bwMode="auto">
        <a:xfrm>
          <a:off x="7515225" y="7781925"/>
          <a:ext cx="28575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2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409575</xdr:colOff>
      <xdr:row>44</xdr:row>
      <xdr:rowOff>123825</xdr:rowOff>
    </xdr:from>
    <xdr:to>
      <xdr:col>13</xdr:col>
      <xdr:colOff>438150</xdr:colOff>
      <xdr:row>45</xdr:row>
      <xdr:rowOff>28575</xdr:rowOff>
    </xdr:to>
    <xdr:sp macro="" textlink="">
      <xdr:nvSpPr>
        <xdr:cNvPr id="12057" name="Freeform 222">
          <a:extLst>
            <a:ext uri="{FF2B5EF4-FFF2-40B4-BE49-F238E27FC236}">
              <a16:creationId xmlns:a16="http://schemas.microsoft.com/office/drawing/2014/main" id="{00000000-0008-0000-0900-0000192F0000}"/>
            </a:ext>
          </a:extLst>
        </xdr:cNvPr>
        <xdr:cNvSpPr>
          <a:spLocks noChangeAspect="1"/>
        </xdr:cNvSpPr>
      </xdr:nvSpPr>
      <xdr:spPr bwMode="auto">
        <a:xfrm>
          <a:off x="7515225" y="7781925"/>
          <a:ext cx="28575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9525</xdr:colOff>
      <xdr:row>44</xdr:row>
      <xdr:rowOff>123825</xdr:rowOff>
    </xdr:from>
    <xdr:to>
      <xdr:col>14</xdr:col>
      <xdr:colOff>9525</xdr:colOff>
      <xdr:row>45</xdr:row>
      <xdr:rowOff>28575</xdr:rowOff>
    </xdr:to>
    <xdr:sp macro="" textlink="">
      <xdr:nvSpPr>
        <xdr:cNvPr id="12058" name="Freeform 223">
          <a:extLst>
            <a:ext uri="{FF2B5EF4-FFF2-40B4-BE49-F238E27FC236}">
              <a16:creationId xmlns:a16="http://schemas.microsoft.com/office/drawing/2014/main" id="{00000000-0008-0000-0900-00001A2F0000}"/>
            </a:ext>
          </a:extLst>
        </xdr:cNvPr>
        <xdr:cNvSpPr>
          <a:spLocks noChangeAspect="1"/>
        </xdr:cNvSpPr>
      </xdr:nvSpPr>
      <xdr:spPr bwMode="auto">
        <a:xfrm>
          <a:off x="7648575" y="7781925"/>
          <a:ext cx="0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0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2"/>
              </a:moveTo>
              <a:lnTo>
                <a:pt x="52" y="104"/>
              </a:ln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5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9525</xdr:colOff>
      <xdr:row>44</xdr:row>
      <xdr:rowOff>123825</xdr:rowOff>
    </xdr:from>
    <xdr:to>
      <xdr:col>14</xdr:col>
      <xdr:colOff>9525</xdr:colOff>
      <xdr:row>45</xdr:row>
      <xdr:rowOff>28575</xdr:rowOff>
    </xdr:to>
    <xdr:sp macro="" textlink="">
      <xdr:nvSpPr>
        <xdr:cNvPr id="12059" name="Freeform 224">
          <a:extLst>
            <a:ext uri="{FF2B5EF4-FFF2-40B4-BE49-F238E27FC236}">
              <a16:creationId xmlns:a16="http://schemas.microsoft.com/office/drawing/2014/main" id="{00000000-0008-0000-0900-00001B2F0000}"/>
            </a:ext>
          </a:extLst>
        </xdr:cNvPr>
        <xdr:cNvSpPr>
          <a:spLocks noChangeAspect="1"/>
        </xdr:cNvSpPr>
      </xdr:nvSpPr>
      <xdr:spPr bwMode="auto">
        <a:xfrm>
          <a:off x="7648575" y="7781925"/>
          <a:ext cx="0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0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5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9525</xdr:colOff>
      <xdr:row>44</xdr:row>
      <xdr:rowOff>123825</xdr:rowOff>
    </xdr:from>
    <xdr:to>
      <xdr:col>14</xdr:col>
      <xdr:colOff>390525</xdr:colOff>
      <xdr:row>45</xdr:row>
      <xdr:rowOff>28575</xdr:rowOff>
    </xdr:to>
    <xdr:sp macro="" textlink="">
      <xdr:nvSpPr>
        <xdr:cNvPr id="12060" name="Freeform 225">
          <a:extLst>
            <a:ext uri="{FF2B5EF4-FFF2-40B4-BE49-F238E27FC236}">
              <a16:creationId xmlns:a16="http://schemas.microsoft.com/office/drawing/2014/main" id="{00000000-0008-0000-0900-00001C2F0000}"/>
            </a:ext>
          </a:extLst>
        </xdr:cNvPr>
        <xdr:cNvSpPr>
          <a:spLocks noChangeAspect="1"/>
        </xdr:cNvSpPr>
      </xdr:nvSpPr>
      <xdr:spPr bwMode="auto">
        <a:xfrm>
          <a:off x="7648575" y="7781925"/>
          <a:ext cx="381000" cy="66675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7" y="104"/>
              </a:lnTo>
              <a:lnTo>
                <a:pt x="917" y="52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9525</xdr:colOff>
      <xdr:row>44</xdr:row>
      <xdr:rowOff>123825</xdr:rowOff>
    </xdr:from>
    <xdr:to>
      <xdr:col>14</xdr:col>
      <xdr:colOff>390525</xdr:colOff>
      <xdr:row>45</xdr:row>
      <xdr:rowOff>28575</xdr:rowOff>
    </xdr:to>
    <xdr:sp macro="" textlink="">
      <xdr:nvSpPr>
        <xdr:cNvPr id="12061" name="Freeform 226">
          <a:extLst>
            <a:ext uri="{FF2B5EF4-FFF2-40B4-BE49-F238E27FC236}">
              <a16:creationId xmlns:a16="http://schemas.microsoft.com/office/drawing/2014/main" id="{00000000-0008-0000-0900-00001D2F0000}"/>
            </a:ext>
          </a:extLst>
        </xdr:cNvPr>
        <xdr:cNvSpPr>
          <a:spLocks noChangeAspect="1"/>
        </xdr:cNvSpPr>
      </xdr:nvSpPr>
      <xdr:spPr bwMode="auto">
        <a:xfrm>
          <a:off x="7648575" y="7781925"/>
          <a:ext cx="381000" cy="66675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7" y="104"/>
              </a:lnTo>
              <a:lnTo>
                <a:pt x="917" y="52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390525</xdr:colOff>
      <xdr:row>44</xdr:row>
      <xdr:rowOff>123825</xdr:rowOff>
    </xdr:from>
    <xdr:to>
      <xdr:col>14</xdr:col>
      <xdr:colOff>409575</xdr:colOff>
      <xdr:row>45</xdr:row>
      <xdr:rowOff>28575</xdr:rowOff>
    </xdr:to>
    <xdr:sp macro="" textlink="">
      <xdr:nvSpPr>
        <xdr:cNvPr id="12062" name="Freeform 227">
          <a:extLst>
            <a:ext uri="{FF2B5EF4-FFF2-40B4-BE49-F238E27FC236}">
              <a16:creationId xmlns:a16="http://schemas.microsoft.com/office/drawing/2014/main" id="{00000000-0008-0000-0900-00001E2F0000}"/>
            </a:ext>
          </a:extLst>
        </xdr:cNvPr>
        <xdr:cNvSpPr>
          <a:spLocks noChangeAspect="1"/>
        </xdr:cNvSpPr>
      </xdr:nvSpPr>
      <xdr:spPr bwMode="auto">
        <a:xfrm>
          <a:off x="8029575" y="7781925"/>
          <a:ext cx="19050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2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0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0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390525</xdr:colOff>
      <xdr:row>44</xdr:row>
      <xdr:rowOff>123825</xdr:rowOff>
    </xdr:from>
    <xdr:to>
      <xdr:col>14</xdr:col>
      <xdr:colOff>409575</xdr:colOff>
      <xdr:row>45</xdr:row>
      <xdr:rowOff>28575</xdr:rowOff>
    </xdr:to>
    <xdr:sp macro="" textlink="">
      <xdr:nvSpPr>
        <xdr:cNvPr id="12063" name="Freeform 228">
          <a:extLst>
            <a:ext uri="{FF2B5EF4-FFF2-40B4-BE49-F238E27FC236}">
              <a16:creationId xmlns:a16="http://schemas.microsoft.com/office/drawing/2014/main" id="{00000000-0008-0000-0900-00001F2F0000}"/>
            </a:ext>
          </a:extLst>
        </xdr:cNvPr>
        <xdr:cNvSpPr>
          <a:spLocks noChangeAspect="1"/>
        </xdr:cNvSpPr>
      </xdr:nvSpPr>
      <xdr:spPr bwMode="auto">
        <a:xfrm>
          <a:off x="8029575" y="7781925"/>
          <a:ext cx="19050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0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0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9525</xdr:colOff>
      <xdr:row>44</xdr:row>
      <xdr:rowOff>123825</xdr:rowOff>
    </xdr:from>
    <xdr:to>
      <xdr:col>15</xdr:col>
      <xdr:colOff>9525</xdr:colOff>
      <xdr:row>45</xdr:row>
      <xdr:rowOff>28575</xdr:rowOff>
    </xdr:to>
    <xdr:sp macro="" textlink="">
      <xdr:nvSpPr>
        <xdr:cNvPr id="12064" name="Freeform 229">
          <a:extLst>
            <a:ext uri="{FF2B5EF4-FFF2-40B4-BE49-F238E27FC236}">
              <a16:creationId xmlns:a16="http://schemas.microsoft.com/office/drawing/2014/main" id="{00000000-0008-0000-0900-0000202F0000}"/>
            </a:ext>
          </a:extLst>
        </xdr:cNvPr>
        <xdr:cNvSpPr>
          <a:spLocks noChangeAspect="1"/>
        </xdr:cNvSpPr>
      </xdr:nvSpPr>
      <xdr:spPr bwMode="auto">
        <a:xfrm>
          <a:off x="8181975" y="7781925"/>
          <a:ext cx="0" cy="6667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0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2"/>
              </a:moveTo>
              <a:lnTo>
                <a:pt x="51" y="104"/>
              </a:ln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9525</xdr:colOff>
      <xdr:row>44</xdr:row>
      <xdr:rowOff>123825</xdr:rowOff>
    </xdr:from>
    <xdr:to>
      <xdr:col>15</xdr:col>
      <xdr:colOff>9525</xdr:colOff>
      <xdr:row>45</xdr:row>
      <xdr:rowOff>28575</xdr:rowOff>
    </xdr:to>
    <xdr:sp macro="" textlink="">
      <xdr:nvSpPr>
        <xdr:cNvPr id="12065" name="Freeform 230">
          <a:extLst>
            <a:ext uri="{FF2B5EF4-FFF2-40B4-BE49-F238E27FC236}">
              <a16:creationId xmlns:a16="http://schemas.microsoft.com/office/drawing/2014/main" id="{00000000-0008-0000-0900-0000212F0000}"/>
            </a:ext>
          </a:extLst>
        </xdr:cNvPr>
        <xdr:cNvSpPr>
          <a:spLocks noChangeAspect="1"/>
        </xdr:cNvSpPr>
      </xdr:nvSpPr>
      <xdr:spPr bwMode="auto">
        <a:xfrm>
          <a:off x="8181975" y="7781925"/>
          <a:ext cx="0" cy="6667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0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9525</xdr:colOff>
      <xdr:row>44</xdr:row>
      <xdr:rowOff>123825</xdr:rowOff>
    </xdr:from>
    <xdr:to>
      <xdr:col>15</xdr:col>
      <xdr:colOff>371475</xdr:colOff>
      <xdr:row>45</xdr:row>
      <xdr:rowOff>28575</xdr:rowOff>
    </xdr:to>
    <xdr:sp macro="" textlink="">
      <xdr:nvSpPr>
        <xdr:cNvPr id="12066" name="Freeform 231">
          <a:extLst>
            <a:ext uri="{FF2B5EF4-FFF2-40B4-BE49-F238E27FC236}">
              <a16:creationId xmlns:a16="http://schemas.microsoft.com/office/drawing/2014/main" id="{00000000-0008-0000-0900-0000222F0000}"/>
            </a:ext>
          </a:extLst>
        </xdr:cNvPr>
        <xdr:cNvSpPr>
          <a:spLocks noChangeAspect="1"/>
        </xdr:cNvSpPr>
      </xdr:nvSpPr>
      <xdr:spPr bwMode="auto">
        <a:xfrm>
          <a:off x="8181975" y="7781925"/>
          <a:ext cx="361950" cy="66675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7" y="104"/>
              </a:lnTo>
              <a:lnTo>
                <a:pt x="917" y="52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9525</xdr:colOff>
      <xdr:row>44</xdr:row>
      <xdr:rowOff>123825</xdr:rowOff>
    </xdr:from>
    <xdr:to>
      <xdr:col>15</xdr:col>
      <xdr:colOff>371475</xdr:colOff>
      <xdr:row>45</xdr:row>
      <xdr:rowOff>28575</xdr:rowOff>
    </xdr:to>
    <xdr:sp macro="" textlink="">
      <xdr:nvSpPr>
        <xdr:cNvPr id="12067" name="Freeform 232">
          <a:extLst>
            <a:ext uri="{FF2B5EF4-FFF2-40B4-BE49-F238E27FC236}">
              <a16:creationId xmlns:a16="http://schemas.microsoft.com/office/drawing/2014/main" id="{00000000-0008-0000-0900-0000232F0000}"/>
            </a:ext>
          </a:extLst>
        </xdr:cNvPr>
        <xdr:cNvSpPr>
          <a:spLocks noChangeAspect="1"/>
        </xdr:cNvSpPr>
      </xdr:nvSpPr>
      <xdr:spPr bwMode="auto">
        <a:xfrm>
          <a:off x="8181975" y="7781925"/>
          <a:ext cx="361950" cy="66675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7" y="104"/>
              </a:lnTo>
              <a:lnTo>
                <a:pt x="917" y="52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390525</xdr:colOff>
      <xdr:row>44</xdr:row>
      <xdr:rowOff>123825</xdr:rowOff>
    </xdr:from>
    <xdr:to>
      <xdr:col>15</xdr:col>
      <xdr:colOff>428625</xdr:colOff>
      <xdr:row>45</xdr:row>
      <xdr:rowOff>28575</xdr:rowOff>
    </xdr:to>
    <xdr:sp macro="" textlink="">
      <xdr:nvSpPr>
        <xdr:cNvPr id="12068" name="Freeform 233">
          <a:extLst>
            <a:ext uri="{FF2B5EF4-FFF2-40B4-BE49-F238E27FC236}">
              <a16:creationId xmlns:a16="http://schemas.microsoft.com/office/drawing/2014/main" id="{00000000-0008-0000-0900-0000242F0000}"/>
            </a:ext>
          </a:extLst>
        </xdr:cNvPr>
        <xdr:cNvSpPr>
          <a:spLocks noChangeAspect="1"/>
        </xdr:cNvSpPr>
      </xdr:nvSpPr>
      <xdr:spPr bwMode="auto">
        <a:xfrm>
          <a:off x="8562975" y="7781925"/>
          <a:ext cx="38100" cy="6667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2"/>
              </a:moveTo>
              <a:lnTo>
                <a:pt x="0" y="0"/>
              </a:ln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3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390525</xdr:colOff>
      <xdr:row>44</xdr:row>
      <xdr:rowOff>123825</xdr:rowOff>
    </xdr:from>
    <xdr:to>
      <xdr:col>15</xdr:col>
      <xdr:colOff>428625</xdr:colOff>
      <xdr:row>45</xdr:row>
      <xdr:rowOff>28575</xdr:rowOff>
    </xdr:to>
    <xdr:sp macro="" textlink="">
      <xdr:nvSpPr>
        <xdr:cNvPr id="12069" name="Freeform 234">
          <a:extLst>
            <a:ext uri="{FF2B5EF4-FFF2-40B4-BE49-F238E27FC236}">
              <a16:creationId xmlns:a16="http://schemas.microsoft.com/office/drawing/2014/main" id="{00000000-0008-0000-0900-0000252F0000}"/>
            </a:ext>
          </a:extLst>
        </xdr:cNvPr>
        <xdr:cNvSpPr>
          <a:spLocks noChangeAspect="1"/>
        </xdr:cNvSpPr>
      </xdr:nvSpPr>
      <xdr:spPr bwMode="auto">
        <a:xfrm>
          <a:off x="8562975" y="7781925"/>
          <a:ext cx="38100" cy="6667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3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44</xdr:row>
      <xdr:rowOff>123825</xdr:rowOff>
    </xdr:from>
    <xdr:to>
      <xdr:col>16</xdr:col>
      <xdr:colOff>9525</xdr:colOff>
      <xdr:row>45</xdr:row>
      <xdr:rowOff>28575</xdr:rowOff>
    </xdr:to>
    <xdr:sp macro="" textlink="">
      <xdr:nvSpPr>
        <xdr:cNvPr id="12070" name="Freeform 235">
          <a:extLst>
            <a:ext uri="{FF2B5EF4-FFF2-40B4-BE49-F238E27FC236}">
              <a16:creationId xmlns:a16="http://schemas.microsoft.com/office/drawing/2014/main" id="{00000000-0008-0000-0900-0000262F0000}"/>
            </a:ext>
          </a:extLst>
        </xdr:cNvPr>
        <xdr:cNvSpPr>
          <a:spLocks noChangeAspect="1"/>
        </xdr:cNvSpPr>
      </xdr:nvSpPr>
      <xdr:spPr bwMode="auto">
        <a:xfrm>
          <a:off x="8715375" y="7781925"/>
          <a:ext cx="0" cy="6667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0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2"/>
              </a:moveTo>
              <a:lnTo>
                <a:pt x="51" y="104"/>
              </a:lnTo>
              <a:lnTo>
                <a:pt x="39" y="103"/>
              </a:lnTo>
              <a:lnTo>
                <a:pt x="29" y="99"/>
              </a:lnTo>
              <a:lnTo>
                <a:pt x="18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8" y="11"/>
              </a:lnTo>
              <a:lnTo>
                <a:pt x="29" y="5"/>
              </a:lnTo>
              <a:lnTo>
                <a:pt x="39" y="2"/>
              </a:lnTo>
              <a:lnTo>
                <a:pt x="51" y="0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44</xdr:row>
      <xdr:rowOff>123825</xdr:rowOff>
    </xdr:from>
    <xdr:to>
      <xdr:col>16</xdr:col>
      <xdr:colOff>9525</xdr:colOff>
      <xdr:row>45</xdr:row>
      <xdr:rowOff>28575</xdr:rowOff>
    </xdr:to>
    <xdr:sp macro="" textlink="">
      <xdr:nvSpPr>
        <xdr:cNvPr id="12071" name="Freeform 236">
          <a:extLst>
            <a:ext uri="{FF2B5EF4-FFF2-40B4-BE49-F238E27FC236}">
              <a16:creationId xmlns:a16="http://schemas.microsoft.com/office/drawing/2014/main" id="{00000000-0008-0000-0900-0000272F0000}"/>
            </a:ext>
          </a:extLst>
        </xdr:cNvPr>
        <xdr:cNvSpPr>
          <a:spLocks noChangeAspect="1"/>
        </xdr:cNvSpPr>
      </xdr:nvSpPr>
      <xdr:spPr bwMode="auto">
        <a:xfrm>
          <a:off x="8715375" y="7781925"/>
          <a:ext cx="0" cy="6667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0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39" y="103"/>
              </a:lnTo>
              <a:lnTo>
                <a:pt x="29" y="99"/>
              </a:lnTo>
              <a:lnTo>
                <a:pt x="18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8" y="11"/>
              </a:lnTo>
              <a:lnTo>
                <a:pt x="29" y="5"/>
              </a:lnTo>
              <a:lnTo>
                <a:pt x="39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44</xdr:row>
      <xdr:rowOff>123825</xdr:rowOff>
    </xdr:from>
    <xdr:to>
      <xdr:col>16</xdr:col>
      <xdr:colOff>352425</xdr:colOff>
      <xdr:row>45</xdr:row>
      <xdr:rowOff>28575</xdr:rowOff>
    </xdr:to>
    <xdr:sp macro="" textlink="">
      <xdr:nvSpPr>
        <xdr:cNvPr id="12072" name="Freeform 237">
          <a:extLst>
            <a:ext uri="{FF2B5EF4-FFF2-40B4-BE49-F238E27FC236}">
              <a16:creationId xmlns:a16="http://schemas.microsoft.com/office/drawing/2014/main" id="{00000000-0008-0000-0900-0000282F0000}"/>
            </a:ext>
          </a:extLst>
        </xdr:cNvPr>
        <xdr:cNvSpPr>
          <a:spLocks noChangeAspect="1"/>
        </xdr:cNvSpPr>
      </xdr:nvSpPr>
      <xdr:spPr bwMode="auto">
        <a:xfrm>
          <a:off x="8715375" y="7781925"/>
          <a:ext cx="342900" cy="66675"/>
        </a:xfrm>
        <a:custGeom>
          <a:avLst/>
          <a:gdLst>
            <a:gd name="T0" fmla="*/ 0 w 912"/>
            <a:gd name="T1" fmla="*/ 0 h 104"/>
            <a:gd name="T2" fmla="*/ 0 w 912"/>
            <a:gd name="T3" fmla="*/ 0 h 104"/>
            <a:gd name="T4" fmla="*/ 0 w 912"/>
            <a:gd name="T5" fmla="*/ 0 h 104"/>
            <a:gd name="T6" fmla="*/ 2147483647 w 912"/>
            <a:gd name="T7" fmla="*/ 0 h 104"/>
            <a:gd name="T8" fmla="*/ 2147483647 w 912"/>
            <a:gd name="T9" fmla="*/ 0 h 104"/>
            <a:gd name="T10" fmla="*/ 2147483647 w 912"/>
            <a:gd name="T11" fmla="*/ 0 h 104"/>
            <a:gd name="T12" fmla="*/ 0 w 912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2"/>
            <a:gd name="T22" fmla="*/ 0 h 104"/>
            <a:gd name="T23" fmla="*/ 912 w 912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2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2" y="104"/>
              </a:lnTo>
              <a:lnTo>
                <a:pt x="912" y="52"/>
              </a:lnTo>
              <a:lnTo>
                <a:pt x="912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44</xdr:row>
      <xdr:rowOff>123825</xdr:rowOff>
    </xdr:from>
    <xdr:to>
      <xdr:col>16</xdr:col>
      <xdr:colOff>352425</xdr:colOff>
      <xdr:row>45</xdr:row>
      <xdr:rowOff>28575</xdr:rowOff>
    </xdr:to>
    <xdr:sp macro="" textlink="">
      <xdr:nvSpPr>
        <xdr:cNvPr id="12073" name="Freeform 238">
          <a:extLst>
            <a:ext uri="{FF2B5EF4-FFF2-40B4-BE49-F238E27FC236}">
              <a16:creationId xmlns:a16="http://schemas.microsoft.com/office/drawing/2014/main" id="{00000000-0008-0000-0900-0000292F0000}"/>
            </a:ext>
          </a:extLst>
        </xdr:cNvPr>
        <xdr:cNvSpPr>
          <a:spLocks noChangeAspect="1"/>
        </xdr:cNvSpPr>
      </xdr:nvSpPr>
      <xdr:spPr bwMode="auto">
        <a:xfrm>
          <a:off x="8715375" y="7781925"/>
          <a:ext cx="342900" cy="66675"/>
        </a:xfrm>
        <a:custGeom>
          <a:avLst/>
          <a:gdLst>
            <a:gd name="T0" fmla="*/ 0 w 912"/>
            <a:gd name="T1" fmla="*/ 0 h 104"/>
            <a:gd name="T2" fmla="*/ 0 w 912"/>
            <a:gd name="T3" fmla="*/ 0 h 104"/>
            <a:gd name="T4" fmla="*/ 0 w 912"/>
            <a:gd name="T5" fmla="*/ 0 h 104"/>
            <a:gd name="T6" fmla="*/ 2147483647 w 912"/>
            <a:gd name="T7" fmla="*/ 0 h 104"/>
            <a:gd name="T8" fmla="*/ 2147483647 w 912"/>
            <a:gd name="T9" fmla="*/ 0 h 104"/>
            <a:gd name="T10" fmla="*/ 2147483647 w 912"/>
            <a:gd name="T11" fmla="*/ 0 h 104"/>
            <a:gd name="T12" fmla="*/ 0 w 912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2"/>
            <a:gd name="T22" fmla="*/ 0 h 104"/>
            <a:gd name="T23" fmla="*/ 912 w 912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2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2" y="104"/>
              </a:lnTo>
              <a:lnTo>
                <a:pt x="912" y="52"/>
              </a:lnTo>
              <a:lnTo>
                <a:pt x="912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44</xdr:row>
      <xdr:rowOff>123825</xdr:rowOff>
    </xdr:from>
    <xdr:to>
      <xdr:col>11</xdr:col>
      <xdr:colOff>200025</xdr:colOff>
      <xdr:row>45</xdr:row>
      <xdr:rowOff>28575</xdr:rowOff>
    </xdr:to>
    <xdr:sp macro="" textlink="">
      <xdr:nvSpPr>
        <xdr:cNvPr id="12074" name="Freeform 241">
          <a:extLst>
            <a:ext uri="{FF2B5EF4-FFF2-40B4-BE49-F238E27FC236}">
              <a16:creationId xmlns:a16="http://schemas.microsoft.com/office/drawing/2014/main" id="{00000000-0008-0000-0900-00002A2F0000}"/>
            </a:ext>
          </a:extLst>
        </xdr:cNvPr>
        <xdr:cNvSpPr>
          <a:spLocks noChangeAspect="1"/>
        </xdr:cNvSpPr>
      </xdr:nvSpPr>
      <xdr:spPr bwMode="auto">
        <a:xfrm>
          <a:off x="6219825" y="7781925"/>
          <a:ext cx="19050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2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44</xdr:row>
      <xdr:rowOff>123825</xdr:rowOff>
    </xdr:from>
    <xdr:to>
      <xdr:col>11</xdr:col>
      <xdr:colOff>200025</xdr:colOff>
      <xdr:row>45</xdr:row>
      <xdr:rowOff>28575</xdr:rowOff>
    </xdr:to>
    <xdr:sp macro="" textlink="">
      <xdr:nvSpPr>
        <xdr:cNvPr id="12075" name="Freeform 242">
          <a:extLst>
            <a:ext uri="{FF2B5EF4-FFF2-40B4-BE49-F238E27FC236}">
              <a16:creationId xmlns:a16="http://schemas.microsoft.com/office/drawing/2014/main" id="{00000000-0008-0000-0900-00002B2F0000}"/>
            </a:ext>
          </a:extLst>
        </xdr:cNvPr>
        <xdr:cNvSpPr>
          <a:spLocks noChangeAspect="1"/>
        </xdr:cNvSpPr>
      </xdr:nvSpPr>
      <xdr:spPr bwMode="auto">
        <a:xfrm>
          <a:off x="6219825" y="7781925"/>
          <a:ext cx="19050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0</xdr:colOff>
      <xdr:row>44</xdr:row>
      <xdr:rowOff>123825</xdr:rowOff>
    </xdr:from>
    <xdr:to>
      <xdr:col>11</xdr:col>
      <xdr:colOff>180975</xdr:colOff>
      <xdr:row>45</xdr:row>
      <xdr:rowOff>28575</xdr:rowOff>
    </xdr:to>
    <xdr:sp macro="" textlink="">
      <xdr:nvSpPr>
        <xdr:cNvPr id="12076" name="Freeform 243">
          <a:extLst>
            <a:ext uri="{FF2B5EF4-FFF2-40B4-BE49-F238E27FC236}">
              <a16:creationId xmlns:a16="http://schemas.microsoft.com/office/drawing/2014/main" id="{00000000-0008-0000-0900-00002C2F0000}"/>
            </a:ext>
          </a:extLst>
        </xdr:cNvPr>
        <xdr:cNvSpPr>
          <a:spLocks noChangeAspect="1"/>
        </xdr:cNvSpPr>
      </xdr:nvSpPr>
      <xdr:spPr bwMode="auto">
        <a:xfrm>
          <a:off x="6038850" y="7781925"/>
          <a:ext cx="180975" cy="66675"/>
        </a:xfrm>
        <a:custGeom>
          <a:avLst/>
          <a:gdLst>
            <a:gd name="T0" fmla="*/ 2147483647 w 560"/>
            <a:gd name="T1" fmla="*/ 0 h 104"/>
            <a:gd name="T2" fmla="*/ 2147483647 w 560"/>
            <a:gd name="T3" fmla="*/ 0 h 104"/>
            <a:gd name="T4" fmla="*/ 2147483647 w 560"/>
            <a:gd name="T5" fmla="*/ 0 h 104"/>
            <a:gd name="T6" fmla="*/ 0 w 560"/>
            <a:gd name="T7" fmla="*/ 0 h 104"/>
            <a:gd name="T8" fmla="*/ 0 w 560"/>
            <a:gd name="T9" fmla="*/ 0 h 104"/>
            <a:gd name="T10" fmla="*/ 0 w 560"/>
            <a:gd name="T11" fmla="*/ 0 h 104"/>
            <a:gd name="T12" fmla="*/ 2147483647 w 560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60"/>
            <a:gd name="T22" fmla="*/ 0 h 104"/>
            <a:gd name="T23" fmla="*/ 560 w 560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60" h="104">
              <a:moveTo>
                <a:pt x="560" y="104"/>
              </a:moveTo>
              <a:lnTo>
                <a:pt x="560" y="52"/>
              </a:lnTo>
              <a:lnTo>
                <a:pt x="560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560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0</xdr:colOff>
      <xdr:row>44</xdr:row>
      <xdr:rowOff>123825</xdr:rowOff>
    </xdr:from>
    <xdr:to>
      <xdr:col>11</xdr:col>
      <xdr:colOff>180975</xdr:colOff>
      <xdr:row>45</xdr:row>
      <xdr:rowOff>28575</xdr:rowOff>
    </xdr:to>
    <xdr:sp macro="" textlink="">
      <xdr:nvSpPr>
        <xdr:cNvPr id="12077" name="Freeform 244">
          <a:extLst>
            <a:ext uri="{FF2B5EF4-FFF2-40B4-BE49-F238E27FC236}">
              <a16:creationId xmlns:a16="http://schemas.microsoft.com/office/drawing/2014/main" id="{00000000-0008-0000-0900-00002D2F0000}"/>
            </a:ext>
          </a:extLst>
        </xdr:cNvPr>
        <xdr:cNvSpPr>
          <a:spLocks noChangeAspect="1"/>
        </xdr:cNvSpPr>
      </xdr:nvSpPr>
      <xdr:spPr bwMode="auto">
        <a:xfrm>
          <a:off x="6038850" y="7781925"/>
          <a:ext cx="180975" cy="66675"/>
        </a:xfrm>
        <a:custGeom>
          <a:avLst/>
          <a:gdLst>
            <a:gd name="T0" fmla="*/ 2147483647 w 560"/>
            <a:gd name="T1" fmla="*/ 0 h 104"/>
            <a:gd name="T2" fmla="*/ 2147483647 w 560"/>
            <a:gd name="T3" fmla="*/ 0 h 104"/>
            <a:gd name="T4" fmla="*/ 2147483647 w 560"/>
            <a:gd name="T5" fmla="*/ 0 h 104"/>
            <a:gd name="T6" fmla="*/ 0 w 560"/>
            <a:gd name="T7" fmla="*/ 0 h 104"/>
            <a:gd name="T8" fmla="*/ 0 w 560"/>
            <a:gd name="T9" fmla="*/ 0 h 104"/>
            <a:gd name="T10" fmla="*/ 0 w 560"/>
            <a:gd name="T11" fmla="*/ 0 h 104"/>
            <a:gd name="T12" fmla="*/ 2147483647 w 560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60"/>
            <a:gd name="T22" fmla="*/ 0 h 104"/>
            <a:gd name="T23" fmla="*/ 560 w 560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60" h="104">
              <a:moveTo>
                <a:pt x="560" y="104"/>
              </a:moveTo>
              <a:lnTo>
                <a:pt x="560" y="52"/>
              </a:lnTo>
              <a:lnTo>
                <a:pt x="560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560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428625</xdr:colOff>
      <xdr:row>44</xdr:row>
      <xdr:rowOff>123825</xdr:rowOff>
    </xdr:from>
    <xdr:to>
      <xdr:col>11</xdr:col>
      <xdr:colOff>0</xdr:colOff>
      <xdr:row>45</xdr:row>
      <xdr:rowOff>28575</xdr:rowOff>
    </xdr:to>
    <xdr:sp macro="" textlink="">
      <xdr:nvSpPr>
        <xdr:cNvPr id="12078" name="Freeform 245">
          <a:extLst>
            <a:ext uri="{FF2B5EF4-FFF2-40B4-BE49-F238E27FC236}">
              <a16:creationId xmlns:a16="http://schemas.microsoft.com/office/drawing/2014/main" id="{00000000-0008-0000-0900-00002E2F0000}"/>
            </a:ext>
          </a:extLst>
        </xdr:cNvPr>
        <xdr:cNvSpPr>
          <a:spLocks noChangeAspect="1"/>
        </xdr:cNvSpPr>
      </xdr:nvSpPr>
      <xdr:spPr bwMode="auto">
        <a:xfrm>
          <a:off x="5934075" y="7781925"/>
          <a:ext cx="104775" cy="6667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2"/>
              </a:moveTo>
              <a:lnTo>
                <a:pt x="51" y="104"/>
              </a:ln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428625</xdr:colOff>
      <xdr:row>44</xdr:row>
      <xdr:rowOff>123825</xdr:rowOff>
    </xdr:from>
    <xdr:to>
      <xdr:col>11</xdr:col>
      <xdr:colOff>0</xdr:colOff>
      <xdr:row>45</xdr:row>
      <xdr:rowOff>28575</xdr:rowOff>
    </xdr:to>
    <xdr:sp macro="" textlink="">
      <xdr:nvSpPr>
        <xdr:cNvPr id="12079" name="Freeform 246">
          <a:extLst>
            <a:ext uri="{FF2B5EF4-FFF2-40B4-BE49-F238E27FC236}">
              <a16:creationId xmlns:a16="http://schemas.microsoft.com/office/drawing/2014/main" id="{00000000-0008-0000-0900-00002F2F0000}"/>
            </a:ext>
          </a:extLst>
        </xdr:cNvPr>
        <xdr:cNvSpPr>
          <a:spLocks noChangeAspect="1"/>
        </xdr:cNvSpPr>
      </xdr:nvSpPr>
      <xdr:spPr bwMode="auto">
        <a:xfrm>
          <a:off x="5934075" y="7781925"/>
          <a:ext cx="104775" cy="6667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333375</xdr:colOff>
      <xdr:row>44</xdr:row>
      <xdr:rowOff>123825</xdr:rowOff>
    </xdr:from>
    <xdr:to>
      <xdr:col>10</xdr:col>
      <xdr:colOff>371475</xdr:colOff>
      <xdr:row>45</xdr:row>
      <xdr:rowOff>28575</xdr:rowOff>
    </xdr:to>
    <xdr:sp macro="" textlink="">
      <xdr:nvSpPr>
        <xdr:cNvPr id="12080" name="Freeform 247">
          <a:extLst>
            <a:ext uri="{FF2B5EF4-FFF2-40B4-BE49-F238E27FC236}">
              <a16:creationId xmlns:a16="http://schemas.microsoft.com/office/drawing/2014/main" id="{00000000-0008-0000-0900-0000302F0000}"/>
            </a:ext>
          </a:extLst>
        </xdr:cNvPr>
        <xdr:cNvSpPr>
          <a:spLocks noChangeAspect="1"/>
        </xdr:cNvSpPr>
      </xdr:nvSpPr>
      <xdr:spPr bwMode="auto">
        <a:xfrm>
          <a:off x="5838825" y="7781925"/>
          <a:ext cx="38100" cy="6667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2"/>
              </a:moveTo>
              <a:lnTo>
                <a:pt x="0" y="0"/>
              </a:ln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8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8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333375</xdr:colOff>
      <xdr:row>44</xdr:row>
      <xdr:rowOff>123825</xdr:rowOff>
    </xdr:from>
    <xdr:to>
      <xdr:col>10</xdr:col>
      <xdr:colOff>371475</xdr:colOff>
      <xdr:row>45</xdr:row>
      <xdr:rowOff>28575</xdr:rowOff>
    </xdr:to>
    <xdr:sp macro="" textlink="">
      <xdr:nvSpPr>
        <xdr:cNvPr id="12081" name="Freeform 248">
          <a:extLst>
            <a:ext uri="{FF2B5EF4-FFF2-40B4-BE49-F238E27FC236}">
              <a16:creationId xmlns:a16="http://schemas.microsoft.com/office/drawing/2014/main" id="{00000000-0008-0000-0900-0000312F0000}"/>
            </a:ext>
          </a:extLst>
        </xdr:cNvPr>
        <xdr:cNvSpPr>
          <a:spLocks noChangeAspect="1"/>
        </xdr:cNvSpPr>
      </xdr:nvSpPr>
      <xdr:spPr bwMode="auto">
        <a:xfrm>
          <a:off x="5838825" y="7781925"/>
          <a:ext cx="38100" cy="6667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8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8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314325</xdr:colOff>
      <xdr:row>44</xdr:row>
      <xdr:rowOff>123825</xdr:rowOff>
    </xdr:from>
    <xdr:to>
      <xdr:col>11</xdr:col>
      <xdr:colOff>200025</xdr:colOff>
      <xdr:row>45</xdr:row>
      <xdr:rowOff>28575</xdr:rowOff>
    </xdr:to>
    <xdr:sp macro="" textlink="">
      <xdr:nvSpPr>
        <xdr:cNvPr id="12082" name="Freeform 249">
          <a:extLst>
            <a:ext uri="{FF2B5EF4-FFF2-40B4-BE49-F238E27FC236}">
              <a16:creationId xmlns:a16="http://schemas.microsoft.com/office/drawing/2014/main" id="{00000000-0008-0000-0900-0000322F0000}"/>
            </a:ext>
          </a:extLst>
        </xdr:cNvPr>
        <xdr:cNvSpPr>
          <a:spLocks noChangeAspect="1"/>
        </xdr:cNvSpPr>
      </xdr:nvSpPr>
      <xdr:spPr bwMode="auto">
        <a:xfrm>
          <a:off x="5819775" y="7781925"/>
          <a:ext cx="419100" cy="66675"/>
        </a:xfrm>
        <a:custGeom>
          <a:avLst/>
          <a:gdLst>
            <a:gd name="T0" fmla="*/ 2147483647 w 916"/>
            <a:gd name="T1" fmla="*/ 0 h 104"/>
            <a:gd name="T2" fmla="*/ 2147483647 w 916"/>
            <a:gd name="T3" fmla="*/ 0 h 104"/>
            <a:gd name="T4" fmla="*/ 2147483647 w 916"/>
            <a:gd name="T5" fmla="*/ 0 h 104"/>
            <a:gd name="T6" fmla="*/ 0 w 916"/>
            <a:gd name="T7" fmla="*/ 0 h 104"/>
            <a:gd name="T8" fmla="*/ 0 w 916"/>
            <a:gd name="T9" fmla="*/ 0 h 104"/>
            <a:gd name="T10" fmla="*/ 0 w 916"/>
            <a:gd name="T11" fmla="*/ 0 h 104"/>
            <a:gd name="T12" fmla="*/ 2147483647 w 916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6"/>
            <a:gd name="T22" fmla="*/ 0 h 104"/>
            <a:gd name="T23" fmla="*/ 916 w 916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6" h="104">
              <a:moveTo>
                <a:pt x="916" y="104"/>
              </a:moveTo>
              <a:lnTo>
                <a:pt x="916" y="52"/>
              </a:lnTo>
              <a:lnTo>
                <a:pt x="916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6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314325</xdr:colOff>
      <xdr:row>44</xdr:row>
      <xdr:rowOff>123825</xdr:rowOff>
    </xdr:from>
    <xdr:to>
      <xdr:col>11</xdr:col>
      <xdr:colOff>200025</xdr:colOff>
      <xdr:row>45</xdr:row>
      <xdr:rowOff>28575</xdr:rowOff>
    </xdr:to>
    <xdr:sp macro="" textlink="">
      <xdr:nvSpPr>
        <xdr:cNvPr id="12083" name="Freeform 250">
          <a:extLst>
            <a:ext uri="{FF2B5EF4-FFF2-40B4-BE49-F238E27FC236}">
              <a16:creationId xmlns:a16="http://schemas.microsoft.com/office/drawing/2014/main" id="{00000000-0008-0000-0900-0000332F0000}"/>
            </a:ext>
          </a:extLst>
        </xdr:cNvPr>
        <xdr:cNvSpPr>
          <a:spLocks noChangeAspect="1"/>
        </xdr:cNvSpPr>
      </xdr:nvSpPr>
      <xdr:spPr bwMode="auto">
        <a:xfrm>
          <a:off x="5819775" y="7781925"/>
          <a:ext cx="419100" cy="66675"/>
        </a:xfrm>
        <a:custGeom>
          <a:avLst/>
          <a:gdLst>
            <a:gd name="T0" fmla="*/ 2147483647 w 916"/>
            <a:gd name="T1" fmla="*/ 0 h 104"/>
            <a:gd name="T2" fmla="*/ 2147483647 w 916"/>
            <a:gd name="T3" fmla="*/ 0 h 104"/>
            <a:gd name="T4" fmla="*/ 2147483647 w 916"/>
            <a:gd name="T5" fmla="*/ 0 h 104"/>
            <a:gd name="T6" fmla="*/ 0 w 916"/>
            <a:gd name="T7" fmla="*/ 0 h 104"/>
            <a:gd name="T8" fmla="*/ 0 w 916"/>
            <a:gd name="T9" fmla="*/ 0 h 104"/>
            <a:gd name="T10" fmla="*/ 0 w 916"/>
            <a:gd name="T11" fmla="*/ 0 h 104"/>
            <a:gd name="T12" fmla="*/ 2147483647 w 916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6"/>
            <a:gd name="T22" fmla="*/ 0 h 104"/>
            <a:gd name="T23" fmla="*/ 916 w 916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6" h="104">
              <a:moveTo>
                <a:pt x="916" y="104"/>
              </a:moveTo>
              <a:lnTo>
                <a:pt x="916" y="52"/>
              </a:lnTo>
              <a:lnTo>
                <a:pt x="916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6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285750</xdr:colOff>
      <xdr:row>44</xdr:row>
      <xdr:rowOff>123825</xdr:rowOff>
    </xdr:from>
    <xdr:to>
      <xdr:col>10</xdr:col>
      <xdr:colOff>314325</xdr:colOff>
      <xdr:row>45</xdr:row>
      <xdr:rowOff>28575</xdr:rowOff>
    </xdr:to>
    <xdr:sp macro="" textlink="">
      <xdr:nvSpPr>
        <xdr:cNvPr id="12084" name="Freeform 251">
          <a:extLst>
            <a:ext uri="{FF2B5EF4-FFF2-40B4-BE49-F238E27FC236}">
              <a16:creationId xmlns:a16="http://schemas.microsoft.com/office/drawing/2014/main" id="{00000000-0008-0000-0900-0000342F0000}"/>
            </a:ext>
          </a:extLst>
        </xdr:cNvPr>
        <xdr:cNvSpPr>
          <a:spLocks noChangeAspect="1"/>
        </xdr:cNvSpPr>
      </xdr:nvSpPr>
      <xdr:spPr bwMode="auto">
        <a:xfrm>
          <a:off x="5791200" y="7781925"/>
          <a:ext cx="28575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2"/>
              </a:moveTo>
              <a:lnTo>
                <a:pt x="52" y="104"/>
              </a:ln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285750</xdr:colOff>
      <xdr:row>44</xdr:row>
      <xdr:rowOff>123825</xdr:rowOff>
    </xdr:from>
    <xdr:to>
      <xdr:col>10</xdr:col>
      <xdr:colOff>314325</xdr:colOff>
      <xdr:row>45</xdr:row>
      <xdr:rowOff>28575</xdr:rowOff>
    </xdr:to>
    <xdr:sp macro="" textlink="">
      <xdr:nvSpPr>
        <xdr:cNvPr id="12085" name="Freeform 252">
          <a:extLst>
            <a:ext uri="{FF2B5EF4-FFF2-40B4-BE49-F238E27FC236}">
              <a16:creationId xmlns:a16="http://schemas.microsoft.com/office/drawing/2014/main" id="{00000000-0008-0000-0900-0000352F0000}"/>
            </a:ext>
          </a:extLst>
        </xdr:cNvPr>
        <xdr:cNvSpPr>
          <a:spLocks noChangeAspect="1"/>
        </xdr:cNvSpPr>
      </xdr:nvSpPr>
      <xdr:spPr bwMode="auto">
        <a:xfrm>
          <a:off x="5791200" y="7781925"/>
          <a:ext cx="28575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200025</xdr:colOff>
      <xdr:row>44</xdr:row>
      <xdr:rowOff>123825</xdr:rowOff>
    </xdr:from>
    <xdr:to>
      <xdr:col>10</xdr:col>
      <xdr:colOff>219075</xdr:colOff>
      <xdr:row>45</xdr:row>
      <xdr:rowOff>28575</xdr:rowOff>
    </xdr:to>
    <xdr:sp macro="" textlink="">
      <xdr:nvSpPr>
        <xdr:cNvPr id="12086" name="Freeform 253">
          <a:extLst>
            <a:ext uri="{FF2B5EF4-FFF2-40B4-BE49-F238E27FC236}">
              <a16:creationId xmlns:a16="http://schemas.microsoft.com/office/drawing/2014/main" id="{00000000-0008-0000-0900-0000362F0000}"/>
            </a:ext>
          </a:extLst>
        </xdr:cNvPr>
        <xdr:cNvSpPr>
          <a:spLocks noChangeAspect="1"/>
        </xdr:cNvSpPr>
      </xdr:nvSpPr>
      <xdr:spPr bwMode="auto">
        <a:xfrm>
          <a:off x="5705475" y="7781925"/>
          <a:ext cx="19050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2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200025</xdr:colOff>
      <xdr:row>44</xdr:row>
      <xdr:rowOff>123825</xdr:rowOff>
    </xdr:from>
    <xdr:to>
      <xdr:col>10</xdr:col>
      <xdr:colOff>219075</xdr:colOff>
      <xdr:row>45</xdr:row>
      <xdr:rowOff>28575</xdr:rowOff>
    </xdr:to>
    <xdr:sp macro="" textlink="">
      <xdr:nvSpPr>
        <xdr:cNvPr id="12087" name="Freeform 254">
          <a:extLst>
            <a:ext uri="{FF2B5EF4-FFF2-40B4-BE49-F238E27FC236}">
              <a16:creationId xmlns:a16="http://schemas.microsoft.com/office/drawing/2014/main" id="{00000000-0008-0000-0900-0000372F0000}"/>
            </a:ext>
          </a:extLst>
        </xdr:cNvPr>
        <xdr:cNvSpPr>
          <a:spLocks noChangeAspect="1"/>
        </xdr:cNvSpPr>
      </xdr:nvSpPr>
      <xdr:spPr bwMode="auto">
        <a:xfrm>
          <a:off x="5705475" y="7781925"/>
          <a:ext cx="19050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314325</xdr:colOff>
      <xdr:row>44</xdr:row>
      <xdr:rowOff>123825</xdr:rowOff>
    </xdr:from>
    <xdr:to>
      <xdr:col>10</xdr:col>
      <xdr:colOff>200025</xdr:colOff>
      <xdr:row>45</xdr:row>
      <xdr:rowOff>28575</xdr:rowOff>
    </xdr:to>
    <xdr:sp macro="" textlink="">
      <xdr:nvSpPr>
        <xdr:cNvPr id="12088" name="Freeform 255">
          <a:extLst>
            <a:ext uri="{FF2B5EF4-FFF2-40B4-BE49-F238E27FC236}">
              <a16:creationId xmlns:a16="http://schemas.microsoft.com/office/drawing/2014/main" id="{00000000-0008-0000-0900-0000382F0000}"/>
            </a:ext>
          </a:extLst>
        </xdr:cNvPr>
        <xdr:cNvSpPr>
          <a:spLocks noChangeAspect="1"/>
        </xdr:cNvSpPr>
      </xdr:nvSpPr>
      <xdr:spPr bwMode="auto">
        <a:xfrm>
          <a:off x="5286375" y="7781925"/>
          <a:ext cx="419100" cy="66675"/>
        </a:xfrm>
        <a:custGeom>
          <a:avLst/>
          <a:gdLst>
            <a:gd name="T0" fmla="*/ 2147483647 w 917"/>
            <a:gd name="T1" fmla="*/ 0 h 104"/>
            <a:gd name="T2" fmla="*/ 2147483647 w 917"/>
            <a:gd name="T3" fmla="*/ 0 h 104"/>
            <a:gd name="T4" fmla="*/ 2147483647 w 917"/>
            <a:gd name="T5" fmla="*/ 0 h 104"/>
            <a:gd name="T6" fmla="*/ 0 w 917"/>
            <a:gd name="T7" fmla="*/ 0 h 104"/>
            <a:gd name="T8" fmla="*/ 0 w 917"/>
            <a:gd name="T9" fmla="*/ 0 h 104"/>
            <a:gd name="T10" fmla="*/ 0 w 917"/>
            <a:gd name="T11" fmla="*/ 0 h 104"/>
            <a:gd name="T12" fmla="*/ 2147483647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917" y="104"/>
              </a:moveTo>
              <a:lnTo>
                <a:pt x="917" y="52"/>
              </a:lnTo>
              <a:lnTo>
                <a:pt x="917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7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314325</xdr:colOff>
      <xdr:row>44</xdr:row>
      <xdr:rowOff>123825</xdr:rowOff>
    </xdr:from>
    <xdr:to>
      <xdr:col>10</xdr:col>
      <xdr:colOff>200025</xdr:colOff>
      <xdr:row>45</xdr:row>
      <xdr:rowOff>28575</xdr:rowOff>
    </xdr:to>
    <xdr:sp macro="" textlink="">
      <xdr:nvSpPr>
        <xdr:cNvPr id="12089" name="Freeform 256">
          <a:extLst>
            <a:ext uri="{FF2B5EF4-FFF2-40B4-BE49-F238E27FC236}">
              <a16:creationId xmlns:a16="http://schemas.microsoft.com/office/drawing/2014/main" id="{00000000-0008-0000-0900-0000392F0000}"/>
            </a:ext>
          </a:extLst>
        </xdr:cNvPr>
        <xdr:cNvSpPr>
          <a:spLocks noChangeAspect="1"/>
        </xdr:cNvSpPr>
      </xdr:nvSpPr>
      <xdr:spPr bwMode="auto">
        <a:xfrm>
          <a:off x="5286375" y="7781925"/>
          <a:ext cx="419100" cy="66675"/>
        </a:xfrm>
        <a:custGeom>
          <a:avLst/>
          <a:gdLst>
            <a:gd name="T0" fmla="*/ 2147483647 w 917"/>
            <a:gd name="T1" fmla="*/ 0 h 104"/>
            <a:gd name="T2" fmla="*/ 2147483647 w 917"/>
            <a:gd name="T3" fmla="*/ 0 h 104"/>
            <a:gd name="T4" fmla="*/ 2147483647 w 917"/>
            <a:gd name="T5" fmla="*/ 0 h 104"/>
            <a:gd name="T6" fmla="*/ 0 w 917"/>
            <a:gd name="T7" fmla="*/ 0 h 104"/>
            <a:gd name="T8" fmla="*/ 0 w 917"/>
            <a:gd name="T9" fmla="*/ 0 h 104"/>
            <a:gd name="T10" fmla="*/ 0 w 917"/>
            <a:gd name="T11" fmla="*/ 0 h 104"/>
            <a:gd name="T12" fmla="*/ 2147483647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917" y="104"/>
              </a:moveTo>
              <a:lnTo>
                <a:pt x="917" y="52"/>
              </a:lnTo>
              <a:lnTo>
                <a:pt x="917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7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314325</xdr:colOff>
      <xdr:row>44</xdr:row>
      <xdr:rowOff>123825</xdr:rowOff>
    </xdr:from>
    <xdr:to>
      <xdr:col>9</xdr:col>
      <xdr:colOff>323850</xdr:colOff>
      <xdr:row>45</xdr:row>
      <xdr:rowOff>28575</xdr:rowOff>
    </xdr:to>
    <xdr:sp macro="" textlink="">
      <xdr:nvSpPr>
        <xdr:cNvPr id="12090" name="Freeform 257">
          <a:extLst>
            <a:ext uri="{FF2B5EF4-FFF2-40B4-BE49-F238E27FC236}">
              <a16:creationId xmlns:a16="http://schemas.microsoft.com/office/drawing/2014/main" id="{00000000-0008-0000-0900-00003A2F0000}"/>
            </a:ext>
          </a:extLst>
        </xdr:cNvPr>
        <xdr:cNvSpPr>
          <a:spLocks noChangeAspect="1"/>
        </xdr:cNvSpPr>
      </xdr:nvSpPr>
      <xdr:spPr bwMode="auto">
        <a:xfrm>
          <a:off x="5286375" y="7781925"/>
          <a:ext cx="9525" cy="6667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2"/>
              </a:moveTo>
              <a:lnTo>
                <a:pt x="51" y="104"/>
              </a:ln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314325</xdr:colOff>
      <xdr:row>44</xdr:row>
      <xdr:rowOff>123825</xdr:rowOff>
    </xdr:from>
    <xdr:to>
      <xdr:col>9</xdr:col>
      <xdr:colOff>323850</xdr:colOff>
      <xdr:row>45</xdr:row>
      <xdr:rowOff>28575</xdr:rowOff>
    </xdr:to>
    <xdr:sp macro="" textlink="">
      <xdr:nvSpPr>
        <xdr:cNvPr id="12091" name="Freeform 258">
          <a:extLst>
            <a:ext uri="{FF2B5EF4-FFF2-40B4-BE49-F238E27FC236}">
              <a16:creationId xmlns:a16="http://schemas.microsoft.com/office/drawing/2014/main" id="{00000000-0008-0000-0900-00003B2F0000}"/>
            </a:ext>
          </a:extLst>
        </xdr:cNvPr>
        <xdr:cNvSpPr>
          <a:spLocks noChangeAspect="1"/>
        </xdr:cNvSpPr>
      </xdr:nvSpPr>
      <xdr:spPr bwMode="auto">
        <a:xfrm>
          <a:off x="5286375" y="7781925"/>
          <a:ext cx="9525" cy="6667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219075</xdr:colOff>
      <xdr:row>44</xdr:row>
      <xdr:rowOff>123825</xdr:rowOff>
    </xdr:from>
    <xdr:to>
      <xdr:col>9</xdr:col>
      <xdr:colOff>238125</xdr:colOff>
      <xdr:row>45</xdr:row>
      <xdr:rowOff>28575</xdr:rowOff>
    </xdr:to>
    <xdr:sp macro="" textlink="">
      <xdr:nvSpPr>
        <xdr:cNvPr id="12092" name="Freeform 259">
          <a:extLst>
            <a:ext uri="{FF2B5EF4-FFF2-40B4-BE49-F238E27FC236}">
              <a16:creationId xmlns:a16="http://schemas.microsoft.com/office/drawing/2014/main" id="{00000000-0008-0000-0900-00003C2F0000}"/>
            </a:ext>
          </a:extLst>
        </xdr:cNvPr>
        <xdr:cNvSpPr>
          <a:spLocks noChangeAspect="1"/>
        </xdr:cNvSpPr>
      </xdr:nvSpPr>
      <xdr:spPr bwMode="auto">
        <a:xfrm>
          <a:off x="5191125" y="7781925"/>
          <a:ext cx="19050" cy="6667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2"/>
              </a:moveTo>
              <a:lnTo>
                <a:pt x="0" y="0"/>
              </a:ln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7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7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219075</xdr:colOff>
      <xdr:row>44</xdr:row>
      <xdr:rowOff>123825</xdr:rowOff>
    </xdr:from>
    <xdr:to>
      <xdr:col>9</xdr:col>
      <xdr:colOff>238125</xdr:colOff>
      <xdr:row>45</xdr:row>
      <xdr:rowOff>28575</xdr:rowOff>
    </xdr:to>
    <xdr:sp macro="" textlink="">
      <xdr:nvSpPr>
        <xdr:cNvPr id="12093" name="Freeform 260">
          <a:extLst>
            <a:ext uri="{FF2B5EF4-FFF2-40B4-BE49-F238E27FC236}">
              <a16:creationId xmlns:a16="http://schemas.microsoft.com/office/drawing/2014/main" id="{00000000-0008-0000-0900-00003D2F0000}"/>
            </a:ext>
          </a:extLst>
        </xdr:cNvPr>
        <xdr:cNvSpPr>
          <a:spLocks noChangeAspect="1"/>
        </xdr:cNvSpPr>
      </xdr:nvSpPr>
      <xdr:spPr bwMode="auto">
        <a:xfrm>
          <a:off x="5191125" y="7781925"/>
          <a:ext cx="19050" cy="6667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7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7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314325</xdr:colOff>
      <xdr:row>44</xdr:row>
      <xdr:rowOff>123825</xdr:rowOff>
    </xdr:from>
    <xdr:to>
      <xdr:col>9</xdr:col>
      <xdr:colOff>200025</xdr:colOff>
      <xdr:row>45</xdr:row>
      <xdr:rowOff>28575</xdr:rowOff>
    </xdr:to>
    <xdr:sp macro="" textlink="">
      <xdr:nvSpPr>
        <xdr:cNvPr id="12094" name="Freeform 261">
          <a:extLst>
            <a:ext uri="{FF2B5EF4-FFF2-40B4-BE49-F238E27FC236}">
              <a16:creationId xmlns:a16="http://schemas.microsoft.com/office/drawing/2014/main" id="{00000000-0008-0000-0900-00003E2F0000}"/>
            </a:ext>
          </a:extLst>
        </xdr:cNvPr>
        <xdr:cNvSpPr>
          <a:spLocks noChangeAspect="1"/>
        </xdr:cNvSpPr>
      </xdr:nvSpPr>
      <xdr:spPr bwMode="auto">
        <a:xfrm>
          <a:off x="4752975" y="7781925"/>
          <a:ext cx="419100" cy="66675"/>
        </a:xfrm>
        <a:custGeom>
          <a:avLst/>
          <a:gdLst>
            <a:gd name="T0" fmla="*/ 2147483647 w 917"/>
            <a:gd name="T1" fmla="*/ 0 h 104"/>
            <a:gd name="T2" fmla="*/ 2147483647 w 917"/>
            <a:gd name="T3" fmla="*/ 0 h 104"/>
            <a:gd name="T4" fmla="*/ 2147483647 w 917"/>
            <a:gd name="T5" fmla="*/ 0 h 104"/>
            <a:gd name="T6" fmla="*/ 0 w 917"/>
            <a:gd name="T7" fmla="*/ 0 h 104"/>
            <a:gd name="T8" fmla="*/ 0 w 917"/>
            <a:gd name="T9" fmla="*/ 0 h 104"/>
            <a:gd name="T10" fmla="*/ 0 w 917"/>
            <a:gd name="T11" fmla="*/ 0 h 104"/>
            <a:gd name="T12" fmla="*/ 2147483647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917" y="104"/>
              </a:moveTo>
              <a:lnTo>
                <a:pt x="917" y="52"/>
              </a:lnTo>
              <a:lnTo>
                <a:pt x="917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7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314325</xdr:colOff>
      <xdr:row>44</xdr:row>
      <xdr:rowOff>123825</xdr:rowOff>
    </xdr:from>
    <xdr:to>
      <xdr:col>9</xdr:col>
      <xdr:colOff>200025</xdr:colOff>
      <xdr:row>45</xdr:row>
      <xdr:rowOff>28575</xdr:rowOff>
    </xdr:to>
    <xdr:sp macro="" textlink="">
      <xdr:nvSpPr>
        <xdr:cNvPr id="12095" name="Freeform 262">
          <a:extLst>
            <a:ext uri="{FF2B5EF4-FFF2-40B4-BE49-F238E27FC236}">
              <a16:creationId xmlns:a16="http://schemas.microsoft.com/office/drawing/2014/main" id="{00000000-0008-0000-0900-00003F2F0000}"/>
            </a:ext>
          </a:extLst>
        </xdr:cNvPr>
        <xdr:cNvSpPr>
          <a:spLocks noChangeAspect="1"/>
        </xdr:cNvSpPr>
      </xdr:nvSpPr>
      <xdr:spPr bwMode="auto">
        <a:xfrm>
          <a:off x="4752975" y="7781925"/>
          <a:ext cx="419100" cy="66675"/>
        </a:xfrm>
        <a:custGeom>
          <a:avLst/>
          <a:gdLst>
            <a:gd name="T0" fmla="*/ 2147483647 w 917"/>
            <a:gd name="T1" fmla="*/ 0 h 104"/>
            <a:gd name="T2" fmla="*/ 2147483647 w 917"/>
            <a:gd name="T3" fmla="*/ 0 h 104"/>
            <a:gd name="T4" fmla="*/ 2147483647 w 917"/>
            <a:gd name="T5" fmla="*/ 0 h 104"/>
            <a:gd name="T6" fmla="*/ 0 w 917"/>
            <a:gd name="T7" fmla="*/ 0 h 104"/>
            <a:gd name="T8" fmla="*/ 0 w 917"/>
            <a:gd name="T9" fmla="*/ 0 h 104"/>
            <a:gd name="T10" fmla="*/ 0 w 917"/>
            <a:gd name="T11" fmla="*/ 0 h 104"/>
            <a:gd name="T12" fmla="*/ 2147483647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917" y="104"/>
              </a:moveTo>
              <a:lnTo>
                <a:pt x="917" y="52"/>
              </a:lnTo>
              <a:lnTo>
                <a:pt x="917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7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295275</xdr:colOff>
      <xdr:row>44</xdr:row>
      <xdr:rowOff>123825</xdr:rowOff>
    </xdr:from>
    <xdr:to>
      <xdr:col>8</xdr:col>
      <xdr:colOff>333375</xdr:colOff>
      <xdr:row>45</xdr:row>
      <xdr:rowOff>28575</xdr:rowOff>
    </xdr:to>
    <xdr:sp macro="" textlink="">
      <xdr:nvSpPr>
        <xdr:cNvPr id="12096" name="Freeform 263">
          <a:extLst>
            <a:ext uri="{FF2B5EF4-FFF2-40B4-BE49-F238E27FC236}">
              <a16:creationId xmlns:a16="http://schemas.microsoft.com/office/drawing/2014/main" id="{00000000-0008-0000-0900-0000402F0000}"/>
            </a:ext>
          </a:extLst>
        </xdr:cNvPr>
        <xdr:cNvSpPr>
          <a:spLocks noChangeAspect="1"/>
        </xdr:cNvSpPr>
      </xdr:nvSpPr>
      <xdr:spPr bwMode="auto">
        <a:xfrm>
          <a:off x="4733925" y="7781925"/>
          <a:ext cx="38100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2"/>
              </a:moveTo>
              <a:lnTo>
                <a:pt x="52" y="104"/>
              </a:ln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1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2" y="0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295275</xdr:colOff>
      <xdr:row>44</xdr:row>
      <xdr:rowOff>123825</xdr:rowOff>
    </xdr:from>
    <xdr:to>
      <xdr:col>8</xdr:col>
      <xdr:colOff>333375</xdr:colOff>
      <xdr:row>45</xdr:row>
      <xdr:rowOff>28575</xdr:rowOff>
    </xdr:to>
    <xdr:sp macro="" textlink="">
      <xdr:nvSpPr>
        <xdr:cNvPr id="12097" name="Freeform 264">
          <a:extLst>
            <a:ext uri="{FF2B5EF4-FFF2-40B4-BE49-F238E27FC236}">
              <a16:creationId xmlns:a16="http://schemas.microsoft.com/office/drawing/2014/main" id="{00000000-0008-0000-0900-0000412F0000}"/>
            </a:ext>
          </a:extLst>
        </xdr:cNvPr>
        <xdr:cNvSpPr>
          <a:spLocks noChangeAspect="1"/>
        </xdr:cNvSpPr>
      </xdr:nvSpPr>
      <xdr:spPr bwMode="auto">
        <a:xfrm>
          <a:off x="4733925" y="7781925"/>
          <a:ext cx="38100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1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238125</xdr:colOff>
      <xdr:row>44</xdr:row>
      <xdr:rowOff>123825</xdr:rowOff>
    </xdr:from>
    <xdr:to>
      <xdr:col>8</xdr:col>
      <xdr:colOff>247650</xdr:colOff>
      <xdr:row>45</xdr:row>
      <xdr:rowOff>28575</xdr:rowOff>
    </xdr:to>
    <xdr:sp macro="" textlink="">
      <xdr:nvSpPr>
        <xdr:cNvPr id="12098" name="Freeform 265">
          <a:extLst>
            <a:ext uri="{FF2B5EF4-FFF2-40B4-BE49-F238E27FC236}">
              <a16:creationId xmlns:a16="http://schemas.microsoft.com/office/drawing/2014/main" id="{00000000-0008-0000-0900-0000422F0000}"/>
            </a:ext>
          </a:extLst>
        </xdr:cNvPr>
        <xdr:cNvSpPr>
          <a:spLocks noChangeAspect="1"/>
        </xdr:cNvSpPr>
      </xdr:nvSpPr>
      <xdr:spPr bwMode="auto">
        <a:xfrm>
          <a:off x="4676775" y="7781925"/>
          <a:ext cx="9525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2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238125</xdr:colOff>
      <xdr:row>44</xdr:row>
      <xdr:rowOff>123825</xdr:rowOff>
    </xdr:from>
    <xdr:to>
      <xdr:col>8</xdr:col>
      <xdr:colOff>247650</xdr:colOff>
      <xdr:row>45</xdr:row>
      <xdr:rowOff>28575</xdr:rowOff>
    </xdr:to>
    <xdr:sp macro="" textlink="">
      <xdr:nvSpPr>
        <xdr:cNvPr id="12099" name="Freeform 266">
          <a:extLst>
            <a:ext uri="{FF2B5EF4-FFF2-40B4-BE49-F238E27FC236}">
              <a16:creationId xmlns:a16="http://schemas.microsoft.com/office/drawing/2014/main" id="{00000000-0008-0000-0900-0000432F0000}"/>
            </a:ext>
          </a:extLst>
        </xdr:cNvPr>
        <xdr:cNvSpPr>
          <a:spLocks noChangeAspect="1"/>
        </xdr:cNvSpPr>
      </xdr:nvSpPr>
      <xdr:spPr bwMode="auto">
        <a:xfrm>
          <a:off x="4676775" y="7781925"/>
          <a:ext cx="9525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333375</xdr:colOff>
      <xdr:row>44</xdr:row>
      <xdr:rowOff>123825</xdr:rowOff>
    </xdr:from>
    <xdr:to>
      <xdr:col>8</xdr:col>
      <xdr:colOff>238125</xdr:colOff>
      <xdr:row>45</xdr:row>
      <xdr:rowOff>28575</xdr:rowOff>
    </xdr:to>
    <xdr:sp macro="" textlink="">
      <xdr:nvSpPr>
        <xdr:cNvPr id="12100" name="Freeform 267">
          <a:extLst>
            <a:ext uri="{FF2B5EF4-FFF2-40B4-BE49-F238E27FC236}">
              <a16:creationId xmlns:a16="http://schemas.microsoft.com/office/drawing/2014/main" id="{00000000-0008-0000-0900-0000442F0000}"/>
            </a:ext>
          </a:extLst>
        </xdr:cNvPr>
        <xdr:cNvSpPr>
          <a:spLocks noChangeAspect="1"/>
        </xdr:cNvSpPr>
      </xdr:nvSpPr>
      <xdr:spPr bwMode="auto">
        <a:xfrm>
          <a:off x="4238625" y="7781925"/>
          <a:ext cx="438150" cy="66675"/>
        </a:xfrm>
        <a:custGeom>
          <a:avLst/>
          <a:gdLst>
            <a:gd name="T0" fmla="*/ 2147483647 w 917"/>
            <a:gd name="T1" fmla="*/ 0 h 104"/>
            <a:gd name="T2" fmla="*/ 2147483647 w 917"/>
            <a:gd name="T3" fmla="*/ 0 h 104"/>
            <a:gd name="T4" fmla="*/ 2147483647 w 917"/>
            <a:gd name="T5" fmla="*/ 0 h 104"/>
            <a:gd name="T6" fmla="*/ 0 w 917"/>
            <a:gd name="T7" fmla="*/ 0 h 104"/>
            <a:gd name="T8" fmla="*/ 0 w 917"/>
            <a:gd name="T9" fmla="*/ 0 h 104"/>
            <a:gd name="T10" fmla="*/ 0 w 917"/>
            <a:gd name="T11" fmla="*/ 0 h 104"/>
            <a:gd name="T12" fmla="*/ 2147483647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917" y="104"/>
              </a:moveTo>
              <a:lnTo>
                <a:pt x="917" y="52"/>
              </a:lnTo>
              <a:lnTo>
                <a:pt x="917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7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333375</xdr:colOff>
      <xdr:row>44</xdr:row>
      <xdr:rowOff>123825</xdr:rowOff>
    </xdr:from>
    <xdr:to>
      <xdr:col>8</xdr:col>
      <xdr:colOff>238125</xdr:colOff>
      <xdr:row>45</xdr:row>
      <xdr:rowOff>28575</xdr:rowOff>
    </xdr:to>
    <xdr:sp macro="" textlink="">
      <xdr:nvSpPr>
        <xdr:cNvPr id="12101" name="Freeform 268">
          <a:extLst>
            <a:ext uri="{FF2B5EF4-FFF2-40B4-BE49-F238E27FC236}">
              <a16:creationId xmlns:a16="http://schemas.microsoft.com/office/drawing/2014/main" id="{00000000-0008-0000-0900-0000452F0000}"/>
            </a:ext>
          </a:extLst>
        </xdr:cNvPr>
        <xdr:cNvSpPr>
          <a:spLocks noChangeAspect="1"/>
        </xdr:cNvSpPr>
      </xdr:nvSpPr>
      <xdr:spPr bwMode="auto">
        <a:xfrm>
          <a:off x="4238625" y="7781925"/>
          <a:ext cx="438150" cy="66675"/>
        </a:xfrm>
        <a:custGeom>
          <a:avLst/>
          <a:gdLst>
            <a:gd name="T0" fmla="*/ 2147483647 w 917"/>
            <a:gd name="T1" fmla="*/ 0 h 104"/>
            <a:gd name="T2" fmla="*/ 2147483647 w 917"/>
            <a:gd name="T3" fmla="*/ 0 h 104"/>
            <a:gd name="T4" fmla="*/ 2147483647 w 917"/>
            <a:gd name="T5" fmla="*/ 0 h 104"/>
            <a:gd name="T6" fmla="*/ 0 w 917"/>
            <a:gd name="T7" fmla="*/ 0 h 104"/>
            <a:gd name="T8" fmla="*/ 0 w 917"/>
            <a:gd name="T9" fmla="*/ 0 h 104"/>
            <a:gd name="T10" fmla="*/ 0 w 917"/>
            <a:gd name="T11" fmla="*/ 0 h 104"/>
            <a:gd name="T12" fmla="*/ 2147483647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917" y="104"/>
              </a:moveTo>
              <a:lnTo>
                <a:pt x="917" y="52"/>
              </a:lnTo>
              <a:lnTo>
                <a:pt x="917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7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323850</xdr:colOff>
      <xdr:row>44</xdr:row>
      <xdr:rowOff>123825</xdr:rowOff>
    </xdr:from>
    <xdr:to>
      <xdr:col>7</xdr:col>
      <xdr:colOff>333375</xdr:colOff>
      <xdr:row>45</xdr:row>
      <xdr:rowOff>28575</xdr:rowOff>
    </xdr:to>
    <xdr:sp macro="" textlink="">
      <xdr:nvSpPr>
        <xdr:cNvPr id="12102" name="Freeform 269">
          <a:extLst>
            <a:ext uri="{FF2B5EF4-FFF2-40B4-BE49-F238E27FC236}">
              <a16:creationId xmlns:a16="http://schemas.microsoft.com/office/drawing/2014/main" id="{00000000-0008-0000-0900-0000462F0000}"/>
            </a:ext>
          </a:extLst>
        </xdr:cNvPr>
        <xdr:cNvSpPr>
          <a:spLocks noChangeAspect="1"/>
        </xdr:cNvSpPr>
      </xdr:nvSpPr>
      <xdr:spPr bwMode="auto">
        <a:xfrm>
          <a:off x="4229100" y="7781925"/>
          <a:ext cx="9525" cy="6667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2"/>
              </a:moveTo>
              <a:lnTo>
                <a:pt x="51" y="104"/>
              </a:lnTo>
              <a:lnTo>
                <a:pt x="39" y="103"/>
              </a:lnTo>
              <a:lnTo>
                <a:pt x="29" y="99"/>
              </a:lnTo>
              <a:lnTo>
                <a:pt x="18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8" y="11"/>
              </a:lnTo>
              <a:lnTo>
                <a:pt x="29" y="5"/>
              </a:lnTo>
              <a:lnTo>
                <a:pt x="39" y="2"/>
              </a:lnTo>
              <a:lnTo>
                <a:pt x="51" y="0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323850</xdr:colOff>
      <xdr:row>44</xdr:row>
      <xdr:rowOff>123825</xdr:rowOff>
    </xdr:from>
    <xdr:to>
      <xdr:col>7</xdr:col>
      <xdr:colOff>333375</xdr:colOff>
      <xdr:row>45</xdr:row>
      <xdr:rowOff>28575</xdr:rowOff>
    </xdr:to>
    <xdr:sp macro="" textlink="">
      <xdr:nvSpPr>
        <xdr:cNvPr id="12103" name="Freeform 270">
          <a:extLst>
            <a:ext uri="{FF2B5EF4-FFF2-40B4-BE49-F238E27FC236}">
              <a16:creationId xmlns:a16="http://schemas.microsoft.com/office/drawing/2014/main" id="{00000000-0008-0000-0900-0000472F0000}"/>
            </a:ext>
          </a:extLst>
        </xdr:cNvPr>
        <xdr:cNvSpPr>
          <a:spLocks noChangeAspect="1"/>
        </xdr:cNvSpPr>
      </xdr:nvSpPr>
      <xdr:spPr bwMode="auto">
        <a:xfrm>
          <a:off x="4229100" y="7781925"/>
          <a:ext cx="9525" cy="6667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39" y="103"/>
              </a:lnTo>
              <a:lnTo>
                <a:pt x="29" y="99"/>
              </a:lnTo>
              <a:lnTo>
                <a:pt x="18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8" y="11"/>
              </a:lnTo>
              <a:lnTo>
                <a:pt x="29" y="5"/>
              </a:lnTo>
              <a:lnTo>
                <a:pt x="39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238125</xdr:colOff>
      <xdr:row>44</xdr:row>
      <xdr:rowOff>123825</xdr:rowOff>
    </xdr:from>
    <xdr:to>
      <xdr:col>7</xdr:col>
      <xdr:colOff>276225</xdr:colOff>
      <xdr:row>45</xdr:row>
      <xdr:rowOff>28575</xdr:rowOff>
    </xdr:to>
    <xdr:sp macro="" textlink="">
      <xdr:nvSpPr>
        <xdr:cNvPr id="12104" name="Freeform 271">
          <a:extLst>
            <a:ext uri="{FF2B5EF4-FFF2-40B4-BE49-F238E27FC236}">
              <a16:creationId xmlns:a16="http://schemas.microsoft.com/office/drawing/2014/main" id="{00000000-0008-0000-0900-0000482F0000}"/>
            </a:ext>
          </a:extLst>
        </xdr:cNvPr>
        <xdr:cNvSpPr>
          <a:spLocks noChangeAspect="1"/>
        </xdr:cNvSpPr>
      </xdr:nvSpPr>
      <xdr:spPr bwMode="auto">
        <a:xfrm>
          <a:off x="4143375" y="7781925"/>
          <a:ext cx="38100" cy="6667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2"/>
              </a:moveTo>
              <a:lnTo>
                <a:pt x="0" y="0"/>
              </a:ln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3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238125</xdr:colOff>
      <xdr:row>44</xdr:row>
      <xdr:rowOff>123825</xdr:rowOff>
    </xdr:from>
    <xdr:to>
      <xdr:col>7</xdr:col>
      <xdr:colOff>276225</xdr:colOff>
      <xdr:row>45</xdr:row>
      <xdr:rowOff>28575</xdr:rowOff>
    </xdr:to>
    <xdr:sp macro="" textlink="">
      <xdr:nvSpPr>
        <xdr:cNvPr id="12105" name="Freeform 272">
          <a:extLst>
            <a:ext uri="{FF2B5EF4-FFF2-40B4-BE49-F238E27FC236}">
              <a16:creationId xmlns:a16="http://schemas.microsoft.com/office/drawing/2014/main" id="{00000000-0008-0000-0900-0000492F0000}"/>
            </a:ext>
          </a:extLst>
        </xdr:cNvPr>
        <xdr:cNvSpPr>
          <a:spLocks noChangeAspect="1"/>
        </xdr:cNvSpPr>
      </xdr:nvSpPr>
      <xdr:spPr bwMode="auto">
        <a:xfrm>
          <a:off x="4143375" y="7781925"/>
          <a:ext cx="38100" cy="6667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3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342900</xdr:colOff>
      <xdr:row>44</xdr:row>
      <xdr:rowOff>123825</xdr:rowOff>
    </xdr:from>
    <xdr:to>
      <xdr:col>7</xdr:col>
      <xdr:colOff>238125</xdr:colOff>
      <xdr:row>45</xdr:row>
      <xdr:rowOff>28575</xdr:rowOff>
    </xdr:to>
    <xdr:sp macro="" textlink="">
      <xdr:nvSpPr>
        <xdr:cNvPr id="12106" name="Freeform 273">
          <a:extLst>
            <a:ext uri="{FF2B5EF4-FFF2-40B4-BE49-F238E27FC236}">
              <a16:creationId xmlns:a16="http://schemas.microsoft.com/office/drawing/2014/main" id="{00000000-0008-0000-0900-00004A2F0000}"/>
            </a:ext>
          </a:extLst>
        </xdr:cNvPr>
        <xdr:cNvSpPr>
          <a:spLocks noChangeAspect="1"/>
        </xdr:cNvSpPr>
      </xdr:nvSpPr>
      <xdr:spPr bwMode="auto">
        <a:xfrm>
          <a:off x="3714750" y="7781925"/>
          <a:ext cx="428625" cy="66675"/>
        </a:xfrm>
        <a:custGeom>
          <a:avLst/>
          <a:gdLst>
            <a:gd name="T0" fmla="*/ 2147483647 w 918"/>
            <a:gd name="T1" fmla="*/ 0 h 104"/>
            <a:gd name="T2" fmla="*/ 2147483647 w 918"/>
            <a:gd name="T3" fmla="*/ 0 h 104"/>
            <a:gd name="T4" fmla="*/ 2147483647 w 918"/>
            <a:gd name="T5" fmla="*/ 0 h 104"/>
            <a:gd name="T6" fmla="*/ 0 w 918"/>
            <a:gd name="T7" fmla="*/ 0 h 104"/>
            <a:gd name="T8" fmla="*/ 0 w 918"/>
            <a:gd name="T9" fmla="*/ 0 h 104"/>
            <a:gd name="T10" fmla="*/ 0 w 918"/>
            <a:gd name="T11" fmla="*/ 0 h 104"/>
            <a:gd name="T12" fmla="*/ 2147483647 w 918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8"/>
            <a:gd name="T22" fmla="*/ 0 h 104"/>
            <a:gd name="T23" fmla="*/ 918 w 918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8" h="104">
              <a:moveTo>
                <a:pt x="918" y="104"/>
              </a:moveTo>
              <a:lnTo>
                <a:pt x="918" y="52"/>
              </a:lnTo>
              <a:lnTo>
                <a:pt x="918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8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342900</xdr:colOff>
      <xdr:row>44</xdr:row>
      <xdr:rowOff>123825</xdr:rowOff>
    </xdr:from>
    <xdr:to>
      <xdr:col>7</xdr:col>
      <xdr:colOff>238125</xdr:colOff>
      <xdr:row>45</xdr:row>
      <xdr:rowOff>28575</xdr:rowOff>
    </xdr:to>
    <xdr:sp macro="" textlink="">
      <xdr:nvSpPr>
        <xdr:cNvPr id="12107" name="Freeform 274">
          <a:extLst>
            <a:ext uri="{FF2B5EF4-FFF2-40B4-BE49-F238E27FC236}">
              <a16:creationId xmlns:a16="http://schemas.microsoft.com/office/drawing/2014/main" id="{00000000-0008-0000-0900-00004B2F0000}"/>
            </a:ext>
          </a:extLst>
        </xdr:cNvPr>
        <xdr:cNvSpPr>
          <a:spLocks noChangeAspect="1"/>
        </xdr:cNvSpPr>
      </xdr:nvSpPr>
      <xdr:spPr bwMode="auto">
        <a:xfrm>
          <a:off x="3714750" y="7781925"/>
          <a:ext cx="428625" cy="66675"/>
        </a:xfrm>
        <a:custGeom>
          <a:avLst/>
          <a:gdLst>
            <a:gd name="T0" fmla="*/ 2147483647 w 918"/>
            <a:gd name="T1" fmla="*/ 0 h 104"/>
            <a:gd name="T2" fmla="*/ 2147483647 w 918"/>
            <a:gd name="T3" fmla="*/ 0 h 104"/>
            <a:gd name="T4" fmla="*/ 2147483647 w 918"/>
            <a:gd name="T5" fmla="*/ 0 h 104"/>
            <a:gd name="T6" fmla="*/ 0 w 918"/>
            <a:gd name="T7" fmla="*/ 0 h 104"/>
            <a:gd name="T8" fmla="*/ 0 w 918"/>
            <a:gd name="T9" fmla="*/ 0 h 104"/>
            <a:gd name="T10" fmla="*/ 0 w 918"/>
            <a:gd name="T11" fmla="*/ 0 h 104"/>
            <a:gd name="T12" fmla="*/ 2147483647 w 918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8"/>
            <a:gd name="T22" fmla="*/ 0 h 104"/>
            <a:gd name="T23" fmla="*/ 918 w 918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8" h="104">
              <a:moveTo>
                <a:pt x="918" y="104"/>
              </a:moveTo>
              <a:lnTo>
                <a:pt x="918" y="52"/>
              </a:lnTo>
              <a:lnTo>
                <a:pt x="918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8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333375</xdr:colOff>
      <xdr:row>44</xdr:row>
      <xdr:rowOff>123825</xdr:rowOff>
    </xdr:from>
    <xdr:to>
      <xdr:col>6</xdr:col>
      <xdr:colOff>352425</xdr:colOff>
      <xdr:row>45</xdr:row>
      <xdr:rowOff>28575</xdr:rowOff>
    </xdr:to>
    <xdr:sp macro="" textlink="">
      <xdr:nvSpPr>
        <xdr:cNvPr id="12108" name="Freeform 275">
          <a:extLst>
            <a:ext uri="{FF2B5EF4-FFF2-40B4-BE49-F238E27FC236}">
              <a16:creationId xmlns:a16="http://schemas.microsoft.com/office/drawing/2014/main" id="{00000000-0008-0000-0900-00004C2F0000}"/>
            </a:ext>
          </a:extLst>
        </xdr:cNvPr>
        <xdr:cNvSpPr>
          <a:spLocks noChangeAspect="1"/>
        </xdr:cNvSpPr>
      </xdr:nvSpPr>
      <xdr:spPr bwMode="auto">
        <a:xfrm>
          <a:off x="3705225" y="7781925"/>
          <a:ext cx="19050" cy="6667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2"/>
              </a:moveTo>
              <a:lnTo>
                <a:pt x="51" y="104"/>
              </a:ln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333375</xdr:colOff>
      <xdr:row>44</xdr:row>
      <xdr:rowOff>123825</xdr:rowOff>
    </xdr:from>
    <xdr:to>
      <xdr:col>6</xdr:col>
      <xdr:colOff>352425</xdr:colOff>
      <xdr:row>45</xdr:row>
      <xdr:rowOff>28575</xdr:rowOff>
    </xdr:to>
    <xdr:sp macro="" textlink="">
      <xdr:nvSpPr>
        <xdr:cNvPr id="12109" name="Freeform 276">
          <a:extLst>
            <a:ext uri="{FF2B5EF4-FFF2-40B4-BE49-F238E27FC236}">
              <a16:creationId xmlns:a16="http://schemas.microsoft.com/office/drawing/2014/main" id="{00000000-0008-0000-0900-00004D2F0000}"/>
            </a:ext>
          </a:extLst>
        </xdr:cNvPr>
        <xdr:cNvSpPr>
          <a:spLocks noChangeAspect="1"/>
        </xdr:cNvSpPr>
      </xdr:nvSpPr>
      <xdr:spPr bwMode="auto">
        <a:xfrm>
          <a:off x="3705225" y="7781925"/>
          <a:ext cx="19050" cy="6667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257175</xdr:colOff>
      <xdr:row>44</xdr:row>
      <xdr:rowOff>123825</xdr:rowOff>
    </xdr:from>
    <xdr:to>
      <xdr:col>6</xdr:col>
      <xdr:colOff>266700</xdr:colOff>
      <xdr:row>45</xdr:row>
      <xdr:rowOff>28575</xdr:rowOff>
    </xdr:to>
    <xdr:sp macro="" textlink="">
      <xdr:nvSpPr>
        <xdr:cNvPr id="12110" name="Freeform 277">
          <a:extLst>
            <a:ext uri="{FF2B5EF4-FFF2-40B4-BE49-F238E27FC236}">
              <a16:creationId xmlns:a16="http://schemas.microsoft.com/office/drawing/2014/main" id="{00000000-0008-0000-0900-00004E2F0000}"/>
            </a:ext>
          </a:extLst>
        </xdr:cNvPr>
        <xdr:cNvSpPr>
          <a:spLocks noChangeAspect="1"/>
        </xdr:cNvSpPr>
      </xdr:nvSpPr>
      <xdr:spPr bwMode="auto">
        <a:xfrm>
          <a:off x="3629025" y="7781925"/>
          <a:ext cx="9525" cy="6667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2"/>
              </a:moveTo>
              <a:lnTo>
                <a:pt x="0" y="0"/>
              </a:lnTo>
              <a:lnTo>
                <a:pt x="12" y="2"/>
              </a:lnTo>
              <a:lnTo>
                <a:pt x="23" y="5"/>
              </a:lnTo>
              <a:lnTo>
                <a:pt x="33" y="11"/>
              </a:lnTo>
              <a:lnTo>
                <a:pt x="41" y="20"/>
              </a:lnTo>
              <a:lnTo>
                <a:pt x="48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8" y="74"/>
              </a:lnTo>
              <a:lnTo>
                <a:pt x="41" y="85"/>
              </a:lnTo>
              <a:lnTo>
                <a:pt x="33" y="93"/>
              </a:lnTo>
              <a:lnTo>
                <a:pt x="23" y="99"/>
              </a:lnTo>
              <a:lnTo>
                <a:pt x="12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257175</xdr:colOff>
      <xdr:row>44</xdr:row>
      <xdr:rowOff>123825</xdr:rowOff>
    </xdr:from>
    <xdr:to>
      <xdr:col>6</xdr:col>
      <xdr:colOff>266700</xdr:colOff>
      <xdr:row>45</xdr:row>
      <xdr:rowOff>28575</xdr:rowOff>
    </xdr:to>
    <xdr:sp macro="" textlink="">
      <xdr:nvSpPr>
        <xdr:cNvPr id="12111" name="Freeform 278">
          <a:extLst>
            <a:ext uri="{FF2B5EF4-FFF2-40B4-BE49-F238E27FC236}">
              <a16:creationId xmlns:a16="http://schemas.microsoft.com/office/drawing/2014/main" id="{00000000-0008-0000-0900-00004F2F0000}"/>
            </a:ext>
          </a:extLst>
        </xdr:cNvPr>
        <xdr:cNvSpPr>
          <a:spLocks noChangeAspect="1"/>
        </xdr:cNvSpPr>
      </xdr:nvSpPr>
      <xdr:spPr bwMode="auto">
        <a:xfrm>
          <a:off x="3629025" y="7781925"/>
          <a:ext cx="9525" cy="6667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3" y="5"/>
              </a:lnTo>
              <a:lnTo>
                <a:pt x="33" y="11"/>
              </a:lnTo>
              <a:lnTo>
                <a:pt x="41" y="20"/>
              </a:lnTo>
              <a:lnTo>
                <a:pt x="48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8" y="74"/>
              </a:lnTo>
              <a:lnTo>
                <a:pt x="41" y="85"/>
              </a:lnTo>
              <a:lnTo>
                <a:pt x="33" y="93"/>
              </a:lnTo>
              <a:lnTo>
                <a:pt x="23" y="99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371475</xdr:colOff>
      <xdr:row>44</xdr:row>
      <xdr:rowOff>123825</xdr:rowOff>
    </xdr:from>
    <xdr:to>
      <xdr:col>6</xdr:col>
      <xdr:colOff>257175</xdr:colOff>
      <xdr:row>45</xdr:row>
      <xdr:rowOff>28575</xdr:rowOff>
    </xdr:to>
    <xdr:sp macro="" textlink="">
      <xdr:nvSpPr>
        <xdr:cNvPr id="12112" name="Freeform 279">
          <a:extLst>
            <a:ext uri="{FF2B5EF4-FFF2-40B4-BE49-F238E27FC236}">
              <a16:creationId xmlns:a16="http://schemas.microsoft.com/office/drawing/2014/main" id="{00000000-0008-0000-0900-0000502F0000}"/>
            </a:ext>
          </a:extLst>
        </xdr:cNvPr>
        <xdr:cNvSpPr>
          <a:spLocks noChangeAspect="1"/>
        </xdr:cNvSpPr>
      </xdr:nvSpPr>
      <xdr:spPr bwMode="auto">
        <a:xfrm>
          <a:off x="3209925" y="7781925"/>
          <a:ext cx="419100" cy="66675"/>
        </a:xfrm>
        <a:custGeom>
          <a:avLst/>
          <a:gdLst>
            <a:gd name="T0" fmla="*/ 2147483647 w 916"/>
            <a:gd name="T1" fmla="*/ 0 h 104"/>
            <a:gd name="T2" fmla="*/ 2147483647 w 916"/>
            <a:gd name="T3" fmla="*/ 0 h 104"/>
            <a:gd name="T4" fmla="*/ 2147483647 w 916"/>
            <a:gd name="T5" fmla="*/ 0 h 104"/>
            <a:gd name="T6" fmla="*/ 0 w 916"/>
            <a:gd name="T7" fmla="*/ 0 h 104"/>
            <a:gd name="T8" fmla="*/ 0 w 916"/>
            <a:gd name="T9" fmla="*/ 0 h 104"/>
            <a:gd name="T10" fmla="*/ 0 w 916"/>
            <a:gd name="T11" fmla="*/ 0 h 104"/>
            <a:gd name="T12" fmla="*/ 2147483647 w 916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6"/>
            <a:gd name="T22" fmla="*/ 0 h 104"/>
            <a:gd name="T23" fmla="*/ 916 w 916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6" h="104">
              <a:moveTo>
                <a:pt x="916" y="104"/>
              </a:moveTo>
              <a:lnTo>
                <a:pt x="916" y="52"/>
              </a:lnTo>
              <a:lnTo>
                <a:pt x="916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6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371475</xdr:colOff>
      <xdr:row>44</xdr:row>
      <xdr:rowOff>123825</xdr:rowOff>
    </xdr:from>
    <xdr:to>
      <xdr:col>6</xdr:col>
      <xdr:colOff>257175</xdr:colOff>
      <xdr:row>45</xdr:row>
      <xdr:rowOff>28575</xdr:rowOff>
    </xdr:to>
    <xdr:sp macro="" textlink="">
      <xdr:nvSpPr>
        <xdr:cNvPr id="12113" name="Freeform 280">
          <a:extLst>
            <a:ext uri="{FF2B5EF4-FFF2-40B4-BE49-F238E27FC236}">
              <a16:creationId xmlns:a16="http://schemas.microsoft.com/office/drawing/2014/main" id="{00000000-0008-0000-0900-0000512F0000}"/>
            </a:ext>
          </a:extLst>
        </xdr:cNvPr>
        <xdr:cNvSpPr>
          <a:spLocks noChangeAspect="1"/>
        </xdr:cNvSpPr>
      </xdr:nvSpPr>
      <xdr:spPr bwMode="auto">
        <a:xfrm>
          <a:off x="3209925" y="7781925"/>
          <a:ext cx="419100" cy="66675"/>
        </a:xfrm>
        <a:custGeom>
          <a:avLst/>
          <a:gdLst>
            <a:gd name="T0" fmla="*/ 2147483647 w 916"/>
            <a:gd name="T1" fmla="*/ 0 h 104"/>
            <a:gd name="T2" fmla="*/ 2147483647 w 916"/>
            <a:gd name="T3" fmla="*/ 0 h 104"/>
            <a:gd name="T4" fmla="*/ 2147483647 w 916"/>
            <a:gd name="T5" fmla="*/ 0 h 104"/>
            <a:gd name="T6" fmla="*/ 0 w 916"/>
            <a:gd name="T7" fmla="*/ 0 h 104"/>
            <a:gd name="T8" fmla="*/ 0 w 916"/>
            <a:gd name="T9" fmla="*/ 0 h 104"/>
            <a:gd name="T10" fmla="*/ 0 w 916"/>
            <a:gd name="T11" fmla="*/ 0 h 104"/>
            <a:gd name="T12" fmla="*/ 2147483647 w 916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6"/>
            <a:gd name="T22" fmla="*/ 0 h 104"/>
            <a:gd name="T23" fmla="*/ 916 w 916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6" h="104">
              <a:moveTo>
                <a:pt x="916" y="104"/>
              </a:moveTo>
              <a:lnTo>
                <a:pt x="916" y="52"/>
              </a:lnTo>
              <a:lnTo>
                <a:pt x="916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6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342900</xdr:colOff>
      <xdr:row>44</xdr:row>
      <xdr:rowOff>123825</xdr:rowOff>
    </xdr:from>
    <xdr:to>
      <xdr:col>5</xdr:col>
      <xdr:colOff>371475</xdr:colOff>
      <xdr:row>45</xdr:row>
      <xdr:rowOff>28575</xdr:rowOff>
    </xdr:to>
    <xdr:sp macro="" textlink="">
      <xdr:nvSpPr>
        <xdr:cNvPr id="12114" name="Freeform 281">
          <a:extLst>
            <a:ext uri="{FF2B5EF4-FFF2-40B4-BE49-F238E27FC236}">
              <a16:creationId xmlns:a16="http://schemas.microsoft.com/office/drawing/2014/main" id="{00000000-0008-0000-0900-0000522F0000}"/>
            </a:ext>
          </a:extLst>
        </xdr:cNvPr>
        <xdr:cNvSpPr>
          <a:spLocks noChangeAspect="1"/>
        </xdr:cNvSpPr>
      </xdr:nvSpPr>
      <xdr:spPr bwMode="auto">
        <a:xfrm>
          <a:off x="3181350" y="7781925"/>
          <a:ext cx="28575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2"/>
              </a:moveTo>
              <a:lnTo>
                <a:pt x="52" y="104"/>
              </a:ln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5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342900</xdr:colOff>
      <xdr:row>44</xdr:row>
      <xdr:rowOff>123825</xdr:rowOff>
    </xdr:from>
    <xdr:to>
      <xdr:col>5</xdr:col>
      <xdr:colOff>371475</xdr:colOff>
      <xdr:row>45</xdr:row>
      <xdr:rowOff>28575</xdr:rowOff>
    </xdr:to>
    <xdr:sp macro="" textlink="">
      <xdr:nvSpPr>
        <xdr:cNvPr id="12115" name="Freeform 282">
          <a:extLst>
            <a:ext uri="{FF2B5EF4-FFF2-40B4-BE49-F238E27FC236}">
              <a16:creationId xmlns:a16="http://schemas.microsoft.com/office/drawing/2014/main" id="{00000000-0008-0000-0900-0000532F0000}"/>
            </a:ext>
          </a:extLst>
        </xdr:cNvPr>
        <xdr:cNvSpPr>
          <a:spLocks noChangeAspect="1"/>
        </xdr:cNvSpPr>
      </xdr:nvSpPr>
      <xdr:spPr bwMode="auto">
        <a:xfrm>
          <a:off x="3181350" y="7781925"/>
          <a:ext cx="28575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5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257175</xdr:colOff>
      <xdr:row>44</xdr:row>
      <xdr:rowOff>123825</xdr:rowOff>
    </xdr:from>
    <xdr:to>
      <xdr:col>5</xdr:col>
      <xdr:colOff>276225</xdr:colOff>
      <xdr:row>45</xdr:row>
      <xdr:rowOff>28575</xdr:rowOff>
    </xdr:to>
    <xdr:sp macro="" textlink="">
      <xdr:nvSpPr>
        <xdr:cNvPr id="12116" name="Freeform 283">
          <a:extLst>
            <a:ext uri="{FF2B5EF4-FFF2-40B4-BE49-F238E27FC236}">
              <a16:creationId xmlns:a16="http://schemas.microsoft.com/office/drawing/2014/main" id="{00000000-0008-0000-0900-0000542F0000}"/>
            </a:ext>
          </a:extLst>
        </xdr:cNvPr>
        <xdr:cNvSpPr>
          <a:spLocks noChangeAspect="1"/>
        </xdr:cNvSpPr>
      </xdr:nvSpPr>
      <xdr:spPr bwMode="auto">
        <a:xfrm>
          <a:off x="3095625" y="7781925"/>
          <a:ext cx="19050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2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257175</xdr:colOff>
      <xdr:row>44</xdr:row>
      <xdr:rowOff>123825</xdr:rowOff>
    </xdr:from>
    <xdr:to>
      <xdr:col>5</xdr:col>
      <xdr:colOff>276225</xdr:colOff>
      <xdr:row>45</xdr:row>
      <xdr:rowOff>28575</xdr:rowOff>
    </xdr:to>
    <xdr:sp macro="" textlink="">
      <xdr:nvSpPr>
        <xdr:cNvPr id="12117" name="Freeform 284">
          <a:extLst>
            <a:ext uri="{FF2B5EF4-FFF2-40B4-BE49-F238E27FC236}">
              <a16:creationId xmlns:a16="http://schemas.microsoft.com/office/drawing/2014/main" id="{00000000-0008-0000-0900-0000552F0000}"/>
            </a:ext>
          </a:extLst>
        </xdr:cNvPr>
        <xdr:cNvSpPr>
          <a:spLocks noChangeAspect="1"/>
        </xdr:cNvSpPr>
      </xdr:nvSpPr>
      <xdr:spPr bwMode="auto">
        <a:xfrm>
          <a:off x="3095625" y="7781925"/>
          <a:ext cx="19050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457200</xdr:colOff>
      <xdr:row>44</xdr:row>
      <xdr:rowOff>123825</xdr:rowOff>
    </xdr:from>
    <xdr:to>
      <xdr:col>5</xdr:col>
      <xdr:colOff>276225</xdr:colOff>
      <xdr:row>45</xdr:row>
      <xdr:rowOff>28575</xdr:rowOff>
    </xdr:to>
    <xdr:sp macro="" textlink="">
      <xdr:nvSpPr>
        <xdr:cNvPr id="12118" name="Freeform 285">
          <a:extLst>
            <a:ext uri="{FF2B5EF4-FFF2-40B4-BE49-F238E27FC236}">
              <a16:creationId xmlns:a16="http://schemas.microsoft.com/office/drawing/2014/main" id="{00000000-0008-0000-0900-0000562F0000}"/>
            </a:ext>
          </a:extLst>
        </xdr:cNvPr>
        <xdr:cNvSpPr>
          <a:spLocks noChangeAspect="1"/>
        </xdr:cNvSpPr>
      </xdr:nvSpPr>
      <xdr:spPr bwMode="auto">
        <a:xfrm>
          <a:off x="2590800" y="7781925"/>
          <a:ext cx="523875" cy="66675"/>
        </a:xfrm>
        <a:custGeom>
          <a:avLst/>
          <a:gdLst>
            <a:gd name="T0" fmla="*/ 2147483647 w 918"/>
            <a:gd name="T1" fmla="*/ 0 h 104"/>
            <a:gd name="T2" fmla="*/ 2147483647 w 918"/>
            <a:gd name="T3" fmla="*/ 0 h 104"/>
            <a:gd name="T4" fmla="*/ 2147483647 w 918"/>
            <a:gd name="T5" fmla="*/ 0 h 104"/>
            <a:gd name="T6" fmla="*/ 0 w 918"/>
            <a:gd name="T7" fmla="*/ 0 h 104"/>
            <a:gd name="T8" fmla="*/ 0 w 918"/>
            <a:gd name="T9" fmla="*/ 0 h 104"/>
            <a:gd name="T10" fmla="*/ 0 w 918"/>
            <a:gd name="T11" fmla="*/ 0 h 104"/>
            <a:gd name="T12" fmla="*/ 2147483647 w 918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8"/>
            <a:gd name="T22" fmla="*/ 0 h 104"/>
            <a:gd name="T23" fmla="*/ 918 w 918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8" h="104">
              <a:moveTo>
                <a:pt x="918" y="104"/>
              </a:moveTo>
              <a:lnTo>
                <a:pt x="918" y="52"/>
              </a:lnTo>
              <a:lnTo>
                <a:pt x="918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8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457200</xdr:colOff>
      <xdr:row>44</xdr:row>
      <xdr:rowOff>123825</xdr:rowOff>
    </xdr:from>
    <xdr:to>
      <xdr:col>5</xdr:col>
      <xdr:colOff>276225</xdr:colOff>
      <xdr:row>45</xdr:row>
      <xdr:rowOff>28575</xdr:rowOff>
    </xdr:to>
    <xdr:sp macro="" textlink="">
      <xdr:nvSpPr>
        <xdr:cNvPr id="12119" name="Freeform 286">
          <a:extLst>
            <a:ext uri="{FF2B5EF4-FFF2-40B4-BE49-F238E27FC236}">
              <a16:creationId xmlns:a16="http://schemas.microsoft.com/office/drawing/2014/main" id="{00000000-0008-0000-0900-0000572F0000}"/>
            </a:ext>
          </a:extLst>
        </xdr:cNvPr>
        <xdr:cNvSpPr>
          <a:spLocks noChangeAspect="1"/>
        </xdr:cNvSpPr>
      </xdr:nvSpPr>
      <xdr:spPr bwMode="auto">
        <a:xfrm>
          <a:off x="2590800" y="7781925"/>
          <a:ext cx="523875" cy="66675"/>
        </a:xfrm>
        <a:custGeom>
          <a:avLst/>
          <a:gdLst>
            <a:gd name="T0" fmla="*/ 2147483647 w 918"/>
            <a:gd name="T1" fmla="*/ 0 h 104"/>
            <a:gd name="T2" fmla="*/ 2147483647 w 918"/>
            <a:gd name="T3" fmla="*/ 0 h 104"/>
            <a:gd name="T4" fmla="*/ 2147483647 w 918"/>
            <a:gd name="T5" fmla="*/ 0 h 104"/>
            <a:gd name="T6" fmla="*/ 0 w 918"/>
            <a:gd name="T7" fmla="*/ 0 h 104"/>
            <a:gd name="T8" fmla="*/ 0 w 918"/>
            <a:gd name="T9" fmla="*/ 0 h 104"/>
            <a:gd name="T10" fmla="*/ 0 w 918"/>
            <a:gd name="T11" fmla="*/ 0 h 104"/>
            <a:gd name="T12" fmla="*/ 2147483647 w 918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8"/>
            <a:gd name="T22" fmla="*/ 0 h 104"/>
            <a:gd name="T23" fmla="*/ 918 w 918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8" h="104">
              <a:moveTo>
                <a:pt x="918" y="104"/>
              </a:moveTo>
              <a:lnTo>
                <a:pt x="918" y="52"/>
              </a:lnTo>
              <a:lnTo>
                <a:pt x="918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8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447675</xdr:colOff>
      <xdr:row>44</xdr:row>
      <xdr:rowOff>123825</xdr:rowOff>
    </xdr:from>
    <xdr:to>
      <xdr:col>4</xdr:col>
      <xdr:colOff>457200</xdr:colOff>
      <xdr:row>45</xdr:row>
      <xdr:rowOff>28575</xdr:rowOff>
    </xdr:to>
    <xdr:sp macro="" textlink="">
      <xdr:nvSpPr>
        <xdr:cNvPr id="12120" name="Freeform 287">
          <a:extLst>
            <a:ext uri="{FF2B5EF4-FFF2-40B4-BE49-F238E27FC236}">
              <a16:creationId xmlns:a16="http://schemas.microsoft.com/office/drawing/2014/main" id="{00000000-0008-0000-0900-0000582F0000}"/>
            </a:ext>
          </a:extLst>
        </xdr:cNvPr>
        <xdr:cNvSpPr>
          <a:spLocks noChangeAspect="1"/>
        </xdr:cNvSpPr>
      </xdr:nvSpPr>
      <xdr:spPr bwMode="auto">
        <a:xfrm>
          <a:off x="2581275" y="7781925"/>
          <a:ext cx="9525" cy="6667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2"/>
              </a:moveTo>
              <a:lnTo>
                <a:pt x="51" y="104"/>
              </a:ln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447675</xdr:colOff>
      <xdr:row>44</xdr:row>
      <xdr:rowOff>123825</xdr:rowOff>
    </xdr:from>
    <xdr:to>
      <xdr:col>4</xdr:col>
      <xdr:colOff>457200</xdr:colOff>
      <xdr:row>45</xdr:row>
      <xdr:rowOff>28575</xdr:rowOff>
    </xdr:to>
    <xdr:sp macro="" textlink="">
      <xdr:nvSpPr>
        <xdr:cNvPr id="12121" name="Freeform 288">
          <a:extLst>
            <a:ext uri="{FF2B5EF4-FFF2-40B4-BE49-F238E27FC236}">
              <a16:creationId xmlns:a16="http://schemas.microsoft.com/office/drawing/2014/main" id="{00000000-0008-0000-0900-0000592F0000}"/>
            </a:ext>
          </a:extLst>
        </xdr:cNvPr>
        <xdr:cNvSpPr>
          <a:spLocks noChangeAspect="1"/>
        </xdr:cNvSpPr>
      </xdr:nvSpPr>
      <xdr:spPr bwMode="auto">
        <a:xfrm>
          <a:off x="2581275" y="7781925"/>
          <a:ext cx="9525" cy="6667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352425</xdr:colOff>
      <xdr:row>44</xdr:row>
      <xdr:rowOff>123825</xdr:rowOff>
    </xdr:from>
    <xdr:to>
      <xdr:col>4</xdr:col>
      <xdr:colOff>371475</xdr:colOff>
      <xdr:row>45</xdr:row>
      <xdr:rowOff>28575</xdr:rowOff>
    </xdr:to>
    <xdr:sp macro="" textlink="">
      <xdr:nvSpPr>
        <xdr:cNvPr id="12122" name="Freeform 289">
          <a:extLst>
            <a:ext uri="{FF2B5EF4-FFF2-40B4-BE49-F238E27FC236}">
              <a16:creationId xmlns:a16="http://schemas.microsoft.com/office/drawing/2014/main" id="{00000000-0008-0000-0900-00005A2F0000}"/>
            </a:ext>
          </a:extLst>
        </xdr:cNvPr>
        <xdr:cNvSpPr>
          <a:spLocks noChangeAspect="1"/>
        </xdr:cNvSpPr>
      </xdr:nvSpPr>
      <xdr:spPr bwMode="auto">
        <a:xfrm>
          <a:off x="2486025" y="7781925"/>
          <a:ext cx="19050" cy="6667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2"/>
              </a:moveTo>
              <a:lnTo>
                <a:pt x="0" y="0"/>
              </a:ln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8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8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352425</xdr:colOff>
      <xdr:row>44</xdr:row>
      <xdr:rowOff>123825</xdr:rowOff>
    </xdr:from>
    <xdr:to>
      <xdr:col>4</xdr:col>
      <xdr:colOff>371475</xdr:colOff>
      <xdr:row>45</xdr:row>
      <xdr:rowOff>28575</xdr:rowOff>
    </xdr:to>
    <xdr:sp macro="" textlink="">
      <xdr:nvSpPr>
        <xdr:cNvPr id="12123" name="Freeform 290">
          <a:extLst>
            <a:ext uri="{FF2B5EF4-FFF2-40B4-BE49-F238E27FC236}">
              <a16:creationId xmlns:a16="http://schemas.microsoft.com/office/drawing/2014/main" id="{00000000-0008-0000-0900-00005B2F0000}"/>
            </a:ext>
          </a:extLst>
        </xdr:cNvPr>
        <xdr:cNvSpPr>
          <a:spLocks noChangeAspect="1"/>
        </xdr:cNvSpPr>
      </xdr:nvSpPr>
      <xdr:spPr bwMode="auto">
        <a:xfrm>
          <a:off x="2486025" y="7781925"/>
          <a:ext cx="19050" cy="6667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8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8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104775</xdr:colOff>
      <xdr:row>44</xdr:row>
      <xdr:rowOff>123825</xdr:rowOff>
    </xdr:from>
    <xdr:to>
      <xdr:col>4</xdr:col>
      <xdr:colOff>352425</xdr:colOff>
      <xdr:row>45</xdr:row>
      <xdr:rowOff>28575</xdr:rowOff>
    </xdr:to>
    <xdr:sp macro="" textlink="">
      <xdr:nvSpPr>
        <xdr:cNvPr id="12124" name="Freeform 291">
          <a:extLst>
            <a:ext uri="{FF2B5EF4-FFF2-40B4-BE49-F238E27FC236}">
              <a16:creationId xmlns:a16="http://schemas.microsoft.com/office/drawing/2014/main" id="{00000000-0008-0000-0900-00005C2F0000}"/>
            </a:ext>
          </a:extLst>
        </xdr:cNvPr>
        <xdr:cNvSpPr>
          <a:spLocks noChangeAspect="1"/>
        </xdr:cNvSpPr>
      </xdr:nvSpPr>
      <xdr:spPr bwMode="auto">
        <a:xfrm>
          <a:off x="2238375" y="7781925"/>
          <a:ext cx="247650" cy="66675"/>
        </a:xfrm>
        <a:custGeom>
          <a:avLst/>
          <a:gdLst>
            <a:gd name="T0" fmla="*/ 2147483647 w 559"/>
            <a:gd name="T1" fmla="*/ 0 h 104"/>
            <a:gd name="T2" fmla="*/ 2147483647 w 559"/>
            <a:gd name="T3" fmla="*/ 0 h 104"/>
            <a:gd name="T4" fmla="*/ 2147483647 w 559"/>
            <a:gd name="T5" fmla="*/ 0 h 104"/>
            <a:gd name="T6" fmla="*/ 0 w 559"/>
            <a:gd name="T7" fmla="*/ 0 h 104"/>
            <a:gd name="T8" fmla="*/ 0 w 559"/>
            <a:gd name="T9" fmla="*/ 0 h 104"/>
            <a:gd name="T10" fmla="*/ 0 w 559"/>
            <a:gd name="T11" fmla="*/ 0 h 104"/>
            <a:gd name="T12" fmla="*/ 2147483647 w 559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59"/>
            <a:gd name="T22" fmla="*/ 0 h 104"/>
            <a:gd name="T23" fmla="*/ 559 w 559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59" h="104">
              <a:moveTo>
                <a:pt x="559" y="104"/>
              </a:moveTo>
              <a:lnTo>
                <a:pt x="559" y="52"/>
              </a:lnTo>
              <a:lnTo>
                <a:pt x="559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559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104775</xdr:colOff>
      <xdr:row>44</xdr:row>
      <xdr:rowOff>123825</xdr:rowOff>
    </xdr:from>
    <xdr:to>
      <xdr:col>4</xdr:col>
      <xdr:colOff>352425</xdr:colOff>
      <xdr:row>45</xdr:row>
      <xdr:rowOff>28575</xdr:rowOff>
    </xdr:to>
    <xdr:sp macro="" textlink="">
      <xdr:nvSpPr>
        <xdr:cNvPr id="12125" name="Freeform 292">
          <a:extLst>
            <a:ext uri="{FF2B5EF4-FFF2-40B4-BE49-F238E27FC236}">
              <a16:creationId xmlns:a16="http://schemas.microsoft.com/office/drawing/2014/main" id="{00000000-0008-0000-0900-00005D2F0000}"/>
            </a:ext>
          </a:extLst>
        </xdr:cNvPr>
        <xdr:cNvSpPr>
          <a:spLocks noChangeAspect="1"/>
        </xdr:cNvSpPr>
      </xdr:nvSpPr>
      <xdr:spPr bwMode="auto">
        <a:xfrm>
          <a:off x="2238375" y="7781925"/>
          <a:ext cx="247650" cy="66675"/>
        </a:xfrm>
        <a:custGeom>
          <a:avLst/>
          <a:gdLst>
            <a:gd name="T0" fmla="*/ 2147483647 w 559"/>
            <a:gd name="T1" fmla="*/ 0 h 104"/>
            <a:gd name="T2" fmla="*/ 2147483647 w 559"/>
            <a:gd name="T3" fmla="*/ 0 h 104"/>
            <a:gd name="T4" fmla="*/ 2147483647 w 559"/>
            <a:gd name="T5" fmla="*/ 0 h 104"/>
            <a:gd name="T6" fmla="*/ 0 w 559"/>
            <a:gd name="T7" fmla="*/ 0 h 104"/>
            <a:gd name="T8" fmla="*/ 0 w 559"/>
            <a:gd name="T9" fmla="*/ 0 h 104"/>
            <a:gd name="T10" fmla="*/ 0 w 559"/>
            <a:gd name="T11" fmla="*/ 0 h 104"/>
            <a:gd name="T12" fmla="*/ 2147483647 w 559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59"/>
            <a:gd name="T22" fmla="*/ 0 h 104"/>
            <a:gd name="T23" fmla="*/ 559 w 559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59" h="104">
              <a:moveTo>
                <a:pt x="559" y="104"/>
              </a:moveTo>
              <a:lnTo>
                <a:pt x="559" y="52"/>
              </a:lnTo>
              <a:lnTo>
                <a:pt x="559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559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44</xdr:row>
      <xdr:rowOff>123825</xdr:rowOff>
    </xdr:from>
    <xdr:to>
      <xdr:col>4</xdr:col>
      <xdr:colOff>123825</xdr:colOff>
      <xdr:row>45</xdr:row>
      <xdr:rowOff>28575</xdr:rowOff>
    </xdr:to>
    <xdr:sp macro="" textlink="">
      <xdr:nvSpPr>
        <xdr:cNvPr id="12126" name="Freeform 293">
          <a:extLst>
            <a:ext uri="{FF2B5EF4-FFF2-40B4-BE49-F238E27FC236}">
              <a16:creationId xmlns:a16="http://schemas.microsoft.com/office/drawing/2014/main" id="{00000000-0008-0000-0900-00005E2F0000}"/>
            </a:ext>
          </a:extLst>
        </xdr:cNvPr>
        <xdr:cNvSpPr>
          <a:spLocks noChangeAspect="1"/>
        </xdr:cNvSpPr>
      </xdr:nvSpPr>
      <xdr:spPr bwMode="auto">
        <a:xfrm>
          <a:off x="2219325" y="7781925"/>
          <a:ext cx="38100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2"/>
              </a:moveTo>
              <a:lnTo>
                <a:pt x="52" y="104"/>
              </a:ln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44</xdr:row>
      <xdr:rowOff>123825</xdr:rowOff>
    </xdr:from>
    <xdr:to>
      <xdr:col>4</xdr:col>
      <xdr:colOff>123825</xdr:colOff>
      <xdr:row>45</xdr:row>
      <xdr:rowOff>28575</xdr:rowOff>
    </xdr:to>
    <xdr:sp macro="" textlink="">
      <xdr:nvSpPr>
        <xdr:cNvPr id="12127" name="Freeform 294">
          <a:extLst>
            <a:ext uri="{FF2B5EF4-FFF2-40B4-BE49-F238E27FC236}">
              <a16:creationId xmlns:a16="http://schemas.microsoft.com/office/drawing/2014/main" id="{00000000-0008-0000-0900-00005F2F0000}"/>
            </a:ext>
          </a:extLst>
        </xdr:cNvPr>
        <xdr:cNvSpPr>
          <a:spLocks noChangeAspect="1"/>
        </xdr:cNvSpPr>
      </xdr:nvSpPr>
      <xdr:spPr bwMode="auto">
        <a:xfrm>
          <a:off x="2219325" y="7781925"/>
          <a:ext cx="38100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42</xdr:row>
      <xdr:rowOff>95250</xdr:rowOff>
    </xdr:from>
    <xdr:to>
      <xdr:col>3</xdr:col>
      <xdr:colOff>0</xdr:colOff>
      <xdr:row>42</xdr:row>
      <xdr:rowOff>123825</xdr:rowOff>
    </xdr:to>
    <xdr:sp macro="" textlink="">
      <xdr:nvSpPr>
        <xdr:cNvPr id="12128" name="Freeform 295">
          <a:extLst>
            <a:ext uri="{FF2B5EF4-FFF2-40B4-BE49-F238E27FC236}">
              <a16:creationId xmlns:a16="http://schemas.microsoft.com/office/drawing/2014/main" id="{00000000-0008-0000-0900-0000602F0000}"/>
            </a:ext>
          </a:extLst>
        </xdr:cNvPr>
        <xdr:cNvSpPr>
          <a:spLocks noChangeAspect="1"/>
        </xdr:cNvSpPr>
      </xdr:nvSpPr>
      <xdr:spPr bwMode="auto">
        <a:xfrm>
          <a:off x="1457325" y="7429500"/>
          <a:ext cx="142875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0"/>
              </a:moveTo>
              <a:lnTo>
                <a:pt x="104" y="0"/>
              </a:lnTo>
              <a:lnTo>
                <a:pt x="102" y="12"/>
              </a:lnTo>
              <a:lnTo>
                <a:pt x="99" y="23"/>
              </a:lnTo>
              <a:lnTo>
                <a:pt x="93" y="33"/>
              </a:lnTo>
              <a:lnTo>
                <a:pt x="84" y="41"/>
              </a:lnTo>
              <a:lnTo>
                <a:pt x="74" y="48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8"/>
              </a:lnTo>
              <a:lnTo>
                <a:pt x="19" y="41"/>
              </a:lnTo>
              <a:lnTo>
                <a:pt x="11" y="33"/>
              </a:lnTo>
              <a:lnTo>
                <a:pt x="5" y="23"/>
              </a:lnTo>
              <a:lnTo>
                <a:pt x="2" y="12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42</xdr:row>
      <xdr:rowOff>95250</xdr:rowOff>
    </xdr:from>
    <xdr:to>
      <xdr:col>3</xdr:col>
      <xdr:colOff>0</xdr:colOff>
      <xdr:row>42</xdr:row>
      <xdr:rowOff>123825</xdr:rowOff>
    </xdr:to>
    <xdr:sp macro="" textlink="">
      <xdr:nvSpPr>
        <xdr:cNvPr id="12129" name="Freeform 296">
          <a:extLst>
            <a:ext uri="{FF2B5EF4-FFF2-40B4-BE49-F238E27FC236}">
              <a16:creationId xmlns:a16="http://schemas.microsoft.com/office/drawing/2014/main" id="{00000000-0008-0000-0900-0000612F0000}"/>
            </a:ext>
          </a:extLst>
        </xdr:cNvPr>
        <xdr:cNvSpPr>
          <a:spLocks noChangeAspect="1"/>
        </xdr:cNvSpPr>
      </xdr:nvSpPr>
      <xdr:spPr bwMode="auto">
        <a:xfrm>
          <a:off x="1457325" y="7429500"/>
          <a:ext cx="142875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104" y="0"/>
              </a:moveTo>
              <a:lnTo>
                <a:pt x="102" y="12"/>
              </a:lnTo>
              <a:lnTo>
                <a:pt x="99" y="23"/>
              </a:lnTo>
              <a:lnTo>
                <a:pt x="93" y="33"/>
              </a:lnTo>
              <a:lnTo>
                <a:pt x="84" y="41"/>
              </a:lnTo>
              <a:lnTo>
                <a:pt x="74" y="48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8"/>
              </a:lnTo>
              <a:lnTo>
                <a:pt x="19" y="41"/>
              </a:lnTo>
              <a:lnTo>
                <a:pt x="11" y="33"/>
              </a:lnTo>
              <a:lnTo>
                <a:pt x="5" y="23"/>
              </a:lnTo>
              <a:lnTo>
                <a:pt x="2" y="12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40</xdr:row>
      <xdr:rowOff>85725</xdr:rowOff>
    </xdr:from>
    <xdr:to>
      <xdr:col>3</xdr:col>
      <xdr:colOff>0</xdr:colOff>
      <xdr:row>42</xdr:row>
      <xdr:rowOff>95250</xdr:rowOff>
    </xdr:to>
    <xdr:sp macro="" textlink="">
      <xdr:nvSpPr>
        <xdr:cNvPr id="12130" name="Freeform 297">
          <a:extLst>
            <a:ext uri="{FF2B5EF4-FFF2-40B4-BE49-F238E27FC236}">
              <a16:creationId xmlns:a16="http://schemas.microsoft.com/office/drawing/2014/main" id="{00000000-0008-0000-0900-0000622F0000}"/>
            </a:ext>
          </a:extLst>
        </xdr:cNvPr>
        <xdr:cNvSpPr>
          <a:spLocks noChangeAspect="1"/>
        </xdr:cNvSpPr>
      </xdr:nvSpPr>
      <xdr:spPr bwMode="auto">
        <a:xfrm>
          <a:off x="1457325" y="7096125"/>
          <a:ext cx="142875" cy="333375"/>
        </a:xfrm>
        <a:custGeom>
          <a:avLst/>
          <a:gdLst>
            <a:gd name="T0" fmla="*/ 0 w 104"/>
            <a:gd name="T1" fmla="*/ 2147483647 h 715"/>
            <a:gd name="T2" fmla="*/ 0 w 104"/>
            <a:gd name="T3" fmla="*/ 2147483647 h 715"/>
            <a:gd name="T4" fmla="*/ 0 w 104"/>
            <a:gd name="T5" fmla="*/ 2147483647 h 715"/>
            <a:gd name="T6" fmla="*/ 0 w 104"/>
            <a:gd name="T7" fmla="*/ 0 h 715"/>
            <a:gd name="T8" fmla="*/ 0 w 104"/>
            <a:gd name="T9" fmla="*/ 0 h 715"/>
            <a:gd name="T10" fmla="*/ 0 w 104"/>
            <a:gd name="T11" fmla="*/ 0 h 715"/>
            <a:gd name="T12" fmla="*/ 0 w 104"/>
            <a:gd name="T13" fmla="*/ 2147483647 h 7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15"/>
            <a:gd name="T23" fmla="*/ 104 w 104"/>
            <a:gd name="T24" fmla="*/ 715 h 71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15">
              <a:moveTo>
                <a:pt x="0" y="715"/>
              </a:moveTo>
              <a:lnTo>
                <a:pt x="52" y="715"/>
              </a:lnTo>
              <a:lnTo>
                <a:pt x="104" y="715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715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40</xdr:row>
      <xdr:rowOff>85725</xdr:rowOff>
    </xdr:from>
    <xdr:to>
      <xdr:col>3</xdr:col>
      <xdr:colOff>0</xdr:colOff>
      <xdr:row>42</xdr:row>
      <xdr:rowOff>95250</xdr:rowOff>
    </xdr:to>
    <xdr:sp macro="" textlink="">
      <xdr:nvSpPr>
        <xdr:cNvPr id="12131" name="Freeform 298">
          <a:extLst>
            <a:ext uri="{FF2B5EF4-FFF2-40B4-BE49-F238E27FC236}">
              <a16:creationId xmlns:a16="http://schemas.microsoft.com/office/drawing/2014/main" id="{00000000-0008-0000-0900-0000632F0000}"/>
            </a:ext>
          </a:extLst>
        </xdr:cNvPr>
        <xdr:cNvSpPr>
          <a:spLocks noChangeAspect="1"/>
        </xdr:cNvSpPr>
      </xdr:nvSpPr>
      <xdr:spPr bwMode="auto">
        <a:xfrm>
          <a:off x="1457325" y="7096125"/>
          <a:ext cx="142875" cy="333375"/>
        </a:xfrm>
        <a:custGeom>
          <a:avLst/>
          <a:gdLst>
            <a:gd name="T0" fmla="*/ 0 w 104"/>
            <a:gd name="T1" fmla="*/ 2147483647 h 715"/>
            <a:gd name="T2" fmla="*/ 0 w 104"/>
            <a:gd name="T3" fmla="*/ 2147483647 h 715"/>
            <a:gd name="T4" fmla="*/ 0 w 104"/>
            <a:gd name="T5" fmla="*/ 2147483647 h 715"/>
            <a:gd name="T6" fmla="*/ 0 w 104"/>
            <a:gd name="T7" fmla="*/ 0 h 715"/>
            <a:gd name="T8" fmla="*/ 0 w 104"/>
            <a:gd name="T9" fmla="*/ 0 h 715"/>
            <a:gd name="T10" fmla="*/ 0 w 104"/>
            <a:gd name="T11" fmla="*/ 0 h 715"/>
            <a:gd name="T12" fmla="*/ 0 w 104"/>
            <a:gd name="T13" fmla="*/ 2147483647 h 7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15"/>
            <a:gd name="T23" fmla="*/ 104 w 104"/>
            <a:gd name="T24" fmla="*/ 715 h 71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15">
              <a:moveTo>
                <a:pt x="0" y="715"/>
              </a:moveTo>
              <a:lnTo>
                <a:pt x="52" y="715"/>
              </a:lnTo>
              <a:lnTo>
                <a:pt x="104" y="715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715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40</xdr:row>
      <xdr:rowOff>47625</xdr:rowOff>
    </xdr:from>
    <xdr:to>
      <xdr:col>3</xdr:col>
      <xdr:colOff>0</xdr:colOff>
      <xdr:row>40</xdr:row>
      <xdr:rowOff>76200</xdr:rowOff>
    </xdr:to>
    <xdr:sp macro="" textlink="">
      <xdr:nvSpPr>
        <xdr:cNvPr id="12132" name="Freeform 299">
          <a:extLst>
            <a:ext uri="{FF2B5EF4-FFF2-40B4-BE49-F238E27FC236}">
              <a16:creationId xmlns:a16="http://schemas.microsoft.com/office/drawing/2014/main" id="{00000000-0008-0000-0900-0000642F0000}"/>
            </a:ext>
          </a:extLst>
        </xdr:cNvPr>
        <xdr:cNvSpPr>
          <a:spLocks noChangeAspect="1"/>
        </xdr:cNvSpPr>
      </xdr:nvSpPr>
      <xdr:spPr bwMode="auto">
        <a:xfrm>
          <a:off x="1457325" y="7058025"/>
          <a:ext cx="142875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52"/>
              </a:moveTo>
              <a:lnTo>
                <a:pt x="0" y="52"/>
              </a:ln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1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40</xdr:row>
      <xdr:rowOff>47625</xdr:rowOff>
    </xdr:from>
    <xdr:to>
      <xdr:col>3</xdr:col>
      <xdr:colOff>0</xdr:colOff>
      <xdr:row>40</xdr:row>
      <xdr:rowOff>76200</xdr:rowOff>
    </xdr:to>
    <xdr:sp macro="" textlink="">
      <xdr:nvSpPr>
        <xdr:cNvPr id="12133" name="Freeform 300">
          <a:extLst>
            <a:ext uri="{FF2B5EF4-FFF2-40B4-BE49-F238E27FC236}">
              <a16:creationId xmlns:a16="http://schemas.microsoft.com/office/drawing/2014/main" id="{00000000-0008-0000-0900-0000652F0000}"/>
            </a:ext>
          </a:extLst>
        </xdr:cNvPr>
        <xdr:cNvSpPr>
          <a:spLocks noChangeAspect="1"/>
        </xdr:cNvSpPr>
      </xdr:nvSpPr>
      <xdr:spPr bwMode="auto">
        <a:xfrm>
          <a:off x="1457325" y="7058025"/>
          <a:ext cx="142875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0" y="52"/>
              </a:move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1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39</xdr:row>
      <xdr:rowOff>142875</xdr:rowOff>
    </xdr:from>
    <xdr:to>
      <xdr:col>3</xdr:col>
      <xdr:colOff>0</xdr:colOff>
      <xdr:row>40</xdr:row>
      <xdr:rowOff>9525</xdr:rowOff>
    </xdr:to>
    <xdr:sp macro="" textlink="">
      <xdr:nvSpPr>
        <xdr:cNvPr id="12134" name="Freeform 301">
          <a:extLst>
            <a:ext uri="{FF2B5EF4-FFF2-40B4-BE49-F238E27FC236}">
              <a16:creationId xmlns:a16="http://schemas.microsoft.com/office/drawing/2014/main" id="{00000000-0008-0000-0900-0000662F0000}"/>
            </a:ext>
          </a:extLst>
        </xdr:cNvPr>
        <xdr:cNvSpPr>
          <a:spLocks noChangeAspect="1"/>
        </xdr:cNvSpPr>
      </xdr:nvSpPr>
      <xdr:spPr bwMode="auto">
        <a:xfrm>
          <a:off x="1457325" y="6991350"/>
          <a:ext cx="142875" cy="28575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w 104"/>
            <a:gd name="T31" fmla="*/ 0 h 51"/>
            <a:gd name="T32" fmla="*/ 0 w 104"/>
            <a:gd name="T33" fmla="*/ 0 h 5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1"/>
            <a:gd name="T53" fmla="*/ 104 w 104"/>
            <a:gd name="T54" fmla="*/ 51 h 5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1">
              <a:moveTo>
                <a:pt x="52" y="0"/>
              </a:moveTo>
              <a:lnTo>
                <a:pt x="104" y="0"/>
              </a:ln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0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0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39</xdr:row>
      <xdr:rowOff>142875</xdr:rowOff>
    </xdr:from>
    <xdr:to>
      <xdr:col>3</xdr:col>
      <xdr:colOff>0</xdr:colOff>
      <xdr:row>40</xdr:row>
      <xdr:rowOff>9525</xdr:rowOff>
    </xdr:to>
    <xdr:sp macro="" textlink="">
      <xdr:nvSpPr>
        <xdr:cNvPr id="12135" name="Freeform 302">
          <a:extLst>
            <a:ext uri="{FF2B5EF4-FFF2-40B4-BE49-F238E27FC236}">
              <a16:creationId xmlns:a16="http://schemas.microsoft.com/office/drawing/2014/main" id="{00000000-0008-0000-0900-0000672F0000}"/>
            </a:ext>
          </a:extLst>
        </xdr:cNvPr>
        <xdr:cNvSpPr>
          <a:spLocks noChangeAspect="1"/>
        </xdr:cNvSpPr>
      </xdr:nvSpPr>
      <xdr:spPr bwMode="auto">
        <a:xfrm>
          <a:off x="1457325" y="6991350"/>
          <a:ext cx="142875" cy="28575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1"/>
            <a:gd name="T47" fmla="*/ 104 w 104"/>
            <a:gd name="T48" fmla="*/ 51 h 5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1">
              <a:moveTo>
                <a:pt x="104" y="0"/>
              </a:move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0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0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37</xdr:row>
      <xdr:rowOff>38100</xdr:rowOff>
    </xdr:from>
    <xdr:to>
      <xdr:col>3</xdr:col>
      <xdr:colOff>0</xdr:colOff>
      <xdr:row>39</xdr:row>
      <xdr:rowOff>142875</xdr:rowOff>
    </xdr:to>
    <xdr:sp macro="" textlink="">
      <xdr:nvSpPr>
        <xdr:cNvPr id="12136" name="Freeform 303">
          <a:extLst>
            <a:ext uri="{FF2B5EF4-FFF2-40B4-BE49-F238E27FC236}">
              <a16:creationId xmlns:a16="http://schemas.microsoft.com/office/drawing/2014/main" id="{00000000-0008-0000-0900-0000682F0000}"/>
            </a:ext>
          </a:extLst>
        </xdr:cNvPr>
        <xdr:cNvSpPr>
          <a:spLocks noChangeAspect="1"/>
        </xdr:cNvSpPr>
      </xdr:nvSpPr>
      <xdr:spPr bwMode="auto">
        <a:xfrm>
          <a:off x="1457325" y="6562725"/>
          <a:ext cx="142875" cy="428625"/>
        </a:xfrm>
        <a:custGeom>
          <a:avLst/>
          <a:gdLst>
            <a:gd name="T0" fmla="*/ 0 w 104"/>
            <a:gd name="T1" fmla="*/ 2147483647 h 917"/>
            <a:gd name="T2" fmla="*/ 0 w 104"/>
            <a:gd name="T3" fmla="*/ 2147483647 h 917"/>
            <a:gd name="T4" fmla="*/ 0 w 104"/>
            <a:gd name="T5" fmla="*/ 2147483647 h 917"/>
            <a:gd name="T6" fmla="*/ 0 w 104"/>
            <a:gd name="T7" fmla="*/ 0 h 917"/>
            <a:gd name="T8" fmla="*/ 0 w 104"/>
            <a:gd name="T9" fmla="*/ 0 h 917"/>
            <a:gd name="T10" fmla="*/ 0 w 104"/>
            <a:gd name="T11" fmla="*/ 0 h 917"/>
            <a:gd name="T12" fmla="*/ 0 w 104"/>
            <a:gd name="T13" fmla="*/ 2147483647 h 91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7"/>
            <a:gd name="T23" fmla="*/ 104 w 104"/>
            <a:gd name="T24" fmla="*/ 917 h 91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7">
              <a:moveTo>
                <a:pt x="0" y="917"/>
              </a:moveTo>
              <a:lnTo>
                <a:pt x="52" y="917"/>
              </a:lnTo>
              <a:lnTo>
                <a:pt x="104" y="917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7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37</xdr:row>
      <xdr:rowOff>38100</xdr:rowOff>
    </xdr:from>
    <xdr:to>
      <xdr:col>3</xdr:col>
      <xdr:colOff>0</xdr:colOff>
      <xdr:row>39</xdr:row>
      <xdr:rowOff>142875</xdr:rowOff>
    </xdr:to>
    <xdr:sp macro="" textlink="">
      <xdr:nvSpPr>
        <xdr:cNvPr id="12137" name="Freeform 304">
          <a:extLst>
            <a:ext uri="{FF2B5EF4-FFF2-40B4-BE49-F238E27FC236}">
              <a16:creationId xmlns:a16="http://schemas.microsoft.com/office/drawing/2014/main" id="{00000000-0008-0000-0900-0000692F0000}"/>
            </a:ext>
          </a:extLst>
        </xdr:cNvPr>
        <xdr:cNvSpPr>
          <a:spLocks noChangeAspect="1"/>
        </xdr:cNvSpPr>
      </xdr:nvSpPr>
      <xdr:spPr bwMode="auto">
        <a:xfrm>
          <a:off x="1457325" y="6562725"/>
          <a:ext cx="142875" cy="428625"/>
        </a:xfrm>
        <a:custGeom>
          <a:avLst/>
          <a:gdLst>
            <a:gd name="T0" fmla="*/ 0 w 104"/>
            <a:gd name="T1" fmla="*/ 2147483647 h 917"/>
            <a:gd name="T2" fmla="*/ 0 w 104"/>
            <a:gd name="T3" fmla="*/ 2147483647 h 917"/>
            <a:gd name="T4" fmla="*/ 0 w 104"/>
            <a:gd name="T5" fmla="*/ 2147483647 h 917"/>
            <a:gd name="T6" fmla="*/ 0 w 104"/>
            <a:gd name="T7" fmla="*/ 0 h 917"/>
            <a:gd name="T8" fmla="*/ 0 w 104"/>
            <a:gd name="T9" fmla="*/ 0 h 917"/>
            <a:gd name="T10" fmla="*/ 0 w 104"/>
            <a:gd name="T11" fmla="*/ 0 h 917"/>
            <a:gd name="T12" fmla="*/ 0 w 104"/>
            <a:gd name="T13" fmla="*/ 2147483647 h 91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7"/>
            <a:gd name="T23" fmla="*/ 104 w 104"/>
            <a:gd name="T24" fmla="*/ 917 h 91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7">
              <a:moveTo>
                <a:pt x="0" y="917"/>
              </a:moveTo>
              <a:lnTo>
                <a:pt x="52" y="917"/>
              </a:lnTo>
              <a:lnTo>
                <a:pt x="104" y="917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7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36</xdr:row>
      <xdr:rowOff>133350</xdr:rowOff>
    </xdr:from>
    <xdr:to>
      <xdr:col>3</xdr:col>
      <xdr:colOff>0</xdr:colOff>
      <xdr:row>37</xdr:row>
      <xdr:rowOff>19050</xdr:rowOff>
    </xdr:to>
    <xdr:sp macro="" textlink="">
      <xdr:nvSpPr>
        <xdr:cNvPr id="12138" name="Freeform 305">
          <a:extLst>
            <a:ext uri="{FF2B5EF4-FFF2-40B4-BE49-F238E27FC236}">
              <a16:creationId xmlns:a16="http://schemas.microsoft.com/office/drawing/2014/main" id="{00000000-0008-0000-0900-00006A2F0000}"/>
            </a:ext>
          </a:extLst>
        </xdr:cNvPr>
        <xdr:cNvSpPr>
          <a:spLocks noChangeAspect="1"/>
        </xdr:cNvSpPr>
      </xdr:nvSpPr>
      <xdr:spPr bwMode="auto">
        <a:xfrm>
          <a:off x="1457325" y="6496050"/>
          <a:ext cx="142875" cy="47625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w 104"/>
            <a:gd name="T31" fmla="*/ 0 h 53"/>
            <a:gd name="T32" fmla="*/ 0 w 104"/>
            <a:gd name="T33" fmla="*/ 0 h 53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3"/>
            <a:gd name="T53" fmla="*/ 104 w 104"/>
            <a:gd name="T54" fmla="*/ 53 h 53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3">
              <a:moveTo>
                <a:pt x="52" y="53"/>
              </a:moveTo>
              <a:lnTo>
                <a:pt x="0" y="53"/>
              </a:ln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6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36</xdr:row>
      <xdr:rowOff>133350</xdr:rowOff>
    </xdr:from>
    <xdr:to>
      <xdr:col>3</xdr:col>
      <xdr:colOff>0</xdr:colOff>
      <xdr:row>37</xdr:row>
      <xdr:rowOff>19050</xdr:rowOff>
    </xdr:to>
    <xdr:sp macro="" textlink="">
      <xdr:nvSpPr>
        <xdr:cNvPr id="12139" name="Freeform 306">
          <a:extLst>
            <a:ext uri="{FF2B5EF4-FFF2-40B4-BE49-F238E27FC236}">
              <a16:creationId xmlns:a16="http://schemas.microsoft.com/office/drawing/2014/main" id="{00000000-0008-0000-0900-00006B2F0000}"/>
            </a:ext>
          </a:extLst>
        </xdr:cNvPr>
        <xdr:cNvSpPr>
          <a:spLocks noChangeAspect="1"/>
        </xdr:cNvSpPr>
      </xdr:nvSpPr>
      <xdr:spPr bwMode="auto">
        <a:xfrm>
          <a:off x="1457325" y="6496050"/>
          <a:ext cx="142875" cy="47625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3"/>
            <a:gd name="T47" fmla="*/ 104 w 104"/>
            <a:gd name="T48" fmla="*/ 53 h 53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3">
              <a:moveTo>
                <a:pt x="0" y="53"/>
              </a:move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6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36</xdr:row>
      <xdr:rowOff>76200</xdr:rowOff>
    </xdr:from>
    <xdr:to>
      <xdr:col>3</xdr:col>
      <xdr:colOff>0</xdr:colOff>
      <xdr:row>36</xdr:row>
      <xdr:rowOff>85725</xdr:rowOff>
    </xdr:to>
    <xdr:sp macro="" textlink="">
      <xdr:nvSpPr>
        <xdr:cNvPr id="12140" name="Freeform 307">
          <a:extLst>
            <a:ext uri="{FF2B5EF4-FFF2-40B4-BE49-F238E27FC236}">
              <a16:creationId xmlns:a16="http://schemas.microsoft.com/office/drawing/2014/main" id="{00000000-0008-0000-0900-00006C2F0000}"/>
            </a:ext>
          </a:extLst>
        </xdr:cNvPr>
        <xdr:cNvSpPr>
          <a:spLocks noChangeAspect="1"/>
        </xdr:cNvSpPr>
      </xdr:nvSpPr>
      <xdr:spPr bwMode="auto">
        <a:xfrm>
          <a:off x="1457325" y="6438900"/>
          <a:ext cx="142875" cy="9525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w 104"/>
            <a:gd name="T31" fmla="*/ 0 h 51"/>
            <a:gd name="T32" fmla="*/ 0 w 104"/>
            <a:gd name="T33" fmla="*/ 0 h 5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1"/>
            <a:gd name="T53" fmla="*/ 104 w 104"/>
            <a:gd name="T54" fmla="*/ 51 h 5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1">
              <a:moveTo>
                <a:pt x="52" y="0"/>
              </a:moveTo>
              <a:lnTo>
                <a:pt x="104" y="0"/>
              </a:ln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36</xdr:row>
      <xdr:rowOff>76200</xdr:rowOff>
    </xdr:from>
    <xdr:to>
      <xdr:col>3</xdr:col>
      <xdr:colOff>0</xdr:colOff>
      <xdr:row>36</xdr:row>
      <xdr:rowOff>85725</xdr:rowOff>
    </xdr:to>
    <xdr:sp macro="" textlink="">
      <xdr:nvSpPr>
        <xdr:cNvPr id="12141" name="Freeform 308">
          <a:extLst>
            <a:ext uri="{FF2B5EF4-FFF2-40B4-BE49-F238E27FC236}">
              <a16:creationId xmlns:a16="http://schemas.microsoft.com/office/drawing/2014/main" id="{00000000-0008-0000-0900-00006D2F0000}"/>
            </a:ext>
          </a:extLst>
        </xdr:cNvPr>
        <xdr:cNvSpPr>
          <a:spLocks noChangeAspect="1"/>
        </xdr:cNvSpPr>
      </xdr:nvSpPr>
      <xdr:spPr bwMode="auto">
        <a:xfrm>
          <a:off x="1457325" y="6438900"/>
          <a:ext cx="142875" cy="9525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1"/>
            <a:gd name="T47" fmla="*/ 104 w 104"/>
            <a:gd name="T48" fmla="*/ 51 h 5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1">
              <a:moveTo>
                <a:pt x="104" y="0"/>
              </a:move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33</xdr:row>
      <xdr:rowOff>114300</xdr:rowOff>
    </xdr:from>
    <xdr:to>
      <xdr:col>3</xdr:col>
      <xdr:colOff>0</xdr:colOff>
      <xdr:row>36</xdr:row>
      <xdr:rowOff>76200</xdr:rowOff>
    </xdr:to>
    <xdr:sp macro="" textlink="">
      <xdr:nvSpPr>
        <xdr:cNvPr id="12142" name="Freeform 309">
          <a:extLst>
            <a:ext uri="{FF2B5EF4-FFF2-40B4-BE49-F238E27FC236}">
              <a16:creationId xmlns:a16="http://schemas.microsoft.com/office/drawing/2014/main" id="{00000000-0008-0000-0900-00006E2F0000}"/>
            </a:ext>
          </a:extLst>
        </xdr:cNvPr>
        <xdr:cNvSpPr>
          <a:spLocks noChangeAspect="1"/>
        </xdr:cNvSpPr>
      </xdr:nvSpPr>
      <xdr:spPr bwMode="auto">
        <a:xfrm>
          <a:off x="1457325" y="5991225"/>
          <a:ext cx="142875" cy="447675"/>
        </a:xfrm>
        <a:custGeom>
          <a:avLst/>
          <a:gdLst>
            <a:gd name="T0" fmla="*/ 0 w 104"/>
            <a:gd name="T1" fmla="*/ 2147483647 h 917"/>
            <a:gd name="T2" fmla="*/ 0 w 104"/>
            <a:gd name="T3" fmla="*/ 2147483647 h 917"/>
            <a:gd name="T4" fmla="*/ 0 w 104"/>
            <a:gd name="T5" fmla="*/ 2147483647 h 917"/>
            <a:gd name="T6" fmla="*/ 0 w 104"/>
            <a:gd name="T7" fmla="*/ 0 h 917"/>
            <a:gd name="T8" fmla="*/ 0 w 104"/>
            <a:gd name="T9" fmla="*/ 0 h 917"/>
            <a:gd name="T10" fmla="*/ 0 w 104"/>
            <a:gd name="T11" fmla="*/ 0 h 917"/>
            <a:gd name="T12" fmla="*/ 0 w 104"/>
            <a:gd name="T13" fmla="*/ 2147483647 h 91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7"/>
            <a:gd name="T23" fmla="*/ 104 w 104"/>
            <a:gd name="T24" fmla="*/ 917 h 91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7">
              <a:moveTo>
                <a:pt x="0" y="917"/>
              </a:moveTo>
              <a:lnTo>
                <a:pt x="52" y="917"/>
              </a:lnTo>
              <a:lnTo>
                <a:pt x="104" y="917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7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33</xdr:row>
      <xdr:rowOff>114300</xdr:rowOff>
    </xdr:from>
    <xdr:to>
      <xdr:col>3</xdr:col>
      <xdr:colOff>0</xdr:colOff>
      <xdr:row>36</xdr:row>
      <xdr:rowOff>76200</xdr:rowOff>
    </xdr:to>
    <xdr:sp macro="" textlink="">
      <xdr:nvSpPr>
        <xdr:cNvPr id="12143" name="Freeform 310">
          <a:extLst>
            <a:ext uri="{FF2B5EF4-FFF2-40B4-BE49-F238E27FC236}">
              <a16:creationId xmlns:a16="http://schemas.microsoft.com/office/drawing/2014/main" id="{00000000-0008-0000-0900-00006F2F0000}"/>
            </a:ext>
          </a:extLst>
        </xdr:cNvPr>
        <xdr:cNvSpPr>
          <a:spLocks noChangeAspect="1"/>
        </xdr:cNvSpPr>
      </xdr:nvSpPr>
      <xdr:spPr bwMode="auto">
        <a:xfrm>
          <a:off x="1457325" y="5991225"/>
          <a:ext cx="142875" cy="447675"/>
        </a:xfrm>
        <a:custGeom>
          <a:avLst/>
          <a:gdLst>
            <a:gd name="T0" fmla="*/ 0 w 104"/>
            <a:gd name="T1" fmla="*/ 2147483647 h 917"/>
            <a:gd name="T2" fmla="*/ 0 w 104"/>
            <a:gd name="T3" fmla="*/ 2147483647 h 917"/>
            <a:gd name="T4" fmla="*/ 0 w 104"/>
            <a:gd name="T5" fmla="*/ 2147483647 h 917"/>
            <a:gd name="T6" fmla="*/ 0 w 104"/>
            <a:gd name="T7" fmla="*/ 0 h 917"/>
            <a:gd name="T8" fmla="*/ 0 w 104"/>
            <a:gd name="T9" fmla="*/ 0 h 917"/>
            <a:gd name="T10" fmla="*/ 0 w 104"/>
            <a:gd name="T11" fmla="*/ 0 h 917"/>
            <a:gd name="T12" fmla="*/ 0 w 104"/>
            <a:gd name="T13" fmla="*/ 2147483647 h 91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7"/>
            <a:gd name="T23" fmla="*/ 104 w 104"/>
            <a:gd name="T24" fmla="*/ 917 h 91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7">
              <a:moveTo>
                <a:pt x="0" y="917"/>
              </a:moveTo>
              <a:lnTo>
                <a:pt x="52" y="917"/>
              </a:lnTo>
              <a:lnTo>
                <a:pt x="104" y="917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7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33</xdr:row>
      <xdr:rowOff>95250</xdr:rowOff>
    </xdr:from>
    <xdr:to>
      <xdr:col>3</xdr:col>
      <xdr:colOff>0</xdr:colOff>
      <xdr:row>33</xdr:row>
      <xdr:rowOff>114300</xdr:rowOff>
    </xdr:to>
    <xdr:sp macro="" textlink="">
      <xdr:nvSpPr>
        <xdr:cNvPr id="12144" name="Freeform 311">
          <a:extLst>
            <a:ext uri="{FF2B5EF4-FFF2-40B4-BE49-F238E27FC236}">
              <a16:creationId xmlns:a16="http://schemas.microsoft.com/office/drawing/2014/main" id="{00000000-0008-0000-0900-0000702F0000}"/>
            </a:ext>
          </a:extLst>
        </xdr:cNvPr>
        <xdr:cNvSpPr>
          <a:spLocks noChangeAspect="1"/>
        </xdr:cNvSpPr>
      </xdr:nvSpPr>
      <xdr:spPr bwMode="auto">
        <a:xfrm>
          <a:off x="1457325" y="5972175"/>
          <a:ext cx="142875" cy="19050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52"/>
              </a:moveTo>
              <a:lnTo>
                <a:pt x="0" y="52"/>
              </a:ln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1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33</xdr:row>
      <xdr:rowOff>95250</xdr:rowOff>
    </xdr:from>
    <xdr:to>
      <xdr:col>3</xdr:col>
      <xdr:colOff>0</xdr:colOff>
      <xdr:row>33</xdr:row>
      <xdr:rowOff>114300</xdr:rowOff>
    </xdr:to>
    <xdr:sp macro="" textlink="">
      <xdr:nvSpPr>
        <xdr:cNvPr id="12145" name="Freeform 312">
          <a:extLst>
            <a:ext uri="{FF2B5EF4-FFF2-40B4-BE49-F238E27FC236}">
              <a16:creationId xmlns:a16="http://schemas.microsoft.com/office/drawing/2014/main" id="{00000000-0008-0000-0900-0000712F0000}"/>
            </a:ext>
          </a:extLst>
        </xdr:cNvPr>
        <xdr:cNvSpPr>
          <a:spLocks noChangeAspect="1"/>
        </xdr:cNvSpPr>
      </xdr:nvSpPr>
      <xdr:spPr bwMode="auto">
        <a:xfrm>
          <a:off x="1457325" y="5972175"/>
          <a:ext cx="142875" cy="19050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0" y="52"/>
              </a:move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1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33</xdr:row>
      <xdr:rowOff>9525</xdr:rowOff>
    </xdr:from>
    <xdr:to>
      <xdr:col>3</xdr:col>
      <xdr:colOff>0</xdr:colOff>
      <xdr:row>33</xdr:row>
      <xdr:rowOff>38100</xdr:rowOff>
    </xdr:to>
    <xdr:sp macro="" textlink="">
      <xdr:nvSpPr>
        <xdr:cNvPr id="12146" name="Freeform 313">
          <a:extLst>
            <a:ext uri="{FF2B5EF4-FFF2-40B4-BE49-F238E27FC236}">
              <a16:creationId xmlns:a16="http://schemas.microsoft.com/office/drawing/2014/main" id="{00000000-0008-0000-0900-0000722F0000}"/>
            </a:ext>
          </a:extLst>
        </xdr:cNvPr>
        <xdr:cNvSpPr>
          <a:spLocks noChangeAspect="1"/>
        </xdr:cNvSpPr>
      </xdr:nvSpPr>
      <xdr:spPr bwMode="auto">
        <a:xfrm>
          <a:off x="1457325" y="5886450"/>
          <a:ext cx="142875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0"/>
              </a:moveTo>
              <a:lnTo>
                <a:pt x="104" y="0"/>
              </a:lnTo>
              <a:lnTo>
                <a:pt x="102" y="12"/>
              </a:lnTo>
              <a:lnTo>
                <a:pt x="99" y="22"/>
              </a:lnTo>
              <a:lnTo>
                <a:pt x="93" y="33"/>
              </a:lnTo>
              <a:lnTo>
                <a:pt x="84" y="41"/>
              </a:lnTo>
              <a:lnTo>
                <a:pt x="74" y="48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8"/>
              </a:lnTo>
              <a:lnTo>
                <a:pt x="19" y="41"/>
              </a:lnTo>
              <a:lnTo>
                <a:pt x="11" y="33"/>
              </a:lnTo>
              <a:lnTo>
                <a:pt x="5" y="22"/>
              </a:lnTo>
              <a:lnTo>
                <a:pt x="2" y="12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33</xdr:row>
      <xdr:rowOff>9525</xdr:rowOff>
    </xdr:from>
    <xdr:to>
      <xdr:col>3</xdr:col>
      <xdr:colOff>0</xdr:colOff>
      <xdr:row>33</xdr:row>
      <xdr:rowOff>38100</xdr:rowOff>
    </xdr:to>
    <xdr:sp macro="" textlink="">
      <xdr:nvSpPr>
        <xdr:cNvPr id="12147" name="Freeform 314">
          <a:extLst>
            <a:ext uri="{FF2B5EF4-FFF2-40B4-BE49-F238E27FC236}">
              <a16:creationId xmlns:a16="http://schemas.microsoft.com/office/drawing/2014/main" id="{00000000-0008-0000-0900-0000732F0000}"/>
            </a:ext>
          </a:extLst>
        </xdr:cNvPr>
        <xdr:cNvSpPr>
          <a:spLocks noChangeAspect="1"/>
        </xdr:cNvSpPr>
      </xdr:nvSpPr>
      <xdr:spPr bwMode="auto">
        <a:xfrm>
          <a:off x="1457325" y="5886450"/>
          <a:ext cx="142875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104" y="0"/>
              </a:moveTo>
              <a:lnTo>
                <a:pt x="102" y="12"/>
              </a:lnTo>
              <a:lnTo>
                <a:pt x="99" y="22"/>
              </a:lnTo>
              <a:lnTo>
                <a:pt x="93" y="33"/>
              </a:lnTo>
              <a:lnTo>
                <a:pt x="84" y="41"/>
              </a:lnTo>
              <a:lnTo>
                <a:pt x="74" y="48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8"/>
              </a:lnTo>
              <a:lnTo>
                <a:pt x="19" y="41"/>
              </a:lnTo>
              <a:lnTo>
                <a:pt x="11" y="33"/>
              </a:lnTo>
              <a:lnTo>
                <a:pt x="5" y="22"/>
              </a:lnTo>
              <a:lnTo>
                <a:pt x="2" y="12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30</xdr:row>
      <xdr:rowOff>76200</xdr:rowOff>
    </xdr:from>
    <xdr:to>
      <xdr:col>3</xdr:col>
      <xdr:colOff>0</xdr:colOff>
      <xdr:row>33</xdr:row>
      <xdr:rowOff>28575</xdr:rowOff>
    </xdr:to>
    <xdr:sp macro="" textlink="">
      <xdr:nvSpPr>
        <xdr:cNvPr id="12148" name="Freeform 315">
          <a:extLst>
            <a:ext uri="{FF2B5EF4-FFF2-40B4-BE49-F238E27FC236}">
              <a16:creationId xmlns:a16="http://schemas.microsoft.com/office/drawing/2014/main" id="{00000000-0008-0000-0900-0000742F0000}"/>
            </a:ext>
          </a:extLst>
        </xdr:cNvPr>
        <xdr:cNvSpPr>
          <a:spLocks noChangeAspect="1"/>
        </xdr:cNvSpPr>
      </xdr:nvSpPr>
      <xdr:spPr bwMode="auto">
        <a:xfrm>
          <a:off x="1457325" y="5467350"/>
          <a:ext cx="142875" cy="438150"/>
        </a:xfrm>
        <a:custGeom>
          <a:avLst/>
          <a:gdLst>
            <a:gd name="T0" fmla="*/ 0 w 104"/>
            <a:gd name="T1" fmla="*/ 2147483647 h 916"/>
            <a:gd name="T2" fmla="*/ 0 w 104"/>
            <a:gd name="T3" fmla="*/ 2147483647 h 916"/>
            <a:gd name="T4" fmla="*/ 0 w 104"/>
            <a:gd name="T5" fmla="*/ 2147483647 h 916"/>
            <a:gd name="T6" fmla="*/ 0 w 104"/>
            <a:gd name="T7" fmla="*/ 0 h 916"/>
            <a:gd name="T8" fmla="*/ 0 w 104"/>
            <a:gd name="T9" fmla="*/ 0 h 916"/>
            <a:gd name="T10" fmla="*/ 0 w 104"/>
            <a:gd name="T11" fmla="*/ 0 h 916"/>
            <a:gd name="T12" fmla="*/ 0 w 104"/>
            <a:gd name="T13" fmla="*/ 2147483647 h 91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6"/>
            <a:gd name="T23" fmla="*/ 104 w 104"/>
            <a:gd name="T24" fmla="*/ 916 h 91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6">
              <a:moveTo>
                <a:pt x="0" y="916"/>
              </a:moveTo>
              <a:lnTo>
                <a:pt x="52" y="916"/>
              </a:lnTo>
              <a:lnTo>
                <a:pt x="104" y="916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6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30</xdr:row>
      <xdr:rowOff>76200</xdr:rowOff>
    </xdr:from>
    <xdr:to>
      <xdr:col>3</xdr:col>
      <xdr:colOff>0</xdr:colOff>
      <xdr:row>33</xdr:row>
      <xdr:rowOff>28575</xdr:rowOff>
    </xdr:to>
    <xdr:sp macro="" textlink="">
      <xdr:nvSpPr>
        <xdr:cNvPr id="12149" name="Freeform 316">
          <a:extLst>
            <a:ext uri="{FF2B5EF4-FFF2-40B4-BE49-F238E27FC236}">
              <a16:creationId xmlns:a16="http://schemas.microsoft.com/office/drawing/2014/main" id="{00000000-0008-0000-0900-0000752F0000}"/>
            </a:ext>
          </a:extLst>
        </xdr:cNvPr>
        <xdr:cNvSpPr>
          <a:spLocks noChangeAspect="1"/>
        </xdr:cNvSpPr>
      </xdr:nvSpPr>
      <xdr:spPr bwMode="auto">
        <a:xfrm>
          <a:off x="1457325" y="5467350"/>
          <a:ext cx="142875" cy="438150"/>
        </a:xfrm>
        <a:custGeom>
          <a:avLst/>
          <a:gdLst>
            <a:gd name="T0" fmla="*/ 0 w 104"/>
            <a:gd name="T1" fmla="*/ 2147483647 h 916"/>
            <a:gd name="T2" fmla="*/ 0 w 104"/>
            <a:gd name="T3" fmla="*/ 2147483647 h 916"/>
            <a:gd name="T4" fmla="*/ 0 w 104"/>
            <a:gd name="T5" fmla="*/ 2147483647 h 916"/>
            <a:gd name="T6" fmla="*/ 0 w 104"/>
            <a:gd name="T7" fmla="*/ 0 h 916"/>
            <a:gd name="T8" fmla="*/ 0 w 104"/>
            <a:gd name="T9" fmla="*/ 0 h 916"/>
            <a:gd name="T10" fmla="*/ 0 w 104"/>
            <a:gd name="T11" fmla="*/ 0 h 916"/>
            <a:gd name="T12" fmla="*/ 0 w 104"/>
            <a:gd name="T13" fmla="*/ 2147483647 h 91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6"/>
            <a:gd name="T23" fmla="*/ 104 w 104"/>
            <a:gd name="T24" fmla="*/ 916 h 91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6">
              <a:moveTo>
                <a:pt x="0" y="916"/>
              </a:moveTo>
              <a:lnTo>
                <a:pt x="52" y="916"/>
              </a:lnTo>
              <a:lnTo>
                <a:pt x="104" y="916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6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30</xdr:row>
      <xdr:rowOff>19050</xdr:rowOff>
    </xdr:from>
    <xdr:to>
      <xdr:col>3</xdr:col>
      <xdr:colOff>0</xdr:colOff>
      <xdr:row>30</xdr:row>
      <xdr:rowOff>47625</xdr:rowOff>
    </xdr:to>
    <xdr:sp macro="" textlink="">
      <xdr:nvSpPr>
        <xdr:cNvPr id="12150" name="Freeform 317">
          <a:extLst>
            <a:ext uri="{FF2B5EF4-FFF2-40B4-BE49-F238E27FC236}">
              <a16:creationId xmlns:a16="http://schemas.microsoft.com/office/drawing/2014/main" id="{00000000-0008-0000-0900-0000762F0000}"/>
            </a:ext>
          </a:extLst>
        </xdr:cNvPr>
        <xdr:cNvSpPr>
          <a:spLocks noChangeAspect="1"/>
        </xdr:cNvSpPr>
      </xdr:nvSpPr>
      <xdr:spPr bwMode="auto">
        <a:xfrm>
          <a:off x="1457325" y="5410200"/>
          <a:ext cx="142875" cy="28575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w 104"/>
            <a:gd name="T31" fmla="*/ 0 h 53"/>
            <a:gd name="T32" fmla="*/ 0 w 104"/>
            <a:gd name="T33" fmla="*/ 0 h 53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3"/>
            <a:gd name="T53" fmla="*/ 104 w 104"/>
            <a:gd name="T54" fmla="*/ 53 h 53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3">
              <a:moveTo>
                <a:pt x="52" y="53"/>
              </a:moveTo>
              <a:lnTo>
                <a:pt x="0" y="53"/>
              </a:ln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30</xdr:row>
      <xdr:rowOff>19050</xdr:rowOff>
    </xdr:from>
    <xdr:to>
      <xdr:col>3</xdr:col>
      <xdr:colOff>0</xdr:colOff>
      <xdr:row>30</xdr:row>
      <xdr:rowOff>47625</xdr:rowOff>
    </xdr:to>
    <xdr:sp macro="" textlink="">
      <xdr:nvSpPr>
        <xdr:cNvPr id="12151" name="Freeform 318">
          <a:extLst>
            <a:ext uri="{FF2B5EF4-FFF2-40B4-BE49-F238E27FC236}">
              <a16:creationId xmlns:a16="http://schemas.microsoft.com/office/drawing/2014/main" id="{00000000-0008-0000-0900-0000772F0000}"/>
            </a:ext>
          </a:extLst>
        </xdr:cNvPr>
        <xdr:cNvSpPr>
          <a:spLocks noChangeAspect="1"/>
        </xdr:cNvSpPr>
      </xdr:nvSpPr>
      <xdr:spPr bwMode="auto">
        <a:xfrm>
          <a:off x="1457325" y="5410200"/>
          <a:ext cx="142875" cy="28575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3"/>
            <a:gd name="T47" fmla="*/ 104 w 104"/>
            <a:gd name="T48" fmla="*/ 53 h 53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3">
              <a:moveTo>
                <a:pt x="0" y="53"/>
              </a:move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29</xdr:row>
      <xdr:rowOff>104775</xdr:rowOff>
    </xdr:from>
    <xdr:to>
      <xdr:col>3</xdr:col>
      <xdr:colOff>0</xdr:colOff>
      <xdr:row>29</xdr:row>
      <xdr:rowOff>123825</xdr:rowOff>
    </xdr:to>
    <xdr:sp macro="" textlink="">
      <xdr:nvSpPr>
        <xdr:cNvPr id="12152" name="Freeform 319">
          <a:extLst>
            <a:ext uri="{FF2B5EF4-FFF2-40B4-BE49-F238E27FC236}">
              <a16:creationId xmlns:a16="http://schemas.microsoft.com/office/drawing/2014/main" id="{00000000-0008-0000-0900-0000782F0000}"/>
            </a:ext>
          </a:extLst>
        </xdr:cNvPr>
        <xdr:cNvSpPr>
          <a:spLocks noChangeAspect="1"/>
        </xdr:cNvSpPr>
      </xdr:nvSpPr>
      <xdr:spPr bwMode="auto">
        <a:xfrm>
          <a:off x="1457325" y="5334000"/>
          <a:ext cx="142875" cy="19050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w 104"/>
            <a:gd name="T31" fmla="*/ 0 h 51"/>
            <a:gd name="T32" fmla="*/ 0 w 104"/>
            <a:gd name="T33" fmla="*/ 0 h 5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1"/>
            <a:gd name="T53" fmla="*/ 104 w 104"/>
            <a:gd name="T54" fmla="*/ 51 h 5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1">
              <a:moveTo>
                <a:pt x="52" y="0"/>
              </a:moveTo>
              <a:lnTo>
                <a:pt x="104" y="0"/>
              </a:ln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29</xdr:row>
      <xdr:rowOff>104775</xdr:rowOff>
    </xdr:from>
    <xdr:to>
      <xdr:col>3</xdr:col>
      <xdr:colOff>0</xdr:colOff>
      <xdr:row>29</xdr:row>
      <xdr:rowOff>123825</xdr:rowOff>
    </xdr:to>
    <xdr:sp macro="" textlink="">
      <xdr:nvSpPr>
        <xdr:cNvPr id="12153" name="Freeform 320">
          <a:extLst>
            <a:ext uri="{FF2B5EF4-FFF2-40B4-BE49-F238E27FC236}">
              <a16:creationId xmlns:a16="http://schemas.microsoft.com/office/drawing/2014/main" id="{00000000-0008-0000-0900-0000792F0000}"/>
            </a:ext>
          </a:extLst>
        </xdr:cNvPr>
        <xdr:cNvSpPr>
          <a:spLocks noChangeAspect="1"/>
        </xdr:cNvSpPr>
      </xdr:nvSpPr>
      <xdr:spPr bwMode="auto">
        <a:xfrm>
          <a:off x="1457325" y="5334000"/>
          <a:ext cx="142875" cy="19050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1"/>
            <a:gd name="T47" fmla="*/ 104 w 104"/>
            <a:gd name="T48" fmla="*/ 51 h 5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1">
              <a:moveTo>
                <a:pt x="104" y="0"/>
              </a:move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26</xdr:row>
      <xdr:rowOff>142875</xdr:rowOff>
    </xdr:from>
    <xdr:to>
      <xdr:col>3</xdr:col>
      <xdr:colOff>0</xdr:colOff>
      <xdr:row>29</xdr:row>
      <xdr:rowOff>104775</xdr:rowOff>
    </xdr:to>
    <xdr:sp macro="" textlink="">
      <xdr:nvSpPr>
        <xdr:cNvPr id="12154" name="Freeform 321">
          <a:extLst>
            <a:ext uri="{FF2B5EF4-FFF2-40B4-BE49-F238E27FC236}">
              <a16:creationId xmlns:a16="http://schemas.microsoft.com/office/drawing/2014/main" id="{00000000-0008-0000-0900-00007A2F0000}"/>
            </a:ext>
          </a:extLst>
        </xdr:cNvPr>
        <xdr:cNvSpPr>
          <a:spLocks noChangeAspect="1"/>
        </xdr:cNvSpPr>
      </xdr:nvSpPr>
      <xdr:spPr bwMode="auto">
        <a:xfrm>
          <a:off x="1457325" y="4886325"/>
          <a:ext cx="142875" cy="447675"/>
        </a:xfrm>
        <a:custGeom>
          <a:avLst/>
          <a:gdLst>
            <a:gd name="T0" fmla="*/ 0 w 104"/>
            <a:gd name="T1" fmla="*/ 2147483647 h 918"/>
            <a:gd name="T2" fmla="*/ 0 w 104"/>
            <a:gd name="T3" fmla="*/ 2147483647 h 918"/>
            <a:gd name="T4" fmla="*/ 0 w 104"/>
            <a:gd name="T5" fmla="*/ 2147483647 h 918"/>
            <a:gd name="T6" fmla="*/ 0 w 104"/>
            <a:gd name="T7" fmla="*/ 0 h 918"/>
            <a:gd name="T8" fmla="*/ 0 w 104"/>
            <a:gd name="T9" fmla="*/ 0 h 918"/>
            <a:gd name="T10" fmla="*/ 0 w 104"/>
            <a:gd name="T11" fmla="*/ 0 h 918"/>
            <a:gd name="T12" fmla="*/ 0 w 104"/>
            <a:gd name="T13" fmla="*/ 2147483647 h 918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8"/>
            <a:gd name="T23" fmla="*/ 104 w 104"/>
            <a:gd name="T24" fmla="*/ 918 h 918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8">
              <a:moveTo>
                <a:pt x="0" y="918"/>
              </a:moveTo>
              <a:lnTo>
                <a:pt x="52" y="918"/>
              </a:lnTo>
              <a:lnTo>
                <a:pt x="104" y="918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8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26</xdr:row>
      <xdr:rowOff>142875</xdr:rowOff>
    </xdr:from>
    <xdr:to>
      <xdr:col>3</xdr:col>
      <xdr:colOff>0</xdr:colOff>
      <xdr:row>29</xdr:row>
      <xdr:rowOff>104775</xdr:rowOff>
    </xdr:to>
    <xdr:sp macro="" textlink="">
      <xdr:nvSpPr>
        <xdr:cNvPr id="12155" name="Freeform 322">
          <a:extLst>
            <a:ext uri="{FF2B5EF4-FFF2-40B4-BE49-F238E27FC236}">
              <a16:creationId xmlns:a16="http://schemas.microsoft.com/office/drawing/2014/main" id="{00000000-0008-0000-0900-00007B2F0000}"/>
            </a:ext>
          </a:extLst>
        </xdr:cNvPr>
        <xdr:cNvSpPr>
          <a:spLocks noChangeAspect="1"/>
        </xdr:cNvSpPr>
      </xdr:nvSpPr>
      <xdr:spPr bwMode="auto">
        <a:xfrm>
          <a:off x="1457325" y="4886325"/>
          <a:ext cx="142875" cy="447675"/>
        </a:xfrm>
        <a:custGeom>
          <a:avLst/>
          <a:gdLst>
            <a:gd name="T0" fmla="*/ 0 w 104"/>
            <a:gd name="T1" fmla="*/ 2147483647 h 918"/>
            <a:gd name="T2" fmla="*/ 0 w 104"/>
            <a:gd name="T3" fmla="*/ 2147483647 h 918"/>
            <a:gd name="T4" fmla="*/ 0 w 104"/>
            <a:gd name="T5" fmla="*/ 2147483647 h 918"/>
            <a:gd name="T6" fmla="*/ 0 w 104"/>
            <a:gd name="T7" fmla="*/ 0 h 918"/>
            <a:gd name="T8" fmla="*/ 0 w 104"/>
            <a:gd name="T9" fmla="*/ 0 h 918"/>
            <a:gd name="T10" fmla="*/ 0 w 104"/>
            <a:gd name="T11" fmla="*/ 0 h 918"/>
            <a:gd name="T12" fmla="*/ 0 w 104"/>
            <a:gd name="T13" fmla="*/ 2147483647 h 918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8"/>
            <a:gd name="T23" fmla="*/ 104 w 104"/>
            <a:gd name="T24" fmla="*/ 918 h 918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8">
              <a:moveTo>
                <a:pt x="0" y="918"/>
              </a:moveTo>
              <a:lnTo>
                <a:pt x="52" y="918"/>
              </a:lnTo>
              <a:lnTo>
                <a:pt x="104" y="918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8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26</xdr:row>
      <xdr:rowOff>133350</xdr:rowOff>
    </xdr:from>
    <xdr:to>
      <xdr:col>3</xdr:col>
      <xdr:colOff>0</xdr:colOff>
      <xdr:row>26</xdr:row>
      <xdr:rowOff>142875</xdr:rowOff>
    </xdr:to>
    <xdr:sp macro="" textlink="">
      <xdr:nvSpPr>
        <xdr:cNvPr id="12156" name="Freeform 323">
          <a:extLst>
            <a:ext uri="{FF2B5EF4-FFF2-40B4-BE49-F238E27FC236}">
              <a16:creationId xmlns:a16="http://schemas.microsoft.com/office/drawing/2014/main" id="{00000000-0008-0000-0900-00007C2F0000}"/>
            </a:ext>
          </a:extLst>
        </xdr:cNvPr>
        <xdr:cNvSpPr>
          <a:spLocks noChangeAspect="1"/>
        </xdr:cNvSpPr>
      </xdr:nvSpPr>
      <xdr:spPr bwMode="auto">
        <a:xfrm>
          <a:off x="1457325" y="4876800"/>
          <a:ext cx="142875" cy="952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52"/>
              </a:moveTo>
              <a:lnTo>
                <a:pt x="0" y="52"/>
              </a:ln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1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26</xdr:row>
      <xdr:rowOff>133350</xdr:rowOff>
    </xdr:from>
    <xdr:to>
      <xdr:col>3</xdr:col>
      <xdr:colOff>0</xdr:colOff>
      <xdr:row>26</xdr:row>
      <xdr:rowOff>142875</xdr:rowOff>
    </xdr:to>
    <xdr:sp macro="" textlink="">
      <xdr:nvSpPr>
        <xdr:cNvPr id="12157" name="Freeform 324">
          <a:extLst>
            <a:ext uri="{FF2B5EF4-FFF2-40B4-BE49-F238E27FC236}">
              <a16:creationId xmlns:a16="http://schemas.microsoft.com/office/drawing/2014/main" id="{00000000-0008-0000-0900-00007D2F0000}"/>
            </a:ext>
          </a:extLst>
        </xdr:cNvPr>
        <xdr:cNvSpPr>
          <a:spLocks noChangeAspect="1"/>
        </xdr:cNvSpPr>
      </xdr:nvSpPr>
      <xdr:spPr bwMode="auto">
        <a:xfrm>
          <a:off x="1457325" y="4876800"/>
          <a:ext cx="142875" cy="952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0" y="52"/>
              </a:move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1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26</xdr:row>
      <xdr:rowOff>57150</xdr:rowOff>
    </xdr:from>
    <xdr:to>
      <xdr:col>3</xdr:col>
      <xdr:colOff>0</xdr:colOff>
      <xdr:row>26</xdr:row>
      <xdr:rowOff>85725</xdr:rowOff>
    </xdr:to>
    <xdr:sp macro="" textlink="">
      <xdr:nvSpPr>
        <xdr:cNvPr id="12158" name="Freeform 325">
          <a:extLst>
            <a:ext uri="{FF2B5EF4-FFF2-40B4-BE49-F238E27FC236}">
              <a16:creationId xmlns:a16="http://schemas.microsoft.com/office/drawing/2014/main" id="{00000000-0008-0000-0900-00007E2F0000}"/>
            </a:ext>
          </a:extLst>
        </xdr:cNvPr>
        <xdr:cNvSpPr>
          <a:spLocks noChangeAspect="1"/>
        </xdr:cNvSpPr>
      </xdr:nvSpPr>
      <xdr:spPr bwMode="auto">
        <a:xfrm>
          <a:off x="1457325" y="4800600"/>
          <a:ext cx="142875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0"/>
              </a:moveTo>
              <a:lnTo>
                <a:pt x="104" y="0"/>
              </a:lnTo>
              <a:lnTo>
                <a:pt x="102" y="12"/>
              </a:lnTo>
              <a:lnTo>
                <a:pt x="99" y="22"/>
              </a:lnTo>
              <a:lnTo>
                <a:pt x="93" y="33"/>
              </a:lnTo>
              <a:lnTo>
                <a:pt x="84" y="41"/>
              </a:lnTo>
              <a:lnTo>
                <a:pt x="74" y="47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7"/>
              </a:lnTo>
              <a:lnTo>
                <a:pt x="19" y="41"/>
              </a:lnTo>
              <a:lnTo>
                <a:pt x="11" y="33"/>
              </a:lnTo>
              <a:lnTo>
                <a:pt x="5" y="22"/>
              </a:lnTo>
              <a:lnTo>
                <a:pt x="2" y="12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26</xdr:row>
      <xdr:rowOff>57150</xdr:rowOff>
    </xdr:from>
    <xdr:to>
      <xdr:col>3</xdr:col>
      <xdr:colOff>0</xdr:colOff>
      <xdr:row>26</xdr:row>
      <xdr:rowOff>85725</xdr:rowOff>
    </xdr:to>
    <xdr:sp macro="" textlink="">
      <xdr:nvSpPr>
        <xdr:cNvPr id="12159" name="Freeform 326">
          <a:extLst>
            <a:ext uri="{FF2B5EF4-FFF2-40B4-BE49-F238E27FC236}">
              <a16:creationId xmlns:a16="http://schemas.microsoft.com/office/drawing/2014/main" id="{00000000-0008-0000-0900-00007F2F0000}"/>
            </a:ext>
          </a:extLst>
        </xdr:cNvPr>
        <xdr:cNvSpPr>
          <a:spLocks noChangeAspect="1"/>
        </xdr:cNvSpPr>
      </xdr:nvSpPr>
      <xdr:spPr bwMode="auto">
        <a:xfrm>
          <a:off x="1457325" y="4800600"/>
          <a:ext cx="142875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104" y="0"/>
              </a:moveTo>
              <a:lnTo>
                <a:pt x="102" y="12"/>
              </a:lnTo>
              <a:lnTo>
                <a:pt x="99" y="22"/>
              </a:lnTo>
              <a:lnTo>
                <a:pt x="93" y="33"/>
              </a:lnTo>
              <a:lnTo>
                <a:pt x="84" y="41"/>
              </a:lnTo>
              <a:lnTo>
                <a:pt x="74" y="47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7"/>
              </a:lnTo>
              <a:lnTo>
                <a:pt x="19" y="41"/>
              </a:lnTo>
              <a:lnTo>
                <a:pt x="11" y="33"/>
              </a:lnTo>
              <a:lnTo>
                <a:pt x="5" y="22"/>
              </a:lnTo>
              <a:lnTo>
                <a:pt x="2" y="12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23</xdr:row>
      <xdr:rowOff>85725</xdr:rowOff>
    </xdr:from>
    <xdr:to>
      <xdr:col>3</xdr:col>
      <xdr:colOff>0</xdr:colOff>
      <xdr:row>26</xdr:row>
      <xdr:rowOff>47625</xdr:rowOff>
    </xdr:to>
    <xdr:sp macro="" textlink="">
      <xdr:nvSpPr>
        <xdr:cNvPr id="12160" name="Freeform 327">
          <a:extLst>
            <a:ext uri="{FF2B5EF4-FFF2-40B4-BE49-F238E27FC236}">
              <a16:creationId xmlns:a16="http://schemas.microsoft.com/office/drawing/2014/main" id="{00000000-0008-0000-0900-0000802F0000}"/>
            </a:ext>
          </a:extLst>
        </xdr:cNvPr>
        <xdr:cNvSpPr>
          <a:spLocks noChangeAspect="1"/>
        </xdr:cNvSpPr>
      </xdr:nvSpPr>
      <xdr:spPr bwMode="auto">
        <a:xfrm>
          <a:off x="1457325" y="4343400"/>
          <a:ext cx="142875" cy="447675"/>
        </a:xfrm>
        <a:custGeom>
          <a:avLst/>
          <a:gdLst>
            <a:gd name="T0" fmla="*/ 0 w 104"/>
            <a:gd name="T1" fmla="*/ 2147483647 h 918"/>
            <a:gd name="T2" fmla="*/ 0 w 104"/>
            <a:gd name="T3" fmla="*/ 2147483647 h 918"/>
            <a:gd name="T4" fmla="*/ 0 w 104"/>
            <a:gd name="T5" fmla="*/ 2147483647 h 918"/>
            <a:gd name="T6" fmla="*/ 0 w 104"/>
            <a:gd name="T7" fmla="*/ 0 h 918"/>
            <a:gd name="T8" fmla="*/ 0 w 104"/>
            <a:gd name="T9" fmla="*/ 0 h 918"/>
            <a:gd name="T10" fmla="*/ 0 w 104"/>
            <a:gd name="T11" fmla="*/ 0 h 918"/>
            <a:gd name="T12" fmla="*/ 0 w 104"/>
            <a:gd name="T13" fmla="*/ 2147483647 h 918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8"/>
            <a:gd name="T23" fmla="*/ 104 w 104"/>
            <a:gd name="T24" fmla="*/ 918 h 918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8">
              <a:moveTo>
                <a:pt x="0" y="918"/>
              </a:moveTo>
              <a:lnTo>
                <a:pt x="52" y="918"/>
              </a:lnTo>
              <a:lnTo>
                <a:pt x="104" y="918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8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23</xdr:row>
      <xdr:rowOff>85725</xdr:rowOff>
    </xdr:from>
    <xdr:to>
      <xdr:col>3</xdr:col>
      <xdr:colOff>0</xdr:colOff>
      <xdr:row>26</xdr:row>
      <xdr:rowOff>47625</xdr:rowOff>
    </xdr:to>
    <xdr:sp macro="" textlink="">
      <xdr:nvSpPr>
        <xdr:cNvPr id="12161" name="Freeform 328">
          <a:extLst>
            <a:ext uri="{FF2B5EF4-FFF2-40B4-BE49-F238E27FC236}">
              <a16:creationId xmlns:a16="http://schemas.microsoft.com/office/drawing/2014/main" id="{00000000-0008-0000-0900-0000812F0000}"/>
            </a:ext>
          </a:extLst>
        </xdr:cNvPr>
        <xdr:cNvSpPr>
          <a:spLocks noChangeAspect="1"/>
        </xdr:cNvSpPr>
      </xdr:nvSpPr>
      <xdr:spPr bwMode="auto">
        <a:xfrm>
          <a:off x="1457325" y="4343400"/>
          <a:ext cx="142875" cy="447675"/>
        </a:xfrm>
        <a:custGeom>
          <a:avLst/>
          <a:gdLst>
            <a:gd name="T0" fmla="*/ 0 w 104"/>
            <a:gd name="T1" fmla="*/ 2147483647 h 918"/>
            <a:gd name="T2" fmla="*/ 0 w 104"/>
            <a:gd name="T3" fmla="*/ 2147483647 h 918"/>
            <a:gd name="T4" fmla="*/ 0 w 104"/>
            <a:gd name="T5" fmla="*/ 2147483647 h 918"/>
            <a:gd name="T6" fmla="*/ 0 w 104"/>
            <a:gd name="T7" fmla="*/ 0 h 918"/>
            <a:gd name="T8" fmla="*/ 0 w 104"/>
            <a:gd name="T9" fmla="*/ 0 h 918"/>
            <a:gd name="T10" fmla="*/ 0 w 104"/>
            <a:gd name="T11" fmla="*/ 0 h 918"/>
            <a:gd name="T12" fmla="*/ 0 w 104"/>
            <a:gd name="T13" fmla="*/ 2147483647 h 918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8"/>
            <a:gd name="T23" fmla="*/ 104 w 104"/>
            <a:gd name="T24" fmla="*/ 918 h 918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8">
              <a:moveTo>
                <a:pt x="0" y="918"/>
              </a:moveTo>
              <a:lnTo>
                <a:pt x="52" y="918"/>
              </a:lnTo>
              <a:lnTo>
                <a:pt x="104" y="918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8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23</xdr:row>
      <xdr:rowOff>85725</xdr:rowOff>
    </xdr:from>
    <xdr:to>
      <xdr:col>3</xdr:col>
      <xdr:colOff>0</xdr:colOff>
      <xdr:row>23</xdr:row>
      <xdr:rowOff>104775</xdr:rowOff>
    </xdr:to>
    <xdr:sp macro="" textlink="">
      <xdr:nvSpPr>
        <xdr:cNvPr id="12162" name="Freeform 329">
          <a:extLst>
            <a:ext uri="{FF2B5EF4-FFF2-40B4-BE49-F238E27FC236}">
              <a16:creationId xmlns:a16="http://schemas.microsoft.com/office/drawing/2014/main" id="{00000000-0008-0000-0900-0000822F0000}"/>
            </a:ext>
          </a:extLst>
        </xdr:cNvPr>
        <xdr:cNvSpPr>
          <a:spLocks noChangeAspect="1"/>
        </xdr:cNvSpPr>
      </xdr:nvSpPr>
      <xdr:spPr bwMode="auto">
        <a:xfrm>
          <a:off x="1457325" y="4343400"/>
          <a:ext cx="142875" cy="19050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52"/>
              </a:moveTo>
              <a:lnTo>
                <a:pt x="0" y="52"/>
              </a:ln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23</xdr:row>
      <xdr:rowOff>85725</xdr:rowOff>
    </xdr:from>
    <xdr:to>
      <xdr:col>3</xdr:col>
      <xdr:colOff>0</xdr:colOff>
      <xdr:row>23</xdr:row>
      <xdr:rowOff>104775</xdr:rowOff>
    </xdr:to>
    <xdr:sp macro="" textlink="">
      <xdr:nvSpPr>
        <xdr:cNvPr id="12163" name="Freeform 330">
          <a:extLst>
            <a:ext uri="{FF2B5EF4-FFF2-40B4-BE49-F238E27FC236}">
              <a16:creationId xmlns:a16="http://schemas.microsoft.com/office/drawing/2014/main" id="{00000000-0008-0000-0900-0000832F0000}"/>
            </a:ext>
          </a:extLst>
        </xdr:cNvPr>
        <xdr:cNvSpPr>
          <a:spLocks noChangeAspect="1"/>
        </xdr:cNvSpPr>
      </xdr:nvSpPr>
      <xdr:spPr bwMode="auto">
        <a:xfrm>
          <a:off x="1457325" y="4343400"/>
          <a:ext cx="142875" cy="19050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0" y="52"/>
              </a:move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22</xdr:row>
      <xdr:rowOff>142875</xdr:rowOff>
    </xdr:from>
    <xdr:to>
      <xdr:col>3</xdr:col>
      <xdr:colOff>0</xdr:colOff>
      <xdr:row>23</xdr:row>
      <xdr:rowOff>9525</xdr:rowOff>
    </xdr:to>
    <xdr:sp macro="" textlink="">
      <xdr:nvSpPr>
        <xdr:cNvPr id="12164" name="Freeform 331">
          <a:extLst>
            <a:ext uri="{FF2B5EF4-FFF2-40B4-BE49-F238E27FC236}">
              <a16:creationId xmlns:a16="http://schemas.microsoft.com/office/drawing/2014/main" id="{00000000-0008-0000-0900-0000842F0000}"/>
            </a:ext>
          </a:extLst>
        </xdr:cNvPr>
        <xdr:cNvSpPr>
          <a:spLocks noChangeAspect="1"/>
        </xdr:cNvSpPr>
      </xdr:nvSpPr>
      <xdr:spPr bwMode="auto">
        <a:xfrm>
          <a:off x="1457325" y="4238625"/>
          <a:ext cx="142875" cy="28575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w 104"/>
            <a:gd name="T31" fmla="*/ 0 h 51"/>
            <a:gd name="T32" fmla="*/ 0 w 104"/>
            <a:gd name="T33" fmla="*/ 0 h 5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1"/>
            <a:gd name="T53" fmla="*/ 104 w 104"/>
            <a:gd name="T54" fmla="*/ 51 h 5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1">
              <a:moveTo>
                <a:pt x="52" y="0"/>
              </a:moveTo>
              <a:lnTo>
                <a:pt x="104" y="0"/>
              </a:ln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22</xdr:row>
      <xdr:rowOff>142875</xdr:rowOff>
    </xdr:from>
    <xdr:to>
      <xdr:col>3</xdr:col>
      <xdr:colOff>0</xdr:colOff>
      <xdr:row>23</xdr:row>
      <xdr:rowOff>9525</xdr:rowOff>
    </xdr:to>
    <xdr:sp macro="" textlink="">
      <xdr:nvSpPr>
        <xdr:cNvPr id="12165" name="Freeform 332">
          <a:extLst>
            <a:ext uri="{FF2B5EF4-FFF2-40B4-BE49-F238E27FC236}">
              <a16:creationId xmlns:a16="http://schemas.microsoft.com/office/drawing/2014/main" id="{00000000-0008-0000-0900-0000852F0000}"/>
            </a:ext>
          </a:extLst>
        </xdr:cNvPr>
        <xdr:cNvSpPr>
          <a:spLocks noChangeAspect="1"/>
        </xdr:cNvSpPr>
      </xdr:nvSpPr>
      <xdr:spPr bwMode="auto">
        <a:xfrm>
          <a:off x="1457325" y="4238625"/>
          <a:ext cx="142875" cy="28575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1"/>
            <a:gd name="T47" fmla="*/ 104 w 104"/>
            <a:gd name="T48" fmla="*/ 51 h 5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1">
              <a:moveTo>
                <a:pt x="104" y="0"/>
              </a:move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20</xdr:row>
      <xdr:rowOff>133350</xdr:rowOff>
    </xdr:from>
    <xdr:to>
      <xdr:col>3</xdr:col>
      <xdr:colOff>0</xdr:colOff>
      <xdr:row>22</xdr:row>
      <xdr:rowOff>142875</xdr:rowOff>
    </xdr:to>
    <xdr:sp macro="" textlink="">
      <xdr:nvSpPr>
        <xdr:cNvPr id="12166" name="Freeform 333">
          <a:extLst>
            <a:ext uri="{FF2B5EF4-FFF2-40B4-BE49-F238E27FC236}">
              <a16:creationId xmlns:a16="http://schemas.microsoft.com/office/drawing/2014/main" id="{00000000-0008-0000-0900-0000862F0000}"/>
            </a:ext>
          </a:extLst>
        </xdr:cNvPr>
        <xdr:cNvSpPr>
          <a:spLocks noChangeAspect="1"/>
        </xdr:cNvSpPr>
      </xdr:nvSpPr>
      <xdr:spPr bwMode="auto">
        <a:xfrm>
          <a:off x="1457325" y="3905250"/>
          <a:ext cx="142875" cy="333375"/>
        </a:xfrm>
        <a:custGeom>
          <a:avLst/>
          <a:gdLst>
            <a:gd name="T0" fmla="*/ 0 w 104"/>
            <a:gd name="T1" fmla="*/ 2147483647 h 714"/>
            <a:gd name="T2" fmla="*/ 0 w 104"/>
            <a:gd name="T3" fmla="*/ 2147483647 h 714"/>
            <a:gd name="T4" fmla="*/ 0 w 104"/>
            <a:gd name="T5" fmla="*/ 2147483647 h 714"/>
            <a:gd name="T6" fmla="*/ 0 w 104"/>
            <a:gd name="T7" fmla="*/ 0 h 714"/>
            <a:gd name="T8" fmla="*/ 0 w 104"/>
            <a:gd name="T9" fmla="*/ 0 h 714"/>
            <a:gd name="T10" fmla="*/ 0 w 104"/>
            <a:gd name="T11" fmla="*/ 0 h 714"/>
            <a:gd name="T12" fmla="*/ 0 w 104"/>
            <a:gd name="T13" fmla="*/ 2147483647 h 71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14"/>
            <a:gd name="T23" fmla="*/ 104 w 104"/>
            <a:gd name="T24" fmla="*/ 714 h 71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14">
              <a:moveTo>
                <a:pt x="0" y="714"/>
              </a:moveTo>
              <a:lnTo>
                <a:pt x="52" y="714"/>
              </a:lnTo>
              <a:lnTo>
                <a:pt x="104" y="714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71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20</xdr:row>
      <xdr:rowOff>133350</xdr:rowOff>
    </xdr:from>
    <xdr:to>
      <xdr:col>3</xdr:col>
      <xdr:colOff>0</xdr:colOff>
      <xdr:row>22</xdr:row>
      <xdr:rowOff>142875</xdr:rowOff>
    </xdr:to>
    <xdr:sp macro="" textlink="">
      <xdr:nvSpPr>
        <xdr:cNvPr id="12167" name="Freeform 334">
          <a:extLst>
            <a:ext uri="{FF2B5EF4-FFF2-40B4-BE49-F238E27FC236}">
              <a16:creationId xmlns:a16="http://schemas.microsoft.com/office/drawing/2014/main" id="{00000000-0008-0000-0900-0000872F0000}"/>
            </a:ext>
          </a:extLst>
        </xdr:cNvPr>
        <xdr:cNvSpPr>
          <a:spLocks noChangeAspect="1"/>
        </xdr:cNvSpPr>
      </xdr:nvSpPr>
      <xdr:spPr bwMode="auto">
        <a:xfrm>
          <a:off x="1457325" y="3905250"/>
          <a:ext cx="142875" cy="333375"/>
        </a:xfrm>
        <a:custGeom>
          <a:avLst/>
          <a:gdLst>
            <a:gd name="T0" fmla="*/ 0 w 104"/>
            <a:gd name="T1" fmla="*/ 2147483647 h 714"/>
            <a:gd name="T2" fmla="*/ 0 w 104"/>
            <a:gd name="T3" fmla="*/ 2147483647 h 714"/>
            <a:gd name="T4" fmla="*/ 0 w 104"/>
            <a:gd name="T5" fmla="*/ 2147483647 h 714"/>
            <a:gd name="T6" fmla="*/ 0 w 104"/>
            <a:gd name="T7" fmla="*/ 0 h 714"/>
            <a:gd name="T8" fmla="*/ 0 w 104"/>
            <a:gd name="T9" fmla="*/ 0 h 714"/>
            <a:gd name="T10" fmla="*/ 0 w 104"/>
            <a:gd name="T11" fmla="*/ 0 h 714"/>
            <a:gd name="T12" fmla="*/ 0 w 104"/>
            <a:gd name="T13" fmla="*/ 2147483647 h 71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14"/>
            <a:gd name="T23" fmla="*/ 104 w 104"/>
            <a:gd name="T24" fmla="*/ 714 h 71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14">
              <a:moveTo>
                <a:pt x="0" y="714"/>
              </a:moveTo>
              <a:lnTo>
                <a:pt x="52" y="714"/>
              </a:lnTo>
              <a:lnTo>
                <a:pt x="104" y="714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71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20</xdr:row>
      <xdr:rowOff>104775</xdr:rowOff>
    </xdr:from>
    <xdr:to>
      <xdr:col>3</xdr:col>
      <xdr:colOff>0</xdr:colOff>
      <xdr:row>20</xdr:row>
      <xdr:rowOff>142875</xdr:rowOff>
    </xdr:to>
    <xdr:sp macro="" textlink="">
      <xdr:nvSpPr>
        <xdr:cNvPr id="12168" name="Freeform 335">
          <a:extLst>
            <a:ext uri="{FF2B5EF4-FFF2-40B4-BE49-F238E27FC236}">
              <a16:creationId xmlns:a16="http://schemas.microsoft.com/office/drawing/2014/main" id="{00000000-0008-0000-0900-0000882F0000}"/>
            </a:ext>
          </a:extLst>
        </xdr:cNvPr>
        <xdr:cNvSpPr>
          <a:spLocks noChangeAspect="1"/>
        </xdr:cNvSpPr>
      </xdr:nvSpPr>
      <xdr:spPr bwMode="auto">
        <a:xfrm>
          <a:off x="1457325" y="3876675"/>
          <a:ext cx="142875" cy="38100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w 104"/>
            <a:gd name="T31" fmla="*/ 0 h 53"/>
            <a:gd name="T32" fmla="*/ 0 w 104"/>
            <a:gd name="T33" fmla="*/ 0 h 53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3"/>
            <a:gd name="T53" fmla="*/ 104 w 104"/>
            <a:gd name="T54" fmla="*/ 53 h 53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3">
              <a:moveTo>
                <a:pt x="52" y="53"/>
              </a:moveTo>
              <a:lnTo>
                <a:pt x="0" y="53"/>
              </a:ln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20</xdr:row>
      <xdr:rowOff>104775</xdr:rowOff>
    </xdr:from>
    <xdr:to>
      <xdr:col>3</xdr:col>
      <xdr:colOff>0</xdr:colOff>
      <xdr:row>20</xdr:row>
      <xdr:rowOff>142875</xdr:rowOff>
    </xdr:to>
    <xdr:sp macro="" textlink="">
      <xdr:nvSpPr>
        <xdr:cNvPr id="12169" name="Freeform 336">
          <a:extLst>
            <a:ext uri="{FF2B5EF4-FFF2-40B4-BE49-F238E27FC236}">
              <a16:creationId xmlns:a16="http://schemas.microsoft.com/office/drawing/2014/main" id="{00000000-0008-0000-0900-0000892F0000}"/>
            </a:ext>
          </a:extLst>
        </xdr:cNvPr>
        <xdr:cNvSpPr>
          <a:spLocks noChangeAspect="1"/>
        </xdr:cNvSpPr>
      </xdr:nvSpPr>
      <xdr:spPr bwMode="auto">
        <a:xfrm>
          <a:off x="1457325" y="3876675"/>
          <a:ext cx="142875" cy="38100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3"/>
            <a:gd name="T47" fmla="*/ 104 w 104"/>
            <a:gd name="T48" fmla="*/ 53 h 53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3">
              <a:moveTo>
                <a:pt x="0" y="53"/>
              </a:move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428625</xdr:colOff>
      <xdr:row>25</xdr:row>
      <xdr:rowOff>123825</xdr:rowOff>
    </xdr:from>
    <xdr:to>
      <xdr:col>20</xdr:col>
      <xdr:colOff>0</xdr:colOff>
      <xdr:row>25</xdr:row>
      <xdr:rowOff>142875</xdr:rowOff>
    </xdr:to>
    <xdr:sp macro="" textlink="">
      <xdr:nvSpPr>
        <xdr:cNvPr id="12170" name="Freeform 337">
          <a:extLst>
            <a:ext uri="{FF2B5EF4-FFF2-40B4-BE49-F238E27FC236}">
              <a16:creationId xmlns:a16="http://schemas.microsoft.com/office/drawing/2014/main" id="{00000000-0008-0000-0900-00008A2F0000}"/>
            </a:ext>
          </a:extLst>
        </xdr:cNvPr>
        <xdr:cNvSpPr>
          <a:spLocks noChangeAspect="1"/>
        </xdr:cNvSpPr>
      </xdr:nvSpPr>
      <xdr:spPr bwMode="auto">
        <a:xfrm>
          <a:off x="10258425" y="4705350"/>
          <a:ext cx="104775" cy="19050"/>
        </a:xfrm>
        <a:custGeom>
          <a:avLst/>
          <a:gdLst>
            <a:gd name="T0" fmla="*/ 0 w 101"/>
            <a:gd name="T1" fmla="*/ 0 h 67"/>
            <a:gd name="T2" fmla="*/ 0 w 101"/>
            <a:gd name="T3" fmla="*/ 0 h 67"/>
            <a:gd name="T4" fmla="*/ 0 w 101"/>
            <a:gd name="T5" fmla="*/ 0 h 67"/>
            <a:gd name="T6" fmla="*/ 0 w 101"/>
            <a:gd name="T7" fmla="*/ 0 h 67"/>
            <a:gd name="T8" fmla="*/ 0 w 101"/>
            <a:gd name="T9" fmla="*/ 0 h 67"/>
            <a:gd name="T10" fmla="*/ 0 w 101"/>
            <a:gd name="T11" fmla="*/ 0 h 67"/>
            <a:gd name="T12" fmla="*/ 0 w 101"/>
            <a:gd name="T13" fmla="*/ 0 h 67"/>
            <a:gd name="T14" fmla="*/ 0 w 101"/>
            <a:gd name="T15" fmla="*/ 0 h 67"/>
            <a:gd name="T16" fmla="*/ 0 w 101"/>
            <a:gd name="T17" fmla="*/ 0 h 67"/>
            <a:gd name="T18" fmla="*/ 0 w 101"/>
            <a:gd name="T19" fmla="*/ 0 h 67"/>
            <a:gd name="T20" fmla="*/ 0 w 101"/>
            <a:gd name="T21" fmla="*/ 0 h 67"/>
            <a:gd name="T22" fmla="*/ 0 w 101"/>
            <a:gd name="T23" fmla="*/ 0 h 67"/>
            <a:gd name="T24" fmla="*/ 0 w 101"/>
            <a:gd name="T25" fmla="*/ 0 h 67"/>
            <a:gd name="T26" fmla="*/ 0 w 101"/>
            <a:gd name="T27" fmla="*/ 0 h 67"/>
            <a:gd name="T28" fmla="*/ 0 w 101"/>
            <a:gd name="T29" fmla="*/ 0 h 67"/>
            <a:gd name="T30" fmla="*/ 0 w 101"/>
            <a:gd name="T31" fmla="*/ 0 h 67"/>
            <a:gd name="T32" fmla="*/ 0 w 101"/>
            <a:gd name="T33" fmla="*/ 0 h 67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1"/>
            <a:gd name="T52" fmla="*/ 0 h 67"/>
            <a:gd name="T53" fmla="*/ 101 w 101"/>
            <a:gd name="T54" fmla="*/ 67 h 67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1" h="67">
              <a:moveTo>
                <a:pt x="49" y="51"/>
              </a:moveTo>
              <a:lnTo>
                <a:pt x="0" y="36"/>
              </a:lnTo>
              <a:lnTo>
                <a:pt x="4" y="25"/>
              </a:lnTo>
              <a:lnTo>
                <a:pt x="12" y="16"/>
              </a:lnTo>
              <a:lnTo>
                <a:pt x="21" y="8"/>
              </a:lnTo>
              <a:lnTo>
                <a:pt x="32" y="3"/>
              </a:lnTo>
              <a:lnTo>
                <a:pt x="42" y="0"/>
              </a:lnTo>
              <a:lnTo>
                <a:pt x="54" y="0"/>
              </a:lnTo>
              <a:lnTo>
                <a:pt x="65" y="2"/>
              </a:lnTo>
              <a:lnTo>
                <a:pt x="76" y="6"/>
              </a:lnTo>
              <a:lnTo>
                <a:pt x="85" y="14"/>
              </a:lnTo>
              <a:lnTo>
                <a:pt x="92" y="23"/>
              </a:lnTo>
              <a:lnTo>
                <a:pt x="98" y="34"/>
              </a:lnTo>
              <a:lnTo>
                <a:pt x="101" y="44"/>
              </a:lnTo>
              <a:lnTo>
                <a:pt x="101" y="56"/>
              </a:lnTo>
              <a:lnTo>
                <a:pt x="99" y="67"/>
              </a:lnTo>
              <a:lnTo>
                <a:pt x="49" y="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428625</xdr:colOff>
      <xdr:row>25</xdr:row>
      <xdr:rowOff>123825</xdr:rowOff>
    </xdr:from>
    <xdr:to>
      <xdr:col>20</xdr:col>
      <xdr:colOff>0</xdr:colOff>
      <xdr:row>25</xdr:row>
      <xdr:rowOff>142875</xdr:rowOff>
    </xdr:to>
    <xdr:sp macro="" textlink="">
      <xdr:nvSpPr>
        <xdr:cNvPr id="12171" name="Freeform 338">
          <a:extLst>
            <a:ext uri="{FF2B5EF4-FFF2-40B4-BE49-F238E27FC236}">
              <a16:creationId xmlns:a16="http://schemas.microsoft.com/office/drawing/2014/main" id="{00000000-0008-0000-0900-00008B2F0000}"/>
            </a:ext>
          </a:extLst>
        </xdr:cNvPr>
        <xdr:cNvSpPr>
          <a:spLocks noChangeAspect="1"/>
        </xdr:cNvSpPr>
      </xdr:nvSpPr>
      <xdr:spPr bwMode="auto">
        <a:xfrm>
          <a:off x="10258425" y="4705350"/>
          <a:ext cx="104775" cy="19050"/>
        </a:xfrm>
        <a:custGeom>
          <a:avLst/>
          <a:gdLst>
            <a:gd name="T0" fmla="*/ 0 w 101"/>
            <a:gd name="T1" fmla="*/ 0 h 67"/>
            <a:gd name="T2" fmla="*/ 0 w 101"/>
            <a:gd name="T3" fmla="*/ 0 h 67"/>
            <a:gd name="T4" fmla="*/ 0 w 101"/>
            <a:gd name="T5" fmla="*/ 0 h 67"/>
            <a:gd name="T6" fmla="*/ 0 w 101"/>
            <a:gd name="T7" fmla="*/ 0 h 67"/>
            <a:gd name="T8" fmla="*/ 0 w 101"/>
            <a:gd name="T9" fmla="*/ 0 h 67"/>
            <a:gd name="T10" fmla="*/ 0 w 101"/>
            <a:gd name="T11" fmla="*/ 0 h 67"/>
            <a:gd name="T12" fmla="*/ 0 w 101"/>
            <a:gd name="T13" fmla="*/ 0 h 67"/>
            <a:gd name="T14" fmla="*/ 0 w 101"/>
            <a:gd name="T15" fmla="*/ 0 h 67"/>
            <a:gd name="T16" fmla="*/ 0 w 101"/>
            <a:gd name="T17" fmla="*/ 0 h 67"/>
            <a:gd name="T18" fmla="*/ 0 w 101"/>
            <a:gd name="T19" fmla="*/ 0 h 67"/>
            <a:gd name="T20" fmla="*/ 0 w 101"/>
            <a:gd name="T21" fmla="*/ 0 h 67"/>
            <a:gd name="T22" fmla="*/ 0 w 101"/>
            <a:gd name="T23" fmla="*/ 0 h 67"/>
            <a:gd name="T24" fmla="*/ 0 w 101"/>
            <a:gd name="T25" fmla="*/ 0 h 67"/>
            <a:gd name="T26" fmla="*/ 0 w 101"/>
            <a:gd name="T27" fmla="*/ 0 h 67"/>
            <a:gd name="T28" fmla="*/ 0 w 101"/>
            <a:gd name="T29" fmla="*/ 0 h 6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1"/>
            <a:gd name="T46" fmla="*/ 0 h 67"/>
            <a:gd name="T47" fmla="*/ 101 w 101"/>
            <a:gd name="T48" fmla="*/ 67 h 6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1" h="67">
              <a:moveTo>
                <a:pt x="0" y="36"/>
              </a:moveTo>
              <a:lnTo>
                <a:pt x="4" y="25"/>
              </a:lnTo>
              <a:lnTo>
                <a:pt x="12" y="16"/>
              </a:lnTo>
              <a:lnTo>
                <a:pt x="21" y="8"/>
              </a:lnTo>
              <a:lnTo>
                <a:pt x="32" y="3"/>
              </a:lnTo>
              <a:lnTo>
                <a:pt x="42" y="0"/>
              </a:lnTo>
              <a:lnTo>
                <a:pt x="54" y="0"/>
              </a:lnTo>
              <a:lnTo>
                <a:pt x="65" y="2"/>
              </a:lnTo>
              <a:lnTo>
                <a:pt x="76" y="6"/>
              </a:lnTo>
              <a:lnTo>
                <a:pt x="85" y="14"/>
              </a:lnTo>
              <a:lnTo>
                <a:pt x="92" y="23"/>
              </a:lnTo>
              <a:lnTo>
                <a:pt x="98" y="34"/>
              </a:lnTo>
              <a:lnTo>
                <a:pt x="101" y="44"/>
              </a:lnTo>
              <a:lnTo>
                <a:pt x="101" y="56"/>
              </a:lnTo>
              <a:lnTo>
                <a:pt x="99" y="67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314325</xdr:colOff>
      <xdr:row>25</xdr:row>
      <xdr:rowOff>142875</xdr:rowOff>
    </xdr:from>
    <xdr:to>
      <xdr:col>20</xdr:col>
      <xdr:colOff>0</xdr:colOff>
      <xdr:row>28</xdr:row>
      <xdr:rowOff>38100</xdr:rowOff>
    </xdr:to>
    <xdr:sp macro="" textlink="">
      <xdr:nvSpPr>
        <xdr:cNvPr id="12172" name="Freeform 339">
          <a:extLst>
            <a:ext uri="{FF2B5EF4-FFF2-40B4-BE49-F238E27FC236}">
              <a16:creationId xmlns:a16="http://schemas.microsoft.com/office/drawing/2014/main" id="{00000000-0008-0000-0900-00008C2F0000}"/>
            </a:ext>
          </a:extLst>
        </xdr:cNvPr>
        <xdr:cNvSpPr>
          <a:spLocks noChangeAspect="1"/>
        </xdr:cNvSpPr>
      </xdr:nvSpPr>
      <xdr:spPr bwMode="auto">
        <a:xfrm>
          <a:off x="10144125" y="4724400"/>
          <a:ext cx="219075" cy="381000"/>
        </a:xfrm>
        <a:custGeom>
          <a:avLst/>
          <a:gdLst>
            <a:gd name="T0" fmla="*/ 2147483647 w 343"/>
            <a:gd name="T1" fmla="*/ 0 h 785"/>
            <a:gd name="T2" fmla="*/ 2147483647 w 343"/>
            <a:gd name="T3" fmla="*/ 0 h 785"/>
            <a:gd name="T4" fmla="*/ 2147483647 w 343"/>
            <a:gd name="T5" fmla="*/ 0 h 785"/>
            <a:gd name="T6" fmla="*/ 0 w 343"/>
            <a:gd name="T7" fmla="*/ 2147483647 h 785"/>
            <a:gd name="T8" fmla="*/ 0 w 343"/>
            <a:gd name="T9" fmla="*/ 2147483647 h 785"/>
            <a:gd name="T10" fmla="*/ 0 w 343"/>
            <a:gd name="T11" fmla="*/ 2147483647 h 785"/>
            <a:gd name="T12" fmla="*/ 2147483647 w 343"/>
            <a:gd name="T13" fmla="*/ 0 h 78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3"/>
            <a:gd name="T22" fmla="*/ 0 h 785"/>
            <a:gd name="T23" fmla="*/ 343 w 343"/>
            <a:gd name="T24" fmla="*/ 785 h 78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3" h="785">
              <a:moveTo>
                <a:pt x="343" y="31"/>
              </a:moveTo>
              <a:lnTo>
                <a:pt x="293" y="15"/>
              </a:lnTo>
              <a:lnTo>
                <a:pt x="244" y="0"/>
              </a:lnTo>
              <a:lnTo>
                <a:pt x="0" y="754"/>
              </a:lnTo>
              <a:lnTo>
                <a:pt x="50" y="769"/>
              </a:lnTo>
              <a:lnTo>
                <a:pt x="99" y="785"/>
              </a:lnTo>
              <a:lnTo>
                <a:pt x="343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314325</xdr:colOff>
      <xdr:row>25</xdr:row>
      <xdr:rowOff>142875</xdr:rowOff>
    </xdr:from>
    <xdr:to>
      <xdr:col>20</xdr:col>
      <xdr:colOff>0</xdr:colOff>
      <xdr:row>28</xdr:row>
      <xdr:rowOff>38100</xdr:rowOff>
    </xdr:to>
    <xdr:sp macro="" textlink="">
      <xdr:nvSpPr>
        <xdr:cNvPr id="12173" name="Freeform 340">
          <a:extLst>
            <a:ext uri="{FF2B5EF4-FFF2-40B4-BE49-F238E27FC236}">
              <a16:creationId xmlns:a16="http://schemas.microsoft.com/office/drawing/2014/main" id="{00000000-0008-0000-0900-00008D2F0000}"/>
            </a:ext>
          </a:extLst>
        </xdr:cNvPr>
        <xdr:cNvSpPr>
          <a:spLocks noChangeAspect="1"/>
        </xdr:cNvSpPr>
      </xdr:nvSpPr>
      <xdr:spPr bwMode="auto">
        <a:xfrm>
          <a:off x="10144125" y="4724400"/>
          <a:ext cx="219075" cy="381000"/>
        </a:xfrm>
        <a:custGeom>
          <a:avLst/>
          <a:gdLst>
            <a:gd name="T0" fmla="*/ 2147483647 w 343"/>
            <a:gd name="T1" fmla="*/ 0 h 785"/>
            <a:gd name="T2" fmla="*/ 2147483647 w 343"/>
            <a:gd name="T3" fmla="*/ 0 h 785"/>
            <a:gd name="T4" fmla="*/ 2147483647 w 343"/>
            <a:gd name="T5" fmla="*/ 0 h 785"/>
            <a:gd name="T6" fmla="*/ 0 w 343"/>
            <a:gd name="T7" fmla="*/ 2147483647 h 785"/>
            <a:gd name="T8" fmla="*/ 0 w 343"/>
            <a:gd name="T9" fmla="*/ 2147483647 h 785"/>
            <a:gd name="T10" fmla="*/ 0 w 343"/>
            <a:gd name="T11" fmla="*/ 2147483647 h 785"/>
            <a:gd name="T12" fmla="*/ 2147483647 w 343"/>
            <a:gd name="T13" fmla="*/ 0 h 78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3"/>
            <a:gd name="T22" fmla="*/ 0 h 785"/>
            <a:gd name="T23" fmla="*/ 343 w 343"/>
            <a:gd name="T24" fmla="*/ 785 h 78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3" h="785">
              <a:moveTo>
                <a:pt x="343" y="31"/>
              </a:moveTo>
              <a:lnTo>
                <a:pt x="293" y="15"/>
              </a:lnTo>
              <a:lnTo>
                <a:pt x="244" y="0"/>
              </a:lnTo>
              <a:lnTo>
                <a:pt x="0" y="754"/>
              </a:lnTo>
              <a:lnTo>
                <a:pt x="50" y="769"/>
              </a:lnTo>
              <a:lnTo>
                <a:pt x="99" y="785"/>
              </a:lnTo>
              <a:lnTo>
                <a:pt x="343" y="3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314325</xdr:colOff>
      <xdr:row>28</xdr:row>
      <xdr:rowOff>9525</xdr:rowOff>
    </xdr:from>
    <xdr:to>
      <xdr:col>19</xdr:col>
      <xdr:colOff>371475</xdr:colOff>
      <xdr:row>28</xdr:row>
      <xdr:rowOff>38100</xdr:rowOff>
    </xdr:to>
    <xdr:sp macro="" textlink="">
      <xdr:nvSpPr>
        <xdr:cNvPr id="12174" name="Freeform 341">
          <a:extLst>
            <a:ext uri="{FF2B5EF4-FFF2-40B4-BE49-F238E27FC236}">
              <a16:creationId xmlns:a16="http://schemas.microsoft.com/office/drawing/2014/main" id="{00000000-0008-0000-0900-00008E2F0000}"/>
            </a:ext>
          </a:extLst>
        </xdr:cNvPr>
        <xdr:cNvSpPr>
          <a:spLocks noChangeAspect="1"/>
        </xdr:cNvSpPr>
      </xdr:nvSpPr>
      <xdr:spPr bwMode="auto">
        <a:xfrm>
          <a:off x="10144125" y="5076825"/>
          <a:ext cx="57150" cy="28575"/>
        </a:xfrm>
        <a:custGeom>
          <a:avLst/>
          <a:gdLst>
            <a:gd name="T0" fmla="*/ 0 w 101"/>
            <a:gd name="T1" fmla="*/ 0 h 67"/>
            <a:gd name="T2" fmla="*/ 0 w 101"/>
            <a:gd name="T3" fmla="*/ 0 h 67"/>
            <a:gd name="T4" fmla="*/ 0 w 101"/>
            <a:gd name="T5" fmla="*/ 0 h 67"/>
            <a:gd name="T6" fmla="*/ 0 w 101"/>
            <a:gd name="T7" fmla="*/ 0 h 67"/>
            <a:gd name="T8" fmla="*/ 0 w 101"/>
            <a:gd name="T9" fmla="*/ 0 h 67"/>
            <a:gd name="T10" fmla="*/ 0 w 101"/>
            <a:gd name="T11" fmla="*/ 0 h 67"/>
            <a:gd name="T12" fmla="*/ 0 w 101"/>
            <a:gd name="T13" fmla="*/ 0 h 67"/>
            <a:gd name="T14" fmla="*/ 0 w 101"/>
            <a:gd name="T15" fmla="*/ 0 h 67"/>
            <a:gd name="T16" fmla="*/ 0 w 101"/>
            <a:gd name="T17" fmla="*/ 0 h 67"/>
            <a:gd name="T18" fmla="*/ 0 w 101"/>
            <a:gd name="T19" fmla="*/ 0 h 67"/>
            <a:gd name="T20" fmla="*/ 0 w 101"/>
            <a:gd name="T21" fmla="*/ 0 h 67"/>
            <a:gd name="T22" fmla="*/ 0 w 101"/>
            <a:gd name="T23" fmla="*/ 0 h 67"/>
            <a:gd name="T24" fmla="*/ 0 w 101"/>
            <a:gd name="T25" fmla="*/ 0 h 67"/>
            <a:gd name="T26" fmla="*/ 0 w 101"/>
            <a:gd name="T27" fmla="*/ 0 h 67"/>
            <a:gd name="T28" fmla="*/ 0 w 101"/>
            <a:gd name="T29" fmla="*/ 0 h 67"/>
            <a:gd name="T30" fmla="*/ 0 w 101"/>
            <a:gd name="T31" fmla="*/ 0 h 67"/>
            <a:gd name="T32" fmla="*/ 0 w 101"/>
            <a:gd name="T33" fmla="*/ 0 h 67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1"/>
            <a:gd name="T52" fmla="*/ 0 h 67"/>
            <a:gd name="T53" fmla="*/ 101 w 101"/>
            <a:gd name="T54" fmla="*/ 67 h 67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1" h="67">
              <a:moveTo>
                <a:pt x="52" y="15"/>
              </a:moveTo>
              <a:lnTo>
                <a:pt x="101" y="31"/>
              </a:lnTo>
              <a:lnTo>
                <a:pt x="97" y="42"/>
              </a:lnTo>
              <a:lnTo>
                <a:pt x="90" y="51"/>
              </a:lnTo>
              <a:lnTo>
                <a:pt x="80" y="58"/>
              </a:lnTo>
              <a:lnTo>
                <a:pt x="70" y="64"/>
              </a:lnTo>
              <a:lnTo>
                <a:pt x="59" y="67"/>
              </a:lnTo>
              <a:lnTo>
                <a:pt x="48" y="67"/>
              </a:lnTo>
              <a:lnTo>
                <a:pt x="36" y="65"/>
              </a:lnTo>
              <a:lnTo>
                <a:pt x="26" y="60"/>
              </a:lnTo>
              <a:lnTo>
                <a:pt x="16" y="53"/>
              </a:lnTo>
              <a:lnTo>
                <a:pt x="9" y="44"/>
              </a:lnTo>
              <a:lnTo>
                <a:pt x="4" y="33"/>
              </a:lnTo>
              <a:lnTo>
                <a:pt x="0" y="23"/>
              </a:lnTo>
              <a:lnTo>
                <a:pt x="0" y="11"/>
              </a:lnTo>
              <a:lnTo>
                <a:pt x="2" y="0"/>
              </a:lnTo>
              <a:lnTo>
                <a:pt x="52" y="15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314325</xdr:colOff>
      <xdr:row>28</xdr:row>
      <xdr:rowOff>9525</xdr:rowOff>
    </xdr:from>
    <xdr:to>
      <xdr:col>19</xdr:col>
      <xdr:colOff>371475</xdr:colOff>
      <xdr:row>28</xdr:row>
      <xdr:rowOff>38100</xdr:rowOff>
    </xdr:to>
    <xdr:sp macro="" textlink="">
      <xdr:nvSpPr>
        <xdr:cNvPr id="12175" name="Freeform 342">
          <a:extLst>
            <a:ext uri="{FF2B5EF4-FFF2-40B4-BE49-F238E27FC236}">
              <a16:creationId xmlns:a16="http://schemas.microsoft.com/office/drawing/2014/main" id="{00000000-0008-0000-0900-00008F2F0000}"/>
            </a:ext>
          </a:extLst>
        </xdr:cNvPr>
        <xdr:cNvSpPr>
          <a:spLocks noChangeAspect="1"/>
        </xdr:cNvSpPr>
      </xdr:nvSpPr>
      <xdr:spPr bwMode="auto">
        <a:xfrm>
          <a:off x="10144125" y="5076825"/>
          <a:ext cx="57150" cy="28575"/>
        </a:xfrm>
        <a:custGeom>
          <a:avLst/>
          <a:gdLst>
            <a:gd name="T0" fmla="*/ 0 w 101"/>
            <a:gd name="T1" fmla="*/ 0 h 67"/>
            <a:gd name="T2" fmla="*/ 0 w 101"/>
            <a:gd name="T3" fmla="*/ 0 h 67"/>
            <a:gd name="T4" fmla="*/ 0 w 101"/>
            <a:gd name="T5" fmla="*/ 0 h 67"/>
            <a:gd name="T6" fmla="*/ 0 w 101"/>
            <a:gd name="T7" fmla="*/ 0 h 67"/>
            <a:gd name="T8" fmla="*/ 0 w 101"/>
            <a:gd name="T9" fmla="*/ 0 h 67"/>
            <a:gd name="T10" fmla="*/ 0 w 101"/>
            <a:gd name="T11" fmla="*/ 0 h 67"/>
            <a:gd name="T12" fmla="*/ 0 w 101"/>
            <a:gd name="T13" fmla="*/ 0 h 67"/>
            <a:gd name="T14" fmla="*/ 0 w 101"/>
            <a:gd name="T15" fmla="*/ 0 h 67"/>
            <a:gd name="T16" fmla="*/ 0 w 101"/>
            <a:gd name="T17" fmla="*/ 0 h 67"/>
            <a:gd name="T18" fmla="*/ 0 w 101"/>
            <a:gd name="T19" fmla="*/ 0 h 67"/>
            <a:gd name="T20" fmla="*/ 0 w 101"/>
            <a:gd name="T21" fmla="*/ 0 h 67"/>
            <a:gd name="T22" fmla="*/ 0 w 101"/>
            <a:gd name="T23" fmla="*/ 0 h 67"/>
            <a:gd name="T24" fmla="*/ 0 w 101"/>
            <a:gd name="T25" fmla="*/ 0 h 67"/>
            <a:gd name="T26" fmla="*/ 0 w 101"/>
            <a:gd name="T27" fmla="*/ 0 h 67"/>
            <a:gd name="T28" fmla="*/ 0 w 101"/>
            <a:gd name="T29" fmla="*/ 0 h 6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1"/>
            <a:gd name="T46" fmla="*/ 0 h 67"/>
            <a:gd name="T47" fmla="*/ 101 w 101"/>
            <a:gd name="T48" fmla="*/ 67 h 6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1" h="67">
              <a:moveTo>
                <a:pt x="101" y="31"/>
              </a:moveTo>
              <a:lnTo>
                <a:pt x="97" y="42"/>
              </a:lnTo>
              <a:lnTo>
                <a:pt x="90" y="51"/>
              </a:lnTo>
              <a:lnTo>
                <a:pt x="80" y="58"/>
              </a:lnTo>
              <a:lnTo>
                <a:pt x="70" y="64"/>
              </a:lnTo>
              <a:lnTo>
                <a:pt x="59" y="67"/>
              </a:lnTo>
              <a:lnTo>
                <a:pt x="48" y="67"/>
              </a:lnTo>
              <a:lnTo>
                <a:pt x="36" y="65"/>
              </a:lnTo>
              <a:lnTo>
                <a:pt x="26" y="60"/>
              </a:lnTo>
              <a:lnTo>
                <a:pt x="16" y="53"/>
              </a:lnTo>
              <a:lnTo>
                <a:pt x="9" y="44"/>
              </a:lnTo>
              <a:lnTo>
                <a:pt x="4" y="33"/>
              </a:lnTo>
              <a:lnTo>
                <a:pt x="0" y="23"/>
              </a:lnTo>
              <a:lnTo>
                <a:pt x="0" y="11"/>
              </a:lnTo>
              <a:lnTo>
                <a:pt x="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342900</xdr:colOff>
      <xdr:row>28</xdr:row>
      <xdr:rowOff>9525</xdr:rowOff>
    </xdr:from>
    <xdr:to>
      <xdr:col>20</xdr:col>
      <xdr:colOff>247650</xdr:colOff>
      <xdr:row>28</xdr:row>
      <xdr:rowOff>142875</xdr:rowOff>
    </xdr:to>
    <xdr:sp macro="" textlink="">
      <xdr:nvSpPr>
        <xdr:cNvPr id="12176" name="Freeform 346">
          <a:extLst>
            <a:ext uri="{FF2B5EF4-FFF2-40B4-BE49-F238E27FC236}">
              <a16:creationId xmlns:a16="http://schemas.microsoft.com/office/drawing/2014/main" id="{00000000-0008-0000-0900-0000902F0000}"/>
            </a:ext>
          </a:extLst>
        </xdr:cNvPr>
        <xdr:cNvSpPr>
          <a:spLocks noChangeAspect="1"/>
        </xdr:cNvSpPr>
      </xdr:nvSpPr>
      <xdr:spPr bwMode="auto">
        <a:xfrm>
          <a:off x="10172700" y="5076825"/>
          <a:ext cx="438150" cy="133350"/>
        </a:xfrm>
        <a:custGeom>
          <a:avLst/>
          <a:gdLst>
            <a:gd name="T0" fmla="*/ 2147483647 w 641"/>
            <a:gd name="T1" fmla="*/ 0 h 628"/>
            <a:gd name="T2" fmla="*/ 2147483647 w 641"/>
            <a:gd name="T3" fmla="*/ 0 h 628"/>
            <a:gd name="T4" fmla="*/ 2147483647 w 641"/>
            <a:gd name="T5" fmla="*/ 0 h 628"/>
            <a:gd name="T6" fmla="*/ 0 w 641"/>
            <a:gd name="T7" fmla="*/ 0 h 628"/>
            <a:gd name="T8" fmla="*/ 0 w 641"/>
            <a:gd name="T9" fmla="*/ 0 h 628"/>
            <a:gd name="T10" fmla="*/ 0 w 641"/>
            <a:gd name="T11" fmla="*/ 0 h 628"/>
            <a:gd name="T12" fmla="*/ 2147483647 w 641"/>
            <a:gd name="T13" fmla="*/ 0 h 628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41"/>
            <a:gd name="T22" fmla="*/ 0 h 628"/>
            <a:gd name="T23" fmla="*/ 641 w 641"/>
            <a:gd name="T24" fmla="*/ 628 h 628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41" h="628">
              <a:moveTo>
                <a:pt x="567" y="628"/>
              </a:moveTo>
              <a:lnTo>
                <a:pt x="604" y="592"/>
              </a:lnTo>
              <a:lnTo>
                <a:pt x="641" y="555"/>
              </a:lnTo>
              <a:lnTo>
                <a:pt x="74" y="0"/>
              </a:lnTo>
              <a:lnTo>
                <a:pt x="37" y="36"/>
              </a:lnTo>
              <a:lnTo>
                <a:pt x="0" y="73"/>
              </a:lnTo>
              <a:lnTo>
                <a:pt x="567" y="628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314325</xdr:colOff>
      <xdr:row>28</xdr:row>
      <xdr:rowOff>9525</xdr:rowOff>
    </xdr:from>
    <xdr:to>
      <xdr:col>19</xdr:col>
      <xdr:colOff>371475</xdr:colOff>
      <xdr:row>28</xdr:row>
      <xdr:rowOff>47625</xdr:rowOff>
    </xdr:to>
    <xdr:sp macro="" textlink="">
      <xdr:nvSpPr>
        <xdr:cNvPr id="12177" name="Freeform 347">
          <a:extLst>
            <a:ext uri="{FF2B5EF4-FFF2-40B4-BE49-F238E27FC236}">
              <a16:creationId xmlns:a16="http://schemas.microsoft.com/office/drawing/2014/main" id="{00000000-0008-0000-0900-0000912F0000}"/>
            </a:ext>
          </a:extLst>
        </xdr:cNvPr>
        <xdr:cNvSpPr>
          <a:spLocks noChangeAspect="1"/>
        </xdr:cNvSpPr>
      </xdr:nvSpPr>
      <xdr:spPr bwMode="auto">
        <a:xfrm>
          <a:off x="10144125" y="5076825"/>
          <a:ext cx="57150" cy="38100"/>
        </a:xfrm>
        <a:custGeom>
          <a:avLst/>
          <a:gdLst>
            <a:gd name="T0" fmla="*/ 0 w 89"/>
            <a:gd name="T1" fmla="*/ 0 h 88"/>
            <a:gd name="T2" fmla="*/ 0 w 89"/>
            <a:gd name="T3" fmla="*/ 0 h 88"/>
            <a:gd name="T4" fmla="*/ 0 w 89"/>
            <a:gd name="T5" fmla="*/ 0 h 88"/>
            <a:gd name="T6" fmla="*/ 0 w 89"/>
            <a:gd name="T7" fmla="*/ 0 h 88"/>
            <a:gd name="T8" fmla="*/ 0 w 89"/>
            <a:gd name="T9" fmla="*/ 0 h 88"/>
            <a:gd name="T10" fmla="*/ 0 w 89"/>
            <a:gd name="T11" fmla="*/ 0 h 88"/>
            <a:gd name="T12" fmla="*/ 0 w 89"/>
            <a:gd name="T13" fmla="*/ 0 h 88"/>
            <a:gd name="T14" fmla="*/ 0 w 89"/>
            <a:gd name="T15" fmla="*/ 0 h 88"/>
            <a:gd name="T16" fmla="*/ 0 w 89"/>
            <a:gd name="T17" fmla="*/ 0 h 88"/>
            <a:gd name="T18" fmla="*/ 0 w 89"/>
            <a:gd name="T19" fmla="*/ 0 h 88"/>
            <a:gd name="T20" fmla="*/ 0 w 89"/>
            <a:gd name="T21" fmla="*/ 0 h 88"/>
            <a:gd name="T22" fmla="*/ 0 w 89"/>
            <a:gd name="T23" fmla="*/ 0 h 88"/>
            <a:gd name="T24" fmla="*/ 0 w 89"/>
            <a:gd name="T25" fmla="*/ 0 h 88"/>
            <a:gd name="T26" fmla="*/ 0 w 89"/>
            <a:gd name="T27" fmla="*/ 0 h 88"/>
            <a:gd name="T28" fmla="*/ 0 w 89"/>
            <a:gd name="T29" fmla="*/ 0 h 88"/>
            <a:gd name="T30" fmla="*/ 2147483647 w 89"/>
            <a:gd name="T31" fmla="*/ 0 h 88"/>
            <a:gd name="T32" fmla="*/ 0 w 89"/>
            <a:gd name="T33" fmla="*/ 0 h 88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89"/>
            <a:gd name="T52" fmla="*/ 0 h 88"/>
            <a:gd name="T53" fmla="*/ 89 w 89"/>
            <a:gd name="T54" fmla="*/ 88 h 88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89" h="88">
              <a:moveTo>
                <a:pt x="52" y="51"/>
              </a:moveTo>
              <a:lnTo>
                <a:pt x="15" y="88"/>
              </a:lnTo>
              <a:lnTo>
                <a:pt x="8" y="80"/>
              </a:lnTo>
              <a:lnTo>
                <a:pt x="2" y="69"/>
              </a:lnTo>
              <a:lnTo>
                <a:pt x="0" y="58"/>
              </a:lnTo>
              <a:lnTo>
                <a:pt x="0" y="46"/>
              </a:lnTo>
              <a:lnTo>
                <a:pt x="2" y="34"/>
              </a:lnTo>
              <a:lnTo>
                <a:pt x="8" y="24"/>
              </a:lnTo>
              <a:lnTo>
                <a:pt x="15" y="15"/>
              </a:lnTo>
              <a:lnTo>
                <a:pt x="23" y="7"/>
              </a:lnTo>
              <a:lnTo>
                <a:pt x="34" y="2"/>
              </a:lnTo>
              <a:lnTo>
                <a:pt x="46" y="0"/>
              </a:lnTo>
              <a:lnTo>
                <a:pt x="57" y="0"/>
              </a:lnTo>
              <a:lnTo>
                <a:pt x="69" y="2"/>
              </a:lnTo>
              <a:lnTo>
                <a:pt x="79" y="7"/>
              </a:lnTo>
              <a:lnTo>
                <a:pt x="89" y="15"/>
              </a:lnTo>
              <a:lnTo>
                <a:pt x="52" y="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314325</xdr:colOff>
      <xdr:row>28</xdr:row>
      <xdr:rowOff>9525</xdr:rowOff>
    </xdr:from>
    <xdr:to>
      <xdr:col>19</xdr:col>
      <xdr:colOff>371475</xdr:colOff>
      <xdr:row>28</xdr:row>
      <xdr:rowOff>47625</xdr:rowOff>
    </xdr:to>
    <xdr:sp macro="" textlink="">
      <xdr:nvSpPr>
        <xdr:cNvPr id="12178" name="Freeform 348">
          <a:extLst>
            <a:ext uri="{FF2B5EF4-FFF2-40B4-BE49-F238E27FC236}">
              <a16:creationId xmlns:a16="http://schemas.microsoft.com/office/drawing/2014/main" id="{00000000-0008-0000-0900-0000922F0000}"/>
            </a:ext>
          </a:extLst>
        </xdr:cNvPr>
        <xdr:cNvSpPr>
          <a:spLocks noChangeAspect="1"/>
        </xdr:cNvSpPr>
      </xdr:nvSpPr>
      <xdr:spPr bwMode="auto">
        <a:xfrm>
          <a:off x="10144125" y="5076825"/>
          <a:ext cx="57150" cy="38100"/>
        </a:xfrm>
        <a:custGeom>
          <a:avLst/>
          <a:gdLst>
            <a:gd name="T0" fmla="*/ 0 w 89"/>
            <a:gd name="T1" fmla="*/ 0 h 88"/>
            <a:gd name="T2" fmla="*/ 0 w 89"/>
            <a:gd name="T3" fmla="*/ 0 h 88"/>
            <a:gd name="T4" fmla="*/ 0 w 89"/>
            <a:gd name="T5" fmla="*/ 0 h 88"/>
            <a:gd name="T6" fmla="*/ 0 w 89"/>
            <a:gd name="T7" fmla="*/ 0 h 88"/>
            <a:gd name="T8" fmla="*/ 0 w 89"/>
            <a:gd name="T9" fmla="*/ 0 h 88"/>
            <a:gd name="T10" fmla="*/ 0 w 89"/>
            <a:gd name="T11" fmla="*/ 0 h 88"/>
            <a:gd name="T12" fmla="*/ 0 w 89"/>
            <a:gd name="T13" fmla="*/ 0 h 88"/>
            <a:gd name="T14" fmla="*/ 0 w 89"/>
            <a:gd name="T15" fmla="*/ 0 h 88"/>
            <a:gd name="T16" fmla="*/ 0 w 89"/>
            <a:gd name="T17" fmla="*/ 0 h 88"/>
            <a:gd name="T18" fmla="*/ 0 w 89"/>
            <a:gd name="T19" fmla="*/ 0 h 88"/>
            <a:gd name="T20" fmla="*/ 0 w 89"/>
            <a:gd name="T21" fmla="*/ 0 h 88"/>
            <a:gd name="T22" fmla="*/ 0 w 89"/>
            <a:gd name="T23" fmla="*/ 0 h 88"/>
            <a:gd name="T24" fmla="*/ 0 w 89"/>
            <a:gd name="T25" fmla="*/ 0 h 88"/>
            <a:gd name="T26" fmla="*/ 0 w 89"/>
            <a:gd name="T27" fmla="*/ 0 h 88"/>
            <a:gd name="T28" fmla="*/ 2147483647 w 89"/>
            <a:gd name="T29" fmla="*/ 0 h 88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89"/>
            <a:gd name="T46" fmla="*/ 0 h 88"/>
            <a:gd name="T47" fmla="*/ 89 w 89"/>
            <a:gd name="T48" fmla="*/ 88 h 88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89" h="88">
              <a:moveTo>
                <a:pt x="15" y="88"/>
              </a:moveTo>
              <a:lnTo>
                <a:pt x="8" y="80"/>
              </a:lnTo>
              <a:lnTo>
                <a:pt x="2" y="69"/>
              </a:lnTo>
              <a:lnTo>
                <a:pt x="0" y="58"/>
              </a:lnTo>
              <a:lnTo>
                <a:pt x="0" y="46"/>
              </a:lnTo>
              <a:lnTo>
                <a:pt x="2" y="34"/>
              </a:lnTo>
              <a:lnTo>
                <a:pt x="8" y="24"/>
              </a:lnTo>
              <a:lnTo>
                <a:pt x="15" y="15"/>
              </a:lnTo>
              <a:lnTo>
                <a:pt x="23" y="7"/>
              </a:lnTo>
              <a:lnTo>
                <a:pt x="34" y="2"/>
              </a:lnTo>
              <a:lnTo>
                <a:pt x="46" y="0"/>
              </a:lnTo>
              <a:lnTo>
                <a:pt x="57" y="0"/>
              </a:lnTo>
              <a:lnTo>
                <a:pt x="69" y="2"/>
              </a:lnTo>
              <a:lnTo>
                <a:pt x="79" y="7"/>
              </a:lnTo>
              <a:lnTo>
                <a:pt x="89" y="15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0</xdr:colOff>
      <xdr:row>20</xdr:row>
      <xdr:rowOff>133350</xdr:rowOff>
    </xdr:from>
    <xdr:to>
      <xdr:col>12</xdr:col>
      <xdr:colOff>28575</xdr:colOff>
      <xdr:row>21</xdr:row>
      <xdr:rowOff>9525</xdr:rowOff>
    </xdr:to>
    <xdr:sp macro="" textlink="">
      <xdr:nvSpPr>
        <xdr:cNvPr id="12179" name="Freeform 353">
          <a:extLst>
            <a:ext uri="{FF2B5EF4-FFF2-40B4-BE49-F238E27FC236}">
              <a16:creationId xmlns:a16="http://schemas.microsoft.com/office/drawing/2014/main" id="{00000000-0008-0000-0900-0000932F0000}"/>
            </a:ext>
          </a:extLst>
        </xdr:cNvPr>
        <xdr:cNvSpPr>
          <a:spLocks noChangeAspect="1"/>
        </xdr:cNvSpPr>
      </xdr:nvSpPr>
      <xdr:spPr bwMode="auto">
        <a:xfrm>
          <a:off x="6572250" y="3905250"/>
          <a:ext cx="28575" cy="38100"/>
        </a:xfrm>
        <a:custGeom>
          <a:avLst/>
          <a:gdLst>
            <a:gd name="T0" fmla="*/ 0 w 101"/>
            <a:gd name="T1" fmla="*/ 0 h 67"/>
            <a:gd name="T2" fmla="*/ 0 w 101"/>
            <a:gd name="T3" fmla="*/ 0 h 67"/>
            <a:gd name="T4" fmla="*/ 0 w 101"/>
            <a:gd name="T5" fmla="*/ 0 h 67"/>
            <a:gd name="T6" fmla="*/ 0 w 101"/>
            <a:gd name="T7" fmla="*/ 0 h 67"/>
            <a:gd name="T8" fmla="*/ 0 w 101"/>
            <a:gd name="T9" fmla="*/ 0 h 67"/>
            <a:gd name="T10" fmla="*/ 0 w 101"/>
            <a:gd name="T11" fmla="*/ 0 h 67"/>
            <a:gd name="T12" fmla="*/ 0 w 101"/>
            <a:gd name="T13" fmla="*/ 0 h 67"/>
            <a:gd name="T14" fmla="*/ 0 w 101"/>
            <a:gd name="T15" fmla="*/ 0 h 67"/>
            <a:gd name="T16" fmla="*/ 0 w 101"/>
            <a:gd name="T17" fmla="*/ 0 h 67"/>
            <a:gd name="T18" fmla="*/ 0 w 101"/>
            <a:gd name="T19" fmla="*/ 0 h 67"/>
            <a:gd name="T20" fmla="*/ 0 w 101"/>
            <a:gd name="T21" fmla="*/ 0 h 67"/>
            <a:gd name="T22" fmla="*/ 0 w 101"/>
            <a:gd name="T23" fmla="*/ 0 h 67"/>
            <a:gd name="T24" fmla="*/ 0 w 101"/>
            <a:gd name="T25" fmla="*/ 0 h 67"/>
            <a:gd name="T26" fmla="*/ 0 w 101"/>
            <a:gd name="T27" fmla="*/ 0 h 67"/>
            <a:gd name="T28" fmla="*/ 0 w 101"/>
            <a:gd name="T29" fmla="*/ 0 h 67"/>
            <a:gd name="T30" fmla="*/ 0 w 101"/>
            <a:gd name="T31" fmla="*/ 0 h 67"/>
            <a:gd name="T32" fmla="*/ 0 w 101"/>
            <a:gd name="T33" fmla="*/ 0 h 67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1"/>
            <a:gd name="T52" fmla="*/ 0 h 67"/>
            <a:gd name="T53" fmla="*/ 101 w 101"/>
            <a:gd name="T54" fmla="*/ 67 h 67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1" h="67">
              <a:moveTo>
                <a:pt x="52" y="16"/>
              </a:moveTo>
              <a:lnTo>
                <a:pt x="101" y="31"/>
              </a:lnTo>
              <a:lnTo>
                <a:pt x="97" y="42"/>
              </a:lnTo>
              <a:lnTo>
                <a:pt x="90" y="51"/>
              </a:lnTo>
              <a:lnTo>
                <a:pt x="80" y="59"/>
              </a:lnTo>
              <a:lnTo>
                <a:pt x="70" y="64"/>
              </a:lnTo>
              <a:lnTo>
                <a:pt x="59" y="67"/>
              </a:lnTo>
              <a:lnTo>
                <a:pt x="48" y="67"/>
              </a:lnTo>
              <a:lnTo>
                <a:pt x="36" y="65"/>
              </a:lnTo>
              <a:lnTo>
                <a:pt x="26" y="61"/>
              </a:lnTo>
              <a:lnTo>
                <a:pt x="16" y="53"/>
              </a:lnTo>
              <a:lnTo>
                <a:pt x="9" y="44"/>
              </a:lnTo>
              <a:lnTo>
                <a:pt x="4" y="33"/>
              </a:lnTo>
              <a:lnTo>
                <a:pt x="0" y="23"/>
              </a:lnTo>
              <a:lnTo>
                <a:pt x="0" y="11"/>
              </a:lnTo>
              <a:lnTo>
                <a:pt x="3" y="0"/>
              </a:lnTo>
              <a:lnTo>
                <a:pt x="52" y="16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0</xdr:colOff>
      <xdr:row>20</xdr:row>
      <xdr:rowOff>133350</xdr:rowOff>
    </xdr:from>
    <xdr:to>
      <xdr:col>12</xdr:col>
      <xdr:colOff>28575</xdr:colOff>
      <xdr:row>21</xdr:row>
      <xdr:rowOff>9525</xdr:rowOff>
    </xdr:to>
    <xdr:sp macro="" textlink="">
      <xdr:nvSpPr>
        <xdr:cNvPr id="12180" name="Freeform 354">
          <a:extLst>
            <a:ext uri="{FF2B5EF4-FFF2-40B4-BE49-F238E27FC236}">
              <a16:creationId xmlns:a16="http://schemas.microsoft.com/office/drawing/2014/main" id="{00000000-0008-0000-0900-0000942F0000}"/>
            </a:ext>
          </a:extLst>
        </xdr:cNvPr>
        <xdr:cNvSpPr>
          <a:spLocks noChangeAspect="1"/>
        </xdr:cNvSpPr>
      </xdr:nvSpPr>
      <xdr:spPr bwMode="auto">
        <a:xfrm>
          <a:off x="6572250" y="3905250"/>
          <a:ext cx="28575" cy="38100"/>
        </a:xfrm>
        <a:custGeom>
          <a:avLst/>
          <a:gdLst>
            <a:gd name="T0" fmla="*/ 0 w 101"/>
            <a:gd name="T1" fmla="*/ 0 h 67"/>
            <a:gd name="T2" fmla="*/ 0 w 101"/>
            <a:gd name="T3" fmla="*/ 0 h 67"/>
            <a:gd name="T4" fmla="*/ 0 w 101"/>
            <a:gd name="T5" fmla="*/ 0 h 67"/>
            <a:gd name="T6" fmla="*/ 0 w 101"/>
            <a:gd name="T7" fmla="*/ 0 h 67"/>
            <a:gd name="T8" fmla="*/ 0 w 101"/>
            <a:gd name="T9" fmla="*/ 0 h 67"/>
            <a:gd name="T10" fmla="*/ 0 w 101"/>
            <a:gd name="T11" fmla="*/ 0 h 67"/>
            <a:gd name="T12" fmla="*/ 0 w 101"/>
            <a:gd name="T13" fmla="*/ 0 h 67"/>
            <a:gd name="T14" fmla="*/ 0 w 101"/>
            <a:gd name="T15" fmla="*/ 0 h 67"/>
            <a:gd name="T16" fmla="*/ 0 w 101"/>
            <a:gd name="T17" fmla="*/ 0 h 67"/>
            <a:gd name="T18" fmla="*/ 0 w 101"/>
            <a:gd name="T19" fmla="*/ 0 h 67"/>
            <a:gd name="T20" fmla="*/ 0 w 101"/>
            <a:gd name="T21" fmla="*/ 0 h 67"/>
            <a:gd name="T22" fmla="*/ 0 w 101"/>
            <a:gd name="T23" fmla="*/ 0 h 67"/>
            <a:gd name="T24" fmla="*/ 0 w 101"/>
            <a:gd name="T25" fmla="*/ 0 h 67"/>
            <a:gd name="T26" fmla="*/ 0 w 101"/>
            <a:gd name="T27" fmla="*/ 0 h 67"/>
            <a:gd name="T28" fmla="*/ 0 w 101"/>
            <a:gd name="T29" fmla="*/ 0 h 6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1"/>
            <a:gd name="T46" fmla="*/ 0 h 67"/>
            <a:gd name="T47" fmla="*/ 101 w 101"/>
            <a:gd name="T48" fmla="*/ 67 h 6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1" h="67">
              <a:moveTo>
                <a:pt x="101" y="31"/>
              </a:moveTo>
              <a:lnTo>
                <a:pt x="97" y="42"/>
              </a:lnTo>
              <a:lnTo>
                <a:pt x="90" y="51"/>
              </a:lnTo>
              <a:lnTo>
                <a:pt x="80" y="59"/>
              </a:lnTo>
              <a:lnTo>
                <a:pt x="70" y="64"/>
              </a:lnTo>
              <a:lnTo>
                <a:pt x="59" y="67"/>
              </a:lnTo>
              <a:lnTo>
                <a:pt x="48" y="67"/>
              </a:lnTo>
              <a:lnTo>
                <a:pt x="36" y="65"/>
              </a:lnTo>
              <a:lnTo>
                <a:pt x="26" y="61"/>
              </a:lnTo>
              <a:lnTo>
                <a:pt x="16" y="53"/>
              </a:lnTo>
              <a:lnTo>
                <a:pt x="9" y="44"/>
              </a:lnTo>
              <a:lnTo>
                <a:pt x="4" y="33"/>
              </a:lnTo>
              <a:lnTo>
                <a:pt x="0" y="23"/>
              </a:lnTo>
              <a:lnTo>
                <a:pt x="0" y="11"/>
              </a:lnTo>
              <a:lnTo>
                <a:pt x="3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20</xdr:row>
      <xdr:rowOff>104775</xdr:rowOff>
    </xdr:from>
    <xdr:to>
      <xdr:col>4</xdr:col>
      <xdr:colOff>114300</xdr:colOff>
      <xdr:row>21</xdr:row>
      <xdr:rowOff>9525</xdr:rowOff>
    </xdr:to>
    <xdr:sp macro="" textlink="">
      <xdr:nvSpPr>
        <xdr:cNvPr id="12181" name="Freeform 355">
          <a:extLst>
            <a:ext uri="{FF2B5EF4-FFF2-40B4-BE49-F238E27FC236}">
              <a16:creationId xmlns:a16="http://schemas.microsoft.com/office/drawing/2014/main" id="{00000000-0008-0000-0900-0000952F0000}"/>
            </a:ext>
          </a:extLst>
        </xdr:cNvPr>
        <xdr:cNvSpPr>
          <a:spLocks noChangeAspect="1"/>
        </xdr:cNvSpPr>
      </xdr:nvSpPr>
      <xdr:spPr bwMode="auto">
        <a:xfrm>
          <a:off x="2219325" y="3876675"/>
          <a:ext cx="28575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3"/>
              </a:moveTo>
              <a:lnTo>
                <a:pt x="52" y="104"/>
              </a:ln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20</xdr:row>
      <xdr:rowOff>104775</xdr:rowOff>
    </xdr:from>
    <xdr:to>
      <xdr:col>4</xdr:col>
      <xdr:colOff>114300</xdr:colOff>
      <xdr:row>21</xdr:row>
      <xdr:rowOff>9525</xdr:rowOff>
    </xdr:to>
    <xdr:sp macro="" textlink="">
      <xdr:nvSpPr>
        <xdr:cNvPr id="12182" name="Freeform 356">
          <a:extLst>
            <a:ext uri="{FF2B5EF4-FFF2-40B4-BE49-F238E27FC236}">
              <a16:creationId xmlns:a16="http://schemas.microsoft.com/office/drawing/2014/main" id="{00000000-0008-0000-0900-0000962F0000}"/>
            </a:ext>
          </a:extLst>
        </xdr:cNvPr>
        <xdr:cNvSpPr>
          <a:spLocks noChangeAspect="1"/>
        </xdr:cNvSpPr>
      </xdr:nvSpPr>
      <xdr:spPr bwMode="auto">
        <a:xfrm>
          <a:off x="2219325" y="3876675"/>
          <a:ext cx="28575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104775</xdr:colOff>
      <xdr:row>20</xdr:row>
      <xdr:rowOff>104775</xdr:rowOff>
    </xdr:from>
    <xdr:to>
      <xdr:col>12</xdr:col>
      <xdr:colOff>9525</xdr:colOff>
      <xdr:row>21</xdr:row>
      <xdr:rowOff>9525</xdr:rowOff>
    </xdr:to>
    <xdr:sp macro="" textlink="">
      <xdr:nvSpPr>
        <xdr:cNvPr id="12183" name="Freeform 357">
          <a:extLst>
            <a:ext uri="{FF2B5EF4-FFF2-40B4-BE49-F238E27FC236}">
              <a16:creationId xmlns:a16="http://schemas.microsoft.com/office/drawing/2014/main" id="{00000000-0008-0000-0900-0000972F0000}"/>
            </a:ext>
          </a:extLst>
        </xdr:cNvPr>
        <xdr:cNvSpPr>
          <a:spLocks noChangeAspect="1"/>
        </xdr:cNvSpPr>
      </xdr:nvSpPr>
      <xdr:spPr bwMode="auto">
        <a:xfrm>
          <a:off x="2238375" y="3876675"/>
          <a:ext cx="4343400" cy="66675"/>
        </a:xfrm>
        <a:custGeom>
          <a:avLst/>
          <a:gdLst>
            <a:gd name="T0" fmla="*/ 0 w 9371"/>
            <a:gd name="T1" fmla="*/ 0 h 104"/>
            <a:gd name="T2" fmla="*/ 0 w 9371"/>
            <a:gd name="T3" fmla="*/ 0 h 104"/>
            <a:gd name="T4" fmla="*/ 0 w 9371"/>
            <a:gd name="T5" fmla="*/ 0 h 104"/>
            <a:gd name="T6" fmla="*/ 2147483647 w 9371"/>
            <a:gd name="T7" fmla="*/ 0 h 104"/>
            <a:gd name="T8" fmla="*/ 2147483647 w 9371"/>
            <a:gd name="T9" fmla="*/ 0 h 104"/>
            <a:gd name="T10" fmla="*/ 2147483647 w 9371"/>
            <a:gd name="T11" fmla="*/ 0 h 104"/>
            <a:gd name="T12" fmla="*/ 0 w 9371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371"/>
            <a:gd name="T22" fmla="*/ 0 h 104"/>
            <a:gd name="T23" fmla="*/ 9371 w 9371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371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371" y="104"/>
              </a:lnTo>
              <a:lnTo>
                <a:pt x="9371" y="53"/>
              </a:lnTo>
              <a:lnTo>
                <a:pt x="9371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104775</xdr:colOff>
      <xdr:row>20</xdr:row>
      <xdr:rowOff>104775</xdr:rowOff>
    </xdr:from>
    <xdr:to>
      <xdr:col>12</xdr:col>
      <xdr:colOff>9525</xdr:colOff>
      <xdr:row>21</xdr:row>
      <xdr:rowOff>9525</xdr:rowOff>
    </xdr:to>
    <xdr:sp macro="" textlink="">
      <xdr:nvSpPr>
        <xdr:cNvPr id="12184" name="Freeform 358">
          <a:extLst>
            <a:ext uri="{FF2B5EF4-FFF2-40B4-BE49-F238E27FC236}">
              <a16:creationId xmlns:a16="http://schemas.microsoft.com/office/drawing/2014/main" id="{00000000-0008-0000-0900-0000982F0000}"/>
            </a:ext>
          </a:extLst>
        </xdr:cNvPr>
        <xdr:cNvSpPr>
          <a:spLocks noChangeAspect="1"/>
        </xdr:cNvSpPr>
      </xdr:nvSpPr>
      <xdr:spPr bwMode="auto">
        <a:xfrm>
          <a:off x="2238375" y="3876675"/>
          <a:ext cx="4343400" cy="66675"/>
        </a:xfrm>
        <a:custGeom>
          <a:avLst/>
          <a:gdLst>
            <a:gd name="T0" fmla="*/ 0 w 9371"/>
            <a:gd name="T1" fmla="*/ 0 h 104"/>
            <a:gd name="T2" fmla="*/ 0 w 9371"/>
            <a:gd name="T3" fmla="*/ 0 h 104"/>
            <a:gd name="T4" fmla="*/ 0 w 9371"/>
            <a:gd name="T5" fmla="*/ 0 h 104"/>
            <a:gd name="T6" fmla="*/ 2147483647 w 9371"/>
            <a:gd name="T7" fmla="*/ 0 h 104"/>
            <a:gd name="T8" fmla="*/ 2147483647 w 9371"/>
            <a:gd name="T9" fmla="*/ 0 h 104"/>
            <a:gd name="T10" fmla="*/ 2147483647 w 9371"/>
            <a:gd name="T11" fmla="*/ 0 h 104"/>
            <a:gd name="T12" fmla="*/ 0 w 9371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371"/>
            <a:gd name="T22" fmla="*/ 0 h 104"/>
            <a:gd name="T23" fmla="*/ 9371 w 9371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371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371" y="104"/>
              </a:lnTo>
              <a:lnTo>
                <a:pt x="9371" y="53"/>
              </a:lnTo>
              <a:lnTo>
                <a:pt x="9371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20</xdr:row>
      <xdr:rowOff>104775</xdr:rowOff>
    </xdr:from>
    <xdr:to>
      <xdr:col>12</xdr:col>
      <xdr:colOff>47625</xdr:colOff>
      <xdr:row>21</xdr:row>
      <xdr:rowOff>9525</xdr:rowOff>
    </xdr:to>
    <xdr:sp macro="" textlink="">
      <xdr:nvSpPr>
        <xdr:cNvPr id="12185" name="Freeform 359">
          <a:extLst>
            <a:ext uri="{FF2B5EF4-FFF2-40B4-BE49-F238E27FC236}">
              <a16:creationId xmlns:a16="http://schemas.microsoft.com/office/drawing/2014/main" id="{00000000-0008-0000-0900-0000992F0000}"/>
            </a:ext>
          </a:extLst>
        </xdr:cNvPr>
        <xdr:cNvSpPr>
          <a:spLocks noChangeAspect="1"/>
        </xdr:cNvSpPr>
      </xdr:nvSpPr>
      <xdr:spPr bwMode="auto">
        <a:xfrm>
          <a:off x="6600825" y="3876675"/>
          <a:ext cx="19050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3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20</xdr:row>
      <xdr:rowOff>104775</xdr:rowOff>
    </xdr:from>
    <xdr:to>
      <xdr:col>12</xdr:col>
      <xdr:colOff>47625</xdr:colOff>
      <xdr:row>21</xdr:row>
      <xdr:rowOff>9525</xdr:rowOff>
    </xdr:to>
    <xdr:sp macro="" textlink="">
      <xdr:nvSpPr>
        <xdr:cNvPr id="12186" name="Freeform 360">
          <a:extLst>
            <a:ext uri="{FF2B5EF4-FFF2-40B4-BE49-F238E27FC236}">
              <a16:creationId xmlns:a16="http://schemas.microsoft.com/office/drawing/2014/main" id="{00000000-0008-0000-0900-00009A2F0000}"/>
            </a:ext>
          </a:extLst>
        </xdr:cNvPr>
        <xdr:cNvSpPr>
          <a:spLocks noChangeAspect="1"/>
        </xdr:cNvSpPr>
      </xdr:nvSpPr>
      <xdr:spPr bwMode="auto">
        <a:xfrm>
          <a:off x="6600825" y="3876675"/>
          <a:ext cx="19050" cy="666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95250</xdr:colOff>
      <xdr:row>42</xdr:row>
      <xdr:rowOff>76200</xdr:rowOff>
    </xdr:from>
    <xdr:to>
      <xdr:col>4</xdr:col>
      <xdr:colOff>123825</xdr:colOff>
      <xdr:row>42</xdr:row>
      <xdr:rowOff>123825</xdr:rowOff>
    </xdr:to>
    <xdr:sp macro="" textlink="">
      <xdr:nvSpPr>
        <xdr:cNvPr id="12187" name="Freeform 361">
          <a:extLst>
            <a:ext uri="{FF2B5EF4-FFF2-40B4-BE49-F238E27FC236}">
              <a16:creationId xmlns:a16="http://schemas.microsoft.com/office/drawing/2014/main" id="{00000000-0008-0000-0900-00009B2F0000}"/>
            </a:ext>
          </a:extLst>
        </xdr:cNvPr>
        <xdr:cNvSpPr>
          <a:spLocks noChangeAspect="1"/>
        </xdr:cNvSpPr>
      </xdr:nvSpPr>
      <xdr:spPr bwMode="auto">
        <a:xfrm>
          <a:off x="2228850" y="7410450"/>
          <a:ext cx="2857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2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2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3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95250</xdr:colOff>
      <xdr:row>42</xdr:row>
      <xdr:rowOff>76200</xdr:rowOff>
    </xdr:from>
    <xdr:to>
      <xdr:col>4</xdr:col>
      <xdr:colOff>123825</xdr:colOff>
      <xdr:row>42</xdr:row>
      <xdr:rowOff>123825</xdr:rowOff>
    </xdr:to>
    <xdr:sp macro="" textlink="">
      <xdr:nvSpPr>
        <xdr:cNvPr id="12188" name="Freeform 362">
          <a:extLst>
            <a:ext uri="{FF2B5EF4-FFF2-40B4-BE49-F238E27FC236}">
              <a16:creationId xmlns:a16="http://schemas.microsoft.com/office/drawing/2014/main" id="{00000000-0008-0000-0900-00009C2F0000}"/>
            </a:ext>
          </a:extLst>
        </xdr:cNvPr>
        <xdr:cNvSpPr>
          <a:spLocks noChangeAspect="1"/>
        </xdr:cNvSpPr>
      </xdr:nvSpPr>
      <xdr:spPr bwMode="auto">
        <a:xfrm>
          <a:off x="2228850" y="7410450"/>
          <a:ext cx="2857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2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3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419100</xdr:colOff>
      <xdr:row>42</xdr:row>
      <xdr:rowOff>76200</xdr:rowOff>
    </xdr:from>
    <xdr:to>
      <xdr:col>3</xdr:col>
      <xdr:colOff>266700</xdr:colOff>
      <xdr:row>42</xdr:row>
      <xdr:rowOff>114300</xdr:rowOff>
    </xdr:to>
    <xdr:sp macro="" textlink="">
      <xdr:nvSpPr>
        <xdr:cNvPr id="12189" name="Freeform 363">
          <a:extLst>
            <a:ext uri="{FF2B5EF4-FFF2-40B4-BE49-F238E27FC236}">
              <a16:creationId xmlns:a16="http://schemas.microsoft.com/office/drawing/2014/main" id="{00000000-0008-0000-0900-00009D2F0000}"/>
            </a:ext>
          </a:extLst>
        </xdr:cNvPr>
        <xdr:cNvSpPr>
          <a:spLocks noChangeAspect="1"/>
        </xdr:cNvSpPr>
      </xdr:nvSpPr>
      <xdr:spPr bwMode="auto">
        <a:xfrm>
          <a:off x="1485900" y="7410450"/>
          <a:ext cx="381000" cy="38100"/>
        </a:xfrm>
        <a:custGeom>
          <a:avLst/>
          <a:gdLst>
            <a:gd name="T0" fmla="*/ 2147483647 w 793"/>
            <a:gd name="T1" fmla="*/ 0 h 104"/>
            <a:gd name="T2" fmla="*/ 2147483647 w 793"/>
            <a:gd name="T3" fmla="*/ 0 h 104"/>
            <a:gd name="T4" fmla="*/ 2147483647 w 793"/>
            <a:gd name="T5" fmla="*/ 0 h 104"/>
            <a:gd name="T6" fmla="*/ 0 w 793"/>
            <a:gd name="T7" fmla="*/ 0 h 104"/>
            <a:gd name="T8" fmla="*/ 0 w 793"/>
            <a:gd name="T9" fmla="*/ 0 h 104"/>
            <a:gd name="T10" fmla="*/ 0 w 793"/>
            <a:gd name="T11" fmla="*/ 0 h 104"/>
            <a:gd name="T12" fmla="*/ 2147483647 w 793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93"/>
            <a:gd name="T22" fmla="*/ 0 h 104"/>
            <a:gd name="T23" fmla="*/ 793 w 793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93" h="104">
              <a:moveTo>
                <a:pt x="793" y="104"/>
              </a:moveTo>
              <a:lnTo>
                <a:pt x="793" y="52"/>
              </a:lnTo>
              <a:lnTo>
                <a:pt x="793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793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419100</xdr:colOff>
      <xdr:row>42</xdr:row>
      <xdr:rowOff>76200</xdr:rowOff>
    </xdr:from>
    <xdr:to>
      <xdr:col>3</xdr:col>
      <xdr:colOff>266700</xdr:colOff>
      <xdr:row>42</xdr:row>
      <xdr:rowOff>114300</xdr:rowOff>
    </xdr:to>
    <xdr:sp macro="" textlink="">
      <xdr:nvSpPr>
        <xdr:cNvPr id="12190" name="Freeform 364">
          <a:extLst>
            <a:ext uri="{FF2B5EF4-FFF2-40B4-BE49-F238E27FC236}">
              <a16:creationId xmlns:a16="http://schemas.microsoft.com/office/drawing/2014/main" id="{00000000-0008-0000-0900-00009E2F0000}"/>
            </a:ext>
          </a:extLst>
        </xdr:cNvPr>
        <xdr:cNvSpPr>
          <a:spLocks noChangeAspect="1"/>
        </xdr:cNvSpPr>
      </xdr:nvSpPr>
      <xdr:spPr bwMode="auto">
        <a:xfrm>
          <a:off x="1485900" y="7410450"/>
          <a:ext cx="381000" cy="38100"/>
        </a:xfrm>
        <a:custGeom>
          <a:avLst/>
          <a:gdLst>
            <a:gd name="T0" fmla="*/ 2147483647 w 793"/>
            <a:gd name="T1" fmla="*/ 0 h 104"/>
            <a:gd name="T2" fmla="*/ 2147483647 w 793"/>
            <a:gd name="T3" fmla="*/ 0 h 104"/>
            <a:gd name="T4" fmla="*/ 2147483647 w 793"/>
            <a:gd name="T5" fmla="*/ 0 h 104"/>
            <a:gd name="T6" fmla="*/ 0 w 793"/>
            <a:gd name="T7" fmla="*/ 0 h 104"/>
            <a:gd name="T8" fmla="*/ 0 w 793"/>
            <a:gd name="T9" fmla="*/ 0 h 104"/>
            <a:gd name="T10" fmla="*/ 0 w 793"/>
            <a:gd name="T11" fmla="*/ 0 h 104"/>
            <a:gd name="T12" fmla="*/ 2147483647 w 793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93"/>
            <a:gd name="T22" fmla="*/ 0 h 104"/>
            <a:gd name="T23" fmla="*/ 793 w 793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93" h="104">
              <a:moveTo>
                <a:pt x="793" y="104"/>
              </a:moveTo>
              <a:lnTo>
                <a:pt x="793" y="52"/>
              </a:lnTo>
              <a:lnTo>
                <a:pt x="793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793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42</xdr:row>
      <xdr:rowOff>76200</xdr:rowOff>
    </xdr:from>
    <xdr:to>
      <xdr:col>2</xdr:col>
      <xdr:colOff>419100</xdr:colOff>
      <xdr:row>42</xdr:row>
      <xdr:rowOff>123825</xdr:rowOff>
    </xdr:to>
    <xdr:sp macro="" textlink="">
      <xdr:nvSpPr>
        <xdr:cNvPr id="12191" name="Freeform 365">
          <a:extLst>
            <a:ext uri="{FF2B5EF4-FFF2-40B4-BE49-F238E27FC236}">
              <a16:creationId xmlns:a16="http://schemas.microsoft.com/office/drawing/2014/main" id="{00000000-0008-0000-0900-00009F2F0000}"/>
            </a:ext>
          </a:extLst>
        </xdr:cNvPr>
        <xdr:cNvSpPr>
          <a:spLocks noChangeAspect="1"/>
        </xdr:cNvSpPr>
      </xdr:nvSpPr>
      <xdr:spPr bwMode="auto">
        <a:xfrm>
          <a:off x="1457325" y="7410450"/>
          <a:ext cx="2857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2"/>
              </a:moveTo>
              <a:lnTo>
                <a:pt x="52" y="104"/>
              </a:lnTo>
              <a:lnTo>
                <a:pt x="40" y="103"/>
              </a:lnTo>
              <a:lnTo>
                <a:pt x="30" y="100"/>
              </a:lnTo>
              <a:lnTo>
                <a:pt x="19" y="93"/>
              </a:lnTo>
              <a:lnTo>
                <a:pt x="11" y="85"/>
              </a:lnTo>
              <a:lnTo>
                <a:pt x="5" y="75"/>
              </a:lnTo>
              <a:lnTo>
                <a:pt x="2" y="64"/>
              </a:lnTo>
              <a:lnTo>
                <a:pt x="0" y="52"/>
              </a:ln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390525</xdr:colOff>
      <xdr:row>42</xdr:row>
      <xdr:rowOff>76200</xdr:rowOff>
    </xdr:from>
    <xdr:to>
      <xdr:col>2</xdr:col>
      <xdr:colOff>419100</xdr:colOff>
      <xdr:row>42</xdr:row>
      <xdr:rowOff>123825</xdr:rowOff>
    </xdr:to>
    <xdr:sp macro="" textlink="">
      <xdr:nvSpPr>
        <xdr:cNvPr id="12192" name="Freeform 366">
          <a:extLst>
            <a:ext uri="{FF2B5EF4-FFF2-40B4-BE49-F238E27FC236}">
              <a16:creationId xmlns:a16="http://schemas.microsoft.com/office/drawing/2014/main" id="{00000000-0008-0000-0900-0000A02F0000}"/>
            </a:ext>
          </a:extLst>
        </xdr:cNvPr>
        <xdr:cNvSpPr>
          <a:spLocks noChangeAspect="1"/>
        </xdr:cNvSpPr>
      </xdr:nvSpPr>
      <xdr:spPr bwMode="auto">
        <a:xfrm>
          <a:off x="1457325" y="7410450"/>
          <a:ext cx="2857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100"/>
              </a:lnTo>
              <a:lnTo>
                <a:pt x="19" y="93"/>
              </a:lnTo>
              <a:lnTo>
                <a:pt x="11" y="85"/>
              </a:lnTo>
              <a:lnTo>
                <a:pt x="5" y="75"/>
              </a:lnTo>
              <a:lnTo>
                <a:pt x="2" y="64"/>
              </a:lnTo>
              <a:lnTo>
                <a:pt x="0" y="52"/>
              </a:ln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371475</xdr:colOff>
      <xdr:row>42</xdr:row>
      <xdr:rowOff>76200</xdr:rowOff>
    </xdr:from>
    <xdr:to>
      <xdr:col>17</xdr:col>
      <xdr:colOff>9525</xdr:colOff>
      <xdr:row>42</xdr:row>
      <xdr:rowOff>95250</xdr:rowOff>
    </xdr:to>
    <xdr:sp macro="" textlink="">
      <xdr:nvSpPr>
        <xdr:cNvPr id="12193" name="Freeform 367">
          <a:extLst>
            <a:ext uri="{FF2B5EF4-FFF2-40B4-BE49-F238E27FC236}">
              <a16:creationId xmlns:a16="http://schemas.microsoft.com/office/drawing/2014/main" id="{00000000-0008-0000-0900-0000A12F0000}"/>
            </a:ext>
          </a:extLst>
        </xdr:cNvPr>
        <xdr:cNvSpPr>
          <a:spLocks noChangeAspect="1"/>
        </xdr:cNvSpPr>
      </xdr:nvSpPr>
      <xdr:spPr bwMode="auto">
        <a:xfrm>
          <a:off x="9077325" y="7410450"/>
          <a:ext cx="114300" cy="19050"/>
        </a:xfrm>
        <a:custGeom>
          <a:avLst/>
          <a:gdLst>
            <a:gd name="T0" fmla="*/ 0 w 102"/>
            <a:gd name="T1" fmla="*/ 0 h 57"/>
            <a:gd name="T2" fmla="*/ 0 w 102"/>
            <a:gd name="T3" fmla="*/ 0 h 57"/>
            <a:gd name="T4" fmla="*/ 0 w 102"/>
            <a:gd name="T5" fmla="*/ 0 h 57"/>
            <a:gd name="T6" fmla="*/ 0 w 102"/>
            <a:gd name="T7" fmla="*/ 0 h 57"/>
            <a:gd name="T8" fmla="*/ 0 w 102"/>
            <a:gd name="T9" fmla="*/ 0 h 57"/>
            <a:gd name="T10" fmla="*/ 0 w 102"/>
            <a:gd name="T11" fmla="*/ 0 h 57"/>
            <a:gd name="T12" fmla="*/ 0 w 102"/>
            <a:gd name="T13" fmla="*/ 0 h 57"/>
            <a:gd name="T14" fmla="*/ 0 w 102"/>
            <a:gd name="T15" fmla="*/ 0 h 57"/>
            <a:gd name="T16" fmla="*/ 0 w 102"/>
            <a:gd name="T17" fmla="*/ 0 h 57"/>
            <a:gd name="T18" fmla="*/ 0 w 102"/>
            <a:gd name="T19" fmla="*/ 0 h 57"/>
            <a:gd name="T20" fmla="*/ 0 w 102"/>
            <a:gd name="T21" fmla="*/ 0 h 57"/>
            <a:gd name="T22" fmla="*/ 0 w 102"/>
            <a:gd name="T23" fmla="*/ 0 h 57"/>
            <a:gd name="T24" fmla="*/ 0 w 102"/>
            <a:gd name="T25" fmla="*/ 0 h 57"/>
            <a:gd name="T26" fmla="*/ 0 w 102"/>
            <a:gd name="T27" fmla="*/ 0 h 57"/>
            <a:gd name="T28" fmla="*/ 0 w 102"/>
            <a:gd name="T29" fmla="*/ 0 h 57"/>
            <a:gd name="T30" fmla="*/ 0 w 102"/>
            <a:gd name="T31" fmla="*/ 0 h 57"/>
            <a:gd name="T32" fmla="*/ 0 w 102"/>
            <a:gd name="T33" fmla="*/ 0 h 57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2"/>
            <a:gd name="T52" fmla="*/ 0 h 57"/>
            <a:gd name="T53" fmla="*/ 102 w 102"/>
            <a:gd name="T54" fmla="*/ 57 h 57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2" h="57">
              <a:moveTo>
                <a:pt x="51" y="51"/>
              </a:moveTo>
              <a:lnTo>
                <a:pt x="0" y="46"/>
              </a:lnTo>
              <a:lnTo>
                <a:pt x="2" y="36"/>
              </a:lnTo>
              <a:lnTo>
                <a:pt x="7" y="24"/>
              </a:lnTo>
              <a:lnTo>
                <a:pt x="13" y="16"/>
              </a:lnTo>
              <a:lnTo>
                <a:pt x="23" y="8"/>
              </a:lnTo>
              <a:lnTo>
                <a:pt x="33" y="3"/>
              </a:lnTo>
              <a:lnTo>
                <a:pt x="44" y="0"/>
              </a:lnTo>
              <a:lnTo>
                <a:pt x="56" y="0"/>
              </a:lnTo>
              <a:lnTo>
                <a:pt x="67" y="2"/>
              </a:lnTo>
              <a:lnTo>
                <a:pt x="78" y="7"/>
              </a:lnTo>
              <a:lnTo>
                <a:pt x="87" y="14"/>
              </a:lnTo>
              <a:lnTo>
                <a:pt x="94" y="23"/>
              </a:lnTo>
              <a:lnTo>
                <a:pt x="99" y="34"/>
              </a:lnTo>
              <a:lnTo>
                <a:pt x="102" y="44"/>
              </a:lnTo>
              <a:lnTo>
                <a:pt x="102" y="57"/>
              </a:lnTo>
              <a:lnTo>
                <a:pt x="51" y="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371475</xdr:colOff>
      <xdr:row>42</xdr:row>
      <xdr:rowOff>76200</xdr:rowOff>
    </xdr:from>
    <xdr:to>
      <xdr:col>17</xdr:col>
      <xdr:colOff>9525</xdr:colOff>
      <xdr:row>42</xdr:row>
      <xdr:rowOff>95250</xdr:rowOff>
    </xdr:to>
    <xdr:sp macro="" textlink="">
      <xdr:nvSpPr>
        <xdr:cNvPr id="12194" name="Freeform 368">
          <a:extLst>
            <a:ext uri="{FF2B5EF4-FFF2-40B4-BE49-F238E27FC236}">
              <a16:creationId xmlns:a16="http://schemas.microsoft.com/office/drawing/2014/main" id="{00000000-0008-0000-0900-0000A22F0000}"/>
            </a:ext>
          </a:extLst>
        </xdr:cNvPr>
        <xdr:cNvSpPr>
          <a:spLocks noChangeAspect="1"/>
        </xdr:cNvSpPr>
      </xdr:nvSpPr>
      <xdr:spPr bwMode="auto">
        <a:xfrm>
          <a:off x="9077325" y="7410450"/>
          <a:ext cx="114300" cy="19050"/>
        </a:xfrm>
        <a:custGeom>
          <a:avLst/>
          <a:gdLst>
            <a:gd name="T0" fmla="*/ 0 w 102"/>
            <a:gd name="T1" fmla="*/ 0 h 57"/>
            <a:gd name="T2" fmla="*/ 0 w 102"/>
            <a:gd name="T3" fmla="*/ 0 h 57"/>
            <a:gd name="T4" fmla="*/ 0 w 102"/>
            <a:gd name="T5" fmla="*/ 0 h 57"/>
            <a:gd name="T6" fmla="*/ 0 w 102"/>
            <a:gd name="T7" fmla="*/ 0 h 57"/>
            <a:gd name="T8" fmla="*/ 0 w 102"/>
            <a:gd name="T9" fmla="*/ 0 h 57"/>
            <a:gd name="T10" fmla="*/ 0 w 102"/>
            <a:gd name="T11" fmla="*/ 0 h 57"/>
            <a:gd name="T12" fmla="*/ 0 w 102"/>
            <a:gd name="T13" fmla="*/ 0 h 57"/>
            <a:gd name="T14" fmla="*/ 0 w 102"/>
            <a:gd name="T15" fmla="*/ 0 h 57"/>
            <a:gd name="T16" fmla="*/ 0 w 102"/>
            <a:gd name="T17" fmla="*/ 0 h 57"/>
            <a:gd name="T18" fmla="*/ 0 w 102"/>
            <a:gd name="T19" fmla="*/ 0 h 57"/>
            <a:gd name="T20" fmla="*/ 0 w 102"/>
            <a:gd name="T21" fmla="*/ 0 h 57"/>
            <a:gd name="T22" fmla="*/ 0 w 102"/>
            <a:gd name="T23" fmla="*/ 0 h 57"/>
            <a:gd name="T24" fmla="*/ 0 w 102"/>
            <a:gd name="T25" fmla="*/ 0 h 57"/>
            <a:gd name="T26" fmla="*/ 0 w 102"/>
            <a:gd name="T27" fmla="*/ 0 h 57"/>
            <a:gd name="T28" fmla="*/ 0 w 102"/>
            <a:gd name="T29" fmla="*/ 0 h 5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2"/>
            <a:gd name="T46" fmla="*/ 0 h 57"/>
            <a:gd name="T47" fmla="*/ 102 w 102"/>
            <a:gd name="T48" fmla="*/ 57 h 5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2" h="57">
              <a:moveTo>
                <a:pt x="0" y="46"/>
              </a:moveTo>
              <a:lnTo>
                <a:pt x="2" y="36"/>
              </a:lnTo>
              <a:lnTo>
                <a:pt x="7" y="24"/>
              </a:lnTo>
              <a:lnTo>
                <a:pt x="13" y="16"/>
              </a:lnTo>
              <a:lnTo>
                <a:pt x="23" y="8"/>
              </a:lnTo>
              <a:lnTo>
                <a:pt x="33" y="3"/>
              </a:lnTo>
              <a:lnTo>
                <a:pt x="44" y="0"/>
              </a:lnTo>
              <a:lnTo>
                <a:pt x="56" y="0"/>
              </a:lnTo>
              <a:lnTo>
                <a:pt x="67" y="2"/>
              </a:lnTo>
              <a:lnTo>
                <a:pt x="78" y="7"/>
              </a:lnTo>
              <a:lnTo>
                <a:pt x="87" y="14"/>
              </a:lnTo>
              <a:lnTo>
                <a:pt x="94" y="23"/>
              </a:lnTo>
              <a:lnTo>
                <a:pt x="99" y="34"/>
              </a:lnTo>
              <a:lnTo>
                <a:pt x="102" y="44"/>
              </a:lnTo>
              <a:lnTo>
                <a:pt x="102" y="57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352425</xdr:colOff>
      <xdr:row>42</xdr:row>
      <xdr:rowOff>95250</xdr:rowOff>
    </xdr:from>
    <xdr:to>
      <xdr:col>17</xdr:col>
      <xdr:colOff>28575</xdr:colOff>
      <xdr:row>44</xdr:row>
      <xdr:rowOff>142875</xdr:rowOff>
    </xdr:to>
    <xdr:sp macro="" textlink="">
      <xdr:nvSpPr>
        <xdr:cNvPr id="12195" name="Freeform 369">
          <a:extLst>
            <a:ext uri="{FF2B5EF4-FFF2-40B4-BE49-F238E27FC236}">
              <a16:creationId xmlns:a16="http://schemas.microsoft.com/office/drawing/2014/main" id="{00000000-0008-0000-0900-0000A32F0000}"/>
            </a:ext>
          </a:extLst>
        </xdr:cNvPr>
        <xdr:cNvSpPr>
          <a:spLocks noChangeAspect="1"/>
        </xdr:cNvSpPr>
      </xdr:nvSpPr>
      <xdr:spPr bwMode="auto">
        <a:xfrm>
          <a:off x="9058275" y="7429500"/>
          <a:ext cx="152400" cy="371475"/>
        </a:xfrm>
        <a:custGeom>
          <a:avLst/>
          <a:gdLst>
            <a:gd name="T0" fmla="*/ 0 w 176"/>
            <a:gd name="T1" fmla="*/ 0 h 803"/>
            <a:gd name="T2" fmla="*/ 0 w 176"/>
            <a:gd name="T3" fmla="*/ 0 h 803"/>
            <a:gd name="T4" fmla="*/ 0 w 176"/>
            <a:gd name="T5" fmla="*/ 0 h 803"/>
            <a:gd name="T6" fmla="*/ 0 w 176"/>
            <a:gd name="T7" fmla="*/ 2147483647 h 803"/>
            <a:gd name="T8" fmla="*/ 0 w 176"/>
            <a:gd name="T9" fmla="*/ 2147483647 h 803"/>
            <a:gd name="T10" fmla="*/ 0 w 176"/>
            <a:gd name="T11" fmla="*/ 2147483647 h 803"/>
            <a:gd name="T12" fmla="*/ 0 w 176"/>
            <a:gd name="T13" fmla="*/ 0 h 80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76"/>
            <a:gd name="T22" fmla="*/ 0 h 803"/>
            <a:gd name="T23" fmla="*/ 176 w 176"/>
            <a:gd name="T24" fmla="*/ 803 h 80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76" h="803">
              <a:moveTo>
                <a:pt x="176" y="11"/>
              </a:moveTo>
              <a:lnTo>
                <a:pt x="125" y="5"/>
              </a:lnTo>
              <a:lnTo>
                <a:pt x="74" y="0"/>
              </a:lnTo>
              <a:lnTo>
                <a:pt x="0" y="793"/>
              </a:lnTo>
              <a:lnTo>
                <a:pt x="51" y="798"/>
              </a:lnTo>
              <a:lnTo>
                <a:pt x="103" y="803"/>
              </a:lnTo>
              <a:lnTo>
                <a:pt x="176" y="1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352425</xdr:colOff>
      <xdr:row>42</xdr:row>
      <xdr:rowOff>95250</xdr:rowOff>
    </xdr:from>
    <xdr:to>
      <xdr:col>17</xdr:col>
      <xdr:colOff>28575</xdr:colOff>
      <xdr:row>44</xdr:row>
      <xdr:rowOff>142875</xdr:rowOff>
    </xdr:to>
    <xdr:sp macro="" textlink="">
      <xdr:nvSpPr>
        <xdr:cNvPr id="12196" name="Freeform 370">
          <a:extLst>
            <a:ext uri="{FF2B5EF4-FFF2-40B4-BE49-F238E27FC236}">
              <a16:creationId xmlns:a16="http://schemas.microsoft.com/office/drawing/2014/main" id="{00000000-0008-0000-0900-0000A42F0000}"/>
            </a:ext>
          </a:extLst>
        </xdr:cNvPr>
        <xdr:cNvSpPr>
          <a:spLocks noChangeAspect="1"/>
        </xdr:cNvSpPr>
      </xdr:nvSpPr>
      <xdr:spPr bwMode="auto">
        <a:xfrm>
          <a:off x="9058275" y="7429500"/>
          <a:ext cx="152400" cy="371475"/>
        </a:xfrm>
        <a:custGeom>
          <a:avLst/>
          <a:gdLst>
            <a:gd name="T0" fmla="*/ 0 w 176"/>
            <a:gd name="T1" fmla="*/ 0 h 803"/>
            <a:gd name="T2" fmla="*/ 0 w 176"/>
            <a:gd name="T3" fmla="*/ 0 h 803"/>
            <a:gd name="T4" fmla="*/ 0 w 176"/>
            <a:gd name="T5" fmla="*/ 0 h 803"/>
            <a:gd name="T6" fmla="*/ 0 w 176"/>
            <a:gd name="T7" fmla="*/ 2147483647 h 803"/>
            <a:gd name="T8" fmla="*/ 0 w 176"/>
            <a:gd name="T9" fmla="*/ 2147483647 h 803"/>
            <a:gd name="T10" fmla="*/ 0 w 176"/>
            <a:gd name="T11" fmla="*/ 2147483647 h 803"/>
            <a:gd name="T12" fmla="*/ 0 w 176"/>
            <a:gd name="T13" fmla="*/ 0 h 80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76"/>
            <a:gd name="T22" fmla="*/ 0 h 803"/>
            <a:gd name="T23" fmla="*/ 176 w 176"/>
            <a:gd name="T24" fmla="*/ 803 h 80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76" h="803">
              <a:moveTo>
                <a:pt x="176" y="11"/>
              </a:moveTo>
              <a:lnTo>
                <a:pt x="125" y="5"/>
              </a:lnTo>
              <a:lnTo>
                <a:pt x="74" y="0"/>
              </a:lnTo>
              <a:lnTo>
                <a:pt x="0" y="793"/>
              </a:lnTo>
              <a:lnTo>
                <a:pt x="51" y="798"/>
              </a:lnTo>
              <a:lnTo>
                <a:pt x="103" y="803"/>
              </a:lnTo>
              <a:lnTo>
                <a:pt x="176" y="1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42</xdr:row>
      <xdr:rowOff>76200</xdr:rowOff>
    </xdr:from>
    <xdr:to>
      <xdr:col>4</xdr:col>
      <xdr:colOff>133350</xdr:colOff>
      <xdr:row>42</xdr:row>
      <xdr:rowOff>95250</xdr:rowOff>
    </xdr:to>
    <xdr:sp macro="" textlink="">
      <xdr:nvSpPr>
        <xdr:cNvPr id="12197" name="Freeform 373">
          <a:extLst>
            <a:ext uri="{FF2B5EF4-FFF2-40B4-BE49-F238E27FC236}">
              <a16:creationId xmlns:a16="http://schemas.microsoft.com/office/drawing/2014/main" id="{00000000-0008-0000-0900-0000A52F0000}"/>
            </a:ext>
          </a:extLst>
        </xdr:cNvPr>
        <xdr:cNvSpPr>
          <a:spLocks noChangeAspect="1"/>
        </xdr:cNvSpPr>
      </xdr:nvSpPr>
      <xdr:spPr bwMode="auto">
        <a:xfrm>
          <a:off x="2219325" y="7410450"/>
          <a:ext cx="47625" cy="19050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52"/>
              </a:move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42</xdr:row>
      <xdr:rowOff>76200</xdr:rowOff>
    </xdr:from>
    <xdr:to>
      <xdr:col>4</xdr:col>
      <xdr:colOff>133350</xdr:colOff>
      <xdr:row>42</xdr:row>
      <xdr:rowOff>95250</xdr:rowOff>
    </xdr:to>
    <xdr:sp macro="" textlink="">
      <xdr:nvSpPr>
        <xdr:cNvPr id="12198" name="Freeform 374">
          <a:extLst>
            <a:ext uri="{FF2B5EF4-FFF2-40B4-BE49-F238E27FC236}">
              <a16:creationId xmlns:a16="http://schemas.microsoft.com/office/drawing/2014/main" id="{00000000-0008-0000-0900-0000A62F0000}"/>
            </a:ext>
          </a:extLst>
        </xdr:cNvPr>
        <xdr:cNvSpPr>
          <a:spLocks noChangeAspect="1"/>
        </xdr:cNvSpPr>
      </xdr:nvSpPr>
      <xdr:spPr bwMode="auto">
        <a:xfrm>
          <a:off x="2219325" y="7410450"/>
          <a:ext cx="47625" cy="19050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0" y="52"/>
              </a:move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42</xdr:row>
      <xdr:rowOff>95250</xdr:rowOff>
    </xdr:from>
    <xdr:to>
      <xdr:col>4</xdr:col>
      <xdr:colOff>142875</xdr:colOff>
      <xdr:row>44</xdr:row>
      <xdr:rowOff>142875</xdr:rowOff>
    </xdr:to>
    <xdr:sp macro="" textlink="">
      <xdr:nvSpPr>
        <xdr:cNvPr id="12199" name="Freeform 375">
          <a:extLst>
            <a:ext uri="{FF2B5EF4-FFF2-40B4-BE49-F238E27FC236}">
              <a16:creationId xmlns:a16="http://schemas.microsoft.com/office/drawing/2014/main" id="{00000000-0008-0000-0900-0000A72F0000}"/>
            </a:ext>
          </a:extLst>
        </xdr:cNvPr>
        <xdr:cNvSpPr>
          <a:spLocks noChangeAspect="1"/>
        </xdr:cNvSpPr>
      </xdr:nvSpPr>
      <xdr:spPr bwMode="auto">
        <a:xfrm>
          <a:off x="2219325" y="7429500"/>
          <a:ext cx="57150" cy="371475"/>
        </a:xfrm>
        <a:custGeom>
          <a:avLst/>
          <a:gdLst>
            <a:gd name="T0" fmla="*/ 0 w 104"/>
            <a:gd name="T1" fmla="*/ 0 h 793"/>
            <a:gd name="T2" fmla="*/ 0 w 104"/>
            <a:gd name="T3" fmla="*/ 0 h 793"/>
            <a:gd name="T4" fmla="*/ 0 w 104"/>
            <a:gd name="T5" fmla="*/ 0 h 793"/>
            <a:gd name="T6" fmla="*/ 0 w 104"/>
            <a:gd name="T7" fmla="*/ 2147483647 h 793"/>
            <a:gd name="T8" fmla="*/ 0 w 104"/>
            <a:gd name="T9" fmla="*/ 2147483647 h 793"/>
            <a:gd name="T10" fmla="*/ 0 w 104"/>
            <a:gd name="T11" fmla="*/ 2147483647 h 793"/>
            <a:gd name="T12" fmla="*/ 0 w 104"/>
            <a:gd name="T13" fmla="*/ 0 h 79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93"/>
            <a:gd name="T23" fmla="*/ 104 w 104"/>
            <a:gd name="T24" fmla="*/ 793 h 79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93">
              <a:moveTo>
                <a:pt x="104" y="0"/>
              </a:moveTo>
              <a:lnTo>
                <a:pt x="52" y="0"/>
              </a:lnTo>
              <a:lnTo>
                <a:pt x="0" y="0"/>
              </a:lnTo>
              <a:lnTo>
                <a:pt x="0" y="793"/>
              </a:lnTo>
              <a:lnTo>
                <a:pt x="52" y="793"/>
              </a:lnTo>
              <a:lnTo>
                <a:pt x="104" y="793"/>
              </a:lnTo>
              <a:lnTo>
                <a:pt x="104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42</xdr:row>
      <xdr:rowOff>95250</xdr:rowOff>
    </xdr:from>
    <xdr:to>
      <xdr:col>4</xdr:col>
      <xdr:colOff>142875</xdr:colOff>
      <xdr:row>44</xdr:row>
      <xdr:rowOff>142875</xdr:rowOff>
    </xdr:to>
    <xdr:sp macro="" textlink="">
      <xdr:nvSpPr>
        <xdr:cNvPr id="12200" name="Freeform 376">
          <a:extLst>
            <a:ext uri="{FF2B5EF4-FFF2-40B4-BE49-F238E27FC236}">
              <a16:creationId xmlns:a16="http://schemas.microsoft.com/office/drawing/2014/main" id="{00000000-0008-0000-0900-0000A82F0000}"/>
            </a:ext>
          </a:extLst>
        </xdr:cNvPr>
        <xdr:cNvSpPr>
          <a:spLocks noChangeAspect="1"/>
        </xdr:cNvSpPr>
      </xdr:nvSpPr>
      <xdr:spPr bwMode="auto">
        <a:xfrm>
          <a:off x="2219325" y="7429500"/>
          <a:ext cx="57150" cy="371475"/>
        </a:xfrm>
        <a:custGeom>
          <a:avLst/>
          <a:gdLst>
            <a:gd name="T0" fmla="*/ 0 w 104"/>
            <a:gd name="T1" fmla="*/ 0 h 793"/>
            <a:gd name="T2" fmla="*/ 0 w 104"/>
            <a:gd name="T3" fmla="*/ 0 h 793"/>
            <a:gd name="T4" fmla="*/ 0 w 104"/>
            <a:gd name="T5" fmla="*/ 0 h 793"/>
            <a:gd name="T6" fmla="*/ 0 w 104"/>
            <a:gd name="T7" fmla="*/ 2147483647 h 793"/>
            <a:gd name="T8" fmla="*/ 0 w 104"/>
            <a:gd name="T9" fmla="*/ 2147483647 h 793"/>
            <a:gd name="T10" fmla="*/ 0 w 104"/>
            <a:gd name="T11" fmla="*/ 2147483647 h 793"/>
            <a:gd name="T12" fmla="*/ 0 w 104"/>
            <a:gd name="T13" fmla="*/ 0 h 79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93"/>
            <a:gd name="T23" fmla="*/ 104 w 104"/>
            <a:gd name="T24" fmla="*/ 793 h 79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93">
              <a:moveTo>
                <a:pt x="104" y="0"/>
              </a:moveTo>
              <a:lnTo>
                <a:pt x="52" y="0"/>
              </a:lnTo>
              <a:lnTo>
                <a:pt x="0" y="0"/>
              </a:lnTo>
              <a:lnTo>
                <a:pt x="0" y="793"/>
              </a:lnTo>
              <a:lnTo>
                <a:pt x="52" y="793"/>
              </a:lnTo>
              <a:lnTo>
                <a:pt x="104" y="793"/>
              </a:lnTo>
              <a:lnTo>
                <a:pt x="104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44</xdr:row>
      <xdr:rowOff>123825</xdr:rowOff>
    </xdr:from>
    <xdr:to>
      <xdr:col>4</xdr:col>
      <xdr:colOff>142875</xdr:colOff>
      <xdr:row>44</xdr:row>
      <xdr:rowOff>152400</xdr:rowOff>
    </xdr:to>
    <xdr:sp macro="" textlink="">
      <xdr:nvSpPr>
        <xdr:cNvPr id="12201" name="Freeform 377">
          <a:extLst>
            <a:ext uri="{FF2B5EF4-FFF2-40B4-BE49-F238E27FC236}">
              <a16:creationId xmlns:a16="http://schemas.microsoft.com/office/drawing/2014/main" id="{00000000-0008-0000-0900-0000A92F0000}"/>
            </a:ext>
          </a:extLst>
        </xdr:cNvPr>
        <xdr:cNvSpPr>
          <a:spLocks noChangeAspect="1"/>
        </xdr:cNvSpPr>
      </xdr:nvSpPr>
      <xdr:spPr bwMode="auto">
        <a:xfrm>
          <a:off x="2219325" y="7781925"/>
          <a:ext cx="57150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0"/>
              </a:moveTo>
              <a:lnTo>
                <a:pt x="104" y="0"/>
              </a:lnTo>
              <a:lnTo>
                <a:pt x="102" y="12"/>
              </a:lnTo>
              <a:lnTo>
                <a:pt x="99" y="22"/>
              </a:lnTo>
              <a:lnTo>
                <a:pt x="93" y="33"/>
              </a:lnTo>
              <a:lnTo>
                <a:pt x="84" y="41"/>
              </a:lnTo>
              <a:lnTo>
                <a:pt x="74" y="47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7"/>
              </a:lnTo>
              <a:lnTo>
                <a:pt x="19" y="41"/>
              </a:lnTo>
              <a:lnTo>
                <a:pt x="11" y="33"/>
              </a:lnTo>
              <a:lnTo>
                <a:pt x="4" y="22"/>
              </a:lnTo>
              <a:lnTo>
                <a:pt x="1" y="12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44</xdr:row>
      <xdr:rowOff>123825</xdr:rowOff>
    </xdr:from>
    <xdr:to>
      <xdr:col>4</xdr:col>
      <xdr:colOff>142875</xdr:colOff>
      <xdr:row>44</xdr:row>
      <xdr:rowOff>152400</xdr:rowOff>
    </xdr:to>
    <xdr:sp macro="" textlink="">
      <xdr:nvSpPr>
        <xdr:cNvPr id="12202" name="Freeform 378">
          <a:extLst>
            <a:ext uri="{FF2B5EF4-FFF2-40B4-BE49-F238E27FC236}">
              <a16:creationId xmlns:a16="http://schemas.microsoft.com/office/drawing/2014/main" id="{00000000-0008-0000-0900-0000AA2F0000}"/>
            </a:ext>
          </a:extLst>
        </xdr:cNvPr>
        <xdr:cNvSpPr>
          <a:spLocks noChangeAspect="1"/>
        </xdr:cNvSpPr>
      </xdr:nvSpPr>
      <xdr:spPr bwMode="auto">
        <a:xfrm>
          <a:off x="2219325" y="7781925"/>
          <a:ext cx="57150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104" y="0"/>
              </a:moveTo>
              <a:lnTo>
                <a:pt x="102" y="12"/>
              </a:lnTo>
              <a:lnTo>
                <a:pt x="99" y="22"/>
              </a:lnTo>
              <a:lnTo>
                <a:pt x="93" y="33"/>
              </a:lnTo>
              <a:lnTo>
                <a:pt x="84" y="41"/>
              </a:lnTo>
              <a:lnTo>
                <a:pt x="74" y="47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7"/>
              </a:lnTo>
              <a:lnTo>
                <a:pt x="19" y="41"/>
              </a:lnTo>
              <a:lnTo>
                <a:pt x="11" y="33"/>
              </a:lnTo>
              <a:lnTo>
                <a:pt x="4" y="22"/>
              </a:lnTo>
              <a:lnTo>
                <a:pt x="1" y="12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20</xdr:row>
      <xdr:rowOff>133350</xdr:rowOff>
    </xdr:from>
    <xdr:to>
      <xdr:col>4</xdr:col>
      <xdr:colOff>133350</xdr:colOff>
      <xdr:row>20</xdr:row>
      <xdr:rowOff>152400</xdr:rowOff>
    </xdr:to>
    <xdr:sp macro="" textlink="">
      <xdr:nvSpPr>
        <xdr:cNvPr id="12203" name="Freeform 379">
          <a:extLst>
            <a:ext uri="{FF2B5EF4-FFF2-40B4-BE49-F238E27FC236}">
              <a16:creationId xmlns:a16="http://schemas.microsoft.com/office/drawing/2014/main" id="{00000000-0008-0000-0900-0000AB2F0000}"/>
            </a:ext>
          </a:extLst>
        </xdr:cNvPr>
        <xdr:cNvSpPr>
          <a:spLocks noChangeAspect="1"/>
        </xdr:cNvSpPr>
      </xdr:nvSpPr>
      <xdr:spPr bwMode="auto">
        <a:xfrm>
          <a:off x="2219325" y="3905250"/>
          <a:ext cx="47625" cy="19050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w 104"/>
            <a:gd name="T31" fmla="*/ 0 h 51"/>
            <a:gd name="T32" fmla="*/ 0 w 104"/>
            <a:gd name="T33" fmla="*/ 0 h 5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1"/>
            <a:gd name="T53" fmla="*/ 104 w 104"/>
            <a:gd name="T54" fmla="*/ 51 h 5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1">
              <a:moveTo>
                <a:pt x="52" y="0"/>
              </a:moveTo>
              <a:lnTo>
                <a:pt x="104" y="0"/>
              </a:ln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4" y="22"/>
              </a:lnTo>
              <a:lnTo>
                <a:pt x="1" y="11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20</xdr:row>
      <xdr:rowOff>133350</xdr:rowOff>
    </xdr:from>
    <xdr:to>
      <xdr:col>4</xdr:col>
      <xdr:colOff>133350</xdr:colOff>
      <xdr:row>20</xdr:row>
      <xdr:rowOff>152400</xdr:rowOff>
    </xdr:to>
    <xdr:sp macro="" textlink="">
      <xdr:nvSpPr>
        <xdr:cNvPr id="12204" name="Freeform 380">
          <a:extLst>
            <a:ext uri="{FF2B5EF4-FFF2-40B4-BE49-F238E27FC236}">
              <a16:creationId xmlns:a16="http://schemas.microsoft.com/office/drawing/2014/main" id="{00000000-0008-0000-0900-0000AC2F0000}"/>
            </a:ext>
          </a:extLst>
        </xdr:cNvPr>
        <xdr:cNvSpPr>
          <a:spLocks noChangeAspect="1"/>
        </xdr:cNvSpPr>
      </xdr:nvSpPr>
      <xdr:spPr bwMode="auto">
        <a:xfrm>
          <a:off x="2219325" y="3905250"/>
          <a:ext cx="47625" cy="19050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1"/>
            <a:gd name="T47" fmla="*/ 104 w 104"/>
            <a:gd name="T48" fmla="*/ 51 h 5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1">
              <a:moveTo>
                <a:pt x="104" y="0"/>
              </a:move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4" y="22"/>
              </a:lnTo>
              <a:lnTo>
                <a:pt x="1" y="11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18</xdr:row>
      <xdr:rowOff>85725</xdr:rowOff>
    </xdr:from>
    <xdr:to>
      <xdr:col>4</xdr:col>
      <xdr:colOff>133350</xdr:colOff>
      <xdr:row>20</xdr:row>
      <xdr:rowOff>142875</xdr:rowOff>
    </xdr:to>
    <xdr:sp macro="" textlink="">
      <xdr:nvSpPr>
        <xdr:cNvPr id="12205" name="Freeform 381">
          <a:extLst>
            <a:ext uri="{FF2B5EF4-FFF2-40B4-BE49-F238E27FC236}">
              <a16:creationId xmlns:a16="http://schemas.microsoft.com/office/drawing/2014/main" id="{00000000-0008-0000-0900-0000AD2F0000}"/>
            </a:ext>
          </a:extLst>
        </xdr:cNvPr>
        <xdr:cNvSpPr>
          <a:spLocks noChangeAspect="1"/>
        </xdr:cNvSpPr>
      </xdr:nvSpPr>
      <xdr:spPr bwMode="auto">
        <a:xfrm>
          <a:off x="2219325" y="3533775"/>
          <a:ext cx="47625" cy="381000"/>
        </a:xfrm>
        <a:custGeom>
          <a:avLst/>
          <a:gdLst>
            <a:gd name="T0" fmla="*/ 0 w 104"/>
            <a:gd name="T1" fmla="*/ 2147483647 h 794"/>
            <a:gd name="T2" fmla="*/ 0 w 104"/>
            <a:gd name="T3" fmla="*/ 2147483647 h 794"/>
            <a:gd name="T4" fmla="*/ 0 w 104"/>
            <a:gd name="T5" fmla="*/ 2147483647 h 794"/>
            <a:gd name="T6" fmla="*/ 0 w 104"/>
            <a:gd name="T7" fmla="*/ 0 h 794"/>
            <a:gd name="T8" fmla="*/ 0 w 104"/>
            <a:gd name="T9" fmla="*/ 0 h 794"/>
            <a:gd name="T10" fmla="*/ 0 w 104"/>
            <a:gd name="T11" fmla="*/ 0 h 794"/>
            <a:gd name="T12" fmla="*/ 0 w 104"/>
            <a:gd name="T13" fmla="*/ 2147483647 h 79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94"/>
            <a:gd name="T23" fmla="*/ 104 w 104"/>
            <a:gd name="T24" fmla="*/ 794 h 79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94">
              <a:moveTo>
                <a:pt x="0" y="794"/>
              </a:moveTo>
              <a:lnTo>
                <a:pt x="52" y="794"/>
              </a:lnTo>
              <a:lnTo>
                <a:pt x="104" y="794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79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18</xdr:row>
      <xdr:rowOff>85725</xdr:rowOff>
    </xdr:from>
    <xdr:to>
      <xdr:col>4</xdr:col>
      <xdr:colOff>133350</xdr:colOff>
      <xdr:row>20</xdr:row>
      <xdr:rowOff>142875</xdr:rowOff>
    </xdr:to>
    <xdr:sp macro="" textlink="">
      <xdr:nvSpPr>
        <xdr:cNvPr id="12206" name="Freeform 382">
          <a:extLst>
            <a:ext uri="{FF2B5EF4-FFF2-40B4-BE49-F238E27FC236}">
              <a16:creationId xmlns:a16="http://schemas.microsoft.com/office/drawing/2014/main" id="{00000000-0008-0000-0900-0000AE2F0000}"/>
            </a:ext>
          </a:extLst>
        </xdr:cNvPr>
        <xdr:cNvSpPr>
          <a:spLocks noChangeAspect="1"/>
        </xdr:cNvSpPr>
      </xdr:nvSpPr>
      <xdr:spPr bwMode="auto">
        <a:xfrm>
          <a:off x="2219325" y="3533775"/>
          <a:ext cx="47625" cy="381000"/>
        </a:xfrm>
        <a:custGeom>
          <a:avLst/>
          <a:gdLst>
            <a:gd name="T0" fmla="*/ 0 w 104"/>
            <a:gd name="T1" fmla="*/ 2147483647 h 794"/>
            <a:gd name="T2" fmla="*/ 0 w 104"/>
            <a:gd name="T3" fmla="*/ 2147483647 h 794"/>
            <a:gd name="T4" fmla="*/ 0 w 104"/>
            <a:gd name="T5" fmla="*/ 2147483647 h 794"/>
            <a:gd name="T6" fmla="*/ 0 w 104"/>
            <a:gd name="T7" fmla="*/ 0 h 794"/>
            <a:gd name="T8" fmla="*/ 0 w 104"/>
            <a:gd name="T9" fmla="*/ 0 h 794"/>
            <a:gd name="T10" fmla="*/ 0 w 104"/>
            <a:gd name="T11" fmla="*/ 0 h 794"/>
            <a:gd name="T12" fmla="*/ 0 w 104"/>
            <a:gd name="T13" fmla="*/ 2147483647 h 79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94"/>
            <a:gd name="T23" fmla="*/ 104 w 104"/>
            <a:gd name="T24" fmla="*/ 794 h 79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94">
              <a:moveTo>
                <a:pt x="0" y="794"/>
              </a:moveTo>
              <a:lnTo>
                <a:pt x="52" y="794"/>
              </a:lnTo>
              <a:lnTo>
                <a:pt x="104" y="794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79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18</xdr:row>
      <xdr:rowOff>47625</xdr:rowOff>
    </xdr:from>
    <xdr:to>
      <xdr:col>4</xdr:col>
      <xdr:colOff>133350</xdr:colOff>
      <xdr:row>18</xdr:row>
      <xdr:rowOff>76200</xdr:rowOff>
    </xdr:to>
    <xdr:sp macro="" textlink="">
      <xdr:nvSpPr>
        <xdr:cNvPr id="12207" name="Freeform 383">
          <a:extLst>
            <a:ext uri="{FF2B5EF4-FFF2-40B4-BE49-F238E27FC236}">
              <a16:creationId xmlns:a16="http://schemas.microsoft.com/office/drawing/2014/main" id="{00000000-0008-0000-0900-0000AF2F0000}"/>
            </a:ext>
          </a:extLst>
        </xdr:cNvPr>
        <xdr:cNvSpPr>
          <a:spLocks noChangeAspect="1"/>
        </xdr:cNvSpPr>
      </xdr:nvSpPr>
      <xdr:spPr bwMode="auto">
        <a:xfrm>
          <a:off x="2219325" y="3495675"/>
          <a:ext cx="47625" cy="28575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w 104"/>
            <a:gd name="T31" fmla="*/ 0 h 53"/>
            <a:gd name="T32" fmla="*/ 0 w 104"/>
            <a:gd name="T33" fmla="*/ 0 h 53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3"/>
            <a:gd name="T53" fmla="*/ 104 w 104"/>
            <a:gd name="T54" fmla="*/ 53 h 53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3">
              <a:moveTo>
                <a:pt x="52" y="53"/>
              </a:move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6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18</xdr:row>
      <xdr:rowOff>47625</xdr:rowOff>
    </xdr:from>
    <xdr:to>
      <xdr:col>4</xdr:col>
      <xdr:colOff>133350</xdr:colOff>
      <xdr:row>18</xdr:row>
      <xdr:rowOff>76200</xdr:rowOff>
    </xdr:to>
    <xdr:sp macro="" textlink="">
      <xdr:nvSpPr>
        <xdr:cNvPr id="12208" name="Freeform 384">
          <a:extLst>
            <a:ext uri="{FF2B5EF4-FFF2-40B4-BE49-F238E27FC236}">
              <a16:creationId xmlns:a16="http://schemas.microsoft.com/office/drawing/2014/main" id="{00000000-0008-0000-0900-0000B02F0000}"/>
            </a:ext>
          </a:extLst>
        </xdr:cNvPr>
        <xdr:cNvSpPr>
          <a:spLocks noChangeAspect="1"/>
        </xdr:cNvSpPr>
      </xdr:nvSpPr>
      <xdr:spPr bwMode="auto">
        <a:xfrm>
          <a:off x="2219325" y="3495675"/>
          <a:ext cx="47625" cy="28575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3"/>
            <a:gd name="T47" fmla="*/ 104 w 104"/>
            <a:gd name="T48" fmla="*/ 53 h 53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3">
              <a:moveTo>
                <a:pt x="0" y="53"/>
              </a:move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6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0</xdr:colOff>
      <xdr:row>18</xdr:row>
      <xdr:rowOff>85725</xdr:rowOff>
    </xdr:from>
    <xdr:to>
      <xdr:col>12</xdr:col>
      <xdr:colOff>28575</xdr:colOff>
      <xdr:row>20</xdr:row>
      <xdr:rowOff>142875</xdr:rowOff>
    </xdr:to>
    <xdr:sp macro="" textlink="">
      <xdr:nvSpPr>
        <xdr:cNvPr id="12209" name="Freeform 387">
          <a:extLst>
            <a:ext uri="{FF2B5EF4-FFF2-40B4-BE49-F238E27FC236}">
              <a16:creationId xmlns:a16="http://schemas.microsoft.com/office/drawing/2014/main" id="{00000000-0008-0000-0900-0000B12F0000}"/>
            </a:ext>
          </a:extLst>
        </xdr:cNvPr>
        <xdr:cNvSpPr>
          <a:spLocks noChangeAspect="1"/>
        </xdr:cNvSpPr>
      </xdr:nvSpPr>
      <xdr:spPr bwMode="auto">
        <a:xfrm>
          <a:off x="6572250" y="3533775"/>
          <a:ext cx="28575" cy="381000"/>
        </a:xfrm>
        <a:custGeom>
          <a:avLst/>
          <a:gdLst>
            <a:gd name="T0" fmla="*/ 0 w 104"/>
            <a:gd name="T1" fmla="*/ 0 h 794"/>
            <a:gd name="T2" fmla="*/ 0 w 104"/>
            <a:gd name="T3" fmla="*/ 0 h 794"/>
            <a:gd name="T4" fmla="*/ 0 w 104"/>
            <a:gd name="T5" fmla="*/ 0 h 794"/>
            <a:gd name="T6" fmla="*/ 0 w 104"/>
            <a:gd name="T7" fmla="*/ 2147483647 h 794"/>
            <a:gd name="T8" fmla="*/ 0 w 104"/>
            <a:gd name="T9" fmla="*/ 2147483647 h 794"/>
            <a:gd name="T10" fmla="*/ 0 w 104"/>
            <a:gd name="T11" fmla="*/ 2147483647 h 794"/>
            <a:gd name="T12" fmla="*/ 0 w 104"/>
            <a:gd name="T13" fmla="*/ 0 h 79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94"/>
            <a:gd name="T23" fmla="*/ 104 w 104"/>
            <a:gd name="T24" fmla="*/ 794 h 79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94">
              <a:moveTo>
                <a:pt x="104" y="0"/>
              </a:moveTo>
              <a:lnTo>
                <a:pt x="52" y="0"/>
              </a:lnTo>
              <a:lnTo>
                <a:pt x="0" y="0"/>
              </a:lnTo>
              <a:lnTo>
                <a:pt x="0" y="794"/>
              </a:lnTo>
              <a:lnTo>
                <a:pt x="52" y="794"/>
              </a:lnTo>
              <a:lnTo>
                <a:pt x="104" y="794"/>
              </a:lnTo>
              <a:lnTo>
                <a:pt x="104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0</xdr:colOff>
      <xdr:row>18</xdr:row>
      <xdr:rowOff>85725</xdr:rowOff>
    </xdr:from>
    <xdr:to>
      <xdr:col>12</xdr:col>
      <xdr:colOff>28575</xdr:colOff>
      <xdr:row>20</xdr:row>
      <xdr:rowOff>142875</xdr:rowOff>
    </xdr:to>
    <xdr:sp macro="" textlink="">
      <xdr:nvSpPr>
        <xdr:cNvPr id="12210" name="Freeform 388">
          <a:extLst>
            <a:ext uri="{FF2B5EF4-FFF2-40B4-BE49-F238E27FC236}">
              <a16:creationId xmlns:a16="http://schemas.microsoft.com/office/drawing/2014/main" id="{00000000-0008-0000-0900-0000B22F0000}"/>
            </a:ext>
          </a:extLst>
        </xdr:cNvPr>
        <xdr:cNvSpPr>
          <a:spLocks noChangeAspect="1"/>
        </xdr:cNvSpPr>
      </xdr:nvSpPr>
      <xdr:spPr bwMode="auto">
        <a:xfrm>
          <a:off x="6572250" y="3533775"/>
          <a:ext cx="28575" cy="381000"/>
        </a:xfrm>
        <a:custGeom>
          <a:avLst/>
          <a:gdLst>
            <a:gd name="T0" fmla="*/ 0 w 104"/>
            <a:gd name="T1" fmla="*/ 0 h 794"/>
            <a:gd name="T2" fmla="*/ 0 w 104"/>
            <a:gd name="T3" fmla="*/ 0 h 794"/>
            <a:gd name="T4" fmla="*/ 0 w 104"/>
            <a:gd name="T5" fmla="*/ 0 h 794"/>
            <a:gd name="T6" fmla="*/ 0 w 104"/>
            <a:gd name="T7" fmla="*/ 2147483647 h 794"/>
            <a:gd name="T8" fmla="*/ 0 w 104"/>
            <a:gd name="T9" fmla="*/ 2147483647 h 794"/>
            <a:gd name="T10" fmla="*/ 0 w 104"/>
            <a:gd name="T11" fmla="*/ 2147483647 h 794"/>
            <a:gd name="T12" fmla="*/ 0 w 104"/>
            <a:gd name="T13" fmla="*/ 0 h 79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94"/>
            <a:gd name="T23" fmla="*/ 104 w 104"/>
            <a:gd name="T24" fmla="*/ 794 h 79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94">
              <a:moveTo>
                <a:pt x="104" y="0"/>
              </a:moveTo>
              <a:lnTo>
                <a:pt x="52" y="0"/>
              </a:lnTo>
              <a:lnTo>
                <a:pt x="0" y="0"/>
              </a:lnTo>
              <a:lnTo>
                <a:pt x="0" y="794"/>
              </a:lnTo>
              <a:lnTo>
                <a:pt x="52" y="794"/>
              </a:lnTo>
              <a:lnTo>
                <a:pt x="104" y="794"/>
              </a:lnTo>
              <a:lnTo>
                <a:pt x="104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0</xdr:colOff>
      <xdr:row>20</xdr:row>
      <xdr:rowOff>133350</xdr:rowOff>
    </xdr:from>
    <xdr:to>
      <xdr:col>12</xdr:col>
      <xdr:colOff>28575</xdr:colOff>
      <xdr:row>20</xdr:row>
      <xdr:rowOff>152400</xdr:rowOff>
    </xdr:to>
    <xdr:sp macro="" textlink="">
      <xdr:nvSpPr>
        <xdr:cNvPr id="12211" name="Freeform 389">
          <a:extLst>
            <a:ext uri="{FF2B5EF4-FFF2-40B4-BE49-F238E27FC236}">
              <a16:creationId xmlns:a16="http://schemas.microsoft.com/office/drawing/2014/main" id="{00000000-0008-0000-0900-0000B32F0000}"/>
            </a:ext>
          </a:extLst>
        </xdr:cNvPr>
        <xdr:cNvSpPr>
          <a:spLocks noChangeAspect="1"/>
        </xdr:cNvSpPr>
      </xdr:nvSpPr>
      <xdr:spPr bwMode="auto">
        <a:xfrm>
          <a:off x="6572250" y="3905250"/>
          <a:ext cx="28575" cy="19050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w 104"/>
            <a:gd name="T31" fmla="*/ 0 h 51"/>
            <a:gd name="T32" fmla="*/ 0 w 104"/>
            <a:gd name="T33" fmla="*/ 0 h 5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1"/>
            <a:gd name="T53" fmla="*/ 104 w 104"/>
            <a:gd name="T54" fmla="*/ 51 h 5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1">
              <a:moveTo>
                <a:pt x="52" y="0"/>
              </a:moveTo>
              <a:lnTo>
                <a:pt x="104" y="0"/>
              </a:ln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0</xdr:colOff>
      <xdr:row>20</xdr:row>
      <xdr:rowOff>133350</xdr:rowOff>
    </xdr:from>
    <xdr:to>
      <xdr:col>12</xdr:col>
      <xdr:colOff>28575</xdr:colOff>
      <xdr:row>20</xdr:row>
      <xdr:rowOff>152400</xdr:rowOff>
    </xdr:to>
    <xdr:sp macro="" textlink="">
      <xdr:nvSpPr>
        <xdr:cNvPr id="12212" name="Freeform 390">
          <a:extLst>
            <a:ext uri="{FF2B5EF4-FFF2-40B4-BE49-F238E27FC236}">
              <a16:creationId xmlns:a16="http://schemas.microsoft.com/office/drawing/2014/main" id="{00000000-0008-0000-0900-0000B42F0000}"/>
            </a:ext>
          </a:extLst>
        </xdr:cNvPr>
        <xdr:cNvSpPr>
          <a:spLocks noChangeAspect="1"/>
        </xdr:cNvSpPr>
      </xdr:nvSpPr>
      <xdr:spPr bwMode="auto">
        <a:xfrm>
          <a:off x="6572250" y="3905250"/>
          <a:ext cx="28575" cy="19050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1"/>
            <a:gd name="T47" fmla="*/ 104 w 104"/>
            <a:gd name="T48" fmla="*/ 51 h 5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1">
              <a:moveTo>
                <a:pt x="104" y="0"/>
              </a:move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57150</xdr:colOff>
      <xdr:row>42</xdr:row>
      <xdr:rowOff>76200</xdr:rowOff>
    </xdr:from>
    <xdr:to>
      <xdr:col>18</xdr:col>
      <xdr:colOff>66675</xdr:colOff>
      <xdr:row>42</xdr:row>
      <xdr:rowOff>123825</xdr:rowOff>
    </xdr:to>
    <xdr:sp macro="" textlink="">
      <xdr:nvSpPr>
        <xdr:cNvPr id="12213" name="Freeform 391">
          <a:extLst>
            <a:ext uri="{FF2B5EF4-FFF2-40B4-BE49-F238E27FC236}">
              <a16:creationId xmlns:a16="http://schemas.microsoft.com/office/drawing/2014/main" id="{00000000-0008-0000-0900-0000B52F0000}"/>
            </a:ext>
          </a:extLst>
        </xdr:cNvPr>
        <xdr:cNvSpPr>
          <a:spLocks noChangeAspect="1"/>
        </xdr:cNvSpPr>
      </xdr:nvSpPr>
      <xdr:spPr bwMode="auto">
        <a:xfrm>
          <a:off x="9582150" y="7410450"/>
          <a:ext cx="952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2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2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3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57150</xdr:colOff>
      <xdr:row>42</xdr:row>
      <xdr:rowOff>76200</xdr:rowOff>
    </xdr:from>
    <xdr:to>
      <xdr:col>18</xdr:col>
      <xdr:colOff>66675</xdr:colOff>
      <xdr:row>42</xdr:row>
      <xdr:rowOff>123825</xdr:rowOff>
    </xdr:to>
    <xdr:sp macro="" textlink="">
      <xdr:nvSpPr>
        <xdr:cNvPr id="12214" name="Freeform 392">
          <a:extLst>
            <a:ext uri="{FF2B5EF4-FFF2-40B4-BE49-F238E27FC236}">
              <a16:creationId xmlns:a16="http://schemas.microsoft.com/office/drawing/2014/main" id="{00000000-0008-0000-0900-0000B62F0000}"/>
            </a:ext>
          </a:extLst>
        </xdr:cNvPr>
        <xdr:cNvSpPr>
          <a:spLocks noChangeAspect="1"/>
        </xdr:cNvSpPr>
      </xdr:nvSpPr>
      <xdr:spPr bwMode="auto">
        <a:xfrm>
          <a:off x="9582150" y="7410450"/>
          <a:ext cx="952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2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3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390525</xdr:colOff>
      <xdr:row>42</xdr:row>
      <xdr:rowOff>76200</xdr:rowOff>
    </xdr:from>
    <xdr:to>
      <xdr:col>18</xdr:col>
      <xdr:colOff>57150</xdr:colOff>
      <xdr:row>42</xdr:row>
      <xdr:rowOff>114300</xdr:rowOff>
    </xdr:to>
    <xdr:sp macro="" textlink="">
      <xdr:nvSpPr>
        <xdr:cNvPr id="12215" name="Freeform 393">
          <a:extLst>
            <a:ext uri="{FF2B5EF4-FFF2-40B4-BE49-F238E27FC236}">
              <a16:creationId xmlns:a16="http://schemas.microsoft.com/office/drawing/2014/main" id="{00000000-0008-0000-0900-0000B72F0000}"/>
            </a:ext>
          </a:extLst>
        </xdr:cNvPr>
        <xdr:cNvSpPr>
          <a:spLocks noChangeAspect="1"/>
        </xdr:cNvSpPr>
      </xdr:nvSpPr>
      <xdr:spPr bwMode="auto">
        <a:xfrm>
          <a:off x="9096375" y="7410450"/>
          <a:ext cx="485775" cy="38100"/>
        </a:xfrm>
        <a:custGeom>
          <a:avLst/>
          <a:gdLst>
            <a:gd name="T0" fmla="*/ 2147483647 w 797"/>
            <a:gd name="T1" fmla="*/ 0 h 104"/>
            <a:gd name="T2" fmla="*/ 2147483647 w 797"/>
            <a:gd name="T3" fmla="*/ 0 h 104"/>
            <a:gd name="T4" fmla="*/ 2147483647 w 797"/>
            <a:gd name="T5" fmla="*/ 0 h 104"/>
            <a:gd name="T6" fmla="*/ 0 w 797"/>
            <a:gd name="T7" fmla="*/ 0 h 104"/>
            <a:gd name="T8" fmla="*/ 0 w 797"/>
            <a:gd name="T9" fmla="*/ 0 h 104"/>
            <a:gd name="T10" fmla="*/ 0 w 797"/>
            <a:gd name="T11" fmla="*/ 0 h 104"/>
            <a:gd name="T12" fmla="*/ 2147483647 w 79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97"/>
            <a:gd name="T22" fmla="*/ 0 h 104"/>
            <a:gd name="T23" fmla="*/ 797 w 79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97" h="104">
              <a:moveTo>
                <a:pt x="797" y="104"/>
              </a:moveTo>
              <a:lnTo>
                <a:pt x="797" y="52"/>
              </a:lnTo>
              <a:lnTo>
                <a:pt x="797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797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390525</xdr:colOff>
      <xdr:row>42</xdr:row>
      <xdr:rowOff>76200</xdr:rowOff>
    </xdr:from>
    <xdr:to>
      <xdr:col>18</xdr:col>
      <xdr:colOff>57150</xdr:colOff>
      <xdr:row>42</xdr:row>
      <xdr:rowOff>114300</xdr:rowOff>
    </xdr:to>
    <xdr:sp macro="" textlink="">
      <xdr:nvSpPr>
        <xdr:cNvPr id="12216" name="Freeform 394">
          <a:extLst>
            <a:ext uri="{FF2B5EF4-FFF2-40B4-BE49-F238E27FC236}">
              <a16:creationId xmlns:a16="http://schemas.microsoft.com/office/drawing/2014/main" id="{00000000-0008-0000-0900-0000B82F0000}"/>
            </a:ext>
          </a:extLst>
        </xdr:cNvPr>
        <xdr:cNvSpPr>
          <a:spLocks noChangeAspect="1"/>
        </xdr:cNvSpPr>
      </xdr:nvSpPr>
      <xdr:spPr bwMode="auto">
        <a:xfrm>
          <a:off x="9096375" y="7410450"/>
          <a:ext cx="485775" cy="38100"/>
        </a:xfrm>
        <a:custGeom>
          <a:avLst/>
          <a:gdLst>
            <a:gd name="T0" fmla="*/ 2147483647 w 797"/>
            <a:gd name="T1" fmla="*/ 0 h 104"/>
            <a:gd name="T2" fmla="*/ 2147483647 w 797"/>
            <a:gd name="T3" fmla="*/ 0 h 104"/>
            <a:gd name="T4" fmla="*/ 2147483647 w 797"/>
            <a:gd name="T5" fmla="*/ 0 h 104"/>
            <a:gd name="T6" fmla="*/ 0 w 797"/>
            <a:gd name="T7" fmla="*/ 0 h 104"/>
            <a:gd name="T8" fmla="*/ 0 w 797"/>
            <a:gd name="T9" fmla="*/ 0 h 104"/>
            <a:gd name="T10" fmla="*/ 0 w 797"/>
            <a:gd name="T11" fmla="*/ 0 h 104"/>
            <a:gd name="T12" fmla="*/ 2147483647 w 79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97"/>
            <a:gd name="T22" fmla="*/ 0 h 104"/>
            <a:gd name="T23" fmla="*/ 797 w 79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97" h="104">
              <a:moveTo>
                <a:pt x="797" y="104"/>
              </a:moveTo>
              <a:lnTo>
                <a:pt x="797" y="52"/>
              </a:lnTo>
              <a:lnTo>
                <a:pt x="797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797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371475</xdr:colOff>
      <xdr:row>42</xdr:row>
      <xdr:rowOff>76200</xdr:rowOff>
    </xdr:from>
    <xdr:to>
      <xdr:col>16</xdr:col>
      <xdr:colOff>390525</xdr:colOff>
      <xdr:row>42</xdr:row>
      <xdr:rowOff>123825</xdr:rowOff>
    </xdr:to>
    <xdr:sp macro="" textlink="">
      <xdr:nvSpPr>
        <xdr:cNvPr id="12217" name="Freeform 395">
          <a:extLst>
            <a:ext uri="{FF2B5EF4-FFF2-40B4-BE49-F238E27FC236}">
              <a16:creationId xmlns:a16="http://schemas.microsoft.com/office/drawing/2014/main" id="{00000000-0008-0000-0900-0000B92F0000}"/>
            </a:ext>
          </a:extLst>
        </xdr:cNvPr>
        <xdr:cNvSpPr>
          <a:spLocks noChangeAspect="1"/>
        </xdr:cNvSpPr>
      </xdr:nvSpPr>
      <xdr:spPr bwMode="auto">
        <a:xfrm>
          <a:off x="9077325" y="7410450"/>
          <a:ext cx="19050" cy="4762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2"/>
              </a:moveTo>
              <a:lnTo>
                <a:pt x="51" y="104"/>
              </a:lnTo>
              <a:lnTo>
                <a:pt x="39" y="103"/>
              </a:lnTo>
              <a:lnTo>
                <a:pt x="29" y="100"/>
              </a:lnTo>
              <a:lnTo>
                <a:pt x="18" y="93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8" y="12"/>
              </a:lnTo>
              <a:lnTo>
                <a:pt x="29" y="5"/>
              </a:lnTo>
              <a:lnTo>
                <a:pt x="39" y="2"/>
              </a:lnTo>
              <a:lnTo>
                <a:pt x="51" y="0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371475</xdr:colOff>
      <xdr:row>42</xdr:row>
      <xdr:rowOff>76200</xdr:rowOff>
    </xdr:from>
    <xdr:to>
      <xdr:col>16</xdr:col>
      <xdr:colOff>390525</xdr:colOff>
      <xdr:row>42</xdr:row>
      <xdr:rowOff>123825</xdr:rowOff>
    </xdr:to>
    <xdr:sp macro="" textlink="">
      <xdr:nvSpPr>
        <xdr:cNvPr id="12218" name="Freeform 396">
          <a:extLst>
            <a:ext uri="{FF2B5EF4-FFF2-40B4-BE49-F238E27FC236}">
              <a16:creationId xmlns:a16="http://schemas.microsoft.com/office/drawing/2014/main" id="{00000000-0008-0000-0900-0000BA2F0000}"/>
            </a:ext>
          </a:extLst>
        </xdr:cNvPr>
        <xdr:cNvSpPr>
          <a:spLocks noChangeAspect="1"/>
        </xdr:cNvSpPr>
      </xdr:nvSpPr>
      <xdr:spPr bwMode="auto">
        <a:xfrm>
          <a:off x="9077325" y="7410450"/>
          <a:ext cx="19050" cy="4762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39" y="103"/>
              </a:lnTo>
              <a:lnTo>
                <a:pt x="29" y="100"/>
              </a:lnTo>
              <a:lnTo>
                <a:pt x="18" y="93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8" y="12"/>
              </a:lnTo>
              <a:lnTo>
                <a:pt x="29" y="5"/>
              </a:lnTo>
              <a:lnTo>
                <a:pt x="39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0</xdr:colOff>
      <xdr:row>42</xdr:row>
      <xdr:rowOff>104775</xdr:rowOff>
    </xdr:from>
    <xdr:to>
      <xdr:col>12</xdr:col>
      <xdr:colOff>28575</xdr:colOff>
      <xdr:row>44</xdr:row>
      <xdr:rowOff>142875</xdr:rowOff>
    </xdr:to>
    <xdr:sp macro="" textlink="">
      <xdr:nvSpPr>
        <xdr:cNvPr id="12219" name="Freeform 400">
          <a:extLst>
            <a:ext uri="{FF2B5EF4-FFF2-40B4-BE49-F238E27FC236}">
              <a16:creationId xmlns:a16="http://schemas.microsoft.com/office/drawing/2014/main" id="{00000000-0008-0000-0900-0000BB2F0000}"/>
            </a:ext>
          </a:extLst>
        </xdr:cNvPr>
        <xdr:cNvSpPr>
          <a:spLocks noChangeAspect="1"/>
        </xdr:cNvSpPr>
      </xdr:nvSpPr>
      <xdr:spPr bwMode="auto">
        <a:xfrm>
          <a:off x="6572250" y="7439025"/>
          <a:ext cx="28575" cy="361950"/>
        </a:xfrm>
        <a:custGeom>
          <a:avLst/>
          <a:gdLst>
            <a:gd name="T0" fmla="*/ 0 w 104"/>
            <a:gd name="T1" fmla="*/ 0 h 793"/>
            <a:gd name="T2" fmla="*/ 0 w 104"/>
            <a:gd name="T3" fmla="*/ 0 h 793"/>
            <a:gd name="T4" fmla="*/ 0 w 104"/>
            <a:gd name="T5" fmla="*/ 0 h 793"/>
            <a:gd name="T6" fmla="*/ 0 w 104"/>
            <a:gd name="T7" fmla="*/ 2147483647 h 793"/>
            <a:gd name="T8" fmla="*/ 0 w 104"/>
            <a:gd name="T9" fmla="*/ 2147483647 h 793"/>
            <a:gd name="T10" fmla="*/ 0 w 104"/>
            <a:gd name="T11" fmla="*/ 2147483647 h 793"/>
            <a:gd name="T12" fmla="*/ 0 w 104"/>
            <a:gd name="T13" fmla="*/ 0 h 79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93"/>
            <a:gd name="T23" fmla="*/ 104 w 104"/>
            <a:gd name="T24" fmla="*/ 793 h 79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93">
              <a:moveTo>
                <a:pt x="104" y="0"/>
              </a:moveTo>
              <a:lnTo>
                <a:pt x="52" y="0"/>
              </a:lnTo>
              <a:lnTo>
                <a:pt x="0" y="0"/>
              </a:lnTo>
              <a:lnTo>
                <a:pt x="0" y="793"/>
              </a:lnTo>
              <a:lnTo>
                <a:pt x="52" y="793"/>
              </a:lnTo>
              <a:lnTo>
                <a:pt x="104" y="793"/>
              </a:lnTo>
              <a:lnTo>
                <a:pt x="104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152400</xdr:colOff>
      <xdr:row>44</xdr:row>
      <xdr:rowOff>123825</xdr:rowOff>
    </xdr:from>
    <xdr:to>
      <xdr:col>11</xdr:col>
      <xdr:colOff>180975</xdr:colOff>
      <xdr:row>44</xdr:row>
      <xdr:rowOff>152400</xdr:rowOff>
    </xdr:to>
    <xdr:sp macro="" textlink="">
      <xdr:nvSpPr>
        <xdr:cNvPr id="12220" name="Freeform 401">
          <a:extLst>
            <a:ext uri="{FF2B5EF4-FFF2-40B4-BE49-F238E27FC236}">
              <a16:creationId xmlns:a16="http://schemas.microsoft.com/office/drawing/2014/main" id="{00000000-0008-0000-0900-0000BC2F0000}"/>
            </a:ext>
          </a:extLst>
        </xdr:cNvPr>
        <xdr:cNvSpPr>
          <a:spLocks noChangeAspect="1"/>
        </xdr:cNvSpPr>
      </xdr:nvSpPr>
      <xdr:spPr bwMode="auto">
        <a:xfrm>
          <a:off x="6191250" y="7781925"/>
          <a:ext cx="28575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0"/>
              </a:moveTo>
              <a:lnTo>
                <a:pt x="104" y="0"/>
              </a:lnTo>
              <a:lnTo>
                <a:pt x="102" y="12"/>
              </a:lnTo>
              <a:lnTo>
                <a:pt x="99" y="22"/>
              </a:lnTo>
              <a:lnTo>
                <a:pt x="93" y="33"/>
              </a:lnTo>
              <a:lnTo>
                <a:pt x="84" y="41"/>
              </a:lnTo>
              <a:lnTo>
                <a:pt x="74" y="47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7"/>
              </a:lnTo>
              <a:lnTo>
                <a:pt x="19" y="41"/>
              </a:lnTo>
              <a:lnTo>
                <a:pt x="11" y="33"/>
              </a:lnTo>
              <a:lnTo>
                <a:pt x="5" y="22"/>
              </a:lnTo>
              <a:lnTo>
                <a:pt x="2" y="12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152400</xdr:colOff>
      <xdr:row>44</xdr:row>
      <xdr:rowOff>123825</xdr:rowOff>
    </xdr:from>
    <xdr:to>
      <xdr:col>11</xdr:col>
      <xdr:colOff>180975</xdr:colOff>
      <xdr:row>44</xdr:row>
      <xdr:rowOff>152400</xdr:rowOff>
    </xdr:to>
    <xdr:sp macro="" textlink="">
      <xdr:nvSpPr>
        <xdr:cNvPr id="12221" name="Freeform 402">
          <a:extLst>
            <a:ext uri="{FF2B5EF4-FFF2-40B4-BE49-F238E27FC236}">
              <a16:creationId xmlns:a16="http://schemas.microsoft.com/office/drawing/2014/main" id="{00000000-0008-0000-0900-0000BD2F0000}"/>
            </a:ext>
          </a:extLst>
        </xdr:cNvPr>
        <xdr:cNvSpPr>
          <a:spLocks noChangeAspect="1"/>
        </xdr:cNvSpPr>
      </xdr:nvSpPr>
      <xdr:spPr bwMode="auto">
        <a:xfrm>
          <a:off x="6191250" y="7781925"/>
          <a:ext cx="28575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104" y="0"/>
              </a:moveTo>
              <a:lnTo>
                <a:pt x="102" y="12"/>
              </a:lnTo>
              <a:lnTo>
                <a:pt x="99" y="22"/>
              </a:lnTo>
              <a:lnTo>
                <a:pt x="93" y="33"/>
              </a:lnTo>
              <a:lnTo>
                <a:pt x="84" y="41"/>
              </a:lnTo>
              <a:lnTo>
                <a:pt x="74" y="47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7"/>
              </a:lnTo>
              <a:lnTo>
                <a:pt x="19" y="41"/>
              </a:lnTo>
              <a:lnTo>
                <a:pt x="11" y="33"/>
              </a:lnTo>
              <a:lnTo>
                <a:pt x="5" y="22"/>
              </a:lnTo>
              <a:lnTo>
                <a:pt x="2" y="12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66675</xdr:colOff>
      <xdr:row>42</xdr:row>
      <xdr:rowOff>95250</xdr:rowOff>
    </xdr:from>
    <xdr:to>
      <xdr:col>2</xdr:col>
      <xdr:colOff>419100</xdr:colOff>
      <xdr:row>42</xdr:row>
      <xdr:rowOff>104775</xdr:rowOff>
    </xdr:to>
    <xdr:sp macro="" textlink="">
      <xdr:nvSpPr>
        <xdr:cNvPr id="12222" name="Line 403">
          <a:extLst>
            <a:ext uri="{FF2B5EF4-FFF2-40B4-BE49-F238E27FC236}">
              <a16:creationId xmlns:a16="http://schemas.microsoft.com/office/drawing/2014/main" id="{00000000-0008-0000-0900-0000BE2F0000}"/>
            </a:ext>
          </a:extLst>
        </xdr:cNvPr>
        <xdr:cNvSpPr>
          <a:spLocks noChangeAspect="1" noChangeShapeType="1"/>
        </xdr:cNvSpPr>
      </xdr:nvSpPr>
      <xdr:spPr bwMode="auto">
        <a:xfrm flipH="1">
          <a:off x="1133475" y="7429500"/>
          <a:ext cx="3524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66675</xdr:colOff>
      <xdr:row>20</xdr:row>
      <xdr:rowOff>133350</xdr:rowOff>
    </xdr:from>
    <xdr:to>
      <xdr:col>2</xdr:col>
      <xdr:colOff>419100</xdr:colOff>
      <xdr:row>20</xdr:row>
      <xdr:rowOff>142875</xdr:rowOff>
    </xdr:to>
    <xdr:sp macro="" textlink="">
      <xdr:nvSpPr>
        <xdr:cNvPr id="12223" name="Line 404">
          <a:extLst>
            <a:ext uri="{FF2B5EF4-FFF2-40B4-BE49-F238E27FC236}">
              <a16:creationId xmlns:a16="http://schemas.microsoft.com/office/drawing/2014/main" id="{00000000-0008-0000-0900-0000BF2F0000}"/>
            </a:ext>
          </a:extLst>
        </xdr:cNvPr>
        <xdr:cNvSpPr>
          <a:spLocks noChangeAspect="1" noChangeShapeType="1"/>
        </xdr:cNvSpPr>
      </xdr:nvSpPr>
      <xdr:spPr bwMode="auto">
        <a:xfrm flipH="1">
          <a:off x="1133475" y="3905250"/>
          <a:ext cx="3524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85725</xdr:colOff>
      <xdr:row>22</xdr:row>
      <xdr:rowOff>9525</xdr:rowOff>
    </xdr:from>
    <xdr:to>
      <xdr:col>2</xdr:col>
      <xdr:colOff>95250</xdr:colOff>
      <xdr:row>41</xdr:row>
      <xdr:rowOff>85725</xdr:rowOff>
    </xdr:to>
    <xdr:sp macro="" textlink="">
      <xdr:nvSpPr>
        <xdr:cNvPr id="12224" name="Line 405">
          <a:extLst>
            <a:ext uri="{FF2B5EF4-FFF2-40B4-BE49-F238E27FC236}">
              <a16:creationId xmlns:a16="http://schemas.microsoft.com/office/drawing/2014/main" id="{00000000-0008-0000-0900-0000C02F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1152525" y="4105275"/>
          <a:ext cx="9525" cy="31527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66675</xdr:colOff>
      <xdr:row>41</xdr:row>
      <xdr:rowOff>57150</xdr:rowOff>
    </xdr:from>
    <xdr:to>
      <xdr:col>2</xdr:col>
      <xdr:colOff>114300</xdr:colOff>
      <xdr:row>42</xdr:row>
      <xdr:rowOff>85725</xdr:rowOff>
    </xdr:to>
    <xdr:sp macro="" textlink="">
      <xdr:nvSpPr>
        <xdr:cNvPr id="12225" name="Freeform 407">
          <a:extLst>
            <a:ext uri="{FF2B5EF4-FFF2-40B4-BE49-F238E27FC236}">
              <a16:creationId xmlns:a16="http://schemas.microsoft.com/office/drawing/2014/main" id="{00000000-0008-0000-0900-0000C12F0000}"/>
            </a:ext>
          </a:extLst>
        </xdr:cNvPr>
        <xdr:cNvSpPr>
          <a:spLocks noChangeAspect="1"/>
        </xdr:cNvSpPr>
      </xdr:nvSpPr>
      <xdr:spPr bwMode="auto">
        <a:xfrm>
          <a:off x="1133475" y="7229475"/>
          <a:ext cx="47625" cy="190500"/>
        </a:xfrm>
        <a:custGeom>
          <a:avLst/>
          <a:gdLst>
            <a:gd name="T0" fmla="*/ 0 w 127"/>
            <a:gd name="T1" fmla="*/ 0 h 382"/>
            <a:gd name="T2" fmla="*/ 0 w 127"/>
            <a:gd name="T3" fmla="*/ 0 h 382"/>
            <a:gd name="T4" fmla="*/ 0 w 127"/>
            <a:gd name="T5" fmla="*/ 2147483647 h 382"/>
            <a:gd name="T6" fmla="*/ 0 w 127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0"/>
              </a:moveTo>
              <a:lnTo>
                <a:pt x="127" y="0"/>
              </a:lnTo>
              <a:lnTo>
                <a:pt x="63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66675</xdr:colOff>
      <xdr:row>41</xdr:row>
      <xdr:rowOff>57150</xdr:rowOff>
    </xdr:from>
    <xdr:to>
      <xdr:col>2</xdr:col>
      <xdr:colOff>114300</xdr:colOff>
      <xdr:row>42</xdr:row>
      <xdr:rowOff>85725</xdr:rowOff>
    </xdr:to>
    <xdr:sp macro="" textlink="">
      <xdr:nvSpPr>
        <xdr:cNvPr id="12226" name="Freeform 408">
          <a:extLst>
            <a:ext uri="{FF2B5EF4-FFF2-40B4-BE49-F238E27FC236}">
              <a16:creationId xmlns:a16="http://schemas.microsoft.com/office/drawing/2014/main" id="{00000000-0008-0000-0900-0000C22F0000}"/>
            </a:ext>
          </a:extLst>
        </xdr:cNvPr>
        <xdr:cNvSpPr>
          <a:spLocks noChangeAspect="1"/>
        </xdr:cNvSpPr>
      </xdr:nvSpPr>
      <xdr:spPr bwMode="auto">
        <a:xfrm>
          <a:off x="1133475" y="7229475"/>
          <a:ext cx="47625" cy="190500"/>
        </a:xfrm>
        <a:custGeom>
          <a:avLst/>
          <a:gdLst>
            <a:gd name="T0" fmla="*/ 0 w 127"/>
            <a:gd name="T1" fmla="*/ 0 h 382"/>
            <a:gd name="T2" fmla="*/ 0 w 127"/>
            <a:gd name="T3" fmla="*/ 0 h 382"/>
            <a:gd name="T4" fmla="*/ 0 w 127"/>
            <a:gd name="T5" fmla="*/ 2147483647 h 382"/>
            <a:gd name="T6" fmla="*/ 0 w 127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0"/>
              </a:moveTo>
              <a:lnTo>
                <a:pt x="127" y="0"/>
              </a:lnTo>
              <a:lnTo>
                <a:pt x="63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66675</xdr:colOff>
      <xdr:row>20</xdr:row>
      <xdr:rowOff>133350</xdr:rowOff>
    </xdr:from>
    <xdr:to>
      <xdr:col>2</xdr:col>
      <xdr:colOff>114300</xdr:colOff>
      <xdr:row>21</xdr:row>
      <xdr:rowOff>142875</xdr:rowOff>
    </xdr:to>
    <xdr:sp macro="" textlink="">
      <xdr:nvSpPr>
        <xdr:cNvPr id="12227" name="Freeform 409">
          <a:extLst>
            <a:ext uri="{FF2B5EF4-FFF2-40B4-BE49-F238E27FC236}">
              <a16:creationId xmlns:a16="http://schemas.microsoft.com/office/drawing/2014/main" id="{00000000-0008-0000-0900-0000C32F0000}"/>
            </a:ext>
          </a:extLst>
        </xdr:cNvPr>
        <xdr:cNvSpPr>
          <a:spLocks noChangeAspect="1"/>
        </xdr:cNvSpPr>
      </xdr:nvSpPr>
      <xdr:spPr bwMode="auto">
        <a:xfrm>
          <a:off x="1133475" y="3905250"/>
          <a:ext cx="47625" cy="171450"/>
        </a:xfrm>
        <a:custGeom>
          <a:avLst/>
          <a:gdLst>
            <a:gd name="T0" fmla="*/ 0 w 127"/>
            <a:gd name="T1" fmla="*/ 2147483647 h 382"/>
            <a:gd name="T2" fmla="*/ 0 w 127"/>
            <a:gd name="T3" fmla="*/ 2147483647 h 382"/>
            <a:gd name="T4" fmla="*/ 0 w 127"/>
            <a:gd name="T5" fmla="*/ 0 h 382"/>
            <a:gd name="T6" fmla="*/ 0 w 127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382"/>
              </a:moveTo>
              <a:lnTo>
                <a:pt x="127" y="382"/>
              </a:lnTo>
              <a:lnTo>
                <a:pt x="63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66675</xdr:colOff>
      <xdr:row>20</xdr:row>
      <xdr:rowOff>133350</xdr:rowOff>
    </xdr:from>
    <xdr:to>
      <xdr:col>2</xdr:col>
      <xdr:colOff>114300</xdr:colOff>
      <xdr:row>21</xdr:row>
      <xdr:rowOff>142875</xdr:rowOff>
    </xdr:to>
    <xdr:sp macro="" textlink="">
      <xdr:nvSpPr>
        <xdr:cNvPr id="12228" name="Freeform 410">
          <a:extLst>
            <a:ext uri="{FF2B5EF4-FFF2-40B4-BE49-F238E27FC236}">
              <a16:creationId xmlns:a16="http://schemas.microsoft.com/office/drawing/2014/main" id="{00000000-0008-0000-0900-0000C42F0000}"/>
            </a:ext>
          </a:extLst>
        </xdr:cNvPr>
        <xdr:cNvSpPr>
          <a:spLocks noChangeAspect="1"/>
        </xdr:cNvSpPr>
      </xdr:nvSpPr>
      <xdr:spPr bwMode="auto">
        <a:xfrm>
          <a:off x="1133475" y="3905250"/>
          <a:ext cx="47625" cy="171450"/>
        </a:xfrm>
        <a:custGeom>
          <a:avLst/>
          <a:gdLst>
            <a:gd name="T0" fmla="*/ 0 w 127"/>
            <a:gd name="T1" fmla="*/ 2147483647 h 382"/>
            <a:gd name="T2" fmla="*/ 0 w 127"/>
            <a:gd name="T3" fmla="*/ 2147483647 h 382"/>
            <a:gd name="T4" fmla="*/ 0 w 127"/>
            <a:gd name="T5" fmla="*/ 0 h 382"/>
            <a:gd name="T6" fmla="*/ 0 w 127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382"/>
              </a:moveTo>
              <a:lnTo>
                <a:pt x="127" y="382"/>
              </a:lnTo>
              <a:lnTo>
                <a:pt x="63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419100</xdr:colOff>
      <xdr:row>42</xdr:row>
      <xdr:rowOff>95250</xdr:rowOff>
    </xdr:from>
    <xdr:to>
      <xdr:col>2</xdr:col>
      <xdr:colOff>428625</xdr:colOff>
      <xdr:row>42</xdr:row>
      <xdr:rowOff>104775</xdr:rowOff>
    </xdr:to>
    <xdr:sp macro="" textlink="">
      <xdr:nvSpPr>
        <xdr:cNvPr id="12229" name="Line 411">
          <a:extLst>
            <a:ext uri="{FF2B5EF4-FFF2-40B4-BE49-F238E27FC236}">
              <a16:creationId xmlns:a16="http://schemas.microsoft.com/office/drawing/2014/main" id="{00000000-0008-0000-0900-0000C52F0000}"/>
            </a:ext>
          </a:extLst>
        </xdr:cNvPr>
        <xdr:cNvSpPr>
          <a:spLocks noChangeAspect="1" noChangeShapeType="1"/>
        </xdr:cNvSpPr>
      </xdr:nvSpPr>
      <xdr:spPr bwMode="auto">
        <a:xfrm>
          <a:off x="1485900" y="742950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419100</xdr:colOff>
      <xdr:row>20</xdr:row>
      <xdr:rowOff>133350</xdr:rowOff>
    </xdr:from>
    <xdr:to>
      <xdr:col>2</xdr:col>
      <xdr:colOff>428625</xdr:colOff>
      <xdr:row>20</xdr:row>
      <xdr:rowOff>142875</xdr:rowOff>
    </xdr:to>
    <xdr:sp macro="" textlink="">
      <xdr:nvSpPr>
        <xdr:cNvPr id="12230" name="Line 412">
          <a:extLst>
            <a:ext uri="{FF2B5EF4-FFF2-40B4-BE49-F238E27FC236}">
              <a16:creationId xmlns:a16="http://schemas.microsoft.com/office/drawing/2014/main" id="{00000000-0008-0000-0900-0000C62F0000}"/>
            </a:ext>
          </a:extLst>
        </xdr:cNvPr>
        <xdr:cNvSpPr>
          <a:spLocks noChangeAspect="1" noChangeShapeType="1"/>
        </xdr:cNvSpPr>
      </xdr:nvSpPr>
      <xdr:spPr bwMode="auto">
        <a:xfrm>
          <a:off x="1485900" y="390525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85725</xdr:colOff>
      <xdr:row>20</xdr:row>
      <xdr:rowOff>133350</xdr:rowOff>
    </xdr:from>
    <xdr:to>
      <xdr:col>2</xdr:col>
      <xdr:colOff>95250</xdr:colOff>
      <xdr:row>20</xdr:row>
      <xdr:rowOff>142875</xdr:rowOff>
    </xdr:to>
    <xdr:sp macro="" textlink="">
      <xdr:nvSpPr>
        <xdr:cNvPr id="12231" name="Line 413">
          <a:extLst>
            <a:ext uri="{FF2B5EF4-FFF2-40B4-BE49-F238E27FC236}">
              <a16:creationId xmlns:a16="http://schemas.microsoft.com/office/drawing/2014/main" id="{00000000-0008-0000-0900-0000C72F0000}"/>
            </a:ext>
          </a:extLst>
        </xdr:cNvPr>
        <xdr:cNvSpPr>
          <a:spLocks noChangeAspect="1" noChangeShapeType="1"/>
        </xdr:cNvSpPr>
      </xdr:nvSpPr>
      <xdr:spPr bwMode="auto">
        <a:xfrm>
          <a:off x="1152525" y="390525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15</xdr:row>
      <xdr:rowOff>95250</xdr:rowOff>
    </xdr:from>
    <xdr:to>
      <xdr:col>12</xdr:col>
      <xdr:colOff>28575</xdr:colOff>
      <xdr:row>18</xdr:row>
      <xdr:rowOff>85725</xdr:rowOff>
    </xdr:to>
    <xdr:sp macro="" textlink="">
      <xdr:nvSpPr>
        <xdr:cNvPr id="12232" name="Line 415">
          <a:extLst>
            <a:ext uri="{FF2B5EF4-FFF2-40B4-BE49-F238E27FC236}">
              <a16:creationId xmlns:a16="http://schemas.microsoft.com/office/drawing/2014/main" id="{00000000-0008-0000-0900-0000C82F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6600825" y="3057525"/>
          <a:ext cx="0" cy="4762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52</xdr:row>
      <xdr:rowOff>47625</xdr:rowOff>
    </xdr:from>
    <xdr:to>
      <xdr:col>4</xdr:col>
      <xdr:colOff>247650</xdr:colOff>
      <xdr:row>52</xdr:row>
      <xdr:rowOff>104775</xdr:rowOff>
    </xdr:to>
    <xdr:sp macro="" textlink="">
      <xdr:nvSpPr>
        <xdr:cNvPr id="12233" name="Freeform 417">
          <a:extLst>
            <a:ext uri="{FF2B5EF4-FFF2-40B4-BE49-F238E27FC236}">
              <a16:creationId xmlns:a16="http://schemas.microsoft.com/office/drawing/2014/main" id="{00000000-0008-0000-0900-0000C92F0000}"/>
            </a:ext>
          </a:extLst>
        </xdr:cNvPr>
        <xdr:cNvSpPr>
          <a:spLocks noChangeAspect="1"/>
        </xdr:cNvSpPr>
      </xdr:nvSpPr>
      <xdr:spPr bwMode="auto">
        <a:xfrm>
          <a:off x="2219325" y="9001125"/>
          <a:ext cx="161925" cy="57150"/>
        </a:xfrm>
        <a:custGeom>
          <a:avLst/>
          <a:gdLst>
            <a:gd name="T0" fmla="*/ 2147483647 w 382"/>
            <a:gd name="T1" fmla="*/ 0 h 127"/>
            <a:gd name="T2" fmla="*/ 2147483647 w 382"/>
            <a:gd name="T3" fmla="*/ 0 h 127"/>
            <a:gd name="T4" fmla="*/ 0 w 382"/>
            <a:gd name="T5" fmla="*/ 0 h 127"/>
            <a:gd name="T6" fmla="*/ 2147483647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382" y="0"/>
              </a:moveTo>
              <a:lnTo>
                <a:pt x="382" y="127"/>
              </a:lnTo>
              <a:lnTo>
                <a:pt x="0" y="63"/>
              </a:lnTo>
              <a:lnTo>
                <a:pt x="38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85725</xdr:colOff>
      <xdr:row>52</xdr:row>
      <xdr:rowOff>47625</xdr:rowOff>
    </xdr:from>
    <xdr:to>
      <xdr:col>4</xdr:col>
      <xdr:colOff>247650</xdr:colOff>
      <xdr:row>52</xdr:row>
      <xdr:rowOff>104775</xdr:rowOff>
    </xdr:to>
    <xdr:sp macro="" textlink="">
      <xdr:nvSpPr>
        <xdr:cNvPr id="12234" name="Freeform 418">
          <a:extLst>
            <a:ext uri="{FF2B5EF4-FFF2-40B4-BE49-F238E27FC236}">
              <a16:creationId xmlns:a16="http://schemas.microsoft.com/office/drawing/2014/main" id="{00000000-0008-0000-0900-0000CA2F0000}"/>
            </a:ext>
          </a:extLst>
        </xdr:cNvPr>
        <xdr:cNvSpPr>
          <a:spLocks noChangeAspect="1"/>
        </xdr:cNvSpPr>
      </xdr:nvSpPr>
      <xdr:spPr bwMode="auto">
        <a:xfrm>
          <a:off x="2219325" y="9001125"/>
          <a:ext cx="161925" cy="57150"/>
        </a:xfrm>
        <a:custGeom>
          <a:avLst/>
          <a:gdLst>
            <a:gd name="T0" fmla="*/ 2147483647 w 382"/>
            <a:gd name="T1" fmla="*/ 0 h 127"/>
            <a:gd name="T2" fmla="*/ 2147483647 w 382"/>
            <a:gd name="T3" fmla="*/ 0 h 127"/>
            <a:gd name="T4" fmla="*/ 0 w 382"/>
            <a:gd name="T5" fmla="*/ 0 h 127"/>
            <a:gd name="T6" fmla="*/ 2147483647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382" y="0"/>
              </a:moveTo>
              <a:lnTo>
                <a:pt x="382" y="127"/>
              </a:lnTo>
              <a:lnTo>
                <a:pt x="0" y="63"/>
              </a:lnTo>
              <a:lnTo>
                <a:pt x="382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371475</xdr:colOff>
      <xdr:row>52</xdr:row>
      <xdr:rowOff>38100</xdr:rowOff>
    </xdr:from>
    <xdr:to>
      <xdr:col>12</xdr:col>
      <xdr:colOff>38100</xdr:colOff>
      <xdr:row>52</xdr:row>
      <xdr:rowOff>95250</xdr:rowOff>
    </xdr:to>
    <xdr:sp macro="" textlink="">
      <xdr:nvSpPr>
        <xdr:cNvPr id="12235" name="Freeform 419">
          <a:extLst>
            <a:ext uri="{FF2B5EF4-FFF2-40B4-BE49-F238E27FC236}">
              <a16:creationId xmlns:a16="http://schemas.microsoft.com/office/drawing/2014/main" id="{00000000-0008-0000-0900-0000CB2F0000}"/>
            </a:ext>
          </a:extLst>
        </xdr:cNvPr>
        <xdr:cNvSpPr>
          <a:spLocks noChangeAspect="1"/>
        </xdr:cNvSpPr>
      </xdr:nvSpPr>
      <xdr:spPr bwMode="auto">
        <a:xfrm>
          <a:off x="6410325" y="8991600"/>
          <a:ext cx="200025" cy="57150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95250</xdr:colOff>
      <xdr:row>18</xdr:row>
      <xdr:rowOff>85725</xdr:rowOff>
    </xdr:from>
    <xdr:to>
      <xdr:col>4</xdr:col>
      <xdr:colOff>114300</xdr:colOff>
      <xdr:row>18</xdr:row>
      <xdr:rowOff>95250</xdr:rowOff>
    </xdr:to>
    <xdr:sp macro="" textlink="">
      <xdr:nvSpPr>
        <xdr:cNvPr id="12236" name="Line 421">
          <a:extLst>
            <a:ext uri="{FF2B5EF4-FFF2-40B4-BE49-F238E27FC236}">
              <a16:creationId xmlns:a16="http://schemas.microsoft.com/office/drawing/2014/main" id="{00000000-0008-0000-0900-0000CC2F0000}"/>
            </a:ext>
          </a:extLst>
        </xdr:cNvPr>
        <xdr:cNvSpPr>
          <a:spLocks noChangeAspect="1" noChangeShapeType="1"/>
        </xdr:cNvSpPr>
      </xdr:nvSpPr>
      <xdr:spPr bwMode="auto">
        <a:xfrm>
          <a:off x="2228850" y="3533775"/>
          <a:ext cx="1905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171450</xdr:colOff>
      <xdr:row>52</xdr:row>
      <xdr:rowOff>95250</xdr:rowOff>
    </xdr:from>
    <xdr:to>
      <xdr:col>11</xdr:col>
      <xdr:colOff>180975</xdr:colOff>
      <xdr:row>52</xdr:row>
      <xdr:rowOff>104775</xdr:rowOff>
    </xdr:to>
    <xdr:sp macro="" textlink="">
      <xdr:nvSpPr>
        <xdr:cNvPr id="12237" name="Line 423">
          <a:extLst>
            <a:ext uri="{FF2B5EF4-FFF2-40B4-BE49-F238E27FC236}">
              <a16:creationId xmlns:a16="http://schemas.microsoft.com/office/drawing/2014/main" id="{00000000-0008-0000-0900-0000CD2F0000}"/>
            </a:ext>
          </a:extLst>
        </xdr:cNvPr>
        <xdr:cNvSpPr>
          <a:spLocks noChangeAspect="1" noChangeShapeType="1"/>
        </xdr:cNvSpPr>
      </xdr:nvSpPr>
      <xdr:spPr bwMode="auto">
        <a:xfrm>
          <a:off x="6210300" y="904875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133350</xdr:colOff>
      <xdr:row>44</xdr:row>
      <xdr:rowOff>123825</xdr:rowOff>
    </xdr:from>
    <xdr:to>
      <xdr:col>4</xdr:col>
      <xdr:colOff>123825</xdr:colOff>
      <xdr:row>44</xdr:row>
      <xdr:rowOff>123825</xdr:rowOff>
    </xdr:to>
    <xdr:sp macro="" textlink="">
      <xdr:nvSpPr>
        <xdr:cNvPr id="12238" name="Line 424">
          <a:extLst>
            <a:ext uri="{FF2B5EF4-FFF2-40B4-BE49-F238E27FC236}">
              <a16:creationId xmlns:a16="http://schemas.microsoft.com/office/drawing/2014/main" id="{00000000-0008-0000-0900-0000CE2F0000}"/>
            </a:ext>
          </a:extLst>
        </xdr:cNvPr>
        <xdr:cNvSpPr>
          <a:spLocks noChangeAspect="1" noChangeShapeType="1"/>
        </xdr:cNvSpPr>
      </xdr:nvSpPr>
      <xdr:spPr bwMode="auto">
        <a:xfrm flipH="1">
          <a:off x="666750" y="7781925"/>
          <a:ext cx="159067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123825</xdr:colOff>
      <xdr:row>18</xdr:row>
      <xdr:rowOff>85725</xdr:rowOff>
    </xdr:from>
    <xdr:to>
      <xdr:col>4</xdr:col>
      <xdr:colOff>123825</xdr:colOff>
      <xdr:row>18</xdr:row>
      <xdr:rowOff>85725</xdr:rowOff>
    </xdr:to>
    <xdr:sp macro="" textlink="">
      <xdr:nvSpPr>
        <xdr:cNvPr id="12239" name="Line 425">
          <a:extLst>
            <a:ext uri="{FF2B5EF4-FFF2-40B4-BE49-F238E27FC236}">
              <a16:creationId xmlns:a16="http://schemas.microsoft.com/office/drawing/2014/main" id="{00000000-0008-0000-0900-0000CF2F0000}"/>
            </a:ext>
          </a:extLst>
        </xdr:cNvPr>
        <xdr:cNvSpPr>
          <a:spLocks noChangeAspect="1" noChangeShapeType="1"/>
        </xdr:cNvSpPr>
      </xdr:nvSpPr>
      <xdr:spPr bwMode="auto">
        <a:xfrm flipH="1">
          <a:off x="657225" y="3533775"/>
          <a:ext cx="16002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190500</xdr:colOff>
      <xdr:row>19</xdr:row>
      <xdr:rowOff>104775</xdr:rowOff>
    </xdr:from>
    <xdr:to>
      <xdr:col>1</xdr:col>
      <xdr:colOff>200025</xdr:colOff>
      <xdr:row>43</xdr:row>
      <xdr:rowOff>123825</xdr:rowOff>
    </xdr:to>
    <xdr:sp macro="" textlink="">
      <xdr:nvSpPr>
        <xdr:cNvPr id="12240" name="Line 426">
          <a:extLst>
            <a:ext uri="{FF2B5EF4-FFF2-40B4-BE49-F238E27FC236}">
              <a16:creationId xmlns:a16="http://schemas.microsoft.com/office/drawing/2014/main" id="{00000000-0008-0000-0900-0000D02F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723900" y="3714750"/>
          <a:ext cx="9525" cy="39052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161925</xdr:colOff>
      <xdr:row>43</xdr:row>
      <xdr:rowOff>123825</xdr:rowOff>
    </xdr:from>
    <xdr:to>
      <xdr:col>1</xdr:col>
      <xdr:colOff>219075</xdr:colOff>
      <xdr:row>44</xdr:row>
      <xdr:rowOff>133350</xdr:rowOff>
    </xdr:to>
    <xdr:sp macro="" textlink="">
      <xdr:nvSpPr>
        <xdr:cNvPr id="12241" name="Freeform 427">
          <a:extLst>
            <a:ext uri="{FF2B5EF4-FFF2-40B4-BE49-F238E27FC236}">
              <a16:creationId xmlns:a16="http://schemas.microsoft.com/office/drawing/2014/main" id="{00000000-0008-0000-0900-0000D12F0000}"/>
            </a:ext>
          </a:extLst>
        </xdr:cNvPr>
        <xdr:cNvSpPr>
          <a:spLocks noChangeAspect="1"/>
        </xdr:cNvSpPr>
      </xdr:nvSpPr>
      <xdr:spPr bwMode="auto">
        <a:xfrm>
          <a:off x="695325" y="7620000"/>
          <a:ext cx="57150" cy="171450"/>
        </a:xfrm>
        <a:custGeom>
          <a:avLst/>
          <a:gdLst>
            <a:gd name="T0" fmla="*/ 0 w 128"/>
            <a:gd name="T1" fmla="*/ 0 h 382"/>
            <a:gd name="T2" fmla="*/ 0 w 128"/>
            <a:gd name="T3" fmla="*/ 0 h 382"/>
            <a:gd name="T4" fmla="*/ 0 w 128"/>
            <a:gd name="T5" fmla="*/ 2147483647 h 382"/>
            <a:gd name="T6" fmla="*/ 0 w 128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8"/>
            <a:gd name="T13" fmla="*/ 0 h 382"/>
            <a:gd name="T14" fmla="*/ 128 w 128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8" h="382">
              <a:moveTo>
                <a:pt x="0" y="0"/>
              </a:moveTo>
              <a:lnTo>
                <a:pt x="128" y="0"/>
              </a:lnTo>
              <a:lnTo>
                <a:pt x="64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161925</xdr:colOff>
      <xdr:row>43</xdr:row>
      <xdr:rowOff>123825</xdr:rowOff>
    </xdr:from>
    <xdr:to>
      <xdr:col>1</xdr:col>
      <xdr:colOff>219075</xdr:colOff>
      <xdr:row>44</xdr:row>
      <xdr:rowOff>133350</xdr:rowOff>
    </xdr:to>
    <xdr:sp macro="" textlink="">
      <xdr:nvSpPr>
        <xdr:cNvPr id="12242" name="Freeform 428">
          <a:extLst>
            <a:ext uri="{FF2B5EF4-FFF2-40B4-BE49-F238E27FC236}">
              <a16:creationId xmlns:a16="http://schemas.microsoft.com/office/drawing/2014/main" id="{00000000-0008-0000-0900-0000D22F0000}"/>
            </a:ext>
          </a:extLst>
        </xdr:cNvPr>
        <xdr:cNvSpPr>
          <a:spLocks noChangeAspect="1"/>
        </xdr:cNvSpPr>
      </xdr:nvSpPr>
      <xdr:spPr bwMode="auto">
        <a:xfrm>
          <a:off x="695325" y="7620000"/>
          <a:ext cx="57150" cy="171450"/>
        </a:xfrm>
        <a:custGeom>
          <a:avLst/>
          <a:gdLst>
            <a:gd name="T0" fmla="*/ 0 w 128"/>
            <a:gd name="T1" fmla="*/ 0 h 382"/>
            <a:gd name="T2" fmla="*/ 0 w 128"/>
            <a:gd name="T3" fmla="*/ 0 h 382"/>
            <a:gd name="T4" fmla="*/ 0 w 128"/>
            <a:gd name="T5" fmla="*/ 2147483647 h 382"/>
            <a:gd name="T6" fmla="*/ 0 w 128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8"/>
            <a:gd name="T13" fmla="*/ 0 h 382"/>
            <a:gd name="T14" fmla="*/ 128 w 128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8" h="382">
              <a:moveTo>
                <a:pt x="0" y="0"/>
              </a:moveTo>
              <a:lnTo>
                <a:pt x="128" y="0"/>
              </a:lnTo>
              <a:lnTo>
                <a:pt x="64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161925</xdr:colOff>
      <xdr:row>18</xdr:row>
      <xdr:rowOff>85725</xdr:rowOff>
    </xdr:from>
    <xdr:to>
      <xdr:col>1</xdr:col>
      <xdr:colOff>219075</xdr:colOff>
      <xdr:row>19</xdr:row>
      <xdr:rowOff>114300</xdr:rowOff>
    </xdr:to>
    <xdr:sp macro="" textlink="">
      <xdr:nvSpPr>
        <xdr:cNvPr id="12243" name="Freeform 429">
          <a:extLst>
            <a:ext uri="{FF2B5EF4-FFF2-40B4-BE49-F238E27FC236}">
              <a16:creationId xmlns:a16="http://schemas.microsoft.com/office/drawing/2014/main" id="{00000000-0008-0000-0900-0000D32F0000}"/>
            </a:ext>
          </a:extLst>
        </xdr:cNvPr>
        <xdr:cNvSpPr>
          <a:spLocks noChangeAspect="1"/>
        </xdr:cNvSpPr>
      </xdr:nvSpPr>
      <xdr:spPr bwMode="auto">
        <a:xfrm>
          <a:off x="695325" y="3533775"/>
          <a:ext cx="57150" cy="190500"/>
        </a:xfrm>
        <a:custGeom>
          <a:avLst/>
          <a:gdLst>
            <a:gd name="T0" fmla="*/ 0 w 128"/>
            <a:gd name="T1" fmla="*/ 2147483647 h 382"/>
            <a:gd name="T2" fmla="*/ 0 w 128"/>
            <a:gd name="T3" fmla="*/ 2147483647 h 382"/>
            <a:gd name="T4" fmla="*/ 0 w 128"/>
            <a:gd name="T5" fmla="*/ 0 h 382"/>
            <a:gd name="T6" fmla="*/ 0 w 128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8"/>
            <a:gd name="T13" fmla="*/ 0 h 382"/>
            <a:gd name="T14" fmla="*/ 128 w 128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8" h="382">
              <a:moveTo>
                <a:pt x="0" y="382"/>
              </a:moveTo>
              <a:lnTo>
                <a:pt x="128" y="382"/>
              </a:lnTo>
              <a:lnTo>
                <a:pt x="64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161925</xdr:colOff>
      <xdr:row>18</xdr:row>
      <xdr:rowOff>85725</xdr:rowOff>
    </xdr:from>
    <xdr:to>
      <xdr:col>1</xdr:col>
      <xdr:colOff>219075</xdr:colOff>
      <xdr:row>19</xdr:row>
      <xdr:rowOff>114300</xdr:rowOff>
    </xdr:to>
    <xdr:sp macro="" textlink="">
      <xdr:nvSpPr>
        <xdr:cNvPr id="12244" name="Freeform 430">
          <a:extLst>
            <a:ext uri="{FF2B5EF4-FFF2-40B4-BE49-F238E27FC236}">
              <a16:creationId xmlns:a16="http://schemas.microsoft.com/office/drawing/2014/main" id="{00000000-0008-0000-0900-0000D42F0000}"/>
            </a:ext>
          </a:extLst>
        </xdr:cNvPr>
        <xdr:cNvSpPr>
          <a:spLocks noChangeAspect="1"/>
        </xdr:cNvSpPr>
      </xdr:nvSpPr>
      <xdr:spPr bwMode="auto">
        <a:xfrm>
          <a:off x="695325" y="3533775"/>
          <a:ext cx="57150" cy="190500"/>
        </a:xfrm>
        <a:custGeom>
          <a:avLst/>
          <a:gdLst>
            <a:gd name="T0" fmla="*/ 0 w 128"/>
            <a:gd name="T1" fmla="*/ 2147483647 h 382"/>
            <a:gd name="T2" fmla="*/ 0 w 128"/>
            <a:gd name="T3" fmla="*/ 2147483647 h 382"/>
            <a:gd name="T4" fmla="*/ 0 w 128"/>
            <a:gd name="T5" fmla="*/ 0 h 382"/>
            <a:gd name="T6" fmla="*/ 0 w 128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8"/>
            <a:gd name="T13" fmla="*/ 0 h 382"/>
            <a:gd name="T14" fmla="*/ 128 w 128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8" h="382">
              <a:moveTo>
                <a:pt x="0" y="382"/>
              </a:moveTo>
              <a:lnTo>
                <a:pt x="128" y="382"/>
              </a:lnTo>
              <a:lnTo>
                <a:pt x="64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104775</xdr:colOff>
      <xdr:row>44</xdr:row>
      <xdr:rowOff>123825</xdr:rowOff>
    </xdr:from>
    <xdr:to>
      <xdr:col>4</xdr:col>
      <xdr:colOff>123825</xdr:colOff>
      <xdr:row>44</xdr:row>
      <xdr:rowOff>133350</xdr:rowOff>
    </xdr:to>
    <xdr:sp macro="" textlink="">
      <xdr:nvSpPr>
        <xdr:cNvPr id="12245" name="Line 431">
          <a:extLst>
            <a:ext uri="{FF2B5EF4-FFF2-40B4-BE49-F238E27FC236}">
              <a16:creationId xmlns:a16="http://schemas.microsoft.com/office/drawing/2014/main" id="{00000000-0008-0000-0900-0000D52F0000}"/>
            </a:ext>
          </a:extLst>
        </xdr:cNvPr>
        <xdr:cNvSpPr>
          <a:spLocks noChangeAspect="1" noChangeShapeType="1"/>
        </xdr:cNvSpPr>
      </xdr:nvSpPr>
      <xdr:spPr bwMode="auto">
        <a:xfrm>
          <a:off x="2238375" y="7781925"/>
          <a:ext cx="1905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95250</xdr:colOff>
      <xdr:row>18</xdr:row>
      <xdr:rowOff>85725</xdr:rowOff>
    </xdr:from>
    <xdr:to>
      <xdr:col>4</xdr:col>
      <xdr:colOff>114300</xdr:colOff>
      <xdr:row>18</xdr:row>
      <xdr:rowOff>95250</xdr:rowOff>
    </xdr:to>
    <xdr:sp macro="" textlink="">
      <xdr:nvSpPr>
        <xdr:cNvPr id="12246" name="Line 432">
          <a:extLst>
            <a:ext uri="{FF2B5EF4-FFF2-40B4-BE49-F238E27FC236}">
              <a16:creationId xmlns:a16="http://schemas.microsoft.com/office/drawing/2014/main" id="{00000000-0008-0000-0900-0000D62F0000}"/>
            </a:ext>
          </a:extLst>
        </xdr:cNvPr>
        <xdr:cNvSpPr>
          <a:spLocks noChangeAspect="1" noChangeShapeType="1"/>
        </xdr:cNvSpPr>
      </xdr:nvSpPr>
      <xdr:spPr bwMode="auto">
        <a:xfrm>
          <a:off x="2228850" y="3533775"/>
          <a:ext cx="1905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190500</xdr:colOff>
      <xdr:row>18</xdr:row>
      <xdr:rowOff>85725</xdr:rowOff>
    </xdr:from>
    <xdr:to>
      <xdr:col>1</xdr:col>
      <xdr:colOff>200025</xdr:colOff>
      <xdr:row>18</xdr:row>
      <xdr:rowOff>95250</xdr:rowOff>
    </xdr:to>
    <xdr:sp macro="" textlink="">
      <xdr:nvSpPr>
        <xdr:cNvPr id="12247" name="Line 433">
          <a:extLst>
            <a:ext uri="{FF2B5EF4-FFF2-40B4-BE49-F238E27FC236}">
              <a16:creationId xmlns:a16="http://schemas.microsoft.com/office/drawing/2014/main" id="{00000000-0008-0000-0900-0000D72F0000}"/>
            </a:ext>
          </a:extLst>
        </xdr:cNvPr>
        <xdr:cNvSpPr>
          <a:spLocks noChangeAspect="1" noChangeShapeType="1"/>
        </xdr:cNvSpPr>
      </xdr:nvSpPr>
      <xdr:spPr bwMode="auto">
        <a:xfrm>
          <a:off x="723900" y="3533775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180975</xdr:colOff>
      <xdr:row>52</xdr:row>
      <xdr:rowOff>66675</xdr:rowOff>
    </xdr:from>
    <xdr:to>
      <xdr:col>18</xdr:col>
      <xdr:colOff>66675</xdr:colOff>
      <xdr:row>52</xdr:row>
      <xdr:rowOff>85725</xdr:rowOff>
    </xdr:to>
    <xdr:sp macro="" textlink="">
      <xdr:nvSpPr>
        <xdr:cNvPr id="12248" name="Line 436">
          <a:extLst>
            <a:ext uri="{FF2B5EF4-FFF2-40B4-BE49-F238E27FC236}">
              <a16:creationId xmlns:a16="http://schemas.microsoft.com/office/drawing/2014/main" id="{00000000-0008-0000-0900-0000D82F0000}"/>
            </a:ext>
          </a:extLst>
        </xdr:cNvPr>
        <xdr:cNvSpPr>
          <a:spLocks noChangeAspect="1" noChangeShapeType="1"/>
        </xdr:cNvSpPr>
      </xdr:nvSpPr>
      <xdr:spPr bwMode="auto">
        <a:xfrm>
          <a:off x="6753225" y="9020175"/>
          <a:ext cx="2838450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47625</xdr:colOff>
      <xdr:row>52</xdr:row>
      <xdr:rowOff>38100</xdr:rowOff>
    </xdr:from>
    <xdr:to>
      <xdr:col>12</xdr:col>
      <xdr:colOff>228600</xdr:colOff>
      <xdr:row>52</xdr:row>
      <xdr:rowOff>104775</xdr:rowOff>
    </xdr:to>
    <xdr:sp macro="" textlink="">
      <xdr:nvSpPr>
        <xdr:cNvPr id="12249" name="Freeform 437">
          <a:extLst>
            <a:ext uri="{FF2B5EF4-FFF2-40B4-BE49-F238E27FC236}">
              <a16:creationId xmlns:a16="http://schemas.microsoft.com/office/drawing/2014/main" id="{00000000-0008-0000-0900-0000D92F0000}"/>
            </a:ext>
          </a:extLst>
        </xdr:cNvPr>
        <xdr:cNvSpPr>
          <a:spLocks noChangeAspect="1"/>
        </xdr:cNvSpPr>
      </xdr:nvSpPr>
      <xdr:spPr bwMode="auto">
        <a:xfrm>
          <a:off x="6619875" y="8991600"/>
          <a:ext cx="180975" cy="66675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4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238125</xdr:colOff>
      <xdr:row>52</xdr:row>
      <xdr:rowOff>38100</xdr:rowOff>
    </xdr:from>
    <xdr:to>
      <xdr:col>16</xdr:col>
      <xdr:colOff>400050</xdr:colOff>
      <xdr:row>52</xdr:row>
      <xdr:rowOff>104775</xdr:rowOff>
    </xdr:to>
    <xdr:sp macro="" textlink="">
      <xdr:nvSpPr>
        <xdr:cNvPr id="12250" name="Freeform 439">
          <a:extLst>
            <a:ext uri="{FF2B5EF4-FFF2-40B4-BE49-F238E27FC236}">
              <a16:creationId xmlns:a16="http://schemas.microsoft.com/office/drawing/2014/main" id="{00000000-0008-0000-0900-0000DA2F0000}"/>
            </a:ext>
          </a:extLst>
        </xdr:cNvPr>
        <xdr:cNvSpPr>
          <a:spLocks noChangeAspect="1"/>
        </xdr:cNvSpPr>
      </xdr:nvSpPr>
      <xdr:spPr bwMode="auto">
        <a:xfrm>
          <a:off x="8943975" y="8991600"/>
          <a:ext cx="161925" cy="66675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4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390525</xdr:colOff>
      <xdr:row>42</xdr:row>
      <xdr:rowOff>95250</xdr:rowOff>
    </xdr:from>
    <xdr:to>
      <xdr:col>17</xdr:col>
      <xdr:colOff>9525</xdr:colOff>
      <xdr:row>42</xdr:row>
      <xdr:rowOff>104775</xdr:rowOff>
    </xdr:to>
    <xdr:sp macro="" textlink="">
      <xdr:nvSpPr>
        <xdr:cNvPr id="12251" name="Line 442">
          <a:extLst>
            <a:ext uri="{FF2B5EF4-FFF2-40B4-BE49-F238E27FC236}">
              <a16:creationId xmlns:a16="http://schemas.microsoft.com/office/drawing/2014/main" id="{00000000-0008-0000-0900-0000DB2F0000}"/>
            </a:ext>
          </a:extLst>
        </xdr:cNvPr>
        <xdr:cNvSpPr>
          <a:spLocks noChangeAspect="1" noChangeShapeType="1"/>
        </xdr:cNvSpPr>
      </xdr:nvSpPr>
      <xdr:spPr bwMode="auto">
        <a:xfrm>
          <a:off x="9096375" y="7429500"/>
          <a:ext cx="9525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390525</xdr:colOff>
      <xdr:row>52</xdr:row>
      <xdr:rowOff>95250</xdr:rowOff>
    </xdr:from>
    <xdr:to>
      <xdr:col>17</xdr:col>
      <xdr:colOff>9525</xdr:colOff>
      <xdr:row>52</xdr:row>
      <xdr:rowOff>104775</xdr:rowOff>
    </xdr:to>
    <xdr:sp macro="" textlink="">
      <xdr:nvSpPr>
        <xdr:cNvPr id="12252" name="Line 443">
          <a:extLst>
            <a:ext uri="{FF2B5EF4-FFF2-40B4-BE49-F238E27FC236}">
              <a16:creationId xmlns:a16="http://schemas.microsoft.com/office/drawing/2014/main" id="{00000000-0008-0000-0900-0000DC2F0000}"/>
            </a:ext>
          </a:extLst>
        </xdr:cNvPr>
        <xdr:cNvSpPr>
          <a:spLocks noChangeAspect="1" noChangeShapeType="1"/>
        </xdr:cNvSpPr>
      </xdr:nvSpPr>
      <xdr:spPr bwMode="auto">
        <a:xfrm>
          <a:off x="9096375" y="9048750"/>
          <a:ext cx="9525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66675</xdr:colOff>
      <xdr:row>37</xdr:row>
      <xdr:rowOff>142875</xdr:rowOff>
    </xdr:from>
    <xdr:to>
      <xdr:col>17</xdr:col>
      <xdr:colOff>76200</xdr:colOff>
      <xdr:row>37</xdr:row>
      <xdr:rowOff>152400</xdr:rowOff>
    </xdr:to>
    <xdr:sp macro="" textlink="">
      <xdr:nvSpPr>
        <xdr:cNvPr id="12253" name="Line 445">
          <a:extLst>
            <a:ext uri="{FF2B5EF4-FFF2-40B4-BE49-F238E27FC236}">
              <a16:creationId xmlns:a16="http://schemas.microsoft.com/office/drawing/2014/main" id="{00000000-0008-0000-0900-0000DD2F0000}"/>
            </a:ext>
          </a:extLst>
        </xdr:cNvPr>
        <xdr:cNvSpPr>
          <a:spLocks noChangeAspect="1" noChangeShapeType="1"/>
        </xdr:cNvSpPr>
      </xdr:nvSpPr>
      <xdr:spPr bwMode="auto">
        <a:xfrm>
          <a:off x="9248775" y="666750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200025</xdr:colOff>
      <xdr:row>37</xdr:row>
      <xdr:rowOff>142875</xdr:rowOff>
    </xdr:from>
    <xdr:to>
      <xdr:col>16</xdr:col>
      <xdr:colOff>314325</xdr:colOff>
      <xdr:row>37</xdr:row>
      <xdr:rowOff>142875</xdr:rowOff>
    </xdr:to>
    <xdr:sp macro="" textlink="">
      <xdr:nvSpPr>
        <xdr:cNvPr id="12254" name="Line 446">
          <a:extLst>
            <a:ext uri="{FF2B5EF4-FFF2-40B4-BE49-F238E27FC236}">
              <a16:creationId xmlns:a16="http://schemas.microsoft.com/office/drawing/2014/main" id="{00000000-0008-0000-0900-0000DE2F0000}"/>
            </a:ext>
          </a:extLst>
        </xdr:cNvPr>
        <xdr:cNvSpPr>
          <a:spLocks noChangeAspect="1" noChangeShapeType="1"/>
        </xdr:cNvSpPr>
      </xdr:nvSpPr>
      <xdr:spPr bwMode="auto">
        <a:xfrm>
          <a:off x="6772275" y="6667500"/>
          <a:ext cx="22479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37</xdr:row>
      <xdr:rowOff>123825</xdr:rowOff>
    </xdr:from>
    <xdr:to>
      <xdr:col>12</xdr:col>
      <xdr:colOff>200025</xdr:colOff>
      <xdr:row>38</xdr:row>
      <xdr:rowOff>28575</xdr:rowOff>
    </xdr:to>
    <xdr:sp macro="" textlink="">
      <xdr:nvSpPr>
        <xdr:cNvPr id="12255" name="Freeform 447">
          <a:extLst>
            <a:ext uri="{FF2B5EF4-FFF2-40B4-BE49-F238E27FC236}">
              <a16:creationId xmlns:a16="http://schemas.microsoft.com/office/drawing/2014/main" id="{00000000-0008-0000-0900-0000DF2F0000}"/>
            </a:ext>
          </a:extLst>
        </xdr:cNvPr>
        <xdr:cNvSpPr>
          <a:spLocks noChangeAspect="1"/>
        </xdr:cNvSpPr>
      </xdr:nvSpPr>
      <xdr:spPr bwMode="auto">
        <a:xfrm>
          <a:off x="6600825" y="6648450"/>
          <a:ext cx="171450" cy="66675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3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37</xdr:row>
      <xdr:rowOff>123825</xdr:rowOff>
    </xdr:from>
    <xdr:to>
      <xdr:col>12</xdr:col>
      <xdr:colOff>200025</xdr:colOff>
      <xdr:row>38</xdr:row>
      <xdr:rowOff>28575</xdr:rowOff>
    </xdr:to>
    <xdr:sp macro="" textlink="">
      <xdr:nvSpPr>
        <xdr:cNvPr id="12256" name="Freeform 448">
          <a:extLst>
            <a:ext uri="{FF2B5EF4-FFF2-40B4-BE49-F238E27FC236}">
              <a16:creationId xmlns:a16="http://schemas.microsoft.com/office/drawing/2014/main" id="{00000000-0008-0000-0900-0000E02F0000}"/>
            </a:ext>
          </a:extLst>
        </xdr:cNvPr>
        <xdr:cNvSpPr>
          <a:spLocks noChangeAspect="1"/>
        </xdr:cNvSpPr>
      </xdr:nvSpPr>
      <xdr:spPr bwMode="auto">
        <a:xfrm>
          <a:off x="6600825" y="6648450"/>
          <a:ext cx="171450" cy="66675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3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314325</xdr:colOff>
      <xdr:row>37</xdr:row>
      <xdr:rowOff>123825</xdr:rowOff>
    </xdr:from>
    <xdr:to>
      <xdr:col>17</xdr:col>
      <xdr:colOff>66675</xdr:colOff>
      <xdr:row>38</xdr:row>
      <xdr:rowOff>28575</xdr:rowOff>
    </xdr:to>
    <xdr:sp macro="" textlink="">
      <xdr:nvSpPr>
        <xdr:cNvPr id="12257" name="Freeform 449">
          <a:extLst>
            <a:ext uri="{FF2B5EF4-FFF2-40B4-BE49-F238E27FC236}">
              <a16:creationId xmlns:a16="http://schemas.microsoft.com/office/drawing/2014/main" id="{00000000-0008-0000-0900-0000E12F0000}"/>
            </a:ext>
          </a:extLst>
        </xdr:cNvPr>
        <xdr:cNvSpPr>
          <a:spLocks noChangeAspect="1"/>
        </xdr:cNvSpPr>
      </xdr:nvSpPr>
      <xdr:spPr bwMode="auto">
        <a:xfrm>
          <a:off x="9020175" y="6648450"/>
          <a:ext cx="228600" cy="66675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314325</xdr:colOff>
      <xdr:row>37</xdr:row>
      <xdr:rowOff>123825</xdr:rowOff>
    </xdr:from>
    <xdr:to>
      <xdr:col>17</xdr:col>
      <xdr:colOff>66675</xdr:colOff>
      <xdr:row>38</xdr:row>
      <xdr:rowOff>28575</xdr:rowOff>
    </xdr:to>
    <xdr:sp macro="" textlink="">
      <xdr:nvSpPr>
        <xdr:cNvPr id="12258" name="Freeform 450">
          <a:extLst>
            <a:ext uri="{FF2B5EF4-FFF2-40B4-BE49-F238E27FC236}">
              <a16:creationId xmlns:a16="http://schemas.microsoft.com/office/drawing/2014/main" id="{00000000-0008-0000-0900-0000E22F0000}"/>
            </a:ext>
          </a:extLst>
        </xdr:cNvPr>
        <xdr:cNvSpPr>
          <a:spLocks noChangeAspect="1"/>
        </xdr:cNvSpPr>
      </xdr:nvSpPr>
      <xdr:spPr bwMode="auto">
        <a:xfrm>
          <a:off x="9020175" y="6648450"/>
          <a:ext cx="228600" cy="66675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66675</xdr:colOff>
      <xdr:row>37</xdr:row>
      <xdr:rowOff>142875</xdr:rowOff>
    </xdr:from>
    <xdr:to>
      <xdr:col>17</xdr:col>
      <xdr:colOff>76200</xdr:colOff>
      <xdr:row>37</xdr:row>
      <xdr:rowOff>152400</xdr:rowOff>
    </xdr:to>
    <xdr:sp macro="" textlink="">
      <xdr:nvSpPr>
        <xdr:cNvPr id="12259" name="Line 452">
          <a:extLst>
            <a:ext uri="{FF2B5EF4-FFF2-40B4-BE49-F238E27FC236}">
              <a16:creationId xmlns:a16="http://schemas.microsoft.com/office/drawing/2014/main" id="{00000000-0008-0000-0900-0000E32F0000}"/>
            </a:ext>
          </a:extLst>
        </xdr:cNvPr>
        <xdr:cNvSpPr>
          <a:spLocks noChangeAspect="1" noChangeShapeType="1"/>
        </xdr:cNvSpPr>
      </xdr:nvSpPr>
      <xdr:spPr bwMode="auto">
        <a:xfrm>
          <a:off x="9248775" y="666750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66675</xdr:colOff>
      <xdr:row>37</xdr:row>
      <xdr:rowOff>142875</xdr:rowOff>
    </xdr:from>
    <xdr:to>
      <xdr:col>17</xdr:col>
      <xdr:colOff>76200</xdr:colOff>
      <xdr:row>37</xdr:row>
      <xdr:rowOff>152400</xdr:rowOff>
    </xdr:to>
    <xdr:sp macro="" textlink="">
      <xdr:nvSpPr>
        <xdr:cNvPr id="12260" name="Line 453">
          <a:extLst>
            <a:ext uri="{FF2B5EF4-FFF2-40B4-BE49-F238E27FC236}">
              <a16:creationId xmlns:a16="http://schemas.microsoft.com/office/drawing/2014/main" id="{00000000-0008-0000-0900-0000E42F0000}"/>
            </a:ext>
          </a:extLst>
        </xdr:cNvPr>
        <xdr:cNvSpPr>
          <a:spLocks noChangeAspect="1" noChangeShapeType="1"/>
        </xdr:cNvSpPr>
      </xdr:nvSpPr>
      <xdr:spPr bwMode="auto">
        <a:xfrm>
          <a:off x="9248775" y="666750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209550</xdr:colOff>
      <xdr:row>34</xdr:row>
      <xdr:rowOff>38100</xdr:rowOff>
    </xdr:from>
    <xdr:to>
      <xdr:col>17</xdr:col>
      <xdr:colOff>219075</xdr:colOff>
      <xdr:row>34</xdr:row>
      <xdr:rowOff>57150</xdr:rowOff>
    </xdr:to>
    <xdr:sp macro="" textlink="">
      <xdr:nvSpPr>
        <xdr:cNvPr id="12261" name="Line 455">
          <a:extLst>
            <a:ext uri="{FF2B5EF4-FFF2-40B4-BE49-F238E27FC236}">
              <a16:creationId xmlns:a16="http://schemas.microsoft.com/office/drawing/2014/main" id="{00000000-0008-0000-0900-0000E52F0000}"/>
            </a:ext>
          </a:extLst>
        </xdr:cNvPr>
        <xdr:cNvSpPr>
          <a:spLocks noChangeAspect="1" noChangeShapeType="1"/>
        </xdr:cNvSpPr>
      </xdr:nvSpPr>
      <xdr:spPr bwMode="auto">
        <a:xfrm>
          <a:off x="9391650" y="6076950"/>
          <a:ext cx="9525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200025</xdr:colOff>
      <xdr:row>34</xdr:row>
      <xdr:rowOff>38100</xdr:rowOff>
    </xdr:from>
    <xdr:to>
      <xdr:col>17</xdr:col>
      <xdr:colOff>66675</xdr:colOff>
      <xdr:row>34</xdr:row>
      <xdr:rowOff>47625</xdr:rowOff>
    </xdr:to>
    <xdr:sp macro="" textlink="">
      <xdr:nvSpPr>
        <xdr:cNvPr id="12262" name="Line 456">
          <a:extLst>
            <a:ext uri="{FF2B5EF4-FFF2-40B4-BE49-F238E27FC236}">
              <a16:creationId xmlns:a16="http://schemas.microsoft.com/office/drawing/2014/main" id="{00000000-0008-0000-0900-0000E62F0000}"/>
            </a:ext>
          </a:extLst>
        </xdr:cNvPr>
        <xdr:cNvSpPr>
          <a:spLocks noChangeAspect="1" noChangeShapeType="1"/>
        </xdr:cNvSpPr>
      </xdr:nvSpPr>
      <xdr:spPr bwMode="auto">
        <a:xfrm>
          <a:off x="6772275" y="6076950"/>
          <a:ext cx="247650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34</xdr:row>
      <xdr:rowOff>9525</xdr:rowOff>
    </xdr:from>
    <xdr:to>
      <xdr:col>12</xdr:col>
      <xdr:colOff>209550</xdr:colOff>
      <xdr:row>34</xdr:row>
      <xdr:rowOff>76200</xdr:rowOff>
    </xdr:to>
    <xdr:sp macro="" textlink="">
      <xdr:nvSpPr>
        <xdr:cNvPr id="12263" name="Freeform 457">
          <a:extLst>
            <a:ext uri="{FF2B5EF4-FFF2-40B4-BE49-F238E27FC236}">
              <a16:creationId xmlns:a16="http://schemas.microsoft.com/office/drawing/2014/main" id="{00000000-0008-0000-0900-0000E72F0000}"/>
            </a:ext>
          </a:extLst>
        </xdr:cNvPr>
        <xdr:cNvSpPr>
          <a:spLocks noChangeAspect="1"/>
        </xdr:cNvSpPr>
      </xdr:nvSpPr>
      <xdr:spPr bwMode="auto">
        <a:xfrm>
          <a:off x="6600825" y="6048375"/>
          <a:ext cx="180975" cy="66675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3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34</xdr:row>
      <xdr:rowOff>9525</xdr:rowOff>
    </xdr:from>
    <xdr:to>
      <xdr:col>12</xdr:col>
      <xdr:colOff>209550</xdr:colOff>
      <xdr:row>34</xdr:row>
      <xdr:rowOff>76200</xdr:rowOff>
    </xdr:to>
    <xdr:sp macro="" textlink="">
      <xdr:nvSpPr>
        <xdr:cNvPr id="12264" name="Freeform 458">
          <a:extLst>
            <a:ext uri="{FF2B5EF4-FFF2-40B4-BE49-F238E27FC236}">
              <a16:creationId xmlns:a16="http://schemas.microsoft.com/office/drawing/2014/main" id="{00000000-0008-0000-0900-0000E82F0000}"/>
            </a:ext>
          </a:extLst>
        </xdr:cNvPr>
        <xdr:cNvSpPr>
          <a:spLocks noChangeAspect="1"/>
        </xdr:cNvSpPr>
      </xdr:nvSpPr>
      <xdr:spPr bwMode="auto">
        <a:xfrm>
          <a:off x="6600825" y="6048375"/>
          <a:ext cx="180975" cy="66675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3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66675</xdr:colOff>
      <xdr:row>34</xdr:row>
      <xdr:rowOff>9525</xdr:rowOff>
    </xdr:from>
    <xdr:to>
      <xdr:col>17</xdr:col>
      <xdr:colOff>228600</xdr:colOff>
      <xdr:row>34</xdr:row>
      <xdr:rowOff>76200</xdr:rowOff>
    </xdr:to>
    <xdr:sp macro="" textlink="">
      <xdr:nvSpPr>
        <xdr:cNvPr id="12265" name="Freeform 459">
          <a:extLst>
            <a:ext uri="{FF2B5EF4-FFF2-40B4-BE49-F238E27FC236}">
              <a16:creationId xmlns:a16="http://schemas.microsoft.com/office/drawing/2014/main" id="{00000000-0008-0000-0900-0000E92F0000}"/>
            </a:ext>
          </a:extLst>
        </xdr:cNvPr>
        <xdr:cNvSpPr>
          <a:spLocks noChangeAspect="1"/>
        </xdr:cNvSpPr>
      </xdr:nvSpPr>
      <xdr:spPr bwMode="auto">
        <a:xfrm>
          <a:off x="9248775" y="6048375"/>
          <a:ext cx="161925" cy="66675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66675</xdr:colOff>
      <xdr:row>34</xdr:row>
      <xdr:rowOff>9525</xdr:rowOff>
    </xdr:from>
    <xdr:to>
      <xdr:col>17</xdr:col>
      <xdr:colOff>228600</xdr:colOff>
      <xdr:row>34</xdr:row>
      <xdr:rowOff>76200</xdr:rowOff>
    </xdr:to>
    <xdr:sp macro="" textlink="">
      <xdr:nvSpPr>
        <xdr:cNvPr id="12266" name="Freeform 460">
          <a:extLst>
            <a:ext uri="{FF2B5EF4-FFF2-40B4-BE49-F238E27FC236}">
              <a16:creationId xmlns:a16="http://schemas.microsoft.com/office/drawing/2014/main" id="{00000000-0008-0000-0900-0000EA2F0000}"/>
            </a:ext>
          </a:extLst>
        </xdr:cNvPr>
        <xdr:cNvSpPr>
          <a:spLocks noChangeAspect="1"/>
        </xdr:cNvSpPr>
      </xdr:nvSpPr>
      <xdr:spPr bwMode="auto">
        <a:xfrm>
          <a:off x="9248775" y="6048375"/>
          <a:ext cx="161925" cy="66675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209550</xdr:colOff>
      <xdr:row>34</xdr:row>
      <xdr:rowOff>38100</xdr:rowOff>
    </xdr:from>
    <xdr:to>
      <xdr:col>17</xdr:col>
      <xdr:colOff>219075</xdr:colOff>
      <xdr:row>34</xdr:row>
      <xdr:rowOff>57150</xdr:rowOff>
    </xdr:to>
    <xdr:sp macro="" textlink="">
      <xdr:nvSpPr>
        <xdr:cNvPr id="12267" name="Line 462">
          <a:extLst>
            <a:ext uri="{FF2B5EF4-FFF2-40B4-BE49-F238E27FC236}">
              <a16:creationId xmlns:a16="http://schemas.microsoft.com/office/drawing/2014/main" id="{00000000-0008-0000-0900-0000EB2F0000}"/>
            </a:ext>
          </a:extLst>
        </xdr:cNvPr>
        <xdr:cNvSpPr>
          <a:spLocks noChangeAspect="1" noChangeShapeType="1"/>
        </xdr:cNvSpPr>
      </xdr:nvSpPr>
      <xdr:spPr bwMode="auto">
        <a:xfrm>
          <a:off x="9391650" y="6076950"/>
          <a:ext cx="9525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209550</xdr:colOff>
      <xdr:row>34</xdr:row>
      <xdr:rowOff>38100</xdr:rowOff>
    </xdr:from>
    <xdr:to>
      <xdr:col>17</xdr:col>
      <xdr:colOff>219075</xdr:colOff>
      <xdr:row>34</xdr:row>
      <xdr:rowOff>57150</xdr:rowOff>
    </xdr:to>
    <xdr:sp macro="" textlink="">
      <xdr:nvSpPr>
        <xdr:cNvPr id="12268" name="Line 463">
          <a:extLst>
            <a:ext uri="{FF2B5EF4-FFF2-40B4-BE49-F238E27FC236}">
              <a16:creationId xmlns:a16="http://schemas.microsoft.com/office/drawing/2014/main" id="{00000000-0008-0000-0900-0000EC2F0000}"/>
            </a:ext>
          </a:extLst>
        </xdr:cNvPr>
        <xdr:cNvSpPr>
          <a:spLocks noChangeAspect="1" noChangeShapeType="1"/>
        </xdr:cNvSpPr>
      </xdr:nvSpPr>
      <xdr:spPr bwMode="auto">
        <a:xfrm>
          <a:off x="9391650" y="6076950"/>
          <a:ext cx="9525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247650</xdr:colOff>
      <xdr:row>30</xdr:row>
      <xdr:rowOff>85725</xdr:rowOff>
    </xdr:from>
    <xdr:to>
      <xdr:col>19</xdr:col>
      <xdr:colOff>0</xdr:colOff>
      <xdr:row>30</xdr:row>
      <xdr:rowOff>95250</xdr:rowOff>
    </xdr:to>
    <xdr:sp macro="" textlink="">
      <xdr:nvSpPr>
        <xdr:cNvPr id="12269" name="Line 465">
          <a:extLst>
            <a:ext uri="{FF2B5EF4-FFF2-40B4-BE49-F238E27FC236}">
              <a16:creationId xmlns:a16="http://schemas.microsoft.com/office/drawing/2014/main" id="{00000000-0008-0000-0900-0000ED2F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9772650" y="5476875"/>
          <a:ext cx="5715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200025</xdr:colOff>
      <xdr:row>30</xdr:row>
      <xdr:rowOff>85725</xdr:rowOff>
    </xdr:from>
    <xdr:to>
      <xdr:col>18</xdr:col>
      <xdr:colOff>85725</xdr:colOff>
      <xdr:row>30</xdr:row>
      <xdr:rowOff>95250</xdr:rowOff>
    </xdr:to>
    <xdr:sp macro="" textlink="">
      <xdr:nvSpPr>
        <xdr:cNvPr id="12270" name="Line 466">
          <a:extLst>
            <a:ext uri="{FF2B5EF4-FFF2-40B4-BE49-F238E27FC236}">
              <a16:creationId xmlns:a16="http://schemas.microsoft.com/office/drawing/2014/main" id="{00000000-0008-0000-0900-0000EE2F0000}"/>
            </a:ext>
          </a:extLst>
        </xdr:cNvPr>
        <xdr:cNvSpPr>
          <a:spLocks noChangeAspect="1" noChangeShapeType="1"/>
        </xdr:cNvSpPr>
      </xdr:nvSpPr>
      <xdr:spPr bwMode="auto">
        <a:xfrm>
          <a:off x="6772275" y="5476875"/>
          <a:ext cx="283845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30</xdr:row>
      <xdr:rowOff>76200</xdr:rowOff>
    </xdr:from>
    <xdr:to>
      <xdr:col>12</xdr:col>
      <xdr:colOff>209550</xdr:colOff>
      <xdr:row>30</xdr:row>
      <xdr:rowOff>123825</xdr:rowOff>
    </xdr:to>
    <xdr:sp macro="" textlink="">
      <xdr:nvSpPr>
        <xdr:cNvPr id="12271" name="Freeform 467">
          <a:extLst>
            <a:ext uri="{FF2B5EF4-FFF2-40B4-BE49-F238E27FC236}">
              <a16:creationId xmlns:a16="http://schemas.microsoft.com/office/drawing/2014/main" id="{00000000-0008-0000-0900-0000EF2F0000}"/>
            </a:ext>
          </a:extLst>
        </xdr:cNvPr>
        <xdr:cNvSpPr>
          <a:spLocks noChangeAspect="1"/>
        </xdr:cNvSpPr>
      </xdr:nvSpPr>
      <xdr:spPr bwMode="auto">
        <a:xfrm>
          <a:off x="6600825" y="5467350"/>
          <a:ext cx="180975" cy="47625"/>
        </a:xfrm>
        <a:custGeom>
          <a:avLst/>
          <a:gdLst>
            <a:gd name="T0" fmla="*/ 2147483647 w 381"/>
            <a:gd name="T1" fmla="*/ 0 h 128"/>
            <a:gd name="T2" fmla="*/ 2147483647 w 381"/>
            <a:gd name="T3" fmla="*/ 0 h 128"/>
            <a:gd name="T4" fmla="*/ 0 w 381"/>
            <a:gd name="T5" fmla="*/ 0 h 128"/>
            <a:gd name="T6" fmla="*/ 2147483647 w 381"/>
            <a:gd name="T7" fmla="*/ 0 h 128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8"/>
            <a:gd name="T14" fmla="*/ 381 w 381"/>
            <a:gd name="T15" fmla="*/ 128 h 128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8">
              <a:moveTo>
                <a:pt x="381" y="0"/>
              </a:moveTo>
              <a:lnTo>
                <a:pt x="381" y="128"/>
              </a:lnTo>
              <a:lnTo>
                <a:pt x="0" y="64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30</xdr:row>
      <xdr:rowOff>76200</xdr:rowOff>
    </xdr:from>
    <xdr:to>
      <xdr:col>12</xdr:col>
      <xdr:colOff>209550</xdr:colOff>
      <xdr:row>30</xdr:row>
      <xdr:rowOff>123825</xdr:rowOff>
    </xdr:to>
    <xdr:sp macro="" textlink="">
      <xdr:nvSpPr>
        <xdr:cNvPr id="12272" name="Freeform 468">
          <a:extLst>
            <a:ext uri="{FF2B5EF4-FFF2-40B4-BE49-F238E27FC236}">
              <a16:creationId xmlns:a16="http://schemas.microsoft.com/office/drawing/2014/main" id="{00000000-0008-0000-0900-0000F02F0000}"/>
            </a:ext>
          </a:extLst>
        </xdr:cNvPr>
        <xdr:cNvSpPr>
          <a:spLocks noChangeAspect="1"/>
        </xdr:cNvSpPr>
      </xdr:nvSpPr>
      <xdr:spPr bwMode="auto">
        <a:xfrm>
          <a:off x="6600825" y="5467350"/>
          <a:ext cx="180975" cy="47625"/>
        </a:xfrm>
        <a:custGeom>
          <a:avLst/>
          <a:gdLst>
            <a:gd name="T0" fmla="*/ 2147483647 w 381"/>
            <a:gd name="T1" fmla="*/ 0 h 128"/>
            <a:gd name="T2" fmla="*/ 2147483647 w 381"/>
            <a:gd name="T3" fmla="*/ 0 h 128"/>
            <a:gd name="T4" fmla="*/ 0 w 381"/>
            <a:gd name="T5" fmla="*/ 0 h 128"/>
            <a:gd name="T6" fmla="*/ 2147483647 w 381"/>
            <a:gd name="T7" fmla="*/ 0 h 128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8"/>
            <a:gd name="T14" fmla="*/ 381 w 381"/>
            <a:gd name="T15" fmla="*/ 128 h 128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8">
              <a:moveTo>
                <a:pt x="381" y="0"/>
              </a:moveTo>
              <a:lnTo>
                <a:pt x="381" y="128"/>
              </a:lnTo>
              <a:lnTo>
                <a:pt x="0" y="64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66675</xdr:colOff>
      <xdr:row>30</xdr:row>
      <xdr:rowOff>76200</xdr:rowOff>
    </xdr:from>
    <xdr:to>
      <xdr:col>18</xdr:col>
      <xdr:colOff>247650</xdr:colOff>
      <xdr:row>30</xdr:row>
      <xdr:rowOff>123825</xdr:rowOff>
    </xdr:to>
    <xdr:sp macro="" textlink="">
      <xdr:nvSpPr>
        <xdr:cNvPr id="12273" name="Freeform 469">
          <a:extLst>
            <a:ext uri="{FF2B5EF4-FFF2-40B4-BE49-F238E27FC236}">
              <a16:creationId xmlns:a16="http://schemas.microsoft.com/office/drawing/2014/main" id="{00000000-0008-0000-0900-0000F12F0000}"/>
            </a:ext>
          </a:extLst>
        </xdr:cNvPr>
        <xdr:cNvSpPr>
          <a:spLocks noChangeAspect="1"/>
        </xdr:cNvSpPr>
      </xdr:nvSpPr>
      <xdr:spPr bwMode="auto">
        <a:xfrm>
          <a:off x="9591675" y="5467350"/>
          <a:ext cx="180975" cy="47625"/>
        </a:xfrm>
        <a:custGeom>
          <a:avLst/>
          <a:gdLst>
            <a:gd name="T0" fmla="*/ 0 w 382"/>
            <a:gd name="T1" fmla="*/ 0 h 128"/>
            <a:gd name="T2" fmla="*/ 0 w 382"/>
            <a:gd name="T3" fmla="*/ 0 h 128"/>
            <a:gd name="T4" fmla="*/ 2147483647 w 382"/>
            <a:gd name="T5" fmla="*/ 0 h 128"/>
            <a:gd name="T6" fmla="*/ 0 w 382"/>
            <a:gd name="T7" fmla="*/ 0 h 128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8"/>
            <a:gd name="T14" fmla="*/ 382 w 382"/>
            <a:gd name="T15" fmla="*/ 128 h 128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8">
              <a:moveTo>
                <a:pt x="0" y="0"/>
              </a:moveTo>
              <a:lnTo>
                <a:pt x="0" y="128"/>
              </a:lnTo>
              <a:lnTo>
                <a:pt x="382" y="64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66675</xdr:colOff>
      <xdr:row>30</xdr:row>
      <xdr:rowOff>76200</xdr:rowOff>
    </xdr:from>
    <xdr:to>
      <xdr:col>18</xdr:col>
      <xdr:colOff>247650</xdr:colOff>
      <xdr:row>30</xdr:row>
      <xdr:rowOff>123825</xdr:rowOff>
    </xdr:to>
    <xdr:sp macro="" textlink="">
      <xdr:nvSpPr>
        <xdr:cNvPr id="12274" name="Freeform 470">
          <a:extLst>
            <a:ext uri="{FF2B5EF4-FFF2-40B4-BE49-F238E27FC236}">
              <a16:creationId xmlns:a16="http://schemas.microsoft.com/office/drawing/2014/main" id="{00000000-0008-0000-0900-0000F22F0000}"/>
            </a:ext>
          </a:extLst>
        </xdr:cNvPr>
        <xdr:cNvSpPr>
          <a:spLocks noChangeAspect="1"/>
        </xdr:cNvSpPr>
      </xdr:nvSpPr>
      <xdr:spPr bwMode="auto">
        <a:xfrm>
          <a:off x="9591675" y="5467350"/>
          <a:ext cx="180975" cy="47625"/>
        </a:xfrm>
        <a:custGeom>
          <a:avLst/>
          <a:gdLst>
            <a:gd name="T0" fmla="*/ 0 w 382"/>
            <a:gd name="T1" fmla="*/ 0 h 128"/>
            <a:gd name="T2" fmla="*/ 0 w 382"/>
            <a:gd name="T3" fmla="*/ 0 h 128"/>
            <a:gd name="T4" fmla="*/ 2147483647 w 382"/>
            <a:gd name="T5" fmla="*/ 0 h 128"/>
            <a:gd name="T6" fmla="*/ 0 w 382"/>
            <a:gd name="T7" fmla="*/ 0 h 128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8"/>
            <a:gd name="T14" fmla="*/ 382 w 382"/>
            <a:gd name="T15" fmla="*/ 128 h 128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8">
              <a:moveTo>
                <a:pt x="0" y="0"/>
              </a:moveTo>
              <a:lnTo>
                <a:pt x="0" y="128"/>
              </a:lnTo>
              <a:lnTo>
                <a:pt x="382" y="64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247650</xdr:colOff>
      <xdr:row>30</xdr:row>
      <xdr:rowOff>85725</xdr:rowOff>
    </xdr:from>
    <xdr:to>
      <xdr:col>19</xdr:col>
      <xdr:colOff>0</xdr:colOff>
      <xdr:row>30</xdr:row>
      <xdr:rowOff>95250</xdr:rowOff>
    </xdr:to>
    <xdr:sp macro="" textlink="">
      <xdr:nvSpPr>
        <xdr:cNvPr id="12275" name="Line 472">
          <a:extLst>
            <a:ext uri="{FF2B5EF4-FFF2-40B4-BE49-F238E27FC236}">
              <a16:creationId xmlns:a16="http://schemas.microsoft.com/office/drawing/2014/main" id="{00000000-0008-0000-0900-0000F32F0000}"/>
            </a:ext>
          </a:extLst>
        </xdr:cNvPr>
        <xdr:cNvSpPr>
          <a:spLocks noChangeAspect="1" noChangeShapeType="1"/>
        </xdr:cNvSpPr>
      </xdr:nvSpPr>
      <xdr:spPr bwMode="auto">
        <a:xfrm>
          <a:off x="9772650" y="5476875"/>
          <a:ext cx="5715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247650</xdr:colOff>
      <xdr:row>30</xdr:row>
      <xdr:rowOff>85725</xdr:rowOff>
    </xdr:from>
    <xdr:to>
      <xdr:col>19</xdr:col>
      <xdr:colOff>0</xdr:colOff>
      <xdr:row>30</xdr:row>
      <xdr:rowOff>95250</xdr:rowOff>
    </xdr:to>
    <xdr:sp macro="" textlink="">
      <xdr:nvSpPr>
        <xdr:cNvPr id="12276" name="Line 473">
          <a:extLst>
            <a:ext uri="{FF2B5EF4-FFF2-40B4-BE49-F238E27FC236}">
              <a16:creationId xmlns:a16="http://schemas.microsoft.com/office/drawing/2014/main" id="{00000000-0008-0000-0900-0000F42F0000}"/>
            </a:ext>
          </a:extLst>
        </xdr:cNvPr>
        <xdr:cNvSpPr>
          <a:spLocks noChangeAspect="1" noChangeShapeType="1"/>
        </xdr:cNvSpPr>
      </xdr:nvSpPr>
      <xdr:spPr bwMode="auto">
        <a:xfrm>
          <a:off x="9772650" y="5476875"/>
          <a:ext cx="5715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371475</xdr:colOff>
      <xdr:row>15</xdr:row>
      <xdr:rowOff>95250</xdr:rowOff>
    </xdr:from>
    <xdr:to>
      <xdr:col>19</xdr:col>
      <xdr:colOff>371475</xdr:colOff>
      <xdr:row>28</xdr:row>
      <xdr:rowOff>19050</xdr:rowOff>
    </xdr:to>
    <xdr:sp macro="" textlink="">
      <xdr:nvSpPr>
        <xdr:cNvPr id="12277" name="Line 475">
          <a:extLst>
            <a:ext uri="{FF2B5EF4-FFF2-40B4-BE49-F238E27FC236}">
              <a16:creationId xmlns:a16="http://schemas.microsoft.com/office/drawing/2014/main" id="{00000000-0008-0000-0900-0000F52F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10201275" y="3057525"/>
          <a:ext cx="0" cy="20288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200025</xdr:colOff>
      <xdr:row>15</xdr:row>
      <xdr:rowOff>95250</xdr:rowOff>
    </xdr:from>
    <xdr:to>
      <xdr:col>19</xdr:col>
      <xdr:colOff>200025</xdr:colOff>
      <xdr:row>15</xdr:row>
      <xdr:rowOff>104775</xdr:rowOff>
    </xdr:to>
    <xdr:sp macro="" textlink="">
      <xdr:nvSpPr>
        <xdr:cNvPr id="12278" name="Line 476">
          <a:extLst>
            <a:ext uri="{FF2B5EF4-FFF2-40B4-BE49-F238E27FC236}">
              <a16:creationId xmlns:a16="http://schemas.microsoft.com/office/drawing/2014/main" id="{00000000-0008-0000-0900-0000F62F0000}"/>
            </a:ext>
          </a:extLst>
        </xdr:cNvPr>
        <xdr:cNvSpPr>
          <a:spLocks noChangeAspect="1" noChangeShapeType="1"/>
        </xdr:cNvSpPr>
      </xdr:nvSpPr>
      <xdr:spPr bwMode="auto">
        <a:xfrm>
          <a:off x="6772275" y="3057525"/>
          <a:ext cx="325755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15</xdr:row>
      <xdr:rowOff>85725</xdr:rowOff>
    </xdr:from>
    <xdr:to>
      <xdr:col>12</xdr:col>
      <xdr:colOff>209550</xdr:colOff>
      <xdr:row>15</xdr:row>
      <xdr:rowOff>133350</xdr:rowOff>
    </xdr:to>
    <xdr:sp macro="" textlink="">
      <xdr:nvSpPr>
        <xdr:cNvPr id="12279" name="Freeform 477">
          <a:extLst>
            <a:ext uri="{FF2B5EF4-FFF2-40B4-BE49-F238E27FC236}">
              <a16:creationId xmlns:a16="http://schemas.microsoft.com/office/drawing/2014/main" id="{00000000-0008-0000-0900-0000F72F0000}"/>
            </a:ext>
          </a:extLst>
        </xdr:cNvPr>
        <xdr:cNvSpPr>
          <a:spLocks noChangeAspect="1"/>
        </xdr:cNvSpPr>
      </xdr:nvSpPr>
      <xdr:spPr bwMode="auto">
        <a:xfrm>
          <a:off x="6600825" y="3048000"/>
          <a:ext cx="180975" cy="47625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3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15</xdr:row>
      <xdr:rowOff>85725</xdr:rowOff>
    </xdr:from>
    <xdr:to>
      <xdr:col>12</xdr:col>
      <xdr:colOff>209550</xdr:colOff>
      <xdr:row>15</xdr:row>
      <xdr:rowOff>133350</xdr:rowOff>
    </xdr:to>
    <xdr:sp macro="" textlink="">
      <xdr:nvSpPr>
        <xdr:cNvPr id="12280" name="Freeform 478">
          <a:extLst>
            <a:ext uri="{FF2B5EF4-FFF2-40B4-BE49-F238E27FC236}">
              <a16:creationId xmlns:a16="http://schemas.microsoft.com/office/drawing/2014/main" id="{00000000-0008-0000-0900-0000F82F0000}"/>
            </a:ext>
          </a:extLst>
        </xdr:cNvPr>
        <xdr:cNvSpPr>
          <a:spLocks noChangeAspect="1"/>
        </xdr:cNvSpPr>
      </xdr:nvSpPr>
      <xdr:spPr bwMode="auto">
        <a:xfrm>
          <a:off x="6600825" y="3048000"/>
          <a:ext cx="180975" cy="47625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3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180975</xdr:colOff>
      <xdr:row>15</xdr:row>
      <xdr:rowOff>85725</xdr:rowOff>
    </xdr:from>
    <xdr:to>
      <xdr:col>19</xdr:col>
      <xdr:colOff>342900</xdr:colOff>
      <xdr:row>15</xdr:row>
      <xdr:rowOff>133350</xdr:rowOff>
    </xdr:to>
    <xdr:sp macro="" textlink="">
      <xdr:nvSpPr>
        <xdr:cNvPr id="12281" name="Freeform 479">
          <a:extLst>
            <a:ext uri="{FF2B5EF4-FFF2-40B4-BE49-F238E27FC236}">
              <a16:creationId xmlns:a16="http://schemas.microsoft.com/office/drawing/2014/main" id="{00000000-0008-0000-0900-0000F92F0000}"/>
            </a:ext>
          </a:extLst>
        </xdr:cNvPr>
        <xdr:cNvSpPr>
          <a:spLocks noChangeAspect="1"/>
        </xdr:cNvSpPr>
      </xdr:nvSpPr>
      <xdr:spPr bwMode="auto">
        <a:xfrm>
          <a:off x="10010775" y="3048000"/>
          <a:ext cx="161925" cy="47625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180975</xdr:colOff>
      <xdr:row>15</xdr:row>
      <xdr:rowOff>85725</xdr:rowOff>
    </xdr:from>
    <xdr:to>
      <xdr:col>19</xdr:col>
      <xdr:colOff>342900</xdr:colOff>
      <xdr:row>15</xdr:row>
      <xdr:rowOff>133350</xdr:rowOff>
    </xdr:to>
    <xdr:sp macro="" textlink="">
      <xdr:nvSpPr>
        <xdr:cNvPr id="12282" name="Freeform 480">
          <a:extLst>
            <a:ext uri="{FF2B5EF4-FFF2-40B4-BE49-F238E27FC236}">
              <a16:creationId xmlns:a16="http://schemas.microsoft.com/office/drawing/2014/main" id="{00000000-0008-0000-0900-0000FA2F0000}"/>
            </a:ext>
          </a:extLst>
        </xdr:cNvPr>
        <xdr:cNvSpPr>
          <a:spLocks noChangeAspect="1"/>
        </xdr:cNvSpPr>
      </xdr:nvSpPr>
      <xdr:spPr bwMode="auto">
        <a:xfrm>
          <a:off x="10010775" y="3048000"/>
          <a:ext cx="161925" cy="47625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28575</xdr:colOff>
      <xdr:row>20</xdr:row>
      <xdr:rowOff>133350</xdr:rowOff>
    </xdr:from>
    <xdr:to>
      <xdr:col>12</xdr:col>
      <xdr:colOff>38100</xdr:colOff>
      <xdr:row>20</xdr:row>
      <xdr:rowOff>142875</xdr:rowOff>
    </xdr:to>
    <xdr:sp macro="" textlink="">
      <xdr:nvSpPr>
        <xdr:cNvPr id="12283" name="Line 481">
          <a:extLst>
            <a:ext uri="{FF2B5EF4-FFF2-40B4-BE49-F238E27FC236}">
              <a16:creationId xmlns:a16="http://schemas.microsoft.com/office/drawing/2014/main" id="{00000000-0008-0000-0900-0000FB2F0000}"/>
            </a:ext>
          </a:extLst>
        </xdr:cNvPr>
        <xdr:cNvSpPr>
          <a:spLocks noChangeAspect="1" noChangeShapeType="1"/>
        </xdr:cNvSpPr>
      </xdr:nvSpPr>
      <xdr:spPr bwMode="auto">
        <a:xfrm>
          <a:off x="6600825" y="390525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371475</xdr:colOff>
      <xdr:row>28</xdr:row>
      <xdr:rowOff>9525</xdr:rowOff>
    </xdr:from>
    <xdr:to>
      <xdr:col>19</xdr:col>
      <xdr:colOff>381000</xdr:colOff>
      <xdr:row>28</xdr:row>
      <xdr:rowOff>19050</xdr:rowOff>
    </xdr:to>
    <xdr:sp macro="" textlink="">
      <xdr:nvSpPr>
        <xdr:cNvPr id="12284" name="Line 482">
          <a:extLst>
            <a:ext uri="{FF2B5EF4-FFF2-40B4-BE49-F238E27FC236}">
              <a16:creationId xmlns:a16="http://schemas.microsoft.com/office/drawing/2014/main" id="{00000000-0008-0000-0900-0000FC2F0000}"/>
            </a:ext>
          </a:extLst>
        </xdr:cNvPr>
        <xdr:cNvSpPr>
          <a:spLocks noChangeAspect="1" noChangeShapeType="1"/>
        </xdr:cNvSpPr>
      </xdr:nvSpPr>
      <xdr:spPr bwMode="auto">
        <a:xfrm>
          <a:off x="10201275" y="5076825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371475</xdr:colOff>
      <xdr:row>15</xdr:row>
      <xdr:rowOff>95250</xdr:rowOff>
    </xdr:from>
    <xdr:to>
      <xdr:col>19</xdr:col>
      <xdr:colOff>381000</xdr:colOff>
      <xdr:row>15</xdr:row>
      <xdr:rowOff>104775</xdr:rowOff>
    </xdr:to>
    <xdr:sp macro="" textlink="">
      <xdr:nvSpPr>
        <xdr:cNvPr id="12285" name="Line 483">
          <a:extLst>
            <a:ext uri="{FF2B5EF4-FFF2-40B4-BE49-F238E27FC236}">
              <a16:creationId xmlns:a16="http://schemas.microsoft.com/office/drawing/2014/main" id="{00000000-0008-0000-0900-0000FD2F0000}"/>
            </a:ext>
          </a:extLst>
        </xdr:cNvPr>
        <xdr:cNvSpPr>
          <a:spLocks noChangeAspect="1" noChangeShapeType="1"/>
        </xdr:cNvSpPr>
      </xdr:nvSpPr>
      <xdr:spPr bwMode="auto">
        <a:xfrm>
          <a:off x="10201275" y="3057525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390525</xdr:colOff>
      <xdr:row>42</xdr:row>
      <xdr:rowOff>95250</xdr:rowOff>
    </xdr:from>
    <xdr:to>
      <xdr:col>22</xdr:col>
      <xdr:colOff>133350</xdr:colOff>
      <xdr:row>42</xdr:row>
      <xdr:rowOff>114300</xdr:rowOff>
    </xdr:to>
    <xdr:sp macro="" textlink="">
      <xdr:nvSpPr>
        <xdr:cNvPr id="12286" name="Line 484">
          <a:extLst>
            <a:ext uri="{FF2B5EF4-FFF2-40B4-BE49-F238E27FC236}">
              <a16:creationId xmlns:a16="http://schemas.microsoft.com/office/drawing/2014/main" id="{00000000-0008-0000-0900-0000FE2F0000}"/>
            </a:ext>
          </a:extLst>
        </xdr:cNvPr>
        <xdr:cNvSpPr>
          <a:spLocks noChangeAspect="1" noChangeShapeType="1"/>
        </xdr:cNvSpPr>
      </xdr:nvSpPr>
      <xdr:spPr bwMode="auto">
        <a:xfrm>
          <a:off x="9096375" y="7429500"/>
          <a:ext cx="2466975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66675</xdr:colOff>
      <xdr:row>37</xdr:row>
      <xdr:rowOff>142875</xdr:rowOff>
    </xdr:from>
    <xdr:to>
      <xdr:col>19</xdr:col>
      <xdr:colOff>409575</xdr:colOff>
      <xdr:row>37</xdr:row>
      <xdr:rowOff>142875</xdr:rowOff>
    </xdr:to>
    <xdr:sp macro="" textlink="">
      <xdr:nvSpPr>
        <xdr:cNvPr id="12287" name="Line 485">
          <a:extLst>
            <a:ext uri="{FF2B5EF4-FFF2-40B4-BE49-F238E27FC236}">
              <a16:creationId xmlns:a16="http://schemas.microsoft.com/office/drawing/2014/main" id="{00000000-0008-0000-0900-0000FF2F0000}"/>
            </a:ext>
          </a:extLst>
        </xdr:cNvPr>
        <xdr:cNvSpPr>
          <a:spLocks noChangeAspect="1" noChangeShapeType="1"/>
        </xdr:cNvSpPr>
      </xdr:nvSpPr>
      <xdr:spPr bwMode="auto">
        <a:xfrm>
          <a:off x="9248775" y="6667500"/>
          <a:ext cx="9906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390525</xdr:colOff>
      <xdr:row>38</xdr:row>
      <xdr:rowOff>152400</xdr:rowOff>
    </xdr:from>
    <xdr:to>
      <xdr:col>19</xdr:col>
      <xdr:colOff>409575</xdr:colOff>
      <xdr:row>41</xdr:row>
      <xdr:rowOff>76200</xdr:rowOff>
    </xdr:to>
    <xdr:sp macro="" textlink="">
      <xdr:nvSpPr>
        <xdr:cNvPr id="14336" name="Line 486">
          <a:extLst>
            <a:ext uri="{FF2B5EF4-FFF2-40B4-BE49-F238E27FC236}">
              <a16:creationId xmlns:a16="http://schemas.microsoft.com/office/drawing/2014/main" id="{00000000-0008-0000-0900-00000038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10220325" y="6838950"/>
          <a:ext cx="19050" cy="4095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390525</xdr:colOff>
      <xdr:row>41</xdr:row>
      <xdr:rowOff>57150</xdr:rowOff>
    </xdr:from>
    <xdr:to>
      <xdr:col>19</xdr:col>
      <xdr:colOff>438150</xdr:colOff>
      <xdr:row>42</xdr:row>
      <xdr:rowOff>85725</xdr:rowOff>
    </xdr:to>
    <xdr:sp macro="" textlink="">
      <xdr:nvSpPr>
        <xdr:cNvPr id="14337" name="Freeform 487">
          <a:extLst>
            <a:ext uri="{FF2B5EF4-FFF2-40B4-BE49-F238E27FC236}">
              <a16:creationId xmlns:a16="http://schemas.microsoft.com/office/drawing/2014/main" id="{00000000-0008-0000-0900-000001380000}"/>
            </a:ext>
          </a:extLst>
        </xdr:cNvPr>
        <xdr:cNvSpPr>
          <a:spLocks noChangeAspect="1"/>
        </xdr:cNvSpPr>
      </xdr:nvSpPr>
      <xdr:spPr bwMode="auto">
        <a:xfrm>
          <a:off x="10220325" y="7229475"/>
          <a:ext cx="47625" cy="190500"/>
        </a:xfrm>
        <a:custGeom>
          <a:avLst/>
          <a:gdLst>
            <a:gd name="T0" fmla="*/ 0 w 128"/>
            <a:gd name="T1" fmla="*/ 0 h 382"/>
            <a:gd name="T2" fmla="*/ 0 w 128"/>
            <a:gd name="T3" fmla="*/ 0 h 382"/>
            <a:gd name="T4" fmla="*/ 0 w 128"/>
            <a:gd name="T5" fmla="*/ 2147483647 h 382"/>
            <a:gd name="T6" fmla="*/ 0 w 128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8"/>
            <a:gd name="T13" fmla="*/ 0 h 382"/>
            <a:gd name="T14" fmla="*/ 128 w 128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8" h="382">
              <a:moveTo>
                <a:pt x="0" y="0"/>
              </a:moveTo>
              <a:lnTo>
                <a:pt x="128" y="0"/>
              </a:lnTo>
              <a:lnTo>
                <a:pt x="64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390525</xdr:colOff>
      <xdr:row>41</xdr:row>
      <xdr:rowOff>57150</xdr:rowOff>
    </xdr:from>
    <xdr:to>
      <xdr:col>19</xdr:col>
      <xdr:colOff>438150</xdr:colOff>
      <xdr:row>42</xdr:row>
      <xdr:rowOff>85725</xdr:rowOff>
    </xdr:to>
    <xdr:sp macro="" textlink="">
      <xdr:nvSpPr>
        <xdr:cNvPr id="14338" name="Freeform 488">
          <a:extLst>
            <a:ext uri="{FF2B5EF4-FFF2-40B4-BE49-F238E27FC236}">
              <a16:creationId xmlns:a16="http://schemas.microsoft.com/office/drawing/2014/main" id="{00000000-0008-0000-0900-000002380000}"/>
            </a:ext>
          </a:extLst>
        </xdr:cNvPr>
        <xdr:cNvSpPr>
          <a:spLocks noChangeAspect="1"/>
        </xdr:cNvSpPr>
      </xdr:nvSpPr>
      <xdr:spPr bwMode="auto">
        <a:xfrm>
          <a:off x="10220325" y="7229475"/>
          <a:ext cx="47625" cy="190500"/>
        </a:xfrm>
        <a:custGeom>
          <a:avLst/>
          <a:gdLst>
            <a:gd name="T0" fmla="*/ 0 w 128"/>
            <a:gd name="T1" fmla="*/ 0 h 382"/>
            <a:gd name="T2" fmla="*/ 0 w 128"/>
            <a:gd name="T3" fmla="*/ 0 h 382"/>
            <a:gd name="T4" fmla="*/ 0 w 128"/>
            <a:gd name="T5" fmla="*/ 2147483647 h 382"/>
            <a:gd name="T6" fmla="*/ 0 w 128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8"/>
            <a:gd name="T13" fmla="*/ 0 h 382"/>
            <a:gd name="T14" fmla="*/ 128 w 128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8" h="382">
              <a:moveTo>
                <a:pt x="0" y="0"/>
              </a:moveTo>
              <a:lnTo>
                <a:pt x="128" y="0"/>
              </a:lnTo>
              <a:lnTo>
                <a:pt x="64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390525</xdr:colOff>
      <xdr:row>37</xdr:row>
      <xdr:rowOff>142875</xdr:rowOff>
    </xdr:from>
    <xdr:to>
      <xdr:col>19</xdr:col>
      <xdr:colOff>438150</xdr:colOff>
      <xdr:row>39</xdr:row>
      <xdr:rowOff>9525</xdr:rowOff>
    </xdr:to>
    <xdr:sp macro="" textlink="">
      <xdr:nvSpPr>
        <xdr:cNvPr id="14339" name="Freeform 489">
          <a:extLst>
            <a:ext uri="{FF2B5EF4-FFF2-40B4-BE49-F238E27FC236}">
              <a16:creationId xmlns:a16="http://schemas.microsoft.com/office/drawing/2014/main" id="{00000000-0008-0000-0900-000003380000}"/>
            </a:ext>
          </a:extLst>
        </xdr:cNvPr>
        <xdr:cNvSpPr>
          <a:spLocks noChangeAspect="1"/>
        </xdr:cNvSpPr>
      </xdr:nvSpPr>
      <xdr:spPr bwMode="auto">
        <a:xfrm>
          <a:off x="10220325" y="6667500"/>
          <a:ext cx="47625" cy="190500"/>
        </a:xfrm>
        <a:custGeom>
          <a:avLst/>
          <a:gdLst>
            <a:gd name="T0" fmla="*/ 0 w 128"/>
            <a:gd name="T1" fmla="*/ 2147483647 h 382"/>
            <a:gd name="T2" fmla="*/ 0 w 128"/>
            <a:gd name="T3" fmla="*/ 2147483647 h 382"/>
            <a:gd name="T4" fmla="*/ 0 w 128"/>
            <a:gd name="T5" fmla="*/ 0 h 382"/>
            <a:gd name="T6" fmla="*/ 0 w 128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8"/>
            <a:gd name="T13" fmla="*/ 0 h 382"/>
            <a:gd name="T14" fmla="*/ 128 w 128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8" h="382">
              <a:moveTo>
                <a:pt x="0" y="382"/>
              </a:moveTo>
              <a:lnTo>
                <a:pt x="128" y="382"/>
              </a:lnTo>
              <a:lnTo>
                <a:pt x="64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390525</xdr:colOff>
      <xdr:row>37</xdr:row>
      <xdr:rowOff>142875</xdr:rowOff>
    </xdr:from>
    <xdr:to>
      <xdr:col>19</xdr:col>
      <xdr:colOff>438150</xdr:colOff>
      <xdr:row>39</xdr:row>
      <xdr:rowOff>9525</xdr:rowOff>
    </xdr:to>
    <xdr:sp macro="" textlink="">
      <xdr:nvSpPr>
        <xdr:cNvPr id="14340" name="Freeform 490">
          <a:extLst>
            <a:ext uri="{FF2B5EF4-FFF2-40B4-BE49-F238E27FC236}">
              <a16:creationId xmlns:a16="http://schemas.microsoft.com/office/drawing/2014/main" id="{00000000-0008-0000-0900-000004380000}"/>
            </a:ext>
          </a:extLst>
        </xdr:cNvPr>
        <xdr:cNvSpPr>
          <a:spLocks noChangeAspect="1"/>
        </xdr:cNvSpPr>
      </xdr:nvSpPr>
      <xdr:spPr bwMode="auto">
        <a:xfrm>
          <a:off x="10220325" y="6667500"/>
          <a:ext cx="47625" cy="190500"/>
        </a:xfrm>
        <a:custGeom>
          <a:avLst/>
          <a:gdLst>
            <a:gd name="T0" fmla="*/ 0 w 128"/>
            <a:gd name="T1" fmla="*/ 2147483647 h 382"/>
            <a:gd name="T2" fmla="*/ 0 w 128"/>
            <a:gd name="T3" fmla="*/ 2147483647 h 382"/>
            <a:gd name="T4" fmla="*/ 0 w 128"/>
            <a:gd name="T5" fmla="*/ 0 h 382"/>
            <a:gd name="T6" fmla="*/ 0 w 128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8"/>
            <a:gd name="T13" fmla="*/ 0 h 382"/>
            <a:gd name="T14" fmla="*/ 128 w 128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8" h="382">
              <a:moveTo>
                <a:pt x="0" y="382"/>
              </a:moveTo>
              <a:lnTo>
                <a:pt x="128" y="382"/>
              </a:lnTo>
              <a:lnTo>
                <a:pt x="64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390525</xdr:colOff>
      <xdr:row>42</xdr:row>
      <xdr:rowOff>95250</xdr:rowOff>
    </xdr:from>
    <xdr:to>
      <xdr:col>17</xdr:col>
      <xdr:colOff>9525</xdr:colOff>
      <xdr:row>42</xdr:row>
      <xdr:rowOff>104775</xdr:rowOff>
    </xdr:to>
    <xdr:sp macro="" textlink="">
      <xdr:nvSpPr>
        <xdr:cNvPr id="14341" name="Line 491">
          <a:extLst>
            <a:ext uri="{FF2B5EF4-FFF2-40B4-BE49-F238E27FC236}">
              <a16:creationId xmlns:a16="http://schemas.microsoft.com/office/drawing/2014/main" id="{00000000-0008-0000-0900-000005380000}"/>
            </a:ext>
          </a:extLst>
        </xdr:cNvPr>
        <xdr:cNvSpPr>
          <a:spLocks noChangeAspect="1" noChangeShapeType="1"/>
        </xdr:cNvSpPr>
      </xdr:nvSpPr>
      <xdr:spPr bwMode="auto">
        <a:xfrm>
          <a:off x="9096375" y="7429500"/>
          <a:ext cx="9525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66675</xdr:colOff>
      <xdr:row>37</xdr:row>
      <xdr:rowOff>142875</xdr:rowOff>
    </xdr:from>
    <xdr:to>
      <xdr:col>17</xdr:col>
      <xdr:colOff>76200</xdr:colOff>
      <xdr:row>37</xdr:row>
      <xdr:rowOff>152400</xdr:rowOff>
    </xdr:to>
    <xdr:sp macro="" textlink="">
      <xdr:nvSpPr>
        <xdr:cNvPr id="14342" name="Line 492">
          <a:extLst>
            <a:ext uri="{FF2B5EF4-FFF2-40B4-BE49-F238E27FC236}">
              <a16:creationId xmlns:a16="http://schemas.microsoft.com/office/drawing/2014/main" id="{00000000-0008-0000-0900-000006380000}"/>
            </a:ext>
          </a:extLst>
        </xdr:cNvPr>
        <xdr:cNvSpPr>
          <a:spLocks noChangeAspect="1" noChangeShapeType="1"/>
        </xdr:cNvSpPr>
      </xdr:nvSpPr>
      <xdr:spPr bwMode="auto">
        <a:xfrm>
          <a:off x="9248775" y="666750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390525</xdr:colOff>
      <xdr:row>37</xdr:row>
      <xdr:rowOff>142875</xdr:rowOff>
    </xdr:from>
    <xdr:to>
      <xdr:col>19</xdr:col>
      <xdr:colOff>400050</xdr:colOff>
      <xdr:row>37</xdr:row>
      <xdr:rowOff>152400</xdr:rowOff>
    </xdr:to>
    <xdr:sp macro="" textlink="">
      <xdr:nvSpPr>
        <xdr:cNvPr id="14343" name="Line 493">
          <a:extLst>
            <a:ext uri="{FF2B5EF4-FFF2-40B4-BE49-F238E27FC236}">
              <a16:creationId xmlns:a16="http://schemas.microsoft.com/office/drawing/2014/main" id="{00000000-0008-0000-0900-000007380000}"/>
            </a:ext>
          </a:extLst>
        </xdr:cNvPr>
        <xdr:cNvSpPr>
          <a:spLocks noChangeAspect="1" noChangeShapeType="1"/>
        </xdr:cNvSpPr>
      </xdr:nvSpPr>
      <xdr:spPr bwMode="auto">
        <a:xfrm>
          <a:off x="10220325" y="666750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209550</xdr:colOff>
      <xdr:row>34</xdr:row>
      <xdr:rowOff>38100</xdr:rowOff>
    </xdr:from>
    <xdr:to>
      <xdr:col>20</xdr:col>
      <xdr:colOff>352425</xdr:colOff>
      <xdr:row>34</xdr:row>
      <xdr:rowOff>47625</xdr:rowOff>
    </xdr:to>
    <xdr:sp macro="" textlink="">
      <xdr:nvSpPr>
        <xdr:cNvPr id="14344" name="Line 495">
          <a:extLst>
            <a:ext uri="{FF2B5EF4-FFF2-40B4-BE49-F238E27FC236}">
              <a16:creationId xmlns:a16="http://schemas.microsoft.com/office/drawing/2014/main" id="{00000000-0008-0000-0900-000008380000}"/>
            </a:ext>
          </a:extLst>
        </xdr:cNvPr>
        <xdr:cNvSpPr>
          <a:spLocks noChangeAspect="1" noChangeShapeType="1"/>
        </xdr:cNvSpPr>
      </xdr:nvSpPr>
      <xdr:spPr bwMode="auto">
        <a:xfrm>
          <a:off x="9391650" y="6076950"/>
          <a:ext cx="132397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20</xdr:col>
      <xdr:colOff>371475</xdr:colOff>
      <xdr:row>35</xdr:row>
      <xdr:rowOff>47625</xdr:rowOff>
    </xdr:from>
    <xdr:to>
      <xdr:col>20</xdr:col>
      <xdr:colOff>371475</xdr:colOff>
      <xdr:row>41</xdr:row>
      <xdr:rowOff>76200</xdr:rowOff>
    </xdr:to>
    <xdr:sp macro="" textlink="">
      <xdr:nvSpPr>
        <xdr:cNvPr id="14345" name="Line 496">
          <a:extLst>
            <a:ext uri="{FF2B5EF4-FFF2-40B4-BE49-F238E27FC236}">
              <a16:creationId xmlns:a16="http://schemas.microsoft.com/office/drawing/2014/main" id="{00000000-0008-0000-0900-00000938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10734675" y="6248400"/>
          <a:ext cx="0" cy="10001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20</xdr:col>
      <xdr:colOff>342900</xdr:colOff>
      <xdr:row>41</xdr:row>
      <xdr:rowOff>57150</xdr:rowOff>
    </xdr:from>
    <xdr:to>
      <xdr:col>20</xdr:col>
      <xdr:colOff>400050</xdr:colOff>
      <xdr:row>42</xdr:row>
      <xdr:rowOff>85725</xdr:rowOff>
    </xdr:to>
    <xdr:sp macro="" textlink="">
      <xdr:nvSpPr>
        <xdr:cNvPr id="14346" name="Freeform 497">
          <a:extLst>
            <a:ext uri="{FF2B5EF4-FFF2-40B4-BE49-F238E27FC236}">
              <a16:creationId xmlns:a16="http://schemas.microsoft.com/office/drawing/2014/main" id="{00000000-0008-0000-0900-00000A380000}"/>
            </a:ext>
          </a:extLst>
        </xdr:cNvPr>
        <xdr:cNvSpPr>
          <a:spLocks noChangeAspect="1"/>
        </xdr:cNvSpPr>
      </xdr:nvSpPr>
      <xdr:spPr bwMode="auto">
        <a:xfrm>
          <a:off x="10706100" y="7229475"/>
          <a:ext cx="57150" cy="190500"/>
        </a:xfrm>
        <a:custGeom>
          <a:avLst/>
          <a:gdLst>
            <a:gd name="T0" fmla="*/ 0 w 127"/>
            <a:gd name="T1" fmla="*/ 0 h 382"/>
            <a:gd name="T2" fmla="*/ 0 w 127"/>
            <a:gd name="T3" fmla="*/ 0 h 382"/>
            <a:gd name="T4" fmla="*/ 0 w 127"/>
            <a:gd name="T5" fmla="*/ 2147483647 h 382"/>
            <a:gd name="T6" fmla="*/ 0 w 127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0"/>
              </a:moveTo>
              <a:lnTo>
                <a:pt x="127" y="0"/>
              </a:lnTo>
              <a:lnTo>
                <a:pt x="64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20</xdr:col>
      <xdr:colOff>342900</xdr:colOff>
      <xdr:row>41</xdr:row>
      <xdr:rowOff>57150</xdr:rowOff>
    </xdr:from>
    <xdr:to>
      <xdr:col>20</xdr:col>
      <xdr:colOff>400050</xdr:colOff>
      <xdr:row>42</xdr:row>
      <xdr:rowOff>85725</xdr:rowOff>
    </xdr:to>
    <xdr:sp macro="" textlink="">
      <xdr:nvSpPr>
        <xdr:cNvPr id="14347" name="Freeform 498">
          <a:extLst>
            <a:ext uri="{FF2B5EF4-FFF2-40B4-BE49-F238E27FC236}">
              <a16:creationId xmlns:a16="http://schemas.microsoft.com/office/drawing/2014/main" id="{00000000-0008-0000-0900-00000B380000}"/>
            </a:ext>
          </a:extLst>
        </xdr:cNvPr>
        <xdr:cNvSpPr>
          <a:spLocks noChangeAspect="1"/>
        </xdr:cNvSpPr>
      </xdr:nvSpPr>
      <xdr:spPr bwMode="auto">
        <a:xfrm>
          <a:off x="10706100" y="7229475"/>
          <a:ext cx="57150" cy="190500"/>
        </a:xfrm>
        <a:custGeom>
          <a:avLst/>
          <a:gdLst>
            <a:gd name="T0" fmla="*/ 0 w 127"/>
            <a:gd name="T1" fmla="*/ 0 h 382"/>
            <a:gd name="T2" fmla="*/ 0 w 127"/>
            <a:gd name="T3" fmla="*/ 0 h 382"/>
            <a:gd name="T4" fmla="*/ 0 w 127"/>
            <a:gd name="T5" fmla="*/ 2147483647 h 382"/>
            <a:gd name="T6" fmla="*/ 0 w 127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0"/>
              </a:moveTo>
              <a:lnTo>
                <a:pt x="127" y="0"/>
              </a:lnTo>
              <a:lnTo>
                <a:pt x="64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20</xdr:col>
      <xdr:colOff>342900</xdr:colOff>
      <xdr:row>34</xdr:row>
      <xdr:rowOff>38100</xdr:rowOff>
    </xdr:from>
    <xdr:to>
      <xdr:col>20</xdr:col>
      <xdr:colOff>400050</xdr:colOff>
      <xdr:row>35</xdr:row>
      <xdr:rowOff>47625</xdr:rowOff>
    </xdr:to>
    <xdr:sp macro="" textlink="">
      <xdr:nvSpPr>
        <xdr:cNvPr id="14348" name="Freeform 499">
          <a:extLst>
            <a:ext uri="{FF2B5EF4-FFF2-40B4-BE49-F238E27FC236}">
              <a16:creationId xmlns:a16="http://schemas.microsoft.com/office/drawing/2014/main" id="{00000000-0008-0000-0900-00000C380000}"/>
            </a:ext>
          </a:extLst>
        </xdr:cNvPr>
        <xdr:cNvSpPr>
          <a:spLocks noChangeAspect="1"/>
        </xdr:cNvSpPr>
      </xdr:nvSpPr>
      <xdr:spPr bwMode="auto">
        <a:xfrm>
          <a:off x="10706100" y="6076950"/>
          <a:ext cx="57150" cy="171450"/>
        </a:xfrm>
        <a:custGeom>
          <a:avLst/>
          <a:gdLst>
            <a:gd name="T0" fmla="*/ 0 w 127"/>
            <a:gd name="T1" fmla="*/ 2147483647 h 381"/>
            <a:gd name="T2" fmla="*/ 0 w 127"/>
            <a:gd name="T3" fmla="*/ 2147483647 h 381"/>
            <a:gd name="T4" fmla="*/ 0 w 127"/>
            <a:gd name="T5" fmla="*/ 0 h 381"/>
            <a:gd name="T6" fmla="*/ 0 w 127"/>
            <a:gd name="T7" fmla="*/ 2147483647 h 381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1"/>
            <a:gd name="T14" fmla="*/ 127 w 127"/>
            <a:gd name="T15" fmla="*/ 381 h 38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1">
              <a:moveTo>
                <a:pt x="0" y="381"/>
              </a:moveTo>
              <a:lnTo>
                <a:pt x="127" y="381"/>
              </a:lnTo>
              <a:lnTo>
                <a:pt x="64" y="0"/>
              </a:lnTo>
              <a:lnTo>
                <a:pt x="0" y="38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20</xdr:col>
      <xdr:colOff>342900</xdr:colOff>
      <xdr:row>34</xdr:row>
      <xdr:rowOff>38100</xdr:rowOff>
    </xdr:from>
    <xdr:to>
      <xdr:col>20</xdr:col>
      <xdr:colOff>400050</xdr:colOff>
      <xdr:row>35</xdr:row>
      <xdr:rowOff>47625</xdr:rowOff>
    </xdr:to>
    <xdr:sp macro="" textlink="">
      <xdr:nvSpPr>
        <xdr:cNvPr id="14349" name="Freeform 500">
          <a:extLst>
            <a:ext uri="{FF2B5EF4-FFF2-40B4-BE49-F238E27FC236}">
              <a16:creationId xmlns:a16="http://schemas.microsoft.com/office/drawing/2014/main" id="{00000000-0008-0000-0900-00000D380000}"/>
            </a:ext>
          </a:extLst>
        </xdr:cNvPr>
        <xdr:cNvSpPr>
          <a:spLocks noChangeAspect="1"/>
        </xdr:cNvSpPr>
      </xdr:nvSpPr>
      <xdr:spPr bwMode="auto">
        <a:xfrm>
          <a:off x="10706100" y="6076950"/>
          <a:ext cx="57150" cy="171450"/>
        </a:xfrm>
        <a:custGeom>
          <a:avLst/>
          <a:gdLst>
            <a:gd name="T0" fmla="*/ 0 w 127"/>
            <a:gd name="T1" fmla="*/ 2147483647 h 381"/>
            <a:gd name="T2" fmla="*/ 0 w 127"/>
            <a:gd name="T3" fmla="*/ 2147483647 h 381"/>
            <a:gd name="T4" fmla="*/ 0 w 127"/>
            <a:gd name="T5" fmla="*/ 0 h 381"/>
            <a:gd name="T6" fmla="*/ 0 w 127"/>
            <a:gd name="T7" fmla="*/ 2147483647 h 381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1"/>
            <a:gd name="T14" fmla="*/ 127 w 127"/>
            <a:gd name="T15" fmla="*/ 381 h 38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1">
              <a:moveTo>
                <a:pt x="0" y="381"/>
              </a:moveTo>
              <a:lnTo>
                <a:pt x="127" y="381"/>
              </a:lnTo>
              <a:lnTo>
                <a:pt x="64" y="0"/>
              </a:lnTo>
              <a:lnTo>
                <a:pt x="0" y="38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390525</xdr:colOff>
      <xdr:row>42</xdr:row>
      <xdr:rowOff>95250</xdr:rowOff>
    </xdr:from>
    <xdr:to>
      <xdr:col>17</xdr:col>
      <xdr:colOff>9525</xdr:colOff>
      <xdr:row>42</xdr:row>
      <xdr:rowOff>104775</xdr:rowOff>
    </xdr:to>
    <xdr:sp macro="" textlink="">
      <xdr:nvSpPr>
        <xdr:cNvPr id="14350" name="Line 501">
          <a:extLst>
            <a:ext uri="{FF2B5EF4-FFF2-40B4-BE49-F238E27FC236}">
              <a16:creationId xmlns:a16="http://schemas.microsoft.com/office/drawing/2014/main" id="{00000000-0008-0000-0900-00000E380000}"/>
            </a:ext>
          </a:extLst>
        </xdr:cNvPr>
        <xdr:cNvSpPr>
          <a:spLocks noChangeAspect="1" noChangeShapeType="1"/>
        </xdr:cNvSpPr>
      </xdr:nvSpPr>
      <xdr:spPr bwMode="auto">
        <a:xfrm>
          <a:off x="9096375" y="7429500"/>
          <a:ext cx="9525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209550</xdr:colOff>
      <xdr:row>34</xdr:row>
      <xdr:rowOff>38100</xdr:rowOff>
    </xdr:from>
    <xdr:to>
      <xdr:col>17</xdr:col>
      <xdr:colOff>219075</xdr:colOff>
      <xdr:row>34</xdr:row>
      <xdr:rowOff>57150</xdr:rowOff>
    </xdr:to>
    <xdr:sp macro="" textlink="">
      <xdr:nvSpPr>
        <xdr:cNvPr id="14351" name="Line 502">
          <a:extLst>
            <a:ext uri="{FF2B5EF4-FFF2-40B4-BE49-F238E27FC236}">
              <a16:creationId xmlns:a16="http://schemas.microsoft.com/office/drawing/2014/main" id="{00000000-0008-0000-0900-00000F380000}"/>
            </a:ext>
          </a:extLst>
        </xdr:cNvPr>
        <xdr:cNvSpPr>
          <a:spLocks noChangeAspect="1" noChangeShapeType="1"/>
        </xdr:cNvSpPr>
      </xdr:nvSpPr>
      <xdr:spPr bwMode="auto">
        <a:xfrm>
          <a:off x="9391650" y="6076950"/>
          <a:ext cx="9525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20</xdr:col>
      <xdr:colOff>371475</xdr:colOff>
      <xdr:row>34</xdr:row>
      <xdr:rowOff>38100</xdr:rowOff>
    </xdr:from>
    <xdr:to>
      <xdr:col>20</xdr:col>
      <xdr:colOff>381000</xdr:colOff>
      <xdr:row>34</xdr:row>
      <xdr:rowOff>57150</xdr:rowOff>
    </xdr:to>
    <xdr:sp macro="" textlink="">
      <xdr:nvSpPr>
        <xdr:cNvPr id="14352" name="Line 503">
          <a:extLst>
            <a:ext uri="{FF2B5EF4-FFF2-40B4-BE49-F238E27FC236}">
              <a16:creationId xmlns:a16="http://schemas.microsoft.com/office/drawing/2014/main" id="{00000000-0008-0000-0900-000010380000}"/>
            </a:ext>
          </a:extLst>
        </xdr:cNvPr>
        <xdr:cNvSpPr>
          <a:spLocks noChangeAspect="1" noChangeShapeType="1"/>
        </xdr:cNvSpPr>
      </xdr:nvSpPr>
      <xdr:spPr bwMode="auto">
        <a:xfrm>
          <a:off x="10734675" y="6076950"/>
          <a:ext cx="9525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247650</xdr:colOff>
      <xdr:row>30</xdr:row>
      <xdr:rowOff>85725</xdr:rowOff>
    </xdr:from>
    <xdr:to>
      <xdr:col>21</xdr:col>
      <xdr:colOff>142875</xdr:colOff>
      <xdr:row>30</xdr:row>
      <xdr:rowOff>95250</xdr:rowOff>
    </xdr:to>
    <xdr:sp macro="" textlink="">
      <xdr:nvSpPr>
        <xdr:cNvPr id="14353" name="Line 504">
          <a:extLst>
            <a:ext uri="{FF2B5EF4-FFF2-40B4-BE49-F238E27FC236}">
              <a16:creationId xmlns:a16="http://schemas.microsoft.com/office/drawing/2014/main" id="{00000000-0008-0000-0900-000011380000}"/>
            </a:ext>
          </a:extLst>
        </xdr:cNvPr>
        <xdr:cNvSpPr>
          <a:spLocks noChangeAspect="1" noChangeShapeType="1"/>
        </xdr:cNvSpPr>
      </xdr:nvSpPr>
      <xdr:spPr bwMode="auto">
        <a:xfrm>
          <a:off x="9772650" y="5476875"/>
          <a:ext cx="12668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21</xdr:col>
      <xdr:colOff>142875</xdr:colOff>
      <xdr:row>31</xdr:row>
      <xdr:rowOff>133350</xdr:rowOff>
    </xdr:from>
    <xdr:to>
      <xdr:col>21</xdr:col>
      <xdr:colOff>142875</xdr:colOff>
      <xdr:row>41</xdr:row>
      <xdr:rowOff>85725</xdr:rowOff>
    </xdr:to>
    <xdr:sp macro="" textlink="">
      <xdr:nvSpPr>
        <xdr:cNvPr id="14354" name="Line 506">
          <a:extLst>
            <a:ext uri="{FF2B5EF4-FFF2-40B4-BE49-F238E27FC236}">
              <a16:creationId xmlns:a16="http://schemas.microsoft.com/office/drawing/2014/main" id="{00000000-0008-0000-0900-000012380000}"/>
            </a:ext>
          </a:extLst>
        </xdr:cNvPr>
        <xdr:cNvSpPr>
          <a:spLocks noChangeAspect="1" noChangeShapeType="1"/>
        </xdr:cNvSpPr>
      </xdr:nvSpPr>
      <xdr:spPr bwMode="auto">
        <a:xfrm>
          <a:off x="11039475" y="5686425"/>
          <a:ext cx="0" cy="15716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21</xdr:col>
      <xdr:colOff>104775</xdr:colOff>
      <xdr:row>30</xdr:row>
      <xdr:rowOff>85725</xdr:rowOff>
    </xdr:from>
    <xdr:to>
      <xdr:col>21</xdr:col>
      <xdr:colOff>161925</xdr:colOff>
      <xdr:row>31</xdr:row>
      <xdr:rowOff>114300</xdr:rowOff>
    </xdr:to>
    <xdr:sp macro="" textlink="">
      <xdr:nvSpPr>
        <xdr:cNvPr id="14355" name="Freeform 507">
          <a:extLst>
            <a:ext uri="{FF2B5EF4-FFF2-40B4-BE49-F238E27FC236}">
              <a16:creationId xmlns:a16="http://schemas.microsoft.com/office/drawing/2014/main" id="{00000000-0008-0000-0900-000013380000}"/>
            </a:ext>
          </a:extLst>
        </xdr:cNvPr>
        <xdr:cNvSpPr>
          <a:spLocks noChangeAspect="1"/>
        </xdr:cNvSpPr>
      </xdr:nvSpPr>
      <xdr:spPr bwMode="auto">
        <a:xfrm>
          <a:off x="11001375" y="5476875"/>
          <a:ext cx="57150" cy="190500"/>
        </a:xfrm>
        <a:custGeom>
          <a:avLst/>
          <a:gdLst>
            <a:gd name="T0" fmla="*/ 0 w 127"/>
            <a:gd name="T1" fmla="*/ 2147483647 h 382"/>
            <a:gd name="T2" fmla="*/ 0 w 127"/>
            <a:gd name="T3" fmla="*/ 2147483647 h 382"/>
            <a:gd name="T4" fmla="*/ 0 w 127"/>
            <a:gd name="T5" fmla="*/ 0 h 382"/>
            <a:gd name="T6" fmla="*/ 0 w 127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382"/>
              </a:moveTo>
              <a:lnTo>
                <a:pt x="127" y="382"/>
              </a:lnTo>
              <a:lnTo>
                <a:pt x="64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21</xdr:col>
      <xdr:colOff>104775</xdr:colOff>
      <xdr:row>30</xdr:row>
      <xdr:rowOff>85725</xdr:rowOff>
    </xdr:from>
    <xdr:to>
      <xdr:col>21</xdr:col>
      <xdr:colOff>161925</xdr:colOff>
      <xdr:row>31</xdr:row>
      <xdr:rowOff>114300</xdr:rowOff>
    </xdr:to>
    <xdr:sp macro="" textlink="">
      <xdr:nvSpPr>
        <xdr:cNvPr id="14356" name="Freeform 508">
          <a:extLst>
            <a:ext uri="{FF2B5EF4-FFF2-40B4-BE49-F238E27FC236}">
              <a16:creationId xmlns:a16="http://schemas.microsoft.com/office/drawing/2014/main" id="{00000000-0008-0000-0900-000014380000}"/>
            </a:ext>
          </a:extLst>
        </xdr:cNvPr>
        <xdr:cNvSpPr>
          <a:spLocks noChangeAspect="1"/>
        </xdr:cNvSpPr>
      </xdr:nvSpPr>
      <xdr:spPr bwMode="auto">
        <a:xfrm>
          <a:off x="11001375" y="5476875"/>
          <a:ext cx="57150" cy="190500"/>
        </a:xfrm>
        <a:custGeom>
          <a:avLst/>
          <a:gdLst>
            <a:gd name="T0" fmla="*/ 0 w 127"/>
            <a:gd name="T1" fmla="*/ 2147483647 h 382"/>
            <a:gd name="T2" fmla="*/ 0 w 127"/>
            <a:gd name="T3" fmla="*/ 2147483647 h 382"/>
            <a:gd name="T4" fmla="*/ 0 w 127"/>
            <a:gd name="T5" fmla="*/ 0 h 382"/>
            <a:gd name="T6" fmla="*/ 0 w 127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382"/>
              </a:moveTo>
              <a:lnTo>
                <a:pt x="127" y="382"/>
              </a:lnTo>
              <a:lnTo>
                <a:pt x="64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21</xdr:col>
      <xdr:colOff>104775</xdr:colOff>
      <xdr:row>41</xdr:row>
      <xdr:rowOff>57150</xdr:rowOff>
    </xdr:from>
    <xdr:to>
      <xdr:col>21</xdr:col>
      <xdr:colOff>161925</xdr:colOff>
      <xdr:row>42</xdr:row>
      <xdr:rowOff>85725</xdr:rowOff>
    </xdr:to>
    <xdr:sp macro="" textlink="">
      <xdr:nvSpPr>
        <xdr:cNvPr id="14357" name="Freeform 509">
          <a:extLst>
            <a:ext uri="{FF2B5EF4-FFF2-40B4-BE49-F238E27FC236}">
              <a16:creationId xmlns:a16="http://schemas.microsoft.com/office/drawing/2014/main" id="{00000000-0008-0000-0900-000015380000}"/>
            </a:ext>
          </a:extLst>
        </xdr:cNvPr>
        <xdr:cNvSpPr>
          <a:spLocks noChangeAspect="1"/>
        </xdr:cNvSpPr>
      </xdr:nvSpPr>
      <xdr:spPr bwMode="auto">
        <a:xfrm>
          <a:off x="11001375" y="7229475"/>
          <a:ext cx="57150" cy="190500"/>
        </a:xfrm>
        <a:custGeom>
          <a:avLst/>
          <a:gdLst>
            <a:gd name="T0" fmla="*/ 0 w 127"/>
            <a:gd name="T1" fmla="*/ 0 h 382"/>
            <a:gd name="T2" fmla="*/ 0 w 127"/>
            <a:gd name="T3" fmla="*/ 0 h 382"/>
            <a:gd name="T4" fmla="*/ 0 w 127"/>
            <a:gd name="T5" fmla="*/ 2147483647 h 382"/>
            <a:gd name="T6" fmla="*/ 0 w 127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0"/>
              </a:moveTo>
              <a:lnTo>
                <a:pt x="127" y="0"/>
              </a:lnTo>
              <a:lnTo>
                <a:pt x="64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21</xdr:col>
      <xdr:colOff>104775</xdr:colOff>
      <xdr:row>41</xdr:row>
      <xdr:rowOff>57150</xdr:rowOff>
    </xdr:from>
    <xdr:to>
      <xdr:col>21</xdr:col>
      <xdr:colOff>161925</xdr:colOff>
      <xdr:row>42</xdr:row>
      <xdr:rowOff>85725</xdr:rowOff>
    </xdr:to>
    <xdr:sp macro="" textlink="">
      <xdr:nvSpPr>
        <xdr:cNvPr id="14358" name="Freeform 510">
          <a:extLst>
            <a:ext uri="{FF2B5EF4-FFF2-40B4-BE49-F238E27FC236}">
              <a16:creationId xmlns:a16="http://schemas.microsoft.com/office/drawing/2014/main" id="{00000000-0008-0000-0900-000016380000}"/>
            </a:ext>
          </a:extLst>
        </xdr:cNvPr>
        <xdr:cNvSpPr>
          <a:spLocks noChangeAspect="1"/>
        </xdr:cNvSpPr>
      </xdr:nvSpPr>
      <xdr:spPr bwMode="auto">
        <a:xfrm>
          <a:off x="11001375" y="7229475"/>
          <a:ext cx="57150" cy="190500"/>
        </a:xfrm>
        <a:custGeom>
          <a:avLst/>
          <a:gdLst>
            <a:gd name="T0" fmla="*/ 0 w 127"/>
            <a:gd name="T1" fmla="*/ 0 h 382"/>
            <a:gd name="T2" fmla="*/ 0 w 127"/>
            <a:gd name="T3" fmla="*/ 0 h 382"/>
            <a:gd name="T4" fmla="*/ 0 w 127"/>
            <a:gd name="T5" fmla="*/ 2147483647 h 382"/>
            <a:gd name="T6" fmla="*/ 0 w 127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0"/>
              </a:moveTo>
              <a:lnTo>
                <a:pt x="127" y="0"/>
              </a:lnTo>
              <a:lnTo>
                <a:pt x="64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247650</xdr:colOff>
      <xdr:row>30</xdr:row>
      <xdr:rowOff>85725</xdr:rowOff>
    </xdr:from>
    <xdr:to>
      <xdr:col>19</xdr:col>
      <xdr:colOff>0</xdr:colOff>
      <xdr:row>30</xdr:row>
      <xdr:rowOff>95250</xdr:rowOff>
    </xdr:to>
    <xdr:sp macro="" textlink="">
      <xdr:nvSpPr>
        <xdr:cNvPr id="14359" name="Line 511">
          <a:extLst>
            <a:ext uri="{FF2B5EF4-FFF2-40B4-BE49-F238E27FC236}">
              <a16:creationId xmlns:a16="http://schemas.microsoft.com/office/drawing/2014/main" id="{00000000-0008-0000-0900-000017380000}"/>
            </a:ext>
          </a:extLst>
        </xdr:cNvPr>
        <xdr:cNvSpPr>
          <a:spLocks noChangeAspect="1" noChangeShapeType="1"/>
        </xdr:cNvSpPr>
      </xdr:nvSpPr>
      <xdr:spPr bwMode="auto">
        <a:xfrm>
          <a:off x="9772650" y="5476875"/>
          <a:ext cx="5715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390525</xdr:colOff>
      <xdr:row>42</xdr:row>
      <xdr:rowOff>95250</xdr:rowOff>
    </xdr:from>
    <xdr:to>
      <xdr:col>17</xdr:col>
      <xdr:colOff>9525</xdr:colOff>
      <xdr:row>42</xdr:row>
      <xdr:rowOff>104775</xdr:rowOff>
    </xdr:to>
    <xdr:sp macro="" textlink="">
      <xdr:nvSpPr>
        <xdr:cNvPr id="14360" name="Line 512">
          <a:extLst>
            <a:ext uri="{FF2B5EF4-FFF2-40B4-BE49-F238E27FC236}">
              <a16:creationId xmlns:a16="http://schemas.microsoft.com/office/drawing/2014/main" id="{00000000-0008-0000-0900-000018380000}"/>
            </a:ext>
          </a:extLst>
        </xdr:cNvPr>
        <xdr:cNvSpPr>
          <a:spLocks noChangeAspect="1" noChangeShapeType="1"/>
        </xdr:cNvSpPr>
      </xdr:nvSpPr>
      <xdr:spPr bwMode="auto">
        <a:xfrm>
          <a:off x="9096375" y="7429500"/>
          <a:ext cx="9525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21</xdr:col>
      <xdr:colOff>142875</xdr:colOff>
      <xdr:row>42</xdr:row>
      <xdr:rowOff>95250</xdr:rowOff>
    </xdr:from>
    <xdr:to>
      <xdr:col>21</xdr:col>
      <xdr:colOff>152400</xdr:colOff>
      <xdr:row>42</xdr:row>
      <xdr:rowOff>104775</xdr:rowOff>
    </xdr:to>
    <xdr:sp macro="" textlink="">
      <xdr:nvSpPr>
        <xdr:cNvPr id="14361" name="Line 513">
          <a:extLst>
            <a:ext uri="{FF2B5EF4-FFF2-40B4-BE49-F238E27FC236}">
              <a16:creationId xmlns:a16="http://schemas.microsoft.com/office/drawing/2014/main" id="{00000000-0008-0000-0900-000019380000}"/>
            </a:ext>
          </a:extLst>
        </xdr:cNvPr>
        <xdr:cNvSpPr>
          <a:spLocks noChangeAspect="1" noChangeShapeType="1"/>
        </xdr:cNvSpPr>
      </xdr:nvSpPr>
      <xdr:spPr bwMode="auto">
        <a:xfrm>
          <a:off x="11039475" y="742950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371475</xdr:colOff>
      <xdr:row>28</xdr:row>
      <xdr:rowOff>9525</xdr:rowOff>
    </xdr:from>
    <xdr:to>
      <xdr:col>22</xdr:col>
      <xdr:colOff>142875</xdr:colOff>
      <xdr:row>28</xdr:row>
      <xdr:rowOff>19050</xdr:rowOff>
    </xdr:to>
    <xdr:sp macro="" textlink="">
      <xdr:nvSpPr>
        <xdr:cNvPr id="14362" name="Line 514">
          <a:extLst>
            <a:ext uri="{FF2B5EF4-FFF2-40B4-BE49-F238E27FC236}">
              <a16:creationId xmlns:a16="http://schemas.microsoft.com/office/drawing/2014/main" id="{00000000-0008-0000-0900-00001A380000}"/>
            </a:ext>
          </a:extLst>
        </xdr:cNvPr>
        <xdr:cNvSpPr>
          <a:spLocks noChangeAspect="1" noChangeShapeType="1"/>
        </xdr:cNvSpPr>
      </xdr:nvSpPr>
      <xdr:spPr bwMode="auto">
        <a:xfrm>
          <a:off x="10201275" y="5076825"/>
          <a:ext cx="137160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22</xdr:col>
      <xdr:colOff>142875</xdr:colOff>
      <xdr:row>29</xdr:row>
      <xdr:rowOff>38100</xdr:rowOff>
    </xdr:from>
    <xdr:to>
      <xdr:col>22</xdr:col>
      <xdr:colOff>142875</xdr:colOff>
      <xdr:row>41</xdr:row>
      <xdr:rowOff>76200</xdr:rowOff>
    </xdr:to>
    <xdr:sp macro="" textlink="">
      <xdr:nvSpPr>
        <xdr:cNvPr id="14363" name="Line 516">
          <a:extLst>
            <a:ext uri="{FF2B5EF4-FFF2-40B4-BE49-F238E27FC236}">
              <a16:creationId xmlns:a16="http://schemas.microsoft.com/office/drawing/2014/main" id="{00000000-0008-0000-0900-00001B380000}"/>
            </a:ext>
          </a:extLst>
        </xdr:cNvPr>
        <xdr:cNvSpPr>
          <a:spLocks noChangeAspect="1" noChangeShapeType="1"/>
        </xdr:cNvSpPr>
      </xdr:nvSpPr>
      <xdr:spPr bwMode="auto">
        <a:xfrm>
          <a:off x="11572875" y="5267325"/>
          <a:ext cx="0" cy="198120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22</xdr:col>
      <xdr:colOff>104775</xdr:colOff>
      <xdr:row>28</xdr:row>
      <xdr:rowOff>9525</xdr:rowOff>
    </xdr:from>
    <xdr:to>
      <xdr:col>22</xdr:col>
      <xdr:colOff>171450</xdr:colOff>
      <xdr:row>29</xdr:row>
      <xdr:rowOff>28575</xdr:rowOff>
    </xdr:to>
    <xdr:sp macro="" textlink="">
      <xdr:nvSpPr>
        <xdr:cNvPr id="14364" name="Freeform 517">
          <a:extLst>
            <a:ext uri="{FF2B5EF4-FFF2-40B4-BE49-F238E27FC236}">
              <a16:creationId xmlns:a16="http://schemas.microsoft.com/office/drawing/2014/main" id="{00000000-0008-0000-0900-00001C380000}"/>
            </a:ext>
          </a:extLst>
        </xdr:cNvPr>
        <xdr:cNvSpPr>
          <a:spLocks noChangeAspect="1"/>
        </xdr:cNvSpPr>
      </xdr:nvSpPr>
      <xdr:spPr bwMode="auto">
        <a:xfrm>
          <a:off x="11534775" y="5076825"/>
          <a:ext cx="66675" cy="180975"/>
        </a:xfrm>
        <a:custGeom>
          <a:avLst/>
          <a:gdLst>
            <a:gd name="T0" fmla="*/ 0 w 127"/>
            <a:gd name="T1" fmla="*/ 2147483647 h 382"/>
            <a:gd name="T2" fmla="*/ 2147483647 w 127"/>
            <a:gd name="T3" fmla="*/ 2147483647 h 382"/>
            <a:gd name="T4" fmla="*/ 0 w 127"/>
            <a:gd name="T5" fmla="*/ 0 h 382"/>
            <a:gd name="T6" fmla="*/ 0 w 127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382"/>
              </a:moveTo>
              <a:lnTo>
                <a:pt x="127" y="382"/>
              </a:lnTo>
              <a:lnTo>
                <a:pt x="63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22</xdr:col>
      <xdr:colOff>104775</xdr:colOff>
      <xdr:row>28</xdr:row>
      <xdr:rowOff>9525</xdr:rowOff>
    </xdr:from>
    <xdr:to>
      <xdr:col>22</xdr:col>
      <xdr:colOff>171450</xdr:colOff>
      <xdr:row>29</xdr:row>
      <xdr:rowOff>28575</xdr:rowOff>
    </xdr:to>
    <xdr:sp macro="" textlink="">
      <xdr:nvSpPr>
        <xdr:cNvPr id="14365" name="Freeform 518">
          <a:extLst>
            <a:ext uri="{FF2B5EF4-FFF2-40B4-BE49-F238E27FC236}">
              <a16:creationId xmlns:a16="http://schemas.microsoft.com/office/drawing/2014/main" id="{00000000-0008-0000-0900-00001D380000}"/>
            </a:ext>
          </a:extLst>
        </xdr:cNvPr>
        <xdr:cNvSpPr>
          <a:spLocks noChangeAspect="1"/>
        </xdr:cNvSpPr>
      </xdr:nvSpPr>
      <xdr:spPr bwMode="auto">
        <a:xfrm>
          <a:off x="11534775" y="5076825"/>
          <a:ext cx="66675" cy="180975"/>
        </a:xfrm>
        <a:custGeom>
          <a:avLst/>
          <a:gdLst>
            <a:gd name="T0" fmla="*/ 0 w 127"/>
            <a:gd name="T1" fmla="*/ 2147483647 h 382"/>
            <a:gd name="T2" fmla="*/ 2147483647 w 127"/>
            <a:gd name="T3" fmla="*/ 2147483647 h 382"/>
            <a:gd name="T4" fmla="*/ 0 w 127"/>
            <a:gd name="T5" fmla="*/ 0 h 382"/>
            <a:gd name="T6" fmla="*/ 0 w 127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382"/>
              </a:moveTo>
              <a:lnTo>
                <a:pt x="127" y="382"/>
              </a:lnTo>
              <a:lnTo>
                <a:pt x="63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22</xdr:col>
      <xdr:colOff>104775</xdr:colOff>
      <xdr:row>41</xdr:row>
      <xdr:rowOff>57150</xdr:rowOff>
    </xdr:from>
    <xdr:to>
      <xdr:col>22</xdr:col>
      <xdr:colOff>171450</xdr:colOff>
      <xdr:row>42</xdr:row>
      <xdr:rowOff>85725</xdr:rowOff>
    </xdr:to>
    <xdr:sp macro="" textlink="">
      <xdr:nvSpPr>
        <xdr:cNvPr id="14366" name="Freeform 519">
          <a:extLst>
            <a:ext uri="{FF2B5EF4-FFF2-40B4-BE49-F238E27FC236}">
              <a16:creationId xmlns:a16="http://schemas.microsoft.com/office/drawing/2014/main" id="{00000000-0008-0000-0900-00001E380000}"/>
            </a:ext>
          </a:extLst>
        </xdr:cNvPr>
        <xdr:cNvSpPr>
          <a:spLocks noChangeAspect="1"/>
        </xdr:cNvSpPr>
      </xdr:nvSpPr>
      <xdr:spPr bwMode="auto">
        <a:xfrm>
          <a:off x="11534775" y="7229475"/>
          <a:ext cx="66675" cy="190500"/>
        </a:xfrm>
        <a:custGeom>
          <a:avLst/>
          <a:gdLst>
            <a:gd name="T0" fmla="*/ 0 w 127"/>
            <a:gd name="T1" fmla="*/ 0 h 383"/>
            <a:gd name="T2" fmla="*/ 2147483647 w 127"/>
            <a:gd name="T3" fmla="*/ 0 h 383"/>
            <a:gd name="T4" fmla="*/ 0 w 127"/>
            <a:gd name="T5" fmla="*/ 2147483647 h 383"/>
            <a:gd name="T6" fmla="*/ 0 w 127"/>
            <a:gd name="T7" fmla="*/ 0 h 383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3"/>
            <a:gd name="T14" fmla="*/ 127 w 127"/>
            <a:gd name="T15" fmla="*/ 383 h 38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3">
              <a:moveTo>
                <a:pt x="0" y="0"/>
              </a:moveTo>
              <a:lnTo>
                <a:pt x="127" y="0"/>
              </a:lnTo>
              <a:lnTo>
                <a:pt x="63" y="38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22</xdr:col>
      <xdr:colOff>104775</xdr:colOff>
      <xdr:row>41</xdr:row>
      <xdr:rowOff>57150</xdr:rowOff>
    </xdr:from>
    <xdr:to>
      <xdr:col>22</xdr:col>
      <xdr:colOff>171450</xdr:colOff>
      <xdr:row>42</xdr:row>
      <xdr:rowOff>85725</xdr:rowOff>
    </xdr:to>
    <xdr:sp macro="" textlink="">
      <xdr:nvSpPr>
        <xdr:cNvPr id="14367" name="Freeform 520">
          <a:extLst>
            <a:ext uri="{FF2B5EF4-FFF2-40B4-BE49-F238E27FC236}">
              <a16:creationId xmlns:a16="http://schemas.microsoft.com/office/drawing/2014/main" id="{00000000-0008-0000-0900-00001F380000}"/>
            </a:ext>
          </a:extLst>
        </xdr:cNvPr>
        <xdr:cNvSpPr>
          <a:spLocks noChangeAspect="1"/>
        </xdr:cNvSpPr>
      </xdr:nvSpPr>
      <xdr:spPr bwMode="auto">
        <a:xfrm>
          <a:off x="11534775" y="7229475"/>
          <a:ext cx="66675" cy="190500"/>
        </a:xfrm>
        <a:custGeom>
          <a:avLst/>
          <a:gdLst>
            <a:gd name="T0" fmla="*/ 0 w 127"/>
            <a:gd name="T1" fmla="*/ 0 h 383"/>
            <a:gd name="T2" fmla="*/ 2147483647 w 127"/>
            <a:gd name="T3" fmla="*/ 0 h 383"/>
            <a:gd name="T4" fmla="*/ 0 w 127"/>
            <a:gd name="T5" fmla="*/ 2147483647 h 383"/>
            <a:gd name="T6" fmla="*/ 0 w 127"/>
            <a:gd name="T7" fmla="*/ 0 h 383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3"/>
            <a:gd name="T14" fmla="*/ 127 w 127"/>
            <a:gd name="T15" fmla="*/ 383 h 38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3">
              <a:moveTo>
                <a:pt x="0" y="0"/>
              </a:moveTo>
              <a:lnTo>
                <a:pt x="127" y="0"/>
              </a:lnTo>
              <a:lnTo>
                <a:pt x="63" y="38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371475</xdr:colOff>
      <xdr:row>28</xdr:row>
      <xdr:rowOff>9525</xdr:rowOff>
    </xdr:from>
    <xdr:to>
      <xdr:col>19</xdr:col>
      <xdr:colOff>381000</xdr:colOff>
      <xdr:row>28</xdr:row>
      <xdr:rowOff>19050</xdr:rowOff>
    </xdr:to>
    <xdr:sp macro="" textlink="">
      <xdr:nvSpPr>
        <xdr:cNvPr id="14368" name="Line 521">
          <a:extLst>
            <a:ext uri="{FF2B5EF4-FFF2-40B4-BE49-F238E27FC236}">
              <a16:creationId xmlns:a16="http://schemas.microsoft.com/office/drawing/2014/main" id="{00000000-0008-0000-0900-000020380000}"/>
            </a:ext>
          </a:extLst>
        </xdr:cNvPr>
        <xdr:cNvSpPr>
          <a:spLocks noChangeAspect="1" noChangeShapeType="1"/>
        </xdr:cNvSpPr>
      </xdr:nvSpPr>
      <xdr:spPr bwMode="auto">
        <a:xfrm>
          <a:off x="10201275" y="5076825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390525</xdr:colOff>
      <xdr:row>42</xdr:row>
      <xdr:rowOff>95250</xdr:rowOff>
    </xdr:from>
    <xdr:to>
      <xdr:col>17</xdr:col>
      <xdr:colOff>9525</xdr:colOff>
      <xdr:row>42</xdr:row>
      <xdr:rowOff>104775</xdr:rowOff>
    </xdr:to>
    <xdr:sp macro="" textlink="">
      <xdr:nvSpPr>
        <xdr:cNvPr id="14369" name="Line 522">
          <a:extLst>
            <a:ext uri="{FF2B5EF4-FFF2-40B4-BE49-F238E27FC236}">
              <a16:creationId xmlns:a16="http://schemas.microsoft.com/office/drawing/2014/main" id="{00000000-0008-0000-0900-000021380000}"/>
            </a:ext>
          </a:extLst>
        </xdr:cNvPr>
        <xdr:cNvSpPr>
          <a:spLocks noChangeAspect="1" noChangeShapeType="1"/>
        </xdr:cNvSpPr>
      </xdr:nvSpPr>
      <xdr:spPr bwMode="auto">
        <a:xfrm>
          <a:off x="9096375" y="7429500"/>
          <a:ext cx="9525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22</xdr:col>
      <xdr:colOff>142875</xdr:colOff>
      <xdr:row>42</xdr:row>
      <xdr:rowOff>95250</xdr:rowOff>
    </xdr:from>
    <xdr:to>
      <xdr:col>22</xdr:col>
      <xdr:colOff>152400</xdr:colOff>
      <xdr:row>42</xdr:row>
      <xdr:rowOff>104775</xdr:rowOff>
    </xdr:to>
    <xdr:sp macro="" textlink="">
      <xdr:nvSpPr>
        <xdr:cNvPr id="14370" name="Line 523">
          <a:extLst>
            <a:ext uri="{FF2B5EF4-FFF2-40B4-BE49-F238E27FC236}">
              <a16:creationId xmlns:a16="http://schemas.microsoft.com/office/drawing/2014/main" id="{00000000-0008-0000-0900-000022380000}"/>
            </a:ext>
          </a:extLst>
        </xdr:cNvPr>
        <xdr:cNvSpPr>
          <a:spLocks noChangeAspect="1" noChangeShapeType="1"/>
        </xdr:cNvSpPr>
      </xdr:nvSpPr>
      <xdr:spPr bwMode="auto">
        <a:xfrm>
          <a:off x="11572875" y="742950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19050</xdr:colOff>
      <xdr:row>38</xdr:row>
      <xdr:rowOff>0</xdr:rowOff>
    </xdr:from>
    <xdr:to>
      <xdr:col>12</xdr:col>
      <xdr:colOff>28575</xdr:colOff>
      <xdr:row>54</xdr:row>
      <xdr:rowOff>9525</xdr:rowOff>
    </xdr:to>
    <xdr:sp macro="" textlink="">
      <xdr:nvSpPr>
        <xdr:cNvPr id="14371" name="Line 434">
          <a:extLst>
            <a:ext uri="{FF2B5EF4-FFF2-40B4-BE49-F238E27FC236}">
              <a16:creationId xmlns:a16="http://schemas.microsoft.com/office/drawing/2014/main" id="{00000000-0008-0000-0900-000023380000}"/>
            </a:ext>
          </a:extLst>
        </xdr:cNvPr>
        <xdr:cNvSpPr>
          <a:spLocks noChangeAspect="1" noChangeShapeType="1"/>
        </xdr:cNvSpPr>
      </xdr:nvSpPr>
      <xdr:spPr bwMode="auto">
        <a:xfrm>
          <a:off x="6591300" y="6686550"/>
          <a:ext cx="9525" cy="26003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390525</xdr:colOff>
      <xdr:row>40</xdr:row>
      <xdr:rowOff>123825</xdr:rowOff>
    </xdr:from>
    <xdr:to>
      <xdr:col>17</xdr:col>
      <xdr:colOff>0</xdr:colOff>
      <xdr:row>52</xdr:row>
      <xdr:rowOff>142875</xdr:rowOff>
    </xdr:to>
    <xdr:sp macro="" textlink="">
      <xdr:nvSpPr>
        <xdr:cNvPr id="14372" name="Line 524">
          <a:extLst>
            <a:ext uri="{FF2B5EF4-FFF2-40B4-BE49-F238E27FC236}">
              <a16:creationId xmlns:a16="http://schemas.microsoft.com/office/drawing/2014/main" id="{00000000-0008-0000-0900-000024380000}"/>
            </a:ext>
          </a:extLst>
        </xdr:cNvPr>
        <xdr:cNvSpPr>
          <a:spLocks noChangeAspect="1" noChangeShapeType="1"/>
        </xdr:cNvSpPr>
      </xdr:nvSpPr>
      <xdr:spPr bwMode="auto">
        <a:xfrm>
          <a:off x="9096375" y="7134225"/>
          <a:ext cx="85725" cy="19621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47625</xdr:colOff>
      <xdr:row>42</xdr:row>
      <xdr:rowOff>66675</xdr:rowOff>
    </xdr:from>
    <xdr:to>
      <xdr:col>18</xdr:col>
      <xdr:colOff>57150</xdr:colOff>
      <xdr:row>55</xdr:row>
      <xdr:rowOff>104775</xdr:rowOff>
    </xdr:to>
    <xdr:sp macro="" textlink="">
      <xdr:nvSpPr>
        <xdr:cNvPr id="14373" name="Line 525">
          <a:extLst>
            <a:ext uri="{FF2B5EF4-FFF2-40B4-BE49-F238E27FC236}">
              <a16:creationId xmlns:a16="http://schemas.microsoft.com/office/drawing/2014/main" id="{00000000-0008-0000-0900-000025380000}"/>
            </a:ext>
          </a:extLst>
        </xdr:cNvPr>
        <xdr:cNvSpPr>
          <a:spLocks noChangeAspect="1" noChangeShapeType="1"/>
        </xdr:cNvSpPr>
      </xdr:nvSpPr>
      <xdr:spPr bwMode="auto">
        <a:xfrm>
          <a:off x="9572625" y="7400925"/>
          <a:ext cx="9525" cy="21431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161925</xdr:colOff>
      <xdr:row>52</xdr:row>
      <xdr:rowOff>95250</xdr:rowOff>
    </xdr:from>
    <xdr:to>
      <xdr:col>17</xdr:col>
      <xdr:colOff>171450</xdr:colOff>
      <xdr:row>52</xdr:row>
      <xdr:rowOff>104775</xdr:rowOff>
    </xdr:to>
    <xdr:sp macro="" textlink="">
      <xdr:nvSpPr>
        <xdr:cNvPr id="14374" name="Line 526">
          <a:extLst>
            <a:ext uri="{FF2B5EF4-FFF2-40B4-BE49-F238E27FC236}">
              <a16:creationId xmlns:a16="http://schemas.microsoft.com/office/drawing/2014/main" id="{00000000-0008-0000-0900-000026380000}"/>
            </a:ext>
          </a:extLst>
        </xdr:cNvPr>
        <xdr:cNvSpPr>
          <a:spLocks noChangeAspect="1" noChangeShapeType="1"/>
        </xdr:cNvSpPr>
      </xdr:nvSpPr>
      <xdr:spPr bwMode="auto">
        <a:xfrm>
          <a:off x="9344025" y="904875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390525</xdr:colOff>
      <xdr:row>52</xdr:row>
      <xdr:rowOff>38100</xdr:rowOff>
    </xdr:from>
    <xdr:to>
      <xdr:col>17</xdr:col>
      <xdr:colOff>161925</xdr:colOff>
      <xdr:row>52</xdr:row>
      <xdr:rowOff>104775</xdr:rowOff>
    </xdr:to>
    <xdr:sp macro="" textlink="">
      <xdr:nvSpPr>
        <xdr:cNvPr id="14375" name="Freeform 527">
          <a:extLst>
            <a:ext uri="{FF2B5EF4-FFF2-40B4-BE49-F238E27FC236}">
              <a16:creationId xmlns:a16="http://schemas.microsoft.com/office/drawing/2014/main" id="{00000000-0008-0000-0900-000027380000}"/>
            </a:ext>
          </a:extLst>
        </xdr:cNvPr>
        <xdr:cNvSpPr>
          <a:spLocks noChangeAspect="1"/>
        </xdr:cNvSpPr>
      </xdr:nvSpPr>
      <xdr:spPr bwMode="auto">
        <a:xfrm>
          <a:off x="9096375" y="8991600"/>
          <a:ext cx="247650" cy="66675"/>
        </a:xfrm>
        <a:custGeom>
          <a:avLst/>
          <a:gdLst>
            <a:gd name="T0" fmla="*/ 2147483647 w 382"/>
            <a:gd name="T1" fmla="*/ 0 h 127"/>
            <a:gd name="T2" fmla="*/ 2147483647 w 382"/>
            <a:gd name="T3" fmla="*/ 0 h 127"/>
            <a:gd name="T4" fmla="*/ 0 w 382"/>
            <a:gd name="T5" fmla="*/ 0 h 127"/>
            <a:gd name="T6" fmla="*/ 2147483647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382" y="0"/>
              </a:moveTo>
              <a:lnTo>
                <a:pt x="382" y="127"/>
              </a:lnTo>
              <a:lnTo>
                <a:pt x="0" y="64"/>
              </a:lnTo>
              <a:lnTo>
                <a:pt x="38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390525</xdr:colOff>
      <xdr:row>42</xdr:row>
      <xdr:rowOff>95250</xdr:rowOff>
    </xdr:from>
    <xdr:to>
      <xdr:col>17</xdr:col>
      <xdr:colOff>9525</xdr:colOff>
      <xdr:row>42</xdr:row>
      <xdr:rowOff>104775</xdr:rowOff>
    </xdr:to>
    <xdr:sp macro="" textlink="">
      <xdr:nvSpPr>
        <xdr:cNvPr id="14376" name="Line 531">
          <a:extLst>
            <a:ext uri="{FF2B5EF4-FFF2-40B4-BE49-F238E27FC236}">
              <a16:creationId xmlns:a16="http://schemas.microsoft.com/office/drawing/2014/main" id="{00000000-0008-0000-0900-000028380000}"/>
            </a:ext>
          </a:extLst>
        </xdr:cNvPr>
        <xdr:cNvSpPr>
          <a:spLocks noChangeAspect="1" noChangeShapeType="1"/>
        </xdr:cNvSpPr>
      </xdr:nvSpPr>
      <xdr:spPr bwMode="auto">
        <a:xfrm>
          <a:off x="9096375" y="7429500"/>
          <a:ext cx="9525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57150</xdr:colOff>
      <xdr:row>42</xdr:row>
      <xdr:rowOff>95250</xdr:rowOff>
    </xdr:from>
    <xdr:to>
      <xdr:col>18</xdr:col>
      <xdr:colOff>66675</xdr:colOff>
      <xdr:row>42</xdr:row>
      <xdr:rowOff>104775</xdr:rowOff>
    </xdr:to>
    <xdr:sp macro="" textlink="">
      <xdr:nvSpPr>
        <xdr:cNvPr id="14377" name="Line 532">
          <a:extLst>
            <a:ext uri="{FF2B5EF4-FFF2-40B4-BE49-F238E27FC236}">
              <a16:creationId xmlns:a16="http://schemas.microsoft.com/office/drawing/2014/main" id="{00000000-0008-0000-0900-000029380000}"/>
            </a:ext>
          </a:extLst>
        </xdr:cNvPr>
        <xdr:cNvSpPr>
          <a:spLocks noChangeAspect="1" noChangeShapeType="1"/>
        </xdr:cNvSpPr>
      </xdr:nvSpPr>
      <xdr:spPr bwMode="auto">
        <a:xfrm>
          <a:off x="9582150" y="742950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57150</xdr:colOff>
      <xdr:row>52</xdr:row>
      <xdr:rowOff>95250</xdr:rowOff>
    </xdr:from>
    <xdr:to>
      <xdr:col>18</xdr:col>
      <xdr:colOff>66675</xdr:colOff>
      <xdr:row>52</xdr:row>
      <xdr:rowOff>104775</xdr:rowOff>
    </xdr:to>
    <xdr:sp macro="" textlink="">
      <xdr:nvSpPr>
        <xdr:cNvPr id="14378" name="Line 533">
          <a:extLst>
            <a:ext uri="{FF2B5EF4-FFF2-40B4-BE49-F238E27FC236}">
              <a16:creationId xmlns:a16="http://schemas.microsoft.com/office/drawing/2014/main" id="{00000000-0008-0000-0900-00002A380000}"/>
            </a:ext>
          </a:extLst>
        </xdr:cNvPr>
        <xdr:cNvSpPr>
          <a:spLocks noChangeAspect="1" noChangeShapeType="1"/>
        </xdr:cNvSpPr>
      </xdr:nvSpPr>
      <xdr:spPr bwMode="auto">
        <a:xfrm>
          <a:off x="9582150" y="904875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0</xdr:colOff>
      <xdr:row>54</xdr:row>
      <xdr:rowOff>85725</xdr:rowOff>
    </xdr:from>
    <xdr:to>
      <xdr:col>18</xdr:col>
      <xdr:colOff>28575</xdr:colOff>
      <xdr:row>54</xdr:row>
      <xdr:rowOff>95250</xdr:rowOff>
    </xdr:to>
    <xdr:sp macro="" textlink="">
      <xdr:nvSpPr>
        <xdr:cNvPr id="14379" name="Line 536">
          <a:extLst>
            <a:ext uri="{FF2B5EF4-FFF2-40B4-BE49-F238E27FC236}">
              <a16:creationId xmlns:a16="http://schemas.microsoft.com/office/drawing/2014/main" id="{00000000-0008-0000-0900-00002B380000}"/>
            </a:ext>
          </a:extLst>
        </xdr:cNvPr>
        <xdr:cNvSpPr>
          <a:spLocks noChangeAspect="1" noChangeShapeType="1"/>
        </xdr:cNvSpPr>
      </xdr:nvSpPr>
      <xdr:spPr bwMode="auto">
        <a:xfrm>
          <a:off x="1600200" y="9363075"/>
          <a:ext cx="795337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419100</xdr:colOff>
      <xdr:row>54</xdr:row>
      <xdr:rowOff>57150</xdr:rowOff>
    </xdr:from>
    <xdr:to>
      <xdr:col>3</xdr:col>
      <xdr:colOff>85725</xdr:colOff>
      <xdr:row>54</xdr:row>
      <xdr:rowOff>123825</xdr:rowOff>
    </xdr:to>
    <xdr:sp macro="" textlink="">
      <xdr:nvSpPr>
        <xdr:cNvPr id="14380" name="Freeform 537">
          <a:extLst>
            <a:ext uri="{FF2B5EF4-FFF2-40B4-BE49-F238E27FC236}">
              <a16:creationId xmlns:a16="http://schemas.microsoft.com/office/drawing/2014/main" id="{00000000-0008-0000-0900-00002C380000}"/>
            </a:ext>
          </a:extLst>
        </xdr:cNvPr>
        <xdr:cNvSpPr>
          <a:spLocks noChangeAspect="1"/>
        </xdr:cNvSpPr>
      </xdr:nvSpPr>
      <xdr:spPr bwMode="auto">
        <a:xfrm>
          <a:off x="1485900" y="9334500"/>
          <a:ext cx="200025" cy="66675"/>
        </a:xfrm>
        <a:custGeom>
          <a:avLst/>
          <a:gdLst>
            <a:gd name="T0" fmla="*/ 2147483647 w 382"/>
            <a:gd name="T1" fmla="*/ 0 h 127"/>
            <a:gd name="T2" fmla="*/ 2147483647 w 382"/>
            <a:gd name="T3" fmla="*/ 0 h 127"/>
            <a:gd name="T4" fmla="*/ 0 w 382"/>
            <a:gd name="T5" fmla="*/ 0 h 127"/>
            <a:gd name="T6" fmla="*/ 2147483647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382" y="0"/>
              </a:moveTo>
              <a:lnTo>
                <a:pt x="382" y="127"/>
              </a:lnTo>
              <a:lnTo>
                <a:pt x="0" y="64"/>
              </a:lnTo>
              <a:lnTo>
                <a:pt x="38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190500</xdr:colOff>
      <xdr:row>54</xdr:row>
      <xdr:rowOff>57150</xdr:rowOff>
    </xdr:from>
    <xdr:to>
      <xdr:col>18</xdr:col>
      <xdr:colOff>66675</xdr:colOff>
      <xdr:row>54</xdr:row>
      <xdr:rowOff>123825</xdr:rowOff>
    </xdr:to>
    <xdr:sp macro="" textlink="">
      <xdr:nvSpPr>
        <xdr:cNvPr id="14381" name="Freeform 540">
          <a:extLst>
            <a:ext uri="{FF2B5EF4-FFF2-40B4-BE49-F238E27FC236}">
              <a16:creationId xmlns:a16="http://schemas.microsoft.com/office/drawing/2014/main" id="{00000000-0008-0000-0900-00002D380000}"/>
            </a:ext>
          </a:extLst>
        </xdr:cNvPr>
        <xdr:cNvSpPr>
          <a:spLocks noChangeAspect="1"/>
        </xdr:cNvSpPr>
      </xdr:nvSpPr>
      <xdr:spPr bwMode="auto">
        <a:xfrm>
          <a:off x="9372600" y="9334500"/>
          <a:ext cx="219075" cy="66675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4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419100</xdr:colOff>
      <xdr:row>20</xdr:row>
      <xdr:rowOff>133350</xdr:rowOff>
    </xdr:from>
    <xdr:to>
      <xdr:col>2</xdr:col>
      <xdr:colOff>428625</xdr:colOff>
      <xdr:row>20</xdr:row>
      <xdr:rowOff>142875</xdr:rowOff>
    </xdr:to>
    <xdr:sp macro="" textlink="">
      <xdr:nvSpPr>
        <xdr:cNvPr id="14382" name="Line 541">
          <a:extLst>
            <a:ext uri="{FF2B5EF4-FFF2-40B4-BE49-F238E27FC236}">
              <a16:creationId xmlns:a16="http://schemas.microsoft.com/office/drawing/2014/main" id="{00000000-0008-0000-0900-00002E380000}"/>
            </a:ext>
          </a:extLst>
        </xdr:cNvPr>
        <xdr:cNvSpPr>
          <a:spLocks noChangeAspect="1" noChangeShapeType="1"/>
        </xdr:cNvSpPr>
      </xdr:nvSpPr>
      <xdr:spPr bwMode="auto">
        <a:xfrm>
          <a:off x="1485900" y="390525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20</xdr:col>
      <xdr:colOff>85725</xdr:colOff>
      <xdr:row>29</xdr:row>
      <xdr:rowOff>123825</xdr:rowOff>
    </xdr:from>
    <xdr:to>
      <xdr:col>20</xdr:col>
      <xdr:colOff>95250</xdr:colOff>
      <xdr:row>29</xdr:row>
      <xdr:rowOff>133350</xdr:rowOff>
    </xdr:to>
    <xdr:sp macro="" textlink="">
      <xdr:nvSpPr>
        <xdr:cNvPr id="14383" name="Line 542">
          <a:extLst>
            <a:ext uri="{FF2B5EF4-FFF2-40B4-BE49-F238E27FC236}">
              <a16:creationId xmlns:a16="http://schemas.microsoft.com/office/drawing/2014/main" id="{00000000-0008-0000-0900-00002F380000}"/>
            </a:ext>
          </a:extLst>
        </xdr:cNvPr>
        <xdr:cNvSpPr>
          <a:spLocks noChangeAspect="1" noChangeShapeType="1"/>
        </xdr:cNvSpPr>
      </xdr:nvSpPr>
      <xdr:spPr bwMode="auto">
        <a:xfrm>
          <a:off x="10448925" y="535305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66675</xdr:colOff>
      <xdr:row>52</xdr:row>
      <xdr:rowOff>38100</xdr:rowOff>
    </xdr:from>
    <xdr:to>
      <xdr:col>18</xdr:col>
      <xdr:colOff>247650</xdr:colOff>
      <xdr:row>52</xdr:row>
      <xdr:rowOff>104775</xdr:rowOff>
    </xdr:to>
    <xdr:sp macro="" textlink="">
      <xdr:nvSpPr>
        <xdr:cNvPr id="14384" name="Freeform 545">
          <a:extLst>
            <a:ext uri="{FF2B5EF4-FFF2-40B4-BE49-F238E27FC236}">
              <a16:creationId xmlns:a16="http://schemas.microsoft.com/office/drawing/2014/main" id="{00000000-0008-0000-0900-000030380000}"/>
            </a:ext>
          </a:extLst>
        </xdr:cNvPr>
        <xdr:cNvSpPr>
          <a:spLocks noChangeAspect="1"/>
        </xdr:cNvSpPr>
      </xdr:nvSpPr>
      <xdr:spPr bwMode="auto">
        <a:xfrm>
          <a:off x="9591675" y="8991600"/>
          <a:ext cx="180975" cy="66675"/>
        </a:xfrm>
        <a:custGeom>
          <a:avLst/>
          <a:gdLst>
            <a:gd name="T0" fmla="*/ 2147483647 w 382"/>
            <a:gd name="T1" fmla="*/ 0 h 127"/>
            <a:gd name="T2" fmla="*/ 2147483647 w 382"/>
            <a:gd name="T3" fmla="*/ 0 h 127"/>
            <a:gd name="T4" fmla="*/ 0 w 382"/>
            <a:gd name="T5" fmla="*/ 0 h 127"/>
            <a:gd name="T6" fmla="*/ 2147483647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382" y="0"/>
              </a:moveTo>
              <a:lnTo>
                <a:pt x="382" y="127"/>
              </a:lnTo>
              <a:lnTo>
                <a:pt x="0" y="64"/>
              </a:lnTo>
              <a:lnTo>
                <a:pt x="38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21034</xdr:colOff>
      <xdr:row>53</xdr:row>
      <xdr:rowOff>28637</xdr:rowOff>
    </xdr:from>
    <xdr:to>
      <xdr:col>12</xdr:col>
      <xdr:colOff>2464</xdr:colOff>
      <xdr:row>55</xdr:row>
      <xdr:rowOff>81006</xdr:rowOff>
    </xdr:to>
    <xdr:sp macro="" textlink="$Y$5">
      <xdr:nvSpPr>
        <xdr:cNvPr id="463" name="Text Box 551">
          <a:extLst>
            <a:ext uri="{FF2B5EF4-FFF2-40B4-BE49-F238E27FC236}">
              <a16:creationId xmlns:a16="http://schemas.microsoft.com/office/drawing/2014/main" id="{00000000-0008-0000-0900-0000CF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6212284" y="9144062"/>
          <a:ext cx="1150284" cy="385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A31EB29F-EF34-460B-80F8-464FED3A7E8F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#VALORE!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7</xdr:col>
      <xdr:colOff>207422</xdr:colOff>
      <xdr:row>51</xdr:row>
      <xdr:rowOff>37745</xdr:rowOff>
    </xdr:from>
    <xdr:to>
      <xdr:col>9</xdr:col>
      <xdr:colOff>133544</xdr:colOff>
      <xdr:row>53</xdr:row>
      <xdr:rowOff>90113</xdr:rowOff>
    </xdr:to>
    <xdr:sp macro="" textlink="$U$6">
      <xdr:nvSpPr>
        <xdr:cNvPr id="464" name="Text Box 552">
          <a:extLst>
            <a:ext uri="{FF2B5EF4-FFF2-40B4-BE49-F238E27FC236}">
              <a16:creationId xmlns:a16="http://schemas.microsoft.com/office/drawing/2014/main" id="{00000000-0008-0000-0900-0000D0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4607972" y="8829320"/>
          <a:ext cx="1135827" cy="3856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DE6648E8-7EC2-4BCA-ADA1-6226DECDA146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#VALORE!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13</xdr:col>
      <xdr:colOff>307562</xdr:colOff>
      <xdr:row>14</xdr:row>
      <xdr:rowOff>53975</xdr:rowOff>
    </xdr:from>
    <xdr:to>
      <xdr:col>15</xdr:col>
      <xdr:colOff>252714</xdr:colOff>
      <xdr:row>16</xdr:row>
      <xdr:rowOff>109414</xdr:rowOff>
    </xdr:to>
    <xdr:sp macro="" textlink="Calcolo1!F34">
      <xdr:nvSpPr>
        <xdr:cNvPr id="465" name="Text Box 553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8384762" y="2854325"/>
          <a:ext cx="1154766" cy="3792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3936D290-6B6D-4609-A286-17C6A63B64FA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14</xdr:col>
      <xdr:colOff>13730</xdr:colOff>
      <xdr:row>29</xdr:row>
      <xdr:rowOff>35957</xdr:rowOff>
    </xdr:from>
    <xdr:to>
      <xdr:col>15</xdr:col>
      <xdr:colOff>423145</xdr:colOff>
      <xdr:row>31</xdr:row>
      <xdr:rowOff>100626</xdr:rowOff>
    </xdr:to>
    <xdr:sp macro="" textlink="Calcolo1!F31">
      <xdr:nvSpPr>
        <xdr:cNvPr id="466" name="Text Box 554">
          <a:extLst>
            <a:ext uri="{FF2B5EF4-FFF2-40B4-BE49-F238E27FC236}">
              <a16:creationId xmlns:a16="http://schemas.microsoft.com/office/drawing/2014/main" id="{00000000-0008-0000-0900-0000D2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8602559" y="5265182"/>
          <a:ext cx="1154766" cy="3885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01824AA5-D0C1-4885-A49E-C1BDE00270A3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13</xdr:col>
      <xdr:colOff>392676</xdr:colOff>
      <xdr:row>32</xdr:row>
      <xdr:rowOff>146511</xdr:rowOff>
    </xdr:from>
    <xdr:to>
      <xdr:col>15</xdr:col>
      <xdr:colOff>328267</xdr:colOff>
      <xdr:row>35</xdr:row>
      <xdr:rowOff>54542</xdr:rowOff>
    </xdr:to>
    <xdr:sp macro="" textlink="Calcolo1!F28">
      <xdr:nvSpPr>
        <xdr:cNvPr id="467" name="Text Box 555">
          <a:extLst>
            <a:ext uri="{FF2B5EF4-FFF2-40B4-BE49-F238E27FC236}">
              <a16:creationId xmlns:a16="http://schemas.microsoft.com/office/drawing/2014/main" id="{00000000-0008-0000-0900-0000D3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8488926" y="5871036"/>
          <a:ext cx="1145296" cy="384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30FA4932-F164-48F5-9FA1-767069769F74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13</xdr:col>
      <xdr:colOff>288623</xdr:colOff>
      <xdr:row>36</xdr:row>
      <xdr:rowOff>100774</xdr:rowOff>
    </xdr:from>
    <xdr:to>
      <xdr:col>15</xdr:col>
      <xdr:colOff>233684</xdr:colOff>
      <xdr:row>39</xdr:row>
      <xdr:rowOff>8561</xdr:rowOff>
    </xdr:to>
    <xdr:sp macro="" textlink="Calcolo1!F25">
      <xdr:nvSpPr>
        <xdr:cNvPr id="468" name="Text Box 556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8365823" y="6463474"/>
          <a:ext cx="1154766" cy="3935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76D6B91E-7D34-4205-AB48-1E7DB321E1E1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19</xdr:col>
      <xdr:colOff>40543</xdr:colOff>
      <xdr:row>40</xdr:row>
      <xdr:rowOff>54447</xdr:rowOff>
    </xdr:from>
    <xdr:to>
      <xdr:col>20</xdr:col>
      <xdr:colOff>306000</xdr:colOff>
      <xdr:row>42</xdr:row>
      <xdr:rowOff>54894</xdr:rowOff>
    </xdr:to>
    <xdr:sp macro="" textlink="Calcolo1!E25">
      <xdr:nvSpPr>
        <xdr:cNvPr id="469" name="Text Box 557">
          <a:extLst>
            <a:ext uri="{FF2B5EF4-FFF2-40B4-BE49-F238E27FC236}">
              <a16:creationId xmlns:a16="http://schemas.microsoft.com/office/drawing/2014/main" id="{00000000-0008-0000-0900-0000D5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11022868" y="7074372"/>
          <a:ext cx="923017" cy="31467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8C356825-C3E8-43FF-9A9E-815B78F507A7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20</xdr:col>
      <xdr:colOff>2053</xdr:colOff>
      <xdr:row>35</xdr:row>
      <xdr:rowOff>146600</xdr:rowOff>
    </xdr:from>
    <xdr:to>
      <xdr:col>21</xdr:col>
      <xdr:colOff>411516</xdr:colOff>
      <xdr:row>38</xdr:row>
      <xdr:rowOff>45157</xdr:rowOff>
    </xdr:to>
    <xdr:sp macro="" textlink="Calcolo1!E28">
      <xdr:nvSpPr>
        <xdr:cNvPr id="470" name="Text Box 558">
          <a:extLst>
            <a:ext uri="{FF2B5EF4-FFF2-40B4-BE49-F238E27FC236}">
              <a16:creationId xmlns:a16="http://schemas.microsoft.com/office/drawing/2014/main" id="{00000000-0008-0000-0900-0000D6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11553156" y="6356900"/>
          <a:ext cx="1135827" cy="384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EB8307AC-4B25-428E-873B-CBF30E32C3A4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20</xdr:col>
      <xdr:colOff>312167</xdr:colOff>
      <xdr:row>32</xdr:row>
      <xdr:rowOff>44980</xdr:rowOff>
    </xdr:from>
    <xdr:to>
      <xdr:col>22</xdr:col>
      <xdr:colOff>247971</xdr:colOff>
      <xdr:row>34</xdr:row>
      <xdr:rowOff>109650</xdr:rowOff>
    </xdr:to>
    <xdr:sp macro="" textlink="Calcolo1!E31">
      <xdr:nvSpPr>
        <xdr:cNvPr id="471" name="Text Box 559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11961242" y="5769505"/>
          <a:ext cx="1135828" cy="3885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3E0F0AB5-A2E6-44AB-AC28-63973920A817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14</xdr:col>
      <xdr:colOff>280135</xdr:colOff>
      <xdr:row>50</xdr:row>
      <xdr:rowOff>127190</xdr:rowOff>
    </xdr:from>
    <xdr:to>
      <xdr:col>16</xdr:col>
      <xdr:colOff>215819</xdr:colOff>
      <xdr:row>53</xdr:row>
      <xdr:rowOff>10026</xdr:rowOff>
    </xdr:to>
    <xdr:sp macro="" textlink="calcoloPunti!D13">
      <xdr:nvSpPr>
        <xdr:cNvPr id="472" name="Text Box 561">
          <a:extLst>
            <a:ext uri="{FF2B5EF4-FFF2-40B4-BE49-F238E27FC236}">
              <a16:creationId xmlns:a16="http://schemas.microsoft.com/office/drawing/2014/main" id="{00000000-0008-0000-0900-0000D8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8957410" y="8756840"/>
          <a:ext cx="1145297" cy="37792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4C825621-8C0E-4BB2-B97D-B0743E807211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19</xdr:col>
      <xdr:colOff>78526</xdr:colOff>
      <xdr:row>50</xdr:row>
      <xdr:rowOff>25962</xdr:rowOff>
    </xdr:from>
    <xdr:to>
      <xdr:col>21</xdr:col>
      <xdr:colOff>71978</xdr:colOff>
      <xdr:row>52</xdr:row>
      <xdr:rowOff>81400</xdr:rowOff>
    </xdr:to>
    <xdr:sp macro="" textlink="$F$6">
      <xdr:nvSpPr>
        <xdr:cNvPr id="473" name="Text Box 562">
          <a:extLst>
            <a:ext uri="{FF2B5EF4-FFF2-40B4-BE49-F238E27FC236}">
              <a16:creationId xmlns:a16="http://schemas.microsoft.com/office/drawing/2014/main" id="{00000000-0008-0000-0900-0000D9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10003576" y="8419168"/>
          <a:ext cx="1059628" cy="3692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3C328A4F-88FC-4320-A0BC-40DD523CDCA3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40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</xdr:col>
      <xdr:colOff>217437</xdr:colOff>
      <xdr:row>35</xdr:row>
      <xdr:rowOff>26903</xdr:rowOff>
    </xdr:from>
    <xdr:to>
      <xdr:col>3</xdr:col>
      <xdr:colOff>162708</xdr:colOff>
      <xdr:row>37</xdr:row>
      <xdr:rowOff>91573</xdr:rowOff>
    </xdr:to>
    <xdr:sp macro="" textlink="calcoloPunti!D7">
      <xdr:nvSpPr>
        <xdr:cNvPr id="474" name="Text Box 56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874662" y="6227678"/>
          <a:ext cx="1145297" cy="3885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7494A719-B0A6-4EA6-9F5D-E06DE058B6E7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0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14</xdr:col>
      <xdr:colOff>400050</xdr:colOff>
      <xdr:row>21</xdr:row>
      <xdr:rowOff>95250</xdr:rowOff>
    </xdr:from>
    <xdr:to>
      <xdr:col>15</xdr:col>
      <xdr:colOff>19050</xdr:colOff>
      <xdr:row>23</xdr:row>
      <xdr:rowOff>123825</xdr:rowOff>
    </xdr:to>
    <xdr:sp macro="" textlink="">
      <xdr:nvSpPr>
        <xdr:cNvPr id="14397" name="Line 566">
          <a:extLst>
            <a:ext uri="{FF2B5EF4-FFF2-40B4-BE49-F238E27FC236}">
              <a16:creationId xmlns:a16="http://schemas.microsoft.com/office/drawing/2014/main" id="{00000000-0008-0000-0900-00003D380000}"/>
            </a:ext>
          </a:extLst>
        </xdr:cNvPr>
        <xdr:cNvSpPr>
          <a:spLocks noChangeAspect="1" noChangeShapeType="1"/>
        </xdr:cNvSpPr>
      </xdr:nvSpPr>
      <xdr:spPr bwMode="auto">
        <a:xfrm flipH="1">
          <a:off x="8039100" y="4029075"/>
          <a:ext cx="15240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absolute">
    <xdr:from>
      <xdr:col>15</xdr:col>
      <xdr:colOff>28575</xdr:colOff>
      <xdr:row>19</xdr:row>
      <xdr:rowOff>66675</xdr:rowOff>
    </xdr:from>
    <xdr:to>
      <xdr:col>15</xdr:col>
      <xdr:colOff>142875</xdr:colOff>
      <xdr:row>21</xdr:row>
      <xdr:rowOff>85725</xdr:rowOff>
    </xdr:to>
    <xdr:sp macro="" textlink="">
      <xdr:nvSpPr>
        <xdr:cNvPr id="14398" name="Line 567">
          <a:extLst>
            <a:ext uri="{FF2B5EF4-FFF2-40B4-BE49-F238E27FC236}">
              <a16:creationId xmlns:a16="http://schemas.microsoft.com/office/drawing/2014/main" id="{00000000-0008-0000-0900-00003E380000}"/>
            </a:ext>
          </a:extLst>
        </xdr:cNvPr>
        <xdr:cNvSpPr>
          <a:spLocks noChangeAspect="1" noChangeShapeType="1"/>
        </xdr:cNvSpPr>
      </xdr:nvSpPr>
      <xdr:spPr bwMode="auto">
        <a:xfrm flipH="1">
          <a:off x="8201025" y="3676650"/>
          <a:ext cx="114300" cy="342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absolute">
    <xdr:from>
      <xdr:col>14</xdr:col>
      <xdr:colOff>431844</xdr:colOff>
      <xdr:row>19</xdr:row>
      <xdr:rowOff>5819</xdr:rowOff>
    </xdr:from>
    <xdr:to>
      <xdr:col>16</xdr:col>
      <xdr:colOff>345945</xdr:colOff>
      <xdr:row>21</xdr:row>
      <xdr:rowOff>61258</xdr:rowOff>
    </xdr:to>
    <xdr:sp macro="" textlink="$F$6">
      <xdr:nvSpPr>
        <xdr:cNvPr id="477" name="Text Box 568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9137694" y="3615794"/>
          <a:ext cx="1123738" cy="3792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2DBD0872-ED06-4D35-BF3E-CA5F3D11EC60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40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19</xdr:col>
      <xdr:colOff>352425</xdr:colOff>
      <xdr:row>30</xdr:row>
      <xdr:rowOff>38100</xdr:rowOff>
    </xdr:from>
    <xdr:to>
      <xdr:col>20</xdr:col>
      <xdr:colOff>9525</xdr:colOff>
      <xdr:row>31</xdr:row>
      <xdr:rowOff>85725</xdr:rowOff>
    </xdr:to>
    <xdr:sp macro="" textlink="">
      <xdr:nvSpPr>
        <xdr:cNvPr id="14400" name="Line 569">
          <a:extLst>
            <a:ext uri="{FF2B5EF4-FFF2-40B4-BE49-F238E27FC236}">
              <a16:creationId xmlns:a16="http://schemas.microsoft.com/office/drawing/2014/main" id="{00000000-0008-0000-0900-00004038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10182225" y="5429250"/>
          <a:ext cx="190500" cy="20955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20</xdr:col>
      <xdr:colOff>85725</xdr:colOff>
      <xdr:row>28</xdr:row>
      <xdr:rowOff>142875</xdr:rowOff>
    </xdr:from>
    <xdr:to>
      <xdr:col>20</xdr:col>
      <xdr:colOff>219075</xdr:colOff>
      <xdr:row>29</xdr:row>
      <xdr:rowOff>104775</xdr:rowOff>
    </xdr:to>
    <xdr:sp macro="" textlink="">
      <xdr:nvSpPr>
        <xdr:cNvPr id="14401" name="Line 570">
          <a:extLst>
            <a:ext uri="{FF2B5EF4-FFF2-40B4-BE49-F238E27FC236}">
              <a16:creationId xmlns:a16="http://schemas.microsoft.com/office/drawing/2014/main" id="{00000000-0008-0000-0900-000041380000}"/>
            </a:ext>
          </a:extLst>
        </xdr:cNvPr>
        <xdr:cNvSpPr>
          <a:spLocks noChangeAspect="1" noChangeShapeType="1"/>
        </xdr:cNvSpPr>
      </xdr:nvSpPr>
      <xdr:spPr bwMode="auto">
        <a:xfrm flipH="1">
          <a:off x="10448925" y="5210175"/>
          <a:ext cx="133350" cy="123825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342900</xdr:colOff>
      <xdr:row>20</xdr:row>
      <xdr:rowOff>104775</xdr:rowOff>
    </xdr:from>
    <xdr:to>
      <xdr:col>4</xdr:col>
      <xdr:colOff>180975</xdr:colOff>
      <xdr:row>21</xdr:row>
      <xdr:rowOff>9525</xdr:rowOff>
    </xdr:to>
    <xdr:sp macro="" textlink="">
      <xdr:nvSpPr>
        <xdr:cNvPr id="14402" name="Freeform 571">
          <a:extLst>
            <a:ext uri="{FF2B5EF4-FFF2-40B4-BE49-F238E27FC236}">
              <a16:creationId xmlns:a16="http://schemas.microsoft.com/office/drawing/2014/main" id="{00000000-0008-0000-0900-000042380000}"/>
            </a:ext>
          </a:extLst>
        </xdr:cNvPr>
        <xdr:cNvSpPr>
          <a:spLocks noChangeAspect="1"/>
        </xdr:cNvSpPr>
      </xdr:nvSpPr>
      <xdr:spPr bwMode="auto">
        <a:xfrm>
          <a:off x="1943100" y="3876675"/>
          <a:ext cx="371475" cy="66675"/>
        </a:xfrm>
        <a:custGeom>
          <a:avLst/>
          <a:gdLst>
            <a:gd name="T0" fmla="*/ 0 w 793"/>
            <a:gd name="T1" fmla="*/ 0 h 104"/>
            <a:gd name="T2" fmla="*/ 0 w 793"/>
            <a:gd name="T3" fmla="*/ 0 h 104"/>
            <a:gd name="T4" fmla="*/ 0 w 793"/>
            <a:gd name="T5" fmla="*/ 0 h 104"/>
            <a:gd name="T6" fmla="*/ 2147483647 w 793"/>
            <a:gd name="T7" fmla="*/ 0 h 104"/>
            <a:gd name="T8" fmla="*/ 2147483647 w 793"/>
            <a:gd name="T9" fmla="*/ 0 h 104"/>
            <a:gd name="T10" fmla="*/ 2147483647 w 793"/>
            <a:gd name="T11" fmla="*/ 0 h 104"/>
            <a:gd name="T12" fmla="*/ 0 w 793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93"/>
            <a:gd name="T22" fmla="*/ 0 h 104"/>
            <a:gd name="T23" fmla="*/ 793 w 793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93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793" y="104"/>
              </a:lnTo>
              <a:lnTo>
                <a:pt x="793" y="53"/>
              </a:lnTo>
              <a:lnTo>
                <a:pt x="793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342900</xdr:colOff>
      <xdr:row>42</xdr:row>
      <xdr:rowOff>76200</xdr:rowOff>
    </xdr:from>
    <xdr:to>
      <xdr:col>4</xdr:col>
      <xdr:colOff>180975</xdr:colOff>
      <xdr:row>42</xdr:row>
      <xdr:rowOff>114300</xdr:rowOff>
    </xdr:to>
    <xdr:sp macro="" textlink="">
      <xdr:nvSpPr>
        <xdr:cNvPr id="14403" name="Freeform 572">
          <a:extLst>
            <a:ext uri="{FF2B5EF4-FFF2-40B4-BE49-F238E27FC236}">
              <a16:creationId xmlns:a16="http://schemas.microsoft.com/office/drawing/2014/main" id="{00000000-0008-0000-0900-000043380000}"/>
            </a:ext>
          </a:extLst>
        </xdr:cNvPr>
        <xdr:cNvSpPr>
          <a:spLocks noChangeAspect="1"/>
        </xdr:cNvSpPr>
      </xdr:nvSpPr>
      <xdr:spPr bwMode="auto">
        <a:xfrm>
          <a:off x="1943100" y="7410450"/>
          <a:ext cx="371475" cy="38100"/>
        </a:xfrm>
        <a:custGeom>
          <a:avLst/>
          <a:gdLst>
            <a:gd name="T0" fmla="*/ 2147483647 w 793"/>
            <a:gd name="T1" fmla="*/ 0 h 104"/>
            <a:gd name="T2" fmla="*/ 2147483647 w 793"/>
            <a:gd name="T3" fmla="*/ 0 h 104"/>
            <a:gd name="T4" fmla="*/ 2147483647 w 793"/>
            <a:gd name="T5" fmla="*/ 0 h 104"/>
            <a:gd name="T6" fmla="*/ 0 w 793"/>
            <a:gd name="T7" fmla="*/ 0 h 104"/>
            <a:gd name="T8" fmla="*/ 0 w 793"/>
            <a:gd name="T9" fmla="*/ 0 h 104"/>
            <a:gd name="T10" fmla="*/ 0 w 793"/>
            <a:gd name="T11" fmla="*/ 0 h 104"/>
            <a:gd name="T12" fmla="*/ 2147483647 w 793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93"/>
            <a:gd name="T22" fmla="*/ 0 h 104"/>
            <a:gd name="T23" fmla="*/ 793 w 793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93" h="104">
              <a:moveTo>
                <a:pt x="793" y="104"/>
              </a:moveTo>
              <a:lnTo>
                <a:pt x="793" y="52"/>
              </a:lnTo>
              <a:lnTo>
                <a:pt x="793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793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419100</xdr:colOff>
      <xdr:row>42</xdr:row>
      <xdr:rowOff>47625</xdr:rowOff>
    </xdr:from>
    <xdr:to>
      <xdr:col>2</xdr:col>
      <xdr:colOff>419100</xdr:colOff>
      <xdr:row>55</xdr:row>
      <xdr:rowOff>85725</xdr:rowOff>
    </xdr:to>
    <xdr:sp macro="" textlink="">
      <xdr:nvSpPr>
        <xdr:cNvPr id="14404" name="Line 573">
          <a:extLst>
            <a:ext uri="{FF2B5EF4-FFF2-40B4-BE49-F238E27FC236}">
              <a16:creationId xmlns:a16="http://schemas.microsoft.com/office/drawing/2014/main" id="{00000000-0008-0000-0900-000044380000}"/>
            </a:ext>
          </a:extLst>
        </xdr:cNvPr>
        <xdr:cNvSpPr>
          <a:spLocks noChangeAspect="1" noChangeShapeType="1"/>
        </xdr:cNvSpPr>
      </xdr:nvSpPr>
      <xdr:spPr bwMode="auto">
        <a:xfrm>
          <a:off x="1485900" y="7381875"/>
          <a:ext cx="0" cy="2143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104775</xdr:colOff>
      <xdr:row>40</xdr:row>
      <xdr:rowOff>76200</xdr:rowOff>
    </xdr:from>
    <xdr:to>
      <xdr:col>4</xdr:col>
      <xdr:colOff>104775</xdr:colOff>
      <xdr:row>54</xdr:row>
      <xdr:rowOff>38100</xdr:rowOff>
    </xdr:to>
    <xdr:sp macro="" textlink="">
      <xdr:nvSpPr>
        <xdr:cNvPr id="14405" name="Line 574">
          <a:extLst>
            <a:ext uri="{FF2B5EF4-FFF2-40B4-BE49-F238E27FC236}">
              <a16:creationId xmlns:a16="http://schemas.microsoft.com/office/drawing/2014/main" id="{00000000-0008-0000-0900-000045380000}"/>
            </a:ext>
          </a:extLst>
        </xdr:cNvPr>
        <xdr:cNvSpPr>
          <a:spLocks noChangeAspect="1" noChangeShapeType="1"/>
        </xdr:cNvSpPr>
      </xdr:nvSpPr>
      <xdr:spPr bwMode="auto">
        <a:xfrm>
          <a:off x="2238375" y="7086600"/>
          <a:ext cx="0" cy="2228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428625</xdr:colOff>
      <xdr:row>52</xdr:row>
      <xdr:rowOff>85725</xdr:rowOff>
    </xdr:from>
    <xdr:to>
      <xdr:col>4</xdr:col>
      <xdr:colOff>95250</xdr:colOff>
      <xdr:row>52</xdr:row>
      <xdr:rowOff>85725</xdr:rowOff>
    </xdr:to>
    <xdr:sp macro="" textlink="">
      <xdr:nvSpPr>
        <xdr:cNvPr id="14406" name="Line 575">
          <a:extLst>
            <a:ext uri="{FF2B5EF4-FFF2-40B4-BE49-F238E27FC236}">
              <a16:creationId xmlns:a16="http://schemas.microsoft.com/office/drawing/2014/main" id="{00000000-0008-0000-0900-000046380000}"/>
            </a:ext>
          </a:extLst>
        </xdr:cNvPr>
        <xdr:cNvSpPr>
          <a:spLocks noChangeAspect="1" noChangeShapeType="1"/>
        </xdr:cNvSpPr>
      </xdr:nvSpPr>
      <xdr:spPr bwMode="auto">
        <a:xfrm>
          <a:off x="1495425" y="9039225"/>
          <a:ext cx="733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400050</xdr:colOff>
      <xdr:row>52</xdr:row>
      <xdr:rowOff>38100</xdr:rowOff>
    </xdr:from>
    <xdr:to>
      <xdr:col>3</xdr:col>
      <xdr:colOff>66675</xdr:colOff>
      <xdr:row>52</xdr:row>
      <xdr:rowOff>104775</xdr:rowOff>
    </xdr:to>
    <xdr:sp macro="" textlink="">
      <xdr:nvSpPr>
        <xdr:cNvPr id="14407" name="Freeform 576">
          <a:extLst>
            <a:ext uri="{FF2B5EF4-FFF2-40B4-BE49-F238E27FC236}">
              <a16:creationId xmlns:a16="http://schemas.microsoft.com/office/drawing/2014/main" id="{00000000-0008-0000-0900-000047380000}"/>
            </a:ext>
          </a:extLst>
        </xdr:cNvPr>
        <xdr:cNvSpPr>
          <a:spLocks noChangeAspect="1"/>
        </xdr:cNvSpPr>
      </xdr:nvSpPr>
      <xdr:spPr bwMode="auto">
        <a:xfrm>
          <a:off x="1466850" y="8991600"/>
          <a:ext cx="200025" cy="66675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4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0</xdr:colOff>
      <xdr:row>52</xdr:row>
      <xdr:rowOff>38100</xdr:rowOff>
    </xdr:from>
    <xdr:to>
      <xdr:col>4</xdr:col>
      <xdr:colOff>114300</xdr:colOff>
      <xdr:row>52</xdr:row>
      <xdr:rowOff>104775</xdr:rowOff>
    </xdr:to>
    <xdr:sp macro="" textlink="">
      <xdr:nvSpPr>
        <xdr:cNvPr id="14408" name="Freeform 577">
          <a:extLst>
            <a:ext uri="{FF2B5EF4-FFF2-40B4-BE49-F238E27FC236}">
              <a16:creationId xmlns:a16="http://schemas.microsoft.com/office/drawing/2014/main" id="{00000000-0008-0000-0900-000048380000}"/>
            </a:ext>
          </a:extLst>
        </xdr:cNvPr>
        <xdr:cNvSpPr>
          <a:spLocks noChangeAspect="1"/>
        </xdr:cNvSpPr>
      </xdr:nvSpPr>
      <xdr:spPr bwMode="auto">
        <a:xfrm>
          <a:off x="2133600" y="8991600"/>
          <a:ext cx="114300" cy="66675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4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96354</xdr:colOff>
      <xdr:row>51</xdr:row>
      <xdr:rowOff>10055</xdr:rowOff>
    </xdr:from>
    <xdr:to>
      <xdr:col>4</xdr:col>
      <xdr:colOff>542227</xdr:colOff>
      <xdr:row>53</xdr:row>
      <xdr:rowOff>71897</xdr:rowOff>
    </xdr:to>
    <xdr:sp macro="" textlink="$T$10">
      <xdr:nvSpPr>
        <xdr:cNvPr id="487" name="Text Box 578">
          <a:extLst>
            <a:ext uri="{FF2B5EF4-FFF2-40B4-BE49-F238E27FC236}">
              <a16:creationId xmlns:a16="http://schemas.microsoft.com/office/drawing/2014/main" id="{00000000-0008-0000-0900-0000E7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1944204" y="8801630"/>
          <a:ext cx="1150284" cy="3856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F0A8BA5D-21B6-4432-9818-4B05E4A2EF38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295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11</xdr:col>
      <xdr:colOff>209550</xdr:colOff>
      <xdr:row>21</xdr:row>
      <xdr:rowOff>9525</xdr:rowOff>
    </xdr:from>
    <xdr:to>
      <xdr:col>12</xdr:col>
      <xdr:colOff>28575</xdr:colOff>
      <xdr:row>23</xdr:row>
      <xdr:rowOff>19050</xdr:rowOff>
    </xdr:to>
    <xdr:sp macro="" textlink="">
      <xdr:nvSpPr>
        <xdr:cNvPr id="14410" name="Line 584">
          <a:extLst>
            <a:ext uri="{FF2B5EF4-FFF2-40B4-BE49-F238E27FC236}">
              <a16:creationId xmlns:a16="http://schemas.microsoft.com/office/drawing/2014/main" id="{00000000-0008-0000-0900-00004A380000}"/>
            </a:ext>
          </a:extLst>
        </xdr:cNvPr>
        <xdr:cNvSpPr>
          <a:spLocks noChangeShapeType="1"/>
        </xdr:cNvSpPr>
      </xdr:nvSpPr>
      <xdr:spPr bwMode="auto">
        <a:xfrm flipH="1">
          <a:off x="6248400" y="3943350"/>
          <a:ext cx="352425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200025</xdr:colOff>
      <xdr:row>28</xdr:row>
      <xdr:rowOff>28575</xdr:rowOff>
    </xdr:from>
    <xdr:to>
      <xdr:col>19</xdr:col>
      <xdr:colOff>314325</xdr:colOff>
      <xdr:row>29</xdr:row>
      <xdr:rowOff>142875</xdr:rowOff>
    </xdr:to>
    <xdr:sp macro="" textlink="">
      <xdr:nvSpPr>
        <xdr:cNvPr id="14411" name="Line 585">
          <a:extLst>
            <a:ext uri="{FF2B5EF4-FFF2-40B4-BE49-F238E27FC236}">
              <a16:creationId xmlns:a16="http://schemas.microsoft.com/office/drawing/2014/main" id="{00000000-0008-0000-0900-00004B380000}"/>
            </a:ext>
          </a:extLst>
        </xdr:cNvPr>
        <xdr:cNvSpPr>
          <a:spLocks noChangeShapeType="1"/>
        </xdr:cNvSpPr>
      </xdr:nvSpPr>
      <xdr:spPr bwMode="auto">
        <a:xfrm flipH="1">
          <a:off x="9725025" y="5095875"/>
          <a:ext cx="419100" cy="276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228600</xdr:colOff>
      <xdr:row>22</xdr:row>
      <xdr:rowOff>123825</xdr:rowOff>
    </xdr:from>
    <xdr:to>
      <xdr:col>18</xdr:col>
      <xdr:colOff>219075</xdr:colOff>
      <xdr:row>29</xdr:row>
      <xdr:rowOff>95250</xdr:rowOff>
    </xdr:to>
    <xdr:sp macro="" textlink="">
      <xdr:nvSpPr>
        <xdr:cNvPr id="14412" name="Line 587">
          <a:extLst>
            <a:ext uri="{FF2B5EF4-FFF2-40B4-BE49-F238E27FC236}">
              <a16:creationId xmlns:a16="http://schemas.microsoft.com/office/drawing/2014/main" id="{00000000-0008-0000-0900-00004C380000}"/>
            </a:ext>
          </a:extLst>
        </xdr:cNvPr>
        <xdr:cNvSpPr>
          <a:spLocks noChangeShapeType="1"/>
        </xdr:cNvSpPr>
      </xdr:nvSpPr>
      <xdr:spPr bwMode="auto">
        <a:xfrm flipH="1" flipV="1">
          <a:off x="6267450" y="4219575"/>
          <a:ext cx="3476625" cy="11049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 editAs="absolute">
    <xdr:from>
      <xdr:col>14</xdr:col>
      <xdr:colOff>53146</xdr:colOff>
      <xdr:row>24</xdr:row>
      <xdr:rowOff>100420</xdr:rowOff>
    </xdr:from>
    <xdr:to>
      <xdr:col>16</xdr:col>
      <xdr:colOff>6056</xdr:colOff>
      <xdr:row>26</xdr:row>
      <xdr:rowOff>146310</xdr:rowOff>
    </xdr:to>
    <xdr:sp macro="" textlink="calcoloPunti!D35">
      <xdr:nvSpPr>
        <xdr:cNvPr id="491" name="Text Box 588">
          <a:extLst>
            <a:ext uri="{FF2B5EF4-FFF2-40B4-BE49-F238E27FC236}">
              <a16:creationId xmlns:a16="http://schemas.microsoft.com/office/drawing/2014/main" id="{00000000-0008-0000-0900-0000EB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8682796" y="4520020"/>
          <a:ext cx="1140814" cy="3792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0F4C5D20-9A89-46C7-A690-41B04432BD2D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12</xdr:col>
      <xdr:colOff>9525</xdr:colOff>
      <xdr:row>21</xdr:row>
      <xdr:rowOff>19050</xdr:rowOff>
    </xdr:from>
    <xdr:to>
      <xdr:col>12</xdr:col>
      <xdr:colOff>9525</xdr:colOff>
      <xdr:row>42</xdr:row>
      <xdr:rowOff>28575</xdr:rowOff>
    </xdr:to>
    <xdr:sp macro="" textlink="">
      <xdr:nvSpPr>
        <xdr:cNvPr id="14414" name="Line 592">
          <a:extLst>
            <a:ext uri="{FF2B5EF4-FFF2-40B4-BE49-F238E27FC236}">
              <a16:creationId xmlns:a16="http://schemas.microsoft.com/office/drawing/2014/main" id="{00000000-0008-0000-0900-00004E380000}"/>
            </a:ext>
          </a:extLst>
        </xdr:cNvPr>
        <xdr:cNvSpPr>
          <a:spLocks noChangeShapeType="1"/>
        </xdr:cNvSpPr>
      </xdr:nvSpPr>
      <xdr:spPr bwMode="auto">
        <a:xfrm>
          <a:off x="6581775" y="3952875"/>
          <a:ext cx="0" cy="3409950"/>
        </a:xfrm>
        <a:prstGeom prst="line">
          <a:avLst/>
        </a:prstGeom>
        <a:noFill/>
        <a:ln w="25400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 editAs="absolute">
    <xdr:from>
      <xdr:col>9</xdr:col>
      <xdr:colOff>184235</xdr:colOff>
      <xdr:row>23</xdr:row>
      <xdr:rowOff>8090</xdr:rowOff>
    </xdr:from>
    <xdr:to>
      <xdr:col>10</xdr:col>
      <xdr:colOff>387049</xdr:colOff>
      <xdr:row>38</xdr:row>
      <xdr:rowOff>109774</xdr:rowOff>
    </xdr:to>
    <xdr:sp macro="" textlink="">
      <xdr:nvSpPr>
        <xdr:cNvPr id="493" name="Text Box 597">
          <a:extLst>
            <a:ext uri="{FF2B5EF4-FFF2-40B4-BE49-F238E27FC236}">
              <a16:creationId xmlns:a16="http://schemas.microsoft.com/office/drawing/2014/main" id="{00000000-0008-0000-0900-0000ED010000}"/>
            </a:ext>
          </a:extLst>
        </xdr:cNvPr>
        <xdr:cNvSpPr txBox="1">
          <a:spLocks noChangeArrowheads="1"/>
        </xdr:cNvSpPr>
      </xdr:nvSpPr>
      <xdr:spPr bwMode="auto">
        <a:xfrm>
          <a:off x="5794460" y="4265765"/>
          <a:ext cx="859433" cy="2540078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</xdr:spPr>
      <xdr:txBody>
        <a:bodyPr vertOverflow="clip" vert="wordArtVert" wrap="square" lIns="36576" tIns="0" rIns="0" bIns="0" anchor="t" upright="1"/>
        <a:lstStyle/>
        <a:p>
          <a:pPr algn="l" rtl="0">
            <a:defRPr sz="1000"/>
          </a:pPr>
          <a:r>
            <a:rPr lang="it-IT" sz="1600" b="1" i="0" strike="noStrike">
              <a:solidFill>
                <a:srgbClr val="000000"/>
              </a:solidFill>
              <a:latin typeface="Arial"/>
              <a:cs typeface="Arial"/>
            </a:rPr>
            <a:t>Cucitura</a:t>
          </a:r>
        </a:p>
        <a:p>
          <a:pPr algn="l" rtl="0">
            <a:defRPr sz="1000"/>
          </a:pPr>
          <a:r>
            <a:rPr lang="it-IT" sz="1600" b="1" i="0" strike="noStrike">
              <a:solidFill>
                <a:srgbClr val="000000"/>
              </a:solidFill>
              <a:latin typeface="Arial"/>
              <a:cs typeface="Arial"/>
            </a:rPr>
            <a:t>bretella inferiore</a:t>
          </a:r>
        </a:p>
        <a:p>
          <a:pPr algn="l" rtl="0">
            <a:defRPr sz="1000"/>
          </a:pP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11</xdr:col>
      <xdr:colOff>0</xdr:colOff>
      <xdr:row>25</xdr:row>
      <xdr:rowOff>47625</xdr:rowOff>
    </xdr:from>
    <xdr:to>
      <xdr:col>12</xdr:col>
      <xdr:colOff>0</xdr:colOff>
      <xdr:row>26</xdr:row>
      <xdr:rowOff>95250</xdr:rowOff>
    </xdr:to>
    <xdr:sp macro="" textlink="">
      <xdr:nvSpPr>
        <xdr:cNvPr id="14416" name="Line 604">
          <a:extLst>
            <a:ext uri="{FF2B5EF4-FFF2-40B4-BE49-F238E27FC236}">
              <a16:creationId xmlns:a16="http://schemas.microsoft.com/office/drawing/2014/main" id="{00000000-0008-0000-0900-000050380000}"/>
            </a:ext>
          </a:extLst>
        </xdr:cNvPr>
        <xdr:cNvSpPr>
          <a:spLocks noChangeShapeType="1"/>
        </xdr:cNvSpPr>
      </xdr:nvSpPr>
      <xdr:spPr bwMode="auto">
        <a:xfrm>
          <a:off x="6038850" y="4629150"/>
          <a:ext cx="53340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absolute">
    <xdr:from>
      <xdr:col>3</xdr:col>
      <xdr:colOff>257112</xdr:colOff>
      <xdr:row>23</xdr:row>
      <xdr:rowOff>109326</xdr:rowOff>
    </xdr:from>
    <xdr:to>
      <xdr:col>4</xdr:col>
      <xdr:colOff>97208</xdr:colOff>
      <xdr:row>39</xdr:row>
      <xdr:rowOff>82107</xdr:rowOff>
    </xdr:to>
    <xdr:sp macro="" textlink="">
      <xdr:nvSpPr>
        <xdr:cNvPr id="495" name="Text Box 605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SpPr txBox="1">
          <a:spLocks noChangeArrowheads="1"/>
        </xdr:cNvSpPr>
      </xdr:nvSpPr>
      <xdr:spPr bwMode="auto">
        <a:xfrm>
          <a:off x="2143062" y="4376526"/>
          <a:ext cx="411668" cy="256358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wordArtVert" wrap="square" lIns="36576" tIns="0" rIns="0" bIns="0" anchor="t" upright="1"/>
        <a:lstStyle/>
        <a:p>
          <a:pPr algn="l" rtl="0">
            <a:defRPr sz="1000"/>
          </a:pPr>
          <a:r>
            <a:rPr lang="it-IT" sz="1600" b="1" i="0" strike="noStrike">
              <a:solidFill>
                <a:srgbClr val="000000"/>
              </a:solidFill>
              <a:latin typeface="Arial"/>
              <a:cs typeface="Arial"/>
            </a:rPr>
            <a:t>BRETELLA</a:t>
          </a:r>
        </a:p>
        <a:p>
          <a:pPr algn="l" rtl="0">
            <a:defRPr sz="1000"/>
          </a:pP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219075</xdr:colOff>
      <xdr:row>0</xdr:row>
      <xdr:rowOff>104775</xdr:rowOff>
    </xdr:from>
    <xdr:to>
      <xdr:col>7</xdr:col>
      <xdr:colOff>352454</xdr:colOff>
      <xdr:row>3</xdr:row>
      <xdr:rowOff>57263</xdr:rowOff>
    </xdr:to>
    <xdr:sp macro="" textlink="">
      <xdr:nvSpPr>
        <xdr:cNvPr id="496" name="Text Box 1">
          <a:extLst>
            <a:ext uri="{FF2B5EF4-FFF2-40B4-BE49-F238E27FC236}">
              <a16:creationId xmlns:a16="http://schemas.microsoft.com/office/drawing/2014/main" id="{00000000-0008-0000-0900-0000F0010000}"/>
            </a:ext>
          </a:extLst>
        </xdr:cNvPr>
        <xdr:cNvSpPr txBox="1">
          <a:spLocks noChangeArrowheads="1"/>
        </xdr:cNvSpPr>
      </xdr:nvSpPr>
      <xdr:spPr bwMode="auto">
        <a:xfrm>
          <a:off x="257175" y="104775"/>
          <a:ext cx="4524375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it-IT" sz="1600" b="1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it-IT" sz="1800" b="1" i="0" u="sng" strike="noStrike">
              <a:solidFill>
                <a:srgbClr val="000000"/>
              </a:solidFill>
              <a:latin typeface="Arial"/>
              <a:cs typeface="Arial"/>
            </a:rPr>
            <a:t>SVILUPPO DELL'OTTAVO DEL SILOS</a:t>
          </a:r>
        </a:p>
      </xdr:txBody>
    </xdr:sp>
    <xdr:clientData/>
  </xdr:twoCellAnchor>
  <xdr:twoCellAnchor>
    <xdr:from>
      <xdr:col>7</xdr:col>
      <xdr:colOff>400050</xdr:colOff>
      <xdr:row>4</xdr:row>
      <xdr:rowOff>57150</xdr:rowOff>
    </xdr:from>
    <xdr:to>
      <xdr:col>15</xdr:col>
      <xdr:colOff>104875</xdr:colOff>
      <xdr:row>7</xdr:row>
      <xdr:rowOff>47625</xdr:rowOff>
    </xdr:to>
    <xdr:sp macro="" textlink="">
      <xdr:nvSpPr>
        <xdr:cNvPr id="497" name="Text Box 2">
          <a:extLst>
            <a:ext uri="{FF2B5EF4-FFF2-40B4-BE49-F238E27FC236}">
              <a16:creationId xmlns:a16="http://schemas.microsoft.com/office/drawing/2014/main" id="{00000000-0008-0000-0900-0000F1010000}"/>
            </a:ext>
          </a:extLst>
        </xdr:cNvPr>
        <xdr:cNvSpPr txBox="1">
          <a:spLocks noChangeArrowheads="1"/>
        </xdr:cNvSpPr>
      </xdr:nvSpPr>
      <xdr:spPr bwMode="auto">
        <a:xfrm>
          <a:off x="4838700" y="704850"/>
          <a:ext cx="4524375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it-IT" sz="1600" b="1" i="0" u="sng" strike="noStrike">
              <a:solidFill>
                <a:srgbClr val="000000"/>
              </a:solidFill>
              <a:latin typeface="Arial"/>
              <a:cs typeface="Arial"/>
            </a:rPr>
            <a:t>Lato lungo del silos</a:t>
          </a: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17</xdr:col>
      <xdr:colOff>161925</xdr:colOff>
      <xdr:row>1</xdr:row>
      <xdr:rowOff>38100</xdr:rowOff>
    </xdr:from>
    <xdr:to>
      <xdr:col>19</xdr:col>
      <xdr:colOff>381000</xdr:colOff>
      <xdr:row>5</xdr:row>
      <xdr:rowOff>219075</xdr:rowOff>
    </xdr:to>
    <xdr:grpSp>
      <xdr:nvGrpSpPr>
        <xdr:cNvPr id="14420" name="Group 565">
          <a:extLst>
            <a:ext uri="{FF2B5EF4-FFF2-40B4-BE49-F238E27FC236}">
              <a16:creationId xmlns:a16="http://schemas.microsoft.com/office/drawing/2014/main" id="{00000000-0008-0000-0900-000054380000}"/>
            </a:ext>
          </a:extLst>
        </xdr:cNvPr>
        <xdr:cNvGrpSpPr>
          <a:grpSpLocks/>
        </xdr:cNvGrpSpPr>
      </xdr:nvGrpSpPr>
      <xdr:grpSpPr bwMode="auto">
        <a:xfrm>
          <a:off x="9305925" y="201386"/>
          <a:ext cx="858611" cy="847725"/>
          <a:chOff x="68" y="130"/>
          <a:chExt cx="124" cy="88"/>
        </a:xfrm>
      </xdr:grpSpPr>
      <xdr:sp macro="" textlink="">
        <xdr:nvSpPr>
          <xdr:cNvPr id="499" name="Text Box 547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" y="188"/>
            <a:ext cx="30" cy="2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it-IT" sz="1000" b="1" i="0" strike="noStrike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14466" name="Line 548">
            <a:extLst>
              <a:ext uri="{FF2B5EF4-FFF2-40B4-BE49-F238E27FC236}">
                <a16:creationId xmlns:a16="http://schemas.microsoft.com/office/drawing/2014/main" id="{00000000-0008-0000-0900-000082380000}"/>
              </a:ext>
            </a:extLst>
          </xdr:cNvPr>
          <xdr:cNvSpPr>
            <a:spLocks noChangeShapeType="1"/>
          </xdr:cNvSpPr>
        </xdr:nvSpPr>
        <xdr:spPr bwMode="auto">
          <a:xfrm>
            <a:off x="68" y="144"/>
            <a:ext cx="8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14467" name="Line 549">
            <a:extLst>
              <a:ext uri="{FF2B5EF4-FFF2-40B4-BE49-F238E27FC236}">
                <a16:creationId xmlns:a16="http://schemas.microsoft.com/office/drawing/2014/main" id="{00000000-0008-0000-0900-000083380000}"/>
              </a:ext>
            </a:extLst>
          </xdr:cNvPr>
          <xdr:cNvSpPr>
            <a:spLocks noChangeShapeType="1"/>
          </xdr:cNvSpPr>
        </xdr:nvSpPr>
        <xdr:spPr bwMode="auto">
          <a:xfrm>
            <a:off x="69" y="144"/>
            <a:ext cx="0" cy="7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502" name="Text Box 550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3" y="130"/>
            <a:ext cx="29" cy="2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it-IT" sz="1000" b="1" i="0" strike="noStrike">
                <a:solidFill>
                  <a:srgbClr val="000000"/>
                </a:solidFill>
                <a:latin typeface="Arial"/>
                <a:cs typeface="Arial"/>
              </a:rPr>
              <a:t>Y</a:t>
            </a:r>
          </a:p>
        </xdr:txBody>
      </xdr:sp>
    </xdr:grpSp>
    <xdr:clientData/>
  </xdr:twoCellAnchor>
  <xdr:twoCellAnchor>
    <xdr:from>
      <xdr:col>3</xdr:col>
      <xdr:colOff>177800</xdr:colOff>
      <xdr:row>21</xdr:row>
      <xdr:rowOff>51594</xdr:rowOff>
    </xdr:from>
    <xdr:to>
      <xdr:col>3</xdr:col>
      <xdr:colOff>178595</xdr:colOff>
      <xdr:row>23</xdr:row>
      <xdr:rowOff>73215</xdr:rowOff>
    </xdr:to>
    <xdr:cxnSp macro="">
      <xdr:nvCxnSpPr>
        <xdr:cNvPr id="503" name="Connettore 1 502">
          <a:extLst>
            <a:ext uri="{FF2B5EF4-FFF2-40B4-BE49-F238E27FC236}">
              <a16:creationId xmlns:a16="http://schemas.microsoft.com/office/drawing/2014/main" id="{00000000-0008-0000-0900-0000F7010000}"/>
            </a:ext>
          </a:extLst>
        </xdr:cNvPr>
        <xdr:cNvCxnSpPr/>
      </xdr:nvCxnSpPr>
      <xdr:spPr bwMode="auto">
        <a:xfrm rot="5400000">
          <a:off x="1872362" y="4157757"/>
          <a:ext cx="345471" cy="795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173317</xdr:colOff>
      <xdr:row>24</xdr:row>
      <xdr:rowOff>69525</xdr:rowOff>
    </xdr:from>
    <xdr:to>
      <xdr:col>3</xdr:col>
      <xdr:colOff>174112</xdr:colOff>
      <xdr:row>26</xdr:row>
      <xdr:rowOff>81735</xdr:rowOff>
    </xdr:to>
    <xdr:cxnSp macro="">
      <xdr:nvCxnSpPr>
        <xdr:cNvPr id="504" name="Connettore 1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CxnSpPr/>
      </xdr:nvCxnSpPr>
      <xdr:spPr bwMode="auto">
        <a:xfrm rot="5400000">
          <a:off x="1867879" y="4661463"/>
          <a:ext cx="345471" cy="795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191246</xdr:colOff>
      <xdr:row>27</xdr:row>
      <xdr:rowOff>87455</xdr:rowOff>
    </xdr:from>
    <xdr:to>
      <xdr:col>3</xdr:col>
      <xdr:colOff>192041</xdr:colOff>
      <xdr:row>29</xdr:row>
      <xdr:rowOff>109076</xdr:rowOff>
    </xdr:to>
    <xdr:cxnSp macro="">
      <xdr:nvCxnSpPr>
        <xdr:cNvPr id="505" name="Connettore 1 504">
          <a:extLst>
            <a:ext uri="{FF2B5EF4-FFF2-40B4-BE49-F238E27FC236}">
              <a16:creationId xmlns:a16="http://schemas.microsoft.com/office/drawing/2014/main" id="{00000000-0008-0000-0900-0000F9010000}"/>
            </a:ext>
          </a:extLst>
        </xdr:cNvPr>
        <xdr:cNvCxnSpPr/>
      </xdr:nvCxnSpPr>
      <xdr:spPr bwMode="auto">
        <a:xfrm rot="5400000">
          <a:off x="1885808" y="5165168"/>
          <a:ext cx="345471" cy="795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184523</xdr:colOff>
      <xdr:row>30</xdr:row>
      <xdr:rowOff>136760</xdr:rowOff>
    </xdr:from>
    <xdr:to>
      <xdr:col>3</xdr:col>
      <xdr:colOff>185318</xdr:colOff>
      <xdr:row>32</xdr:row>
      <xdr:rowOff>148970</xdr:rowOff>
    </xdr:to>
    <xdr:cxnSp macro="">
      <xdr:nvCxnSpPr>
        <xdr:cNvPr id="506" name="Connettore 1 505">
          <a:extLst>
            <a:ext uri="{FF2B5EF4-FFF2-40B4-BE49-F238E27FC236}">
              <a16:creationId xmlns:a16="http://schemas.microsoft.com/office/drawing/2014/main" id="{00000000-0008-0000-0900-0000FA010000}"/>
            </a:ext>
          </a:extLst>
        </xdr:cNvPr>
        <xdr:cNvCxnSpPr/>
      </xdr:nvCxnSpPr>
      <xdr:spPr bwMode="auto">
        <a:xfrm rot="5400000">
          <a:off x="1879085" y="5700248"/>
          <a:ext cx="345471" cy="795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180040</xdr:colOff>
      <xdr:row>33</xdr:row>
      <xdr:rowOff>145166</xdr:rowOff>
    </xdr:from>
    <xdr:to>
      <xdr:col>3</xdr:col>
      <xdr:colOff>180835</xdr:colOff>
      <xdr:row>36</xdr:row>
      <xdr:rowOff>11049</xdr:rowOff>
    </xdr:to>
    <xdr:cxnSp macro="">
      <xdr:nvCxnSpPr>
        <xdr:cNvPr id="507" name="Connettore 1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CxnSpPr/>
      </xdr:nvCxnSpPr>
      <xdr:spPr bwMode="auto">
        <a:xfrm rot="5400000">
          <a:off x="1876190" y="6202366"/>
          <a:ext cx="342296" cy="795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175557</xdr:colOff>
      <xdr:row>36</xdr:row>
      <xdr:rowOff>148325</xdr:rowOff>
    </xdr:from>
    <xdr:to>
      <xdr:col>3</xdr:col>
      <xdr:colOff>176352</xdr:colOff>
      <xdr:row>39</xdr:row>
      <xdr:rowOff>4294</xdr:rowOff>
    </xdr:to>
    <xdr:cxnSp macro="">
      <xdr:nvCxnSpPr>
        <xdr:cNvPr id="508" name="Connettore 1 507">
          <a:extLst>
            <a:ext uri="{FF2B5EF4-FFF2-40B4-BE49-F238E27FC236}">
              <a16:creationId xmlns:a16="http://schemas.microsoft.com/office/drawing/2014/main" id="{00000000-0008-0000-0900-0000FC010000}"/>
            </a:ext>
          </a:extLst>
        </xdr:cNvPr>
        <xdr:cNvCxnSpPr/>
      </xdr:nvCxnSpPr>
      <xdr:spPr bwMode="auto">
        <a:xfrm rot="5400000">
          <a:off x="1871983" y="6681499"/>
          <a:ext cx="341744" cy="795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182281</xdr:colOff>
      <xdr:row>40</xdr:row>
      <xdr:rowOff>36658</xdr:rowOff>
    </xdr:from>
    <xdr:to>
      <xdr:col>3</xdr:col>
      <xdr:colOff>183076</xdr:colOff>
      <xdr:row>42</xdr:row>
      <xdr:rowOff>66497</xdr:rowOff>
    </xdr:to>
    <xdr:cxnSp macro="">
      <xdr:nvCxnSpPr>
        <xdr:cNvPr id="509" name="Connettore 1 508">
          <a:extLst>
            <a:ext uri="{FF2B5EF4-FFF2-40B4-BE49-F238E27FC236}">
              <a16:creationId xmlns:a16="http://schemas.microsoft.com/office/drawing/2014/main" id="{00000000-0008-0000-0900-0000FD010000}"/>
            </a:ext>
          </a:extLst>
        </xdr:cNvPr>
        <xdr:cNvCxnSpPr/>
      </xdr:nvCxnSpPr>
      <xdr:spPr bwMode="auto">
        <a:xfrm rot="5400000">
          <a:off x="1872734" y="7223505"/>
          <a:ext cx="353689" cy="795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39</xdr:row>
      <xdr:rowOff>76200</xdr:rowOff>
    </xdr:from>
    <xdr:to>
      <xdr:col>3</xdr:col>
      <xdr:colOff>219075</xdr:colOff>
      <xdr:row>39</xdr:row>
      <xdr:rowOff>76200</xdr:rowOff>
    </xdr:to>
    <xdr:sp macro="" textlink="">
      <xdr:nvSpPr>
        <xdr:cNvPr id="14428" name="Line 608">
          <a:extLst>
            <a:ext uri="{FF2B5EF4-FFF2-40B4-BE49-F238E27FC236}">
              <a16:creationId xmlns:a16="http://schemas.microsoft.com/office/drawing/2014/main" id="{00000000-0008-0000-0900-00005C380000}"/>
            </a:ext>
          </a:extLst>
        </xdr:cNvPr>
        <xdr:cNvSpPr>
          <a:spLocks noChangeShapeType="1"/>
        </xdr:cNvSpPr>
      </xdr:nvSpPr>
      <xdr:spPr bwMode="auto">
        <a:xfrm>
          <a:off x="1257300" y="6924675"/>
          <a:ext cx="561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152400</xdr:colOff>
      <xdr:row>39</xdr:row>
      <xdr:rowOff>85725</xdr:rowOff>
    </xdr:from>
    <xdr:to>
      <xdr:col>3</xdr:col>
      <xdr:colOff>371475</xdr:colOff>
      <xdr:row>39</xdr:row>
      <xdr:rowOff>85725</xdr:rowOff>
    </xdr:to>
    <xdr:sp macro="" textlink="">
      <xdr:nvSpPr>
        <xdr:cNvPr id="14429" name="Line 609">
          <a:extLst>
            <a:ext uri="{FF2B5EF4-FFF2-40B4-BE49-F238E27FC236}">
              <a16:creationId xmlns:a16="http://schemas.microsoft.com/office/drawing/2014/main" id="{00000000-0008-0000-0900-00005D380000}"/>
            </a:ext>
          </a:extLst>
        </xdr:cNvPr>
        <xdr:cNvSpPr>
          <a:spLocks noChangeShapeType="1"/>
        </xdr:cNvSpPr>
      </xdr:nvSpPr>
      <xdr:spPr bwMode="auto">
        <a:xfrm flipH="1">
          <a:off x="1752600" y="693420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180975</xdr:colOff>
      <xdr:row>39</xdr:row>
      <xdr:rowOff>76200</xdr:rowOff>
    </xdr:from>
    <xdr:to>
      <xdr:col>2</xdr:col>
      <xdr:colOff>400050</xdr:colOff>
      <xdr:row>39</xdr:row>
      <xdr:rowOff>76200</xdr:rowOff>
    </xdr:to>
    <xdr:sp macro="" textlink="">
      <xdr:nvSpPr>
        <xdr:cNvPr id="14430" name="Line 609">
          <a:extLst>
            <a:ext uri="{FF2B5EF4-FFF2-40B4-BE49-F238E27FC236}">
              <a16:creationId xmlns:a16="http://schemas.microsoft.com/office/drawing/2014/main" id="{00000000-0008-0000-0900-00005E380000}"/>
            </a:ext>
          </a:extLst>
        </xdr:cNvPr>
        <xdr:cNvSpPr>
          <a:spLocks noChangeShapeType="1"/>
        </xdr:cNvSpPr>
      </xdr:nvSpPr>
      <xdr:spPr bwMode="auto">
        <a:xfrm rot="10800000" flipH="1">
          <a:off x="1247775" y="6924675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89808</xdr:colOff>
      <xdr:row>8</xdr:row>
      <xdr:rowOff>159203</xdr:rowOff>
    </xdr:from>
    <xdr:to>
      <xdr:col>15</xdr:col>
      <xdr:colOff>421996</xdr:colOff>
      <xdr:row>12</xdr:row>
      <xdr:rowOff>77559</xdr:rowOff>
    </xdr:to>
    <xdr:sp macro="" textlink="">
      <xdr:nvSpPr>
        <xdr:cNvPr id="513" name="CasellaDiTesto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SpPr txBox="1"/>
      </xdr:nvSpPr>
      <xdr:spPr>
        <a:xfrm>
          <a:off x="5690508" y="1635578"/>
          <a:ext cx="4065815" cy="8327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it-IT" sz="1400"/>
            <a:t>FARE RIENTRANZA DI 1-2 CM IN QUESTA ZONA PER LIMITARE LO SPANCIAMENTO DEL CONO</a:t>
          </a:r>
        </a:p>
      </xdr:txBody>
    </xdr:sp>
    <xdr:clientData/>
  </xdr:twoCellAnchor>
  <xdr:twoCellAnchor>
    <xdr:from>
      <xdr:col>15</xdr:col>
      <xdr:colOff>133350</xdr:colOff>
      <xdr:row>12</xdr:row>
      <xdr:rowOff>104775</xdr:rowOff>
    </xdr:from>
    <xdr:to>
      <xdr:col>16</xdr:col>
      <xdr:colOff>285750</xdr:colOff>
      <xdr:row>24</xdr:row>
      <xdr:rowOff>85725</xdr:rowOff>
    </xdr:to>
    <xdr:cxnSp macro="">
      <xdr:nvCxnSpPr>
        <xdr:cNvPr id="14432" name="Connettore 2 513">
          <a:extLst>
            <a:ext uri="{FF2B5EF4-FFF2-40B4-BE49-F238E27FC236}">
              <a16:creationId xmlns:a16="http://schemas.microsoft.com/office/drawing/2014/main" id="{00000000-0008-0000-0900-000060380000}"/>
            </a:ext>
          </a:extLst>
        </xdr:cNvPr>
        <xdr:cNvCxnSpPr>
          <a:cxnSpLocks noChangeShapeType="1"/>
        </xdr:cNvCxnSpPr>
      </xdr:nvCxnSpPr>
      <xdr:spPr bwMode="auto">
        <a:xfrm rot="16200000" flipH="1">
          <a:off x="7648575" y="3162300"/>
          <a:ext cx="2000250" cy="685800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  <xdr:twoCellAnchor>
    <xdr:from>
      <xdr:col>13</xdr:col>
      <xdr:colOff>390525</xdr:colOff>
      <xdr:row>12</xdr:row>
      <xdr:rowOff>104775</xdr:rowOff>
    </xdr:from>
    <xdr:to>
      <xdr:col>15</xdr:col>
      <xdr:colOff>133350</xdr:colOff>
      <xdr:row>21</xdr:row>
      <xdr:rowOff>66675</xdr:rowOff>
    </xdr:to>
    <xdr:cxnSp macro="">
      <xdr:nvCxnSpPr>
        <xdr:cNvPr id="14433" name="Connettore 2 514">
          <a:extLst>
            <a:ext uri="{FF2B5EF4-FFF2-40B4-BE49-F238E27FC236}">
              <a16:creationId xmlns:a16="http://schemas.microsoft.com/office/drawing/2014/main" id="{00000000-0008-0000-0900-000061380000}"/>
            </a:ext>
          </a:extLst>
        </xdr:cNvPr>
        <xdr:cNvCxnSpPr>
          <a:cxnSpLocks noChangeShapeType="1"/>
        </xdr:cNvCxnSpPr>
      </xdr:nvCxnSpPr>
      <xdr:spPr bwMode="auto">
        <a:xfrm rot="5400000">
          <a:off x="7153275" y="2847975"/>
          <a:ext cx="1495425" cy="80962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  <xdr:twoCellAnchor>
    <xdr:from>
      <xdr:col>14</xdr:col>
      <xdr:colOff>161925</xdr:colOff>
      <xdr:row>24</xdr:row>
      <xdr:rowOff>104775</xdr:rowOff>
    </xdr:from>
    <xdr:to>
      <xdr:col>15</xdr:col>
      <xdr:colOff>171450</xdr:colOff>
      <xdr:row>42</xdr:row>
      <xdr:rowOff>38100</xdr:rowOff>
    </xdr:to>
    <xdr:sp macro="" textlink="">
      <xdr:nvSpPr>
        <xdr:cNvPr id="14434" name="Figura a mano libera 515">
          <a:extLst>
            <a:ext uri="{FF2B5EF4-FFF2-40B4-BE49-F238E27FC236}">
              <a16:creationId xmlns:a16="http://schemas.microsoft.com/office/drawing/2014/main" id="{00000000-0008-0000-0900-000062380000}"/>
            </a:ext>
          </a:extLst>
        </xdr:cNvPr>
        <xdr:cNvSpPr>
          <a:spLocks/>
        </xdr:cNvSpPr>
      </xdr:nvSpPr>
      <xdr:spPr bwMode="auto">
        <a:xfrm>
          <a:off x="7800975" y="4524375"/>
          <a:ext cx="542925" cy="2847975"/>
        </a:xfrm>
        <a:custGeom>
          <a:avLst/>
          <a:gdLst>
            <a:gd name="T0" fmla="*/ 0 w 1061357"/>
            <a:gd name="T1" fmla="*/ 6269042 h 2585357"/>
            <a:gd name="T2" fmla="*/ 6197 w 1061357"/>
            <a:gd name="T3" fmla="*/ 3959405 h 2585357"/>
            <a:gd name="T4" fmla="*/ 20363 w 1061357"/>
            <a:gd name="T5" fmla="*/ 1550765 h 2585357"/>
            <a:gd name="T6" fmla="*/ 34529 w 1061357"/>
            <a:gd name="T7" fmla="*/ 0 h 2585357"/>
            <a:gd name="T8" fmla="*/ 0 60000 65536"/>
            <a:gd name="T9" fmla="*/ 0 60000 65536"/>
            <a:gd name="T10" fmla="*/ 0 60000 65536"/>
            <a:gd name="T11" fmla="*/ 0 60000 65536"/>
            <a:gd name="T12" fmla="*/ 0 w 1061357"/>
            <a:gd name="T13" fmla="*/ 0 h 2585357"/>
            <a:gd name="T14" fmla="*/ 1061357 w 1061357"/>
            <a:gd name="T15" fmla="*/ 2585357 h 258535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061357" h="2585357">
              <a:moveTo>
                <a:pt x="0" y="2585357"/>
              </a:moveTo>
              <a:cubicBezTo>
                <a:pt x="43089" y="2271259"/>
                <a:pt x="86179" y="1957161"/>
                <a:pt x="190500" y="1632857"/>
              </a:cubicBezTo>
              <a:cubicBezTo>
                <a:pt x="294821" y="1308553"/>
                <a:pt x="480786" y="911678"/>
                <a:pt x="625929" y="639535"/>
              </a:cubicBezTo>
              <a:cubicBezTo>
                <a:pt x="771072" y="367392"/>
                <a:pt x="916214" y="183696"/>
                <a:pt x="1061357" y="0"/>
              </a:cubicBezTo>
            </a:path>
          </a:pathLst>
        </a:custGeom>
        <a:solidFill>
          <a:srgbClr val="FFFFFF"/>
        </a:solidFill>
        <a:ln w="508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</xdr:spPr>
    </xdr:sp>
    <xdr:clientData/>
  </xdr:twoCellAnchor>
  <xdr:twoCellAnchor>
    <xdr:from>
      <xdr:col>13</xdr:col>
      <xdr:colOff>28575</xdr:colOff>
      <xdr:row>22</xdr:row>
      <xdr:rowOff>66675</xdr:rowOff>
    </xdr:from>
    <xdr:to>
      <xdr:col>13</xdr:col>
      <xdr:colOff>314325</xdr:colOff>
      <xdr:row>42</xdr:row>
      <xdr:rowOff>95250</xdr:rowOff>
    </xdr:to>
    <xdr:sp macro="" textlink="">
      <xdr:nvSpPr>
        <xdr:cNvPr id="14435" name="Figura a mano libera 516">
          <a:extLst>
            <a:ext uri="{FF2B5EF4-FFF2-40B4-BE49-F238E27FC236}">
              <a16:creationId xmlns:a16="http://schemas.microsoft.com/office/drawing/2014/main" id="{00000000-0008-0000-0900-000063380000}"/>
            </a:ext>
          </a:extLst>
        </xdr:cNvPr>
        <xdr:cNvSpPr>
          <a:spLocks/>
        </xdr:cNvSpPr>
      </xdr:nvSpPr>
      <xdr:spPr bwMode="auto">
        <a:xfrm>
          <a:off x="7134225" y="4162425"/>
          <a:ext cx="285750" cy="3267075"/>
        </a:xfrm>
        <a:custGeom>
          <a:avLst/>
          <a:gdLst>
            <a:gd name="T0" fmla="*/ 0 w 1061357"/>
            <a:gd name="T1" fmla="*/ 16401494 h 2585357"/>
            <a:gd name="T2" fmla="*/ 82 w 1061357"/>
            <a:gd name="T3" fmla="*/ 10358838 h 2585357"/>
            <a:gd name="T4" fmla="*/ 271 w 1061357"/>
            <a:gd name="T5" fmla="*/ 4057207 h 2585357"/>
            <a:gd name="T6" fmla="*/ 459 w 1061357"/>
            <a:gd name="T7" fmla="*/ 0 h 2585357"/>
            <a:gd name="T8" fmla="*/ 0 60000 65536"/>
            <a:gd name="T9" fmla="*/ 0 60000 65536"/>
            <a:gd name="T10" fmla="*/ 0 60000 65536"/>
            <a:gd name="T11" fmla="*/ 0 60000 65536"/>
            <a:gd name="T12" fmla="*/ 0 w 1061357"/>
            <a:gd name="T13" fmla="*/ 0 h 2585357"/>
            <a:gd name="T14" fmla="*/ 1061357 w 1061357"/>
            <a:gd name="T15" fmla="*/ 2585357 h 258535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061357" h="2585357">
              <a:moveTo>
                <a:pt x="0" y="2585357"/>
              </a:moveTo>
              <a:cubicBezTo>
                <a:pt x="43089" y="2271259"/>
                <a:pt x="86179" y="1957161"/>
                <a:pt x="190500" y="1632857"/>
              </a:cubicBezTo>
              <a:cubicBezTo>
                <a:pt x="294821" y="1308553"/>
                <a:pt x="480786" y="911678"/>
                <a:pt x="625929" y="639535"/>
              </a:cubicBezTo>
              <a:cubicBezTo>
                <a:pt x="771072" y="367392"/>
                <a:pt x="916214" y="183696"/>
                <a:pt x="1061357" y="0"/>
              </a:cubicBezTo>
            </a:path>
          </a:pathLst>
        </a:custGeom>
        <a:solidFill>
          <a:srgbClr val="FFFFFF"/>
        </a:solidFill>
        <a:ln w="508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</xdr:spPr>
    </xdr:sp>
    <xdr:clientData/>
  </xdr:twoCellAnchor>
  <xdr:twoCellAnchor editAs="absolute">
    <xdr:from>
      <xdr:col>5</xdr:col>
      <xdr:colOff>11206</xdr:colOff>
      <xdr:row>23</xdr:row>
      <xdr:rowOff>44825</xdr:rowOff>
    </xdr:from>
    <xdr:to>
      <xdr:col>6</xdr:col>
      <xdr:colOff>222964</xdr:colOff>
      <xdr:row>38</xdr:row>
      <xdr:rowOff>146474</xdr:rowOff>
    </xdr:to>
    <xdr:sp macro="" textlink="">
      <xdr:nvSpPr>
        <xdr:cNvPr id="518" name="Text Box 597">
          <a:extLst>
            <a:ext uri="{FF2B5EF4-FFF2-40B4-BE49-F238E27FC236}">
              <a16:creationId xmlns:a16="http://schemas.microsoft.com/office/drawing/2014/main" id="{00000000-0008-0000-0900-000006020000}"/>
            </a:ext>
          </a:extLst>
        </xdr:cNvPr>
        <xdr:cNvSpPr txBox="1">
          <a:spLocks noChangeArrowheads="1"/>
        </xdr:cNvSpPr>
      </xdr:nvSpPr>
      <xdr:spPr bwMode="auto">
        <a:xfrm>
          <a:off x="3154456" y="4302500"/>
          <a:ext cx="859432" cy="2540078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</xdr:spPr>
      <xdr:txBody>
        <a:bodyPr vertOverflow="clip" vert="wordArtVert" wrap="square" lIns="36576" tIns="0" rIns="0" bIns="0" anchor="t" upright="1"/>
        <a:lstStyle/>
        <a:p>
          <a:pPr algn="l" rtl="0">
            <a:defRPr sz="1000"/>
          </a:pPr>
          <a:r>
            <a:rPr lang="it-IT" sz="1600" b="1" i="0" strike="noStrike">
              <a:solidFill>
                <a:srgbClr val="000000"/>
              </a:solidFill>
              <a:latin typeface="Arial"/>
              <a:cs typeface="Arial"/>
            </a:rPr>
            <a:t>Cucitura</a:t>
          </a:r>
        </a:p>
        <a:p>
          <a:pPr algn="l" rtl="0">
            <a:defRPr sz="1000"/>
          </a:pPr>
          <a:r>
            <a:rPr lang="it-IT" sz="1600" b="1" i="0" strike="noStrike">
              <a:solidFill>
                <a:srgbClr val="000000"/>
              </a:solidFill>
              <a:latin typeface="Arial"/>
              <a:cs typeface="Arial"/>
            </a:rPr>
            <a:t>bretella superiore</a:t>
          </a:r>
        </a:p>
        <a:p>
          <a:pPr algn="l" rtl="0">
            <a:defRPr sz="1000"/>
          </a:pP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4</xdr:col>
      <xdr:colOff>161925</xdr:colOff>
      <xdr:row>26</xdr:row>
      <xdr:rowOff>47625</xdr:rowOff>
    </xdr:from>
    <xdr:to>
      <xdr:col>5</xdr:col>
      <xdr:colOff>0</xdr:colOff>
      <xdr:row>28</xdr:row>
      <xdr:rowOff>19050</xdr:rowOff>
    </xdr:to>
    <xdr:sp macro="" textlink="">
      <xdr:nvSpPr>
        <xdr:cNvPr id="14437" name="Line 604">
          <a:extLst>
            <a:ext uri="{FF2B5EF4-FFF2-40B4-BE49-F238E27FC236}">
              <a16:creationId xmlns:a16="http://schemas.microsoft.com/office/drawing/2014/main" id="{00000000-0008-0000-0900-000065380000}"/>
            </a:ext>
          </a:extLst>
        </xdr:cNvPr>
        <xdr:cNvSpPr>
          <a:spLocks noChangeShapeType="1"/>
        </xdr:cNvSpPr>
      </xdr:nvSpPr>
      <xdr:spPr bwMode="auto">
        <a:xfrm flipH="1">
          <a:off x="2295525" y="4791075"/>
          <a:ext cx="542925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13</xdr:col>
      <xdr:colOff>19050</xdr:colOff>
      <xdr:row>42</xdr:row>
      <xdr:rowOff>95250</xdr:rowOff>
    </xdr:from>
    <xdr:to>
      <xdr:col>13</xdr:col>
      <xdr:colOff>28575</xdr:colOff>
      <xdr:row>50</xdr:row>
      <xdr:rowOff>66675</xdr:rowOff>
    </xdr:to>
    <xdr:cxnSp macro="">
      <xdr:nvCxnSpPr>
        <xdr:cNvPr id="14438" name="Connettore 1 519">
          <a:extLst>
            <a:ext uri="{FF2B5EF4-FFF2-40B4-BE49-F238E27FC236}">
              <a16:creationId xmlns:a16="http://schemas.microsoft.com/office/drawing/2014/main" id="{00000000-0008-0000-0900-000066380000}"/>
            </a:ext>
          </a:extLst>
        </xdr:cNvPr>
        <xdr:cNvCxnSpPr>
          <a:cxnSpLocks noChangeShapeType="1"/>
          <a:stCxn id="14435" idx="0"/>
        </xdr:cNvCxnSpPr>
      </xdr:nvCxnSpPr>
      <xdr:spPr bwMode="auto">
        <a:xfrm flipH="1">
          <a:off x="7124700" y="7429500"/>
          <a:ext cx="9525" cy="12668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14</xdr:col>
      <xdr:colOff>161925</xdr:colOff>
      <xdr:row>42</xdr:row>
      <xdr:rowOff>76200</xdr:rowOff>
    </xdr:from>
    <xdr:to>
      <xdr:col>14</xdr:col>
      <xdr:colOff>171450</xdr:colOff>
      <xdr:row>50</xdr:row>
      <xdr:rowOff>47625</xdr:rowOff>
    </xdr:to>
    <xdr:cxnSp macro="">
      <xdr:nvCxnSpPr>
        <xdr:cNvPr id="14439" name="Connettore 1 520">
          <a:extLst>
            <a:ext uri="{FF2B5EF4-FFF2-40B4-BE49-F238E27FC236}">
              <a16:creationId xmlns:a16="http://schemas.microsoft.com/office/drawing/2014/main" id="{00000000-0008-0000-0900-000067380000}"/>
            </a:ext>
          </a:extLst>
        </xdr:cNvPr>
        <xdr:cNvCxnSpPr>
          <a:cxnSpLocks noChangeShapeType="1"/>
        </xdr:cNvCxnSpPr>
      </xdr:nvCxnSpPr>
      <xdr:spPr bwMode="auto">
        <a:xfrm flipH="1">
          <a:off x="7800975" y="7410450"/>
          <a:ext cx="9525" cy="12668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15</xdr:col>
      <xdr:colOff>371475</xdr:colOff>
      <xdr:row>42</xdr:row>
      <xdr:rowOff>57150</xdr:rowOff>
    </xdr:from>
    <xdr:to>
      <xdr:col>15</xdr:col>
      <xdr:colOff>371475</xdr:colOff>
      <xdr:row>50</xdr:row>
      <xdr:rowOff>28575</xdr:rowOff>
    </xdr:to>
    <xdr:cxnSp macro="">
      <xdr:nvCxnSpPr>
        <xdr:cNvPr id="14440" name="Connettore 1 521">
          <a:extLst>
            <a:ext uri="{FF2B5EF4-FFF2-40B4-BE49-F238E27FC236}">
              <a16:creationId xmlns:a16="http://schemas.microsoft.com/office/drawing/2014/main" id="{00000000-0008-0000-0900-000068380000}"/>
            </a:ext>
          </a:extLst>
        </xdr:cNvPr>
        <xdr:cNvCxnSpPr>
          <a:cxnSpLocks noChangeShapeType="1"/>
        </xdr:cNvCxnSpPr>
      </xdr:nvCxnSpPr>
      <xdr:spPr bwMode="auto">
        <a:xfrm flipH="1">
          <a:off x="8543925" y="7391400"/>
          <a:ext cx="0" cy="12668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12</xdr:col>
      <xdr:colOff>38100</xdr:colOff>
      <xdr:row>50</xdr:row>
      <xdr:rowOff>0</xdr:rowOff>
    </xdr:from>
    <xdr:to>
      <xdr:col>16</xdr:col>
      <xdr:colOff>390525</xdr:colOff>
      <xdr:row>50</xdr:row>
      <xdr:rowOff>0</xdr:rowOff>
    </xdr:to>
    <xdr:cxnSp macro="">
      <xdr:nvCxnSpPr>
        <xdr:cNvPr id="14441" name="Connettore 1 522">
          <a:extLst>
            <a:ext uri="{FF2B5EF4-FFF2-40B4-BE49-F238E27FC236}">
              <a16:creationId xmlns:a16="http://schemas.microsoft.com/office/drawing/2014/main" id="{00000000-0008-0000-0900-000069380000}"/>
            </a:ext>
          </a:extLst>
        </xdr:cNvPr>
        <xdr:cNvCxnSpPr>
          <a:cxnSpLocks noChangeShapeType="1"/>
        </xdr:cNvCxnSpPr>
      </xdr:nvCxnSpPr>
      <xdr:spPr bwMode="auto">
        <a:xfrm>
          <a:off x="6610350" y="8629650"/>
          <a:ext cx="2486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 editAs="absolute">
    <xdr:from>
      <xdr:col>12</xdr:col>
      <xdr:colOff>38100</xdr:colOff>
      <xdr:row>49</xdr:row>
      <xdr:rowOff>123825</xdr:rowOff>
    </xdr:from>
    <xdr:to>
      <xdr:col>12</xdr:col>
      <xdr:colOff>219075</xdr:colOff>
      <xdr:row>50</xdr:row>
      <xdr:rowOff>38100</xdr:rowOff>
    </xdr:to>
    <xdr:sp macro="" textlink="">
      <xdr:nvSpPr>
        <xdr:cNvPr id="14442" name="Freeform 437">
          <a:extLst>
            <a:ext uri="{FF2B5EF4-FFF2-40B4-BE49-F238E27FC236}">
              <a16:creationId xmlns:a16="http://schemas.microsoft.com/office/drawing/2014/main" id="{00000000-0008-0000-0900-00006A380000}"/>
            </a:ext>
          </a:extLst>
        </xdr:cNvPr>
        <xdr:cNvSpPr>
          <a:spLocks noChangeAspect="1"/>
        </xdr:cNvSpPr>
      </xdr:nvSpPr>
      <xdr:spPr bwMode="auto">
        <a:xfrm>
          <a:off x="6610350" y="8591550"/>
          <a:ext cx="180975" cy="76200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4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352425</xdr:colOff>
      <xdr:row>49</xdr:row>
      <xdr:rowOff>123825</xdr:rowOff>
    </xdr:from>
    <xdr:to>
      <xdr:col>13</xdr:col>
      <xdr:colOff>9525</xdr:colOff>
      <xdr:row>50</xdr:row>
      <xdr:rowOff>28575</xdr:rowOff>
    </xdr:to>
    <xdr:sp macro="" textlink="">
      <xdr:nvSpPr>
        <xdr:cNvPr id="14443" name="Freeform 419">
          <a:extLst>
            <a:ext uri="{FF2B5EF4-FFF2-40B4-BE49-F238E27FC236}">
              <a16:creationId xmlns:a16="http://schemas.microsoft.com/office/drawing/2014/main" id="{00000000-0008-0000-0900-00006B380000}"/>
            </a:ext>
          </a:extLst>
        </xdr:cNvPr>
        <xdr:cNvSpPr>
          <a:spLocks noChangeAspect="1"/>
        </xdr:cNvSpPr>
      </xdr:nvSpPr>
      <xdr:spPr bwMode="auto">
        <a:xfrm>
          <a:off x="6924675" y="8591550"/>
          <a:ext cx="190500" cy="66675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28575</xdr:colOff>
      <xdr:row>49</xdr:row>
      <xdr:rowOff>123825</xdr:rowOff>
    </xdr:from>
    <xdr:to>
      <xdr:col>13</xdr:col>
      <xdr:colOff>200025</xdr:colOff>
      <xdr:row>50</xdr:row>
      <xdr:rowOff>38100</xdr:rowOff>
    </xdr:to>
    <xdr:sp macro="" textlink="">
      <xdr:nvSpPr>
        <xdr:cNvPr id="14444" name="Freeform 437">
          <a:extLst>
            <a:ext uri="{FF2B5EF4-FFF2-40B4-BE49-F238E27FC236}">
              <a16:creationId xmlns:a16="http://schemas.microsoft.com/office/drawing/2014/main" id="{00000000-0008-0000-0900-00006C380000}"/>
            </a:ext>
          </a:extLst>
        </xdr:cNvPr>
        <xdr:cNvSpPr>
          <a:spLocks noChangeAspect="1"/>
        </xdr:cNvSpPr>
      </xdr:nvSpPr>
      <xdr:spPr bwMode="auto">
        <a:xfrm>
          <a:off x="7134225" y="8591550"/>
          <a:ext cx="171450" cy="76200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4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9525</xdr:colOff>
      <xdr:row>49</xdr:row>
      <xdr:rowOff>123825</xdr:rowOff>
    </xdr:from>
    <xdr:to>
      <xdr:col>14</xdr:col>
      <xdr:colOff>142875</xdr:colOff>
      <xdr:row>50</xdr:row>
      <xdr:rowOff>19050</xdr:rowOff>
    </xdr:to>
    <xdr:sp macro="" textlink="">
      <xdr:nvSpPr>
        <xdr:cNvPr id="14445" name="Freeform 419">
          <a:extLst>
            <a:ext uri="{FF2B5EF4-FFF2-40B4-BE49-F238E27FC236}">
              <a16:creationId xmlns:a16="http://schemas.microsoft.com/office/drawing/2014/main" id="{00000000-0008-0000-0900-00006D380000}"/>
            </a:ext>
          </a:extLst>
        </xdr:cNvPr>
        <xdr:cNvSpPr>
          <a:spLocks noChangeAspect="1"/>
        </xdr:cNvSpPr>
      </xdr:nvSpPr>
      <xdr:spPr bwMode="auto">
        <a:xfrm>
          <a:off x="7648575" y="8591550"/>
          <a:ext cx="133350" cy="57150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161925</xdr:colOff>
      <xdr:row>49</xdr:row>
      <xdr:rowOff>123825</xdr:rowOff>
    </xdr:from>
    <xdr:to>
      <xdr:col>14</xdr:col>
      <xdr:colOff>333375</xdr:colOff>
      <xdr:row>50</xdr:row>
      <xdr:rowOff>28575</xdr:rowOff>
    </xdr:to>
    <xdr:sp macro="" textlink="">
      <xdr:nvSpPr>
        <xdr:cNvPr id="14446" name="Freeform 437">
          <a:extLst>
            <a:ext uri="{FF2B5EF4-FFF2-40B4-BE49-F238E27FC236}">
              <a16:creationId xmlns:a16="http://schemas.microsoft.com/office/drawing/2014/main" id="{00000000-0008-0000-0900-00006E380000}"/>
            </a:ext>
          </a:extLst>
        </xdr:cNvPr>
        <xdr:cNvSpPr>
          <a:spLocks noChangeAspect="1"/>
        </xdr:cNvSpPr>
      </xdr:nvSpPr>
      <xdr:spPr bwMode="auto">
        <a:xfrm>
          <a:off x="7800975" y="8591550"/>
          <a:ext cx="171450" cy="66675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4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200025</xdr:colOff>
      <xdr:row>49</xdr:row>
      <xdr:rowOff>114300</xdr:rowOff>
    </xdr:from>
    <xdr:to>
      <xdr:col>15</xdr:col>
      <xdr:colOff>361950</xdr:colOff>
      <xdr:row>50</xdr:row>
      <xdr:rowOff>19050</xdr:rowOff>
    </xdr:to>
    <xdr:sp macro="" textlink="">
      <xdr:nvSpPr>
        <xdr:cNvPr id="14447" name="Freeform 419">
          <a:extLst>
            <a:ext uri="{FF2B5EF4-FFF2-40B4-BE49-F238E27FC236}">
              <a16:creationId xmlns:a16="http://schemas.microsoft.com/office/drawing/2014/main" id="{00000000-0008-0000-0900-00006F380000}"/>
            </a:ext>
          </a:extLst>
        </xdr:cNvPr>
        <xdr:cNvSpPr>
          <a:spLocks noChangeAspect="1"/>
        </xdr:cNvSpPr>
      </xdr:nvSpPr>
      <xdr:spPr bwMode="auto">
        <a:xfrm>
          <a:off x="8372475" y="8582025"/>
          <a:ext cx="161925" cy="66675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371475</xdr:colOff>
      <xdr:row>49</xdr:row>
      <xdr:rowOff>114300</xdr:rowOff>
    </xdr:from>
    <xdr:to>
      <xdr:col>16</xdr:col>
      <xdr:colOff>47625</xdr:colOff>
      <xdr:row>50</xdr:row>
      <xdr:rowOff>28575</xdr:rowOff>
    </xdr:to>
    <xdr:sp macro="" textlink="">
      <xdr:nvSpPr>
        <xdr:cNvPr id="14448" name="Freeform 437">
          <a:extLst>
            <a:ext uri="{FF2B5EF4-FFF2-40B4-BE49-F238E27FC236}">
              <a16:creationId xmlns:a16="http://schemas.microsoft.com/office/drawing/2014/main" id="{00000000-0008-0000-0900-000070380000}"/>
            </a:ext>
          </a:extLst>
        </xdr:cNvPr>
        <xdr:cNvSpPr>
          <a:spLocks noChangeAspect="1"/>
        </xdr:cNvSpPr>
      </xdr:nvSpPr>
      <xdr:spPr bwMode="auto">
        <a:xfrm>
          <a:off x="8543925" y="8582025"/>
          <a:ext cx="209550" cy="76200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4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219075</xdr:colOff>
      <xdr:row>49</xdr:row>
      <xdr:rowOff>133350</xdr:rowOff>
    </xdr:from>
    <xdr:to>
      <xdr:col>16</xdr:col>
      <xdr:colOff>390525</xdr:colOff>
      <xdr:row>50</xdr:row>
      <xdr:rowOff>38100</xdr:rowOff>
    </xdr:to>
    <xdr:sp macro="" textlink="">
      <xdr:nvSpPr>
        <xdr:cNvPr id="14449" name="Freeform 419">
          <a:extLst>
            <a:ext uri="{FF2B5EF4-FFF2-40B4-BE49-F238E27FC236}">
              <a16:creationId xmlns:a16="http://schemas.microsoft.com/office/drawing/2014/main" id="{00000000-0008-0000-0900-000071380000}"/>
            </a:ext>
          </a:extLst>
        </xdr:cNvPr>
        <xdr:cNvSpPr>
          <a:spLocks noChangeAspect="1"/>
        </xdr:cNvSpPr>
      </xdr:nvSpPr>
      <xdr:spPr bwMode="auto">
        <a:xfrm>
          <a:off x="8924925" y="8601075"/>
          <a:ext cx="171450" cy="66675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371475</xdr:colOff>
      <xdr:row>23</xdr:row>
      <xdr:rowOff>114300</xdr:rowOff>
    </xdr:from>
    <xdr:to>
      <xdr:col>20</xdr:col>
      <xdr:colOff>352425</xdr:colOff>
      <xdr:row>28</xdr:row>
      <xdr:rowOff>19050</xdr:rowOff>
    </xdr:to>
    <xdr:cxnSp macro="">
      <xdr:nvCxnSpPr>
        <xdr:cNvPr id="14450" name="Connettore 1 531">
          <a:extLst>
            <a:ext uri="{FF2B5EF4-FFF2-40B4-BE49-F238E27FC236}">
              <a16:creationId xmlns:a16="http://schemas.microsoft.com/office/drawing/2014/main" id="{00000000-0008-0000-0900-000072380000}"/>
            </a:ext>
          </a:extLst>
        </xdr:cNvPr>
        <xdr:cNvCxnSpPr>
          <a:cxnSpLocks noChangeShapeType="1"/>
          <a:stCxn id="14368" idx="1"/>
        </xdr:cNvCxnSpPr>
      </xdr:nvCxnSpPr>
      <xdr:spPr bwMode="auto">
        <a:xfrm rot="5400000" flipH="1" flipV="1">
          <a:off x="10101262" y="4471988"/>
          <a:ext cx="714375" cy="514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17</xdr:col>
      <xdr:colOff>114300</xdr:colOff>
      <xdr:row>22</xdr:row>
      <xdr:rowOff>19050</xdr:rowOff>
    </xdr:from>
    <xdr:to>
      <xdr:col>19</xdr:col>
      <xdr:colOff>66675</xdr:colOff>
      <xdr:row>26</xdr:row>
      <xdr:rowOff>85725</xdr:rowOff>
    </xdr:to>
    <xdr:cxnSp macro="">
      <xdr:nvCxnSpPr>
        <xdr:cNvPr id="14451" name="Connettore 1 532">
          <a:extLst>
            <a:ext uri="{FF2B5EF4-FFF2-40B4-BE49-F238E27FC236}">
              <a16:creationId xmlns:a16="http://schemas.microsoft.com/office/drawing/2014/main" id="{00000000-0008-0000-0900-000073380000}"/>
            </a:ext>
          </a:extLst>
        </xdr:cNvPr>
        <xdr:cNvCxnSpPr>
          <a:cxnSpLocks noChangeShapeType="1"/>
        </xdr:cNvCxnSpPr>
      </xdr:nvCxnSpPr>
      <xdr:spPr bwMode="auto">
        <a:xfrm rot="5400000" flipH="1" flipV="1">
          <a:off x="9239250" y="4171950"/>
          <a:ext cx="714375" cy="6000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19</xdr:col>
      <xdr:colOff>38100</xdr:colOff>
      <xdr:row>22</xdr:row>
      <xdr:rowOff>104775</xdr:rowOff>
    </xdr:from>
    <xdr:to>
      <xdr:col>20</xdr:col>
      <xdr:colOff>285750</xdr:colOff>
      <xdr:row>24</xdr:row>
      <xdr:rowOff>57150</xdr:rowOff>
    </xdr:to>
    <xdr:cxnSp macro="">
      <xdr:nvCxnSpPr>
        <xdr:cNvPr id="14452" name="Connettore 1 533">
          <a:extLst>
            <a:ext uri="{FF2B5EF4-FFF2-40B4-BE49-F238E27FC236}">
              <a16:creationId xmlns:a16="http://schemas.microsoft.com/office/drawing/2014/main" id="{00000000-0008-0000-0900-000074380000}"/>
            </a:ext>
          </a:extLst>
        </xdr:cNvPr>
        <xdr:cNvCxnSpPr>
          <a:cxnSpLocks noChangeShapeType="1"/>
        </xdr:cNvCxnSpPr>
      </xdr:nvCxnSpPr>
      <xdr:spPr bwMode="auto">
        <a:xfrm>
          <a:off x="9867900" y="4200525"/>
          <a:ext cx="781050" cy="276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 editAs="absolute">
    <xdr:from>
      <xdr:col>20</xdr:col>
      <xdr:colOff>123825</xdr:colOff>
      <xdr:row>24</xdr:row>
      <xdr:rowOff>0</xdr:rowOff>
    </xdr:from>
    <xdr:to>
      <xdr:col>20</xdr:col>
      <xdr:colOff>304800</xdr:colOff>
      <xdr:row>24</xdr:row>
      <xdr:rowOff>65099</xdr:rowOff>
    </xdr:to>
    <xdr:sp macro="" textlink="">
      <xdr:nvSpPr>
        <xdr:cNvPr id="535" name="Freeform 419">
          <a:extLst>
            <a:ext uri="{FF2B5EF4-FFF2-40B4-BE49-F238E27FC236}">
              <a16:creationId xmlns:a16="http://schemas.microsoft.com/office/drawing/2014/main" id="{00000000-0008-0000-0900-000017020000}"/>
            </a:ext>
          </a:extLst>
        </xdr:cNvPr>
        <xdr:cNvSpPr>
          <a:spLocks noChangeAspect="1"/>
        </xdr:cNvSpPr>
      </xdr:nvSpPr>
      <xdr:spPr bwMode="auto">
        <a:xfrm>
          <a:off x="11734800" y="4419600"/>
          <a:ext cx="219075" cy="65099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1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  <a:scene3d>
          <a:camera prst="orthographicFront">
            <a:rot lat="0" lon="0" rev="20699999"/>
          </a:camera>
          <a:lightRig rig="threePt" dir="t"/>
        </a:scene3d>
      </xdr:spPr>
      <xdr:txBody>
        <a:bodyPr/>
        <a:lstStyle/>
        <a:p>
          <a:endParaRPr lang="it-IT"/>
        </a:p>
      </xdr:txBody>
    </xdr:sp>
    <xdr:clientData/>
  </xdr:twoCellAnchor>
  <xdr:twoCellAnchor editAs="absolute">
    <xdr:from>
      <xdr:col>19</xdr:col>
      <xdr:colOff>28575</xdr:colOff>
      <xdr:row>22</xdr:row>
      <xdr:rowOff>95250</xdr:rowOff>
    </xdr:from>
    <xdr:to>
      <xdr:col>19</xdr:col>
      <xdr:colOff>219075</xdr:colOff>
      <xdr:row>23</xdr:row>
      <xdr:rowOff>3467</xdr:rowOff>
    </xdr:to>
    <xdr:sp macro="" textlink="">
      <xdr:nvSpPr>
        <xdr:cNvPr id="536" name="Freeform 419">
          <a:extLst>
            <a:ext uri="{FF2B5EF4-FFF2-40B4-BE49-F238E27FC236}">
              <a16:creationId xmlns:a16="http://schemas.microsoft.com/office/drawing/2014/main" id="{00000000-0008-0000-0900-000018020000}"/>
            </a:ext>
          </a:extLst>
        </xdr:cNvPr>
        <xdr:cNvSpPr>
          <a:spLocks noChangeAspect="1"/>
        </xdr:cNvSpPr>
      </xdr:nvSpPr>
      <xdr:spPr bwMode="auto">
        <a:xfrm>
          <a:off x="11010900" y="4191000"/>
          <a:ext cx="219075" cy="70142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1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  <a:scene3d>
          <a:camera prst="orthographicFront">
            <a:rot lat="0" lon="0" rev="9900000"/>
          </a:camera>
          <a:lightRig rig="threePt" dir="t"/>
        </a:scene3d>
      </xdr:spPr>
      <xdr:txBody>
        <a:bodyPr/>
        <a:lstStyle/>
        <a:p>
          <a:endParaRPr lang="it-IT"/>
        </a:p>
      </xdr:txBody>
    </xdr:sp>
    <xdr:clientData/>
  </xdr:twoCellAnchor>
  <xdr:twoCellAnchor editAs="absolute">
    <xdr:from>
      <xdr:col>12</xdr:col>
      <xdr:colOff>161925</xdr:colOff>
      <xdr:row>47</xdr:row>
      <xdr:rowOff>85725</xdr:rowOff>
    </xdr:from>
    <xdr:to>
      <xdr:col>14</xdr:col>
      <xdr:colOff>107012</xdr:colOff>
      <xdr:row>49</xdr:row>
      <xdr:rowOff>141164</xdr:rowOff>
    </xdr:to>
    <xdr:sp macro="" textlink="$Y$6">
      <xdr:nvSpPr>
        <xdr:cNvPr id="537" name="Text Box 561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7610475" y="8239125"/>
          <a:ext cx="1145297" cy="3792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653DD4CA-23CC-4AE6-8814-6E89D7E0934C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=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16</xdr:col>
      <xdr:colOff>2721</xdr:colOff>
      <xdr:row>47</xdr:row>
      <xdr:rowOff>104775</xdr:rowOff>
    </xdr:from>
    <xdr:to>
      <xdr:col>18</xdr:col>
      <xdr:colOff>221510</xdr:colOff>
      <xdr:row>50</xdr:row>
      <xdr:rowOff>3332</xdr:rowOff>
    </xdr:to>
    <xdr:sp macro="" textlink="$X$7">
      <xdr:nvSpPr>
        <xdr:cNvPr id="538" name="Text Box 561">
          <a:extLst>
            <a:ext uri="{FF2B5EF4-FFF2-40B4-BE49-F238E27FC236}">
              <a16:creationId xmlns:a16="http://schemas.microsoft.com/office/drawing/2014/main" id="{00000000-0008-0000-0900-00001A02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9791700" y="8248650"/>
          <a:ext cx="1145297" cy="384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4CF2E563-402E-4301-B261-5A1E06803BE5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20</xdr:col>
      <xdr:colOff>2722</xdr:colOff>
      <xdr:row>21</xdr:row>
      <xdr:rowOff>104775</xdr:rowOff>
    </xdr:from>
    <xdr:to>
      <xdr:col>21</xdr:col>
      <xdr:colOff>440702</xdr:colOff>
      <xdr:row>24</xdr:row>
      <xdr:rowOff>3331</xdr:rowOff>
    </xdr:to>
    <xdr:sp macro="" textlink="$Y$7">
      <xdr:nvSpPr>
        <xdr:cNvPr id="539" name="Text Box 561">
          <a:extLst>
            <a:ext uri="{FF2B5EF4-FFF2-40B4-BE49-F238E27FC236}">
              <a16:creationId xmlns:a16="http://schemas.microsoft.com/office/drawing/2014/main" id="{00000000-0008-0000-0900-00001B02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11572875" y="4038600"/>
          <a:ext cx="1145297" cy="3843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16D9073B-3F8B-4820-9EEF-3CEA3ADA746F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13</xdr:col>
      <xdr:colOff>247650</xdr:colOff>
      <xdr:row>47</xdr:row>
      <xdr:rowOff>114300</xdr:rowOff>
    </xdr:from>
    <xdr:to>
      <xdr:col>15</xdr:col>
      <xdr:colOff>183334</xdr:colOff>
      <xdr:row>50</xdr:row>
      <xdr:rowOff>7814</xdr:rowOff>
    </xdr:to>
    <xdr:sp macro="" textlink="$Y$6">
      <xdr:nvSpPr>
        <xdr:cNvPr id="540" name="Text Box 561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8315325" y="8258175"/>
          <a:ext cx="1145297" cy="3792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040B5065-8E64-46CF-AE08-AC23DDCB2375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=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14</xdr:col>
      <xdr:colOff>428625</xdr:colOff>
      <xdr:row>47</xdr:row>
      <xdr:rowOff>85725</xdr:rowOff>
    </xdr:from>
    <xdr:to>
      <xdr:col>16</xdr:col>
      <xdr:colOff>373896</xdr:colOff>
      <xdr:row>49</xdr:row>
      <xdr:rowOff>141164</xdr:rowOff>
    </xdr:to>
    <xdr:sp macro="" textlink="$Y$6">
      <xdr:nvSpPr>
        <xdr:cNvPr id="541" name="Text Box 561">
          <a:extLst>
            <a:ext uri="{FF2B5EF4-FFF2-40B4-BE49-F238E27FC236}">
              <a16:creationId xmlns:a16="http://schemas.microsoft.com/office/drawing/2014/main" id="{00000000-0008-0000-0900-00001D02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9144000" y="8229600"/>
          <a:ext cx="1145297" cy="3792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0505853B-84FC-4AC9-8235-5BEA659C909E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=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463365</xdr:colOff>
      <xdr:row>14</xdr:row>
      <xdr:rowOff>100853</xdr:rowOff>
    </xdr:from>
    <xdr:to>
      <xdr:col>11</xdr:col>
      <xdr:colOff>445755</xdr:colOff>
      <xdr:row>17</xdr:row>
      <xdr:rowOff>110455</xdr:rowOff>
    </xdr:to>
    <xdr:sp macro="" textlink="">
      <xdr:nvSpPr>
        <xdr:cNvPr id="542" name="CasellaDiTesto 541">
          <a:extLst>
            <a:ext uri="{FF2B5EF4-FFF2-40B4-BE49-F238E27FC236}">
              <a16:creationId xmlns:a16="http://schemas.microsoft.com/office/drawing/2014/main" id="{00000000-0008-0000-0900-00001E020000}"/>
            </a:ext>
          </a:extLst>
        </xdr:cNvPr>
        <xdr:cNvSpPr txBox="1"/>
      </xdr:nvSpPr>
      <xdr:spPr>
        <a:xfrm>
          <a:off x="4911540" y="2901203"/>
          <a:ext cx="2420791" cy="4953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it-IT" sz="1400"/>
            <a:t>CUCITURE</a:t>
          </a:r>
          <a:r>
            <a:rPr lang="it-IT" sz="1400" baseline="0"/>
            <a:t> FASCE DI RINFORZO CONO</a:t>
          </a:r>
          <a:endParaRPr lang="it-IT" sz="1400"/>
        </a:p>
      </xdr:txBody>
    </xdr:sp>
    <xdr:clientData/>
  </xdr:twoCellAnchor>
  <xdr:twoCellAnchor>
    <xdr:from>
      <xdr:col>11</xdr:col>
      <xdr:colOff>123825</xdr:colOff>
      <xdr:row>17</xdr:row>
      <xdr:rowOff>114300</xdr:rowOff>
    </xdr:from>
    <xdr:to>
      <xdr:col>13</xdr:col>
      <xdr:colOff>114300</xdr:colOff>
      <xdr:row>26</xdr:row>
      <xdr:rowOff>133350</xdr:rowOff>
    </xdr:to>
    <xdr:cxnSp macro="">
      <xdr:nvCxnSpPr>
        <xdr:cNvPr id="14461" name="Connettore 2 542">
          <a:extLst>
            <a:ext uri="{FF2B5EF4-FFF2-40B4-BE49-F238E27FC236}">
              <a16:creationId xmlns:a16="http://schemas.microsoft.com/office/drawing/2014/main" id="{00000000-0008-0000-0900-00007D380000}"/>
            </a:ext>
          </a:extLst>
        </xdr:cNvPr>
        <xdr:cNvCxnSpPr>
          <a:cxnSpLocks noChangeShapeType="1"/>
        </xdr:cNvCxnSpPr>
      </xdr:nvCxnSpPr>
      <xdr:spPr bwMode="auto">
        <a:xfrm rot="16200000" flipH="1">
          <a:off x="5953125" y="3609975"/>
          <a:ext cx="1476375" cy="105727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  <xdr:twoCellAnchor>
    <xdr:from>
      <xdr:col>22</xdr:col>
      <xdr:colOff>444953</xdr:colOff>
      <xdr:row>25</xdr:row>
      <xdr:rowOff>126545</xdr:rowOff>
    </xdr:from>
    <xdr:to>
      <xdr:col>28</xdr:col>
      <xdr:colOff>359229</xdr:colOff>
      <xdr:row>50</xdr:row>
      <xdr:rowOff>7</xdr:rowOff>
    </xdr:to>
    <xdr:sp macro="" textlink="">
      <xdr:nvSpPr>
        <xdr:cNvPr id="544" name="CasellaDiTesto 543">
          <a:extLst>
            <a:ext uri="{FF2B5EF4-FFF2-40B4-BE49-F238E27FC236}">
              <a16:creationId xmlns:a16="http://schemas.microsoft.com/office/drawing/2014/main" id="{00000000-0008-0000-0900-000020020000}"/>
            </a:ext>
          </a:extLst>
        </xdr:cNvPr>
        <xdr:cNvSpPr txBox="1"/>
      </xdr:nvSpPr>
      <xdr:spPr>
        <a:xfrm>
          <a:off x="11906249" y="4776106"/>
          <a:ext cx="2762251" cy="3946073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it-IT" sz="1400" b="1" u="sng"/>
            <a:t>NOTA PER LA CUCITURA</a:t>
          </a:r>
          <a:r>
            <a:rPr lang="it-IT" sz="1400" b="1" u="sng" baseline="0"/>
            <a:t> DELLE FASCE DI RINFORZO CONO</a:t>
          </a:r>
        </a:p>
        <a:p>
          <a:endParaRPr lang="it-IT" sz="1400" b="1" u="sng" baseline="0"/>
        </a:p>
        <a:p>
          <a:r>
            <a:rPr lang="it-IT" sz="1400" baseline="0"/>
            <a:t>CONSIDERARE IL NUMERO DI FASCE NECESSARIE CALCOLATE </a:t>
          </a:r>
        </a:p>
        <a:p>
          <a:r>
            <a:rPr lang="it-IT" sz="1400" baseline="0"/>
            <a:t>E DIVIDERE IL LATO DEL CONO SECONDO LA QUOTA INDICATA</a:t>
          </a:r>
        </a:p>
        <a:p>
          <a:r>
            <a:rPr lang="it-IT" sz="1400" baseline="0"/>
            <a:t>(CON UNA FASCIA NECESSARIA LA QUOTA SARA' LA META' DEL LATO, CON DUE FASCE LA QUOTA INDICATA SARA' 1/3 , E COSI' VIA)</a:t>
          </a:r>
        </a:p>
        <a:p>
          <a:endParaRPr lang="it-IT" sz="1400" baseline="0"/>
        </a:p>
        <a:p>
          <a:r>
            <a:rPr lang="it-IT" sz="1400" baseline="0"/>
            <a:t>NEL DISEGNO VIENE INDICATO COME ESEMPIO UN N° DI 3 FASCE  MENTRE IL N° EFFETTIVO VIENE CALCOLATO IN BASE ALLE DIMENSIONI E FORMA DEL SILO</a:t>
          </a:r>
        </a:p>
        <a:p>
          <a:endParaRPr lang="it-IT" sz="1400"/>
        </a:p>
        <a:p>
          <a:endParaRPr lang="it-IT" sz="1400"/>
        </a:p>
      </xdr:txBody>
    </xdr:sp>
    <xdr:clientData/>
  </xdr:twoCellAnchor>
  <xdr:twoCellAnchor>
    <xdr:from>
      <xdr:col>20</xdr:col>
      <xdr:colOff>247650</xdr:colOff>
      <xdr:row>23</xdr:row>
      <xdr:rowOff>47625</xdr:rowOff>
    </xdr:from>
    <xdr:to>
      <xdr:col>22</xdr:col>
      <xdr:colOff>419100</xdr:colOff>
      <xdr:row>28</xdr:row>
      <xdr:rowOff>38100</xdr:rowOff>
    </xdr:to>
    <xdr:cxnSp macro="">
      <xdr:nvCxnSpPr>
        <xdr:cNvPr id="14463" name="Connettore 2 544">
          <a:extLst>
            <a:ext uri="{FF2B5EF4-FFF2-40B4-BE49-F238E27FC236}">
              <a16:creationId xmlns:a16="http://schemas.microsoft.com/office/drawing/2014/main" id="{00000000-0008-0000-0900-00007F380000}"/>
            </a:ext>
          </a:extLst>
        </xdr:cNvPr>
        <xdr:cNvCxnSpPr>
          <a:cxnSpLocks noChangeShapeType="1"/>
        </xdr:cNvCxnSpPr>
      </xdr:nvCxnSpPr>
      <xdr:spPr bwMode="auto">
        <a:xfrm rot="10800000">
          <a:off x="10610850" y="4305300"/>
          <a:ext cx="1238250" cy="800100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  <xdr:twoCellAnchor>
    <xdr:from>
      <xdr:col>16</xdr:col>
      <xdr:colOff>257175</xdr:colOff>
      <xdr:row>47</xdr:row>
      <xdr:rowOff>38100</xdr:rowOff>
    </xdr:from>
    <xdr:to>
      <xdr:col>22</xdr:col>
      <xdr:colOff>419100</xdr:colOff>
      <xdr:row>48</xdr:row>
      <xdr:rowOff>66675</xdr:rowOff>
    </xdr:to>
    <xdr:cxnSp macro="">
      <xdr:nvCxnSpPr>
        <xdr:cNvPr id="14464" name="Connettore 2 545">
          <a:extLst>
            <a:ext uri="{FF2B5EF4-FFF2-40B4-BE49-F238E27FC236}">
              <a16:creationId xmlns:a16="http://schemas.microsoft.com/office/drawing/2014/main" id="{00000000-0008-0000-0900-000080380000}"/>
            </a:ext>
          </a:extLst>
        </xdr:cNvPr>
        <xdr:cNvCxnSpPr>
          <a:cxnSpLocks noChangeShapeType="1"/>
        </xdr:cNvCxnSpPr>
      </xdr:nvCxnSpPr>
      <xdr:spPr bwMode="auto">
        <a:xfrm rot="10800000" flipV="1">
          <a:off x="8963025" y="8181975"/>
          <a:ext cx="2886075" cy="190500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222371</xdr:colOff>
      <xdr:row>32</xdr:row>
      <xdr:rowOff>28211</xdr:rowOff>
    </xdr:from>
    <xdr:to>
      <xdr:col>22</xdr:col>
      <xdr:colOff>127151</xdr:colOff>
      <xdr:row>34</xdr:row>
      <xdr:rowOff>28629</xdr:rowOff>
    </xdr:to>
    <xdr:sp macro="" textlink="Calcolo1!H34">
      <xdr:nvSpPr>
        <xdr:cNvPr id="2" name="Text Box 50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11928596" y="5667011"/>
          <a:ext cx="1114367" cy="33350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6D7F0F86-5646-45C4-B6FF-BB6C5E929875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3</xdr:col>
      <xdr:colOff>323850</xdr:colOff>
      <xdr:row>38</xdr:row>
      <xdr:rowOff>9525</xdr:rowOff>
    </xdr:from>
    <xdr:to>
      <xdr:col>3</xdr:col>
      <xdr:colOff>371475</xdr:colOff>
      <xdr:row>38</xdr:row>
      <xdr:rowOff>19050</xdr:rowOff>
    </xdr:to>
    <xdr:sp macro="" textlink="">
      <xdr:nvSpPr>
        <xdr:cNvPr id="12958" name="Freeform 3">
          <a:extLst>
            <a:ext uri="{FF2B5EF4-FFF2-40B4-BE49-F238E27FC236}">
              <a16:creationId xmlns:a16="http://schemas.microsoft.com/office/drawing/2014/main" id="{00000000-0008-0000-0A00-00009E320000}"/>
            </a:ext>
          </a:extLst>
        </xdr:cNvPr>
        <xdr:cNvSpPr>
          <a:spLocks noChangeAspect="1"/>
        </xdr:cNvSpPr>
      </xdr:nvSpPr>
      <xdr:spPr bwMode="auto">
        <a:xfrm>
          <a:off x="1924050" y="6629400"/>
          <a:ext cx="47625" cy="952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0"/>
              </a:moveTo>
              <a:lnTo>
                <a:pt x="104" y="0"/>
              </a:lnTo>
              <a:lnTo>
                <a:pt x="102" y="12"/>
              </a:lnTo>
              <a:lnTo>
                <a:pt x="99" y="23"/>
              </a:lnTo>
              <a:lnTo>
                <a:pt x="93" y="33"/>
              </a:lnTo>
              <a:lnTo>
                <a:pt x="84" y="41"/>
              </a:lnTo>
              <a:lnTo>
                <a:pt x="74" y="48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8"/>
              </a:lnTo>
              <a:lnTo>
                <a:pt x="19" y="41"/>
              </a:lnTo>
              <a:lnTo>
                <a:pt x="11" y="33"/>
              </a:lnTo>
              <a:lnTo>
                <a:pt x="4" y="23"/>
              </a:lnTo>
              <a:lnTo>
                <a:pt x="1" y="12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38</xdr:row>
      <xdr:rowOff>9525</xdr:rowOff>
    </xdr:from>
    <xdr:to>
      <xdr:col>3</xdr:col>
      <xdr:colOff>371475</xdr:colOff>
      <xdr:row>38</xdr:row>
      <xdr:rowOff>19050</xdr:rowOff>
    </xdr:to>
    <xdr:sp macro="" textlink="">
      <xdr:nvSpPr>
        <xdr:cNvPr id="12959" name="Freeform 4">
          <a:extLst>
            <a:ext uri="{FF2B5EF4-FFF2-40B4-BE49-F238E27FC236}">
              <a16:creationId xmlns:a16="http://schemas.microsoft.com/office/drawing/2014/main" id="{00000000-0008-0000-0A00-00009F320000}"/>
            </a:ext>
          </a:extLst>
        </xdr:cNvPr>
        <xdr:cNvSpPr>
          <a:spLocks noChangeAspect="1"/>
        </xdr:cNvSpPr>
      </xdr:nvSpPr>
      <xdr:spPr bwMode="auto">
        <a:xfrm>
          <a:off x="1924050" y="6629400"/>
          <a:ext cx="47625" cy="952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104" y="0"/>
              </a:moveTo>
              <a:lnTo>
                <a:pt x="102" y="12"/>
              </a:lnTo>
              <a:lnTo>
                <a:pt x="99" y="23"/>
              </a:lnTo>
              <a:lnTo>
                <a:pt x="93" y="33"/>
              </a:lnTo>
              <a:lnTo>
                <a:pt x="84" y="41"/>
              </a:lnTo>
              <a:lnTo>
                <a:pt x="74" y="48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8"/>
              </a:lnTo>
              <a:lnTo>
                <a:pt x="19" y="41"/>
              </a:lnTo>
              <a:lnTo>
                <a:pt x="11" y="33"/>
              </a:lnTo>
              <a:lnTo>
                <a:pt x="4" y="23"/>
              </a:lnTo>
              <a:lnTo>
                <a:pt x="1" y="12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19</xdr:row>
      <xdr:rowOff>47625</xdr:rowOff>
    </xdr:from>
    <xdr:to>
      <xdr:col>3</xdr:col>
      <xdr:colOff>371475</xdr:colOff>
      <xdr:row>37</xdr:row>
      <xdr:rowOff>142875</xdr:rowOff>
    </xdr:to>
    <xdr:sp macro="" textlink="">
      <xdr:nvSpPr>
        <xdr:cNvPr id="12960" name="Freeform 5">
          <a:extLst>
            <a:ext uri="{FF2B5EF4-FFF2-40B4-BE49-F238E27FC236}">
              <a16:creationId xmlns:a16="http://schemas.microsoft.com/office/drawing/2014/main" id="{00000000-0008-0000-0A00-0000A0320000}"/>
            </a:ext>
          </a:extLst>
        </xdr:cNvPr>
        <xdr:cNvSpPr>
          <a:spLocks noChangeAspect="1"/>
        </xdr:cNvSpPr>
      </xdr:nvSpPr>
      <xdr:spPr bwMode="auto">
        <a:xfrm>
          <a:off x="1924050" y="3590925"/>
          <a:ext cx="47625" cy="3009900"/>
        </a:xfrm>
        <a:custGeom>
          <a:avLst/>
          <a:gdLst>
            <a:gd name="T0" fmla="*/ 0 w 104"/>
            <a:gd name="T1" fmla="*/ 2147483647 h 7389"/>
            <a:gd name="T2" fmla="*/ 0 w 104"/>
            <a:gd name="T3" fmla="*/ 2147483647 h 7389"/>
            <a:gd name="T4" fmla="*/ 0 w 104"/>
            <a:gd name="T5" fmla="*/ 2147483647 h 7389"/>
            <a:gd name="T6" fmla="*/ 0 w 104"/>
            <a:gd name="T7" fmla="*/ 0 h 7389"/>
            <a:gd name="T8" fmla="*/ 0 w 104"/>
            <a:gd name="T9" fmla="*/ 0 h 7389"/>
            <a:gd name="T10" fmla="*/ 0 w 104"/>
            <a:gd name="T11" fmla="*/ 0 h 7389"/>
            <a:gd name="T12" fmla="*/ 0 w 104"/>
            <a:gd name="T13" fmla="*/ 2147483647 h 73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389"/>
            <a:gd name="T23" fmla="*/ 104 w 104"/>
            <a:gd name="T24" fmla="*/ 7389 h 73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389">
              <a:moveTo>
                <a:pt x="0" y="7389"/>
              </a:moveTo>
              <a:lnTo>
                <a:pt x="52" y="7389"/>
              </a:lnTo>
              <a:lnTo>
                <a:pt x="104" y="7389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738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19</xdr:row>
      <xdr:rowOff>47625</xdr:rowOff>
    </xdr:from>
    <xdr:to>
      <xdr:col>3</xdr:col>
      <xdr:colOff>371475</xdr:colOff>
      <xdr:row>37</xdr:row>
      <xdr:rowOff>142875</xdr:rowOff>
    </xdr:to>
    <xdr:sp macro="" textlink="">
      <xdr:nvSpPr>
        <xdr:cNvPr id="12961" name="Freeform 6">
          <a:extLst>
            <a:ext uri="{FF2B5EF4-FFF2-40B4-BE49-F238E27FC236}">
              <a16:creationId xmlns:a16="http://schemas.microsoft.com/office/drawing/2014/main" id="{00000000-0008-0000-0A00-0000A1320000}"/>
            </a:ext>
          </a:extLst>
        </xdr:cNvPr>
        <xdr:cNvSpPr>
          <a:spLocks noChangeAspect="1"/>
        </xdr:cNvSpPr>
      </xdr:nvSpPr>
      <xdr:spPr bwMode="auto">
        <a:xfrm>
          <a:off x="1924050" y="3590925"/>
          <a:ext cx="47625" cy="3009900"/>
        </a:xfrm>
        <a:custGeom>
          <a:avLst/>
          <a:gdLst>
            <a:gd name="T0" fmla="*/ 0 w 104"/>
            <a:gd name="T1" fmla="*/ 2147483647 h 7389"/>
            <a:gd name="T2" fmla="*/ 0 w 104"/>
            <a:gd name="T3" fmla="*/ 2147483647 h 7389"/>
            <a:gd name="T4" fmla="*/ 0 w 104"/>
            <a:gd name="T5" fmla="*/ 2147483647 h 7389"/>
            <a:gd name="T6" fmla="*/ 0 w 104"/>
            <a:gd name="T7" fmla="*/ 0 h 7389"/>
            <a:gd name="T8" fmla="*/ 0 w 104"/>
            <a:gd name="T9" fmla="*/ 0 h 7389"/>
            <a:gd name="T10" fmla="*/ 0 w 104"/>
            <a:gd name="T11" fmla="*/ 0 h 7389"/>
            <a:gd name="T12" fmla="*/ 0 w 104"/>
            <a:gd name="T13" fmla="*/ 2147483647 h 73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389"/>
            <a:gd name="T23" fmla="*/ 104 w 104"/>
            <a:gd name="T24" fmla="*/ 7389 h 73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389">
              <a:moveTo>
                <a:pt x="0" y="7389"/>
              </a:moveTo>
              <a:lnTo>
                <a:pt x="52" y="7389"/>
              </a:lnTo>
              <a:lnTo>
                <a:pt x="104" y="7389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7389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19</xdr:row>
      <xdr:rowOff>19050</xdr:rowOff>
    </xdr:from>
    <xdr:to>
      <xdr:col>3</xdr:col>
      <xdr:colOff>371475</xdr:colOff>
      <xdr:row>19</xdr:row>
      <xdr:rowOff>57150</xdr:rowOff>
    </xdr:to>
    <xdr:sp macro="" textlink="">
      <xdr:nvSpPr>
        <xdr:cNvPr id="12962" name="Freeform 7">
          <a:extLst>
            <a:ext uri="{FF2B5EF4-FFF2-40B4-BE49-F238E27FC236}">
              <a16:creationId xmlns:a16="http://schemas.microsoft.com/office/drawing/2014/main" id="{00000000-0008-0000-0A00-0000A2320000}"/>
            </a:ext>
          </a:extLst>
        </xdr:cNvPr>
        <xdr:cNvSpPr>
          <a:spLocks noChangeAspect="1"/>
        </xdr:cNvSpPr>
      </xdr:nvSpPr>
      <xdr:spPr bwMode="auto">
        <a:xfrm>
          <a:off x="1924050" y="3562350"/>
          <a:ext cx="47625" cy="38100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w 104"/>
            <a:gd name="T31" fmla="*/ 0 h 53"/>
            <a:gd name="T32" fmla="*/ 0 w 104"/>
            <a:gd name="T33" fmla="*/ 0 h 53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3"/>
            <a:gd name="T53" fmla="*/ 104 w 104"/>
            <a:gd name="T54" fmla="*/ 53 h 53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3">
              <a:moveTo>
                <a:pt x="52" y="53"/>
              </a:move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19</xdr:row>
      <xdr:rowOff>19050</xdr:rowOff>
    </xdr:from>
    <xdr:to>
      <xdr:col>3</xdr:col>
      <xdr:colOff>371475</xdr:colOff>
      <xdr:row>19</xdr:row>
      <xdr:rowOff>57150</xdr:rowOff>
    </xdr:to>
    <xdr:sp macro="" textlink="">
      <xdr:nvSpPr>
        <xdr:cNvPr id="12963" name="Freeform 8">
          <a:extLst>
            <a:ext uri="{FF2B5EF4-FFF2-40B4-BE49-F238E27FC236}">
              <a16:creationId xmlns:a16="http://schemas.microsoft.com/office/drawing/2014/main" id="{00000000-0008-0000-0A00-0000A3320000}"/>
            </a:ext>
          </a:extLst>
        </xdr:cNvPr>
        <xdr:cNvSpPr>
          <a:spLocks noChangeAspect="1"/>
        </xdr:cNvSpPr>
      </xdr:nvSpPr>
      <xdr:spPr bwMode="auto">
        <a:xfrm>
          <a:off x="1924050" y="3562350"/>
          <a:ext cx="47625" cy="38100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3"/>
            <a:gd name="T47" fmla="*/ 104 w 104"/>
            <a:gd name="T48" fmla="*/ 53 h 53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3">
              <a:moveTo>
                <a:pt x="0" y="53"/>
              </a:move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19</xdr:row>
      <xdr:rowOff>19050</xdr:rowOff>
    </xdr:from>
    <xdr:to>
      <xdr:col>2</xdr:col>
      <xdr:colOff>171450</xdr:colOff>
      <xdr:row>19</xdr:row>
      <xdr:rowOff>66675</xdr:rowOff>
    </xdr:to>
    <xdr:sp macro="" textlink="">
      <xdr:nvSpPr>
        <xdr:cNvPr id="12964" name="Freeform 9">
          <a:extLst>
            <a:ext uri="{FF2B5EF4-FFF2-40B4-BE49-F238E27FC236}">
              <a16:creationId xmlns:a16="http://schemas.microsoft.com/office/drawing/2014/main" id="{00000000-0008-0000-0A00-0000A4320000}"/>
            </a:ext>
          </a:extLst>
        </xdr:cNvPr>
        <xdr:cNvSpPr>
          <a:spLocks noChangeAspect="1"/>
        </xdr:cNvSpPr>
      </xdr:nvSpPr>
      <xdr:spPr bwMode="auto">
        <a:xfrm>
          <a:off x="1219200" y="3562350"/>
          <a:ext cx="19050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3"/>
              </a:moveTo>
              <a:lnTo>
                <a:pt x="52" y="104"/>
              </a:ln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5" y="75"/>
              </a:lnTo>
              <a:lnTo>
                <a:pt x="2" y="64"/>
              </a:lnTo>
              <a:lnTo>
                <a:pt x="0" y="53"/>
              </a:ln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19</xdr:row>
      <xdr:rowOff>19050</xdr:rowOff>
    </xdr:from>
    <xdr:to>
      <xdr:col>2</xdr:col>
      <xdr:colOff>171450</xdr:colOff>
      <xdr:row>19</xdr:row>
      <xdr:rowOff>66675</xdr:rowOff>
    </xdr:to>
    <xdr:sp macro="" textlink="">
      <xdr:nvSpPr>
        <xdr:cNvPr id="12965" name="Freeform 10">
          <a:extLst>
            <a:ext uri="{FF2B5EF4-FFF2-40B4-BE49-F238E27FC236}">
              <a16:creationId xmlns:a16="http://schemas.microsoft.com/office/drawing/2014/main" id="{00000000-0008-0000-0A00-0000A5320000}"/>
            </a:ext>
          </a:extLst>
        </xdr:cNvPr>
        <xdr:cNvSpPr>
          <a:spLocks noChangeAspect="1"/>
        </xdr:cNvSpPr>
      </xdr:nvSpPr>
      <xdr:spPr bwMode="auto">
        <a:xfrm>
          <a:off x="1219200" y="3562350"/>
          <a:ext cx="19050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5" y="75"/>
              </a:lnTo>
              <a:lnTo>
                <a:pt x="2" y="64"/>
              </a:lnTo>
              <a:lnTo>
                <a:pt x="0" y="53"/>
              </a:ln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171450</xdr:colOff>
      <xdr:row>19</xdr:row>
      <xdr:rowOff>19050</xdr:rowOff>
    </xdr:from>
    <xdr:to>
      <xdr:col>3</xdr:col>
      <xdr:colOff>9525</xdr:colOff>
      <xdr:row>19</xdr:row>
      <xdr:rowOff>66675</xdr:rowOff>
    </xdr:to>
    <xdr:sp macro="" textlink="">
      <xdr:nvSpPr>
        <xdr:cNvPr id="12966" name="Freeform 11">
          <a:extLst>
            <a:ext uri="{FF2B5EF4-FFF2-40B4-BE49-F238E27FC236}">
              <a16:creationId xmlns:a16="http://schemas.microsoft.com/office/drawing/2014/main" id="{00000000-0008-0000-0A00-0000A6320000}"/>
            </a:ext>
          </a:extLst>
        </xdr:cNvPr>
        <xdr:cNvSpPr>
          <a:spLocks noChangeAspect="1"/>
        </xdr:cNvSpPr>
      </xdr:nvSpPr>
      <xdr:spPr bwMode="auto">
        <a:xfrm>
          <a:off x="1238250" y="3562350"/>
          <a:ext cx="371475" cy="47625"/>
        </a:xfrm>
        <a:custGeom>
          <a:avLst/>
          <a:gdLst>
            <a:gd name="T0" fmla="*/ 0 w 793"/>
            <a:gd name="T1" fmla="*/ 0 h 104"/>
            <a:gd name="T2" fmla="*/ 0 w 793"/>
            <a:gd name="T3" fmla="*/ 0 h 104"/>
            <a:gd name="T4" fmla="*/ 0 w 793"/>
            <a:gd name="T5" fmla="*/ 0 h 104"/>
            <a:gd name="T6" fmla="*/ 2147483647 w 793"/>
            <a:gd name="T7" fmla="*/ 0 h 104"/>
            <a:gd name="T8" fmla="*/ 2147483647 w 793"/>
            <a:gd name="T9" fmla="*/ 0 h 104"/>
            <a:gd name="T10" fmla="*/ 2147483647 w 793"/>
            <a:gd name="T11" fmla="*/ 0 h 104"/>
            <a:gd name="T12" fmla="*/ 0 w 793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93"/>
            <a:gd name="T22" fmla="*/ 0 h 104"/>
            <a:gd name="T23" fmla="*/ 793 w 793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93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793" y="104"/>
              </a:lnTo>
              <a:lnTo>
                <a:pt x="793" y="53"/>
              </a:lnTo>
              <a:lnTo>
                <a:pt x="793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171450</xdr:colOff>
      <xdr:row>19</xdr:row>
      <xdr:rowOff>19050</xdr:rowOff>
    </xdr:from>
    <xdr:to>
      <xdr:col>3</xdr:col>
      <xdr:colOff>9525</xdr:colOff>
      <xdr:row>19</xdr:row>
      <xdr:rowOff>66675</xdr:rowOff>
    </xdr:to>
    <xdr:sp macro="" textlink="">
      <xdr:nvSpPr>
        <xdr:cNvPr id="12967" name="Freeform 12">
          <a:extLst>
            <a:ext uri="{FF2B5EF4-FFF2-40B4-BE49-F238E27FC236}">
              <a16:creationId xmlns:a16="http://schemas.microsoft.com/office/drawing/2014/main" id="{00000000-0008-0000-0A00-0000A7320000}"/>
            </a:ext>
          </a:extLst>
        </xdr:cNvPr>
        <xdr:cNvSpPr>
          <a:spLocks noChangeAspect="1"/>
        </xdr:cNvSpPr>
      </xdr:nvSpPr>
      <xdr:spPr bwMode="auto">
        <a:xfrm>
          <a:off x="1238250" y="3562350"/>
          <a:ext cx="371475" cy="47625"/>
        </a:xfrm>
        <a:custGeom>
          <a:avLst/>
          <a:gdLst>
            <a:gd name="T0" fmla="*/ 0 w 793"/>
            <a:gd name="T1" fmla="*/ 0 h 104"/>
            <a:gd name="T2" fmla="*/ 0 w 793"/>
            <a:gd name="T3" fmla="*/ 0 h 104"/>
            <a:gd name="T4" fmla="*/ 0 w 793"/>
            <a:gd name="T5" fmla="*/ 0 h 104"/>
            <a:gd name="T6" fmla="*/ 2147483647 w 793"/>
            <a:gd name="T7" fmla="*/ 0 h 104"/>
            <a:gd name="T8" fmla="*/ 2147483647 w 793"/>
            <a:gd name="T9" fmla="*/ 0 h 104"/>
            <a:gd name="T10" fmla="*/ 2147483647 w 793"/>
            <a:gd name="T11" fmla="*/ 0 h 104"/>
            <a:gd name="T12" fmla="*/ 0 w 793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93"/>
            <a:gd name="T22" fmla="*/ 0 h 104"/>
            <a:gd name="T23" fmla="*/ 793 w 793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93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793" y="104"/>
              </a:lnTo>
              <a:lnTo>
                <a:pt x="793" y="53"/>
              </a:lnTo>
              <a:lnTo>
                <a:pt x="793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342900</xdr:colOff>
      <xdr:row>19</xdr:row>
      <xdr:rowOff>19050</xdr:rowOff>
    </xdr:from>
    <xdr:to>
      <xdr:col>3</xdr:col>
      <xdr:colOff>361950</xdr:colOff>
      <xdr:row>19</xdr:row>
      <xdr:rowOff>66675</xdr:rowOff>
    </xdr:to>
    <xdr:sp macro="" textlink="">
      <xdr:nvSpPr>
        <xdr:cNvPr id="12968" name="Freeform 13">
          <a:extLst>
            <a:ext uri="{FF2B5EF4-FFF2-40B4-BE49-F238E27FC236}">
              <a16:creationId xmlns:a16="http://schemas.microsoft.com/office/drawing/2014/main" id="{00000000-0008-0000-0A00-0000A8320000}"/>
            </a:ext>
          </a:extLst>
        </xdr:cNvPr>
        <xdr:cNvSpPr>
          <a:spLocks noChangeAspect="1"/>
        </xdr:cNvSpPr>
      </xdr:nvSpPr>
      <xdr:spPr bwMode="auto">
        <a:xfrm>
          <a:off x="1943100" y="3562350"/>
          <a:ext cx="19050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3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342900</xdr:colOff>
      <xdr:row>19</xdr:row>
      <xdr:rowOff>19050</xdr:rowOff>
    </xdr:from>
    <xdr:to>
      <xdr:col>3</xdr:col>
      <xdr:colOff>361950</xdr:colOff>
      <xdr:row>19</xdr:row>
      <xdr:rowOff>66675</xdr:rowOff>
    </xdr:to>
    <xdr:sp macro="" textlink="">
      <xdr:nvSpPr>
        <xdr:cNvPr id="12969" name="Freeform 14">
          <a:extLst>
            <a:ext uri="{FF2B5EF4-FFF2-40B4-BE49-F238E27FC236}">
              <a16:creationId xmlns:a16="http://schemas.microsoft.com/office/drawing/2014/main" id="{00000000-0008-0000-0A00-0000A9320000}"/>
            </a:ext>
          </a:extLst>
        </xdr:cNvPr>
        <xdr:cNvSpPr>
          <a:spLocks noChangeAspect="1"/>
        </xdr:cNvSpPr>
      </xdr:nvSpPr>
      <xdr:spPr bwMode="auto">
        <a:xfrm>
          <a:off x="1943100" y="3562350"/>
          <a:ext cx="19050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19</xdr:row>
      <xdr:rowOff>19050</xdr:rowOff>
    </xdr:from>
    <xdr:to>
      <xdr:col>11</xdr:col>
      <xdr:colOff>180975</xdr:colOff>
      <xdr:row>19</xdr:row>
      <xdr:rowOff>57150</xdr:rowOff>
    </xdr:to>
    <xdr:sp macro="" textlink="">
      <xdr:nvSpPr>
        <xdr:cNvPr id="12970" name="Freeform 15">
          <a:extLst>
            <a:ext uri="{FF2B5EF4-FFF2-40B4-BE49-F238E27FC236}">
              <a16:creationId xmlns:a16="http://schemas.microsoft.com/office/drawing/2014/main" id="{00000000-0008-0000-0A00-0000AA320000}"/>
            </a:ext>
          </a:extLst>
        </xdr:cNvPr>
        <xdr:cNvSpPr>
          <a:spLocks noChangeAspect="1"/>
        </xdr:cNvSpPr>
      </xdr:nvSpPr>
      <xdr:spPr bwMode="auto">
        <a:xfrm>
          <a:off x="6181725" y="3562350"/>
          <a:ext cx="38100" cy="38100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w 104"/>
            <a:gd name="T31" fmla="*/ 0 h 53"/>
            <a:gd name="T32" fmla="*/ 0 w 104"/>
            <a:gd name="T33" fmla="*/ 0 h 53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3"/>
            <a:gd name="T53" fmla="*/ 104 w 104"/>
            <a:gd name="T54" fmla="*/ 53 h 53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3">
              <a:moveTo>
                <a:pt x="52" y="53"/>
              </a:moveTo>
              <a:lnTo>
                <a:pt x="0" y="53"/>
              </a:ln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19</xdr:row>
      <xdr:rowOff>19050</xdr:rowOff>
    </xdr:from>
    <xdr:to>
      <xdr:col>11</xdr:col>
      <xdr:colOff>180975</xdr:colOff>
      <xdr:row>19</xdr:row>
      <xdr:rowOff>57150</xdr:rowOff>
    </xdr:to>
    <xdr:sp macro="" textlink="">
      <xdr:nvSpPr>
        <xdr:cNvPr id="12971" name="Freeform 16">
          <a:extLst>
            <a:ext uri="{FF2B5EF4-FFF2-40B4-BE49-F238E27FC236}">
              <a16:creationId xmlns:a16="http://schemas.microsoft.com/office/drawing/2014/main" id="{00000000-0008-0000-0A00-0000AB320000}"/>
            </a:ext>
          </a:extLst>
        </xdr:cNvPr>
        <xdr:cNvSpPr>
          <a:spLocks noChangeAspect="1"/>
        </xdr:cNvSpPr>
      </xdr:nvSpPr>
      <xdr:spPr bwMode="auto">
        <a:xfrm>
          <a:off x="6181725" y="3562350"/>
          <a:ext cx="38100" cy="38100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3"/>
            <a:gd name="T47" fmla="*/ 104 w 104"/>
            <a:gd name="T48" fmla="*/ 53 h 53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3">
              <a:moveTo>
                <a:pt x="0" y="53"/>
              </a:move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19</xdr:row>
      <xdr:rowOff>47625</xdr:rowOff>
    </xdr:from>
    <xdr:to>
      <xdr:col>11</xdr:col>
      <xdr:colOff>180975</xdr:colOff>
      <xdr:row>37</xdr:row>
      <xdr:rowOff>142875</xdr:rowOff>
    </xdr:to>
    <xdr:sp macro="" textlink="">
      <xdr:nvSpPr>
        <xdr:cNvPr id="12972" name="Freeform 17">
          <a:extLst>
            <a:ext uri="{FF2B5EF4-FFF2-40B4-BE49-F238E27FC236}">
              <a16:creationId xmlns:a16="http://schemas.microsoft.com/office/drawing/2014/main" id="{00000000-0008-0000-0A00-0000AC320000}"/>
            </a:ext>
          </a:extLst>
        </xdr:cNvPr>
        <xdr:cNvSpPr>
          <a:spLocks noChangeAspect="1"/>
        </xdr:cNvSpPr>
      </xdr:nvSpPr>
      <xdr:spPr bwMode="auto">
        <a:xfrm>
          <a:off x="6181725" y="3590925"/>
          <a:ext cx="38100" cy="3009900"/>
        </a:xfrm>
        <a:custGeom>
          <a:avLst/>
          <a:gdLst>
            <a:gd name="T0" fmla="*/ 0 w 104"/>
            <a:gd name="T1" fmla="*/ 0 h 7389"/>
            <a:gd name="T2" fmla="*/ 0 w 104"/>
            <a:gd name="T3" fmla="*/ 0 h 7389"/>
            <a:gd name="T4" fmla="*/ 0 w 104"/>
            <a:gd name="T5" fmla="*/ 0 h 7389"/>
            <a:gd name="T6" fmla="*/ 0 w 104"/>
            <a:gd name="T7" fmla="*/ 2147483647 h 7389"/>
            <a:gd name="T8" fmla="*/ 0 w 104"/>
            <a:gd name="T9" fmla="*/ 2147483647 h 7389"/>
            <a:gd name="T10" fmla="*/ 0 w 104"/>
            <a:gd name="T11" fmla="*/ 2147483647 h 7389"/>
            <a:gd name="T12" fmla="*/ 0 w 104"/>
            <a:gd name="T13" fmla="*/ 0 h 73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389"/>
            <a:gd name="T23" fmla="*/ 104 w 104"/>
            <a:gd name="T24" fmla="*/ 7389 h 73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389">
              <a:moveTo>
                <a:pt x="104" y="0"/>
              </a:moveTo>
              <a:lnTo>
                <a:pt x="52" y="0"/>
              </a:lnTo>
              <a:lnTo>
                <a:pt x="0" y="0"/>
              </a:lnTo>
              <a:lnTo>
                <a:pt x="0" y="7389"/>
              </a:lnTo>
              <a:lnTo>
                <a:pt x="52" y="7389"/>
              </a:lnTo>
              <a:lnTo>
                <a:pt x="104" y="7389"/>
              </a:lnTo>
              <a:lnTo>
                <a:pt x="104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38</xdr:row>
      <xdr:rowOff>9525</xdr:rowOff>
    </xdr:from>
    <xdr:to>
      <xdr:col>11</xdr:col>
      <xdr:colOff>180975</xdr:colOff>
      <xdr:row>38</xdr:row>
      <xdr:rowOff>19050</xdr:rowOff>
    </xdr:to>
    <xdr:sp macro="" textlink="">
      <xdr:nvSpPr>
        <xdr:cNvPr id="12973" name="Freeform 19">
          <a:extLst>
            <a:ext uri="{FF2B5EF4-FFF2-40B4-BE49-F238E27FC236}">
              <a16:creationId xmlns:a16="http://schemas.microsoft.com/office/drawing/2014/main" id="{00000000-0008-0000-0A00-0000AD320000}"/>
            </a:ext>
          </a:extLst>
        </xdr:cNvPr>
        <xdr:cNvSpPr>
          <a:spLocks noChangeAspect="1"/>
        </xdr:cNvSpPr>
      </xdr:nvSpPr>
      <xdr:spPr bwMode="auto">
        <a:xfrm>
          <a:off x="6181725" y="6629400"/>
          <a:ext cx="38100" cy="952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0"/>
              </a:moveTo>
              <a:lnTo>
                <a:pt x="104" y="0"/>
              </a:lnTo>
              <a:lnTo>
                <a:pt x="102" y="12"/>
              </a:lnTo>
              <a:lnTo>
                <a:pt x="99" y="23"/>
              </a:lnTo>
              <a:lnTo>
                <a:pt x="93" y="33"/>
              </a:lnTo>
              <a:lnTo>
                <a:pt x="84" y="41"/>
              </a:lnTo>
              <a:lnTo>
                <a:pt x="74" y="48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8"/>
              </a:lnTo>
              <a:lnTo>
                <a:pt x="19" y="41"/>
              </a:lnTo>
              <a:lnTo>
                <a:pt x="11" y="33"/>
              </a:lnTo>
              <a:lnTo>
                <a:pt x="5" y="23"/>
              </a:lnTo>
              <a:lnTo>
                <a:pt x="2" y="12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38</xdr:row>
      <xdr:rowOff>9525</xdr:rowOff>
    </xdr:from>
    <xdr:to>
      <xdr:col>11</xdr:col>
      <xdr:colOff>180975</xdr:colOff>
      <xdr:row>38</xdr:row>
      <xdr:rowOff>19050</xdr:rowOff>
    </xdr:to>
    <xdr:sp macro="" textlink="">
      <xdr:nvSpPr>
        <xdr:cNvPr id="12974" name="Freeform 20">
          <a:extLst>
            <a:ext uri="{FF2B5EF4-FFF2-40B4-BE49-F238E27FC236}">
              <a16:creationId xmlns:a16="http://schemas.microsoft.com/office/drawing/2014/main" id="{00000000-0008-0000-0A00-0000AE320000}"/>
            </a:ext>
          </a:extLst>
        </xdr:cNvPr>
        <xdr:cNvSpPr>
          <a:spLocks noChangeAspect="1"/>
        </xdr:cNvSpPr>
      </xdr:nvSpPr>
      <xdr:spPr bwMode="auto">
        <a:xfrm>
          <a:off x="6181725" y="6629400"/>
          <a:ext cx="38100" cy="952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104" y="0"/>
              </a:moveTo>
              <a:lnTo>
                <a:pt x="102" y="12"/>
              </a:lnTo>
              <a:lnTo>
                <a:pt x="99" y="23"/>
              </a:lnTo>
              <a:lnTo>
                <a:pt x="93" y="33"/>
              </a:lnTo>
              <a:lnTo>
                <a:pt x="84" y="41"/>
              </a:lnTo>
              <a:lnTo>
                <a:pt x="74" y="48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8"/>
              </a:lnTo>
              <a:lnTo>
                <a:pt x="19" y="41"/>
              </a:lnTo>
              <a:lnTo>
                <a:pt x="11" y="33"/>
              </a:lnTo>
              <a:lnTo>
                <a:pt x="5" y="23"/>
              </a:lnTo>
              <a:lnTo>
                <a:pt x="2" y="12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37</xdr:row>
      <xdr:rowOff>133350</xdr:rowOff>
    </xdr:from>
    <xdr:to>
      <xdr:col>16</xdr:col>
      <xdr:colOff>9525</xdr:colOff>
      <xdr:row>38</xdr:row>
      <xdr:rowOff>9525</xdr:rowOff>
    </xdr:to>
    <xdr:sp macro="" textlink="">
      <xdr:nvSpPr>
        <xdr:cNvPr id="12975" name="Freeform 21">
          <a:extLst>
            <a:ext uri="{FF2B5EF4-FFF2-40B4-BE49-F238E27FC236}">
              <a16:creationId xmlns:a16="http://schemas.microsoft.com/office/drawing/2014/main" id="{00000000-0008-0000-0A00-0000AF320000}"/>
            </a:ext>
          </a:extLst>
        </xdr:cNvPr>
        <xdr:cNvSpPr>
          <a:spLocks noChangeAspect="1"/>
        </xdr:cNvSpPr>
      </xdr:nvSpPr>
      <xdr:spPr bwMode="auto">
        <a:xfrm>
          <a:off x="8715375" y="6591300"/>
          <a:ext cx="0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0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2"/>
              </a:moveTo>
              <a:lnTo>
                <a:pt x="0" y="0"/>
              </a:lnTo>
              <a:lnTo>
                <a:pt x="12" y="2"/>
              </a:lnTo>
              <a:lnTo>
                <a:pt x="22" y="5"/>
              </a:lnTo>
              <a:lnTo>
                <a:pt x="33" y="12"/>
              </a:lnTo>
              <a:lnTo>
                <a:pt x="41" y="20"/>
              </a:lnTo>
              <a:lnTo>
                <a:pt x="47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7" y="75"/>
              </a:lnTo>
              <a:lnTo>
                <a:pt x="41" y="85"/>
              </a:lnTo>
              <a:lnTo>
                <a:pt x="33" y="93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37</xdr:row>
      <xdr:rowOff>133350</xdr:rowOff>
    </xdr:from>
    <xdr:to>
      <xdr:col>16</xdr:col>
      <xdr:colOff>9525</xdr:colOff>
      <xdr:row>38</xdr:row>
      <xdr:rowOff>9525</xdr:rowOff>
    </xdr:to>
    <xdr:sp macro="" textlink="">
      <xdr:nvSpPr>
        <xdr:cNvPr id="12976" name="Freeform 22">
          <a:extLst>
            <a:ext uri="{FF2B5EF4-FFF2-40B4-BE49-F238E27FC236}">
              <a16:creationId xmlns:a16="http://schemas.microsoft.com/office/drawing/2014/main" id="{00000000-0008-0000-0A00-0000B0320000}"/>
            </a:ext>
          </a:extLst>
        </xdr:cNvPr>
        <xdr:cNvSpPr>
          <a:spLocks noChangeAspect="1"/>
        </xdr:cNvSpPr>
      </xdr:nvSpPr>
      <xdr:spPr bwMode="auto">
        <a:xfrm>
          <a:off x="8715375" y="6591300"/>
          <a:ext cx="0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0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5"/>
              </a:lnTo>
              <a:lnTo>
                <a:pt x="33" y="12"/>
              </a:lnTo>
              <a:lnTo>
                <a:pt x="41" y="20"/>
              </a:lnTo>
              <a:lnTo>
                <a:pt x="47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7" y="75"/>
              </a:lnTo>
              <a:lnTo>
                <a:pt x="41" y="85"/>
              </a:lnTo>
              <a:lnTo>
                <a:pt x="33" y="93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352425</xdr:colOff>
      <xdr:row>37</xdr:row>
      <xdr:rowOff>133350</xdr:rowOff>
    </xdr:from>
    <xdr:to>
      <xdr:col>16</xdr:col>
      <xdr:colOff>9525</xdr:colOff>
      <xdr:row>38</xdr:row>
      <xdr:rowOff>9525</xdr:rowOff>
    </xdr:to>
    <xdr:sp macro="" textlink="">
      <xdr:nvSpPr>
        <xdr:cNvPr id="12977" name="Freeform 23">
          <a:extLst>
            <a:ext uri="{FF2B5EF4-FFF2-40B4-BE49-F238E27FC236}">
              <a16:creationId xmlns:a16="http://schemas.microsoft.com/office/drawing/2014/main" id="{00000000-0008-0000-0A00-0000B1320000}"/>
            </a:ext>
          </a:extLst>
        </xdr:cNvPr>
        <xdr:cNvSpPr>
          <a:spLocks noChangeAspect="1"/>
        </xdr:cNvSpPr>
      </xdr:nvSpPr>
      <xdr:spPr bwMode="auto">
        <a:xfrm>
          <a:off x="1952625" y="6591300"/>
          <a:ext cx="6762750" cy="38100"/>
        </a:xfrm>
        <a:custGeom>
          <a:avLst/>
          <a:gdLst>
            <a:gd name="T0" fmla="*/ 2147483647 w 14940"/>
            <a:gd name="T1" fmla="*/ 0 h 104"/>
            <a:gd name="T2" fmla="*/ 2147483647 w 14940"/>
            <a:gd name="T3" fmla="*/ 0 h 104"/>
            <a:gd name="T4" fmla="*/ 2147483647 w 14940"/>
            <a:gd name="T5" fmla="*/ 0 h 104"/>
            <a:gd name="T6" fmla="*/ 0 w 14940"/>
            <a:gd name="T7" fmla="*/ 0 h 104"/>
            <a:gd name="T8" fmla="*/ 0 w 14940"/>
            <a:gd name="T9" fmla="*/ 0 h 104"/>
            <a:gd name="T10" fmla="*/ 0 w 14940"/>
            <a:gd name="T11" fmla="*/ 0 h 104"/>
            <a:gd name="T12" fmla="*/ 2147483647 w 14940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4940"/>
            <a:gd name="T22" fmla="*/ 0 h 104"/>
            <a:gd name="T23" fmla="*/ 14940 w 14940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4940" h="104">
              <a:moveTo>
                <a:pt x="14940" y="104"/>
              </a:moveTo>
              <a:lnTo>
                <a:pt x="14940" y="52"/>
              </a:lnTo>
              <a:lnTo>
                <a:pt x="14940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14940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352425</xdr:colOff>
      <xdr:row>37</xdr:row>
      <xdr:rowOff>133350</xdr:rowOff>
    </xdr:from>
    <xdr:to>
      <xdr:col>16</xdr:col>
      <xdr:colOff>9525</xdr:colOff>
      <xdr:row>38</xdr:row>
      <xdr:rowOff>9525</xdr:rowOff>
    </xdr:to>
    <xdr:sp macro="" textlink="">
      <xdr:nvSpPr>
        <xdr:cNvPr id="12978" name="Freeform 24">
          <a:extLst>
            <a:ext uri="{FF2B5EF4-FFF2-40B4-BE49-F238E27FC236}">
              <a16:creationId xmlns:a16="http://schemas.microsoft.com/office/drawing/2014/main" id="{00000000-0008-0000-0A00-0000B2320000}"/>
            </a:ext>
          </a:extLst>
        </xdr:cNvPr>
        <xdr:cNvSpPr>
          <a:spLocks noChangeAspect="1"/>
        </xdr:cNvSpPr>
      </xdr:nvSpPr>
      <xdr:spPr bwMode="auto">
        <a:xfrm>
          <a:off x="1952625" y="6591300"/>
          <a:ext cx="6762750" cy="38100"/>
        </a:xfrm>
        <a:custGeom>
          <a:avLst/>
          <a:gdLst>
            <a:gd name="T0" fmla="*/ 2147483647 w 14940"/>
            <a:gd name="T1" fmla="*/ 0 h 104"/>
            <a:gd name="T2" fmla="*/ 2147483647 w 14940"/>
            <a:gd name="T3" fmla="*/ 0 h 104"/>
            <a:gd name="T4" fmla="*/ 2147483647 w 14940"/>
            <a:gd name="T5" fmla="*/ 0 h 104"/>
            <a:gd name="T6" fmla="*/ 0 w 14940"/>
            <a:gd name="T7" fmla="*/ 0 h 104"/>
            <a:gd name="T8" fmla="*/ 0 w 14940"/>
            <a:gd name="T9" fmla="*/ 0 h 104"/>
            <a:gd name="T10" fmla="*/ 0 w 14940"/>
            <a:gd name="T11" fmla="*/ 0 h 104"/>
            <a:gd name="T12" fmla="*/ 2147483647 w 14940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4940"/>
            <a:gd name="T22" fmla="*/ 0 h 104"/>
            <a:gd name="T23" fmla="*/ 14940 w 14940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4940" h="104">
              <a:moveTo>
                <a:pt x="14940" y="104"/>
              </a:moveTo>
              <a:lnTo>
                <a:pt x="14940" y="52"/>
              </a:lnTo>
              <a:lnTo>
                <a:pt x="14940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14940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37</xdr:row>
      <xdr:rowOff>133350</xdr:rowOff>
    </xdr:from>
    <xdr:to>
      <xdr:col>3</xdr:col>
      <xdr:colOff>352425</xdr:colOff>
      <xdr:row>38</xdr:row>
      <xdr:rowOff>9525</xdr:rowOff>
    </xdr:to>
    <xdr:sp macro="" textlink="">
      <xdr:nvSpPr>
        <xdr:cNvPr id="12979" name="Freeform 25">
          <a:extLst>
            <a:ext uri="{FF2B5EF4-FFF2-40B4-BE49-F238E27FC236}">
              <a16:creationId xmlns:a16="http://schemas.microsoft.com/office/drawing/2014/main" id="{00000000-0008-0000-0A00-0000B3320000}"/>
            </a:ext>
          </a:extLst>
        </xdr:cNvPr>
        <xdr:cNvSpPr>
          <a:spLocks noChangeAspect="1"/>
        </xdr:cNvSpPr>
      </xdr:nvSpPr>
      <xdr:spPr bwMode="auto">
        <a:xfrm>
          <a:off x="1924050" y="6591300"/>
          <a:ext cx="2857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2"/>
              </a:moveTo>
              <a:lnTo>
                <a:pt x="52" y="104"/>
              </a:lnTo>
              <a:lnTo>
                <a:pt x="40" y="103"/>
              </a:lnTo>
              <a:lnTo>
                <a:pt x="30" y="100"/>
              </a:lnTo>
              <a:lnTo>
                <a:pt x="19" y="93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37</xdr:row>
      <xdr:rowOff>133350</xdr:rowOff>
    </xdr:from>
    <xdr:to>
      <xdr:col>3</xdr:col>
      <xdr:colOff>352425</xdr:colOff>
      <xdr:row>38</xdr:row>
      <xdr:rowOff>9525</xdr:rowOff>
    </xdr:to>
    <xdr:sp macro="" textlink="">
      <xdr:nvSpPr>
        <xdr:cNvPr id="12980" name="Freeform 26">
          <a:extLst>
            <a:ext uri="{FF2B5EF4-FFF2-40B4-BE49-F238E27FC236}">
              <a16:creationId xmlns:a16="http://schemas.microsoft.com/office/drawing/2014/main" id="{00000000-0008-0000-0A00-0000B4320000}"/>
            </a:ext>
          </a:extLst>
        </xdr:cNvPr>
        <xdr:cNvSpPr>
          <a:spLocks noChangeAspect="1"/>
        </xdr:cNvSpPr>
      </xdr:nvSpPr>
      <xdr:spPr bwMode="auto">
        <a:xfrm>
          <a:off x="1924050" y="6591300"/>
          <a:ext cx="2857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100"/>
              </a:lnTo>
              <a:lnTo>
                <a:pt x="19" y="93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38</xdr:row>
      <xdr:rowOff>9525</xdr:rowOff>
    </xdr:from>
    <xdr:to>
      <xdr:col>16</xdr:col>
      <xdr:colOff>9525</xdr:colOff>
      <xdr:row>38</xdr:row>
      <xdr:rowOff>19050</xdr:rowOff>
    </xdr:to>
    <xdr:sp macro="" textlink="">
      <xdr:nvSpPr>
        <xdr:cNvPr id="12981" name="Freeform 27">
          <a:extLst>
            <a:ext uri="{FF2B5EF4-FFF2-40B4-BE49-F238E27FC236}">
              <a16:creationId xmlns:a16="http://schemas.microsoft.com/office/drawing/2014/main" id="{00000000-0008-0000-0A00-0000B5320000}"/>
            </a:ext>
          </a:extLst>
        </xdr:cNvPr>
        <xdr:cNvSpPr>
          <a:spLocks noChangeAspect="1"/>
        </xdr:cNvSpPr>
      </xdr:nvSpPr>
      <xdr:spPr bwMode="auto">
        <a:xfrm>
          <a:off x="8715375" y="6629400"/>
          <a:ext cx="0" cy="9525"/>
        </a:xfrm>
        <a:custGeom>
          <a:avLst/>
          <a:gdLst>
            <a:gd name="T0" fmla="*/ 0 w 102"/>
            <a:gd name="T1" fmla="*/ 0 h 57"/>
            <a:gd name="T2" fmla="*/ 0 w 102"/>
            <a:gd name="T3" fmla="*/ 0 h 57"/>
            <a:gd name="T4" fmla="*/ 0 w 102"/>
            <a:gd name="T5" fmla="*/ 0 h 57"/>
            <a:gd name="T6" fmla="*/ 0 w 102"/>
            <a:gd name="T7" fmla="*/ 0 h 57"/>
            <a:gd name="T8" fmla="*/ 0 w 102"/>
            <a:gd name="T9" fmla="*/ 0 h 57"/>
            <a:gd name="T10" fmla="*/ 0 w 102"/>
            <a:gd name="T11" fmla="*/ 0 h 57"/>
            <a:gd name="T12" fmla="*/ 0 w 102"/>
            <a:gd name="T13" fmla="*/ 0 h 57"/>
            <a:gd name="T14" fmla="*/ 0 w 102"/>
            <a:gd name="T15" fmla="*/ 0 h 57"/>
            <a:gd name="T16" fmla="*/ 0 w 102"/>
            <a:gd name="T17" fmla="*/ 0 h 57"/>
            <a:gd name="T18" fmla="*/ 0 w 102"/>
            <a:gd name="T19" fmla="*/ 0 h 57"/>
            <a:gd name="T20" fmla="*/ 0 w 102"/>
            <a:gd name="T21" fmla="*/ 0 h 57"/>
            <a:gd name="T22" fmla="*/ 0 w 102"/>
            <a:gd name="T23" fmla="*/ 0 h 57"/>
            <a:gd name="T24" fmla="*/ 0 w 102"/>
            <a:gd name="T25" fmla="*/ 0 h 57"/>
            <a:gd name="T26" fmla="*/ 0 w 102"/>
            <a:gd name="T27" fmla="*/ 0 h 57"/>
            <a:gd name="T28" fmla="*/ 0 w 102"/>
            <a:gd name="T29" fmla="*/ 0 h 57"/>
            <a:gd name="T30" fmla="*/ 0 w 102"/>
            <a:gd name="T31" fmla="*/ 0 h 57"/>
            <a:gd name="T32" fmla="*/ 0 w 102"/>
            <a:gd name="T33" fmla="*/ 0 h 57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2"/>
            <a:gd name="T52" fmla="*/ 0 h 57"/>
            <a:gd name="T53" fmla="*/ 0 w 102"/>
            <a:gd name="T54" fmla="*/ 57 h 57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2" h="57">
              <a:moveTo>
                <a:pt x="51" y="5"/>
              </a:moveTo>
              <a:lnTo>
                <a:pt x="102" y="11"/>
              </a:lnTo>
              <a:lnTo>
                <a:pt x="100" y="21"/>
              </a:lnTo>
              <a:lnTo>
                <a:pt x="95" y="33"/>
              </a:lnTo>
              <a:lnTo>
                <a:pt x="89" y="41"/>
              </a:lnTo>
              <a:lnTo>
                <a:pt x="79" y="49"/>
              </a:lnTo>
              <a:lnTo>
                <a:pt x="69" y="54"/>
              </a:lnTo>
              <a:lnTo>
                <a:pt x="57" y="57"/>
              </a:lnTo>
              <a:lnTo>
                <a:pt x="46" y="57"/>
              </a:lnTo>
              <a:lnTo>
                <a:pt x="35" y="55"/>
              </a:lnTo>
              <a:lnTo>
                <a:pt x="24" y="50"/>
              </a:lnTo>
              <a:lnTo>
                <a:pt x="15" y="43"/>
              </a:lnTo>
              <a:lnTo>
                <a:pt x="8" y="34"/>
              </a:lnTo>
              <a:lnTo>
                <a:pt x="3" y="23"/>
              </a:lnTo>
              <a:lnTo>
                <a:pt x="0" y="12"/>
              </a:lnTo>
              <a:lnTo>
                <a:pt x="0" y="0"/>
              </a:lnTo>
              <a:lnTo>
                <a:pt x="51" y="5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38</xdr:row>
      <xdr:rowOff>9525</xdr:rowOff>
    </xdr:from>
    <xdr:to>
      <xdr:col>16</xdr:col>
      <xdr:colOff>9525</xdr:colOff>
      <xdr:row>38</xdr:row>
      <xdr:rowOff>19050</xdr:rowOff>
    </xdr:to>
    <xdr:sp macro="" textlink="">
      <xdr:nvSpPr>
        <xdr:cNvPr id="12982" name="Freeform 28">
          <a:extLst>
            <a:ext uri="{FF2B5EF4-FFF2-40B4-BE49-F238E27FC236}">
              <a16:creationId xmlns:a16="http://schemas.microsoft.com/office/drawing/2014/main" id="{00000000-0008-0000-0A00-0000B6320000}"/>
            </a:ext>
          </a:extLst>
        </xdr:cNvPr>
        <xdr:cNvSpPr>
          <a:spLocks noChangeAspect="1"/>
        </xdr:cNvSpPr>
      </xdr:nvSpPr>
      <xdr:spPr bwMode="auto">
        <a:xfrm>
          <a:off x="8715375" y="6629400"/>
          <a:ext cx="0" cy="9525"/>
        </a:xfrm>
        <a:custGeom>
          <a:avLst/>
          <a:gdLst>
            <a:gd name="T0" fmla="*/ 0 w 102"/>
            <a:gd name="T1" fmla="*/ 0 h 57"/>
            <a:gd name="T2" fmla="*/ 0 w 102"/>
            <a:gd name="T3" fmla="*/ 0 h 57"/>
            <a:gd name="T4" fmla="*/ 0 w 102"/>
            <a:gd name="T5" fmla="*/ 0 h 57"/>
            <a:gd name="T6" fmla="*/ 0 w 102"/>
            <a:gd name="T7" fmla="*/ 0 h 57"/>
            <a:gd name="T8" fmla="*/ 0 w 102"/>
            <a:gd name="T9" fmla="*/ 0 h 57"/>
            <a:gd name="T10" fmla="*/ 0 w 102"/>
            <a:gd name="T11" fmla="*/ 0 h 57"/>
            <a:gd name="T12" fmla="*/ 0 w 102"/>
            <a:gd name="T13" fmla="*/ 0 h 57"/>
            <a:gd name="T14" fmla="*/ 0 w 102"/>
            <a:gd name="T15" fmla="*/ 0 h 57"/>
            <a:gd name="T16" fmla="*/ 0 w 102"/>
            <a:gd name="T17" fmla="*/ 0 h 57"/>
            <a:gd name="T18" fmla="*/ 0 w 102"/>
            <a:gd name="T19" fmla="*/ 0 h 57"/>
            <a:gd name="T20" fmla="*/ 0 w 102"/>
            <a:gd name="T21" fmla="*/ 0 h 57"/>
            <a:gd name="T22" fmla="*/ 0 w 102"/>
            <a:gd name="T23" fmla="*/ 0 h 57"/>
            <a:gd name="T24" fmla="*/ 0 w 102"/>
            <a:gd name="T25" fmla="*/ 0 h 57"/>
            <a:gd name="T26" fmla="*/ 0 w 102"/>
            <a:gd name="T27" fmla="*/ 0 h 57"/>
            <a:gd name="T28" fmla="*/ 0 w 102"/>
            <a:gd name="T29" fmla="*/ 0 h 5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2"/>
            <a:gd name="T46" fmla="*/ 0 h 57"/>
            <a:gd name="T47" fmla="*/ 0 w 102"/>
            <a:gd name="T48" fmla="*/ 57 h 5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2" h="57">
              <a:moveTo>
                <a:pt x="102" y="11"/>
              </a:moveTo>
              <a:lnTo>
                <a:pt x="100" y="21"/>
              </a:lnTo>
              <a:lnTo>
                <a:pt x="95" y="33"/>
              </a:lnTo>
              <a:lnTo>
                <a:pt x="89" y="41"/>
              </a:lnTo>
              <a:lnTo>
                <a:pt x="79" y="49"/>
              </a:lnTo>
              <a:lnTo>
                <a:pt x="69" y="54"/>
              </a:lnTo>
              <a:lnTo>
                <a:pt x="57" y="57"/>
              </a:lnTo>
              <a:lnTo>
                <a:pt x="46" y="57"/>
              </a:lnTo>
              <a:lnTo>
                <a:pt x="35" y="55"/>
              </a:lnTo>
              <a:lnTo>
                <a:pt x="24" y="50"/>
              </a:lnTo>
              <a:lnTo>
                <a:pt x="15" y="43"/>
              </a:lnTo>
              <a:lnTo>
                <a:pt x="8" y="34"/>
              </a:lnTo>
              <a:lnTo>
                <a:pt x="3" y="23"/>
              </a:lnTo>
              <a:lnTo>
                <a:pt x="0" y="12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33</xdr:row>
      <xdr:rowOff>142875</xdr:rowOff>
    </xdr:from>
    <xdr:to>
      <xdr:col>16</xdr:col>
      <xdr:colOff>57150</xdr:colOff>
      <xdr:row>38</xdr:row>
      <xdr:rowOff>9525</xdr:rowOff>
    </xdr:to>
    <xdr:sp macro="" textlink="">
      <xdr:nvSpPr>
        <xdr:cNvPr id="12983" name="Freeform 29">
          <a:extLst>
            <a:ext uri="{FF2B5EF4-FFF2-40B4-BE49-F238E27FC236}">
              <a16:creationId xmlns:a16="http://schemas.microsoft.com/office/drawing/2014/main" id="{00000000-0008-0000-0A00-0000B7320000}"/>
            </a:ext>
          </a:extLst>
        </xdr:cNvPr>
        <xdr:cNvSpPr>
          <a:spLocks noChangeAspect="1"/>
        </xdr:cNvSpPr>
      </xdr:nvSpPr>
      <xdr:spPr bwMode="auto">
        <a:xfrm>
          <a:off x="8715375" y="5953125"/>
          <a:ext cx="47625" cy="676275"/>
        </a:xfrm>
        <a:custGeom>
          <a:avLst/>
          <a:gdLst>
            <a:gd name="T0" fmla="*/ 0 w 253"/>
            <a:gd name="T1" fmla="*/ 2147483647 h 1620"/>
            <a:gd name="T2" fmla="*/ 0 w 253"/>
            <a:gd name="T3" fmla="*/ 2147483647 h 1620"/>
            <a:gd name="T4" fmla="*/ 0 w 253"/>
            <a:gd name="T5" fmla="*/ 2147483647 h 1620"/>
            <a:gd name="T6" fmla="*/ 2147483647 w 253"/>
            <a:gd name="T7" fmla="*/ 0 h 1620"/>
            <a:gd name="T8" fmla="*/ 2147483647 w 253"/>
            <a:gd name="T9" fmla="*/ 0 h 1620"/>
            <a:gd name="T10" fmla="*/ 0 w 253"/>
            <a:gd name="T11" fmla="*/ 0 h 1620"/>
            <a:gd name="T12" fmla="*/ 0 w 253"/>
            <a:gd name="T13" fmla="*/ 2147483647 h 1620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53"/>
            <a:gd name="T22" fmla="*/ 0 h 1620"/>
            <a:gd name="T23" fmla="*/ 253 w 253"/>
            <a:gd name="T24" fmla="*/ 1620 h 1620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53" h="1620">
              <a:moveTo>
                <a:pt x="0" y="1609"/>
              </a:moveTo>
              <a:lnTo>
                <a:pt x="51" y="1614"/>
              </a:lnTo>
              <a:lnTo>
                <a:pt x="102" y="1620"/>
              </a:lnTo>
              <a:lnTo>
                <a:pt x="253" y="10"/>
              </a:lnTo>
              <a:lnTo>
                <a:pt x="201" y="5"/>
              </a:lnTo>
              <a:lnTo>
                <a:pt x="150" y="0"/>
              </a:lnTo>
              <a:lnTo>
                <a:pt x="0" y="160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33</xdr:row>
      <xdr:rowOff>142875</xdr:rowOff>
    </xdr:from>
    <xdr:to>
      <xdr:col>16</xdr:col>
      <xdr:colOff>57150</xdr:colOff>
      <xdr:row>38</xdr:row>
      <xdr:rowOff>9525</xdr:rowOff>
    </xdr:to>
    <xdr:sp macro="" textlink="">
      <xdr:nvSpPr>
        <xdr:cNvPr id="12984" name="Freeform 30">
          <a:extLst>
            <a:ext uri="{FF2B5EF4-FFF2-40B4-BE49-F238E27FC236}">
              <a16:creationId xmlns:a16="http://schemas.microsoft.com/office/drawing/2014/main" id="{00000000-0008-0000-0A00-0000B8320000}"/>
            </a:ext>
          </a:extLst>
        </xdr:cNvPr>
        <xdr:cNvSpPr>
          <a:spLocks noChangeAspect="1"/>
        </xdr:cNvSpPr>
      </xdr:nvSpPr>
      <xdr:spPr bwMode="auto">
        <a:xfrm>
          <a:off x="8715375" y="5953125"/>
          <a:ext cx="47625" cy="676275"/>
        </a:xfrm>
        <a:custGeom>
          <a:avLst/>
          <a:gdLst>
            <a:gd name="T0" fmla="*/ 0 w 253"/>
            <a:gd name="T1" fmla="*/ 2147483647 h 1620"/>
            <a:gd name="T2" fmla="*/ 0 w 253"/>
            <a:gd name="T3" fmla="*/ 2147483647 h 1620"/>
            <a:gd name="T4" fmla="*/ 0 w 253"/>
            <a:gd name="T5" fmla="*/ 2147483647 h 1620"/>
            <a:gd name="T6" fmla="*/ 2147483647 w 253"/>
            <a:gd name="T7" fmla="*/ 0 h 1620"/>
            <a:gd name="T8" fmla="*/ 2147483647 w 253"/>
            <a:gd name="T9" fmla="*/ 0 h 1620"/>
            <a:gd name="T10" fmla="*/ 0 w 253"/>
            <a:gd name="T11" fmla="*/ 0 h 1620"/>
            <a:gd name="T12" fmla="*/ 0 w 253"/>
            <a:gd name="T13" fmla="*/ 2147483647 h 1620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53"/>
            <a:gd name="T22" fmla="*/ 0 h 1620"/>
            <a:gd name="T23" fmla="*/ 253 w 253"/>
            <a:gd name="T24" fmla="*/ 1620 h 1620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53" h="1620">
              <a:moveTo>
                <a:pt x="0" y="1609"/>
              </a:moveTo>
              <a:lnTo>
                <a:pt x="51" y="1614"/>
              </a:lnTo>
              <a:lnTo>
                <a:pt x="102" y="1620"/>
              </a:lnTo>
              <a:lnTo>
                <a:pt x="253" y="10"/>
              </a:lnTo>
              <a:lnTo>
                <a:pt x="201" y="5"/>
              </a:lnTo>
              <a:lnTo>
                <a:pt x="150" y="0"/>
              </a:lnTo>
              <a:lnTo>
                <a:pt x="0" y="1609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28575</xdr:colOff>
      <xdr:row>33</xdr:row>
      <xdr:rowOff>104775</xdr:rowOff>
    </xdr:from>
    <xdr:to>
      <xdr:col>16</xdr:col>
      <xdr:colOff>66675</xdr:colOff>
      <xdr:row>33</xdr:row>
      <xdr:rowOff>142875</xdr:rowOff>
    </xdr:to>
    <xdr:sp macro="" textlink="">
      <xdr:nvSpPr>
        <xdr:cNvPr id="12985" name="Freeform 31">
          <a:extLst>
            <a:ext uri="{FF2B5EF4-FFF2-40B4-BE49-F238E27FC236}">
              <a16:creationId xmlns:a16="http://schemas.microsoft.com/office/drawing/2014/main" id="{00000000-0008-0000-0A00-0000B9320000}"/>
            </a:ext>
          </a:extLst>
        </xdr:cNvPr>
        <xdr:cNvSpPr>
          <a:spLocks noChangeAspect="1"/>
        </xdr:cNvSpPr>
      </xdr:nvSpPr>
      <xdr:spPr bwMode="auto">
        <a:xfrm>
          <a:off x="8734425" y="5915025"/>
          <a:ext cx="38100" cy="38100"/>
        </a:xfrm>
        <a:custGeom>
          <a:avLst/>
          <a:gdLst>
            <a:gd name="T0" fmla="*/ 0 w 103"/>
            <a:gd name="T1" fmla="*/ 0 h 57"/>
            <a:gd name="T2" fmla="*/ 0 w 103"/>
            <a:gd name="T3" fmla="*/ 0 h 57"/>
            <a:gd name="T4" fmla="*/ 0 w 103"/>
            <a:gd name="T5" fmla="*/ 0 h 57"/>
            <a:gd name="T6" fmla="*/ 0 w 103"/>
            <a:gd name="T7" fmla="*/ 0 h 57"/>
            <a:gd name="T8" fmla="*/ 0 w 103"/>
            <a:gd name="T9" fmla="*/ 0 h 57"/>
            <a:gd name="T10" fmla="*/ 0 w 103"/>
            <a:gd name="T11" fmla="*/ 0 h 57"/>
            <a:gd name="T12" fmla="*/ 0 w 103"/>
            <a:gd name="T13" fmla="*/ 0 h 57"/>
            <a:gd name="T14" fmla="*/ 0 w 103"/>
            <a:gd name="T15" fmla="*/ 0 h 57"/>
            <a:gd name="T16" fmla="*/ 0 w 103"/>
            <a:gd name="T17" fmla="*/ 0 h 57"/>
            <a:gd name="T18" fmla="*/ 0 w 103"/>
            <a:gd name="T19" fmla="*/ 0 h 57"/>
            <a:gd name="T20" fmla="*/ 0 w 103"/>
            <a:gd name="T21" fmla="*/ 0 h 57"/>
            <a:gd name="T22" fmla="*/ 0 w 103"/>
            <a:gd name="T23" fmla="*/ 0 h 57"/>
            <a:gd name="T24" fmla="*/ 0 w 103"/>
            <a:gd name="T25" fmla="*/ 0 h 57"/>
            <a:gd name="T26" fmla="*/ 0 w 103"/>
            <a:gd name="T27" fmla="*/ 0 h 57"/>
            <a:gd name="T28" fmla="*/ 0 w 103"/>
            <a:gd name="T29" fmla="*/ 0 h 57"/>
            <a:gd name="T30" fmla="*/ 0 w 103"/>
            <a:gd name="T31" fmla="*/ 0 h 57"/>
            <a:gd name="T32" fmla="*/ 0 w 103"/>
            <a:gd name="T33" fmla="*/ 0 h 57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3"/>
            <a:gd name="T52" fmla="*/ 0 h 57"/>
            <a:gd name="T53" fmla="*/ 103 w 103"/>
            <a:gd name="T54" fmla="*/ 57 h 57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3" h="57">
              <a:moveTo>
                <a:pt x="51" y="52"/>
              </a:moveTo>
              <a:lnTo>
                <a:pt x="0" y="47"/>
              </a:lnTo>
              <a:lnTo>
                <a:pt x="2" y="36"/>
              </a:lnTo>
              <a:lnTo>
                <a:pt x="7" y="25"/>
              </a:lnTo>
              <a:lnTo>
                <a:pt x="13" y="16"/>
              </a:lnTo>
              <a:lnTo>
                <a:pt x="23" y="9"/>
              </a:lnTo>
              <a:lnTo>
                <a:pt x="33" y="4"/>
              </a:lnTo>
              <a:lnTo>
                <a:pt x="45" y="0"/>
              </a:lnTo>
              <a:lnTo>
                <a:pt x="56" y="0"/>
              </a:lnTo>
              <a:lnTo>
                <a:pt x="67" y="2"/>
              </a:lnTo>
              <a:lnTo>
                <a:pt x="78" y="8"/>
              </a:lnTo>
              <a:lnTo>
                <a:pt x="87" y="14"/>
              </a:lnTo>
              <a:lnTo>
                <a:pt x="94" y="23"/>
              </a:lnTo>
              <a:lnTo>
                <a:pt x="99" y="34"/>
              </a:lnTo>
              <a:lnTo>
                <a:pt x="103" y="46"/>
              </a:lnTo>
              <a:lnTo>
                <a:pt x="103" y="57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28575</xdr:colOff>
      <xdr:row>33</xdr:row>
      <xdr:rowOff>104775</xdr:rowOff>
    </xdr:from>
    <xdr:to>
      <xdr:col>16</xdr:col>
      <xdr:colOff>66675</xdr:colOff>
      <xdr:row>33</xdr:row>
      <xdr:rowOff>142875</xdr:rowOff>
    </xdr:to>
    <xdr:sp macro="" textlink="">
      <xdr:nvSpPr>
        <xdr:cNvPr id="12986" name="Freeform 32">
          <a:extLst>
            <a:ext uri="{FF2B5EF4-FFF2-40B4-BE49-F238E27FC236}">
              <a16:creationId xmlns:a16="http://schemas.microsoft.com/office/drawing/2014/main" id="{00000000-0008-0000-0A00-0000BA320000}"/>
            </a:ext>
          </a:extLst>
        </xdr:cNvPr>
        <xdr:cNvSpPr>
          <a:spLocks noChangeAspect="1"/>
        </xdr:cNvSpPr>
      </xdr:nvSpPr>
      <xdr:spPr bwMode="auto">
        <a:xfrm>
          <a:off x="8734425" y="5915025"/>
          <a:ext cx="38100" cy="38100"/>
        </a:xfrm>
        <a:custGeom>
          <a:avLst/>
          <a:gdLst>
            <a:gd name="T0" fmla="*/ 0 w 103"/>
            <a:gd name="T1" fmla="*/ 0 h 57"/>
            <a:gd name="T2" fmla="*/ 0 w 103"/>
            <a:gd name="T3" fmla="*/ 0 h 57"/>
            <a:gd name="T4" fmla="*/ 0 w 103"/>
            <a:gd name="T5" fmla="*/ 0 h 57"/>
            <a:gd name="T6" fmla="*/ 0 w 103"/>
            <a:gd name="T7" fmla="*/ 0 h 57"/>
            <a:gd name="T8" fmla="*/ 0 w 103"/>
            <a:gd name="T9" fmla="*/ 0 h 57"/>
            <a:gd name="T10" fmla="*/ 0 w 103"/>
            <a:gd name="T11" fmla="*/ 0 h 57"/>
            <a:gd name="T12" fmla="*/ 0 w 103"/>
            <a:gd name="T13" fmla="*/ 0 h 57"/>
            <a:gd name="T14" fmla="*/ 0 w 103"/>
            <a:gd name="T15" fmla="*/ 0 h 57"/>
            <a:gd name="T16" fmla="*/ 0 w 103"/>
            <a:gd name="T17" fmla="*/ 0 h 57"/>
            <a:gd name="T18" fmla="*/ 0 w 103"/>
            <a:gd name="T19" fmla="*/ 0 h 57"/>
            <a:gd name="T20" fmla="*/ 0 w 103"/>
            <a:gd name="T21" fmla="*/ 0 h 57"/>
            <a:gd name="T22" fmla="*/ 0 w 103"/>
            <a:gd name="T23" fmla="*/ 0 h 57"/>
            <a:gd name="T24" fmla="*/ 0 w 103"/>
            <a:gd name="T25" fmla="*/ 0 h 57"/>
            <a:gd name="T26" fmla="*/ 0 w 103"/>
            <a:gd name="T27" fmla="*/ 0 h 57"/>
            <a:gd name="T28" fmla="*/ 0 w 103"/>
            <a:gd name="T29" fmla="*/ 0 h 5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3"/>
            <a:gd name="T46" fmla="*/ 0 h 57"/>
            <a:gd name="T47" fmla="*/ 103 w 103"/>
            <a:gd name="T48" fmla="*/ 57 h 5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3" h="57">
              <a:moveTo>
                <a:pt x="0" y="47"/>
              </a:moveTo>
              <a:lnTo>
                <a:pt x="2" y="36"/>
              </a:lnTo>
              <a:lnTo>
                <a:pt x="7" y="25"/>
              </a:lnTo>
              <a:lnTo>
                <a:pt x="13" y="16"/>
              </a:lnTo>
              <a:lnTo>
                <a:pt x="23" y="9"/>
              </a:lnTo>
              <a:lnTo>
                <a:pt x="33" y="4"/>
              </a:lnTo>
              <a:lnTo>
                <a:pt x="45" y="0"/>
              </a:lnTo>
              <a:lnTo>
                <a:pt x="56" y="0"/>
              </a:lnTo>
              <a:lnTo>
                <a:pt x="67" y="2"/>
              </a:lnTo>
              <a:lnTo>
                <a:pt x="78" y="8"/>
              </a:lnTo>
              <a:lnTo>
                <a:pt x="87" y="14"/>
              </a:lnTo>
              <a:lnTo>
                <a:pt x="94" y="23"/>
              </a:lnTo>
              <a:lnTo>
                <a:pt x="99" y="34"/>
              </a:lnTo>
              <a:lnTo>
                <a:pt x="103" y="46"/>
              </a:lnTo>
              <a:lnTo>
                <a:pt x="103" y="57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28575</xdr:colOff>
      <xdr:row>33</xdr:row>
      <xdr:rowOff>142875</xdr:rowOff>
    </xdr:from>
    <xdr:to>
      <xdr:col>16</xdr:col>
      <xdr:colOff>66675</xdr:colOff>
      <xdr:row>34</xdr:row>
      <xdr:rowOff>9525</xdr:rowOff>
    </xdr:to>
    <xdr:sp macro="" textlink="">
      <xdr:nvSpPr>
        <xdr:cNvPr id="12987" name="Freeform 33">
          <a:extLst>
            <a:ext uri="{FF2B5EF4-FFF2-40B4-BE49-F238E27FC236}">
              <a16:creationId xmlns:a16="http://schemas.microsoft.com/office/drawing/2014/main" id="{00000000-0008-0000-0A00-0000BB320000}"/>
            </a:ext>
          </a:extLst>
        </xdr:cNvPr>
        <xdr:cNvSpPr>
          <a:spLocks noChangeAspect="1"/>
        </xdr:cNvSpPr>
      </xdr:nvSpPr>
      <xdr:spPr bwMode="auto">
        <a:xfrm>
          <a:off x="8734425" y="5953125"/>
          <a:ext cx="38100" cy="28575"/>
        </a:xfrm>
        <a:custGeom>
          <a:avLst/>
          <a:gdLst>
            <a:gd name="T0" fmla="*/ 0 w 102"/>
            <a:gd name="T1" fmla="*/ 0 h 65"/>
            <a:gd name="T2" fmla="*/ 0 w 102"/>
            <a:gd name="T3" fmla="*/ 0 h 65"/>
            <a:gd name="T4" fmla="*/ 0 w 102"/>
            <a:gd name="T5" fmla="*/ 0 h 65"/>
            <a:gd name="T6" fmla="*/ 0 w 102"/>
            <a:gd name="T7" fmla="*/ 0 h 65"/>
            <a:gd name="T8" fmla="*/ 0 w 102"/>
            <a:gd name="T9" fmla="*/ 0 h 65"/>
            <a:gd name="T10" fmla="*/ 0 w 102"/>
            <a:gd name="T11" fmla="*/ 0 h 65"/>
            <a:gd name="T12" fmla="*/ 0 w 102"/>
            <a:gd name="T13" fmla="*/ 0 h 65"/>
            <a:gd name="T14" fmla="*/ 0 w 102"/>
            <a:gd name="T15" fmla="*/ 0 h 65"/>
            <a:gd name="T16" fmla="*/ 0 w 102"/>
            <a:gd name="T17" fmla="*/ 0 h 65"/>
            <a:gd name="T18" fmla="*/ 0 w 102"/>
            <a:gd name="T19" fmla="*/ 0 h 65"/>
            <a:gd name="T20" fmla="*/ 0 w 102"/>
            <a:gd name="T21" fmla="*/ 0 h 65"/>
            <a:gd name="T22" fmla="*/ 0 w 102"/>
            <a:gd name="T23" fmla="*/ 0 h 65"/>
            <a:gd name="T24" fmla="*/ 0 w 102"/>
            <a:gd name="T25" fmla="*/ 0 h 65"/>
            <a:gd name="T26" fmla="*/ 0 w 102"/>
            <a:gd name="T27" fmla="*/ 0 h 65"/>
            <a:gd name="T28" fmla="*/ 0 w 102"/>
            <a:gd name="T29" fmla="*/ 0 h 65"/>
            <a:gd name="T30" fmla="*/ 0 w 102"/>
            <a:gd name="T31" fmla="*/ 0 h 65"/>
            <a:gd name="T32" fmla="*/ 0 w 102"/>
            <a:gd name="T33" fmla="*/ 0 h 65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2"/>
            <a:gd name="T52" fmla="*/ 0 h 65"/>
            <a:gd name="T53" fmla="*/ 102 w 102"/>
            <a:gd name="T54" fmla="*/ 65 h 65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2" h="65">
              <a:moveTo>
                <a:pt x="51" y="14"/>
              </a:moveTo>
              <a:lnTo>
                <a:pt x="102" y="27"/>
              </a:lnTo>
              <a:lnTo>
                <a:pt x="97" y="39"/>
              </a:lnTo>
              <a:lnTo>
                <a:pt x="90" y="48"/>
              </a:lnTo>
              <a:lnTo>
                <a:pt x="82" y="56"/>
              </a:lnTo>
              <a:lnTo>
                <a:pt x="71" y="62"/>
              </a:lnTo>
              <a:lnTo>
                <a:pt x="61" y="65"/>
              </a:lnTo>
              <a:lnTo>
                <a:pt x="49" y="65"/>
              </a:lnTo>
              <a:lnTo>
                <a:pt x="37" y="64"/>
              </a:lnTo>
              <a:lnTo>
                <a:pt x="26" y="60"/>
              </a:lnTo>
              <a:lnTo>
                <a:pt x="16" y="53"/>
              </a:lnTo>
              <a:lnTo>
                <a:pt x="9" y="44"/>
              </a:lnTo>
              <a:lnTo>
                <a:pt x="3" y="34"/>
              </a:lnTo>
              <a:lnTo>
                <a:pt x="0" y="23"/>
              </a:lnTo>
              <a:lnTo>
                <a:pt x="0" y="12"/>
              </a:lnTo>
              <a:lnTo>
                <a:pt x="1" y="0"/>
              </a:lnTo>
              <a:lnTo>
                <a:pt x="51" y="1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28575</xdr:colOff>
      <xdr:row>33</xdr:row>
      <xdr:rowOff>142875</xdr:rowOff>
    </xdr:from>
    <xdr:to>
      <xdr:col>16</xdr:col>
      <xdr:colOff>66675</xdr:colOff>
      <xdr:row>34</xdr:row>
      <xdr:rowOff>9525</xdr:rowOff>
    </xdr:to>
    <xdr:sp macro="" textlink="">
      <xdr:nvSpPr>
        <xdr:cNvPr id="12988" name="Freeform 34">
          <a:extLst>
            <a:ext uri="{FF2B5EF4-FFF2-40B4-BE49-F238E27FC236}">
              <a16:creationId xmlns:a16="http://schemas.microsoft.com/office/drawing/2014/main" id="{00000000-0008-0000-0A00-0000BC320000}"/>
            </a:ext>
          </a:extLst>
        </xdr:cNvPr>
        <xdr:cNvSpPr>
          <a:spLocks noChangeAspect="1"/>
        </xdr:cNvSpPr>
      </xdr:nvSpPr>
      <xdr:spPr bwMode="auto">
        <a:xfrm>
          <a:off x="8734425" y="5953125"/>
          <a:ext cx="38100" cy="28575"/>
        </a:xfrm>
        <a:custGeom>
          <a:avLst/>
          <a:gdLst>
            <a:gd name="T0" fmla="*/ 0 w 102"/>
            <a:gd name="T1" fmla="*/ 0 h 65"/>
            <a:gd name="T2" fmla="*/ 0 w 102"/>
            <a:gd name="T3" fmla="*/ 0 h 65"/>
            <a:gd name="T4" fmla="*/ 0 w 102"/>
            <a:gd name="T5" fmla="*/ 0 h 65"/>
            <a:gd name="T6" fmla="*/ 0 w 102"/>
            <a:gd name="T7" fmla="*/ 0 h 65"/>
            <a:gd name="T8" fmla="*/ 0 w 102"/>
            <a:gd name="T9" fmla="*/ 0 h 65"/>
            <a:gd name="T10" fmla="*/ 0 w 102"/>
            <a:gd name="T11" fmla="*/ 0 h 65"/>
            <a:gd name="T12" fmla="*/ 0 w 102"/>
            <a:gd name="T13" fmla="*/ 0 h 65"/>
            <a:gd name="T14" fmla="*/ 0 w 102"/>
            <a:gd name="T15" fmla="*/ 0 h 65"/>
            <a:gd name="T16" fmla="*/ 0 w 102"/>
            <a:gd name="T17" fmla="*/ 0 h 65"/>
            <a:gd name="T18" fmla="*/ 0 w 102"/>
            <a:gd name="T19" fmla="*/ 0 h 65"/>
            <a:gd name="T20" fmla="*/ 0 w 102"/>
            <a:gd name="T21" fmla="*/ 0 h 65"/>
            <a:gd name="T22" fmla="*/ 0 w 102"/>
            <a:gd name="T23" fmla="*/ 0 h 65"/>
            <a:gd name="T24" fmla="*/ 0 w 102"/>
            <a:gd name="T25" fmla="*/ 0 h 65"/>
            <a:gd name="T26" fmla="*/ 0 w 102"/>
            <a:gd name="T27" fmla="*/ 0 h 65"/>
            <a:gd name="T28" fmla="*/ 0 w 102"/>
            <a:gd name="T29" fmla="*/ 0 h 65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2"/>
            <a:gd name="T46" fmla="*/ 0 h 65"/>
            <a:gd name="T47" fmla="*/ 102 w 102"/>
            <a:gd name="T48" fmla="*/ 65 h 65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2" h="65">
              <a:moveTo>
                <a:pt x="102" y="27"/>
              </a:moveTo>
              <a:lnTo>
                <a:pt x="97" y="39"/>
              </a:lnTo>
              <a:lnTo>
                <a:pt x="90" y="48"/>
              </a:lnTo>
              <a:lnTo>
                <a:pt x="82" y="56"/>
              </a:lnTo>
              <a:lnTo>
                <a:pt x="71" y="62"/>
              </a:lnTo>
              <a:lnTo>
                <a:pt x="61" y="65"/>
              </a:lnTo>
              <a:lnTo>
                <a:pt x="49" y="65"/>
              </a:lnTo>
              <a:lnTo>
                <a:pt x="37" y="64"/>
              </a:lnTo>
              <a:lnTo>
                <a:pt x="26" y="60"/>
              </a:lnTo>
              <a:lnTo>
                <a:pt x="16" y="53"/>
              </a:lnTo>
              <a:lnTo>
                <a:pt x="9" y="44"/>
              </a:lnTo>
              <a:lnTo>
                <a:pt x="3" y="34"/>
              </a:lnTo>
              <a:lnTo>
                <a:pt x="0" y="23"/>
              </a:lnTo>
              <a:lnTo>
                <a:pt x="0" y="12"/>
              </a:lnTo>
              <a:lnTo>
                <a:pt x="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28575</xdr:colOff>
      <xdr:row>30</xdr:row>
      <xdr:rowOff>85725</xdr:rowOff>
    </xdr:from>
    <xdr:to>
      <xdr:col>16</xdr:col>
      <xdr:colOff>209550</xdr:colOff>
      <xdr:row>33</xdr:row>
      <xdr:rowOff>142875</xdr:rowOff>
    </xdr:to>
    <xdr:sp macro="" textlink="">
      <xdr:nvSpPr>
        <xdr:cNvPr id="12989" name="Freeform 35">
          <a:extLst>
            <a:ext uri="{FF2B5EF4-FFF2-40B4-BE49-F238E27FC236}">
              <a16:creationId xmlns:a16="http://schemas.microsoft.com/office/drawing/2014/main" id="{00000000-0008-0000-0A00-0000BD320000}"/>
            </a:ext>
          </a:extLst>
        </xdr:cNvPr>
        <xdr:cNvSpPr>
          <a:spLocks noChangeAspect="1"/>
        </xdr:cNvSpPr>
      </xdr:nvSpPr>
      <xdr:spPr bwMode="auto">
        <a:xfrm>
          <a:off x="8734425" y="5410200"/>
          <a:ext cx="180975" cy="542925"/>
        </a:xfrm>
        <a:custGeom>
          <a:avLst/>
          <a:gdLst>
            <a:gd name="T0" fmla="*/ 0 w 454"/>
            <a:gd name="T1" fmla="*/ 2147483647 h 1291"/>
            <a:gd name="T2" fmla="*/ 0 w 454"/>
            <a:gd name="T3" fmla="*/ 2147483647 h 1291"/>
            <a:gd name="T4" fmla="*/ 0 w 454"/>
            <a:gd name="T5" fmla="*/ 2147483647 h 1291"/>
            <a:gd name="T6" fmla="*/ 2147483647 w 454"/>
            <a:gd name="T7" fmla="*/ 0 h 1291"/>
            <a:gd name="T8" fmla="*/ 2147483647 w 454"/>
            <a:gd name="T9" fmla="*/ 0 h 1291"/>
            <a:gd name="T10" fmla="*/ 2147483647 w 454"/>
            <a:gd name="T11" fmla="*/ 0 h 1291"/>
            <a:gd name="T12" fmla="*/ 0 w 454"/>
            <a:gd name="T13" fmla="*/ 2147483647 h 129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54"/>
            <a:gd name="T22" fmla="*/ 0 h 1291"/>
            <a:gd name="T23" fmla="*/ 454 w 454"/>
            <a:gd name="T24" fmla="*/ 1291 h 129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54" h="1291">
              <a:moveTo>
                <a:pt x="0" y="1264"/>
              </a:moveTo>
              <a:lnTo>
                <a:pt x="50" y="1278"/>
              </a:lnTo>
              <a:lnTo>
                <a:pt x="101" y="1291"/>
              </a:lnTo>
              <a:lnTo>
                <a:pt x="454" y="27"/>
              </a:lnTo>
              <a:lnTo>
                <a:pt x="404" y="14"/>
              </a:lnTo>
              <a:lnTo>
                <a:pt x="354" y="0"/>
              </a:lnTo>
              <a:lnTo>
                <a:pt x="0" y="126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28575</xdr:colOff>
      <xdr:row>30</xdr:row>
      <xdr:rowOff>85725</xdr:rowOff>
    </xdr:from>
    <xdr:to>
      <xdr:col>16</xdr:col>
      <xdr:colOff>209550</xdr:colOff>
      <xdr:row>33</xdr:row>
      <xdr:rowOff>142875</xdr:rowOff>
    </xdr:to>
    <xdr:sp macro="" textlink="">
      <xdr:nvSpPr>
        <xdr:cNvPr id="12990" name="Freeform 36">
          <a:extLst>
            <a:ext uri="{FF2B5EF4-FFF2-40B4-BE49-F238E27FC236}">
              <a16:creationId xmlns:a16="http://schemas.microsoft.com/office/drawing/2014/main" id="{00000000-0008-0000-0A00-0000BE320000}"/>
            </a:ext>
          </a:extLst>
        </xdr:cNvPr>
        <xdr:cNvSpPr>
          <a:spLocks noChangeAspect="1"/>
        </xdr:cNvSpPr>
      </xdr:nvSpPr>
      <xdr:spPr bwMode="auto">
        <a:xfrm>
          <a:off x="8734425" y="5410200"/>
          <a:ext cx="180975" cy="542925"/>
        </a:xfrm>
        <a:custGeom>
          <a:avLst/>
          <a:gdLst>
            <a:gd name="T0" fmla="*/ 0 w 454"/>
            <a:gd name="T1" fmla="*/ 2147483647 h 1291"/>
            <a:gd name="T2" fmla="*/ 0 w 454"/>
            <a:gd name="T3" fmla="*/ 2147483647 h 1291"/>
            <a:gd name="T4" fmla="*/ 0 w 454"/>
            <a:gd name="T5" fmla="*/ 2147483647 h 1291"/>
            <a:gd name="T6" fmla="*/ 2147483647 w 454"/>
            <a:gd name="T7" fmla="*/ 0 h 1291"/>
            <a:gd name="T8" fmla="*/ 2147483647 w 454"/>
            <a:gd name="T9" fmla="*/ 0 h 1291"/>
            <a:gd name="T10" fmla="*/ 2147483647 w 454"/>
            <a:gd name="T11" fmla="*/ 0 h 1291"/>
            <a:gd name="T12" fmla="*/ 0 w 454"/>
            <a:gd name="T13" fmla="*/ 2147483647 h 129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54"/>
            <a:gd name="T22" fmla="*/ 0 h 1291"/>
            <a:gd name="T23" fmla="*/ 454 w 454"/>
            <a:gd name="T24" fmla="*/ 1291 h 129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54" h="1291">
              <a:moveTo>
                <a:pt x="0" y="1264"/>
              </a:moveTo>
              <a:lnTo>
                <a:pt x="50" y="1278"/>
              </a:lnTo>
              <a:lnTo>
                <a:pt x="101" y="1291"/>
              </a:lnTo>
              <a:lnTo>
                <a:pt x="454" y="27"/>
              </a:lnTo>
              <a:lnTo>
                <a:pt x="404" y="14"/>
              </a:lnTo>
              <a:lnTo>
                <a:pt x="354" y="0"/>
              </a:lnTo>
              <a:lnTo>
                <a:pt x="0" y="126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161925</xdr:colOff>
      <xdr:row>30</xdr:row>
      <xdr:rowOff>85725</xdr:rowOff>
    </xdr:from>
    <xdr:to>
      <xdr:col>16</xdr:col>
      <xdr:colOff>190500</xdr:colOff>
      <xdr:row>30</xdr:row>
      <xdr:rowOff>114300</xdr:rowOff>
    </xdr:to>
    <xdr:sp macro="" textlink="">
      <xdr:nvSpPr>
        <xdr:cNvPr id="12991" name="Freeform 37">
          <a:extLst>
            <a:ext uri="{FF2B5EF4-FFF2-40B4-BE49-F238E27FC236}">
              <a16:creationId xmlns:a16="http://schemas.microsoft.com/office/drawing/2014/main" id="{00000000-0008-0000-0A00-0000BF320000}"/>
            </a:ext>
          </a:extLst>
        </xdr:cNvPr>
        <xdr:cNvSpPr>
          <a:spLocks noChangeAspect="1"/>
        </xdr:cNvSpPr>
      </xdr:nvSpPr>
      <xdr:spPr bwMode="auto">
        <a:xfrm>
          <a:off x="8867775" y="5410200"/>
          <a:ext cx="28575" cy="28575"/>
        </a:xfrm>
        <a:custGeom>
          <a:avLst/>
          <a:gdLst>
            <a:gd name="T0" fmla="*/ 0 w 101"/>
            <a:gd name="T1" fmla="*/ 0 h 65"/>
            <a:gd name="T2" fmla="*/ 0 w 101"/>
            <a:gd name="T3" fmla="*/ 0 h 65"/>
            <a:gd name="T4" fmla="*/ 0 w 101"/>
            <a:gd name="T5" fmla="*/ 0 h 65"/>
            <a:gd name="T6" fmla="*/ 0 w 101"/>
            <a:gd name="T7" fmla="*/ 0 h 65"/>
            <a:gd name="T8" fmla="*/ 0 w 101"/>
            <a:gd name="T9" fmla="*/ 0 h 65"/>
            <a:gd name="T10" fmla="*/ 0 w 101"/>
            <a:gd name="T11" fmla="*/ 0 h 65"/>
            <a:gd name="T12" fmla="*/ 0 w 101"/>
            <a:gd name="T13" fmla="*/ 0 h 65"/>
            <a:gd name="T14" fmla="*/ 0 w 101"/>
            <a:gd name="T15" fmla="*/ 0 h 65"/>
            <a:gd name="T16" fmla="*/ 0 w 101"/>
            <a:gd name="T17" fmla="*/ 0 h 65"/>
            <a:gd name="T18" fmla="*/ 0 w 101"/>
            <a:gd name="T19" fmla="*/ 0 h 65"/>
            <a:gd name="T20" fmla="*/ 0 w 101"/>
            <a:gd name="T21" fmla="*/ 0 h 65"/>
            <a:gd name="T22" fmla="*/ 0 w 101"/>
            <a:gd name="T23" fmla="*/ 0 h 65"/>
            <a:gd name="T24" fmla="*/ 0 w 101"/>
            <a:gd name="T25" fmla="*/ 0 h 65"/>
            <a:gd name="T26" fmla="*/ 0 w 101"/>
            <a:gd name="T27" fmla="*/ 0 h 65"/>
            <a:gd name="T28" fmla="*/ 0 w 101"/>
            <a:gd name="T29" fmla="*/ 0 h 65"/>
            <a:gd name="T30" fmla="*/ 0 w 101"/>
            <a:gd name="T31" fmla="*/ 0 h 65"/>
            <a:gd name="T32" fmla="*/ 0 w 101"/>
            <a:gd name="T33" fmla="*/ 0 h 65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1"/>
            <a:gd name="T52" fmla="*/ 0 h 65"/>
            <a:gd name="T53" fmla="*/ 101 w 101"/>
            <a:gd name="T54" fmla="*/ 65 h 65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1" h="65">
              <a:moveTo>
                <a:pt x="50" y="52"/>
              </a:moveTo>
              <a:lnTo>
                <a:pt x="0" y="38"/>
              </a:lnTo>
              <a:lnTo>
                <a:pt x="4" y="26"/>
              </a:lnTo>
              <a:lnTo>
                <a:pt x="11" y="17"/>
              </a:lnTo>
              <a:lnTo>
                <a:pt x="20" y="10"/>
              </a:lnTo>
              <a:lnTo>
                <a:pt x="30" y="3"/>
              </a:lnTo>
              <a:lnTo>
                <a:pt x="41" y="0"/>
              </a:lnTo>
              <a:lnTo>
                <a:pt x="52" y="0"/>
              </a:lnTo>
              <a:lnTo>
                <a:pt x="64" y="1"/>
              </a:lnTo>
              <a:lnTo>
                <a:pt x="75" y="5"/>
              </a:lnTo>
              <a:lnTo>
                <a:pt x="85" y="13"/>
              </a:lnTo>
              <a:lnTo>
                <a:pt x="92" y="21"/>
              </a:lnTo>
              <a:lnTo>
                <a:pt x="98" y="32"/>
              </a:lnTo>
              <a:lnTo>
                <a:pt x="101" y="42"/>
              </a:lnTo>
              <a:lnTo>
                <a:pt x="101" y="54"/>
              </a:lnTo>
              <a:lnTo>
                <a:pt x="100" y="65"/>
              </a:lnTo>
              <a:lnTo>
                <a:pt x="5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161925</xdr:colOff>
      <xdr:row>30</xdr:row>
      <xdr:rowOff>85725</xdr:rowOff>
    </xdr:from>
    <xdr:to>
      <xdr:col>16</xdr:col>
      <xdr:colOff>190500</xdr:colOff>
      <xdr:row>30</xdr:row>
      <xdr:rowOff>114300</xdr:rowOff>
    </xdr:to>
    <xdr:sp macro="" textlink="">
      <xdr:nvSpPr>
        <xdr:cNvPr id="12992" name="Freeform 38">
          <a:extLst>
            <a:ext uri="{FF2B5EF4-FFF2-40B4-BE49-F238E27FC236}">
              <a16:creationId xmlns:a16="http://schemas.microsoft.com/office/drawing/2014/main" id="{00000000-0008-0000-0A00-0000C0320000}"/>
            </a:ext>
          </a:extLst>
        </xdr:cNvPr>
        <xdr:cNvSpPr>
          <a:spLocks noChangeAspect="1"/>
        </xdr:cNvSpPr>
      </xdr:nvSpPr>
      <xdr:spPr bwMode="auto">
        <a:xfrm>
          <a:off x="8867775" y="5410200"/>
          <a:ext cx="28575" cy="28575"/>
        </a:xfrm>
        <a:custGeom>
          <a:avLst/>
          <a:gdLst>
            <a:gd name="T0" fmla="*/ 0 w 101"/>
            <a:gd name="T1" fmla="*/ 0 h 65"/>
            <a:gd name="T2" fmla="*/ 0 w 101"/>
            <a:gd name="T3" fmla="*/ 0 h 65"/>
            <a:gd name="T4" fmla="*/ 0 w 101"/>
            <a:gd name="T5" fmla="*/ 0 h 65"/>
            <a:gd name="T6" fmla="*/ 0 w 101"/>
            <a:gd name="T7" fmla="*/ 0 h 65"/>
            <a:gd name="T8" fmla="*/ 0 w 101"/>
            <a:gd name="T9" fmla="*/ 0 h 65"/>
            <a:gd name="T10" fmla="*/ 0 w 101"/>
            <a:gd name="T11" fmla="*/ 0 h 65"/>
            <a:gd name="T12" fmla="*/ 0 w 101"/>
            <a:gd name="T13" fmla="*/ 0 h 65"/>
            <a:gd name="T14" fmla="*/ 0 w 101"/>
            <a:gd name="T15" fmla="*/ 0 h 65"/>
            <a:gd name="T16" fmla="*/ 0 w 101"/>
            <a:gd name="T17" fmla="*/ 0 h 65"/>
            <a:gd name="T18" fmla="*/ 0 w 101"/>
            <a:gd name="T19" fmla="*/ 0 h 65"/>
            <a:gd name="T20" fmla="*/ 0 w 101"/>
            <a:gd name="T21" fmla="*/ 0 h 65"/>
            <a:gd name="T22" fmla="*/ 0 w 101"/>
            <a:gd name="T23" fmla="*/ 0 h 65"/>
            <a:gd name="T24" fmla="*/ 0 w 101"/>
            <a:gd name="T25" fmla="*/ 0 h 65"/>
            <a:gd name="T26" fmla="*/ 0 w 101"/>
            <a:gd name="T27" fmla="*/ 0 h 65"/>
            <a:gd name="T28" fmla="*/ 0 w 101"/>
            <a:gd name="T29" fmla="*/ 0 h 65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1"/>
            <a:gd name="T46" fmla="*/ 0 h 65"/>
            <a:gd name="T47" fmla="*/ 101 w 101"/>
            <a:gd name="T48" fmla="*/ 65 h 65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1" h="65">
              <a:moveTo>
                <a:pt x="0" y="38"/>
              </a:moveTo>
              <a:lnTo>
                <a:pt x="4" y="26"/>
              </a:lnTo>
              <a:lnTo>
                <a:pt x="11" y="17"/>
              </a:lnTo>
              <a:lnTo>
                <a:pt x="20" y="10"/>
              </a:lnTo>
              <a:lnTo>
                <a:pt x="30" y="3"/>
              </a:lnTo>
              <a:lnTo>
                <a:pt x="41" y="0"/>
              </a:lnTo>
              <a:lnTo>
                <a:pt x="52" y="0"/>
              </a:lnTo>
              <a:lnTo>
                <a:pt x="64" y="1"/>
              </a:lnTo>
              <a:lnTo>
                <a:pt x="75" y="5"/>
              </a:lnTo>
              <a:lnTo>
                <a:pt x="85" y="13"/>
              </a:lnTo>
              <a:lnTo>
                <a:pt x="92" y="21"/>
              </a:lnTo>
              <a:lnTo>
                <a:pt x="98" y="32"/>
              </a:lnTo>
              <a:lnTo>
                <a:pt x="101" y="42"/>
              </a:lnTo>
              <a:lnTo>
                <a:pt x="101" y="54"/>
              </a:lnTo>
              <a:lnTo>
                <a:pt x="100" y="65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161925</xdr:colOff>
      <xdr:row>30</xdr:row>
      <xdr:rowOff>85725</xdr:rowOff>
    </xdr:from>
    <xdr:to>
      <xdr:col>16</xdr:col>
      <xdr:colOff>190500</xdr:colOff>
      <xdr:row>30</xdr:row>
      <xdr:rowOff>133350</xdr:rowOff>
    </xdr:to>
    <xdr:sp macro="" textlink="">
      <xdr:nvSpPr>
        <xdr:cNvPr id="12993" name="Freeform 39">
          <a:extLst>
            <a:ext uri="{FF2B5EF4-FFF2-40B4-BE49-F238E27FC236}">
              <a16:creationId xmlns:a16="http://schemas.microsoft.com/office/drawing/2014/main" id="{00000000-0008-0000-0A00-0000C1320000}"/>
            </a:ext>
          </a:extLst>
        </xdr:cNvPr>
        <xdr:cNvSpPr>
          <a:spLocks noChangeAspect="1"/>
        </xdr:cNvSpPr>
      </xdr:nvSpPr>
      <xdr:spPr bwMode="auto">
        <a:xfrm>
          <a:off x="8867775" y="5410200"/>
          <a:ext cx="28575" cy="47625"/>
        </a:xfrm>
        <a:custGeom>
          <a:avLst/>
          <a:gdLst>
            <a:gd name="T0" fmla="*/ 0 w 95"/>
            <a:gd name="T1" fmla="*/ 0 h 79"/>
            <a:gd name="T2" fmla="*/ 0 w 95"/>
            <a:gd name="T3" fmla="*/ 0 h 79"/>
            <a:gd name="T4" fmla="*/ 0 w 95"/>
            <a:gd name="T5" fmla="*/ 0 h 79"/>
            <a:gd name="T6" fmla="*/ 0 w 95"/>
            <a:gd name="T7" fmla="*/ 0 h 79"/>
            <a:gd name="T8" fmla="*/ 0 w 95"/>
            <a:gd name="T9" fmla="*/ 0 h 79"/>
            <a:gd name="T10" fmla="*/ 0 w 95"/>
            <a:gd name="T11" fmla="*/ 0 h 79"/>
            <a:gd name="T12" fmla="*/ 0 w 95"/>
            <a:gd name="T13" fmla="*/ 0 h 79"/>
            <a:gd name="T14" fmla="*/ 0 w 95"/>
            <a:gd name="T15" fmla="*/ 0 h 79"/>
            <a:gd name="T16" fmla="*/ 0 w 95"/>
            <a:gd name="T17" fmla="*/ 0 h 79"/>
            <a:gd name="T18" fmla="*/ 0 w 95"/>
            <a:gd name="T19" fmla="*/ 0 h 79"/>
            <a:gd name="T20" fmla="*/ 0 w 95"/>
            <a:gd name="T21" fmla="*/ 0 h 79"/>
            <a:gd name="T22" fmla="*/ 0 w 95"/>
            <a:gd name="T23" fmla="*/ 0 h 79"/>
            <a:gd name="T24" fmla="*/ 0 w 95"/>
            <a:gd name="T25" fmla="*/ 0 h 79"/>
            <a:gd name="T26" fmla="*/ 0 w 95"/>
            <a:gd name="T27" fmla="*/ 0 h 79"/>
            <a:gd name="T28" fmla="*/ 0 w 95"/>
            <a:gd name="T29" fmla="*/ 0 h 79"/>
            <a:gd name="T30" fmla="*/ 0 w 95"/>
            <a:gd name="T31" fmla="*/ 0 h 79"/>
            <a:gd name="T32" fmla="*/ 0 w 95"/>
            <a:gd name="T33" fmla="*/ 0 h 79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95"/>
            <a:gd name="T52" fmla="*/ 0 h 79"/>
            <a:gd name="T53" fmla="*/ 95 w 95"/>
            <a:gd name="T54" fmla="*/ 79 h 79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95" h="79">
              <a:moveTo>
                <a:pt x="51" y="28"/>
              </a:moveTo>
              <a:lnTo>
                <a:pt x="95" y="55"/>
              </a:lnTo>
              <a:lnTo>
                <a:pt x="88" y="64"/>
              </a:lnTo>
              <a:lnTo>
                <a:pt x="79" y="72"/>
              </a:lnTo>
              <a:lnTo>
                <a:pt x="69" y="77"/>
              </a:lnTo>
              <a:lnTo>
                <a:pt x="57" y="79"/>
              </a:lnTo>
              <a:lnTo>
                <a:pt x="46" y="79"/>
              </a:lnTo>
              <a:lnTo>
                <a:pt x="34" y="77"/>
              </a:lnTo>
              <a:lnTo>
                <a:pt x="24" y="72"/>
              </a:lnTo>
              <a:lnTo>
                <a:pt x="14" y="64"/>
              </a:lnTo>
              <a:lnTo>
                <a:pt x="7" y="56"/>
              </a:lnTo>
              <a:lnTo>
                <a:pt x="2" y="45"/>
              </a:lnTo>
              <a:lnTo>
                <a:pt x="0" y="34"/>
              </a:lnTo>
              <a:lnTo>
                <a:pt x="0" y="22"/>
              </a:lnTo>
              <a:lnTo>
                <a:pt x="2" y="11"/>
              </a:lnTo>
              <a:lnTo>
                <a:pt x="7" y="0"/>
              </a:lnTo>
              <a:lnTo>
                <a:pt x="51" y="28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161925</xdr:colOff>
      <xdr:row>30</xdr:row>
      <xdr:rowOff>85725</xdr:rowOff>
    </xdr:from>
    <xdr:to>
      <xdr:col>16</xdr:col>
      <xdr:colOff>190500</xdr:colOff>
      <xdr:row>30</xdr:row>
      <xdr:rowOff>133350</xdr:rowOff>
    </xdr:to>
    <xdr:sp macro="" textlink="">
      <xdr:nvSpPr>
        <xdr:cNvPr id="12994" name="Freeform 40">
          <a:extLst>
            <a:ext uri="{FF2B5EF4-FFF2-40B4-BE49-F238E27FC236}">
              <a16:creationId xmlns:a16="http://schemas.microsoft.com/office/drawing/2014/main" id="{00000000-0008-0000-0A00-0000C2320000}"/>
            </a:ext>
          </a:extLst>
        </xdr:cNvPr>
        <xdr:cNvSpPr>
          <a:spLocks noChangeAspect="1"/>
        </xdr:cNvSpPr>
      </xdr:nvSpPr>
      <xdr:spPr bwMode="auto">
        <a:xfrm>
          <a:off x="8867775" y="5410200"/>
          <a:ext cx="28575" cy="47625"/>
        </a:xfrm>
        <a:custGeom>
          <a:avLst/>
          <a:gdLst>
            <a:gd name="T0" fmla="*/ 0 w 95"/>
            <a:gd name="T1" fmla="*/ 0 h 79"/>
            <a:gd name="T2" fmla="*/ 0 w 95"/>
            <a:gd name="T3" fmla="*/ 0 h 79"/>
            <a:gd name="T4" fmla="*/ 0 w 95"/>
            <a:gd name="T5" fmla="*/ 0 h 79"/>
            <a:gd name="T6" fmla="*/ 0 w 95"/>
            <a:gd name="T7" fmla="*/ 0 h 79"/>
            <a:gd name="T8" fmla="*/ 0 w 95"/>
            <a:gd name="T9" fmla="*/ 0 h 79"/>
            <a:gd name="T10" fmla="*/ 0 w 95"/>
            <a:gd name="T11" fmla="*/ 0 h 79"/>
            <a:gd name="T12" fmla="*/ 0 w 95"/>
            <a:gd name="T13" fmla="*/ 0 h 79"/>
            <a:gd name="T14" fmla="*/ 0 w 95"/>
            <a:gd name="T15" fmla="*/ 0 h 79"/>
            <a:gd name="T16" fmla="*/ 0 w 95"/>
            <a:gd name="T17" fmla="*/ 0 h 79"/>
            <a:gd name="T18" fmla="*/ 0 w 95"/>
            <a:gd name="T19" fmla="*/ 0 h 79"/>
            <a:gd name="T20" fmla="*/ 0 w 95"/>
            <a:gd name="T21" fmla="*/ 0 h 79"/>
            <a:gd name="T22" fmla="*/ 0 w 95"/>
            <a:gd name="T23" fmla="*/ 0 h 79"/>
            <a:gd name="T24" fmla="*/ 0 w 95"/>
            <a:gd name="T25" fmla="*/ 0 h 79"/>
            <a:gd name="T26" fmla="*/ 0 w 95"/>
            <a:gd name="T27" fmla="*/ 0 h 79"/>
            <a:gd name="T28" fmla="*/ 0 w 95"/>
            <a:gd name="T29" fmla="*/ 0 h 79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95"/>
            <a:gd name="T46" fmla="*/ 0 h 79"/>
            <a:gd name="T47" fmla="*/ 95 w 95"/>
            <a:gd name="T48" fmla="*/ 79 h 79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95" h="79">
              <a:moveTo>
                <a:pt x="95" y="55"/>
              </a:moveTo>
              <a:lnTo>
                <a:pt x="88" y="64"/>
              </a:lnTo>
              <a:lnTo>
                <a:pt x="79" y="72"/>
              </a:lnTo>
              <a:lnTo>
                <a:pt x="69" y="77"/>
              </a:lnTo>
              <a:lnTo>
                <a:pt x="57" y="79"/>
              </a:lnTo>
              <a:lnTo>
                <a:pt x="46" y="79"/>
              </a:lnTo>
              <a:lnTo>
                <a:pt x="34" y="77"/>
              </a:lnTo>
              <a:lnTo>
                <a:pt x="24" y="72"/>
              </a:lnTo>
              <a:lnTo>
                <a:pt x="14" y="64"/>
              </a:lnTo>
              <a:lnTo>
                <a:pt x="7" y="56"/>
              </a:lnTo>
              <a:lnTo>
                <a:pt x="2" y="45"/>
              </a:lnTo>
              <a:lnTo>
                <a:pt x="0" y="34"/>
              </a:lnTo>
              <a:lnTo>
                <a:pt x="0" y="22"/>
              </a:lnTo>
              <a:lnTo>
                <a:pt x="2" y="11"/>
              </a:lnTo>
              <a:lnTo>
                <a:pt x="7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161925</xdr:colOff>
      <xdr:row>27</xdr:row>
      <xdr:rowOff>104775</xdr:rowOff>
    </xdr:from>
    <xdr:to>
      <xdr:col>17</xdr:col>
      <xdr:colOff>161925</xdr:colOff>
      <xdr:row>30</xdr:row>
      <xdr:rowOff>114300</xdr:rowOff>
    </xdr:to>
    <xdr:sp macro="" textlink="">
      <xdr:nvSpPr>
        <xdr:cNvPr id="12995" name="Freeform 41">
          <a:extLst>
            <a:ext uri="{FF2B5EF4-FFF2-40B4-BE49-F238E27FC236}">
              <a16:creationId xmlns:a16="http://schemas.microsoft.com/office/drawing/2014/main" id="{00000000-0008-0000-0A00-0000C3320000}"/>
            </a:ext>
          </a:extLst>
        </xdr:cNvPr>
        <xdr:cNvSpPr>
          <a:spLocks noChangeAspect="1"/>
        </xdr:cNvSpPr>
      </xdr:nvSpPr>
      <xdr:spPr bwMode="auto">
        <a:xfrm>
          <a:off x="8867775" y="4943475"/>
          <a:ext cx="419100" cy="495300"/>
        </a:xfrm>
        <a:custGeom>
          <a:avLst/>
          <a:gdLst>
            <a:gd name="T0" fmla="*/ 0 w 825"/>
            <a:gd name="T1" fmla="*/ 2147483647 h 1245"/>
            <a:gd name="T2" fmla="*/ 0 w 825"/>
            <a:gd name="T3" fmla="*/ 2147483647 h 1245"/>
            <a:gd name="T4" fmla="*/ 0 w 825"/>
            <a:gd name="T5" fmla="*/ 2147483647 h 1245"/>
            <a:gd name="T6" fmla="*/ 2147483647 w 825"/>
            <a:gd name="T7" fmla="*/ 0 h 1245"/>
            <a:gd name="T8" fmla="*/ 2147483647 w 825"/>
            <a:gd name="T9" fmla="*/ 0 h 1245"/>
            <a:gd name="T10" fmla="*/ 2147483647 w 825"/>
            <a:gd name="T11" fmla="*/ 0 h 1245"/>
            <a:gd name="T12" fmla="*/ 0 w 825"/>
            <a:gd name="T13" fmla="*/ 2147483647 h 124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25"/>
            <a:gd name="T22" fmla="*/ 0 h 1245"/>
            <a:gd name="T23" fmla="*/ 825 w 825"/>
            <a:gd name="T24" fmla="*/ 1245 h 124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25" h="1245">
              <a:moveTo>
                <a:pt x="0" y="1190"/>
              </a:moveTo>
              <a:lnTo>
                <a:pt x="44" y="1218"/>
              </a:lnTo>
              <a:lnTo>
                <a:pt x="88" y="1245"/>
              </a:lnTo>
              <a:lnTo>
                <a:pt x="825" y="54"/>
              </a:lnTo>
              <a:lnTo>
                <a:pt x="781" y="27"/>
              </a:lnTo>
              <a:lnTo>
                <a:pt x="737" y="0"/>
              </a:lnTo>
              <a:lnTo>
                <a:pt x="0" y="119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200025</xdr:colOff>
      <xdr:row>27</xdr:row>
      <xdr:rowOff>85725</xdr:rowOff>
    </xdr:from>
    <xdr:to>
      <xdr:col>17</xdr:col>
      <xdr:colOff>200025</xdr:colOff>
      <xdr:row>30</xdr:row>
      <xdr:rowOff>114300</xdr:rowOff>
    </xdr:to>
    <xdr:sp macro="" textlink="">
      <xdr:nvSpPr>
        <xdr:cNvPr id="12996" name="Freeform 42">
          <a:extLst>
            <a:ext uri="{FF2B5EF4-FFF2-40B4-BE49-F238E27FC236}">
              <a16:creationId xmlns:a16="http://schemas.microsoft.com/office/drawing/2014/main" id="{00000000-0008-0000-0A00-0000C4320000}"/>
            </a:ext>
          </a:extLst>
        </xdr:cNvPr>
        <xdr:cNvSpPr>
          <a:spLocks noChangeAspect="1"/>
        </xdr:cNvSpPr>
      </xdr:nvSpPr>
      <xdr:spPr bwMode="auto">
        <a:xfrm>
          <a:off x="8905875" y="4924425"/>
          <a:ext cx="419100" cy="514350"/>
        </a:xfrm>
        <a:custGeom>
          <a:avLst/>
          <a:gdLst>
            <a:gd name="T0" fmla="*/ 0 w 825"/>
            <a:gd name="T1" fmla="*/ 2147483647 h 1245"/>
            <a:gd name="T2" fmla="*/ 0 w 825"/>
            <a:gd name="T3" fmla="*/ 2147483647 h 1245"/>
            <a:gd name="T4" fmla="*/ 0 w 825"/>
            <a:gd name="T5" fmla="*/ 2147483647 h 1245"/>
            <a:gd name="T6" fmla="*/ 2147483647 w 825"/>
            <a:gd name="T7" fmla="*/ 0 h 1245"/>
            <a:gd name="T8" fmla="*/ 2147483647 w 825"/>
            <a:gd name="T9" fmla="*/ 0 h 1245"/>
            <a:gd name="T10" fmla="*/ 2147483647 w 825"/>
            <a:gd name="T11" fmla="*/ 0 h 1245"/>
            <a:gd name="T12" fmla="*/ 0 w 825"/>
            <a:gd name="T13" fmla="*/ 2147483647 h 124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25"/>
            <a:gd name="T22" fmla="*/ 0 h 1245"/>
            <a:gd name="T23" fmla="*/ 825 w 825"/>
            <a:gd name="T24" fmla="*/ 1245 h 124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25" h="1245">
              <a:moveTo>
                <a:pt x="0" y="1190"/>
              </a:moveTo>
              <a:lnTo>
                <a:pt x="44" y="1218"/>
              </a:lnTo>
              <a:lnTo>
                <a:pt x="88" y="1245"/>
              </a:lnTo>
              <a:lnTo>
                <a:pt x="825" y="54"/>
              </a:lnTo>
              <a:lnTo>
                <a:pt x="781" y="27"/>
              </a:lnTo>
              <a:lnTo>
                <a:pt x="737" y="0"/>
              </a:lnTo>
              <a:lnTo>
                <a:pt x="0" y="119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123825</xdr:colOff>
      <xdr:row>27</xdr:row>
      <xdr:rowOff>85725</xdr:rowOff>
    </xdr:from>
    <xdr:to>
      <xdr:col>17</xdr:col>
      <xdr:colOff>171450</xdr:colOff>
      <xdr:row>27</xdr:row>
      <xdr:rowOff>123825</xdr:rowOff>
    </xdr:to>
    <xdr:sp macro="" textlink="">
      <xdr:nvSpPr>
        <xdr:cNvPr id="12997" name="Freeform 43">
          <a:extLst>
            <a:ext uri="{FF2B5EF4-FFF2-40B4-BE49-F238E27FC236}">
              <a16:creationId xmlns:a16="http://schemas.microsoft.com/office/drawing/2014/main" id="{00000000-0008-0000-0A00-0000C5320000}"/>
            </a:ext>
          </a:extLst>
        </xdr:cNvPr>
        <xdr:cNvSpPr>
          <a:spLocks noChangeAspect="1"/>
        </xdr:cNvSpPr>
      </xdr:nvSpPr>
      <xdr:spPr bwMode="auto">
        <a:xfrm>
          <a:off x="9248775" y="4924425"/>
          <a:ext cx="47625" cy="38100"/>
        </a:xfrm>
        <a:custGeom>
          <a:avLst/>
          <a:gdLst>
            <a:gd name="T0" fmla="*/ 0 w 96"/>
            <a:gd name="T1" fmla="*/ 0 h 79"/>
            <a:gd name="T2" fmla="*/ 0 w 96"/>
            <a:gd name="T3" fmla="*/ 0 h 79"/>
            <a:gd name="T4" fmla="*/ 0 w 96"/>
            <a:gd name="T5" fmla="*/ 0 h 79"/>
            <a:gd name="T6" fmla="*/ 0 w 96"/>
            <a:gd name="T7" fmla="*/ 0 h 79"/>
            <a:gd name="T8" fmla="*/ 0 w 96"/>
            <a:gd name="T9" fmla="*/ 0 h 79"/>
            <a:gd name="T10" fmla="*/ 0 w 96"/>
            <a:gd name="T11" fmla="*/ 0 h 79"/>
            <a:gd name="T12" fmla="*/ 0 w 96"/>
            <a:gd name="T13" fmla="*/ 0 h 79"/>
            <a:gd name="T14" fmla="*/ 0 w 96"/>
            <a:gd name="T15" fmla="*/ 0 h 79"/>
            <a:gd name="T16" fmla="*/ 0 w 96"/>
            <a:gd name="T17" fmla="*/ 0 h 79"/>
            <a:gd name="T18" fmla="*/ 0 w 96"/>
            <a:gd name="T19" fmla="*/ 0 h 79"/>
            <a:gd name="T20" fmla="*/ 0 w 96"/>
            <a:gd name="T21" fmla="*/ 0 h 79"/>
            <a:gd name="T22" fmla="*/ 0 w 96"/>
            <a:gd name="T23" fmla="*/ 0 h 79"/>
            <a:gd name="T24" fmla="*/ 0 w 96"/>
            <a:gd name="T25" fmla="*/ 0 h 79"/>
            <a:gd name="T26" fmla="*/ 0 w 96"/>
            <a:gd name="T27" fmla="*/ 0 h 79"/>
            <a:gd name="T28" fmla="*/ 0 w 96"/>
            <a:gd name="T29" fmla="*/ 0 h 79"/>
            <a:gd name="T30" fmla="*/ 0 w 96"/>
            <a:gd name="T31" fmla="*/ 0 h 79"/>
            <a:gd name="T32" fmla="*/ 0 w 96"/>
            <a:gd name="T33" fmla="*/ 0 h 79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96"/>
            <a:gd name="T52" fmla="*/ 0 h 79"/>
            <a:gd name="T53" fmla="*/ 96 w 96"/>
            <a:gd name="T54" fmla="*/ 79 h 79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96" h="79">
              <a:moveTo>
                <a:pt x="44" y="52"/>
              </a:moveTo>
              <a:lnTo>
                <a:pt x="0" y="25"/>
              </a:lnTo>
              <a:lnTo>
                <a:pt x="7" y="15"/>
              </a:lnTo>
              <a:lnTo>
                <a:pt x="16" y="8"/>
              </a:lnTo>
              <a:lnTo>
                <a:pt x="26" y="3"/>
              </a:lnTo>
              <a:lnTo>
                <a:pt x="38" y="0"/>
              </a:lnTo>
              <a:lnTo>
                <a:pt x="49" y="0"/>
              </a:lnTo>
              <a:lnTo>
                <a:pt x="61" y="3"/>
              </a:lnTo>
              <a:lnTo>
                <a:pt x="71" y="8"/>
              </a:lnTo>
              <a:lnTo>
                <a:pt x="81" y="15"/>
              </a:lnTo>
              <a:lnTo>
                <a:pt x="88" y="24"/>
              </a:lnTo>
              <a:lnTo>
                <a:pt x="93" y="34"/>
              </a:lnTo>
              <a:lnTo>
                <a:pt x="96" y="46"/>
              </a:lnTo>
              <a:lnTo>
                <a:pt x="96" y="57"/>
              </a:lnTo>
              <a:lnTo>
                <a:pt x="93" y="69"/>
              </a:lnTo>
              <a:lnTo>
                <a:pt x="88" y="79"/>
              </a:lnTo>
              <a:lnTo>
                <a:pt x="44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123825</xdr:colOff>
      <xdr:row>27</xdr:row>
      <xdr:rowOff>85725</xdr:rowOff>
    </xdr:from>
    <xdr:to>
      <xdr:col>17</xdr:col>
      <xdr:colOff>171450</xdr:colOff>
      <xdr:row>27</xdr:row>
      <xdr:rowOff>123825</xdr:rowOff>
    </xdr:to>
    <xdr:sp macro="" textlink="">
      <xdr:nvSpPr>
        <xdr:cNvPr id="12998" name="Freeform 44">
          <a:extLst>
            <a:ext uri="{FF2B5EF4-FFF2-40B4-BE49-F238E27FC236}">
              <a16:creationId xmlns:a16="http://schemas.microsoft.com/office/drawing/2014/main" id="{00000000-0008-0000-0A00-0000C6320000}"/>
            </a:ext>
          </a:extLst>
        </xdr:cNvPr>
        <xdr:cNvSpPr>
          <a:spLocks noChangeAspect="1"/>
        </xdr:cNvSpPr>
      </xdr:nvSpPr>
      <xdr:spPr bwMode="auto">
        <a:xfrm>
          <a:off x="9248775" y="4924425"/>
          <a:ext cx="47625" cy="38100"/>
        </a:xfrm>
        <a:custGeom>
          <a:avLst/>
          <a:gdLst>
            <a:gd name="T0" fmla="*/ 0 w 96"/>
            <a:gd name="T1" fmla="*/ 0 h 79"/>
            <a:gd name="T2" fmla="*/ 0 w 96"/>
            <a:gd name="T3" fmla="*/ 0 h 79"/>
            <a:gd name="T4" fmla="*/ 0 w 96"/>
            <a:gd name="T5" fmla="*/ 0 h 79"/>
            <a:gd name="T6" fmla="*/ 0 w 96"/>
            <a:gd name="T7" fmla="*/ 0 h 79"/>
            <a:gd name="T8" fmla="*/ 0 w 96"/>
            <a:gd name="T9" fmla="*/ 0 h 79"/>
            <a:gd name="T10" fmla="*/ 0 w 96"/>
            <a:gd name="T11" fmla="*/ 0 h 79"/>
            <a:gd name="T12" fmla="*/ 0 w 96"/>
            <a:gd name="T13" fmla="*/ 0 h 79"/>
            <a:gd name="T14" fmla="*/ 0 w 96"/>
            <a:gd name="T15" fmla="*/ 0 h 79"/>
            <a:gd name="T16" fmla="*/ 0 w 96"/>
            <a:gd name="T17" fmla="*/ 0 h 79"/>
            <a:gd name="T18" fmla="*/ 0 w 96"/>
            <a:gd name="T19" fmla="*/ 0 h 79"/>
            <a:gd name="T20" fmla="*/ 0 w 96"/>
            <a:gd name="T21" fmla="*/ 0 h 79"/>
            <a:gd name="T22" fmla="*/ 0 w 96"/>
            <a:gd name="T23" fmla="*/ 0 h 79"/>
            <a:gd name="T24" fmla="*/ 0 w 96"/>
            <a:gd name="T25" fmla="*/ 0 h 79"/>
            <a:gd name="T26" fmla="*/ 0 w 96"/>
            <a:gd name="T27" fmla="*/ 0 h 79"/>
            <a:gd name="T28" fmla="*/ 0 w 96"/>
            <a:gd name="T29" fmla="*/ 0 h 79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96"/>
            <a:gd name="T46" fmla="*/ 0 h 79"/>
            <a:gd name="T47" fmla="*/ 96 w 96"/>
            <a:gd name="T48" fmla="*/ 79 h 79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96" h="79">
              <a:moveTo>
                <a:pt x="0" y="25"/>
              </a:moveTo>
              <a:lnTo>
                <a:pt x="7" y="15"/>
              </a:lnTo>
              <a:lnTo>
                <a:pt x="16" y="8"/>
              </a:lnTo>
              <a:lnTo>
                <a:pt x="26" y="3"/>
              </a:lnTo>
              <a:lnTo>
                <a:pt x="38" y="0"/>
              </a:lnTo>
              <a:lnTo>
                <a:pt x="49" y="0"/>
              </a:lnTo>
              <a:lnTo>
                <a:pt x="61" y="3"/>
              </a:lnTo>
              <a:lnTo>
                <a:pt x="71" y="8"/>
              </a:lnTo>
              <a:lnTo>
                <a:pt x="81" y="15"/>
              </a:lnTo>
              <a:lnTo>
                <a:pt x="88" y="24"/>
              </a:lnTo>
              <a:lnTo>
                <a:pt x="93" y="34"/>
              </a:lnTo>
              <a:lnTo>
                <a:pt x="96" y="46"/>
              </a:lnTo>
              <a:lnTo>
                <a:pt x="96" y="57"/>
              </a:lnTo>
              <a:lnTo>
                <a:pt x="93" y="69"/>
              </a:lnTo>
              <a:lnTo>
                <a:pt x="88" y="79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123825</xdr:colOff>
      <xdr:row>27</xdr:row>
      <xdr:rowOff>104775</xdr:rowOff>
    </xdr:from>
    <xdr:to>
      <xdr:col>17</xdr:col>
      <xdr:colOff>152400</xdr:colOff>
      <xdr:row>27</xdr:row>
      <xdr:rowOff>133350</xdr:rowOff>
    </xdr:to>
    <xdr:sp macro="" textlink="">
      <xdr:nvSpPr>
        <xdr:cNvPr id="12999" name="Freeform 45">
          <a:extLst>
            <a:ext uri="{FF2B5EF4-FFF2-40B4-BE49-F238E27FC236}">
              <a16:creationId xmlns:a16="http://schemas.microsoft.com/office/drawing/2014/main" id="{00000000-0008-0000-0A00-0000C7320000}"/>
            </a:ext>
          </a:extLst>
        </xdr:cNvPr>
        <xdr:cNvSpPr>
          <a:spLocks noChangeAspect="1"/>
        </xdr:cNvSpPr>
      </xdr:nvSpPr>
      <xdr:spPr bwMode="auto">
        <a:xfrm>
          <a:off x="9248775" y="4943475"/>
          <a:ext cx="28575" cy="28575"/>
        </a:xfrm>
        <a:custGeom>
          <a:avLst/>
          <a:gdLst>
            <a:gd name="T0" fmla="*/ 0 w 88"/>
            <a:gd name="T1" fmla="*/ 0 h 88"/>
            <a:gd name="T2" fmla="*/ 0 w 88"/>
            <a:gd name="T3" fmla="*/ 0 h 88"/>
            <a:gd name="T4" fmla="*/ 0 w 88"/>
            <a:gd name="T5" fmla="*/ 0 h 88"/>
            <a:gd name="T6" fmla="*/ 0 w 88"/>
            <a:gd name="T7" fmla="*/ 0 h 88"/>
            <a:gd name="T8" fmla="*/ 0 w 88"/>
            <a:gd name="T9" fmla="*/ 0 h 88"/>
            <a:gd name="T10" fmla="*/ 0 w 88"/>
            <a:gd name="T11" fmla="*/ 0 h 88"/>
            <a:gd name="T12" fmla="*/ 0 w 88"/>
            <a:gd name="T13" fmla="*/ 0 h 88"/>
            <a:gd name="T14" fmla="*/ 0 w 88"/>
            <a:gd name="T15" fmla="*/ 0 h 88"/>
            <a:gd name="T16" fmla="*/ 0 w 88"/>
            <a:gd name="T17" fmla="*/ 0 h 88"/>
            <a:gd name="T18" fmla="*/ 0 w 88"/>
            <a:gd name="T19" fmla="*/ 0 h 88"/>
            <a:gd name="T20" fmla="*/ 0 w 88"/>
            <a:gd name="T21" fmla="*/ 0 h 88"/>
            <a:gd name="T22" fmla="*/ 0 w 88"/>
            <a:gd name="T23" fmla="*/ 0 h 88"/>
            <a:gd name="T24" fmla="*/ 0 w 88"/>
            <a:gd name="T25" fmla="*/ 0 h 88"/>
            <a:gd name="T26" fmla="*/ 0 w 88"/>
            <a:gd name="T27" fmla="*/ 0 h 88"/>
            <a:gd name="T28" fmla="*/ 0 w 88"/>
            <a:gd name="T29" fmla="*/ 0 h 88"/>
            <a:gd name="T30" fmla="*/ 0 w 88"/>
            <a:gd name="T31" fmla="*/ 0 h 88"/>
            <a:gd name="T32" fmla="*/ 0 w 88"/>
            <a:gd name="T33" fmla="*/ 0 h 88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88"/>
            <a:gd name="T52" fmla="*/ 0 h 88"/>
            <a:gd name="T53" fmla="*/ 88 w 88"/>
            <a:gd name="T54" fmla="*/ 88 h 88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88" h="88">
              <a:moveTo>
                <a:pt x="51" y="37"/>
              </a:moveTo>
              <a:lnTo>
                <a:pt x="88" y="74"/>
              </a:lnTo>
              <a:lnTo>
                <a:pt x="79" y="81"/>
              </a:lnTo>
              <a:lnTo>
                <a:pt x="69" y="86"/>
              </a:lnTo>
              <a:lnTo>
                <a:pt x="57" y="88"/>
              </a:lnTo>
              <a:lnTo>
                <a:pt x="46" y="88"/>
              </a:lnTo>
              <a:lnTo>
                <a:pt x="34" y="86"/>
              </a:lnTo>
              <a:lnTo>
                <a:pt x="24" y="81"/>
              </a:lnTo>
              <a:lnTo>
                <a:pt x="14" y="74"/>
              </a:lnTo>
              <a:lnTo>
                <a:pt x="7" y="65"/>
              </a:lnTo>
              <a:lnTo>
                <a:pt x="2" y="55"/>
              </a:lnTo>
              <a:lnTo>
                <a:pt x="0" y="43"/>
              </a:lnTo>
              <a:lnTo>
                <a:pt x="0" y="32"/>
              </a:lnTo>
              <a:lnTo>
                <a:pt x="2" y="20"/>
              </a:lnTo>
              <a:lnTo>
                <a:pt x="7" y="10"/>
              </a:lnTo>
              <a:lnTo>
                <a:pt x="14" y="0"/>
              </a:lnTo>
              <a:lnTo>
                <a:pt x="51" y="37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123825</xdr:colOff>
      <xdr:row>27</xdr:row>
      <xdr:rowOff>104775</xdr:rowOff>
    </xdr:from>
    <xdr:to>
      <xdr:col>17</xdr:col>
      <xdr:colOff>152400</xdr:colOff>
      <xdr:row>27</xdr:row>
      <xdr:rowOff>133350</xdr:rowOff>
    </xdr:to>
    <xdr:sp macro="" textlink="">
      <xdr:nvSpPr>
        <xdr:cNvPr id="13000" name="Freeform 46">
          <a:extLst>
            <a:ext uri="{FF2B5EF4-FFF2-40B4-BE49-F238E27FC236}">
              <a16:creationId xmlns:a16="http://schemas.microsoft.com/office/drawing/2014/main" id="{00000000-0008-0000-0A00-0000C8320000}"/>
            </a:ext>
          </a:extLst>
        </xdr:cNvPr>
        <xdr:cNvSpPr>
          <a:spLocks noChangeAspect="1"/>
        </xdr:cNvSpPr>
      </xdr:nvSpPr>
      <xdr:spPr bwMode="auto">
        <a:xfrm>
          <a:off x="9248775" y="4943475"/>
          <a:ext cx="28575" cy="28575"/>
        </a:xfrm>
        <a:custGeom>
          <a:avLst/>
          <a:gdLst>
            <a:gd name="T0" fmla="*/ 0 w 88"/>
            <a:gd name="T1" fmla="*/ 0 h 88"/>
            <a:gd name="T2" fmla="*/ 0 w 88"/>
            <a:gd name="T3" fmla="*/ 0 h 88"/>
            <a:gd name="T4" fmla="*/ 0 w 88"/>
            <a:gd name="T5" fmla="*/ 0 h 88"/>
            <a:gd name="T6" fmla="*/ 0 w 88"/>
            <a:gd name="T7" fmla="*/ 0 h 88"/>
            <a:gd name="T8" fmla="*/ 0 w 88"/>
            <a:gd name="T9" fmla="*/ 0 h 88"/>
            <a:gd name="T10" fmla="*/ 0 w 88"/>
            <a:gd name="T11" fmla="*/ 0 h 88"/>
            <a:gd name="T12" fmla="*/ 0 w 88"/>
            <a:gd name="T13" fmla="*/ 0 h 88"/>
            <a:gd name="T14" fmla="*/ 0 w 88"/>
            <a:gd name="T15" fmla="*/ 0 h 88"/>
            <a:gd name="T16" fmla="*/ 0 w 88"/>
            <a:gd name="T17" fmla="*/ 0 h 88"/>
            <a:gd name="T18" fmla="*/ 0 w 88"/>
            <a:gd name="T19" fmla="*/ 0 h 88"/>
            <a:gd name="T20" fmla="*/ 0 w 88"/>
            <a:gd name="T21" fmla="*/ 0 h 88"/>
            <a:gd name="T22" fmla="*/ 0 w 88"/>
            <a:gd name="T23" fmla="*/ 0 h 88"/>
            <a:gd name="T24" fmla="*/ 0 w 88"/>
            <a:gd name="T25" fmla="*/ 0 h 88"/>
            <a:gd name="T26" fmla="*/ 0 w 88"/>
            <a:gd name="T27" fmla="*/ 0 h 88"/>
            <a:gd name="T28" fmla="*/ 0 w 88"/>
            <a:gd name="T29" fmla="*/ 0 h 88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88"/>
            <a:gd name="T46" fmla="*/ 0 h 88"/>
            <a:gd name="T47" fmla="*/ 88 w 88"/>
            <a:gd name="T48" fmla="*/ 88 h 88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88" h="88">
              <a:moveTo>
                <a:pt x="88" y="74"/>
              </a:moveTo>
              <a:lnTo>
                <a:pt x="79" y="81"/>
              </a:lnTo>
              <a:lnTo>
                <a:pt x="69" y="86"/>
              </a:lnTo>
              <a:lnTo>
                <a:pt x="57" y="88"/>
              </a:lnTo>
              <a:lnTo>
                <a:pt x="46" y="88"/>
              </a:lnTo>
              <a:lnTo>
                <a:pt x="34" y="86"/>
              </a:lnTo>
              <a:lnTo>
                <a:pt x="24" y="81"/>
              </a:lnTo>
              <a:lnTo>
                <a:pt x="14" y="74"/>
              </a:lnTo>
              <a:lnTo>
                <a:pt x="7" y="65"/>
              </a:lnTo>
              <a:lnTo>
                <a:pt x="2" y="55"/>
              </a:lnTo>
              <a:lnTo>
                <a:pt x="0" y="43"/>
              </a:lnTo>
              <a:lnTo>
                <a:pt x="0" y="32"/>
              </a:lnTo>
              <a:lnTo>
                <a:pt x="2" y="20"/>
              </a:lnTo>
              <a:lnTo>
                <a:pt x="7" y="10"/>
              </a:lnTo>
              <a:lnTo>
                <a:pt x="14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123825</xdr:colOff>
      <xdr:row>25</xdr:row>
      <xdr:rowOff>76200</xdr:rowOff>
    </xdr:from>
    <xdr:to>
      <xdr:col>18</xdr:col>
      <xdr:colOff>114300</xdr:colOff>
      <xdr:row>27</xdr:row>
      <xdr:rowOff>114300</xdr:rowOff>
    </xdr:to>
    <xdr:sp macro="" textlink="">
      <xdr:nvSpPr>
        <xdr:cNvPr id="13001" name="Freeform 47">
          <a:extLst>
            <a:ext uri="{FF2B5EF4-FFF2-40B4-BE49-F238E27FC236}">
              <a16:creationId xmlns:a16="http://schemas.microsoft.com/office/drawing/2014/main" id="{00000000-0008-0000-0A00-0000C9320000}"/>
            </a:ext>
          </a:extLst>
        </xdr:cNvPr>
        <xdr:cNvSpPr>
          <a:spLocks noChangeAspect="1"/>
        </xdr:cNvSpPr>
      </xdr:nvSpPr>
      <xdr:spPr bwMode="auto">
        <a:xfrm>
          <a:off x="9248775" y="4591050"/>
          <a:ext cx="476250" cy="361950"/>
        </a:xfrm>
        <a:custGeom>
          <a:avLst/>
          <a:gdLst>
            <a:gd name="T0" fmla="*/ 0 w 909"/>
            <a:gd name="T1" fmla="*/ 2147483647 h 927"/>
            <a:gd name="T2" fmla="*/ 0 w 909"/>
            <a:gd name="T3" fmla="*/ 2147483647 h 927"/>
            <a:gd name="T4" fmla="*/ 0 w 909"/>
            <a:gd name="T5" fmla="*/ 2147483647 h 927"/>
            <a:gd name="T6" fmla="*/ 2147483647 w 909"/>
            <a:gd name="T7" fmla="*/ 0 h 927"/>
            <a:gd name="T8" fmla="*/ 2147483647 w 909"/>
            <a:gd name="T9" fmla="*/ 0 h 927"/>
            <a:gd name="T10" fmla="*/ 2147483647 w 909"/>
            <a:gd name="T11" fmla="*/ 0 h 927"/>
            <a:gd name="T12" fmla="*/ 0 w 909"/>
            <a:gd name="T13" fmla="*/ 2147483647 h 9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9"/>
            <a:gd name="T22" fmla="*/ 0 h 927"/>
            <a:gd name="T23" fmla="*/ 909 w 909"/>
            <a:gd name="T24" fmla="*/ 927 h 9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9" h="927">
              <a:moveTo>
                <a:pt x="0" y="853"/>
              </a:moveTo>
              <a:lnTo>
                <a:pt x="37" y="890"/>
              </a:lnTo>
              <a:lnTo>
                <a:pt x="74" y="927"/>
              </a:lnTo>
              <a:lnTo>
                <a:pt x="909" y="73"/>
              </a:lnTo>
              <a:lnTo>
                <a:pt x="872" y="36"/>
              </a:lnTo>
              <a:lnTo>
                <a:pt x="835" y="0"/>
              </a:lnTo>
              <a:lnTo>
                <a:pt x="0" y="8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123825</xdr:colOff>
      <xdr:row>25</xdr:row>
      <xdr:rowOff>76200</xdr:rowOff>
    </xdr:from>
    <xdr:to>
      <xdr:col>18</xdr:col>
      <xdr:colOff>114300</xdr:colOff>
      <xdr:row>27</xdr:row>
      <xdr:rowOff>114300</xdr:rowOff>
    </xdr:to>
    <xdr:sp macro="" textlink="">
      <xdr:nvSpPr>
        <xdr:cNvPr id="13002" name="Freeform 48">
          <a:extLst>
            <a:ext uri="{FF2B5EF4-FFF2-40B4-BE49-F238E27FC236}">
              <a16:creationId xmlns:a16="http://schemas.microsoft.com/office/drawing/2014/main" id="{00000000-0008-0000-0A00-0000CA320000}"/>
            </a:ext>
          </a:extLst>
        </xdr:cNvPr>
        <xdr:cNvSpPr>
          <a:spLocks noChangeAspect="1"/>
        </xdr:cNvSpPr>
      </xdr:nvSpPr>
      <xdr:spPr bwMode="auto">
        <a:xfrm>
          <a:off x="9248775" y="4591050"/>
          <a:ext cx="476250" cy="361950"/>
        </a:xfrm>
        <a:custGeom>
          <a:avLst/>
          <a:gdLst>
            <a:gd name="T0" fmla="*/ 0 w 909"/>
            <a:gd name="T1" fmla="*/ 2147483647 h 927"/>
            <a:gd name="T2" fmla="*/ 0 w 909"/>
            <a:gd name="T3" fmla="*/ 2147483647 h 927"/>
            <a:gd name="T4" fmla="*/ 0 w 909"/>
            <a:gd name="T5" fmla="*/ 2147483647 h 927"/>
            <a:gd name="T6" fmla="*/ 2147483647 w 909"/>
            <a:gd name="T7" fmla="*/ 0 h 927"/>
            <a:gd name="T8" fmla="*/ 2147483647 w 909"/>
            <a:gd name="T9" fmla="*/ 0 h 927"/>
            <a:gd name="T10" fmla="*/ 2147483647 w 909"/>
            <a:gd name="T11" fmla="*/ 0 h 927"/>
            <a:gd name="T12" fmla="*/ 0 w 909"/>
            <a:gd name="T13" fmla="*/ 2147483647 h 9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9"/>
            <a:gd name="T22" fmla="*/ 0 h 927"/>
            <a:gd name="T23" fmla="*/ 909 w 909"/>
            <a:gd name="T24" fmla="*/ 927 h 9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9" h="927">
              <a:moveTo>
                <a:pt x="0" y="853"/>
              </a:moveTo>
              <a:lnTo>
                <a:pt x="37" y="890"/>
              </a:lnTo>
              <a:lnTo>
                <a:pt x="74" y="927"/>
              </a:lnTo>
              <a:lnTo>
                <a:pt x="909" y="73"/>
              </a:lnTo>
              <a:lnTo>
                <a:pt x="872" y="36"/>
              </a:lnTo>
              <a:lnTo>
                <a:pt x="835" y="0"/>
              </a:lnTo>
              <a:lnTo>
                <a:pt x="0" y="853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104775</xdr:colOff>
      <xdr:row>25</xdr:row>
      <xdr:rowOff>76200</xdr:rowOff>
    </xdr:from>
    <xdr:to>
      <xdr:col>18</xdr:col>
      <xdr:colOff>133350</xdr:colOff>
      <xdr:row>25</xdr:row>
      <xdr:rowOff>114300</xdr:rowOff>
    </xdr:to>
    <xdr:sp macro="" textlink="">
      <xdr:nvSpPr>
        <xdr:cNvPr id="13003" name="Freeform 49">
          <a:extLst>
            <a:ext uri="{FF2B5EF4-FFF2-40B4-BE49-F238E27FC236}">
              <a16:creationId xmlns:a16="http://schemas.microsoft.com/office/drawing/2014/main" id="{00000000-0008-0000-0A00-0000CB320000}"/>
            </a:ext>
          </a:extLst>
        </xdr:cNvPr>
        <xdr:cNvSpPr>
          <a:spLocks noChangeAspect="1"/>
        </xdr:cNvSpPr>
      </xdr:nvSpPr>
      <xdr:spPr bwMode="auto">
        <a:xfrm>
          <a:off x="9715500" y="4591050"/>
          <a:ext cx="28575" cy="38100"/>
        </a:xfrm>
        <a:custGeom>
          <a:avLst/>
          <a:gdLst>
            <a:gd name="T0" fmla="*/ 0 w 88"/>
            <a:gd name="T1" fmla="*/ 0 h 88"/>
            <a:gd name="T2" fmla="*/ 0 w 88"/>
            <a:gd name="T3" fmla="*/ 0 h 88"/>
            <a:gd name="T4" fmla="*/ 0 w 88"/>
            <a:gd name="T5" fmla="*/ 0 h 88"/>
            <a:gd name="T6" fmla="*/ 0 w 88"/>
            <a:gd name="T7" fmla="*/ 0 h 88"/>
            <a:gd name="T8" fmla="*/ 0 w 88"/>
            <a:gd name="T9" fmla="*/ 0 h 88"/>
            <a:gd name="T10" fmla="*/ 0 w 88"/>
            <a:gd name="T11" fmla="*/ 0 h 88"/>
            <a:gd name="T12" fmla="*/ 0 w 88"/>
            <a:gd name="T13" fmla="*/ 0 h 88"/>
            <a:gd name="T14" fmla="*/ 0 w 88"/>
            <a:gd name="T15" fmla="*/ 0 h 88"/>
            <a:gd name="T16" fmla="*/ 0 w 88"/>
            <a:gd name="T17" fmla="*/ 0 h 88"/>
            <a:gd name="T18" fmla="*/ 0 w 88"/>
            <a:gd name="T19" fmla="*/ 0 h 88"/>
            <a:gd name="T20" fmla="*/ 0 w 88"/>
            <a:gd name="T21" fmla="*/ 0 h 88"/>
            <a:gd name="T22" fmla="*/ 0 w 88"/>
            <a:gd name="T23" fmla="*/ 0 h 88"/>
            <a:gd name="T24" fmla="*/ 0 w 88"/>
            <a:gd name="T25" fmla="*/ 0 h 88"/>
            <a:gd name="T26" fmla="*/ 0 w 88"/>
            <a:gd name="T27" fmla="*/ 0 h 88"/>
            <a:gd name="T28" fmla="*/ 0 w 88"/>
            <a:gd name="T29" fmla="*/ 0 h 88"/>
            <a:gd name="T30" fmla="*/ 0 w 88"/>
            <a:gd name="T31" fmla="*/ 0 h 88"/>
            <a:gd name="T32" fmla="*/ 0 w 88"/>
            <a:gd name="T33" fmla="*/ 0 h 88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88"/>
            <a:gd name="T52" fmla="*/ 0 h 88"/>
            <a:gd name="T53" fmla="*/ 88 w 88"/>
            <a:gd name="T54" fmla="*/ 88 h 88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88" h="88">
              <a:moveTo>
                <a:pt x="37" y="51"/>
              </a:moveTo>
              <a:lnTo>
                <a:pt x="0" y="15"/>
              </a:lnTo>
              <a:lnTo>
                <a:pt x="8" y="7"/>
              </a:lnTo>
              <a:lnTo>
                <a:pt x="19" y="2"/>
              </a:lnTo>
              <a:lnTo>
                <a:pt x="31" y="0"/>
              </a:lnTo>
              <a:lnTo>
                <a:pt x="42" y="0"/>
              </a:lnTo>
              <a:lnTo>
                <a:pt x="54" y="2"/>
              </a:lnTo>
              <a:lnTo>
                <a:pt x="64" y="7"/>
              </a:lnTo>
              <a:lnTo>
                <a:pt x="74" y="15"/>
              </a:lnTo>
              <a:lnTo>
                <a:pt x="81" y="23"/>
              </a:lnTo>
              <a:lnTo>
                <a:pt x="86" y="33"/>
              </a:lnTo>
              <a:lnTo>
                <a:pt x="88" y="45"/>
              </a:lnTo>
              <a:lnTo>
                <a:pt x="88" y="57"/>
              </a:lnTo>
              <a:lnTo>
                <a:pt x="86" y="68"/>
              </a:lnTo>
              <a:lnTo>
                <a:pt x="81" y="79"/>
              </a:lnTo>
              <a:lnTo>
                <a:pt x="74" y="88"/>
              </a:lnTo>
              <a:lnTo>
                <a:pt x="37" y="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104775</xdr:colOff>
      <xdr:row>25</xdr:row>
      <xdr:rowOff>76200</xdr:rowOff>
    </xdr:from>
    <xdr:to>
      <xdr:col>18</xdr:col>
      <xdr:colOff>133350</xdr:colOff>
      <xdr:row>25</xdr:row>
      <xdr:rowOff>114300</xdr:rowOff>
    </xdr:to>
    <xdr:sp macro="" textlink="">
      <xdr:nvSpPr>
        <xdr:cNvPr id="13004" name="Freeform 50">
          <a:extLst>
            <a:ext uri="{FF2B5EF4-FFF2-40B4-BE49-F238E27FC236}">
              <a16:creationId xmlns:a16="http://schemas.microsoft.com/office/drawing/2014/main" id="{00000000-0008-0000-0A00-0000CC320000}"/>
            </a:ext>
          </a:extLst>
        </xdr:cNvPr>
        <xdr:cNvSpPr>
          <a:spLocks noChangeAspect="1"/>
        </xdr:cNvSpPr>
      </xdr:nvSpPr>
      <xdr:spPr bwMode="auto">
        <a:xfrm>
          <a:off x="9715500" y="4591050"/>
          <a:ext cx="28575" cy="38100"/>
        </a:xfrm>
        <a:custGeom>
          <a:avLst/>
          <a:gdLst>
            <a:gd name="T0" fmla="*/ 0 w 88"/>
            <a:gd name="T1" fmla="*/ 0 h 88"/>
            <a:gd name="T2" fmla="*/ 0 w 88"/>
            <a:gd name="T3" fmla="*/ 0 h 88"/>
            <a:gd name="T4" fmla="*/ 0 w 88"/>
            <a:gd name="T5" fmla="*/ 0 h 88"/>
            <a:gd name="T6" fmla="*/ 0 w 88"/>
            <a:gd name="T7" fmla="*/ 0 h 88"/>
            <a:gd name="T8" fmla="*/ 0 w 88"/>
            <a:gd name="T9" fmla="*/ 0 h 88"/>
            <a:gd name="T10" fmla="*/ 0 w 88"/>
            <a:gd name="T11" fmla="*/ 0 h 88"/>
            <a:gd name="T12" fmla="*/ 0 w 88"/>
            <a:gd name="T13" fmla="*/ 0 h 88"/>
            <a:gd name="T14" fmla="*/ 0 w 88"/>
            <a:gd name="T15" fmla="*/ 0 h 88"/>
            <a:gd name="T16" fmla="*/ 0 w 88"/>
            <a:gd name="T17" fmla="*/ 0 h 88"/>
            <a:gd name="T18" fmla="*/ 0 w 88"/>
            <a:gd name="T19" fmla="*/ 0 h 88"/>
            <a:gd name="T20" fmla="*/ 0 w 88"/>
            <a:gd name="T21" fmla="*/ 0 h 88"/>
            <a:gd name="T22" fmla="*/ 0 w 88"/>
            <a:gd name="T23" fmla="*/ 0 h 88"/>
            <a:gd name="T24" fmla="*/ 0 w 88"/>
            <a:gd name="T25" fmla="*/ 0 h 88"/>
            <a:gd name="T26" fmla="*/ 0 w 88"/>
            <a:gd name="T27" fmla="*/ 0 h 88"/>
            <a:gd name="T28" fmla="*/ 0 w 88"/>
            <a:gd name="T29" fmla="*/ 0 h 88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88"/>
            <a:gd name="T46" fmla="*/ 0 h 88"/>
            <a:gd name="T47" fmla="*/ 88 w 88"/>
            <a:gd name="T48" fmla="*/ 88 h 88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88" h="88">
              <a:moveTo>
                <a:pt x="0" y="15"/>
              </a:moveTo>
              <a:lnTo>
                <a:pt x="8" y="7"/>
              </a:lnTo>
              <a:lnTo>
                <a:pt x="19" y="2"/>
              </a:lnTo>
              <a:lnTo>
                <a:pt x="31" y="0"/>
              </a:lnTo>
              <a:lnTo>
                <a:pt x="42" y="0"/>
              </a:lnTo>
              <a:lnTo>
                <a:pt x="54" y="2"/>
              </a:lnTo>
              <a:lnTo>
                <a:pt x="64" y="7"/>
              </a:lnTo>
              <a:lnTo>
                <a:pt x="74" y="15"/>
              </a:lnTo>
              <a:lnTo>
                <a:pt x="81" y="23"/>
              </a:lnTo>
              <a:lnTo>
                <a:pt x="86" y="33"/>
              </a:lnTo>
              <a:lnTo>
                <a:pt x="88" y="45"/>
              </a:lnTo>
              <a:lnTo>
                <a:pt x="88" y="57"/>
              </a:lnTo>
              <a:lnTo>
                <a:pt x="86" y="68"/>
              </a:lnTo>
              <a:lnTo>
                <a:pt x="81" y="79"/>
              </a:lnTo>
              <a:lnTo>
                <a:pt x="74" y="88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104775</xdr:colOff>
      <xdr:row>25</xdr:row>
      <xdr:rowOff>76200</xdr:rowOff>
    </xdr:from>
    <xdr:to>
      <xdr:col>18</xdr:col>
      <xdr:colOff>133350</xdr:colOff>
      <xdr:row>25</xdr:row>
      <xdr:rowOff>123825</xdr:rowOff>
    </xdr:to>
    <xdr:sp macro="" textlink="">
      <xdr:nvSpPr>
        <xdr:cNvPr id="13005" name="Freeform 51">
          <a:extLst>
            <a:ext uri="{FF2B5EF4-FFF2-40B4-BE49-F238E27FC236}">
              <a16:creationId xmlns:a16="http://schemas.microsoft.com/office/drawing/2014/main" id="{00000000-0008-0000-0A00-0000CD320000}"/>
            </a:ext>
          </a:extLst>
        </xdr:cNvPr>
        <xdr:cNvSpPr>
          <a:spLocks noChangeAspect="1"/>
        </xdr:cNvSpPr>
      </xdr:nvSpPr>
      <xdr:spPr bwMode="auto">
        <a:xfrm>
          <a:off x="9715500" y="4591050"/>
          <a:ext cx="28575" cy="4762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w 67"/>
            <a:gd name="T31" fmla="*/ 0 h 101"/>
            <a:gd name="T32" fmla="*/ 0 w 67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7"/>
            <a:gd name="T52" fmla="*/ 0 h 101"/>
            <a:gd name="T53" fmla="*/ 67 w 67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7" h="101">
              <a:moveTo>
                <a:pt x="16" y="49"/>
              </a:moveTo>
              <a:lnTo>
                <a:pt x="32" y="0"/>
              </a:lnTo>
              <a:lnTo>
                <a:pt x="42" y="4"/>
              </a:lnTo>
              <a:lnTo>
                <a:pt x="52" y="11"/>
              </a:lnTo>
              <a:lnTo>
                <a:pt x="59" y="21"/>
              </a:lnTo>
              <a:lnTo>
                <a:pt x="64" y="31"/>
              </a:lnTo>
              <a:lnTo>
                <a:pt x="67" y="42"/>
              </a:lnTo>
              <a:lnTo>
                <a:pt x="67" y="53"/>
              </a:lnTo>
              <a:lnTo>
                <a:pt x="65" y="65"/>
              </a:lnTo>
              <a:lnTo>
                <a:pt x="61" y="76"/>
              </a:lnTo>
              <a:lnTo>
                <a:pt x="54" y="85"/>
              </a:lnTo>
              <a:lnTo>
                <a:pt x="44" y="92"/>
              </a:lnTo>
              <a:lnTo>
                <a:pt x="34" y="98"/>
              </a:lnTo>
              <a:lnTo>
                <a:pt x="23" y="101"/>
              </a:lnTo>
              <a:lnTo>
                <a:pt x="12" y="101"/>
              </a:lnTo>
              <a:lnTo>
                <a:pt x="0" y="99"/>
              </a:lnTo>
              <a:lnTo>
                <a:pt x="16" y="4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104775</xdr:colOff>
      <xdr:row>25</xdr:row>
      <xdr:rowOff>76200</xdr:rowOff>
    </xdr:from>
    <xdr:to>
      <xdr:col>18</xdr:col>
      <xdr:colOff>133350</xdr:colOff>
      <xdr:row>25</xdr:row>
      <xdr:rowOff>123825</xdr:rowOff>
    </xdr:to>
    <xdr:sp macro="" textlink="">
      <xdr:nvSpPr>
        <xdr:cNvPr id="13006" name="Freeform 52">
          <a:extLst>
            <a:ext uri="{FF2B5EF4-FFF2-40B4-BE49-F238E27FC236}">
              <a16:creationId xmlns:a16="http://schemas.microsoft.com/office/drawing/2014/main" id="{00000000-0008-0000-0A00-0000CE320000}"/>
            </a:ext>
          </a:extLst>
        </xdr:cNvPr>
        <xdr:cNvSpPr>
          <a:spLocks noChangeAspect="1"/>
        </xdr:cNvSpPr>
      </xdr:nvSpPr>
      <xdr:spPr bwMode="auto">
        <a:xfrm>
          <a:off x="9715500" y="4591050"/>
          <a:ext cx="28575" cy="4762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7"/>
            <a:gd name="T46" fmla="*/ 0 h 101"/>
            <a:gd name="T47" fmla="*/ 67 w 67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7" h="101">
              <a:moveTo>
                <a:pt x="32" y="0"/>
              </a:moveTo>
              <a:lnTo>
                <a:pt x="42" y="4"/>
              </a:lnTo>
              <a:lnTo>
                <a:pt x="52" y="11"/>
              </a:lnTo>
              <a:lnTo>
                <a:pt x="59" y="21"/>
              </a:lnTo>
              <a:lnTo>
                <a:pt x="64" y="31"/>
              </a:lnTo>
              <a:lnTo>
                <a:pt x="67" y="42"/>
              </a:lnTo>
              <a:lnTo>
                <a:pt x="67" y="53"/>
              </a:lnTo>
              <a:lnTo>
                <a:pt x="65" y="65"/>
              </a:lnTo>
              <a:lnTo>
                <a:pt x="61" y="76"/>
              </a:lnTo>
              <a:lnTo>
                <a:pt x="54" y="85"/>
              </a:lnTo>
              <a:lnTo>
                <a:pt x="44" y="92"/>
              </a:lnTo>
              <a:lnTo>
                <a:pt x="34" y="98"/>
              </a:lnTo>
              <a:lnTo>
                <a:pt x="23" y="101"/>
              </a:lnTo>
              <a:lnTo>
                <a:pt x="12" y="101"/>
              </a:lnTo>
              <a:lnTo>
                <a:pt x="0" y="99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161925</xdr:colOff>
      <xdr:row>19</xdr:row>
      <xdr:rowOff>19050</xdr:rowOff>
    </xdr:from>
    <xdr:to>
      <xdr:col>18</xdr:col>
      <xdr:colOff>114300</xdr:colOff>
      <xdr:row>25</xdr:row>
      <xdr:rowOff>114300</xdr:rowOff>
    </xdr:to>
    <xdr:sp macro="" textlink="">
      <xdr:nvSpPr>
        <xdr:cNvPr id="13007" name="Freeform 53">
          <a:extLst>
            <a:ext uri="{FF2B5EF4-FFF2-40B4-BE49-F238E27FC236}">
              <a16:creationId xmlns:a16="http://schemas.microsoft.com/office/drawing/2014/main" id="{00000000-0008-0000-0A00-0000CF320000}"/>
            </a:ext>
          </a:extLst>
        </xdr:cNvPr>
        <xdr:cNvSpPr>
          <a:spLocks noChangeAspect="1"/>
        </xdr:cNvSpPr>
      </xdr:nvSpPr>
      <xdr:spPr bwMode="auto">
        <a:xfrm>
          <a:off x="6200775" y="3562350"/>
          <a:ext cx="3524250" cy="1066800"/>
        </a:xfrm>
        <a:custGeom>
          <a:avLst/>
          <a:gdLst>
            <a:gd name="T0" fmla="*/ 2147483647 w 7674"/>
            <a:gd name="T1" fmla="*/ 2147483647 h 2571"/>
            <a:gd name="T2" fmla="*/ 2147483647 w 7674"/>
            <a:gd name="T3" fmla="*/ 2147483647 h 2571"/>
            <a:gd name="T4" fmla="*/ 2147483647 w 7674"/>
            <a:gd name="T5" fmla="*/ 2147483647 h 2571"/>
            <a:gd name="T6" fmla="*/ 0 w 7674"/>
            <a:gd name="T7" fmla="*/ 0 h 2571"/>
            <a:gd name="T8" fmla="*/ 0 w 7674"/>
            <a:gd name="T9" fmla="*/ 0 h 2571"/>
            <a:gd name="T10" fmla="*/ 0 w 7674"/>
            <a:gd name="T11" fmla="*/ 0 h 2571"/>
            <a:gd name="T12" fmla="*/ 2147483647 w 7674"/>
            <a:gd name="T13" fmla="*/ 2147483647 h 257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674"/>
            <a:gd name="T22" fmla="*/ 0 h 2571"/>
            <a:gd name="T23" fmla="*/ 7674 w 7674"/>
            <a:gd name="T24" fmla="*/ 2571 h 257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674" h="2571">
              <a:moveTo>
                <a:pt x="7642" y="2571"/>
              </a:moveTo>
              <a:lnTo>
                <a:pt x="7658" y="2521"/>
              </a:lnTo>
              <a:lnTo>
                <a:pt x="7674" y="2472"/>
              </a:lnTo>
              <a:lnTo>
                <a:pt x="32" y="0"/>
              </a:lnTo>
              <a:lnTo>
                <a:pt x="16" y="50"/>
              </a:lnTo>
              <a:lnTo>
                <a:pt x="0" y="99"/>
              </a:lnTo>
              <a:lnTo>
                <a:pt x="7642" y="257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152400</xdr:colOff>
      <xdr:row>19</xdr:row>
      <xdr:rowOff>28575</xdr:rowOff>
    </xdr:from>
    <xdr:to>
      <xdr:col>18</xdr:col>
      <xdr:colOff>104775</xdr:colOff>
      <xdr:row>25</xdr:row>
      <xdr:rowOff>114300</xdr:rowOff>
    </xdr:to>
    <xdr:sp macro="" textlink="">
      <xdr:nvSpPr>
        <xdr:cNvPr id="13008" name="Freeform 54">
          <a:extLst>
            <a:ext uri="{FF2B5EF4-FFF2-40B4-BE49-F238E27FC236}">
              <a16:creationId xmlns:a16="http://schemas.microsoft.com/office/drawing/2014/main" id="{00000000-0008-0000-0A00-0000D0320000}"/>
            </a:ext>
          </a:extLst>
        </xdr:cNvPr>
        <xdr:cNvSpPr>
          <a:spLocks noChangeAspect="1"/>
        </xdr:cNvSpPr>
      </xdr:nvSpPr>
      <xdr:spPr bwMode="auto">
        <a:xfrm>
          <a:off x="6191250" y="3571875"/>
          <a:ext cx="3524250" cy="1057275"/>
        </a:xfrm>
        <a:custGeom>
          <a:avLst/>
          <a:gdLst>
            <a:gd name="T0" fmla="*/ 2147483647 w 7674"/>
            <a:gd name="T1" fmla="*/ 2147483647 h 2571"/>
            <a:gd name="T2" fmla="*/ 2147483647 w 7674"/>
            <a:gd name="T3" fmla="*/ 2147483647 h 2571"/>
            <a:gd name="T4" fmla="*/ 2147483647 w 7674"/>
            <a:gd name="T5" fmla="*/ 2147483647 h 2571"/>
            <a:gd name="T6" fmla="*/ 0 w 7674"/>
            <a:gd name="T7" fmla="*/ 0 h 2571"/>
            <a:gd name="T8" fmla="*/ 0 w 7674"/>
            <a:gd name="T9" fmla="*/ 0 h 2571"/>
            <a:gd name="T10" fmla="*/ 0 w 7674"/>
            <a:gd name="T11" fmla="*/ 0 h 2571"/>
            <a:gd name="T12" fmla="*/ 2147483647 w 7674"/>
            <a:gd name="T13" fmla="*/ 2147483647 h 257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674"/>
            <a:gd name="T22" fmla="*/ 0 h 2571"/>
            <a:gd name="T23" fmla="*/ 7674 w 7674"/>
            <a:gd name="T24" fmla="*/ 2571 h 257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674" h="2571">
              <a:moveTo>
                <a:pt x="7642" y="2571"/>
              </a:moveTo>
              <a:lnTo>
                <a:pt x="7658" y="2521"/>
              </a:lnTo>
              <a:lnTo>
                <a:pt x="7674" y="2472"/>
              </a:lnTo>
              <a:lnTo>
                <a:pt x="32" y="0"/>
              </a:lnTo>
              <a:lnTo>
                <a:pt x="16" y="50"/>
              </a:lnTo>
              <a:lnTo>
                <a:pt x="0" y="99"/>
              </a:lnTo>
              <a:lnTo>
                <a:pt x="7642" y="257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19</xdr:row>
      <xdr:rowOff>19050</xdr:rowOff>
    </xdr:from>
    <xdr:to>
      <xdr:col>11</xdr:col>
      <xdr:colOff>171450</xdr:colOff>
      <xdr:row>19</xdr:row>
      <xdr:rowOff>66675</xdr:rowOff>
    </xdr:to>
    <xdr:sp macro="" textlink="">
      <xdr:nvSpPr>
        <xdr:cNvPr id="13009" name="Freeform 55">
          <a:extLst>
            <a:ext uri="{FF2B5EF4-FFF2-40B4-BE49-F238E27FC236}">
              <a16:creationId xmlns:a16="http://schemas.microsoft.com/office/drawing/2014/main" id="{00000000-0008-0000-0A00-0000D1320000}"/>
            </a:ext>
          </a:extLst>
        </xdr:cNvPr>
        <xdr:cNvSpPr>
          <a:spLocks noChangeAspect="1"/>
        </xdr:cNvSpPr>
      </xdr:nvSpPr>
      <xdr:spPr bwMode="auto">
        <a:xfrm>
          <a:off x="6181725" y="3562350"/>
          <a:ext cx="28575" cy="47625"/>
        </a:xfrm>
        <a:custGeom>
          <a:avLst/>
          <a:gdLst>
            <a:gd name="T0" fmla="*/ 0 w 68"/>
            <a:gd name="T1" fmla="*/ 0 h 101"/>
            <a:gd name="T2" fmla="*/ 0 w 68"/>
            <a:gd name="T3" fmla="*/ 0 h 101"/>
            <a:gd name="T4" fmla="*/ 0 w 68"/>
            <a:gd name="T5" fmla="*/ 0 h 101"/>
            <a:gd name="T6" fmla="*/ 0 w 68"/>
            <a:gd name="T7" fmla="*/ 0 h 101"/>
            <a:gd name="T8" fmla="*/ 0 w 68"/>
            <a:gd name="T9" fmla="*/ 0 h 101"/>
            <a:gd name="T10" fmla="*/ 0 w 68"/>
            <a:gd name="T11" fmla="*/ 0 h 101"/>
            <a:gd name="T12" fmla="*/ 0 w 68"/>
            <a:gd name="T13" fmla="*/ 0 h 101"/>
            <a:gd name="T14" fmla="*/ 0 w 68"/>
            <a:gd name="T15" fmla="*/ 0 h 101"/>
            <a:gd name="T16" fmla="*/ 0 w 68"/>
            <a:gd name="T17" fmla="*/ 0 h 101"/>
            <a:gd name="T18" fmla="*/ 0 w 68"/>
            <a:gd name="T19" fmla="*/ 0 h 101"/>
            <a:gd name="T20" fmla="*/ 0 w 68"/>
            <a:gd name="T21" fmla="*/ 0 h 101"/>
            <a:gd name="T22" fmla="*/ 0 w 68"/>
            <a:gd name="T23" fmla="*/ 0 h 101"/>
            <a:gd name="T24" fmla="*/ 0 w 68"/>
            <a:gd name="T25" fmla="*/ 0 h 101"/>
            <a:gd name="T26" fmla="*/ 0 w 68"/>
            <a:gd name="T27" fmla="*/ 0 h 101"/>
            <a:gd name="T28" fmla="*/ 0 w 68"/>
            <a:gd name="T29" fmla="*/ 0 h 101"/>
            <a:gd name="T30" fmla="*/ 0 w 68"/>
            <a:gd name="T31" fmla="*/ 0 h 101"/>
            <a:gd name="T32" fmla="*/ 0 w 68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8"/>
            <a:gd name="T52" fmla="*/ 0 h 101"/>
            <a:gd name="T53" fmla="*/ 68 w 68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8" h="101">
              <a:moveTo>
                <a:pt x="52" y="52"/>
              </a:moveTo>
              <a:lnTo>
                <a:pt x="36" y="101"/>
              </a:lnTo>
              <a:lnTo>
                <a:pt x="26" y="97"/>
              </a:lnTo>
              <a:lnTo>
                <a:pt x="16" y="89"/>
              </a:lnTo>
              <a:lnTo>
                <a:pt x="9" y="80"/>
              </a:lnTo>
              <a:lnTo>
                <a:pt x="4" y="69"/>
              </a:lnTo>
              <a:lnTo>
                <a:pt x="0" y="59"/>
              </a:lnTo>
              <a:lnTo>
                <a:pt x="0" y="47"/>
              </a:lnTo>
              <a:lnTo>
                <a:pt x="3" y="36"/>
              </a:lnTo>
              <a:lnTo>
                <a:pt x="7" y="25"/>
              </a:lnTo>
              <a:lnTo>
                <a:pt x="14" y="16"/>
              </a:lnTo>
              <a:lnTo>
                <a:pt x="24" y="9"/>
              </a:lnTo>
              <a:lnTo>
                <a:pt x="34" y="3"/>
              </a:lnTo>
              <a:lnTo>
                <a:pt x="45" y="0"/>
              </a:lnTo>
              <a:lnTo>
                <a:pt x="56" y="0"/>
              </a:lnTo>
              <a:lnTo>
                <a:pt x="68" y="2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19</xdr:row>
      <xdr:rowOff>19050</xdr:rowOff>
    </xdr:from>
    <xdr:to>
      <xdr:col>11</xdr:col>
      <xdr:colOff>171450</xdr:colOff>
      <xdr:row>19</xdr:row>
      <xdr:rowOff>66675</xdr:rowOff>
    </xdr:to>
    <xdr:sp macro="" textlink="">
      <xdr:nvSpPr>
        <xdr:cNvPr id="13010" name="Freeform 56">
          <a:extLst>
            <a:ext uri="{FF2B5EF4-FFF2-40B4-BE49-F238E27FC236}">
              <a16:creationId xmlns:a16="http://schemas.microsoft.com/office/drawing/2014/main" id="{00000000-0008-0000-0A00-0000D2320000}"/>
            </a:ext>
          </a:extLst>
        </xdr:cNvPr>
        <xdr:cNvSpPr>
          <a:spLocks noChangeAspect="1"/>
        </xdr:cNvSpPr>
      </xdr:nvSpPr>
      <xdr:spPr bwMode="auto">
        <a:xfrm>
          <a:off x="6181725" y="3562350"/>
          <a:ext cx="28575" cy="47625"/>
        </a:xfrm>
        <a:custGeom>
          <a:avLst/>
          <a:gdLst>
            <a:gd name="T0" fmla="*/ 0 w 68"/>
            <a:gd name="T1" fmla="*/ 0 h 101"/>
            <a:gd name="T2" fmla="*/ 0 w 68"/>
            <a:gd name="T3" fmla="*/ 0 h 101"/>
            <a:gd name="T4" fmla="*/ 0 w 68"/>
            <a:gd name="T5" fmla="*/ 0 h 101"/>
            <a:gd name="T6" fmla="*/ 0 w 68"/>
            <a:gd name="T7" fmla="*/ 0 h 101"/>
            <a:gd name="T8" fmla="*/ 0 w 68"/>
            <a:gd name="T9" fmla="*/ 0 h 101"/>
            <a:gd name="T10" fmla="*/ 0 w 68"/>
            <a:gd name="T11" fmla="*/ 0 h 101"/>
            <a:gd name="T12" fmla="*/ 0 w 68"/>
            <a:gd name="T13" fmla="*/ 0 h 101"/>
            <a:gd name="T14" fmla="*/ 0 w 68"/>
            <a:gd name="T15" fmla="*/ 0 h 101"/>
            <a:gd name="T16" fmla="*/ 0 w 68"/>
            <a:gd name="T17" fmla="*/ 0 h 101"/>
            <a:gd name="T18" fmla="*/ 0 w 68"/>
            <a:gd name="T19" fmla="*/ 0 h 101"/>
            <a:gd name="T20" fmla="*/ 0 w 68"/>
            <a:gd name="T21" fmla="*/ 0 h 101"/>
            <a:gd name="T22" fmla="*/ 0 w 68"/>
            <a:gd name="T23" fmla="*/ 0 h 101"/>
            <a:gd name="T24" fmla="*/ 0 w 68"/>
            <a:gd name="T25" fmla="*/ 0 h 101"/>
            <a:gd name="T26" fmla="*/ 0 w 68"/>
            <a:gd name="T27" fmla="*/ 0 h 101"/>
            <a:gd name="T28" fmla="*/ 0 w 68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8"/>
            <a:gd name="T46" fmla="*/ 0 h 101"/>
            <a:gd name="T47" fmla="*/ 68 w 68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8" h="101">
              <a:moveTo>
                <a:pt x="36" y="101"/>
              </a:moveTo>
              <a:lnTo>
                <a:pt x="26" y="97"/>
              </a:lnTo>
              <a:lnTo>
                <a:pt x="16" y="89"/>
              </a:lnTo>
              <a:lnTo>
                <a:pt x="9" y="80"/>
              </a:lnTo>
              <a:lnTo>
                <a:pt x="4" y="69"/>
              </a:lnTo>
              <a:lnTo>
                <a:pt x="0" y="59"/>
              </a:lnTo>
              <a:lnTo>
                <a:pt x="0" y="47"/>
              </a:lnTo>
              <a:lnTo>
                <a:pt x="3" y="36"/>
              </a:lnTo>
              <a:lnTo>
                <a:pt x="7" y="25"/>
              </a:lnTo>
              <a:lnTo>
                <a:pt x="14" y="16"/>
              </a:lnTo>
              <a:lnTo>
                <a:pt x="24" y="9"/>
              </a:lnTo>
              <a:lnTo>
                <a:pt x="34" y="3"/>
              </a:lnTo>
              <a:lnTo>
                <a:pt x="45" y="0"/>
              </a:lnTo>
              <a:lnTo>
                <a:pt x="56" y="0"/>
              </a:lnTo>
              <a:lnTo>
                <a:pt x="68" y="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17</xdr:row>
      <xdr:rowOff>19050</xdr:rowOff>
    </xdr:from>
    <xdr:to>
      <xdr:col>3</xdr:col>
      <xdr:colOff>352425</xdr:colOff>
      <xdr:row>17</xdr:row>
      <xdr:rowOff>57150</xdr:rowOff>
    </xdr:to>
    <xdr:sp macro="" textlink="">
      <xdr:nvSpPr>
        <xdr:cNvPr id="13011" name="Freeform 57">
          <a:extLst>
            <a:ext uri="{FF2B5EF4-FFF2-40B4-BE49-F238E27FC236}">
              <a16:creationId xmlns:a16="http://schemas.microsoft.com/office/drawing/2014/main" id="{00000000-0008-0000-0A00-0000D3320000}"/>
            </a:ext>
          </a:extLst>
        </xdr:cNvPr>
        <xdr:cNvSpPr>
          <a:spLocks noChangeAspect="1"/>
        </xdr:cNvSpPr>
      </xdr:nvSpPr>
      <xdr:spPr bwMode="auto">
        <a:xfrm>
          <a:off x="1924050" y="3238500"/>
          <a:ext cx="2857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3"/>
              </a:moveTo>
              <a:lnTo>
                <a:pt x="52" y="104"/>
              </a:ln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17</xdr:row>
      <xdr:rowOff>19050</xdr:rowOff>
    </xdr:from>
    <xdr:to>
      <xdr:col>3</xdr:col>
      <xdr:colOff>352425</xdr:colOff>
      <xdr:row>17</xdr:row>
      <xdr:rowOff>57150</xdr:rowOff>
    </xdr:to>
    <xdr:sp macro="" textlink="">
      <xdr:nvSpPr>
        <xdr:cNvPr id="13012" name="Freeform 58">
          <a:extLst>
            <a:ext uri="{FF2B5EF4-FFF2-40B4-BE49-F238E27FC236}">
              <a16:creationId xmlns:a16="http://schemas.microsoft.com/office/drawing/2014/main" id="{00000000-0008-0000-0A00-0000D4320000}"/>
            </a:ext>
          </a:extLst>
        </xdr:cNvPr>
        <xdr:cNvSpPr>
          <a:spLocks noChangeAspect="1"/>
        </xdr:cNvSpPr>
      </xdr:nvSpPr>
      <xdr:spPr bwMode="auto">
        <a:xfrm>
          <a:off x="1924050" y="3238500"/>
          <a:ext cx="2857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352425</xdr:colOff>
      <xdr:row>17</xdr:row>
      <xdr:rowOff>19050</xdr:rowOff>
    </xdr:from>
    <xdr:to>
      <xdr:col>4</xdr:col>
      <xdr:colOff>66675</xdr:colOff>
      <xdr:row>17</xdr:row>
      <xdr:rowOff>47625</xdr:rowOff>
    </xdr:to>
    <xdr:sp macro="" textlink="">
      <xdr:nvSpPr>
        <xdr:cNvPr id="13013" name="Freeform 59">
          <a:extLst>
            <a:ext uri="{FF2B5EF4-FFF2-40B4-BE49-F238E27FC236}">
              <a16:creationId xmlns:a16="http://schemas.microsoft.com/office/drawing/2014/main" id="{00000000-0008-0000-0A00-0000D5320000}"/>
            </a:ext>
          </a:extLst>
        </xdr:cNvPr>
        <xdr:cNvSpPr>
          <a:spLocks noChangeAspect="1"/>
        </xdr:cNvSpPr>
      </xdr:nvSpPr>
      <xdr:spPr bwMode="auto">
        <a:xfrm>
          <a:off x="1952625" y="3238500"/>
          <a:ext cx="247650" cy="28575"/>
        </a:xfrm>
        <a:custGeom>
          <a:avLst/>
          <a:gdLst>
            <a:gd name="T0" fmla="*/ 0 w 559"/>
            <a:gd name="T1" fmla="*/ 0 h 104"/>
            <a:gd name="T2" fmla="*/ 0 w 559"/>
            <a:gd name="T3" fmla="*/ 0 h 104"/>
            <a:gd name="T4" fmla="*/ 0 w 559"/>
            <a:gd name="T5" fmla="*/ 0 h 104"/>
            <a:gd name="T6" fmla="*/ 2147483647 w 559"/>
            <a:gd name="T7" fmla="*/ 0 h 104"/>
            <a:gd name="T8" fmla="*/ 2147483647 w 559"/>
            <a:gd name="T9" fmla="*/ 0 h 104"/>
            <a:gd name="T10" fmla="*/ 2147483647 w 559"/>
            <a:gd name="T11" fmla="*/ 0 h 104"/>
            <a:gd name="T12" fmla="*/ 0 w 559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59"/>
            <a:gd name="T22" fmla="*/ 0 h 104"/>
            <a:gd name="T23" fmla="*/ 559 w 559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59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559" y="104"/>
              </a:lnTo>
              <a:lnTo>
                <a:pt x="559" y="53"/>
              </a:lnTo>
              <a:lnTo>
                <a:pt x="559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352425</xdr:colOff>
      <xdr:row>17</xdr:row>
      <xdr:rowOff>19050</xdr:rowOff>
    </xdr:from>
    <xdr:to>
      <xdr:col>4</xdr:col>
      <xdr:colOff>66675</xdr:colOff>
      <xdr:row>17</xdr:row>
      <xdr:rowOff>47625</xdr:rowOff>
    </xdr:to>
    <xdr:sp macro="" textlink="">
      <xdr:nvSpPr>
        <xdr:cNvPr id="13014" name="Freeform 60">
          <a:extLst>
            <a:ext uri="{FF2B5EF4-FFF2-40B4-BE49-F238E27FC236}">
              <a16:creationId xmlns:a16="http://schemas.microsoft.com/office/drawing/2014/main" id="{00000000-0008-0000-0A00-0000D6320000}"/>
            </a:ext>
          </a:extLst>
        </xdr:cNvPr>
        <xdr:cNvSpPr>
          <a:spLocks noChangeAspect="1"/>
        </xdr:cNvSpPr>
      </xdr:nvSpPr>
      <xdr:spPr bwMode="auto">
        <a:xfrm>
          <a:off x="1952625" y="3238500"/>
          <a:ext cx="247650" cy="28575"/>
        </a:xfrm>
        <a:custGeom>
          <a:avLst/>
          <a:gdLst>
            <a:gd name="T0" fmla="*/ 0 w 559"/>
            <a:gd name="T1" fmla="*/ 0 h 104"/>
            <a:gd name="T2" fmla="*/ 0 w 559"/>
            <a:gd name="T3" fmla="*/ 0 h 104"/>
            <a:gd name="T4" fmla="*/ 0 w 559"/>
            <a:gd name="T5" fmla="*/ 0 h 104"/>
            <a:gd name="T6" fmla="*/ 2147483647 w 559"/>
            <a:gd name="T7" fmla="*/ 0 h 104"/>
            <a:gd name="T8" fmla="*/ 2147483647 w 559"/>
            <a:gd name="T9" fmla="*/ 0 h 104"/>
            <a:gd name="T10" fmla="*/ 2147483647 w 559"/>
            <a:gd name="T11" fmla="*/ 0 h 104"/>
            <a:gd name="T12" fmla="*/ 0 w 559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59"/>
            <a:gd name="T22" fmla="*/ 0 h 104"/>
            <a:gd name="T23" fmla="*/ 559 w 559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59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559" y="104"/>
              </a:lnTo>
              <a:lnTo>
                <a:pt x="559" y="53"/>
              </a:lnTo>
              <a:lnTo>
                <a:pt x="559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76200</xdr:colOff>
      <xdr:row>17</xdr:row>
      <xdr:rowOff>19050</xdr:rowOff>
    </xdr:from>
    <xdr:to>
      <xdr:col>4</xdr:col>
      <xdr:colOff>104775</xdr:colOff>
      <xdr:row>17</xdr:row>
      <xdr:rowOff>57150</xdr:rowOff>
    </xdr:to>
    <xdr:sp macro="" textlink="">
      <xdr:nvSpPr>
        <xdr:cNvPr id="13015" name="Freeform 61">
          <a:extLst>
            <a:ext uri="{FF2B5EF4-FFF2-40B4-BE49-F238E27FC236}">
              <a16:creationId xmlns:a16="http://schemas.microsoft.com/office/drawing/2014/main" id="{00000000-0008-0000-0A00-0000D7320000}"/>
            </a:ext>
          </a:extLst>
        </xdr:cNvPr>
        <xdr:cNvSpPr>
          <a:spLocks noChangeAspect="1"/>
        </xdr:cNvSpPr>
      </xdr:nvSpPr>
      <xdr:spPr bwMode="auto">
        <a:xfrm>
          <a:off x="2209800" y="3238500"/>
          <a:ext cx="28575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3"/>
              </a:moveTo>
              <a:lnTo>
                <a:pt x="0" y="0"/>
              </a:lnTo>
              <a:lnTo>
                <a:pt x="12" y="2"/>
              </a:lnTo>
              <a:lnTo>
                <a:pt x="22" y="6"/>
              </a:lnTo>
              <a:lnTo>
                <a:pt x="33" y="12"/>
              </a:lnTo>
              <a:lnTo>
                <a:pt x="41" y="20"/>
              </a:lnTo>
              <a:lnTo>
                <a:pt x="48" y="31"/>
              </a:lnTo>
              <a:lnTo>
                <a:pt x="51" y="41"/>
              </a:lnTo>
              <a:lnTo>
                <a:pt x="53" y="53"/>
              </a:lnTo>
              <a:lnTo>
                <a:pt x="51" y="64"/>
              </a:lnTo>
              <a:lnTo>
                <a:pt x="48" y="75"/>
              </a:lnTo>
              <a:lnTo>
                <a:pt x="41" y="85"/>
              </a:lnTo>
              <a:lnTo>
                <a:pt x="33" y="94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76200</xdr:colOff>
      <xdr:row>17</xdr:row>
      <xdr:rowOff>19050</xdr:rowOff>
    </xdr:from>
    <xdr:to>
      <xdr:col>4</xdr:col>
      <xdr:colOff>104775</xdr:colOff>
      <xdr:row>17</xdr:row>
      <xdr:rowOff>57150</xdr:rowOff>
    </xdr:to>
    <xdr:sp macro="" textlink="">
      <xdr:nvSpPr>
        <xdr:cNvPr id="13016" name="Freeform 62">
          <a:extLst>
            <a:ext uri="{FF2B5EF4-FFF2-40B4-BE49-F238E27FC236}">
              <a16:creationId xmlns:a16="http://schemas.microsoft.com/office/drawing/2014/main" id="{00000000-0008-0000-0A00-0000D8320000}"/>
            </a:ext>
          </a:extLst>
        </xdr:cNvPr>
        <xdr:cNvSpPr>
          <a:spLocks noChangeAspect="1"/>
        </xdr:cNvSpPr>
      </xdr:nvSpPr>
      <xdr:spPr bwMode="auto">
        <a:xfrm>
          <a:off x="2209800" y="3238500"/>
          <a:ext cx="28575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6"/>
              </a:lnTo>
              <a:lnTo>
                <a:pt x="33" y="12"/>
              </a:lnTo>
              <a:lnTo>
                <a:pt x="41" y="20"/>
              </a:lnTo>
              <a:lnTo>
                <a:pt x="48" y="31"/>
              </a:lnTo>
              <a:lnTo>
                <a:pt x="51" y="41"/>
              </a:lnTo>
              <a:lnTo>
                <a:pt x="53" y="53"/>
              </a:lnTo>
              <a:lnTo>
                <a:pt x="51" y="64"/>
              </a:lnTo>
              <a:lnTo>
                <a:pt x="48" y="75"/>
              </a:lnTo>
              <a:lnTo>
                <a:pt x="41" y="85"/>
              </a:lnTo>
              <a:lnTo>
                <a:pt x="33" y="94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171450</xdr:colOff>
      <xdr:row>17</xdr:row>
      <xdr:rowOff>19050</xdr:rowOff>
    </xdr:from>
    <xdr:to>
      <xdr:col>4</xdr:col>
      <xdr:colOff>190500</xdr:colOff>
      <xdr:row>17</xdr:row>
      <xdr:rowOff>57150</xdr:rowOff>
    </xdr:to>
    <xdr:sp macro="" textlink="">
      <xdr:nvSpPr>
        <xdr:cNvPr id="13017" name="Freeform 63">
          <a:extLst>
            <a:ext uri="{FF2B5EF4-FFF2-40B4-BE49-F238E27FC236}">
              <a16:creationId xmlns:a16="http://schemas.microsoft.com/office/drawing/2014/main" id="{00000000-0008-0000-0A00-0000D9320000}"/>
            </a:ext>
          </a:extLst>
        </xdr:cNvPr>
        <xdr:cNvSpPr>
          <a:spLocks noChangeAspect="1"/>
        </xdr:cNvSpPr>
      </xdr:nvSpPr>
      <xdr:spPr bwMode="auto">
        <a:xfrm>
          <a:off x="2305050" y="3238500"/>
          <a:ext cx="19050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3"/>
              </a:moveTo>
              <a:lnTo>
                <a:pt x="51" y="104"/>
              </a:ln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1" y="0"/>
              </a:lnTo>
              <a:lnTo>
                <a:pt x="51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171450</xdr:colOff>
      <xdr:row>17</xdr:row>
      <xdr:rowOff>19050</xdr:rowOff>
    </xdr:from>
    <xdr:to>
      <xdr:col>4</xdr:col>
      <xdr:colOff>190500</xdr:colOff>
      <xdr:row>17</xdr:row>
      <xdr:rowOff>57150</xdr:rowOff>
    </xdr:to>
    <xdr:sp macro="" textlink="">
      <xdr:nvSpPr>
        <xdr:cNvPr id="13018" name="Freeform 64">
          <a:extLst>
            <a:ext uri="{FF2B5EF4-FFF2-40B4-BE49-F238E27FC236}">
              <a16:creationId xmlns:a16="http://schemas.microsoft.com/office/drawing/2014/main" id="{00000000-0008-0000-0A00-0000DA320000}"/>
            </a:ext>
          </a:extLst>
        </xdr:cNvPr>
        <xdr:cNvSpPr>
          <a:spLocks noChangeAspect="1"/>
        </xdr:cNvSpPr>
      </xdr:nvSpPr>
      <xdr:spPr bwMode="auto">
        <a:xfrm>
          <a:off x="2305050" y="3238500"/>
          <a:ext cx="19050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190500</xdr:colOff>
      <xdr:row>17</xdr:row>
      <xdr:rowOff>19050</xdr:rowOff>
    </xdr:from>
    <xdr:to>
      <xdr:col>4</xdr:col>
      <xdr:colOff>581025</xdr:colOff>
      <xdr:row>17</xdr:row>
      <xdr:rowOff>57150</xdr:rowOff>
    </xdr:to>
    <xdr:sp macro="" textlink="">
      <xdr:nvSpPr>
        <xdr:cNvPr id="13019" name="Freeform 65">
          <a:extLst>
            <a:ext uri="{FF2B5EF4-FFF2-40B4-BE49-F238E27FC236}">
              <a16:creationId xmlns:a16="http://schemas.microsoft.com/office/drawing/2014/main" id="{00000000-0008-0000-0A00-0000DB320000}"/>
            </a:ext>
          </a:extLst>
        </xdr:cNvPr>
        <xdr:cNvSpPr>
          <a:spLocks noChangeAspect="1"/>
        </xdr:cNvSpPr>
      </xdr:nvSpPr>
      <xdr:spPr bwMode="auto">
        <a:xfrm>
          <a:off x="2324100" y="3238500"/>
          <a:ext cx="390525" cy="38100"/>
        </a:xfrm>
        <a:custGeom>
          <a:avLst/>
          <a:gdLst>
            <a:gd name="T0" fmla="*/ 0 w 918"/>
            <a:gd name="T1" fmla="*/ 0 h 104"/>
            <a:gd name="T2" fmla="*/ 0 w 918"/>
            <a:gd name="T3" fmla="*/ 0 h 104"/>
            <a:gd name="T4" fmla="*/ 0 w 918"/>
            <a:gd name="T5" fmla="*/ 0 h 104"/>
            <a:gd name="T6" fmla="*/ 2147483647 w 918"/>
            <a:gd name="T7" fmla="*/ 0 h 104"/>
            <a:gd name="T8" fmla="*/ 2147483647 w 918"/>
            <a:gd name="T9" fmla="*/ 0 h 104"/>
            <a:gd name="T10" fmla="*/ 2147483647 w 918"/>
            <a:gd name="T11" fmla="*/ 0 h 104"/>
            <a:gd name="T12" fmla="*/ 0 w 918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8"/>
            <a:gd name="T22" fmla="*/ 0 h 104"/>
            <a:gd name="T23" fmla="*/ 918 w 918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8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8" y="104"/>
              </a:lnTo>
              <a:lnTo>
                <a:pt x="918" y="53"/>
              </a:lnTo>
              <a:lnTo>
                <a:pt x="918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190500</xdr:colOff>
      <xdr:row>17</xdr:row>
      <xdr:rowOff>19050</xdr:rowOff>
    </xdr:from>
    <xdr:to>
      <xdr:col>4</xdr:col>
      <xdr:colOff>581025</xdr:colOff>
      <xdr:row>17</xdr:row>
      <xdr:rowOff>57150</xdr:rowOff>
    </xdr:to>
    <xdr:sp macro="" textlink="">
      <xdr:nvSpPr>
        <xdr:cNvPr id="13020" name="Freeform 66">
          <a:extLst>
            <a:ext uri="{FF2B5EF4-FFF2-40B4-BE49-F238E27FC236}">
              <a16:creationId xmlns:a16="http://schemas.microsoft.com/office/drawing/2014/main" id="{00000000-0008-0000-0A00-0000DC320000}"/>
            </a:ext>
          </a:extLst>
        </xdr:cNvPr>
        <xdr:cNvSpPr>
          <a:spLocks noChangeAspect="1"/>
        </xdr:cNvSpPr>
      </xdr:nvSpPr>
      <xdr:spPr bwMode="auto">
        <a:xfrm>
          <a:off x="2324100" y="3238500"/>
          <a:ext cx="390525" cy="38100"/>
        </a:xfrm>
        <a:custGeom>
          <a:avLst/>
          <a:gdLst>
            <a:gd name="T0" fmla="*/ 0 w 918"/>
            <a:gd name="T1" fmla="*/ 0 h 104"/>
            <a:gd name="T2" fmla="*/ 0 w 918"/>
            <a:gd name="T3" fmla="*/ 0 h 104"/>
            <a:gd name="T4" fmla="*/ 0 w 918"/>
            <a:gd name="T5" fmla="*/ 0 h 104"/>
            <a:gd name="T6" fmla="*/ 2147483647 w 918"/>
            <a:gd name="T7" fmla="*/ 0 h 104"/>
            <a:gd name="T8" fmla="*/ 2147483647 w 918"/>
            <a:gd name="T9" fmla="*/ 0 h 104"/>
            <a:gd name="T10" fmla="*/ 2147483647 w 918"/>
            <a:gd name="T11" fmla="*/ 0 h 104"/>
            <a:gd name="T12" fmla="*/ 0 w 918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8"/>
            <a:gd name="T22" fmla="*/ 0 h 104"/>
            <a:gd name="T23" fmla="*/ 918 w 918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8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8" y="104"/>
              </a:lnTo>
              <a:lnTo>
                <a:pt x="918" y="53"/>
              </a:lnTo>
              <a:lnTo>
                <a:pt x="918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571500</xdr:colOff>
      <xdr:row>17</xdr:row>
      <xdr:rowOff>19050</xdr:rowOff>
    </xdr:from>
    <xdr:to>
      <xdr:col>5</xdr:col>
      <xdr:colOff>0</xdr:colOff>
      <xdr:row>17</xdr:row>
      <xdr:rowOff>47625</xdr:rowOff>
    </xdr:to>
    <xdr:sp macro="" textlink="">
      <xdr:nvSpPr>
        <xdr:cNvPr id="13021" name="Freeform 67">
          <a:extLst>
            <a:ext uri="{FF2B5EF4-FFF2-40B4-BE49-F238E27FC236}">
              <a16:creationId xmlns:a16="http://schemas.microsoft.com/office/drawing/2014/main" id="{00000000-0008-0000-0A00-0000DD320000}"/>
            </a:ext>
          </a:extLst>
        </xdr:cNvPr>
        <xdr:cNvSpPr>
          <a:spLocks noChangeAspect="1"/>
        </xdr:cNvSpPr>
      </xdr:nvSpPr>
      <xdr:spPr bwMode="auto">
        <a:xfrm>
          <a:off x="2705100" y="3238500"/>
          <a:ext cx="133350" cy="285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3"/>
              </a:moveTo>
              <a:lnTo>
                <a:pt x="0" y="0"/>
              </a:lnTo>
              <a:lnTo>
                <a:pt x="11" y="2"/>
              </a:lnTo>
              <a:lnTo>
                <a:pt x="22" y="6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571500</xdr:colOff>
      <xdr:row>17</xdr:row>
      <xdr:rowOff>19050</xdr:rowOff>
    </xdr:from>
    <xdr:to>
      <xdr:col>5</xdr:col>
      <xdr:colOff>0</xdr:colOff>
      <xdr:row>17</xdr:row>
      <xdr:rowOff>47625</xdr:rowOff>
    </xdr:to>
    <xdr:sp macro="" textlink="">
      <xdr:nvSpPr>
        <xdr:cNvPr id="13022" name="Freeform 68">
          <a:extLst>
            <a:ext uri="{FF2B5EF4-FFF2-40B4-BE49-F238E27FC236}">
              <a16:creationId xmlns:a16="http://schemas.microsoft.com/office/drawing/2014/main" id="{00000000-0008-0000-0A00-0000DE320000}"/>
            </a:ext>
          </a:extLst>
        </xdr:cNvPr>
        <xdr:cNvSpPr>
          <a:spLocks noChangeAspect="1"/>
        </xdr:cNvSpPr>
      </xdr:nvSpPr>
      <xdr:spPr bwMode="auto">
        <a:xfrm>
          <a:off x="2705100" y="3238500"/>
          <a:ext cx="133350" cy="2857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6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57150</xdr:colOff>
      <xdr:row>17</xdr:row>
      <xdr:rowOff>19050</xdr:rowOff>
    </xdr:from>
    <xdr:to>
      <xdr:col>5</xdr:col>
      <xdr:colOff>85725</xdr:colOff>
      <xdr:row>17</xdr:row>
      <xdr:rowOff>57150</xdr:rowOff>
    </xdr:to>
    <xdr:sp macro="" textlink="">
      <xdr:nvSpPr>
        <xdr:cNvPr id="13023" name="Freeform 69">
          <a:extLst>
            <a:ext uri="{FF2B5EF4-FFF2-40B4-BE49-F238E27FC236}">
              <a16:creationId xmlns:a16="http://schemas.microsoft.com/office/drawing/2014/main" id="{00000000-0008-0000-0A00-0000DF320000}"/>
            </a:ext>
          </a:extLst>
        </xdr:cNvPr>
        <xdr:cNvSpPr>
          <a:spLocks noChangeAspect="1"/>
        </xdr:cNvSpPr>
      </xdr:nvSpPr>
      <xdr:spPr bwMode="auto">
        <a:xfrm>
          <a:off x="2895600" y="3238500"/>
          <a:ext cx="2857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3"/>
              </a:moveTo>
              <a:lnTo>
                <a:pt x="52" y="104"/>
              </a:ln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5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57150</xdr:colOff>
      <xdr:row>17</xdr:row>
      <xdr:rowOff>19050</xdr:rowOff>
    </xdr:from>
    <xdr:to>
      <xdr:col>5</xdr:col>
      <xdr:colOff>85725</xdr:colOff>
      <xdr:row>17</xdr:row>
      <xdr:rowOff>57150</xdr:rowOff>
    </xdr:to>
    <xdr:sp macro="" textlink="">
      <xdr:nvSpPr>
        <xdr:cNvPr id="13024" name="Freeform 70">
          <a:extLst>
            <a:ext uri="{FF2B5EF4-FFF2-40B4-BE49-F238E27FC236}">
              <a16:creationId xmlns:a16="http://schemas.microsoft.com/office/drawing/2014/main" id="{00000000-0008-0000-0A00-0000E0320000}"/>
            </a:ext>
          </a:extLst>
        </xdr:cNvPr>
        <xdr:cNvSpPr>
          <a:spLocks noChangeAspect="1"/>
        </xdr:cNvSpPr>
      </xdr:nvSpPr>
      <xdr:spPr bwMode="auto">
        <a:xfrm>
          <a:off x="2895600" y="3238500"/>
          <a:ext cx="2857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5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85725</xdr:colOff>
      <xdr:row>17</xdr:row>
      <xdr:rowOff>19050</xdr:rowOff>
    </xdr:from>
    <xdr:to>
      <xdr:col>6</xdr:col>
      <xdr:colOff>9525</xdr:colOff>
      <xdr:row>17</xdr:row>
      <xdr:rowOff>47625</xdr:rowOff>
    </xdr:to>
    <xdr:sp macro="" textlink="">
      <xdr:nvSpPr>
        <xdr:cNvPr id="13025" name="Freeform 71">
          <a:extLst>
            <a:ext uri="{FF2B5EF4-FFF2-40B4-BE49-F238E27FC236}">
              <a16:creationId xmlns:a16="http://schemas.microsoft.com/office/drawing/2014/main" id="{00000000-0008-0000-0A00-0000E1320000}"/>
            </a:ext>
          </a:extLst>
        </xdr:cNvPr>
        <xdr:cNvSpPr>
          <a:spLocks noChangeAspect="1"/>
        </xdr:cNvSpPr>
      </xdr:nvSpPr>
      <xdr:spPr bwMode="auto">
        <a:xfrm>
          <a:off x="2924175" y="3238500"/>
          <a:ext cx="457200" cy="28575"/>
        </a:xfrm>
        <a:custGeom>
          <a:avLst/>
          <a:gdLst>
            <a:gd name="T0" fmla="*/ 0 w 916"/>
            <a:gd name="T1" fmla="*/ 0 h 104"/>
            <a:gd name="T2" fmla="*/ 0 w 916"/>
            <a:gd name="T3" fmla="*/ 0 h 104"/>
            <a:gd name="T4" fmla="*/ 0 w 916"/>
            <a:gd name="T5" fmla="*/ 0 h 104"/>
            <a:gd name="T6" fmla="*/ 2147483647 w 916"/>
            <a:gd name="T7" fmla="*/ 0 h 104"/>
            <a:gd name="T8" fmla="*/ 2147483647 w 916"/>
            <a:gd name="T9" fmla="*/ 0 h 104"/>
            <a:gd name="T10" fmla="*/ 2147483647 w 916"/>
            <a:gd name="T11" fmla="*/ 0 h 104"/>
            <a:gd name="T12" fmla="*/ 0 w 916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6"/>
            <a:gd name="T22" fmla="*/ 0 h 104"/>
            <a:gd name="T23" fmla="*/ 916 w 916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6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6" y="104"/>
              </a:lnTo>
              <a:lnTo>
                <a:pt x="916" y="53"/>
              </a:lnTo>
              <a:lnTo>
                <a:pt x="916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85725</xdr:colOff>
      <xdr:row>17</xdr:row>
      <xdr:rowOff>19050</xdr:rowOff>
    </xdr:from>
    <xdr:to>
      <xdr:col>6</xdr:col>
      <xdr:colOff>9525</xdr:colOff>
      <xdr:row>17</xdr:row>
      <xdr:rowOff>47625</xdr:rowOff>
    </xdr:to>
    <xdr:sp macro="" textlink="">
      <xdr:nvSpPr>
        <xdr:cNvPr id="13026" name="Freeform 72">
          <a:extLst>
            <a:ext uri="{FF2B5EF4-FFF2-40B4-BE49-F238E27FC236}">
              <a16:creationId xmlns:a16="http://schemas.microsoft.com/office/drawing/2014/main" id="{00000000-0008-0000-0A00-0000E2320000}"/>
            </a:ext>
          </a:extLst>
        </xdr:cNvPr>
        <xdr:cNvSpPr>
          <a:spLocks noChangeAspect="1"/>
        </xdr:cNvSpPr>
      </xdr:nvSpPr>
      <xdr:spPr bwMode="auto">
        <a:xfrm>
          <a:off x="2924175" y="3238500"/>
          <a:ext cx="457200" cy="28575"/>
        </a:xfrm>
        <a:custGeom>
          <a:avLst/>
          <a:gdLst>
            <a:gd name="T0" fmla="*/ 0 w 916"/>
            <a:gd name="T1" fmla="*/ 0 h 104"/>
            <a:gd name="T2" fmla="*/ 0 w 916"/>
            <a:gd name="T3" fmla="*/ 0 h 104"/>
            <a:gd name="T4" fmla="*/ 0 w 916"/>
            <a:gd name="T5" fmla="*/ 0 h 104"/>
            <a:gd name="T6" fmla="*/ 2147483647 w 916"/>
            <a:gd name="T7" fmla="*/ 0 h 104"/>
            <a:gd name="T8" fmla="*/ 2147483647 w 916"/>
            <a:gd name="T9" fmla="*/ 0 h 104"/>
            <a:gd name="T10" fmla="*/ 2147483647 w 916"/>
            <a:gd name="T11" fmla="*/ 0 h 104"/>
            <a:gd name="T12" fmla="*/ 0 w 916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6"/>
            <a:gd name="T22" fmla="*/ 0 h 104"/>
            <a:gd name="T23" fmla="*/ 916 w 916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6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6" y="104"/>
              </a:lnTo>
              <a:lnTo>
                <a:pt x="916" y="53"/>
              </a:lnTo>
              <a:lnTo>
                <a:pt x="916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9525</xdr:colOff>
      <xdr:row>17</xdr:row>
      <xdr:rowOff>19050</xdr:rowOff>
    </xdr:from>
    <xdr:to>
      <xdr:col>6</xdr:col>
      <xdr:colOff>9525</xdr:colOff>
      <xdr:row>17</xdr:row>
      <xdr:rowOff>57150</xdr:rowOff>
    </xdr:to>
    <xdr:sp macro="" textlink="">
      <xdr:nvSpPr>
        <xdr:cNvPr id="13027" name="Freeform 73">
          <a:extLst>
            <a:ext uri="{FF2B5EF4-FFF2-40B4-BE49-F238E27FC236}">
              <a16:creationId xmlns:a16="http://schemas.microsoft.com/office/drawing/2014/main" id="{00000000-0008-0000-0A00-0000E3320000}"/>
            </a:ext>
          </a:extLst>
        </xdr:cNvPr>
        <xdr:cNvSpPr>
          <a:spLocks noChangeAspect="1"/>
        </xdr:cNvSpPr>
      </xdr:nvSpPr>
      <xdr:spPr bwMode="auto">
        <a:xfrm>
          <a:off x="3381375" y="3238500"/>
          <a:ext cx="0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0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3"/>
              </a:moveTo>
              <a:lnTo>
                <a:pt x="0" y="0"/>
              </a:lnTo>
              <a:lnTo>
                <a:pt x="12" y="2"/>
              </a:lnTo>
              <a:lnTo>
                <a:pt x="23" y="6"/>
              </a:lnTo>
              <a:lnTo>
                <a:pt x="33" y="12"/>
              </a:lnTo>
              <a:lnTo>
                <a:pt x="41" y="20"/>
              </a:lnTo>
              <a:lnTo>
                <a:pt x="48" y="31"/>
              </a:lnTo>
              <a:lnTo>
                <a:pt x="51" y="41"/>
              </a:lnTo>
              <a:lnTo>
                <a:pt x="53" y="53"/>
              </a:lnTo>
              <a:lnTo>
                <a:pt x="51" y="64"/>
              </a:lnTo>
              <a:lnTo>
                <a:pt x="48" y="75"/>
              </a:lnTo>
              <a:lnTo>
                <a:pt x="41" y="85"/>
              </a:lnTo>
              <a:lnTo>
                <a:pt x="33" y="94"/>
              </a:lnTo>
              <a:lnTo>
                <a:pt x="23" y="100"/>
              </a:lnTo>
              <a:lnTo>
                <a:pt x="12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9525</xdr:colOff>
      <xdr:row>17</xdr:row>
      <xdr:rowOff>19050</xdr:rowOff>
    </xdr:from>
    <xdr:to>
      <xdr:col>6</xdr:col>
      <xdr:colOff>9525</xdr:colOff>
      <xdr:row>17</xdr:row>
      <xdr:rowOff>57150</xdr:rowOff>
    </xdr:to>
    <xdr:sp macro="" textlink="">
      <xdr:nvSpPr>
        <xdr:cNvPr id="13028" name="Freeform 74">
          <a:extLst>
            <a:ext uri="{FF2B5EF4-FFF2-40B4-BE49-F238E27FC236}">
              <a16:creationId xmlns:a16="http://schemas.microsoft.com/office/drawing/2014/main" id="{00000000-0008-0000-0A00-0000E4320000}"/>
            </a:ext>
          </a:extLst>
        </xdr:cNvPr>
        <xdr:cNvSpPr>
          <a:spLocks noChangeAspect="1"/>
        </xdr:cNvSpPr>
      </xdr:nvSpPr>
      <xdr:spPr bwMode="auto">
        <a:xfrm>
          <a:off x="3381375" y="3238500"/>
          <a:ext cx="0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0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3" y="6"/>
              </a:lnTo>
              <a:lnTo>
                <a:pt x="33" y="12"/>
              </a:lnTo>
              <a:lnTo>
                <a:pt x="41" y="20"/>
              </a:lnTo>
              <a:lnTo>
                <a:pt x="48" y="31"/>
              </a:lnTo>
              <a:lnTo>
                <a:pt x="51" y="41"/>
              </a:lnTo>
              <a:lnTo>
                <a:pt x="53" y="53"/>
              </a:lnTo>
              <a:lnTo>
                <a:pt x="51" y="64"/>
              </a:lnTo>
              <a:lnTo>
                <a:pt x="48" y="75"/>
              </a:lnTo>
              <a:lnTo>
                <a:pt x="41" y="85"/>
              </a:lnTo>
              <a:lnTo>
                <a:pt x="33" y="94"/>
              </a:lnTo>
              <a:lnTo>
                <a:pt x="23" y="100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47625</xdr:colOff>
      <xdr:row>17</xdr:row>
      <xdr:rowOff>19050</xdr:rowOff>
    </xdr:from>
    <xdr:to>
      <xdr:col>6</xdr:col>
      <xdr:colOff>57150</xdr:colOff>
      <xdr:row>17</xdr:row>
      <xdr:rowOff>57150</xdr:rowOff>
    </xdr:to>
    <xdr:sp macro="" textlink="">
      <xdr:nvSpPr>
        <xdr:cNvPr id="13029" name="Freeform 75">
          <a:extLst>
            <a:ext uri="{FF2B5EF4-FFF2-40B4-BE49-F238E27FC236}">
              <a16:creationId xmlns:a16="http://schemas.microsoft.com/office/drawing/2014/main" id="{00000000-0008-0000-0A00-0000E5320000}"/>
            </a:ext>
          </a:extLst>
        </xdr:cNvPr>
        <xdr:cNvSpPr>
          <a:spLocks noChangeAspect="1"/>
        </xdr:cNvSpPr>
      </xdr:nvSpPr>
      <xdr:spPr bwMode="auto">
        <a:xfrm>
          <a:off x="3419475" y="3238500"/>
          <a:ext cx="9525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3"/>
              </a:moveTo>
              <a:lnTo>
                <a:pt x="51" y="104"/>
              </a:ln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1" y="0"/>
              </a:lnTo>
              <a:lnTo>
                <a:pt x="51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47625</xdr:colOff>
      <xdr:row>17</xdr:row>
      <xdr:rowOff>19050</xdr:rowOff>
    </xdr:from>
    <xdr:to>
      <xdr:col>6</xdr:col>
      <xdr:colOff>57150</xdr:colOff>
      <xdr:row>17</xdr:row>
      <xdr:rowOff>57150</xdr:rowOff>
    </xdr:to>
    <xdr:sp macro="" textlink="">
      <xdr:nvSpPr>
        <xdr:cNvPr id="13030" name="Freeform 76">
          <a:extLst>
            <a:ext uri="{FF2B5EF4-FFF2-40B4-BE49-F238E27FC236}">
              <a16:creationId xmlns:a16="http://schemas.microsoft.com/office/drawing/2014/main" id="{00000000-0008-0000-0A00-0000E6320000}"/>
            </a:ext>
          </a:extLst>
        </xdr:cNvPr>
        <xdr:cNvSpPr>
          <a:spLocks noChangeAspect="1"/>
        </xdr:cNvSpPr>
      </xdr:nvSpPr>
      <xdr:spPr bwMode="auto">
        <a:xfrm>
          <a:off x="3419475" y="3238500"/>
          <a:ext cx="9525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47625</xdr:colOff>
      <xdr:row>17</xdr:row>
      <xdr:rowOff>19050</xdr:rowOff>
    </xdr:from>
    <xdr:to>
      <xdr:col>6</xdr:col>
      <xdr:colOff>438150</xdr:colOff>
      <xdr:row>17</xdr:row>
      <xdr:rowOff>57150</xdr:rowOff>
    </xdr:to>
    <xdr:sp macro="" textlink="">
      <xdr:nvSpPr>
        <xdr:cNvPr id="13031" name="Freeform 77">
          <a:extLst>
            <a:ext uri="{FF2B5EF4-FFF2-40B4-BE49-F238E27FC236}">
              <a16:creationId xmlns:a16="http://schemas.microsoft.com/office/drawing/2014/main" id="{00000000-0008-0000-0A00-0000E7320000}"/>
            </a:ext>
          </a:extLst>
        </xdr:cNvPr>
        <xdr:cNvSpPr>
          <a:spLocks noChangeAspect="1"/>
        </xdr:cNvSpPr>
      </xdr:nvSpPr>
      <xdr:spPr bwMode="auto">
        <a:xfrm>
          <a:off x="3419475" y="3238500"/>
          <a:ext cx="390525" cy="38100"/>
        </a:xfrm>
        <a:custGeom>
          <a:avLst/>
          <a:gdLst>
            <a:gd name="T0" fmla="*/ 0 w 918"/>
            <a:gd name="T1" fmla="*/ 0 h 104"/>
            <a:gd name="T2" fmla="*/ 0 w 918"/>
            <a:gd name="T3" fmla="*/ 0 h 104"/>
            <a:gd name="T4" fmla="*/ 0 w 918"/>
            <a:gd name="T5" fmla="*/ 0 h 104"/>
            <a:gd name="T6" fmla="*/ 2147483647 w 918"/>
            <a:gd name="T7" fmla="*/ 0 h 104"/>
            <a:gd name="T8" fmla="*/ 2147483647 w 918"/>
            <a:gd name="T9" fmla="*/ 0 h 104"/>
            <a:gd name="T10" fmla="*/ 2147483647 w 918"/>
            <a:gd name="T11" fmla="*/ 0 h 104"/>
            <a:gd name="T12" fmla="*/ 0 w 918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8"/>
            <a:gd name="T22" fmla="*/ 0 h 104"/>
            <a:gd name="T23" fmla="*/ 918 w 918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8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8" y="104"/>
              </a:lnTo>
              <a:lnTo>
                <a:pt x="918" y="53"/>
              </a:lnTo>
              <a:lnTo>
                <a:pt x="918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47625</xdr:colOff>
      <xdr:row>17</xdr:row>
      <xdr:rowOff>19050</xdr:rowOff>
    </xdr:from>
    <xdr:to>
      <xdr:col>6</xdr:col>
      <xdr:colOff>438150</xdr:colOff>
      <xdr:row>17</xdr:row>
      <xdr:rowOff>57150</xdr:rowOff>
    </xdr:to>
    <xdr:sp macro="" textlink="">
      <xdr:nvSpPr>
        <xdr:cNvPr id="13032" name="Freeform 78">
          <a:extLst>
            <a:ext uri="{FF2B5EF4-FFF2-40B4-BE49-F238E27FC236}">
              <a16:creationId xmlns:a16="http://schemas.microsoft.com/office/drawing/2014/main" id="{00000000-0008-0000-0A00-0000E8320000}"/>
            </a:ext>
          </a:extLst>
        </xdr:cNvPr>
        <xdr:cNvSpPr>
          <a:spLocks noChangeAspect="1"/>
        </xdr:cNvSpPr>
      </xdr:nvSpPr>
      <xdr:spPr bwMode="auto">
        <a:xfrm>
          <a:off x="3419475" y="3238500"/>
          <a:ext cx="390525" cy="38100"/>
        </a:xfrm>
        <a:custGeom>
          <a:avLst/>
          <a:gdLst>
            <a:gd name="T0" fmla="*/ 0 w 918"/>
            <a:gd name="T1" fmla="*/ 0 h 104"/>
            <a:gd name="T2" fmla="*/ 0 w 918"/>
            <a:gd name="T3" fmla="*/ 0 h 104"/>
            <a:gd name="T4" fmla="*/ 0 w 918"/>
            <a:gd name="T5" fmla="*/ 0 h 104"/>
            <a:gd name="T6" fmla="*/ 2147483647 w 918"/>
            <a:gd name="T7" fmla="*/ 0 h 104"/>
            <a:gd name="T8" fmla="*/ 2147483647 w 918"/>
            <a:gd name="T9" fmla="*/ 0 h 104"/>
            <a:gd name="T10" fmla="*/ 2147483647 w 918"/>
            <a:gd name="T11" fmla="*/ 0 h 104"/>
            <a:gd name="T12" fmla="*/ 0 w 918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8"/>
            <a:gd name="T22" fmla="*/ 0 h 104"/>
            <a:gd name="T23" fmla="*/ 918 w 918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8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8" y="104"/>
              </a:lnTo>
              <a:lnTo>
                <a:pt x="918" y="53"/>
              </a:lnTo>
              <a:lnTo>
                <a:pt x="918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9525</xdr:colOff>
      <xdr:row>17</xdr:row>
      <xdr:rowOff>19050</xdr:rowOff>
    </xdr:from>
    <xdr:to>
      <xdr:col>7</xdr:col>
      <xdr:colOff>9525</xdr:colOff>
      <xdr:row>17</xdr:row>
      <xdr:rowOff>57150</xdr:rowOff>
    </xdr:to>
    <xdr:sp macro="" textlink="">
      <xdr:nvSpPr>
        <xdr:cNvPr id="13033" name="Freeform 79">
          <a:extLst>
            <a:ext uri="{FF2B5EF4-FFF2-40B4-BE49-F238E27FC236}">
              <a16:creationId xmlns:a16="http://schemas.microsoft.com/office/drawing/2014/main" id="{00000000-0008-0000-0A00-0000E9320000}"/>
            </a:ext>
          </a:extLst>
        </xdr:cNvPr>
        <xdr:cNvSpPr>
          <a:spLocks noChangeAspect="1"/>
        </xdr:cNvSpPr>
      </xdr:nvSpPr>
      <xdr:spPr bwMode="auto">
        <a:xfrm>
          <a:off x="3914775" y="3238500"/>
          <a:ext cx="0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0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3"/>
              </a:moveTo>
              <a:lnTo>
                <a:pt x="0" y="0"/>
              </a:lnTo>
              <a:lnTo>
                <a:pt x="12" y="2"/>
              </a:lnTo>
              <a:lnTo>
                <a:pt x="22" y="6"/>
              </a:lnTo>
              <a:lnTo>
                <a:pt x="33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3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3" y="94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9525</xdr:colOff>
      <xdr:row>17</xdr:row>
      <xdr:rowOff>19050</xdr:rowOff>
    </xdr:from>
    <xdr:to>
      <xdr:col>7</xdr:col>
      <xdr:colOff>9525</xdr:colOff>
      <xdr:row>17</xdr:row>
      <xdr:rowOff>57150</xdr:rowOff>
    </xdr:to>
    <xdr:sp macro="" textlink="">
      <xdr:nvSpPr>
        <xdr:cNvPr id="13034" name="Freeform 80">
          <a:extLst>
            <a:ext uri="{FF2B5EF4-FFF2-40B4-BE49-F238E27FC236}">
              <a16:creationId xmlns:a16="http://schemas.microsoft.com/office/drawing/2014/main" id="{00000000-0008-0000-0A00-0000EA320000}"/>
            </a:ext>
          </a:extLst>
        </xdr:cNvPr>
        <xdr:cNvSpPr>
          <a:spLocks noChangeAspect="1"/>
        </xdr:cNvSpPr>
      </xdr:nvSpPr>
      <xdr:spPr bwMode="auto">
        <a:xfrm>
          <a:off x="3914775" y="3238500"/>
          <a:ext cx="0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0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6"/>
              </a:lnTo>
              <a:lnTo>
                <a:pt x="33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3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3" y="94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9525</xdr:colOff>
      <xdr:row>17</xdr:row>
      <xdr:rowOff>19050</xdr:rowOff>
    </xdr:from>
    <xdr:to>
      <xdr:col>7</xdr:col>
      <xdr:colOff>19050</xdr:colOff>
      <xdr:row>17</xdr:row>
      <xdr:rowOff>57150</xdr:rowOff>
    </xdr:to>
    <xdr:sp macro="" textlink="">
      <xdr:nvSpPr>
        <xdr:cNvPr id="13035" name="Freeform 81">
          <a:extLst>
            <a:ext uri="{FF2B5EF4-FFF2-40B4-BE49-F238E27FC236}">
              <a16:creationId xmlns:a16="http://schemas.microsoft.com/office/drawing/2014/main" id="{00000000-0008-0000-0A00-0000EB320000}"/>
            </a:ext>
          </a:extLst>
        </xdr:cNvPr>
        <xdr:cNvSpPr>
          <a:spLocks noChangeAspect="1"/>
        </xdr:cNvSpPr>
      </xdr:nvSpPr>
      <xdr:spPr bwMode="auto">
        <a:xfrm>
          <a:off x="3914775" y="3238500"/>
          <a:ext cx="9525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3"/>
              </a:moveTo>
              <a:lnTo>
                <a:pt x="51" y="104"/>
              </a:lnTo>
              <a:lnTo>
                <a:pt x="39" y="103"/>
              </a:lnTo>
              <a:lnTo>
                <a:pt x="29" y="100"/>
              </a:lnTo>
              <a:lnTo>
                <a:pt x="18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8" y="12"/>
              </a:lnTo>
              <a:lnTo>
                <a:pt x="29" y="6"/>
              </a:lnTo>
              <a:lnTo>
                <a:pt x="39" y="2"/>
              </a:lnTo>
              <a:lnTo>
                <a:pt x="51" y="0"/>
              </a:lnTo>
              <a:lnTo>
                <a:pt x="51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9525</xdr:colOff>
      <xdr:row>17</xdr:row>
      <xdr:rowOff>19050</xdr:rowOff>
    </xdr:from>
    <xdr:to>
      <xdr:col>7</xdr:col>
      <xdr:colOff>19050</xdr:colOff>
      <xdr:row>17</xdr:row>
      <xdr:rowOff>57150</xdr:rowOff>
    </xdr:to>
    <xdr:sp macro="" textlink="">
      <xdr:nvSpPr>
        <xdr:cNvPr id="13036" name="Freeform 82">
          <a:extLst>
            <a:ext uri="{FF2B5EF4-FFF2-40B4-BE49-F238E27FC236}">
              <a16:creationId xmlns:a16="http://schemas.microsoft.com/office/drawing/2014/main" id="{00000000-0008-0000-0A00-0000EC320000}"/>
            </a:ext>
          </a:extLst>
        </xdr:cNvPr>
        <xdr:cNvSpPr>
          <a:spLocks noChangeAspect="1"/>
        </xdr:cNvSpPr>
      </xdr:nvSpPr>
      <xdr:spPr bwMode="auto">
        <a:xfrm>
          <a:off x="3914775" y="3238500"/>
          <a:ext cx="9525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39" y="103"/>
              </a:lnTo>
              <a:lnTo>
                <a:pt x="29" y="100"/>
              </a:lnTo>
              <a:lnTo>
                <a:pt x="18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8" y="12"/>
              </a:lnTo>
              <a:lnTo>
                <a:pt x="29" y="6"/>
              </a:lnTo>
              <a:lnTo>
                <a:pt x="39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28575</xdr:colOff>
      <xdr:row>17</xdr:row>
      <xdr:rowOff>19050</xdr:rowOff>
    </xdr:from>
    <xdr:to>
      <xdr:col>7</xdr:col>
      <xdr:colOff>428625</xdr:colOff>
      <xdr:row>17</xdr:row>
      <xdr:rowOff>57150</xdr:rowOff>
    </xdr:to>
    <xdr:sp macro="" textlink="">
      <xdr:nvSpPr>
        <xdr:cNvPr id="13037" name="Freeform 83">
          <a:extLst>
            <a:ext uri="{FF2B5EF4-FFF2-40B4-BE49-F238E27FC236}">
              <a16:creationId xmlns:a16="http://schemas.microsoft.com/office/drawing/2014/main" id="{00000000-0008-0000-0A00-0000ED320000}"/>
            </a:ext>
          </a:extLst>
        </xdr:cNvPr>
        <xdr:cNvSpPr>
          <a:spLocks noChangeAspect="1"/>
        </xdr:cNvSpPr>
      </xdr:nvSpPr>
      <xdr:spPr bwMode="auto">
        <a:xfrm>
          <a:off x="3933825" y="3238500"/>
          <a:ext cx="400050" cy="38100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7" y="104"/>
              </a:lnTo>
              <a:lnTo>
                <a:pt x="917" y="53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28575</xdr:colOff>
      <xdr:row>17</xdr:row>
      <xdr:rowOff>19050</xdr:rowOff>
    </xdr:from>
    <xdr:to>
      <xdr:col>7</xdr:col>
      <xdr:colOff>428625</xdr:colOff>
      <xdr:row>17</xdr:row>
      <xdr:rowOff>57150</xdr:rowOff>
    </xdr:to>
    <xdr:sp macro="" textlink="">
      <xdr:nvSpPr>
        <xdr:cNvPr id="13038" name="Freeform 84">
          <a:extLst>
            <a:ext uri="{FF2B5EF4-FFF2-40B4-BE49-F238E27FC236}">
              <a16:creationId xmlns:a16="http://schemas.microsoft.com/office/drawing/2014/main" id="{00000000-0008-0000-0A00-0000EE320000}"/>
            </a:ext>
          </a:extLst>
        </xdr:cNvPr>
        <xdr:cNvSpPr>
          <a:spLocks noChangeAspect="1"/>
        </xdr:cNvSpPr>
      </xdr:nvSpPr>
      <xdr:spPr bwMode="auto">
        <a:xfrm>
          <a:off x="3933825" y="3238500"/>
          <a:ext cx="400050" cy="38100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7" y="104"/>
              </a:lnTo>
              <a:lnTo>
                <a:pt x="917" y="53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428625</xdr:colOff>
      <xdr:row>17</xdr:row>
      <xdr:rowOff>19050</xdr:rowOff>
    </xdr:from>
    <xdr:to>
      <xdr:col>7</xdr:col>
      <xdr:colOff>438150</xdr:colOff>
      <xdr:row>17</xdr:row>
      <xdr:rowOff>57150</xdr:rowOff>
    </xdr:to>
    <xdr:sp macro="" textlink="">
      <xdr:nvSpPr>
        <xdr:cNvPr id="13039" name="Freeform 85">
          <a:extLst>
            <a:ext uri="{FF2B5EF4-FFF2-40B4-BE49-F238E27FC236}">
              <a16:creationId xmlns:a16="http://schemas.microsoft.com/office/drawing/2014/main" id="{00000000-0008-0000-0A00-0000EF320000}"/>
            </a:ext>
          </a:extLst>
        </xdr:cNvPr>
        <xdr:cNvSpPr>
          <a:spLocks noChangeAspect="1"/>
        </xdr:cNvSpPr>
      </xdr:nvSpPr>
      <xdr:spPr bwMode="auto">
        <a:xfrm>
          <a:off x="4333875" y="3238500"/>
          <a:ext cx="952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3"/>
              </a:moveTo>
              <a:lnTo>
                <a:pt x="0" y="0"/>
              </a:lnTo>
              <a:lnTo>
                <a:pt x="11" y="2"/>
              </a:lnTo>
              <a:lnTo>
                <a:pt x="22" y="6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428625</xdr:colOff>
      <xdr:row>17</xdr:row>
      <xdr:rowOff>19050</xdr:rowOff>
    </xdr:from>
    <xdr:to>
      <xdr:col>7</xdr:col>
      <xdr:colOff>438150</xdr:colOff>
      <xdr:row>17</xdr:row>
      <xdr:rowOff>57150</xdr:rowOff>
    </xdr:to>
    <xdr:sp macro="" textlink="">
      <xdr:nvSpPr>
        <xdr:cNvPr id="13040" name="Freeform 86">
          <a:extLst>
            <a:ext uri="{FF2B5EF4-FFF2-40B4-BE49-F238E27FC236}">
              <a16:creationId xmlns:a16="http://schemas.microsoft.com/office/drawing/2014/main" id="{00000000-0008-0000-0A00-0000F0320000}"/>
            </a:ext>
          </a:extLst>
        </xdr:cNvPr>
        <xdr:cNvSpPr>
          <a:spLocks noChangeAspect="1"/>
        </xdr:cNvSpPr>
      </xdr:nvSpPr>
      <xdr:spPr bwMode="auto">
        <a:xfrm>
          <a:off x="4333875" y="3238500"/>
          <a:ext cx="952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6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9525</xdr:colOff>
      <xdr:row>17</xdr:row>
      <xdr:rowOff>19050</xdr:rowOff>
    </xdr:from>
    <xdr:to>
      <xdr:col>8</xdr:col>
      <xdr:colOff>19050</xdr:colOff>
      <xdr:row>17</xdr:row>
      <xdr:rowOff>57150</xdr:rowOff>
    </xdr:to>
    <xdr:sp macro="" textlink="">
      <xdr:nvSpPr>
        <xdr:cNvPr id="13041" name="Freeform 87">
          <a:extLst>
            <a:ext uri="{FF2B5EF4-FFF2-40B4-BE49-F238E27FC236}">
              <a16:creationId xmlns:a16="http://schemas.microsoft.com/office/drawing/2014/main" id="{00000000-0008-0000-0A00-0000F1320000}"/>
            </a:ext>
          </a:extLst>
        </xdr:cNvPr>
        <xdr:cNvSpPr>
          <a:spLocks noChangeAspect="1"/>
        </xdr:cNvSpPr>
      </xdr:nvSpPr>
      <xdr:spPr bwMode="auto">
        <a:xfrm>
          <a:off x="4448175" y="3238500"/>
          <a:ext cx="952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3"/>
              </a:moveTo>
              <a:lnTo>
                <a:pt x="52" y="104"/>
              </a:ln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2" y="0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9525</xdr:colOff>
      <xdr:row>17</xdr:row>
      <xdr:rowOff>19050</xdr:rowOff>
    </xdr:from>
    <xdr:to>
      <xdr:col>8</xdr:col>
      <xdr:colOff>19050</xdr:colOff>
      <xdr:row>17</xdr:row>
      <xdr:rowOff>57150</xdr:rowOff>
    </xdr:to>
    <xdr:sp macro="" textlink="">
      <xdr:nvSpPr>
        <xdr:cNvPr id="13042" name="Freeform 88">
          <a:extLst>
            <a:ext uri="{FF2B5EF4-FFF2-40B4-BE49-F238E27FC236}">
              <a16:creationId xmlns:a16="http://schemas.microsoft.com/office/drawing/2014/main" id="{00000000-0008-0000-0A00-0000F2320000}"/>
            </a:ext>
          </a:extLst>
        </xdr:cNvPr>
        <xdr:cNvSpPr>
          <a:spLocks noChangeAspect="1"/>
        </xdr:cNvSpPr>
      </xdr:nvSpPr>
      <xdr:spPr bwMode="auto">
        <a:xfrm>
          <a:off x="4448175" y="3238500"/>
          <a:ext cx="952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9525</xdr:colOff>
      <xdr:row>17</xdr:row>
      <xdr:rowOff>19050</xdr:rowOff>
    </xdr:from>
    <xdr:to>
      <xdr:col>8</xdr:col>
      <xdr:colOff>381000</xdr:colOff>
      <xdr:row>17</xdr:row>
      <xdr:rowOff>57150</xdr:rowOff>
    </xdr:to>
    <xdr:sp macro="" textlink="">
      <xdr:nvSpPr>
        <xdr:cNvPr id="13043" name="Freeform 89">
          <a:extLst>
            <a:ext uri="{FF2B5EF4-FFF2-40B4-BE49-F238E27FC236}">
              <a16:creationId xmlns:a16="http://schemas.microsoft.com/office/drawing/2014/main" id="{00000000-0008-0000-0A00-0000F3320000}"/>
            </a:ext>
          </a:extLst>
        </xdr:cNvPr>
        <xdr:cNvSpPr>
          <a:spLocks noChangeAspect="1"/>
        </xdr:cNvSpPr>
      </xdr:nvSpPr>
      <xdr:spPr bwMode="auto">
        <a:xfrm>
          <a:off x="4448175" y="3238500"/>
          <a:ext cx="371475" cy="38100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7" y="104"/>
              </a:lnTo>
              <a:lnTo>
                <a:pt x="917" y="53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9525</xdr:colOff>
      <xdr:row>17</xdr:row>
      <xdr:rowOff>19050</xdr:rowOff>
    </xdr:from>
    <xdr:to>
      <xdr:col>8</xdr:col>
      <xdr:colOff>381000</xdr:colOff>
      <xdr:row>17</xdr:row>
      <xdr:rowOff>57150</xdr:rowOff>
    </xdr:to>
    <xdr:sp macro="" textlink="">
      <xdr:nvSpPr>
        <xdr:cNvPr id="13044" name="Freeform 90">
          <a:extLst>
            <a:ext uri="{FF2B5EF4-FFF2-40B4-BE49-F238E27FC236}">
              <a16:creationId xmlns:a16="http://schemas.microsoft.com/office/drawing/2014/main" id="{00000000-0008-0000-0A00-0000F4320000}"/>
            </a:ext>
          </a:extLst>
        </xdr:cNvPr>
        <xdr:cNvSpPr>
          <a:spLocks noChangeAspect="1"/>
        </xdr:cNvSpPr>
      </xdr:nvSpPr>
      <xdr:spPr bwMode="auto">
        <a:xfrm>
          <a:off x="4448175" y="3238500"/>
          <a:ext cx="371475" cy="38100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7" y="104"/>
              </a:lnTo>
              <a:lnTo>
                <a:pt x="917" y="53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390525</xdr:colOff>
      <xdr:row>17</xdr:row>
      <xdr:rowOff>19050</xdr:rowOff>
    </xdr:from>
    <xdr:to>
      <xdr:col>8</xdr:col>
      <xdr:colOff>409575</xdr:colOff>
      <xdr:row>17</xdr:row>
      <xdr:rowOff>57150</xdr:rowOff>
    </xdr:to>
    <xdr:sp macro="" textlink="">
      <xdr:nvSpPr>
        <xdr:cNvPr id="13045" name="Freeform 91">
          <a:extLst>
            <a:ext uri="{FF2B5EF4-FFF2-40B4-BE49-F238E27FC236}">
              <a16:creationId xmlns:a16="http://schemas.microsoft.com/office/drawing/2014/main" id="{00000000-0008-0000-0A00-0000F5320000}"/>
            </a:ext>
          </a:extLst>
        </xdr:cNvPr>
        <xdr:cNvSpPr>
          <a:spLocks noChangeAspect="1"/>
        </xdr:cNvSpPr>
      </xdr:nvSpPr>
      <xdr:spPr bwMode="auto">
        <a:xfrm>
          <a:off x="4829175" y="3238500"/>
          <a:ext cx="19050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3"/>
              </a:moveTo>
              <a:lnTo>
                <a:pt x="0" y="0"/>
              </a:lnTo>
              <a:lnTo>
                <a:pt x="12" y="2"/>
              </a:lnTo>
              <a:lnTo>
                <a:pt x="22" y="6"/>
              </a:lnTo>
              <a:lnTo>
                <a:pt x="33" y="12"/>
              </a:lnTo>
              <a:lnTo>
                <a:pt x="41" y="20"/>
              </a:lnTo>
              <a:lnTo>
                <a:pt x="47" y="31"/>
              </a:lnTo>
              <a:lnTo>
                <a:pt x="51" y="41"/>
              </a:lnTo>
              <a:lnTo>
                <a:pt x="53" y="53"/>
              </a:lnTo>
              <a:lnTo>
                <a:pt x="51" y="64"/>
              </a:lnTo>
              <a:lnTo>
                <a:pt x="47" y="75"/>
              </a:lnTo>
              <a:lnTo>
                <a:pt x="41" y="85"/>
              </a:lnTo>
              <a:lnTo>
                <a:pt x="33" y="94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390525</xdr:colOff>
      <xdr:row>17</xdr:row>
      <xdr:rowOff>19050</xdr:rowOff>
    </xdr:from>
    <xdr:to>
      <xdr:col>8</xdr:col>
      <xdr:colOff>409575</xdr:colOff>
      <xdr:row>17</xdr:row>
      <xdr:rowOff>57150</xdr:rowOff>
    </xdr:to>
    <xdr:sp macro="" textlink="">
      <xdr:nvSpPr>
        <xdr:cNvPr id="13046" name="Freeform 92">
          <a:extLst>
            <a:ext uri="{FF2B5EF4-FFF2-40B4-BE49-F238E27FC236}">
              <a16:creationId xmlns:a16="http://schemas.microsoft.com/office/drawing/2014/main" id="{00000000-0008-0000-0A00-0000F6320000}"/>
            </a:ext>
          </a:extLst>
        </xdr:cNvPr>
        <xdr:cNvSpPr>
          <a:spLocks noChangeAspect="1"/>
        </xdr:cNvSpPr>
      </xdr:nvSpPr>
      <xdr:spPr bwMode="auto">
        <a:xfrm>
          <a:off x="4829175" y="3238500"/>
          <a:ext cx="19050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6"/>
              </a:lnTo>
              <a:lnTo>
                <a:pt x="33" y="12"/>
              </a:lnTo>
              <a:lnTo>
                <a:pt x="41" y="20"/>
              </a:lnTo>
              <a:lnTo>
                <a:pt x="47" y="31"/>
              </a:lnTo>
              <a:lnTo>
                <a:pt x="51" y="41"/>
              </a:lnTo>
              <a:lnTo>
                <a:pt x="53" y="53"/>
              </a:lnTo>
              <a:lnTo>
                <a:pt x="51" y="64"/>
              </a:lnTo>
              <a:lnTo>
                <a:pt x="47" y="75"/>
              </a:lnTo>
              <a:lnTo>
                <a:pt x="41" y="85"/>
              </a:lnTo>
              <a:lnTo>
                <a:pt x="33" y="94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9525</xdr:colOff>
      <xdr:row>17</xdr:row>
      <xdr:rowOff>19050</xdr:rowOff>
    </xdr:from>
    <xdr:to>
      <xdr:col>9</xdr:col>
      <xdr:colOff>9525</xdr:colOff>
      <xdr:row>17</xdr:row>
      <xdr:rowOff>57150</xdr:rowOff>
    </xdr:to>
    <xdr:sp macro="" textlink="">
      <xdr:nvSpPr>
        <xdr:cNvPr id="13047" name="Freeform 93">
          <a:extLst>
            <a:ext uri="{FF2B5EF4-FFF2-40B4-BE49-F238E27FC236}">
              <a16:creationId xmlns:a16="http://schemas.microsoft.com/office/drawing/2014/main" id="{00000000-0008-0000-0A00-0000F7320000}"/>
            </a:ext>
          </a:extLst>
        </xdr:cNvPr>
        <xdr:cNvSpPr>
          <a:spLocks noChangeAspect="1"/>
        </xdr:cNvSpPr>
      </xdr:nvSpPr>
      <xdr:spPr bwMode="auto">
        <a:xfrm>
          <a:off x="4981575" y="3238500"/>
          <a:ext cx="0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0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3"/>
              </a:moveTo>
              <a:lnTo>
                <a:pt x="51" y="104"/>
              </a:ln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1" y="0"/>
              </a:lnTo>
              <a:lnTo>
                <a:pt x="51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9525</xdr:colOff>
      <xdr:row>17</xdr:row>
      <xdr:rowOff>19050</xdr:rowOff>
    </xdr:from>
    <xdr:to>
      <xdr:col>9</xdr:col>
      <xdr:colOff>9525</xdr:colOff>
      <xdr:row>17</xdr:row>
      <xdr:rowOff>57150</xdr:rowOff>
    </xdr:to>
    <xdr:sp macro="" textlink="">
      <xdr:nvSpPr>
        <xdr:cNvPr id="13048" name="Freeform 94">
          <a:extLst>
            <a:ext uri="{FF2B5EF4-FFF2-40B4-BE49-F238E27FC236}">
              <a16:creationId xmlns:a16="http://schemas.microsoft.com/office/drawing/2014/main" id="{00000000-0008-0000-0A00-0000F8320000}"/>
            </a:ext>
          </a:extLst>
        </xdr:cNvPr>
        <xdr:cNvSpPr>
          <a:spLocks noChangeAspect="1"/>
        </xdr:cNvSpPr>
      </xdr:nvSpPr>
      <xdr:spPr bwMode="auto">
        <a:xfrm>
          <a:off x="4981575" y="3238500"/>
          <a:ext cx="0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0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9525</xdr:colOff>
      <xdr:row>17</xdr:row>
      <xdr:rowOff>19050</xdr:rowOff>
    </xdr:from>
    <xdr:to>
      <xdr:col>9</xdr:col>
      <xdr:colOff>361950</xdr:colOff>
      <xdr:row>17</xdr:row>
      <xdr:rowOff>57150</xdr:rowOff>
    </xdr:to>
    <xdr:sp macro="" textlink="">
      <xdr:nvSpPr>
        <xdr:cNvPr id="13049" name="Freeform 95">
          <a:extLst>
            <a:ext uri="{FF2B5EF4-FFF2-40B4-BE49-F238E27FC236}">
              <a16:creationId xmlns:a16="http://schemas.microsoft.com/office/drawing/2014/main" id="{00000000-0008-0000-0A00-0000F9320000}"/>
            </a:ext>
          </a:extLst>
        </xdr:cNvPr>
        <xdr:cNvSpPr>
          <a:spLocks noChangeAspect="1"/>
        </xdr:cNvSpPr>
      </xdr:nvSpPr>
      <xdr:spPr bwMode="auto">
        <a:xfrm>
          <a:off x="4981575" y="3238500"/>
          <a:ext cx="352425" cy="38100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7" y="104"/>
              </a:lnTo>
              <a:lnTo>
                <a:pt x="917" y="53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9525</xdr:colOff>
      <xdr:row>17</xdr:row>
      <xdr:rowOff>19050</xdr:rowOff>
    </xdr:from>
    <xdr:to>
      <xdr:col>9</xdr:col>
      <xdr:colOff>361950</xdr:colOff>
      <xdr:row>17</xdr:row>
      <xdr:rowOff>57150</xdr:rowOff>
    </xdr:to>
    <xdr:sp macro="" textlink="">
      <xdr:nvSpPr>
        <xdr:cNvPr id="13050" name="Freeform 96">
          <a:extLst>
            <a:ext uri="{FF2B5EF4-FFF2-40B4-BE49-F238E27FC236}">
              <a16:creationId xmlns:a16="http://schemas.microsoft.com/office/drawing/2014/main" id="{00000000-0008-0000-0A00-0000FA320000}"/>
            </a:ext>
          </a:extLst>
        </xdr:cNvPr>
        <xdr:cNvSpPr>
          <a:spLocks noChangeAspect="1"/>
        </xdr:cNvSpPr>
      </xdr:nvSpPr>
      <xdr:spPr bwMode="auto">
        <a:xfrm>
          <a:off x="4981575" y="3238500"/>
          <a:ext cx="352425" cy="38100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7" y="104"/>
              </a:lnTo>
              <a:lnTo>
                <a:pt x="917" y="53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361950</xdr:colOff>
      <xdr:row>17</xdr:row>
      <xdr:rowOff>19050</xdr:rowOff>
    </xdr:from>
    <xdr:to>
      <xdr:col>9</xdr:col>
      <xdr:colOff>371475</xdr:colOff>
      <xdr:row>17</xdr:row>
      <xdr:rowOff>57150</xdr:rowOff>
    </xdr:to>
    <xdr:sp macro="" textlink="">
      <xdr:nvSpPr>
        <xdr:cNvPr id="13051" name="Freeform 97">
          <a:extLst>
            <a:ext uri="{FF2B5EF4-FFF2-40B4-BE49-F238E27FC236}">
              <a16:creationId xmlns:a16="http://schemas.microsoft.com/office/drawing/2014/main" id="{00000000-0008-0000-0A00-0000FB320000}"/>
            </a:ext>
          </a:extLst>
        </xdr:cNvPr>
        <xdr:cNvSpPr>
          <a:spLocks noChangeAspect="1"/>
        </xdr:cNvSpPr>
      </xdr:nvSpPr>
      <xdr:spPr bwMode="auto">
        <a:xfrm>
          <a:off x="5334000" y="3238500"/>
          <a:ext cx="952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3"/>
              </a:moveTo>
              <a:lnTo>
                <a:pt x="0" y="0"/>
              </a:lnTo>
              <a:lnTo>
                <a:pt x="11" y="2"/>
              </a:lnTo>
              <a:lnTo>
                <a:pt x="22" y="6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361950</xdr:colOff>
      <xdr:row>17</xdr:row>
      <xdr:rowOff>19050</xdr:rowOff>
    </xdr:from>
    <xdr:to>
      <xdr:col>9</xdr:col>
      <xdr:colOff>371475</xdr:colOff>
      <xdr:row>17</xdr:row>
      <xdr:rowOff>57150</xdr:rowOff>
    </xdr:to>
    <xdr:sp macro="" textlink="">
      <xdr:nvSpPr>
        <xdr:cNvPr id="13052" name="Freeform 98">
          <a:extLst>
            <a:ext uri="{FF2B5EF4-FFF2-40B4-BE49-F238E27FC236}">
              <a16:creationId xmlns:a16="http://schemas.microsoft.com/office/drawing/2014/main" id="{00000000-0008-0000-0A00-0000FC320000}"/>
            </a:ext>
          </a:extLst>
        </xdr:cNvPr>
        <xdr:cNvSpPr>
          <a:spLocks noChangeAspect="1"/>
        </xdr:cNvSpPr>
      </xdr:nvSpPr>
      <xdr:spPr bwMode="auto">
        <a:xfrm>
          <a:off x="5334000" y="3238500"/>
          <a:ext cx="952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6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9525</xdr:colOff>
      <xdr:row>17</xdr:row>
      <xdr:rowOff>19050</xdr:rowOff>
    </xdr:from>
    <xdr:to>
      <xdr:col>10</xdr:col>
      <xdr:colOff>9525</xdr:colOff>
      <xdr:row>17</xdr:row>
      <xdr:rowOff>57150</xdr:rowOff>
    </xdr:to>
    <xdr:sp macro="" textlink="">
      <xdr:nvSpPr>
        <xdr:cNvPr id="13053" name="Freeform 99">
          <a:extLst>
            <a:ext uri="{FF2B5EF4-FFF2-40B4-BE49-F238E27FC236}">
              <a16:creationId xmlns:a16="http://schemas.microsoft.com/office/drawing/2014/main" id="{00000000-0008-0000-0A00-0000FD320000}"/>
            </a:ext>
          </a:extLst>
        </xdr:cNvPr>
        <xdr:cNvSpPr>
          <a:spLocks noChangeAspect="1"/>
        </xdr:cNvSpPr>
      </xdr:nvSpPr>
      <xdr:spPr bwMode="auto">
        <a:xfrm>
          <a:off x="5514975" y="3238500"/>
          <a:ext cx="0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0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3"/>
              </a:moveTo>
              <a:lnTo>
                <a:pt x="52" y="104"/>
              </a:ln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9525</xdr:colOff>
      <xdr:row>17</xdr:row>
      <xdr:rowOff>19050</xdr:rowOff>
    </xdr:from>
    <xdr:to>
      <xdr:col>10</xdr:col>
      <xdr:colOff>9525</xdr:colOff>
      <xdr:row>17</xdr:row>
      <xdr:rowOff>57150</xdr:rowOff>
    </xdr:to>
    <xdr:sp macro="" textlink="">
      <xdr:nvSpPr>
        <xdr:cNvPr id="13054" name="Freeform 100">
          <a:extLst>
            <a:ext uri="{FF2B5EF4-FFF2-40B4-BE49-F238E27FC236}">
              <a16:creationId xmlns:a16="http://schemas.microsoft.com/office/drawing/2014/main" id="{00000000-0008-0000-0A00-0000FE320000}"/>
            </a:ext>
          </a:extLst>
        </xdr:cNvPr>
        <xdr:cNvSpPr>
          <a:spLocks noChangeAspect="1"/>
        </xdr:cNvSpPr>
      </xdr:nvSpPr>
      <xdr:spPr bwMode="auto">
        <a:xfrm>
          <a:off x="5514975" y="3238500"/>
          <a:ext cx="0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0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9525</xdr:colOff>
      <xdr:row>17</xdr:row>
      <xdr:rowOff>19050</xdr:rowOff>
    </xdr:from>
    <xdr:to>
      <xdr:col>10</xdr:col>
      <xdr:colOff>352425</xdr:colOff>
      <xdr:row>17</xdr:row>
      <xdr:rowOff>57150</xdr:rowOff>
    </xdr:to>
    <xdr:sp macro="" textlink="">
      <xdr:nvSpPr>
        <xdr:cNvPr id="13055" name="Freeform 101">
          <a:extLst>
            <a:ext uri="{FF2B5EF4-FFF2-40B4-BE49-F238E27FC236}">
              <a16:creationId xmlns:a16="http://schemas.microsoft.com/office/drawing/2014/main" id="{00000000-0008-0000-0A00-0000FF320000}"/>
            </a:ext>
          </a:extLst>
        </xdr:cNvPr>
        <xdr:cNvSpPr>
          <a:spLocks noChangeAspect="1"/>
        </xdr:cNvSpPr>
      </xdr:nvSpPr>
      <xdr:spPr bwMode="auto">
        <a:xfrm>
          <a:off x="5514975" y="3238500"/>
          <a:ext cx="342900" cy="38100"/>
        </a:xfrm>
        <a:custGeom>
          <a:avLst/>
          <a:gdLst>
            <a:gd name="T0" fmla="*/ 0 w 916"/>
            <a:gd name="T1" fmla="*/ 0 h 104"/>
            <a:gd name="T2" fmla="*/ 0 w 916"/>
            <a:gd name="T3" fmla="*/ 0 h 104"/>
            <a:gd name="T4" fmla="*/ 0 w 916"/>
            <a:gd name="T5" fmla="*/ 0 h 104"/>
            <a:gd name="T6" fmla="*/ 2147483647 w 916"/>
            <a:gd name="T7" fmla="*/ 0 h 104"/>
            <a:gd name="T8" fmla="*/ 2147483647 w 916"/>
            <a:gd name="T9" fmla="*/ 0 h 104"/>
            <a:gd name="T10" fmla="*/ 2147483647 w 916"/>
            <a:gd name="T11" fmla="*/ 0 h 104"/>
            <a:gd name="T12" fmla="*/ 0 w 916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6"/>
            <a:gd name="T22" fmla="*/ 0 h 104"/>
            <a:gd name="T23" fmla="*/ 916 w 916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6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6" y="104"/>
              </a:lnTo>
              <a:lnTo>
                <a:pt x="916" y="53"/>
              </a:lnTo>
              <a:lnTo>
                <a:pt x="916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9525</xdr:colOff>
      <xdr:row>17</xdr:row>
      <xdr:rowOff>19050</xdr:rowOff>
    </xdr:from>
    <xdr:to>
      <xdr:col>10</xdr:col>
      <xdr:colOff>352425</xdr:colOff>
      <xdr:row>17</xdr:row>
      <xdr:rowOff>57150</xdr:rowOff>
    </xdr:to>
    <xdr:sp macro="" textlink="">
      <xdr:nvSpPr>
        <xdr:cNvPr id="13056" name="Freeform 102">
          <a:extLst>
            <a:ext uri="{FF2B5EF4-FFF2-40B4-BE49-F238E27FC236}">
              <a16:creationId xmlns:a16="http://schemas.microsoft.com/office/drawing/2014/main" id="{00000000-0008-0000-0A00-000000330000}"/>
            </a:ext>
          </a:extLst>
        </xdr:cNvPr>
        <xdr:cNvSpPr>
          <a:spLocks noChangeAspect="1"/>
        </xdr:cNvSpPr>
      </xdr:nvSpPr>
      <xdr:spPr bwMode="auto">
        <a:xfrm>
          <a:off x="5514975" y="3238500"/>
          <a:ext cx="342900" cy="38100"/>
        </a:xfrm>
        <a:custGeom>
          <a:avLst/>
          <a:gdLst>
            <a:gd name="T0" fmla="*/ 0 w 916"/>
            <a:gd name="T1" fmla="*/ 0 h 104"/>
            <a:gd name="T2" fmla="*/ 0 w 916"/>
            <a:gd name="T3" fmla="*/ 0 h 104"/>
            <a:gd name="T4" fmla="*/ 0 w 916"/>
            <a:gd name="T5" fmla="*/ 0 h 104"/>
            <a:gd name="T6" fmla="*/ 2147483647 w 916"/>
            <a:gd name="T7" fmla="*/ 0 h 104"/>
            <a:gd name="T8" fmla="*/ 2147483647 w 916"/>
            <a:gd name="T9" fmla="*/ 0 h 104"/>
            <a:gd name="T10" fmla="*/ 2147483647 w 916"/>
            <a:gd name="T11" fmla="*/ 0 h 104"/>
            <a:gd name="T12" fmla="*/ 0 w 916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6"/>
            <a:gd name="T22" fmla="*/ 0 h 104"/>
            <a:gd name="T23" fmla="*/ 916 w 916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6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16" y="104"/>
              </a:lnTo>
              <a:lnTo>
                <a:pt x="916" y="53"/>
              </a:lnTo>
              <a:lnTo>
                <a:pt x="916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333375</xdr:colOff>
      <xdr:row>17</xdr:row>
      <xdr:rowOff>19050</xdr:rowOff>
    </xdr:from>
    <xdr:to>
      <xdr:col>10</xdr:col>
      <xdr:colOff>361950</xdr:colOff>
      <xdr:row>17</xdr:row>
      <xdr:rowOff>57150</xdr:rowOff>
    </xdr:to>
    <xdr:sp macro="" textlink="">
      <xdr:nvSpPr>
        <xdr:cNvPr id="13057" name="Freeform 103">
          <a:extLst>
            <a:ext uri="{FF2B5EF4-FFF2-40B4-BE49-F238E27FC236}">
              <a16:creationId xmlns:a16="http://schemas.microsoft.com/office/drawing/2014/main" id="{00000000-0008-0000-0A00-000001330000}"/>
            </a:ext>
          </a:extLst>
        </xdr:cNvPr>
        <xdr:cNvSpPr>
          <a:spLocks noChangeAspect="1"/>
        </xdr:cNvSpPr>
      </xdr:nvSpPr>
      <xdr:spPr bwMode="auto">
        <a:xfrm>
          <a:off x="5838825" y="3238500"/>
          <a:ext cx="28575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3"/>
              </a:moveTo>
              <a:lnTo>
                <a:pt x="0" y="0"/>
              </a:lnTo>
              <a:lnTo>
                <a:pt x="12" y="2"/>
              </a:lnTo>
              <a:lnTo>
                <a:pt x="22" y="6"/>
              </a:lnTo>
              <a:lnTo>
                <a:pt x="33" y="12"/>
              </a:lnTo>
              <a:lnTo>
                <a:pt x="41" y="20"/>
              </a:lnTo>
              <a:lnTo>
                <a:pt x="48" y="31"/>
              </a:lnTo>
              <a:lnTo>
                <a:pt x="51" y="41"/>
              </a:lnTo>
              <a:lnTo>
                <a:pt x="53" y="53"/>
              </a:lnTo>
              <a:lnTo>
                <a:pt x="51" y="64"/>
              </a:lnTo>
              <a:lnTo>
                <a:pt x="48" y="75"/>
              </a:lnTo>
              <a:lnTo>
                <a:pt x="41" y="85"/>
              </a:lnTo>
              <a:lnTo>
                <a:pt x="33" y="94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333375</xdr:colOff>
      <xdr:row>17</xdr:row>
      <xdr:rowOff>19050</xdr:rowOff>
    </xdr:from>
    <xdr:to>
      <xdr:col>10</xdr:col>
      <xdr:colOff>361950</xdr:colOff>
      <xdr:row>17</xdr:row>
      <xdr:rowOff>57150</xdr:rowOff>
    </xdr:to>
    <xdr:sp macro="" textlink="">
      <xdr:nvSpPr>
        <xdr:cNvPr id="13058" name="Freeform 104">
          <a:extLst>
            <a:ext uri="{FF2B5EF4-FFF2-40B4-BE49-F238E27FC236}">
              <a16:creationId xmlns:a16="http://schemas.microsoft.com/office/drawing/2014/main" id="{00000000-0008-0000-0A00-000002330000}"/>
            </a:ext>
          </a:extLst>
        </xdr:cNvPr>
        <xdr:cNvSpPr>
          <a:spLocks noChangeAspect="1"/>
        </xdr:cNvSpPr>
      </xdr:nvSpPr>
      <xdr:spPr bwMode="auto">
        <a:xfrm>
          <a:off x="5838825" y="3238500"/>
          <a:ext cx="28575" cy="38100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6"/>
              </a:lnTo>
              <a:lnTo>
                <a:pt x="33" y="12"/>
              </a:lnTo>
              <a:lnTo>
                <a:pt x="41" y="20"/>
              </a:lnTo>
              <a:lnTo>
                <a:pt x="48" y="31"/>
              </a:lnTo>
              <a:lnTo>
                <a:pt x="51" y="41"/>
              </a:lnTo>
              <a:lnTo>
                <a:pt x="53" y="53"/>
              </a:lnTo>
              <a:lnTo>
                <a:pt x="51" y="64"/>
              </a:lnTo>
              <a:lnTo>
                <a:pt x="48" y="75"/>
              </a:lnTo>
              <a:lnTo>
                <a:pt x="41" y="85"/>
              </a:lnTo>
              <a:lnTo>
                <a:pt x="33" y="94"/>
              </a:lnTo>
              <a:lnTo>
                <a:pt x="22" y="100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409575</xdr:colOff>
      <xdr:row>17</xdr:row>
      <xdr:rowOff>19050</xdr:rowOff>
    </xdr:from>
    <xdr:to>
      <xdr:col>10</xdr:col>
      <xdr:colOff>438150</xdr:colOff>
      <xdr:row>17</xdr:row>
      <xdr:rowOff>57150</xdr:rowOff>
    </xdr:to>
    <xdr:sp macro="" textlink="">
      <xdr:nvSpPr>
        <xdr:cNvPr id="13059" name="Freeform 105">
          <a:extLst>
            <a:ext uri="{FF2B5EF4-FFF2-40B4-BE49-F238E27FC236}">
              <a16:creationId xmlns:a16="http://schemas.microsoft.com/office/drawing/2014/main" id="{00000000-0008-0000-0A00-000003330000}"/>
            </a:ext>
          </a:extLst>
        </xdr:cNvPr>
        <xdr:cNvSpPr>
          <a:spLocks noChangeAspect="1"/>
        </xdr:cNvSpPr>
      </xdr:nvSpPr>
      <xdr:spPr bwMode="auto">
        <a:xfrm>
          <a:off x="5915025" y="3238500"/>
          <a:ext cx="28575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3"/>
              </a:moveTo>
              <a:lnTo>
                <a:pt x="51" y="104"/>
              </a:ln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1" y="0"/>
              </a:lnTo>
              <a:lnTo>
                <a:pt x="51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409575</xdr:colOff>
      <xdr:row>17</xdr:row>
      <xdr:rowOff>19050</xdr:rowOff>
    </xdr:from>
    <xdr:to>
      <xdr:col>10</xdr:col>
      <xdr:colOff>438150</xdr:colOff>
      <xdr:row>17</xdr:row>
      <xdr:rowOff>57150</xdr:rowOff>
    </xdr:to>
    <xdr:sp macro="" textlink="">
      <xdr:nvSpPr>
        <xdr:cNvPr id="13060" name="Freeform 106">
          <a:extLst>
            <a:ext uri="{FF2B5EF4-FFF2-40B4-BE49-F238E27FC236}">
              <a16:creationId xmlns:a16="http://schemas.microsoft.com/office/drawing/2014/main" id="{00000000-0008-0000-0A00-000004330000}"/>
            </a:ext>
          </a:extLst>
        </xdr:cNvPr>
        <xdr:cNvSpPr>
          <a:spLocks noChangeAspect="1"/>
        </xdr:cNvSpPr>
      </xdr:nvSpPr>
      <xdr:spPr bwMode="auto">
        <a:xfrm>
          <a:off x="5915025" y="3238500"/>
          <a:ext cx="28575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100"/>
              </a:lnTo>
              <a:lnTo>
                <a:pt x="19" y="94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0" y="20"/>
              </a:lnTo>
              <a:lnTo>
                <a:pt x="19" y="12"/>
              </a:lnTo>
              <a:lnTo>
                <a:pt x="29" y="6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9525</xdr:colOff>
      <xdr:row>17</xdr:row>
      <xdr:rowOff>19050</xdr:rowOff>
    </xdr:from>
    <xdr:to>
      <xdr:col>11</xdr:col>
      <xdr:colOff>180975</xdr:colOff>
      <xdr:row>17</xdr:row>
      <xdr:rowOff>57150</xdr:rowOff>
    </xdr:to>
    <xdr:sp macro="" textlink="">
      <xdr:nvSpPr>
        <xdr:cNvPr id="13061" name="Freeform 107">
          <a:extLst>
            <a:ext uri="{FF2B5EF4-FFF2-40B4-BE49-F238E27FC236}">
              <a16:creationId xmlns:a16="http://schemas.microsoft.com/office/drawing/2014/main" id="{00000000-0008-0000-0A00-000005330000}"/>
            </a:ext>
          </a:extLst>
        </xdr:cNvPr>
        <xdr:cNvSpPr>
          <a:spLocks noChangeAspect="1"/>
        </xdr:cNvSpPr>
      </xdr:nvSpPr>
      <xdr:spPr bwMode="auto">
        <a:xfrm>
          <a:off x="6048375" y="3238500"/>
          <a:ext cx="171450" cy="38100"/>
        </a:xfrm>
        <a:custGeom>
          <a:avLst/>
          <a:gdLst>
            <a:gd name="T0" fmla="*/ 0 w 560"/>
            <a:gd name="T1" fmla="*/ 0 h 104"/>
            <a:gd name="T2" fmla="*/ 0 w 560"/>
            <a:gd name="T3" fmla="*/ 0 h 104"/>
            <a:gd name="T4" fmla="*/ 0 w 560"/>
            <a:gd name="T5" fmla="*/ 0 h 104"/>
            <a:gd name="T6" fmla="*/ 2147483647 w 560"/>
            <a:gd name="T7" fmla="*/ 0 h 104"/>
            <a:gd name="T8" fmla="*/ 2147483647 w 560"/>
            <a:gd name="T9" fmla="*/ 0 h 104"/>
            <a:gd name="T10" fmla="*/ 2147483647 w 560"/>
            <a:gd name="T11" fmla="*/ 0 h 104"/>
            <a:gd name="T12" fmla="*/ 0 w 560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60"/>
            <a:gd name="T22" fmla="*/ 0 h 104"/>
            <a:gd name="T23" fmla="*/ 560 w 560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60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560" y="104"/>
              </a:lnTo>
              <a:lnTo>
                <a:pt x="560" y="53"/>
              </a:lnTo>
              <a:lnTo>
                <a:pt x="560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9525</xdr:colOff>
      <xdr:row>17</xdr:row>
      <xdr:rowOff>19050</xdr:rowOff>
    </xdr:from>
    <xdr:to>
      <xdr:col>11</xdr:col>
      <xdr:colOff>180975</xdr:colOff>
      <xdr:row>17</xdr:row>
      <xdr:rowOff>57150</xdr:rowOff>
    </xdr:to>
    <xdr:sp macro="" textlink="">
      <xdr:nvSpPr>
        <xdr:cNvPr id="13062" name="Freeform 108">
          <a:extLst>
            <a:ext uri="{FF2B5EF4-FFF2-40B4-BE49-F238E27FC236}">
              <a16:creationId xmlns:a16="http://schemas.microsoft.com/office/drawing/2014/main" id="{00000000-0008-0000-0A00-000006330000}"/>
            </a:ext>
          </a:extLst>
        </xdr:cNvPr>
        <xdr:cNvSpPr>
          <a:spLocks noChangeAspect="1"/>
        </xdr:cNvSpPr>
      </xdr:nvSpPr>
      <xdr:spPr bwMode="auto">
        <a:xfrm>
          <a:off x="6048375" y="3238500"/>
          <a:ext cx="171450" cy="38100"/>
        </a:xfrm>
        <a:custGeom>
          <a:avLst/>
          <a:gdLst>
            <a:gd name="T0" fmla="*/ 0 w 560"/>
            <a:gd name="T1" fmla="*/ 0 h 104"/>
            <a:gd name="T2" fmla="*/ 0 w 560"/>
            <a:gd name="T3" fmla="*/ 0 h 104"/>
            <a:gd name="T4" fmla="*/ 0 w 560"/>
            <a:gd name="T5" fmla="*/ 0 h 104"/>
            <a:gd name="T6" fmla="*/ 2147483647 w 560"/>
            <a:gd name="T7" fmla="*/ 0 h 104"/>
            <a:gd name="T8" fmla="*/ 2147483647 w 560"/>
            <a:gd name="T9" fmla="*/ 0 h 104"/>
            <a:gd name="T10" fmla="*/ 2147483647 w 560"/>
            <a:gd name="T11" fmla="*/ 0 h 104"/>
            <a:gd name="T12" fmla="*/ 0 w 560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60"/>
            <a:gd name="T22" fmla="*/ 0 h 104"/>
            <a:gd name="T23" fmla="*/ 560 w 560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60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560" y="104"/>
              </a:lnTo>
              <a:lnTo>
                <a:pt x="560" y="53"/>
              </a:lnTo>
              <a:lnTo>
                <a:pt x="560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200025</xdr:colOff>
      <xdr:row>23</xdr:row>
      <xdr:rowOff>85725</xdr:rowOff>
    </xdr:from>
    <xdr:to>
      <xdr:col>18</xdr:col>
      <xdr:colOff>228600</xdr:colOff>
      <xdr:row>23</xdr:row>
      <xdr:rowOff>133350</xdr:rowOff>
    </xdr:to>
    <xdr:sp macro="" textlink="">
      <xdr:nvSpPr>
        <xdr:cNvPr id="13063" name="Freeform 109">
          <a:extLst>
            <a:ext uri="{FF2B5EF4-FFF2-40B4-BE49-F238E27FC236}">
              <a16:creationId xmlns:a16="http://schemas.microsoft.com/office/drawing/2014/main" id="{00000000-0008-0000-0A00-000007330000}"/>
            </a:ext>
          </a:extLst>
        </xdr:cNvPr>
        <xdr:cNvSpPr>
          <a:spLocks noChangeAspect="1"/>
        </xdr:cNvSpPr>
      </xdr:nvSpPr>
      <xdr:spPr bwMode="auto">
        <a:xfrm>
          <a:off x="9810750" y="4276725"/>
          <a:ext cx="28575" cy="4762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w 67"/>
            <a:gd name="T31" fmla="*/ 0 h 101"/>
            <a:gd name="T32" fmla="*/ 0 w 67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7"/>
            <a:gd name="T52" fmla="*/ 0 h 101"/>
            <a:gd name="T53" fmla="*/ 67 w 67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7" h="101">
              <a:moveTo>
                <a:pt x="15" y="49"/>
              </a:moveTo>
              <a:lnTo>
                <a:pt x="31" y="0"/>
              </a:lnTo>
              <a:lnTo>
                <a:pt x="42" y="4"/>
              </a:lnTo>
              <a:lnTo>
                <a:pt x="51" y="12"/>
              </a:lnTo>
              <a:lnTo>
                <a:pt x="58" y="21"/>
              </a:lnTo>
              <a:lnTo>
                <a:pt x="64" y="32"/>
              </a:lnTo>
              <a:lnTo>
                <a:pt x="67" y="42"/>
              </a:lnTo>
              <a:lnTo>
                <a:pt x="67" y="54"/>
              </a:lnTo>
              <a:lnTo>
                <a:pt x="65" y="65"/>
              </a:lnTo>
              <a:lnTo>
                <a:pt x="61" y="76"/>
              </a:lnTo>
              <a:lnTo>
                <a:pt x="53" y="85"/>
              </a:lnTo>
              <a:lnTo>
                <a:pt x="44" y="92"/>
              </a:lnTo>
              <a:lnTo>
                <a:pt x="33" y="98"/>
              </a:lnTo>
              <a:lnTo>
                <a:pt x="23" y="101"/>
              </a:lnTo>
              <a:lnTo>
                <a:pt x="11" y="101"/>
              </a:lnTo>
              <a:lnTo>
                <a:pt x="0" y="99"/>
              </a:lnTo>
              <a:lnTo>
                <a:pt x="15" y="4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200025</xdr:colOff>
      <xdr:row>23</xdr:row>
      <xdr:rowOff>85725</xdr:rowOff>
    </xdr:from>
    <xdr:to>
      <xdr:col>18</xdr:col>
      <xdr:colOff>228600</xdr:colOff>
      <xdr:row>23</xdr:row>
      <xdr:rowOff>133350</xdr:rowOff>
    </xdr:to>
    <xdr:sp macro="" textlink="">
      <xdr:nvSpPr>
        <xdr:cNvPr id="13064" name="Freeform 110">
          <a:extLst>
            <a:ext uri="{FF2B5EF4-FFF2-40B4-BE49-F238E27FC236}">
              <a16:creationId xmlns:a16="http://schemas.microsoft.com/office/drawing/2014/main" id="{00000000-0008-0000-0A00-000008330000}"/>
            </a:ext>
          </a:extLst>
        </xdr:cNvPr>
        <xdr:cNvSpPr>
          <a:spLocks noChangeAspect="1"/>
        </xdr:cNvSpPr>
      </xdr:nvSpPr>
      <xdr:spPr bwMode="auto">
        <a:xfrm>
          <a:off x="9810750" y="4276725"/>
          <a:ext cx="28575" cy="4762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7"/>
            <a:gd name="T46" fmla="*/ 0 h 101"/>
            <a:gd name="T47" fmla="*/ 67 w 67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7" h="101">
              <a:moveTo>
                <a:pt x="31" y="0"/>
              </a:moveTo>
              <a:lnTo>
                <a:pt x="42" y="4"/>
              </a:lnTo>
              <a:lnTo>
                <a:pt x="51" y="12"/>
              </a:lnTo>
              <a:lnTo>
                <a:pt x="58" y="21"/>
              </a:lnTo>
              <a:lnTo>
                <a:pt x="64" y="32"/>
              </a:lnTo>
              <a:lnTo>
                <a:pt x="67" y="42"/>
              </a:lnTo>
              <a:lnTo>
                <a:pt x="67" y="54"/>
              </a:lnTo>
              <a:lnTo>
                <a:pt x="65" y="65"/>
              </a:lnTo>
              <a:lnTo>
                <a:pt x="61" y="76"/>
              </a:lnTo>
              <a:lnTo>
                <a:pt x="53" y="85"/>
              </a:lnTo>
              <a:lnTo>
                <a:pt x="44" y="92"/>
              </a:lnTo>
              <a:lnTo>
                <a:pt x="33" y="98"/>
              </a:lnTo>
              <a:lnTo>
                <a:pt x="23" y="101"/>
              </a:lnTo>
              <a:lnTo>
                <a:pt x="11" y="101"/>
              </a:lnTo>
              <a:lnTo>
                <a:pt x="0" y="99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28575</xdr:colOff>
      <xdr:row>23</xdr:row>
      <xdr:rowOff>19050</xdr:rowOff>
    </xdr:from>
    <xdr:to>
      <xdr:col>18</xdr:col>
      <xdr:colOff>219075</xdr:colOff>
      <xdr:row>23</xdr:row>
      <xdr:rowOff>123825</xdr:rowOff>
    </xdr:to>
    <xdr:sp macro="" textlink="">
      <xdr:nvSpPr>
        <xdr:cNvPr id="13065" name="Freeform 111">
          <a:extLst>
            <a:ext uri="{FF2B5EF4-FFF2-40B4-BE49-F238E27FC236}">
              <a16:creationId xmlns:a16="http://schemas.microsoft.com/office/drawing/2014/main" id="{00000000-0008-0000-0A00-000009330000}"/>
            </a:ext>
          </a:extLst>
        </xdr:cNvPr>
        <xdr:cNvSpPr>
          <a:spLocks noChangeAspect="1"/>
        </xdr:cNvSpPr>
      </xdr:nvSpPr>
      <xdr:spPr bwMode="auto">
        <a:xfrm>
          <a:off x="9639300" y="4210050"/>
          <a:ext cx="190500" cy="104775"/>
        </a:xfrm>
        <a:custGeom>
          <a:avLst/>
          <a:gdLst>
            <a:gd name="T0" fmla="*/ 2147483647 w 471"/>
            <a:gd name="T1" fmla="*/ 2147483647 h 242"/>
            <a:gd name="T2" fmla="*/ 2147483647 w 471"/>
            <a:gd name="T3" fmla="*/ 0 h 242"/>
            <a:gd name="T4" fmla="*/ 2147483647 w 471"/>
            <a:gd name="T5" fmla="*/ 0 h 242"/>
            <a:gd name="T6" fmla="*/ 0 w 471"/>
            <a:gd name="T7" fmla="*/ 0 h 242"/>
            <a:gd name="T8" fmla="*/ 0 w 471"/>
            <a:gd name="T9" fmla="*/ 0 h 242"/>
            <a:gd name="T10" fmla="*/ 0 w 471"/>
            <a:gd name="T11" fmla="*/ 0 h 242"/>
            <a:gd name="T12" fmla="*/ 2147483647 w 471"/>
            <a:gd name="T13" fmla="*/ 2147483647 h 24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71"/>
            <a:gd name="T22" fmla="*/ 0 h 242"/>
            <a:gd name="T23" fmla="*/ 471 w 471"/>
            <a:gd name="T24" fmla="*/ 242 h 24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71" h="242">
              <a:moveTo>
                <a:pt x="440" y="242"/>
              </a:moveTo>
              <a:lnTo>
                <a:pt x="455" y="192"/>
              </a:lnTo>
              <a:lnTo>
                <a:pt x="471" y="143"/>
              </a:lnTo>
              <a:lnTo>
                <a:pt x="31" y="0"/>
              </a:lnTo>
              <a:lnTo>
                <a:pt x="15" y="50"/>
              </a:lnTo>
              <a:lnTo>
                <a:pt x="0" y="99"/>
              </a:lnTo>
              <a:lnTo>
                <a:pt x="440" y="24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28575</xdr:colOff>
      <xdr:row>23</xdr:row>
      <xdr:rowOff>19050</xdr:rowOff>
    </xdr:from>
    <xdr:to>
      <xdr:col>18</xdr:col>
      <xdr:colOff>219075</xdr:colOff>
      <xdr:row>23</xdr:row>
      <xdr:rowOff>123825</xdr:rowOff>
    </xdr:to>
    <xdr:sp macro="" textlink="">
      <xdr:nvSpPr>
        <xdr:cNvPr id="13066" name="Freeform 112">
          <a:extLst>
            <a:ext uri="{FF2B5EF4-FFF2-40B4-BE49-F238E27FC236}">
              <a16:creationId xmlns:a16="http://schemas.microsoft.com/office/drawing/2014/main" id="{00000000-0008-0000-0A00-00000A330000}"/>
            </a:ext>
          </a:extLst>
        </xdr:cNvPr>
        <xdr:cNvSpPr>
          <a:spLocks noChangeAspect="1"/>
        </xdr:cNvSpPr>
      </xdr:nvSpPr>
      <xdr:spPr bwMode="auto">
        <a:xfrm>
          <a:off x="9639300" y="4210050"/>
          <a:ext cx="190500" cy="104775"/>
        </a:xfrm>
        <a:custGeom>
          <a:avLst/>
          <a:gdLst>
            <a:gd name="T0" fmla="*/ 2147483647 w 471"/>
            <a:gd name="T1" fmla="*/ 2147483647 h 242"/>
            <a:gd name="T2" fmla="*/ 2147483647 w 471"/>
            <a:gd name="T3" fmla="*/ 0 h 242"/>
            <a:gd name="T4" fmla="*/ 2147483647 w 471"/>
            <a:gd name="T5" fmla="*/ 0 h 242"/>
            <a:gd name="T6" fmla="*/ 0 w 471"/>
            <a:gd name="T7" fmla="*/ 0 h 242"/>
            <a:gd name="T8" fmla="*/ 0 w 471"/>
            <a:gd name="T9" fmla="*/ 0 h 242"/>
            <a:gd name="T10" fmla="*/ 0 w 471"/>
            <a:gd name="T11" fmla="*/ 0 h 242"/>
            <a:gd name="T12" fmla="*/ 2147483647 w 471"/>
            <a:gd name="T13" fmla="*/ 2147483647 h 24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71"/>
            <a:gd name="T22" fmla="*/ 0 h 242"/>
            <a:gd name="T23" fmla="*/ 471 w 471"/>
            <a:gd name="T24" fmla="*/ 242 h 24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71" h="242">
              <a:moveTo>
                <a:pt x="440" y="242"/>
              </a:moveTo>
              <a:lnTo>
                <a:pt x="455" y="192"/>
              </a:lnTo>
              <a:lnTo>
                <a:pt x="471" y="143"/>
              </a:lnTo>
              <a:lnTo>
                <a:pt x="31" y="0"/>
              </a:lnTo>
              <a:lnTo>
                <a:pt x="15" y="50"/>
              </a:lnTo>
              <a:lnTo>
                <a:pt x="0" y="99"/>
              </a:lnTo>
              <a:lnTo>
                <a:pt x="440" y="24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9525</xdr:colOff>
      <xdr:row>23</xdr:row>
      <xdr:rowOff>19050</xdr:rowOff>
    </xdr:from>
    <xdr:to>
      <xdr:col>18</xdr:col>
      <xdr:colOff>38100</xdr:colOff>
      <xdr:row>23</xdr:row>
      <xdr:rowOff>66675</xdr:rowOff>
    </xdr:to>
    <xdr:sp macro="" textlink="">
      <xdr:nvSpPr>
        <xdr:cNvPr id="13067" name="Freeform 113">
          <a:extLst>
            <a:ext uri="{FF2B5EF4-FFF2-40B4-BE49-F238E27FC236}">
              <a16:creationId xmlns:a16="http://schemas.microsoft.com/office/drawing/2014/main" id="{00000000-0008-0000-0A00-00000B330000}"/>
            </a:ext>
          </a:extLst>
        </xdr:cNvPr>
        <xdr:cNvSpPr>
          <a:spLocks noChangeAspect="1"/>
        </xdr:cNvSpPr>
      </xdr:nvSpPr>
      <xdr:spPr bwMode="auto">
        <a:xfrm>
          <a:off x="9620250" y="4210050"/>
          <a:ext cx="28575" cy="4762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w 67"/>
            <a:gd name="T31" fmla="*/ 0 h 101"/>
            <a:gd name="T32" fmla="*/ 0 w 67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7"/>
            <a:gd name="T52" fmla="*/ 0 h 101"/>
            <a:gd name="T53" fmla="*/ 67 w 67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7" h="101">
              <a:moveTo>
                <a:pt x="51" y="52"/>
              </a:moveTo>
              <a:lnTo>
                <a:pt x="36" y="101"/>
              </a:lnTo>
              <a:lnTo>
                <a:pt x="25" y="97"/>
              </a:lnTo>
              <a:lnTo>
                <a:pt x="16" y="89"/>
              </a:lnTo>
              <a:lnTo>
                <a:pt x="8" y="80"/>
              </a:lnTo>
              <a:lnTo>
                <a:pt x="3" y="69"/>
              </a:lnTo>
              <a:lnTo>
                <a:pt x="0" y="59"/>
              </a:lnTo>
              <a:lnTo>
                <a:pt x="0" y="47"/>
              </a:lnTo>
              <a:lnTo>
                <a:pt x="2" y="36"/>
              </a:lnTo>
              <a:lnTo>
                <a:pt x="7" y="25"/>
              </a:lnTo>
              <a:lnTo>
                <a:pt x="14" y="16"/>
              </a:lnTo>
              <a:lnTo>
                <a:pt x="23" y="9"/>
              </a:lnTo>
              <a:lnTo>
                <a:pt x="34" y="3"/>
              </a:lnTo>
              <a:lnTo>
                <a:pt x="44" y="0"/>
              </a:lnTo>
              <a:lnTo>
                <a:pt x="56" y="0"/>
              </a:lnTo>
              <a:lnTo>
                <a:pt x="67" y="2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9525</xdr:colOff>
      <xdr:row>23</xdr:row>
      <xdr:rowOff>19050</xdr:rowOff>
    </xdr:from>
    <xdr:to>
      <xdr:col>18</xdr:col>
      <xdr:colOff>38100</xdr:colOff>
      <xdr:row>23</xdr:row>
      <xdr:rowOff>66675</xdr:rowOff>
    </xdr:to>
    <xdr:sp macro="" textlink="">
      <xdr:nvSpPr>
        <xdr:cNvPr id="13068" name="Freeform 114">
          <a:extLst>
            <a:ext uri="{FF2B5EF4-FFF2-40B4-BE49-F238E27FC236}">
              <a16:creationId xmlns:a16="http://schemas.microsoft.com/office/drawing/2014/main" id="{00000000-0008-0000-0A00-00000C330000}"/>
            </a:ext>
          </a:extLst>
        </xdr:cNvPr>
        <xdr:cNvSpPr>
          <a:spLocks noChangeAspect="1"/>
        </xdr:cNvSpPr>
      </xdr:nvSpPr>
      <xdr:spPr bwMode="auto">
        <a:xfrm>
          <a:off x="9620250" y="4210050"/>
          <a:ext cx="28575" cy="4762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7"/>
            <a:gd name="T46" fmla="*/ 0 h 101"/>
            <a:gd name="T47" fmla="*/ 67 w 67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7" h="101">
              <a:moveTo>
                <a:pt x="36" y="101"/>
              </a:moveTo>
              <a:lnTo>
                <a:pt x="25" y="97"/>
              </a:lnTo>
              <a:lnTo>
                <a:pt x="16" y="89"/>
              </a:lnTo>
              <a:lnTo>
                <a:pt x="8" y="80"/>
              </a:lnTo>
              <a:lnTo>
                <a:pt x="3" y="69"/>
              </a:lnTo>
              <a:lnTo>
                <a:pt x="0" y="59"/>
              </a:lnTo>
              <a:lnTo>
                <a:pt x="0" y="47"/>
              </a:lnTo>
              <a:lnTo>
                <a:pt x="2" y="36"/>
              </a:lnTo>
              <a:lnTo>
                <a:pt x="7" y="25"/>
              </a:lnTo>
              <a:lnTo>
                <a:pt x="14" y="16"/>
              </a:lnTo>
              <a:lnTo>
                <a:pt x="23" y="9"/>
              </a:lnTo>
              <a:lnTo>
                <a:pt x="34" y="3"/>
              </a:lnTo>
              <a:lnTo>
                <a:pt x="44" y="0"/>
              </a:lnTo>
              <a:lnTo>
                <a:pt x="56" y="0"/>
              </a:lnTo>
              <a:lnTo>
                <a:pt x="67" y="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304800</xdr:colOff>
      <xdr:row>22</xdr:row>
      <xdr:rowOff>38100</xdr:rowOff>
    </xdr:from>
    <xdr:to>
      <xdr:col>17</xdr:col>
      <xdr:colOff>342900</xdr:colOff>
      <xdr:row>23</xdr:row>
      <xdr:rowOff>38100</xdr:rowOff>
    </xdr:to>
    <xdr:sp macro="" textlink="">
      <xdr:nvSpPr>
        <xdr:cNvPr id="13069" name="Freeform 115">
          <a:extLst>
            <a:ext uri="{FF2B5EF4-FFF2-40B4-BE49-F238E27FC236}">
              <a16:creationId xmlns:a16="http://schemas.microsoft.com/office/drawing/2014/main" id="{00000000-0008-0000-0A00-00000D330000}"/>
            </a:ext>
          </a:extLst>
        </xdr:cNvPr>
        <xdr:cNvSpPr>
          <a:spLocks noChangeAspect="1"/>
        </xdr:cNvSpPr>
      </xdr:nvSpPr>
      <xdr:spPr bwMode="auto">
        <a:xfrm>
          <a:off x="9010650" y="4067175"/>
          <a:ext cx="457200" cy="161925"/>
        </a:xfrm>
        <a:custGeom>
          <a:avLst/>
          <a:gdLst>
            <a:gd name="T0" fmla="*/ 2147483647 w 904"/>
            <a:gd name="T1" fmla="*/ 2147483647 h 382"/>
            <a:gd name="T2" fmla="*/ 2147483647 w 904"/>
            <a:gd name="T3" fmla="*/ 2147483647 h 382"/>
            <a:gd name="T4" fmla="*/ 2147483647 w 904"/>
            <a:gd name="T5" fmla="*/ 2147483647 h 382"/>
            <a:gd name="T6" fmla="*/ 0 w 904"/>
            <a:gd name="T7" fmla="*/ 0 h 382"/>
            <a:gd name="T8" fmla="*/ 0 w 904"/>
            <a:gd name="T9" fmla="*/ 0 h 382"/>
            <a:gd name="T10" fmla="*/ 0 w 904"/>
            <a:gd name="T11" fmla="*/ 0 h 382"/>
            <a:gd name="T12" fmla="*/ 2147483647 w 904"/>
            <a:gd name="T13" fmla="*/ 2147483647 h 38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4"/>
            <a:gd name="T22" fmla="*/ 0 h 382"/>
            <a:gd name="T23" fmla="*/ 904 w 904"/>
            <a:gd name="T24" fmla="*/ 382 h 38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4" h="382">
              <a:moveTo>
                <a:pt x="872" y="382"/>
              </a:moveTo>
              <a:lnTo>
                <a:pt x="888" y="332"/>
              </a:lnTo>
              <a:lnTo>
                <a:pt x="904" y="283"/>
              </a:lnTo>
              <a:lnTo>
                <a:pt x="31" y="0"/>
              </a:lnTo>
              <a:lnTo>
                <a:pt x="16" y="50"/>
              </a:lnTo>
              <a:lnTo>
                <a:pt x="0" y="99"/>
              </a:lnTo>
              <a:lnTo>
                <a:pt x="872" y="38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304800</xdr:colOff>
      <xdr:row>22</xdr:row>
      <xdr:rowOff>38100</xdr:rowOff>
    </xdr:from>
    <xdr:to>
      <xdr:col>17</xdr:col>
      <xdr:colOff>342900</xdr:colOff>
      <xdr:row>23</xdr:row>
      <xdr:rowOff>38100</xdr:rowOff>
    </xdr:to>
    <xdr:sp macro="" textlink="">
      <xdr:nvSpPr>
        <xdr:cNvPr id="13070" name="Freeform 116">
          <a:extLst>
            <a:ext uri="{FF2B5EF4-FFF2-40B4-BE49-F238E27FC236}">
              <a16:creationId xmlns:a16="http://schemas.microsoft.com/office/drawing/2014/main" id="{00000000-0008-0000-0A00-00000E330000}"/>
            </a:ext>
          </a:extLst>
        </xdr:cNvPr>
        <xdr:cNvSpPr>
          <a:spLocks noChangeAspect="1"/>
        </xdr:cNvSpPr>
      </xdr:nvSpPr>
      <xdr:spPr bwMode="auto">
        <a:xfrm>
          <a:off x="9010650" y="4067175"/>
          <a:ext cx="457200" cy="161925"/>
        </a:xfrm>
        <a:custGeom>
          <a:avLst/>
          <a:gdLst>
            <a:gd name="T0" fmla="*/ 2147483647 w 904"/>
            <a:gd name="T1" fmla="*/ 2147483647 h 382"/>
            <a:gd name="T2" fmla="*/ 2147483647 w 904"/>
            <a:gd name="T3" fmla="*/ 2147483647 h 382"/>
            <a:gd name="T4" fmla="*/ 2147483647 w 904"/>
            <a:gd name="T5" fmla="*/ 2147483647 h 382"/>
            <a:gd name="T6" fmla="*/ 0 w 904"/>
            <a:gd name="T7" fmla="*/ 0 h 382"/>
            <a:gd name="T8" fmla="*/ 0 w 904"/>
            <a:gd name="T9" fmla="*/ 0 h 382"/>
            <a:gd name="T10" fmla="*/ 0 w 904"/>
            <a:gd name="T11" fmla="*/ 0 h 382"/>
            <a:gd name="T12" fmla="*/ 2147483647 w 904"/>
            <a:gd name="T13" fmla="*/ 2147483647 h 38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4"/>
            <a:gd name="T22" fmla="*/ 0 h 382"/>
            <a:gd name="T23" fmla="*/ 904 w 904"/>
            <a:gd name="T24" fmla="*/ 382 h 38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4" h="382">
              <a:moveTo>
                <a:pt x="872" y="382"/>
              </a:moveTo>
              <a:lnTo>
                <a:pt x="888" y="332"/>
              </a:lnTo>
              <a:lnTo>
                <a:pt x="904" y="283"/>
              </a:lnTo>
              <a:lnTo>
                <a:pt x="31" y="0"/>
              </a:lnTo>
              <a:lnTo>
                <a:pt x="16" y="50"/>
              </a:lnTo>
              <a:lnTo>
                <a:pt x="0" y="99"/>
              </a:lnTo>
              <a:lnTo>
                <a:pt x="872" y="38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361950</xdr:colOff>
      <xdr:row>21</xdr:row>
      <xdr:rowOff>47625</xdr:rowOff>
    </xdr:from>
    <xdr:to>
      <xdr:col>16</xdr:col>
      <xdr:colOff>238125</xdr:colOff>
      <xdr:row>22</xdr:row>
      <xdr:rowOff>47625</xdr:rowOff>
    </xdr:to>
    <xdr:sp macro="" textlink="">
      <xdr:nvSpPr>
        <xdr:cNvPr id="13071" name="Freeform 117">
          <a:extLst>
            <a:ext uri="{FF2B5EF4-FFF2-40B4-BE49-F238E27FC236}">
              <a16:creationId xmlns:a16="http://schemas.microsoft.com/office/drawing/2014/main" id="{00000000-0008-0000-0A00-00000F330000}"/>
            </a:ext>
          </a:extLst>
        </xdr:cNvPr>
        <xdr:cNvSpPr>
          <a:spLocks noChangeAspect="1"/>
        </xdr:cNvSpPr>
      </xdr:nvSpPr>
      <xdr:spPr bwMode="auto">
        <a:xfrm>
          <a:off x="8534400" y="3914775"/>
          <a:ext cx="409575" cy="161925"/>
        </a:xfrm>
        <a:custGeom>
          <a:avLst/>
          <a:gdLst>
            <a:gd name="T0" fmla="*/ 2147483647 w 903"/>
            <a:gd name="T1" fmla="*/ 2147483647 h 381"/>
            <a:gd name="T2" fmla="*/ 2147483647 w 903"/>
            <a:gd name="T3" fmla="*/ 2147483647 h 381"/>
            <a:gd name="T4" fmla="*/ 2147483647 w 903"/>
            <a:gd name="T5" fmla="*/ 2147483647 h 381"/>
            <a:gd name="T6" fmla="*/ 0 w 903"/>
            <a:gd name="T7" fmla="*/ 0 h 381"/>
            <a:gd name="T8" fmla="*/ 0 w 903"/>
            <a:gd name="T9" fmla="*/ 0 h 381"/>
            <a:gd name="T10" fmla="*/ 0 w 903"/>
            <a:gd name="T11" fmla="*/ 0 h 381"/>
            <a:gd name="T12" fmla="*/ 2147483647 w 903"/>
            <a:gd name="T13" fmla="*/ 2147483647 h 38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3"/>
            <a:gd name="T22" fmla="*/ 0 h 381"/>
            <a:gd name="T23" fmla="*/ 903 w 903"/>
            <a:gd name="T24" fmla="*/ 381 h 38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3" h="381">
              <a:moveTo>
                <a:pt x="871" y="381"/>
              </a:moveTo>
              <a:lnTo>
                <a:pt x="887" y="331"/>
              </a:lnTo>
              <a:lnTo>
                <a:pt x="903" y="282"/>
              </a:lnTo>
              <a:lnTo>
                <a:pt x="31" y="0"/>
              </a:lnTo>
              <a:lnTo>
                <a:pt x="16" y="49"/>
              </a:lnTo>
              <a:lnTo>
                <a:pt x="0" y="98"/>
              </a:lnTo>
              <a:lnTo>
                <a:pt x="871" y="38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361950</xdr:colOff>
      <xdr:row>21</xdr:row>
      <xdr:rowOff>47625</xdr:rowOff>
    </xdr:from>
    <xdr:to>
      <xdr:col>16</xdr:col>
      <xdr:colOff>238125</xdr:colOff>
      <xdr:row>22</xdr:row>
      <xdr:rowOff>47625</xdr:rowOff>
    </xdr:to>
    <xdr:sp macro="" textlink="">
      <xdr:nvSpPr>
        <xdr:cNvPr id="13072" name="Freeform 118">
          <a:extLst>
            <a:ext uri="{FF2B5EF4-FFF2-40B4-BE49-F238E27FC236}">
              <a16:creationId xmlns:a16="http://schemas.microsoft.com/office/drawing/2014/main" id="{00000000-0008-0000-0A00-000010330000}"/>
            </a:ext>
          </a:extLst>
        </xdr:cNvPr>
        <xdr:cNvSpPr>
          <a:spLocks noChangeAspect="1"/>
        </xdr:cNvSpPr>
      </xdr:nvSpPr>
      <xdr:spPr bwMode="auto">
        <a:xfrm>
          <a:off x="8534400" y="3914775"/>
          <a:ext cx="409575" cy="161925"/>
        </a:xfrm>
        <a:custGeom>
          <a:avLst/>
          <a:gdLst>
            <a:gd name="T0" fmla="*/ 2147483647 w 903"/>
            <a:gd name="T1" fmla="*/ 2147483647 h 381"/>
            <a:gd name="T2" fmla="*/ 2147483647 w 903"/>
            <a:gd name="T3" fmla="*/ 2147483647 h 381"/>
            <a:gd name="T4" fmla="*/ 2147483647 w 903"/>
            <a:gd name="T5" fmla="*/ 2147483647 h 381"/>
            <a:gd name="T6" fmla="*/ 0 w 903"/>
            <a:gd name="T7" fmla="*/ 0 h 381"/>
            <a:gd name="T8" fmla="*/ 0 w 903"/>
            <a:gd name="T9" fmla="*/ 0 h 381"/>
            <a:gd name="T10" fmla="*/ 0 w 903"/>
            <a:gd name="T11" fmla="*/ 0 h 381"/>
            <a:gd name="T12" fmla="*/ 2147483647 w 903"/>
            <a:gd name="T13" fmla="*/ 2147483647 h 38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3"/>
            <a:gd name="T22" fmla="*/ 0 h 381"/>
            <a:gd name="T23" fmla="*/ 903 w 903"/>
            <a:gd name="T24" fmla="*/ 381 h 38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3" h="381">
              <a:moveTo>
                <a:pt x="871" y="381"/>
              </a:moveTo>
              <a:lnTo>
                <a:pt x="887" y="331"/>
              </a:lnTo>
              <a:lnTo>
                <a:pt x="903" y="282"/>
              </a:lnTo>
              <a:lnTo>
                <a:pt x="31" y="0"/>
              </a:lnTo>
              <a:lnTo>
                <a:pt x="16" y="49"/>
              </a:lnTo>
              <a:lnTo>
                <a:pt x="0" y="98"/>
              </a:lnTo>
              <a:lnTo>
                <a:pt x="871" y="38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400050</xdr:colOff>
      <xdr:row>20</xdr:row>
      <xdr:rowOff>76200</xdr:rowOff>
    </xdr:from>
    <xdr:to>
      <xdr:col>15</xdr:col>
      <xdr:colOff>276225</xdr:colOff>
      <xdr:row>21</xdr:row>
      <xdr:rowOff>47625</xdr:rowOff>
    </xdr:to>
    <xdr:sp macro="" textlink="">
      <xdr:nvSpPr>
        <xdr:cNvPr id="13073" name="Freeform 119">
          <a:extLst>
            <a:ext uri="{FF2B5EF4-FFF2-40B4-BE49-F238E27FC236}">
              <a16:creationId xmlns:a16="http://schemas.microsoft.com/office/drawing/2014/main" id="{00000000-0008-0000-0A00-000011330000}"/>
            </a:ext>
          </a:extLst>
        </xdr:cNvPr>
        <xdr:cNvSpPr>
          <a:spLocks noChangeAspect="1"/>
        </xdr:cNvSpPr>
      </xdr:nvSpPr>
      <xdr:spPr bwMode="auto">
        <a:xfrm>
          <a:off x="8039100" y="3781425"/>
          <a:ext cx="409575" cy="133350"/>
        </a:xfrm>
        <a:custGeom>
          <a:avLst/>
          <a:gdLst>
            <a:gd name="T0" fmla="*/ 2147483647 w 904"/>
            <a:gd name="T1" fmla="*/ 2147483647 h 381"/>
            <a:gd name="T2" fmla="*/ 2147483647 w 904"/>
            <a:gd name="T3" fmla="*/ 2147483647 h 381"/>
            <a:gd name="T4" fmla="*/ 2147483647 w 904"/>
            <a:gd name="T5" fmla="*/ 0 h 381"/>
            <a:gd name="T6" fmla="*/ 0 w 904"/>
            <a:gd name="T7" fmla="*/ 0 h 381"/>
            <a:gd name="T8" fmla="*/ 0 w 904"/>
            <a:gd name="T9" fmla="*/ 0 h 381"/>
            <a:gd name="T10" fmla="*/ 0 w 904"/>
            <a:gd name="T11" fmla="*/ 0 h 381"/>
            <a:gd name="T12" fmla="*/ 2147483647 w 904"/>
            <a:gd name="T13" fmla="*/ 2147483647 h 38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4"/>
            <a:gd name="T22" fmla="*/ 0 h 381"/>
            <a:gd name="T23" fmla="*/ 904 w 904"/>
            <a:gd name="T24" fmla="*/ 381 h 38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4" h="381">
              <a:moveTo>
                <a:pt x="872" y="381"/>
              </a:moveTo>
              <a:lnTo>
                <a:pt x="888" y="332"/>
              </a:lnTo>
              <a:lnTo>
                <a:pt x="904" y="282"/>
              </a:lnTo>
              <a:lnTo>
                <a:pt x="31" y="0"/>
              </a:lnTo>
              <a:lnTo>
                <a:pt x="16" y="49"/>
              </a:lnTo>
              <a:lnTo>
                <a:pt x="0" y="99"/>
              </a:lnTo>
              <a:lnTo>
                <a:pt x="872" y="38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400050</xdr:colOff>
      <xdr:row>20</xdr:row>
      <xdr:rowOff>76200</xdr:rowOff>
    </xdr:from>
    <xdr:to>
      <xdr:col>15</xdr:col>
      <xdr:colOff>276225</xdr:colOff>
      <xdr:row>21</xdr:row>
      <xdr:rowOff>47625</xdr:rowOff>
    </xdr:to>
    <xdr:sp macro="" textlink="">
      <xdr:nvSpPr>
        <xdr:cNvPr id="13074" name="Freeform 120">
          <a:extLst>
            <a:ext uri="{FF2B5EF4-FFF2-40B4-BE49-F238E27FC236}">
              <a16:creationId xmlns:a16="http://schemas.microsoft.com/office/drawing/2014/main" id="{00000000-0008-0000-0A00-000012330000}"/>
            </a:ext>
          </a:extLst>
        </xdr:cNvPr>
        <xdr:cNvSpPr>
          <a:spLocks noChangeAspect="1"/>
        </xdr:cNvSpPr>
      </xdr:nvSpPr>
      <xdr:spPr bwMode="auto">
        <a:xfrm>
          <a:off x="8039100" y="3781425"/>
          <a:ext cx="409575" cy="133350"/>
        </a:xfrm>
        <a:custGeom>
          <a:avLst/>
          <a:gdLst>
            <a:gd name="T0" fmla="*/ 2147483647 w 904"/>
            <a:gd name="T1" fmla="*/ 2147483647 h 381"/>
            <a:gd name="T2" fmla="*/ 2147483647 w 904"/>
            <a:gd name="T3" fmla="*/ 2147483647 h 381"/>
            <a:gd name="T4" fmla="*/ 2147483647 w 904"/>
            <a:gd name="T5" fmla="*/ 0 h 381"/>
            <a:gd name="T6" fmla="*/ 0 w 904"/>
            <a:gd name="T7" fmla="*/ 0 h 381"/>
            <a:gd name="T8" fmla="*/ 0 w 904"/>
            <a:gd name="T9" fmla="*/ 0 h 381"/>
            <a:gd name="T10" fmla="*/ 0 w 904"/>
            <a:gd name="T11" fmla="*/ 0 h 381"/>
            <a:gd name="T12" fmla="*/ 2147483647 w 904"/>
            <a:gd name="T13" fmla="*/ 2147483647 h 38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4"/>
            <a:gd name="T22" fmla="*/ 0 h 381"/>
            <a:gd name="T23" fmla="*/ 904 w 904"/>
            <a:gd name="T24" fmla="*/ 381 h 38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4" h="381">
              <a:moveTo>
                <a:pt x="872" y="381"/>
              </a:moveTo>
              <a:lnTo>
                <a:pt x="888" y="332"/>
              </a:lnTo>
              <a:lnTo>
                <a:pt x="904" y="282"/>
              </a:lnTo>
              <a:lnTo>
                <a:pt x="31" y="0"/>
              </a:lnTo>
              <a:lnTo>
                <a:pt x="16" y="49"/>
              </a:lnTo>
              <a:lnTo>
                <a:pt x="0" y="99"/>
              </a:lnTo>
              <a:lnTo>
                <a:pt x="872" y="38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381000</xdr:colOff>
      <xdr:row>20</xdr:row>
      <xdr:rowOff>76200</xdr:rowOff>
    </xdr:from>
    <xdr:to>
      <xdr:col>14</xdr:col>
      <xdr:colOff>409575</xdr:colOff>
      <xdr:row>20</xdr:row>
      <xdr:rowOff>114300</xdr:rowOff>
    </xdr:to>
    <xdr:sp macro="" textlink="">
      <xdr:nvSpPr>
        <xdr:cNvPr id="13075" name="Freeform 121">
          <a:extLst>
            <a:ext uri="{FF2B5EF4-FFF2-40B4-BE49-F238E27FC236}">
              <a16:creationId xmlns:a16="http://schemas.microsoft.com/office/drawing/2014/main" id="{00000000-0008-0000-0A00-000013330000}"/>
            </a:ext>
          </a:extLst>
        </xdr:cNvPr>
        <xdr:cNvSpPr>
          <a:spLocks noChangeAspect="1"/>
        </xdr:cNvSpPr>
      </xdr:nvSpPr>
      <xdr:spPr bwMode="auto">
        <a:xfrm>
          <a:off x="8020050" y="3781425"/>
          <a:ext cx="28575" cy="38100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w 67"/>
            <a:gd name="T31" fmla="*/ 0 h 101"/>
            <a:gd name="T32" fmla="*/ 0 w 67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7"/>
            <a:gd name="T52" fmla="*/ 0 h 101"/>
            <a:gd name="T53" fmla="*/ 67 w 67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7" h="101">
              <a:moveTo>
                <a:pt x="52" y="51"/>
              </a:moveTo>
              <a:lnTo>
                <a:pt x="36" y="101"/>
              </a:lnTo>
              <a:lnTo>
                <a:pt x="25" y="96"/>
              </a:lnTo>
              <a:lnTo>
                <a:pt x="16" y="89"/>
              </a:lnTo>
              <a:lnTo>
                <a:pt x="9" y="80"/>
              </a:lnTo>
              <a:lnTo>
                <a:pt x="3" y="69"/>
              </a:lnTo>
              <a:lnTo>
                <a:pt x="0" y="59"/>
              </a:lnTo>
              <a:lnTo>
                <a:pt x="0" y="47"/>
              </a:lnTo>
              <a:lnTo>
                <a:pt x="2" y="35"/>
              </a:lnTo>
              <a:lnTo>
                <a:pt x="7" y="25"/>
              </a:lnTo>
              <a:lnTo>
                <a:pt x="14" y="15"/>
              </a:lnTo>
              <a:lnTo>
                <a:pt x="23" y="8"/>
              </a:lnTo>
              <a:lnTo>
                <a:pt x="34" y="3"/>
              </a:lnTo>
              <a:lnTo>
                <a:pt x="44" y="0"/>
              </a:lnTo>
              <a:lnTo>
                <a:pt x="56" y="0"/>
              </a:lnTo>
              <a:lnTo>
                <a:pt x="67" y="2"/>
              </a:lnTo>
              <a:lnTo>
                <a:pt x="52" y="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381000</xdr:colOff>
      <xdr:row>20</xdr:row>
      <xdr:rowOff>76200</xdr:rowOff>
    </xdr:from>
    <xdr:to>
      <xdr:col>14</xdr:col>
      <xdr:colOff>409575</xdr:colOff>
      <xdr:row>20</xdr:row>
      <xdr:rowOff>114300</xdr:rowOff>
    </xdr:to>
    <xdr:sp macro="" textlink="">
      <xdr:nvSpPr>
        <xdr:cNvPr id="13076" name="Freeform 122">
          <a:extLst>
            <a:ext uri="{FF2B5EF4-FFF2-40B4-BE49-F238E27FC236}">
              <a16:creationId xmlns:a16="http://schemas.microsoft.com/office/drawing/2014/main" id="{00000000-0008-0000-0A00-000014330000}"/>
            </a:ext>
          </a:extLst>
        </xdr:cNvPr>
        <xdr:cNvSpPr>
          <a:spLocks noChangeAspect="1"/>
        </xdr:cNvSpPr>
      </xdr:nvSpPr>
      <xdr:spPr bwMode="auto">
        <a:xfrm>
          <a:off x="8020050" y="3781425"/>
          <a:ext cx="28575" cy="38100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7"/>
            <a:gd name="T46" fmla="*/ 0 h 101"/>
            <a:gd name="T47" fmla="*/ 67 w 67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7" h="101">
              <a:moveTo>
                <a:pt x="36" y="101"/>
              </a:moveTo>
              <a:lnTo>
                <a:pt x="25" y="96"/>
              </a:lnTo>
              <a:lnTo>
                <a:pt x="16" y="89"/>
              </a:lnTo>
              <a:lnTo>
                <a:pt x="9" y="80"/>
              </a:lnTo>
              <a:lnTo>
                <a:pt x="3" y="69"/>
              </a:lnTo>
              <a:lnTo>
                <a:pt x="0" y="59"/>
              </a:lnTo>
              <a:lnTo>
                <a:pt x="0" y="47"/>
              </a:lnTo>
              <a:lnTo>
                <a:pt x="2" y="35"/>
              </a:lnTo>
              <a:lnTo>
                <a:pt x="7" y="25"/>
              </a:lnTo>
              <a:lnTo>
                <a:pt x="14" y="15"/>
              </a:lnTo>
              <a:lnTo>
                <a:pt x="23" y="8"/>
              </a:lnTo>
              <a:lnTo>
                <a:pt x="34" y="3"/>
              </a:lnTo>
              <a:lnTo>
                <a:pt x="44" y="0"/>
              </a:lnTo>
              <a:lnTo>
                <a:pt x="56" y="0"/>
              </a:lnTo>
              <a:lnTo>
                <a:pt x="67" y="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314325</xdr:colOff>
      <xdr:row>20</xdr:row>
      <xdr:rowOff>47625</xdr:rowOff>
    </xdr:from>
    <xdr:to>
      <xdr:col>14</xdr:col>
      <xdr:colOff>342900</xdr:colOff>
      <xdr:row>20</xdr:row>
      <xdr:rowOff>95250</xdr:rowOff>
    </xdr:to>
    <xdr:sp macro="" textlink="">
      <xdr:nvSpPr>
        <xdr:cNvPr id="13077" name="Freeform 123">
          <a:extLst>
            <a:ext uri="{FF2B5EF4-FFF2-40B4-BE49-F238E27FC236}">
              <a16:creationId xmlns:a16="http://schemas.microsoft.com/office/drawing/2014/main" id="{00000000-0008-0000-0A00-000015330000}"/>
            </a:ext>
          </a:extLst>
        </xdr:cNvPr>
        <xdr:cNvSpPr>
          <a:spLocks noChangeAspect="1"/>
        </xdr:cNvSpPr>
      </xdr:nvSpPr>
      <xdr:spPr bwMode="auto">
        <a:xfrm>
          <a:off x="7953375" y="3752850"/>
          <a:ext cx="28575" cy="4762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w 67"/>
            <a:gd name="T31" fmla="*/ 0 h 101"/>
            <a:gd name="T32" fmla="*/ 0 w 67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7"/>
            <a:gd name="T52" fmla="*/ 0 h 101"/>
            <a:gd name="T53" fmla="*/ 67 w 67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7" h="101">
              <a:moveTo>
                <a:pt x="15" y="50"/>
              </a:moveTo>
              <a:lnTo>
                <a:pt x="31" y="0"/>
              </a:lnTo>
              <a:lnTo>
                <a:pt x="42" y="5"/>
              </a:lnTo>
              <a:lnTo>
                <a:pt x="51" y="12"/>
              </a:lnTo>
              <a:lnTo>
                <a:pt x="58" y="21"/>
              </a:lnTo>
              <a:lnTo>
                <a:pt x="64" y="32"/>
              </a:lnTo>
              <a:lnTo>
                <a:pt x="67" y="42"/>
              </a:lnTo>
              <a:lnTo>
                <a:pt x="67" y="54"/>
              </a:lnTo>
              <a:lnTo>
                <a:pt x="65" y="66"/>
              </a:lnTo>
              <a:lnTo>
                <a:pt x="60" y="76"/>
              </a:lnTo>
              <a:lnTo>
                <a:pt x="53" y="86"/>
              </a:lnTo>
              <a:lnTo>
                <a:pt x="44" y="93"/>
              </a:lnTo>
              <a:lnTo>
                <a:pt x="33" y="98"/>
              </a:lnTo>
              <a:lnTo>
                <a:pt x="23" y="101"/>
              </a:lnTo>
              <a:lnTo>
                <a:pt x="11" y="101"/>
              </a:lnTo>
              <a:lnTo>
                <a:pt x="0" y="99"/>
              </a:lnTo>
              <a:lnTo>
                <a:pt x="15" y="5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314325</xdr:colOff>
      <xdr:row>20</xdr:row>
      <xdr:rowOff>47625</xdr:rowOff>
    </xdr:from>
    <xdr:to>
      <xdr:col>14</xdr:col>
      <xdr:colOff>342900</xdr:colOff>
      <xdr:row>20</xdr:row>
      <xdr:rowOff>95250</xdr:rowOff>
    </xdr:to>
    <xdr:sp macro="" textlink="">
      <xdr:nvSpPr>
        <xdr:cNvPr id="13078" name="Freeform 124">
          <a:extLst>
            <a:ext uri="{FF2B5EF4-FFF2-40B4-BE49-F238E27FC236}">
              <a16:creationId xmlns:a16="http://schemas.microsoft.com/office/drawing/2014/main" id="{00000000-0008-0000-0A00-000016330000}"/>
            </a:ext>
          </a:extLst>
        </xdr:cNvPr>
        <xdr:cNvSpPr>
          <a:spLocks noChangeAspect="1"/>
        </xdr:cNvSpPr>
      </xdr:nvSpPr>
      <xdr:spPr bwMode="auto">
        <a:xfrm>
          <a:off x="7953375" y="3752850"/>
          <a:ext cx="28575" cy="4762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7"/>
            <a:gd name="T46" fmla="*/ 0 h 101"/>
            <a:gd name="T47" fmla="*/ 67 w 67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7" h="101">
              <a:moveTo>
                <a:pt x="31" y="0"/>
              </a:moveTo>
              <a:lnTo>
                <a:pt x="42" y="5"/>
              </a:lnTo>
              <a:lnTo>
                <a:pt x="51" y="12"/>
              </a:lnTo>
              <a:lnTo>
                <a:pt x="58" y="21"/>
              </a:lnTo>
              <a:lnTo>
                <a:pt x="64" y="32"/>
              </a:lnTo>
              <a:lnTo>
                <a:pt x="67" y="42"/>
              </a:lnTo>
              <a:lnTo>
                <a:pt x="67" y="54"/>
              </a:lnTo>
              <a:lnTo>
                <a:pt x="65" y="66"/>
              </a:lnTo>
              <a:lnTo>
                <a:pt x="60" y="76"/>
              </a:lnTo>
              <a:lnTo>
                <a:pt x="53" y="86"/>
              </a:lnTo>
              <a:lnTo>
                <a:pt x="44" y="93"/>
              </a:lnTo>
              <a:lnTo>
                <a:pt x="33" y="98"/>
              </a:lnTo>
              <a:lnTo>
                <a:pt x="23" y="101"/>
              </a:lnTo>
              <a:lnTo>
                <a:pt x="11" y="101"/>
              </a:lnTo>
              <a:lnTo>
                <a:pt x="0" y="99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9525</xdr:colOff>
      <xdr:row>19</xdr:row>
      <xdr:rowOff>85725</xdr:rowOff>
    </xdr:from>
    <xdr:to>
      <xdr:col>14</xdr:col>
      <xdr:colOff>333375</xdr:colOff>
      <xdr:row>20</xdr:row>
      <xdr:rowOff>76200</xdr:rowOff>
    </xdr:to>
    <xdr:sp macro="" textlink="">
      <xdr:nvSpPr>
        <xdr:cNvPr id="13079" name="Freeform 125">
          <a:extLst>
            <a:ext uri="{FF2B5EF4-FFF2-40B4-BE49-F238E27FC236}">
              <a16:creationId xmlns:a16="http://schemas.microsoft.com/office/drawing/2014/main" id="{00000000-0008-0000-0A00-000017330000}"/>
            </a:ext>
          </a:extLst>
        </xdr:cNvPr>
        <xdr:cNvSpPr>
          <a:spLocks noChangeAspect="1"/>
        </xdr:cNvSpPr>
      </xdr:nvSpPr>
      <xdr:spPr bwMode="auto">
        <a:xfrm>
          <a:off x="7648575" y="3629025"/>
          <a:ext cx="323850" cy="152400"/>
        </a:xfrm>
        <a:custGeom>
          <a:avLst/>
          <a:gdLst>
            <a:gd name="T0" fmla="*/ 2147483647 w 903"/>
            <a:gd name="T1" fmla="*/ 2147483647 h 381"/>
            <a:gd name="T2" fmla="*/ 2147483647 w 903"/>
            <a:gd name="T3" fmla="*/ 2147483647 h 381"/>
            <a:gd name="T4" fmla="*/ 2147483647 w 903"/>
            <a:gd name="T5" fmla="*/ 2147483647 h 381"/>
            <a:gd name="T6" fmla="*/ 0 w 903"/>
            <a:gd name="T7" fmla="*/ 0 h 381"/>
            <a:gd name="T8" fmla="*/ 0 w 903"/>
            <a:gd name="T9" fmla="*/ 0 h 381"/>
            <a:gd name="T10" fmla="*/ 0 w 903"/>
            <a:gd name="T11" fmla="*/ 0 h 381"/>
            <a:gd name="T12" fmla="*/ 2147483647 w 903"/>
            <a:gd name="T13" fmla="*/ 2147483647 h 38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3"/>
            <a:gd name="T22" fmla="*/ 0 h 381"/>
            <a:gd name="T23" fmla="*/ 903 w 903"/>
            <a:gd name="T24" fmla="*/ 381 h 38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3" h="381">
              <a:moveTo>
                <a:pt x="872" y="381"/>
              </a:moveTo>
              <a:lnTo>
                <a:pt x="887" y="332"/>
              </a:lnTo>
              <a:lnTo>
                <a:pt x="903" y="282"/>
              </a:lnTo>
              <a:lnTo>
                <a:pt x="32" y="0"/>
              </a:lnTo>
              <a:lnTo>
                <a:pt x="16" y="49"/>
              </a:lnTo>
              <a:lnTo>
                <a:pt x="0" y="99"/>
              </a:lnTo>
              <a:lnTo>
                <a:pt x="872" y="38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9525</xdr:colOff>
      <xdr:row>19</xdr:row>
      <xdr:rowOff>85725</xdr:rowOff>
    </xdr:from>
    <xdr:to>
      <xdr:col>14</xdr:col>
      <xdr:colOff>333375</xdr:colOff>
      <xdr:row>20</xdr:row>
      <xdr:rowOff>76200</xdr:rowOff>
    </xdr:to>
    <xdr:sp macro="" textlink="">
      <xdr:nvSpPr>
        <xdr:cNvPr id="13080" name="Freeform 126">
          <a:extLst>
            <a:ext uri="{FF2B5EF4-FFF2-40B4-BE49-F238E27FC236}">
              <a16:creationId xmlns:a16="http://schemas.microsoft.com/office/drawing/2014/main" id="{00000000-0008-0000-0A00-000018330000}"/>
            </a:ext>
          </a:extLst>
        </xdr:cNvPr>
        <xdr:cNvSpPr>
          <a:spLocks noChangeAspect="1"/>
        </xdr:cNvSpPr>
      </xdr:nvSpPr>
      <xdr:spPr bwMode="auto">
        <a:xfrm>
          <a:off x="7648575" y="3629025"/>
          <a:ext cx="323850" cy="152400"/>
        </a:xfrm>
        <a:custGeom>
          <a:avLst/>
          <a:gdLst>
            <a:gd name="T0" fmla="*/ 2147483647 w 903"/>
            <a:gd name="T1" fmla="*/ 2147483647 h 381"/>
            <a:gd name="T2" fmla="*/ 2147483647 w 903"/>
            <a:gd name="T3" fmla="*/ 2147483647 h 381"/>
            <a:gd name="T4" fmla="*/ 2147483647 w 903"/>
            <a:gd name="T5" fmla="*/ 2147483647 h 381"/>
            <a:gd name="T6" fmla="*/ 0 w 903"/>
            <a:gd name="T7" fmla="*/ 0 h 381"/>
            <a:gd name="T8" fmla="*/ 0 w 903"/>
            <a:gd name="T9" fmla="*/ 0 h 381"/>
            <a:gd name="T10" fmla="*/ 0 w 903"/>
            <a:gd name="T11" fmla="*/ 0 h 381"/>
            <a:gd name="T12" fmla="*/ 2147483647 w 903"/>
            <a:gd name="T13" fmla="*/ 2147483647 h 38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3"/>
            <a:gd name="T22" fmla="*/ 0 h 381"/>
            <a:gd name="T23" fmla="*/ 903 w 903"/>
            <a:gd name="T24" fmla="*/ 381 h 38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3" h="381">
              <a:moveTo>
                <a:pt x="872" y="381"/>
              </a:moveTo>
              <a:lnTo>
                <a:pt x="887" y="332"/>
              </a:lnTo>
              <a:lnTo>
                <a:pt x="903" y="282"/>
              </a:lnTo>
              <a:lnTo>
                <a:pt x="32" y="0"/>
              </a:lnTo>
              <a:lnTo>
                <a:pt x="16" y="49"/>
              </a:lnTo>
              <a:lnTo>
                <a:pt x="0" y="99"/>
              </a:lnTo>
              <a:lnTo>
                <a:pt x="872" y="38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428625</xdr:colOff>
      <xdr:row>19</xdr:row>
      <xdr:rowOff>85725</xdr:rowOff>
    </xdr:from>
    <xdr:to>
      <xdr:col>14</xdr:col>
      <xdr:colOff>9525</xdr:colOff>
      <xdr:row>19</xdr:row>
      <xdr:rowOff>133350</xdr:rowOff>
    </xdr:to>
    <xdr:sp macro="" textlink="">
      <xdr:nvSpPr>
        <xdr:cNvPr id="13081" name="Freeform 127">
          <a:extLst>
            <a:ext uri="{FF2B5EF4-FFF2-40B4-BE49-F238E27FC236}">
              <a16:creationId xmlns:a16="http://schemas.microsoft.com/office/drawing/2014/main" id="{00000000-0008-0000-0A00-000019330000}"/>
            </a:ext>
          </a:extLst>
        </xdr:cNvPr>
        <xdr:cNvSpPr>
          <a:spLocks noChangeAspect="1"/>
        </xdr:cNvSpPr>
      </xdr:nvSpPr>
      <xdr:spPr bwMode="auto">
        <a:xfrm>
          <a:off x="7534275" y="3629025"/>
          <a:ext cx="114300" cy="47625"/>
        </a:xfrm>
        <a:custGeom>
          <a:avLst/>
          <a:gdLst>
            <a:gd name="T0" fmla="*/ 0 w 68"/>
            <a:gd name="T1" fmla="*/ 0 h 101"/>
            <a:gd name="T2" fmla="*/ 0 w 68"/>
            <a:gd name="T3" fmla="*/ 0 h 101"/>
            <a:gd name="T4" fmla="*/ 0 w 68"/>
            <a:gd name="T5" fmla="*/ 0 h 101"/>
            <a:gd name="T6" fmla="*/ 0 w 68"/>
            <a:gd name="T7" fmla="*/ 0 h 101"/>
            <a:gd name="T8" fmla="*/ 0 w 68"/>
            <a:gd name="T9" fmla="*/ 0 h 101"/>
            <a:gd name="T10" fmla="*/ 0 w 68"/>
            <a:gd name="T11" fmla="*/ 0 h 101"/>
            <a:gd name="T12" fmla="*/ 0 w 68"/>
            <a:gd name="T13" fmla="*/ 0 h 101"/>
            <a:gd name="T14" fmla="*/ 0 w 68"/>
            <a:gd name="T15" fmla="*/ 0 h 101"/>
            <a:gd name="T16" fmla="*/ 0 w 68"/>
            <a:gd name="T17" fmla="*/ 0 h 101"/>
            <a:gd name="T18" fmla="*/ 0 w 68"/>
            <a:gd name="T19" fmla="*/ 0 h 101"/>
            <a:gd name="T20" fmla="*/ 0 w 68"/>
            <a:gd name="T21" fmla="*/ 0 h 101"/>
            <a:gd name="T22" fmla="*/ 0 w 68"/>
            <a:gd name="T23" fmla="*/ 0 h 101"/>
            <a:gd name="T24" fmla="*/ 0 w 68"/>
            <a:gd name="T25" fmla="*/ 0 h 101"/>
            <a:gd name="T26" fmla="*/ 0 w 68"/>
            <a:gd name="T27" fmla="*/ 0 h 101"/>
            <a:gd name="T28" fmla="*/ 0 w 68"/>
            <a:gd name="T29" fmla="*/ 0 h 101"/>
            <a:gd name="T30" fmla="*/ 0 w 68"/>
            <a:gd name="T31" fmla="*/ 0 h 101"/>
            <a:gd name="T32" fmla="*/ 0 w 68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8"/>
            <a:gd name="T52" fmla="*/ 0 h 101"/>
            <a:gd name="T53" fmla="*/ 68 w 68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8" h="101">
              <a:moveTo>
                <a:pt x="52" y="51"/>
              </a:moveTo>
              <a:lnTo>
                <a:pt x="36" y="101"/>
              </a:lnTo>
              <a:lnTo>
                <a:pt x="26" y="97"/>
              </a:lnTo>
              <a:lnTo>
                <a:pt x="16" y="89"/>
              </a:lnTo>
              <a:lnTo>
                <a:pt x="9" y="80"/>
              </a:lnTo>
              <a:lnTo>
                <a:pt x="3" y="69"/>
              </a:lnTo>
              <a:lnTo>
                <a:pt x="0" y="59"/>
              </a:lnTo>
              <a:lnTo>
                <a:pt x="0" y="47"/>
              </a:lnTo>
              <a:lnTo>
                <a:pt x="2" y="36"/>
              </a:lnTo>
              <a:lnTo>
                <a:pt x="7" y="25"/>
              </a:lnTo>
              <a:lnTo>
                <a:pt x="14" y="16"/>
              </a:lnTo>
              <a:lnTo>
                <a:pt x="23" y="8"/>
              </a:lnTo>
              <a:lnTo>
                <a:pt x="34" y="3"/>
              </a:lnTo>
              <a:lnTo>
                <a:pt x="44" y="0"/>
              </a:lnTo>
              <a:lnTo>
                <a:pt x="56" y="0"/>
              </a:lnTo>
              <a:lnTo>
                <a:pt x="68" y="2"/>
              </a:lnTo>
              <a:lnTo>
                <a:pt x="52" y="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428625</xdr:colOff>
      <xdr:row>19</xdr:row>
      <xdr:rowOff>85725</xdr:rowOff>
    </xdr:from>
    <xdr:to>
      <xdr:col>14</xdr:col>
      <xdr:colOff>9525</xdr:colOff>
      <xdr:row>19</xdr:row>
      <xdr:rowOff>133350</xdr:rowOff>
    </xdr:to>
    <xdr:sp macro="" textlink="">
      <xdr:nvSpPr>
        <xdr:cNvPr id="13082" name="Freeform 128">
          <a:extLst>
            <a:ext uri="{FF2B5EF4-FFF2-40B4-BE49-F238E27FC236}">
              <a16:creationId xmlns:a16="http://schemas.microsoft.com/office/drawing/2014/main" id="{00000000-0008-0000-0A00-00001A330000}"/>
            </a:ext>
          </a:extLst>
        </xdr:cNvPr>
        <xdr:cNvSpPr>
          <a:spLocks noChangeAspect="1"/>
        </xdr:cNvSpPr>
      </xdr:nvSpPr>
      <xdr:spPr bwMode="auto">
        <a:xfrm>
          <a:off x="7534275" y="3629025"/>
          <a:ext cx="114300" cy="47625"/>
        </a:xfrm>
        <a:custGeom>
          <a:avLst/>
          <a:gdLst>
            <a:gd name="T0" fmla="*/ 0 w 68"/>
            <a:gd name="T1" fmla="*/ 0 h 101"/>
            <a:gd name="T2" fmla="*/ 0 w 68"/>
            <a:gd name="T3" fmla="*/ 0 h 101"/>
            <a:gd name="T4" fmla="*/ 0 w 68"/>
            <a:gd name="T5" fmla="*/ 0 h 101"/>
            <a:gd name="T6" fmla="*/ 0 w 68"/>
            <a:gd name="T7" fmla="*/ 0 h 101"/>
            <a:gd name="T8" fmla="*/ 0 w 68"/>
            <a:gd name="T9" fmla="*/ 0 h 101"/>
            <a:gd name="T10" fmla="*/ 0 w 68"/>
            <a:gd name="T11" fmla="*/ 0 h 101"/>
            <a:gd name="T12" fmla="*/ 0 w 68"/>
            <a:gd name="T13" fmla="*/ 0 h 101"/>
            <a:gd name="T14" fmla="*/ 0 w 68"/>
            <a:gd name="T15" fmla="*/ 0 h 101"/>
            <a:gd name="T16" fmla="*/ 0 w 68"/>
            <a:gd name="T17" fmla="*/ 0 h 101"/>
            <a:gd name="T18" fmla="*/ 0 w 68"/>
            <a:gd name="T19" fmla="*/ 0 h 101"/>
            <a:gd name="T20" fmla="*/ 0 w 68"/>
            <a:gd name="T21" fmla="*/ 0 h 101"/>
            <a:gd name="T22" fmla="*/ 0 w 68"/>
            <a:gd name="T23" fmla="*/ 0 h 101"/>
            <a:gd name="T24" fmla="*/ 0 w 68"/>
            <a:gd name="T25" fmla="*/ 0 h 101"/>
            <a:gd name="T26" fmla="*/ 0 w 68"/>
            <a:gd name="T27" fmla="*/ 0 h 101"/>
            <a:gd name="T28" fmla="*/ 0 w 68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8"/>
            <a:gd name="T46" fmla="*/ 0 h 101"/>
            <a:gd name="T47" fmla="*/ 68 w 68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8" h="101">
              <a:moveTo>
                <a:pt x="36" y="101"/>
              </a:moveTo>
              <a:lnTo>
                <a:pt x="26" y="97"/>
              </a:lnTo>
              <a:lnTo>
                <a:pt x="16" y="89"/>
              </a:lnTo>
              <a:lnTo>
                <a:pt x="9" y="80"/>
              </a:lnTo>
              <a:lnTo>
                <a:pt x="3" y="69"/>
              </a:lnTo>
              <a:lnTo>
                <a:pt x="0" y="59"/>
              </a:lnTo>
              <a:lnTo>
                <a:pt x="0" y="47"/>
              </a:lnTo>
              <a:lnTo>
                <a:pt x="2" y="36"/>
              </a:lnTo>
              <a:lnTo>
                <a:pt x="7" y="25"/>
              </a:lnTo>
              <a:lnTo>
                <a:pt x="14" y="16"/>
              </a:lnTo>
              <a:lnTo>
                <a:pt x="23" y="8"/>
              </a:lnTo>
              <a:lnTo>
                <a:pt x="34" y="3"/>
              </a:lnTo>
              <a:lnTo>
                <a:pt x="44" y="0"/>
              </a:lnTo>
              <a:lnTo>
                <a:pt x="56" y="0"/>
              </a:lnTo>
              <a:lnTo>
                <a:pt x="68" y="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371475</xdr:colOff>
      <xdr:row>19</xdr:row>
      <xdr:rowOff>66675</xdr:rowOff>
    </xdr:from>
    <xdr:to>
      <xdr:col>13</xdr:col>
      <xdr:colOff>400050</xdr:colOff>
      <xdr:row>19</xdr:row>
      <xdr:rowOff>104775</xdr:rowOff>
    </xdr:to>
    <xdr:sp macro="" textlink="">
      <xdr:nvSpPr>
        <xdr:cNvPr id="13083" name="Freeform 129">
          <a:extLst>
            <a:ext uri="{FF2B5EF4-FFF2-40B4-BE49-F238E27FC236}">
              <a16:creationId xmlns:a16="http://schemas.microsoft.com/office/drawing/2014/main" id="{00000000-0008-0000-0A00-00001B330000}"/>
            </a:ext>
          </a:extLst>
        </xdr:cNvPr>
        <xdr:cNvSpPr>
          <a:spLocks noChangeAspect="1"/>
        </xdr:cNvSpPr>
      </xdr:nvSpPr>
      <xdr:spPr bwMode="auto">
        <a:xfrm>
          <a:off x="7477125" y="3609975"/>
          <a:ext cx="28575" cy="38100"/>
        </a:xfrm>
        <a:custGeom>
          <a:avLst/>
          <a:gdLst>
            <a:gd name="T0" fmla="*/ 0 w 67"/>
            <a:gd name="T1" fmla="*/ 0 h 100"/>
            <a:gd name="T2" fmla="*/ 0 w 67"/>
            <a:gd name="T3" fmla="*/ 0 h 100"/>
            <a:gd name="T4" fmla="*/ 0 w 67"/>
            <a:gd name="T5" fmla="*/ 0 h 100"/>
            <a:gd name="T6" fmla="*/ 0 w 67"/>
            <a:gd name="T7" fmla="*/ 0 h 100"/>
            <a:gd name="T8" fmla="*/ 0 w 67"/>
            <a:gd name="T9" fmla="*/ 0 h 100"/>
            <a:gd name="T10" fmla="*/ 0 w 67"/>
            <a:gd name="T11" fmla="*/ 0 h 100"/>
            <a:gd name="T12" fmla="*/ 0 w 67"/>
            <a:gd name="T13" fmla="*/ 0 h 100"/>
            <a:gd name="T14" fmla="*/ 0 w 67"/>
            <a:gd name="T15" fmla="*/ 0 h 100"/>
            <a:gd name="T16" fmla="*/ 0 w 67"/>
            <a:gd name="T17" fmla="*/ 0 h 100"/>
            <a:gd name="T18" fmla="*/ 0 w 67"/>
            <a:gd name="T19" fmla="*/ 0 h 100"/>
            <a:gd name="T20" fmla="*/ 0 w 67"/>
            <a:gd name="T21" fmla="*/ 0 h 100"/>
            <a:gd name="T22" fmla="*/ 0 w 67"/>
            <a:gd name="T23" fmla="*/ 0 h 100"/>
            <a:gd name="T24" fmla="*/ 0 w 67"/>
            <a:gd name="T25" fmla="*/ 0 h 100"/>
            <a:gd name="T26" fmla="*/ 0 w 67"/>
            <a:gd name="T27" fmla="*/ 0 h 100"/>
            <a:gd name="T28" fmla="*/ 0 w 67"/>
            <a:gd name="T29" fmla="*/ 0 h 100"/>
            <a:gd name="T30" fmla="*/ 0 w 67"/>
            <a:gd name="T31" fmla="*/ 0 h 100"/>
            <a:gd name="T32" fmla="*/ 0 w 67"/>
            <a:gd name="T33" fmla="*/ 0 h 100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7"/>
            <a:gd name="T52" fmla="*/ 0 h 100"/>
            <a:gd name="T53" fmla="*/ 67 w 67"/>
            <a:gd name="T54" fmla="*/ 100 h 100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7" h="100">
              <a:moveTo>
                <a:pt x="15" y="49"/>
              </a:moveTo>
              <a:lnTo>
                <a:pt x="31" y="0"/>
              </a:lnTo>
              <a:lnTo>
                <a:pt x="42" y="4"/>
              </a:lnTo>
              <a:lnTo>
                <a:pt x="51" y="11"/>
              </a:lnTo>
              <a:lnTo>
                <a:pt x="58" y="21"/>
              </a:lnTo>
              <a:lnTo>
                <a:pt x="64" y="31"/>
              </a:lnTo>
              <a:lnTo>
                <a:pt x="67" y="42"/>
              </a:lnTo>
              <a:lnTo>
                <a:pt x="67" y="53"/>
              </a:lnTo>
              <a:lnTo>
                <a:pt x="65" y="65"/>
              </a:lnTo>
              <a:lnTo>
                <a:pt x="61" y="75"/>
              </a:lnTo>
              <a:lnTo>
                <a:pt x="53" y="85"/>
              </a:lnTo>
              <a:lnTo>
                <a:pt x="44" y="92"/>
              </a:lnTo>
              <a:lnTo>
                <a:pt x="33" y="97"/>
              </a:lnTo>
              <a:lnTo>
                <a:pt x="23" y="100"/>
              </a:lnTo>
              <a:lnTo>
                <a:pt x="11" y="100"/>
              </a:lnTo>
              <a:lnTo>
                <a:pt x="0" y="98"/>
              </a:lnTo>
              <a:lnTo>
                <a:pt x="15" y="4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371475</xdr:colOff>
      <xdr:row>19</xdr:row>
      <xdr:rowOff>66675</xdr:rowOff>
    </xdr:from>
    <xdr:to>
      <xdr:col>13</xdr:col>
      <xdr:colOff>400050</xdr:colOff>
      <xdr:row>19</xdr:row>
      <xdr:rowOff>104775</xdr:rowOff>
    </xdr:to>
    <xdr:sp macro="" textlink="">
      <xdr:nvSpPr>
        <xdr:cNvPr id="13084" name="Freeform 130">
          <a:extLst>
            <a:ext uri="{FF2B5EF4-FFF2-40B4-BE49-F238E27FC236}">
              <a16:creationId xmlns:a16="http://schemas.microsoft.com/office/drawing/2014/main" id="{00000000-0008-0000-0A00-00001C330000}"/>
            </a:ext>
          </a:extLst>
        </xdr:cNvPr>
        <xdr:cNvSpPr>
          <a:spLocks noChangeAspect="1"/>
        </xdr:cNvSpPr>
      </xdr:nvSpPr>
      <xdr:spPr bwMode="auto">
        <a:xfrm>
          <a:off x="7477125" y="3609975"/>
          <a:ext cx="28575" cy="38100"/>
        </a:xfrm>
        <a:custGeom>
          <a:avLst/>
          <a:gdLst>
            <a:gd name="T0" fmla="*/ 0 w 67"/>
            <a:gd name="T1" fmla="*/ 0 h 100"/>
            <a:gd name="T2" fmla="*/ 0 w 67"/>
            <a:gd name="T3" fmla="*/ 0 h 100"/>
            <a:gd name="T4" fmla="*/ 0 w 67"/>
            <a:gd name="T5" fmla="*/ 0 h 100"/>
            <a:gd name="T6" fmla="*/ 0 w 67"/>
            <a:gd name="T7" fmla="*/ 0 h 100"/>
            <a:gd name="T8" fmla="*/ 0 w 67"/>
            <a:gd name="T9" fmla="*/ 0 h 100"/>
            <a:gd name="T10" fmla="*/ 0 w 67"/>
            <a:gd name="T11" fmla="*/ 0 h 100"/>
            <a:gd name="T12" fmla="*/ 0 w 67"/>
            <a:gd name="T13" fmla="*/ 0 h 100"/>
            <a:gd name="T14" fmla="*/ 0 w 67"/>
            <a:gd name="T15" fmla="*/ 0 h 100"/>
            <a:gd name="T16" fmla="*/ 0 w 67"/>
            <a:gd name="T17" fmla="*/ 0 h 100"/>
            <a:gd name="T18" fmla="*/ 0 w 67"/>
            <a:gd name="T19" fmla="*/ 0 h 100"/>
            <a:gd name="T20" fmla="*/ 0 w 67"/>
            <a:gd name="T21" fmla="*/ 0 h 100"/>
            <a:gd name="T22" fmla="*/ 0 w 67"/>
            <a:gd name="T23" fmla="*/ 0 h 100"/>
            <a:gd name="T24" fmla="*/ 0 w 67"/>
            <a:gd name="T25" fmla="*/ 0 h 100"/>
            <a:gd name="T26" fmla="*/ 0 w 67"/>
            <a:gd name="T27" fmla="*/ 0 h 100"/>
            <a:gd name="T28" fmla="*/ 0 w 67"/>
            <a:gd name="T29" fmla="*/ 0 h 100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7"/>
            <a:gd name="T46" fmla="*/ 0 h 100"/>
            <a:gd name="T47" fmla="*/ 67 w 67"/>
            <a:gd name="T48" fmla="*/ 100 h 100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7" h="100">
              <a:moveTo>
                <a:pt x="31" y="0"/>
              </a:moveTo>
              <a:lnTo>
                <a:pt x="42" y="4"/>
              </a:lnTo>
              <a:lnTo>
                <a:pt x="51" y="11"/>
              </a:lnTo>
              <a:lnTo>
                <a:pt x="58" y="21"/>
              </a:lnTo>
              <a:lnTo>
                <a:pt x="64" y="31"/>
              </a:lnTo>
              <a:lnTo>
                <a:pt x="67" y="42"/>
              </a:lnTo>
              <a:lnTo>
                <a:pt x="67" y="53"/>
              </a:lnTo>
              <a:lnTo>
                <a:pt x="65" y="65"/>
              </a:lnTo>
              <a:lnTo>
                <a:pt x="61" y="75"/>
              </a:lnTo>
              <a:lnTo>
                <a:pt x="53" y="85"/>
              </a:lnTo>
              <a:lnTo>
                <a:pt x="44" y="92"/>
              </a:lnTo>
              <a:lnTo>
                <a:pt x="33" y="97"/>
              </a:lnTo>
              <a:lnTo>
                <a:pt x="23" y="100"/>
              </a:lnTo>
              <a:lnTo>
                <a:pt x="11" y="100"/>
              </a:lnTo>
              <a:lnTo>
                <a:pt x="0" y="98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9525</xdr:colOff>
      <xdr:row>18</xdr:row>
      <xdr:rowOff>104775</xdr:rowOff>
    </xdr:from>
    <xdr:to>
      <xdr:col>13</xdr:col>
      <xdr:colOff>371475</xdr:colOff>
      <xdr:row>19</xdr:row>
      <xdr:rowOff>95250</xdr:rowOff>
    </xdr:to>
    <xdr:sp macro="" textlink="">
      <xdr:nvSpPr>
        <xdr:cNvPr id="13085" name="Freeform 131">
          <a:extLst>
            <a:ext uri="{FF2B5EF4-FFF2-40B4-BE49-F238E27FC236}">
              <a16:creationId xmlns:a16="http://schemas.microsoft.com/office/drawing/2014/main" id="{00000000-0008-0000-0A00-00001D330000}"/>
            </a:ext>
          </a:extLst>
        </xdr:cNvPr>
        <xdr:cNvSpPr>
          <a:spLocks noChangeAspect="1"/>
        </xdr:cNvSpPr>
      </xdr:nvSpPr>
      <xdr:spPr bwMode="auto">
        <a:xfrm>
          <a:off x="7115175" y="3486150"/>
          <a:ext cx="361950" cy="152400"/>
        </a:xfrm>
        <a:custGeom>
          <a:avLst/>
          <a:gdLst>
            <a:gd name="T0" fmla="*/ 2147483647 w 904"/>
            <a:gd name="T1" fmla="*/ 2147483647 h 381"/>
            <a:gd name="T2" fmla="*/ 2147483647 w 904"/>
            <a:gd name="T3" fmla="*/ 2147483647 h 381"/>
            <a:gd name="T4" fmla="*/ 2147483647 w 904"/>
            <a:gd name="T5" fmla="*/ 2147483647 h 381"/>
            <a:gd name="T6" fmla="*/ 0 w 904"/>
            <a:gd name="T7" fmla="*/ 0 h 381"/>
            <a:gd name="T8" fmla="*/ 0 w 904"/>
            <a:gd name="T9" fmla="*/ 0 h 381"/>
            <a:gd name="T10" fmla="*/ 0 w 904"/>
            <a:gd name="T11" fmla="*/ 0 h 381"/>
            <a:gd name="T12" fmla="*/ 2147483647 w 904"/>
            <a:gd name="T13" fmla="*/ 2147483647 h 38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4"/>
            <a:gd name="T22" fmla="*/ 0 h 381"/>
            <a:gd name="T23" fmla="*/ 904 w 904"/>
            <a:gd name="T24" fmla="*/ 381 h 38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4" h="381">
              <a:moveTo>
                <a:pt x="873" y="381"/>
              </a:moveTo>
              <a:lnTo>
                <a:pt x="888" y="332"/>
              </a:lnTo>
              <a:lnTo>
                <a:pt x="904" y="283"/>
              </a:lnTo>
              <a:lnTo>
                <a:pt x="32" y="0"/>
              </a:lnTo>
              <a:lnTo>
                <a:pt x="16" y="50"/>
              </a:lnTo>
              <a:lnTo>
                <a:pt x="0" y="99"/>
              </a:lnTo>
              <a:lnTo>
                <a:pt x="873" y="38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9525</xdr:colOff>
      <xdr:row>18</xdr:row>
      <xdr:rowOff>104775</xdr:rowOff>
    </xdr:from>
    <xdr:to>
      <xdr:col>13</xdr:col>
      <xdr:colOff>371475</xdr:colOff>
      <xdr:row>19</xdr:row>
      <xdr:rowOff>95250</xdr:rowOff>
    </xdr:to>
    <xdr:sp macro="" textlink="">
      <xdr:nvSpPr>
        <xdr:cNvPr id="13086" name="Freeform 132">
          <a:extLst>
            <a:ext uri="{FF2B5EF4-FFF2-40B4-BE49-F238E27FC236}">
              <a16:creationId xmlns:a16="http://schemas.microsoft.com/office/drawing/2014/main" id="{00000000-0008-0000-0A00-00001E330000}"/>
            </a:ext>
          </a:extLst>
        </xdr:cNvPr>
        <xdr:cNvSpPr>
          <a:spLocks noChangeAspect="1"/>
        </xdr:cNvSpPr>
      </xdr:nvSpPr>
      <xdr:spPr bwMode="auto">
        <a:xfrm>
          <a:off x="7115175" y="3486150"/>
          <a:ext cx="361950" cy="152400"/>
        </a:xfrm>
        <a:custGeom>
          <a:avLst/>
          <a:gdLst>
            <a:gd name="T0" fmla="*/ 2147483647 w 904"/>
            <a:gd name="T1" fmla="*/ 2147483647 h 381"/>
            <a:gd name="T2" fmla="*/ 2147483647 w 904"/>
            <a:gd name="T3" fmla="*/ 2147483647 h 381"/>
            <a:gd name="T4" fmla="*/ 2147483647 w 904"/>
            <a:gd name="T5" fmla="*/ 2147483647 h 381"/>
            <a:gd name="T6" fmla="*/ 0 w 904"/>
            <a:gd name="T7" fmla="*/ 0 h 381"/>
            <a:gd name="T8" fmla="*/ 0 w 904"/>
            <a:gd name="T9" fmla="*/ 0 h 381"/>
            <a:gd name="T10" fmla="*/ 0 w 904"/>
            <a:gd name="T11" fmla="*/ 0 h 381"/>
            <a:gd name="T12" fmla="*/ 2147483647 w 904"/>
            <a:gd name="T13" fmla="*/ 2147483647 h 38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4"/>
            <a:gd name="T22" fmla="*/ 0 h 381"/>
            <a:gd name="T23" fmla="*/ 904 w 904"/>
            <a:gd name="T24" fmla="*/ 381 h 38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4" h="381">
              <a:moveTo>
                <a:pt x="873" y="381"/>
              </a:moveTo>
              <a:lnTo>
                <a:pt x="888" y="332"/>
              </a:lnTo>
              <a:lnTo>
                <a:pt x="904" y="283"/>
              </a:lnTo>
              <a:lnTo>
                <a:pt x="32" y="0"/>
              </a:lnTo>
              <a:lnTo>
                <a:pt x="16" y="50"/>
              </a:lnTo>
              <a:lnTo>
                <a:pt x="0" y="99"/>
              </a:lnTo>
              <a:lnTo>
                <a:pt x="873" y="38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9525</xdr:colOff>
      <xdr:row>18</xdr:row>
      <xdr:rowOff>104775</xdr:rowOff>
    </xdr:from>
    <xdr:to>
      <xdr:col>13</xdr:col>
      <xdr:colOff>19050</xdr:colOff>
      <xdr:row>18</xdr:row>
      <xdr:rowOff>142875</xdr:rowOff>
    </xdr:to>
    <xdr:sp macro="" textlink="">
      <xdr:nvSpPr>
        <xdr:cNvPr id="13087" name="Freeform 133">
          <a:extLst>
            <a:ext uri="{FF2B5EF4-FFF2-40B4-BE49-F238E27FC236}">
              <a16:creationId xmlns:a16="http://schemas.microsoft.com/office/drawing/2014/main" id="{00000000-0008-0000-0A00-00001F330000}"/>
            </a:ext>
          </a:extLst>
        </xdr:cNvPr>
        <xdr:cNvSpPr>
          <a:spLocks noChangeAspect="1"/>
        </xdr:cNvSpPr>
      </xdr:nvSpPr>
      <xdr:spPr bwMode="auto">
        <a:xfrm>
          <a:off x="7115175" y="3486150"/>
          <a:ext cx="9525" cy="38100"/>
        </a:xfrm>
        <a:custGeom>
          <a:avLst/>
          <a:gdLst>
            <a:gd name="T0" fmla="*/ 0 w 68"/>
            <a:gd name="T1" fmla="*/ 0 h 101"/>
            <a:gd name="T2" fmla="*/ 0 w 68"/>
            <a:gd name="T3" fmla="*/ 0 h 101"/>
            <a:gd name="T4" fmla="*/ 0 w 68"/>
            <a:gd name="T5" fmla="*/ 0 h 101"/>
            <a:gd name="T6" fmla="*/ 0 w 68"/>
            <a:gd name="T7" fmla="*/ 0 h 101"/>
            <a:gd name="T8" fmla="*/ 0 w 68"/>
            <a:gd name="T9" fmla="*/ 0 h 101"/>
            <a:gd name="T10" fmla="*/ 0 w 68"/>
            <a:gd name="T11" fmla="*/ 0 h 101"/>
            <a:gd name="T12" fmla="*/ 0 w 68"/>
            <a:gd name="T13" fmla="*/ 0 h 101"/>
            <a:gd name="T14" fmla="*/ 0 w 68"/>
            <a:gd name="T15" fmla="*/ 0 h 101"/>
            <a:gd name="T16" fmla="*/ 0 w 68"/>
            <a:gd name="T17" fmla="*/ 0 h 101"/>
            <a:gd name="T18" fmla="*/ 0 w 68"/>
            <a:gd name="T19" fmla="*/ 0 h 101"/>
            <a:gd name="T20" fmla="*/ 0 w 68"/>
            <a:gd name="T21" fmla="*/ 0 h 101"/>
            <a:gd name="T22" fmla="*/ 0 w 68"/>
            <a:gd name="T23" fmla="*/ 0 h 101"/>
            <a:gd name="T24" fmla="*/ 0 w 68"/>
            <a:gd name="T25" fmla="*/ 0 h 101"/>
            <a:gd name="T26" fmla="*/ 0 w 68"/>
            <a:gd name="T27" fmla="*/ 0 h 101"/>
            <a:gd name="T28" fmla="*/ 0 w 68"/>
            <a:gd name="T29" fmla="*/ 0 h 101"/>
            <a:gd name="T30" fmla="*/ 0 w 68"/>
            <a:gd name="T31" fmla="*/ 0 h 101"/>
            <a:gd name="T32" fmla="*/ 0 w 68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8"/>
            <a:gd name="T52" fmla="*/ 0 h 101"/>
            <a:gd name="T53" fmla="*/ 68 w 68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8" h="101">
              <a:moveTo>
                <a:pt x="52" y="52"/>
              </a:moveTo>
              <a:lnTo>
                <a:pt x="36" y="101"/>
              </a:lnTo>
              <a:lnTo>
                <a:pt x="26" y="97"/>
              </a:lnTo>
              <a:lnTo>
                <a:pt x="16" y="89"/>
              </a:lnTo>
              <a:lnTo>
                <a:pt x="9" y="80"/>
              </a:lnTo>
              <a:lnTo>
                <a:pt x="4" y="69"/>
              </a:lnTo>
              <a:lnTo>
                <a:pt x="0" y="59"/>
              </a:lnTo>
              <a:lnTo>
                <a:pt x="0" y="47"/>
              </a:lnTo>
              <a:lnTo>
                <a:pt x="2" y="36"/>
              </a:lnTo>
              <a:lnTo>
                <a:pt x="7" y="25"/>
              </a:lnTo>
              <a:lnTo>
                <a:pt x="14" y="16"/>
              </a:lnTo>
              <a:lnTo>
                <a:pt x="23" y="9"/>
              </a:lnTo>
              <a:lnTo>
                <a:pt x="34" y="3"/>
              </a:lnTo>
              <a:lnTo>
                <a:pt x="44" y="0"/>
              </a:lnTo>
              <a:lnTo>
                <a:pt x="56" y="0"/>
              </a:lnTo>
              <a:lnTo>
                <a:pt x="68" y="2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9525</xdr:colOff>
      <xdr:row>18</xdr:row>
      <xdr:rowOff>104775</xdr:rowOff>
    </xdr:from>
    <xdr:to>
      <xdr:col>13</xdr:col>
      <xdr:colOff>19050</xdr:colOff>
      <xdr:row>18</xdr:row>
      <xdr:rowOff>142875</xdr:rowOff>
    </xdr:to>
    <xdr:sp macro="" textlink="">
      <xdr:nvSpPr>
        <xdr:cNvPr id="13088" name="Freeform 134">
          <a:extLst>
            <a:ext uri="{FF2B5EF4-FFF2-40B4-BE49-F238E27FC236}">
              <a16:creationId xmlns:a16="http://schemas.microsoft.com/office/drawing/2014/main" id="{00000000-0008-0000-0A00-000020330000}"/>
            </a:ext>
          </a:extLst>
        </xdr:cNvPr>
        <xdr:cNvSpPr>
          <a:spLocks noChangeAspect="1"/>
        </xdr:cNvSpPr>
      </xdr:nvSpPr>
      <xdr:spPr bwMode="auto">
        <a:xfrm>
          <a:off x="7115175" y="3486150"/>
          <a:ext cx="9525" cy="38100"/>
        </a:xfrm>
        <a:custGeom>
          <a:avLst/>
          <a:gdLst>
            <a:gd name="T0" fmla="*/ 0 w 68"/>
            <a:gd name="T1" fmla="*/ 0 h 101"/>
            <a:gd name="T2" fmla="*/ 0 w 68"/>
            <a:gd name="T3" fmla="*/ 0 h 101"/>
            <a:gd name="T4" fmla="*/ 0 w 68"/>
            <a:gd name="T5" fmla="*/ 0 h 101"/>
            <a:gd name="T6" fmla="*/ 0 w 68"/>
            <a:gd name="T7" fmla="*/ 0 h 101"/>
            <a:gd name="T8" fmla="*/ 0 w 68"/>
            <a:gd name="T9" fmla="*/ 0 h 101"/>
            <a:gd name="T10" fmla="*/ 0 w 68"/>
            <a:gd name="T11" fmla="*/ 0 h 101"/>
            <a:gd name="T12" fmla="*/ 0 w 68"/>
            <a:gd name="T13" fmla="*/ 0 h 101"/>
            <a:gd name="T14" fmla="*/ 0 w 68"/>
            <a:gd name="T15" fmla="*/ 0 h 101"/>
            <a:gd name="T16" fmla="*/ 0 w 68"/>
            <a:gd name="T17" fmla="*/ 0 h 101"/>
            <a:gd name="T18" fmla="*/ 0 w 68"/>
            <a:gd name="T19" fmla="*/ 0 h 101"/>
            <a:gd name="T20" fmla="*/ 0 w 68"/>
            <a:gd name="T21" fmla="*/ 0 h 101"/>
            <a:gd name="T22" fmla="*/ 0 w 68"/>
            <a:gd name="T23" fmla="*/ 0 h 101"/>
            <a:gd name="T24" fmla="*/ 0 w 68"/>
            <a:gd name="T25" fmla="*/ 0 h 101"/>
            <a:gd name="T26" fmla="*/ 0 w 68"/>
            <a:gd name="T27" fmla="*/ 0 h 101"/>
            <a:gd name="T28" fmla="*/ 0 w 68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8"/>
            <a:gd name="T46" fmla="*/ 0 h 101"/>
            <a:gd name="T47" fmla="*/ 68 w 68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8" h="101">
              <a:moveTo>
                <a:pt x="36" y="101"/>
              </a:moveTo>
              <a:lnTo>
                <a:pt x="26" y="97"/>
              </a:lnTo>
              <a:lnTo>
                <a:pt x="16" y="89"/>
              </a:lnTo>
              <a:lnTo>
                <a:pt x="9" y="80"/>
              </a:lnTo>
              <a:lnTo>
                <a:pt x="4" y="69"/>
              </a:lnTo>
              <a:lnTo>
                <a:pt x="0" y="59"/>
              </a:lnTo>
              <a:lnTo>
                <a:pt x="0" y="47"/>
              </a:lnTo>
              <a:lnTo>
                <a:pt x="2" y="36"/>
              </a:lnTo>
              <a:lnTo>
                <a:pt x="7" y="25"/>
              </a:lnTo>
              <a:lnTo>
                <a:pt x="14" y="16"/>
              </a:lnTo>
              <a:lnTo>
                <a:pt x="23" y="9"/>
              </a:lnTo>
              <a:lnTo>
                <a:pt x="34" y="3"/>
              </a:lnTo>
              <a:lnTo>
                <a:pt x="44" y="0"/>
              </a:lnTo>
              <a:lnTo>
                <a:pt x="56" y="0"/>
              </a:lnTo>
              <a:lnTo>
                <a:pt x="68" y="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400050</xdr:colOff>
      <xdr:row>18</xdr:row>
      <xdr:rowOff>85725</xdr:rowOff>
    </xdr:from>
    <xdr:to>
      <xdr:col>12</xdr:col>
      <xdr:colOff>428625</xdr:colOff>
      <xdr:row>18</xdr:row>
      <xdr:rowOff>133350</xdr:rowOff>
    </xdr:to>
    <xdr:sp macro="" textlink="">
      <xdr:nvSpPr>
        <xdr:cNvPr id="13089" name="Freeform 135">
          <a:extLst>
            <a:ext uri="{FF2B5EF4-FFF2-40B4-BE49-F238E27FC236}">
              <a16:creationId xmlns:a16="http://schemas.microsoft.com/office/drawing/2014/main" id="{00000000-0008-0000-0A00-000021330000}"/>
            </a:ext>
          </a:extLst>
        </xdr:cNvPr>
        <xdr:cNvSpPr>
          <a:spLocks noChangeAspect="1"/>
        </xdr:cNvSpPr>
      </xdr:nvSpPr>
      <xdr:spPr bwMode="auto">
        <a:xfrm>
          <a:off x="6972300" y="3467100"/>
          <a:ext cx="28575" cy="4762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w 67"/>
            <a:gd name="T31" fmla="*/ 0 h 101"/>
            <a:gd name="T32" fmla="*/ 0 w 67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7"/>
            <a:gd name="T52" fmla="*/ 0 h 101"/>
            <a:gd name="T53" fmla="*/ 67 w 67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7" h="101">
              <a:moveTo>
                <a:pt x="15" y="49"/>
              </a:moveTo>
              <a:lnTo>
                <a:pt x="31" y="0"/>
              </a:lnTo>
              <a:lnTo>
                <a:pt x="42" y="4"/>
              </a:lnTo>
              <a:lnTo>
                <a:pt x="51" y="11"/>
              </a:lnTo>
              <a:lnTo>
                <a:pt x="58" y="21"/>
              </a:lnTo>
              <a:lnTo>
                <a:pt x="64" y="31"/>
              </a:lnTo>
              <a:lnTo>
                <a:pt x="67" y="42"/>
              </a:lnTo>
              <a:lnTo>
                <a:pt x="67" y="53"/>
              </a:lnTo>
              <a:lnTo>
                <a:pt x="65" y="65"/>
              </a:lnTo>
              <a:lnTo>
                <a:pt x="61" y="75"/>
              </a:lnTo>
              <a:lnTo>
                <a:pt x="53" y="85"/>
              </a:lnTo>
              <a:lnTo>
                <a:pt x="44" y="92"/>
              </a:lnTo>
              <a:lnTo>
                <a:pt x="33" y="98"/>
              </a:lnTo>
              <a:lnTo>
                <a:pt x="23" y="101"/>
              </a:lnTo>
              <a:lnTo>
                <a:pt x="11" y="101"/>
              </a:lnTo>
              <a:lnTo>
                <a:pt x="0" y="99"/>
              </a:lnTo>
              <a:lnTo>
                <a:pt x="15" y="4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400050</xdr:colOff>
      <xdr:row>18</xdr:row>
      <xdr:rowOff>85725</xdr:rowOff>
    </xdr:from>
    <xdr:to>
      <xdr:col>12</xdr:col>
      <xdr:colOff>428625</xdr:colOff>
      <xdr:row>18</xdr:row>
      <xdr:rowOff>133350</xdr:rowOff>
    </xdr:to>
    <xdr:sp macro="" textlink="">
      <xdr:nvSpPr>
        <xdr:cNvPr id="13090" name="Freeform 136">
          <a:extLst>
            <a:ext uri="{FF2B5EF4-FFF2-40B4-BE49-F238E27FC236}">
              <a16:creationId xmlns:a16="http://schemas.microsoft.com/office/drawing/2014/main" id="{00000000-0008-0000-0A00-000022330000}"/>
            </a:ext>
          </a:extLst>
        </xdr:cNvPr>
        <xdr:cNvSpPr>
          <a:spLocks noChangeAspect="1"/>
        </xdr:cNvSpPr>
      </xdr:nvSpPr>
      <xdr:spPr bwMode="auto">
        <a:xfrm>
          <a:off x="6972300" y="3467100"/>
          <a:ext cx="28575" cy="47625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7"/>
            <a:gd name="T46" fmla="*/ 0 h 101"/>
            <a:gd name="T47" fmla="*/ 67 w 67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7" h="101">
              <a:moveTo>
                <a:pt x="31" y="0"/>
              </a:moveTo>
              <a:lnTo>
                <a:pt x="42" y="4"/>
              </a:lnTo>
              <a:lnTo>
                <a:pt x="51" y="11"/>
              </a:lnTo>
              <a:lnTo>
                <a:pt x="58" y="21"/>
              </a:lnTo>
              <a:lnTo>
                <a:pt x="64" y="31"/>
              </a:lnTo>
              <a:lnTo>
                <a:pt x="67" y="42"/>
              </a:lnTo>
              <a:lnTo>
                <a:pt x="67" y="53"/>
              </a:lnTo>
              <a:lnTo>
                <a:pt x="65" y="65"/>
              </a:lnTo>
              <a:lnTo>
                <a:pt x="61" y="75"/>
              </a:lnTo>
              <a:lnTo>
                <a:pt x="53" y="85"/>
              </a:lnTo>
              <a:lnTo>
                <a:pt x="44" y="92"/>
              </a:lnTo>
              <a:lnTo>
                <a:pt x="33" y="98"/>
              </a:lnTo>
              <a:lnTo>
                <a:pt x="23" y="101"/>
              </a:lnTo>
              <a:lnTo>
                <a:pt x="11" y="101"/>
              </a:lnTo>
              <a:lnTo>
                <a:pt x="0" y="99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47625</xdr:colOff>
      <xdr:row>17</xdr:row>
      <xdr:rowOff>114300</xdr:rowOff>
    </xdr:from>
    <xdr:to>
      <xdr:col>12</xdr:col>
      <xdr:colOff>428625</xdr:colOff>
      <xdr:row>18</xdr:row>
      <xdr:rowOff>114300</xdr:rowOff>
    </xdr:to>
    <xdr:sp macro="" textlink="">
      <xdr:nvSpPr>
        <xdr:cNvPr id="13091" name="Freeform 137">
          <a:extLst>
            <a:ext uri="{FF2B5EF4-FFF2-40B4-BE49-F238E27FC236}">
              <a16:creationId xmlns:a16="http://schemas.microsoft.com/office/drawing/2014/main" id="{00000000-0008-0000-0A00-000023330000}"/>
            </a:ext>
          </a:extLst>
        </xdr:cNvPr>
        <xdr:cNvSpPr>
          <a:spLocks noChangeAspect="1"/>
        </xdr:cNvSpPr>
      </xdr:nvSpPr>
      <xdr:spPr bwMode="auto">
        <a:xfrm>
          <a:off x="6619875" y="3333750"/>
          <a:ext cx="381000" cy="161925"/>
        </a:xfrm>
        <a:custGeom>
          <a:avLst/>
          <a:gdLst>
            <a:gd name="T0" fmla="*/ 2147483647 w 904"/>
            <a:gd name="T1" fmla="*/ 2147483647 h 382"/>
            <a:gd name="T2" fmla="*/ 2147483647 w 904"/>
            <a:gd name="T3" fmla="*/ 2147483647 h 382"/>
            <a:gd name="T4" fmla="*/ 2147483647 w 904"/>
            <a:gd name="T5" fmla="*/ 2147483647 h 382"/>
            <a:gd name="T6" fmla="*/ 0 w 904"/>
            <a:gd name="T7" fmla="*/ 0 h 382"/>
            <a:gd name="T8" fmla="*/ 0 w 904"/>
            <a:gd name="T9" fmla="*/ 0 h 382"/>
            <a:gd name="T10" fmla="*/ 0 w 904"/>
            <a:gd name="T11" fmla="*/ 0 h 382"/>
            <a:gd name="T12" fmla="*/ 2147483647 w 904"/>
            <a:gd name="T13" fmla="*/ 2147483647 h 38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4"/>
            <a:gd name="T22" fmla="*/ 0 h 382"/>
            <a:gd name="T23" fmla="*/ 904 w 904"/>
            <a:gd name="T24" fmla="*/ 382 h 38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4" h="382">
              <a:moveTo>
                <a:pt x="873" y="382"/>
              </a:moveTo>
              <a:lnTo>
                <a:pt x="888" y="332"/>
              </a:lnTo>
              <a:lnTo>
                <a:pt x="904" y="283"/>
              </a:lnTo>
              <a:lnTo>
                <a:pt x="32" y="0"/>
              </a:lnTo>
              <a:lnTo>
                <a:pt x="16" y="50"/>
              </a:lnTo>
              <a:lnTo>
                <a:pt x="0" y="99"/>
              </a:lnTo>
              <a:lnTo>
                <a:pt x="873" y="38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47625</xdr:colOff>
      <xdr:row>17</xdr:row>
      <xdr:rowOff>114300</xdr:rowOff>
    </xdr:from>
    <xdr:to>
      <xdr:col>12</xdr:col>
      <xdr:colOff>428625</xdr:colOff>
      <xdr:row>18</xdr:row>
      <xdr:rowOff>114300</xdr:rowOff>
    </xdr:to>
    <xdr:sp macro="" textlink="">
      <xdr:nvSpPr>
        <xdr:cNvPr id="13092" name="Freeform 138">
          <a:extLst>
            <a:ext uri="{FF2B5EF4-FFF2-40B4-BE49-F238E27FC236}">
              <a16:creationId xmlns:a16="http://schemas.microsoft.com/office/drawing/2014/main" id="{00000000-0008-0000-0A00-000024330000}"/>
            </a:ext>
          </a:extLst>
        </xdr:cNvPr>
        <xdr:cNvSpPr>
          <a:spLocks noChangeAspect="1"/>
        </xdr:cNvSpPr>
      </xdr:nvSpPr>
      <xdr:spPr bwMode="auto">
        <a:xfrm>
          <a:off x="6619875" y="3333750"/>
          <a:ext cx="381000" cy="161925"/>
        </a:xfrm>
        <a:custGeom>
          <a:avLst/>
          <a:gdLst>
            <a:gd name="T0" fmla="*/ 2147483647 w 904"/>
            <a:gd name="T1" fmla="*/ 2147483647 h 382"/>
            <a:gd name="T2" fmla="*/ 2147483647 w 904"/>
            <a:gd name="T3" fmla="*/ 2147483647 h 382"/>
            <a:gd name="T4" fmla="*/ 2147483647 w 904"/>
            <a:gd name="T5" fmla="*/ 2147483647 h 382"/>
            <a:gd name="T6" fmla="*/ 0 w 904"/>
            <a:gd name="T7" fmla="*/ 0 h 382"/>
            <a:gd name="T8" fmla="*/ 0 w 904"/>
            <a:gd name="T9" fmla="*/ 0 h 382"/>
            <a:gd name="T10" fmla="*/ 0 w 904"/>
            <a:gd name="T11" fmla="*/ 0 h 382"/>
            <a:gd name="T12" fmla="*/ 2147483647 w 904"/>
            <a:gd name="T13" fmla="*/ 2147483647 h 38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04"/>
            <a:gd name="T22" fmla="*/ 0 h 382"/>
            <a:gd name="T23" fmla="*/ 904 w 904"/>
            <a:gd name="T24" fmla="*/ 382 h 38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04" h="382">
              <a:moveTo>
                <a:pt x="873" y="382"/>
              </a:moveTo>
              <a:lnTo>
                <a:pt x="888" y="332"/>
              </a:lnTo>
              <a:lnTo>
                <a:pt x="904" y="283"/>
              </a:lnTo>
              <a:lnTo>
                <a:pt x="32" y="0"/>
              </a:lnTo>
              <a:lnTo>
                <a:pt x="16" y="50"/>
              </a:lnTo>
              <a:lnTo>
                <a:pt x="0" y="99"/>
              </a:lnTo>
              <a:lnTo>
                <a:pt x="873" y="38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19050</xdr:colOff>
      <xdr:row>17</xdr:row>
      <xdr:rowOff>114300</xdr:rowOff>
    </xdr:from>
    <xdr:to>
      <xdr:col>12</xdr:col>
      <xdr:colOff>47625</xdr:colOff>
      <xdr:row>18</xdr:row>
      <xdr:rowOff>0</xdr:rowOff>
    </xdr:to>
    <xdr:sp macro="" textlink="">
      <xdr:nvSpPr>
        <xdr:cNvPr id="13093" name="Freeform 139">
          <a:extLst>
            <a:ext uri="{FF2B5EF4-FFF2-40B4-BE49-F238E27FC236}">
              <a16:creationId xmlns:a16="http://schemas.microsoft.com/office/drawing/2014/main" id="{00000000-0008-0000-0A00-000025330000}"/>
            </a:ext>
          </a:extLst>
        </xdr:cNvPr>
        <xdr:cNvSpPr>
          <a:spLocks noChangeAspect="1"/>
        </xdr:cNvSpPr>
      </xdr:nvSpPr>
      <xdr:spPr bwMode="auto">
        <a:xfrm>
          <a:off x="6591300" y="3333750"/>
          <a:ext cx="28575" cy="47625"/>
        </a:xfrm>
        <a:custGeom>
          <a:avLst/>
          <a:gdLst>
            <a:gd name="T0" fmla="*/ 0 w 68"/>
            <a:gd name="T1" fmla="*/ 0 h 101"/>
            <a:gd name="T2" fmla="*/ 0 w 68"/>
            <a:gd name="T3" fmla="*/ 0 h 101"/>
            <a:gd name="T4" fmla="*/ 0 w 68"/>
            <a:gd name="T5" fmla="*/ 0 h 101"/>
            <a:gd name="T6" fmla="*/ 0 w 68"/>
            <a:gd name="T7" fmla="*/ 0 h 101"/>
            <a:gd name="T8" fmla="*/ 0 w 68"/>
            <a:gd name="T9" fmla="*/ 0 h 101"/>
            <a:gd name="T10" fmla="*/ 0 w 68"/>
            <a:gd name="T11" fmla="*/ 0 h 101"/>
            <a:gd name="T12" fmla="*/ 0 w 68"/>
            <a:gd name="T13" fmla="*/ 0 h 101"/>
            <a:gd name="T14" fmla="*/ 0 w 68"/>
            <a:gd name="T15" fmla="*/ 0 h 101"/>
            <a:gd name="T16" fmla="*/ 0 w 68"/>
            <a:gd name="T17" fmla="*/ 0 h 101"/>
            <a:gd name="T18" fmla="*/ 0 w 68"/>
            <a:gd name="T19" fmla="*/ 0 h 101"/>
            <a:gd name="T20" fmla="*/ 0 w 68"/>
            <a:gd name="T21" fmla="*/ 0 h 101"/>
            <a:gd name="T22" fmla="*/ 0 w 68"/>
            <a:gd name="T23" fmla="*/ 0 h 101"/>
            <a:gd name="T24" fmla="*/ 0 w 68"/>
            <a:gd name="T25" fmla="*/ 0 h 101"/>
            <a:gd name="T26" fmla="*/ 0 w 68"/>
            <a:gd name="T27" fmla="*/ 0 h 101"/>
            <a:gd name="T28" fmla="*/ 0 w 68"/>
            <a:gd name="T29" fmla="*/ 0 h 101"/>
            <a:gd name="T30" fmla="*/ 0 w 68"/>
            <a:gd name="T31" fmla="*/ 0 h 101"/>
            <a:gd name="T32" fmla="*/ 0 w 68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8"/>
            <a:gd name="T52" fmla="*/ 0 h 101"/>
            <a:gd name="T53" fmla="*/ 68 w 68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8" h="101">
              <a:moveTo>
                <a:pt x="52" y="52"/>
              </a:moveTo>
              <a:lnTo>
                <a:pt x="36" y="101"/>
              </a:lnTo>
              <a:lnTo>
                <a:pt x="26" y="97"/>
              </a:lnTo>
              <a:lnTo>
                <a:pt x="16" y="90"/>
              </a:lnTo>
              <a:lnTo>
                <a:pt x="9" y="80"/>
              </a:lnTo>
              <a:lnTo>
                <a:pt x="4" y="70"/>
              </a:lnTo>
              <a:lnTo>
                <a:pt x="0" y="59"/>
              </a:lnTo>
              <a:lnTo>
                <a:pt x="0" y="48"/>
              </a:lnTo>
              <a:lnTo>
                <a:pt x="3" y="36"/>
              </a:lnTo>
              <a:lnTo>
                <a:pt x="7" y="26"/>
              </a:lnTo>
              <a:lnTo>
                <a:pt x="14" y="16"/>
              </a:lnTo>
              <a:lnTo>
                <a:pt x="24" y="9"/>
              </a:lnTo>
              <a:lnTo>
                <a:pt x="34" y="3"/>
              </a:lnTo>
              <a:lnTo>
                <a:pt x="45" y="0"/>
              </a:lnTo>
              <a:lnTo>
                <a:pt x="56" y="0"/>
              </a:lnTo>
              <a:lnTo>
                <a:pt x="68" y="2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19050</xdr:colOff>
      <xdr:row>17</xdr:row>
      <xdr:rowOff>114300</xdr:rowOff>
    </xdr:from>
    <xdr:to>
      <xdr:col>12</xdr:col>
      <xdr:colOff>47625</xdr:colOff>
      <xdr:row>18</xdr:row>
      <xdr:rowOff>0</xdr:rowOff>
    </xdr:to>
    <xdr:sp macro="" textlink="">
      <xdr:nvSpPr>
        <xdr:cNvPr id="13094" name="Freeform 140">
          <a:extLst>
            <a:ext uri="{FF2B5EF4-FFF2-40B4-BE49-F238E27FC236}">
              <a16:creationId xmlns:a16="http://schemas.microsoft.com/office/drawing/2014/main" id="{00000000-0008-0000-0A00-000026330000}"/>
            </a:ext>
          </a:extLst>
        </xdr:cNvPr>
        <xdr:cNvSpPr>
          <a:spLocks noChangeAspect="1"/>
        </xdr:cNvSpPr>
      </xdr:nvSpPr>
      <xdr:spPr bwMode="auto">
        <a:xfrm>
          <a:off x="6591300" y="3333750"/>
          <a:ext cx="28575" cy="47625"/>
        </a:xfrm>
        <a:custGeom>
          <a:avLst/>
          <a:gdLst>
            <a:gd name="T0" fmla="*/ 0 w 68"/>
            <a:gd name="T1" fmla="*/ 0 h 101"/>
            <a:gd name="T2" fmla="*/ 0 w 68"/>
            <a:gd name="T3" fmla="*/ 0 h 101"/>
            <a:gd name="T4" fmla="*/ 0 w 68"/>
            <a:gd name="T5" fmla="*/ 0 h 101"/>
            <a:gd name="T6" fmla="*/ 0 w 68"/>
            <a:gd name="T7" fmla="*/ 0 h 101"/>
            <a:gd name="T8" fmla="*/ 0 w 68"/>
            <a:gd name="T9" fmla="*/ 0 h 101"/>
            <a:gd name="T10" fmla="*/ 0 w 68"/>
            <a:gd name="T11" fmla="*/ 0 h 101"/>
            <a:gd name="T12" fmla="*/ 0 w 68"/>
            <a:gd name="T13" fmla="*/ 0 h 101"/>
            <a:gd name="T14" fmla="*/ 0 w 68"/>
            <a:gd name="T15" fmla="*/ 0 h 101"/>
            <a:gd name="T16" fmla="*/ 0 w 68"/>
            <a:gd name="T17" fmla="*/ 0 h 101"/>
            <a:gd name="T18" fmla="*/ 0 w 68"/>
            <a:gd name="T19" fmla="*/ 0 h 101"/>
            <a:gd name="T20" fmla="*/ 0 w 68"/>
            <a:gd name="T21" fmla="*/ 0 h 101"/>
            <a:gd name="T22" fmla="*/ 0 w 68"/>
            <a:gd name="T23" fmla="*/ 0 h 101"/>
            <a:gd name="T24" fmla="*/ 0 w 68"/>
            <a:gd name="T25" fmla="*/ 0 h 101"/>
            <a:gd name="T26" fmla="*/ 0 w 68"/>
            <a:gd name="T27" fmla="*/ 0 h 101"/>
            <a:gd name="T28" fmla="*/ 0 w 68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8"/>
            <a:gd name="T46" fmla="*/ 0 h 101"/>
            <a:gd name="T47" fmla="*/ 68 w 68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8" h="101">
              <a:moveTo>
                <a:pt x="36" y="101"/>
              </a:moveTo>
              <a:lnTo>
                <a:pt x="26" y="97"/>
              </a:lnTo>
              <a:lnTo>
                <a:pt x="16" y="90"/>
              </a:lnTo>
              <a:lnTo>
                <a:pt x="9" y="80"/>
              </a:lnTo>
              <a:lnTo>
                <a:pt x="4" y="70"/>
              </a:lnTo>
              <a:lnTo>
                <a:pt x="0" y="59"/>
              </a:lnTo>
              <a:lnTo>
                <a:pt x="0" y="48"/>
              </a:lnTo>
              <a:lnTo>
                <a:pt x="3" y="36"/>
              </a:lnTo>
              <a:lnTo>
                <a:pt x="7" y="26"/>
              </a:lnTo>
              <a:lnTo>
                <a:pt x="14" y="16"/>
              </a:lnTo>
              <a:lnTo>
                <a:pt x="24" y="9"/>
              </a:lnTo>
              <a:lnTo>
                <a:pt x="34" y="3"/>
              </a:lnTo>
              <a:lnTo>
                <a:pt x="45" y="0"/>
              </a:lnTo>
              <a:lnTo>
                <a:pt x="56" y="0"/>
              </a:lnTo>
              <a:lnTo>
                <a:pt x="68" y="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9525</xdr:colOff>
      <xdr:row>17</xdr:row>
      <xdr:rowOff>104775</xdr:rowOff>
    </xdr:from>
    <xdr:to>
      <xdr:col>12</xdr:col>
      <xdr:colOff>9525</xdr:colOff>
      <xdr:row>17</xdr:row>
      <xdr:rowOff>142875</xdr:rowOff>
    </xdr:to>
    <xdr:sp macro="" textlink="">
      <xdr:nvSpPr>
        <xdr:cNvPr id="13095" name="Freeform 141">
          <a:extLst>
            <a:ext uri="{FF2B5EF4-FFF2-40B4-BE49-F238E27FC236}">
              <a16:creationId xmlns:a16="http://schemas.microsoft.com/office/drawing/2014/main" id="{00000000-0008-0000-0A00-000027330000}"/>
            </a:ext>
          </a:extLst>
        </xdr:cNvPr>
        <xdr:cNvSpPr>
          <a:spLocks noChangeAspect="1"/>
        </xdr:cNvSpPr>
      </xdr:nvSpPr>
      <xdr:spPr bwMode="auto">
        <a:xfrm>
          <a:off x="6581775" y="3324225"/>
          <a:ext cx="0" cy="38100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w 67"/>
            <a:gd name="T31" fmla="*/ 0 h 101"/>
            <a:gd name="T32" fmla="*/ 0 w 67"/>
            <a:gd name="T33" fmla="*/ 0 h 10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7"/>
            <a:gd name="T52" fmla="*/ 0 h 101"/>
            <a:gd name="T53" fmla="*/ 0 w 67"/>
            <a:gd name="T54" fmla="*/ 101 h 10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7" h="101">
              <a:moveTo>
                <a:pt x="16" y="49"/>
              </a:moveTo>
              <a:lnTo>
                <a:pt x="31" y="0"/>
              </a:lnTo>
              <a:lnTo>
                <a:pt x="42" y="4"/>
              </a:lnTo>
              <a:lnTo>
                <a:pt x="51" y="12"/>
              </a:lnTo>
              <a:lnTo>
                <a:pt x="59" y="21"/>
              </a:lnTo>
              <a:lnTo>
                <a:pt x="64" y="32"/>
              </a:lnTo>
              <a:lnTo>
                <a:pt x="67" y="42"/>
              </a:lnTo>
              <a:lnTo>
                <a:pt x="67" y="54"/>
              </a:lnTo>
              <a:lnTo>
                <a:pt x="65" y="65"/>
              </a:lnTo>
              <a:lnTo>
                <a:pt x="61" y="76"/>
              </a:lnTo>
              <a:lnTo>
                <a:pt x="53" y="85"/>
              </a:lnTo>
              <a:lnTo>
                <a:pt x="44" y="92"/>
              </a:lnTo>
              <a:lnTo>
                <a:pt x="33" y="98"/>
              </a:lnTo>
              <a:lnTo>
                <a:pt x="23" y="101"/>
              </a:lnTo>
              <a:lnTo>
                <a:pt x="11" y="101"/>
              </a:lnTo>
              <a:lnTo>
                <a:pt x="0" y="99"/>
              </a:lnTo>
              <a:lnTo>
                <a:pt x="16" y="4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9525</xdr:colOff>
      <xdr:row>17</xdr:row>
      <xdr:rowOff>104775</xdr:rowOff>
    </xdr:from>
    <xdr:to>
      <xdr:col>12</xdr:col>
      <xdr:colOff>9525</xdr:colOff>
      <xdr:row>17</xdr:row>
      <xdr:rowOff>142875</xdr:rowOff>
    </xdr:to>
    <xdr:sp macro="" textlink="">
      <xdr:nvSpPr>
        <xdr:cNvPr id="13096" name="Freeform 142">
          <a:extLst>
            <a:ext uri="{FF2B5EF4-FFF2-40B4-BE49-F238E27FC236}">
              <a16:creationId xmlns:a16="http://schemas.microsoft.com/office/drawing/2014/main" id="{00000000-0008-0000-0A00-000028330000}"/>
            </a:ext>
          </a:extLst>
        </xdr:cNvPr>
        <xdr:cNvSpPr>
          <a:spLocks noChangeAspect="1"/>
        </xdr:cNvSpPr>
      </xdr:nvSpPr>
      <xdr:spPr bwMode="auto">
        <a:xfrm>
          <a:off x="6581775" y="3324225"/>
          <a:ext cx="0" cy="38100"/>
        </a:xfrm>
        <a:custGeom>
          <a:avLst/>
          <a:gdLst>
            <a:gd name="T0" fmla="*/ 0 w 67"/>
            <a:gd name="T1" fmla="*/ 0 h 101"/>
            <a:gd name="T2" fmla="*/ 0 w 67"/>
            <a:gd name="T3" fmla="*/ 0 h 101"/>
            <a:gd name="T4" fmla="*/ 0 w 67"/>
            <a:gd name="T5" fmla="*/ 0 h 101"/>
            <a:gd name="T6" fmla="*/ 0 w 67"/>
            <a:gd name="T7" fmla="*/ 0 h 101"/>
            <a:gd name="T8" fmla="*/ 0 w 67"/>
            <a:gd name="T9" fmla="*/ 0 h 101"/>
            <a:gd name="T10" fmla="*/ 0 w 67"/>
            <a:gd name="T11" fmla="*/ 0 h 101"/>
            <a:gd name="T12" fmla="*/ 0 w 67"/>
            <a:gd name="T13" fmla="*/ 0 h 101"/>
            <a:gd name="T14" fmla="*/ 0 w 67"/>
            <a:gd name="T15" fmla="*/ 0 h 101"/>
            <a:gd name="T16" fmla="*/ 0 w 67"/>
            <a:gd name="T17" fmla="*/ 0 h 101"/>
            <a:gd name="T18" fmla="*/ 0 w 67"/>
            <a:gd name="T19" fmla="*/ 0 h 101"/>
            <a:gd name="T20" fmla="*/ 0 w 67"/>
            <a:gd name="T21" fmla="*/ 0 h 101"/>
            <a:gd name="T22" fmla="*/ 0 w 67"/>
            <a:gd name="T23" fmla="*/ 0 h 101"/>
            <a:gd name="T24" fmla="*/ 0 w 67"/>
            <a:gd name="T25" fmla="*/ 0 h 101"/>
            <a:gd name="T26" fmla="*/ 0 w 67"/>
            <a:gd name="T27" fmla="*/ 0 h 101"/>
            <a:gd name="T28" fmla="*/ 0 w 67"/>
            <a:gd name="T29" fmla="*/ 0 h 10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7"/>
            <a:gd name="T46" fmla="*/ 0 h 101"/>
            <a:gd name="T47" fmla="*/ 0 w 67"/>
            <a:gd name="T48" fmla="*/ 101 h 10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7" h="101">
              <a:moveTo>
                <a:pt x="31" y="0"/>
              </a:moveTo>
              <a:lnTo>
                <a:pt x="42" y="4"/>
              </a:lnTo>
              <a:lnTo>
                <a:pt x="51" y="12"/>
              </a:lnTo>
              <a:lnTo>
                <a:pt x="59" y="21"/>
              </a:lnTo>
              <a:lnTo>
                <a:pt x="64" y="32"/>
              </a:lnTo>
              <a:lnTo>
                <a:pt x="67" y="42"/>
              </a:lnTo>
              <a:lnTo>
                <a:pt x="67" y="54"/>
              </a:lnTo>
              <a:lnTo>
                <a:pt x="65" y="65"/>
              </a:lnTo>
              <a:lnTo>
                <a:pt x="61" y="76"/>
              </a:lnTo>
              <a:lnTo>
                <a:pt x="53" y="85"/>
              </a:lnTo>
              <a:lnTo>
                <a:pt x="44" y="92"/>
              </a:lnTo>
              <a:lnTo>
                <a:pt x="33" y="98"/>
              </a:lnTo>
              <a:lnTo>
                <a:pt x="23" y="101"/>
              </a:lnTo>
              <a:lnTo>
                <a:pt x="11" y="101"/>
              </a:lnTo>
              <a:lnTo>
                <a:pt x="0" y="99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276225</xdr:colOff>
      <xdr:row>17</xdr:row>
      <xdr:rowOff>28575</xdr:rowOff>
    </xdr:from>
    <xdr:to>
      <xdr:col>12</xdr:col>
      <xdr:colOff>9525</xdr:colOff>
      <xdr:row>17</xdr:row>
      <xdr:rowOff>133350</xdr:rowOff>
    </xdr:to>
    <xdr:sp macro="" textlink="">
      <xdr:nvSpPr>
        <xdr:cNvPr id="13097" name="Freeform 143">
          <a:extLst>
            <a:ext uri="{FF2B5EF4-FFF2-40B4-BE49-F238E27FC236}">
              <a16:creationId xmlns:a16="http://schemas.microsoft.com/office/drawing/2014/main" id="{00000000-0008-0000-0A00-000029330000}"/>
            </a:ext>
          </a:extLst>
        </xdr:cNvPr>
        <xdr:cNvSpPr>
          <a:spLocks noChangeAspect="1"/>
        </xdr:cNvSpPr>
      </xdr:nvSpPr>
      <xdr:spPr bwMode="auto">
        <a:xfrm>
          <a:off x="6315075" y="3248025"/>
          <a:ext cx="266700" cy="104775"/>
        </a:xfrm>
        <a:custGeom>
          <a:avLst/>
          <a:gdLst>
            <a:gd name="T0" fmla="*/ 2147483647 w 472"/>
            <a:gd name="T1" fmla="*/ 2147483647 h 242"/>
            <a:gd name="T2" fmla="*/ 2147483647 w 472"/>
            <a:gd name="T3" fmla="*/ 0 h 242"/>
            <a:gd name="T4" fmla="*/ 2147483647 w 472"/>
            <a:gd name="T5" fmla="*/ 0 h 242"/>
            <a:gd name="T6" fmla="*/ 0 w 472"/>
            <a:gd name="T7" fmla="*/ 0 h 242"/>
            <a:gd name="T8" fmla="*/ 0 w 472"/>
            <a:gd name="T9" fmla="*/ 0 h 242"/>
            <a:gd name="T10" fmla="*/ 0 w 472"/>
            <a:gd name="T11" fmla="*/ 0 h 242"/>
            <a:gd name="T12" fmla="*/ 2147483647 w 472"/>
            <a:gd name="T13" fmla="*/ 2147483647 h 242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72"/>
            <a:gd name="T22" fmla="*/ 0 h 242"/>
            <a:gd name="T23" fmla="*/ 472 w 472"/>
            <a:gd name="T24" fmla="*/ 242 h 242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72" h="242">
              <a:moveTo>
                <a:pt x="441" y="242"/>
              </a:moveTo>
              <a:lnTo>
                <a:pt x="457" y="192"/>
              </a:lnTo>
              <a:lnTo>
                <a:pt x="472" y="143"/>
              </a:lnTo>
              <a:lnTo>
                <a:pt x="31" y="0"/>
              </a:lnTo>
              <a:lnTo>
                <a:pt x="16" y="50"/>
              </a:lnTo>
              <a:lnTo>
                <a:pt x="0" y="99"/>
              </a:lnTo>
              <a:lnTo>
                <a:pt x="441" y="24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123825</xdr:colOff>
      <xdr:row>31</xdr:row>
      <xdr:rowOff>85725</xdr:rowOff>
    </xdr:from>
    <xdr:to>
      <xdr:col>17</xdr:col>
      <xdr:colOff>171450</xdr:colOff>
      <xdr:row>31</xdr:row>
      <xdr:rowOff>104775</xdr:rowOff>
    </xdr:to>
    <xdr:sp macro="" textlink="">
      <xdr:nvSpPr>
        <xdr:cNvPr id="13098" name="Freeform 144">
          <a:extLst>
            <a:ext uri="{FF2B5EF4-FFF2-40B4-BE49-F238E27FC236}">
              <a16:creationId xmlns:a16="http://schemas.microsoft.com/office/drawing/2014/main" id="{00000000-0008-0000-0A00-00002A330000}"/>
            </a:ext>
          </a:extLst>
        </xdr:cNvPr>
        <xdr:cNvSpPr>
          <a:spLocks noChangeAspect="1"/>
        </xdr:cNvSpPr>
      </xdr:nvSpPr>
      <xdr:spPr bwMode="auto">
        <a:xfrm>
          <a:off x="9248775" y="5572125"/>
          <a:ext cx="47625" cy="19050"/>
        </a:xfrm>
        <a:custGeom>
          <a:avLst/>
          <a:gdLst>
            <a:gd name="T0" fmla="*/ 0 w 96"/>
            <a:gd name="T1" fmla="*/ 0 h 78"/>
            <a:gd name="T2" fmla="*/ 0 w 96"/>
            <a:gd name="T3" fmla="*/ 0 h 78"/>
            <a:gd name="T4" fmla="*/ 0 w 96"/>
            <a:gd name="T5" fmla="*/ 0 h 78"/>
            <a:gd name="T6" fmla="*/ 0 w 96"/>
            <a:gd name="T7" fmla="*/ 0 h 78"/>
            <a:gd name="T8" fmla="*/ 0 w 96"/>
            <a:gd name="T9" fmla="*/ 0 h 78"/>
            <a:gd name="T10" fmla="*/ 0 w 96"/>
            <a:gd name="T11" fmla="*/ 0 h 78"/>
            <a:gd name="T12" fmla="*/ 0 w 96"/>
            <a:gd name="T13" fmla="*/ 0 h 78"/>
            <a:gd name="T14" fmla="*/ 0 w 96"/>
            <a:gd name="T15" fmla="*/ 0 h 78"/>
            <a:gd name="T16" fmla="*/ 0 w 96"/>
            <a:gd name="T17" fmla="*/ 0 h 78"/>
            <a:gd name="T18" fmla="*/ 0 w 96"/>
            <a:gd name="T19" fmla="*/ 0 h 78"/>
            <a:gd name="T20" fmla="*/ 0 w 96"/>
            <a:gd name="T21" fmla="*/ 0 h 78"/>
            <a:gd name="T22" fmla="*/ 0 w 96"/>
            <a:gd name="T23" fmla="*/ 0 h 78"/>
            <a:gd name="T24" fmla="*/ 0 w 96"/>
            <a:gd name="T25" fmla="*/ 0 h 78"/>
            <a:gd name="T26" fmla="*/ 0 w 96"/>
            <a:gd name="T27" fmla="*/ 0 h 78"/>
            <a:gd name="T28" fmla="*/ 0 w 96"/>
            <a:gd name="T29" fmla="*/ 0 h 78"/>
            <a:gd name="T30" fmla="*/ 0 w 96"/>
            <a:gd name="T31" fmla="*/ 0 h 78"/>
            <a:gd name="T32" fmla="*/ 0 w 96"/>
            <a:gd name="T33" fmla="*/ 0 h 78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96"/>
            <a:gd name="T52" fmla="*/ 0 h 78"/>
            <a:gd name="T53" fmla="*/ 96 w 96"/>
            <a:gd name="T54" fmla="*/ 78 h 78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96" h="78">
              <a:moveTo>
                <a:pt x="52" y="27"/>
              </a:moveTo>
              <a:lnTo>
                <a:pt x="96" y="54"/>
              </a:lnTo>
              <a:lnTo>
                <a:pt x="89" y="64"/>
              </a:lnTo>
              <a:lnTo>
                <a:pt x="80" y="71"/>
              </a:lnTo>
              <a:lnTo>
                <a:pt x="70" y="76"/>
              </a:lnTo>
              <a:lnTo>
                <a:pt x="58" y="78"/>
              </a:lnTo>
              <a:lnTo>
                <a:pt x="47" y="78"/>
              </a:lnTo>
              <a:lnTo>
                <a:pt x="35" y="76"/>
              </a:lnTo>
              <a:lnTo>
                <a:pt x="25" y="71"/>
              </a:lnTo>
              <a:lnTo>
                <a:pt x="15" y="64"/>
              </a:lnTo>
              <a:lnTo>
                <a:pt x="8" y="55"/>
              </a:lnTo>
              <a:lnTo>
                <a:pt x="3" y="45"/>
              </a:lnTo>
              <a:lnTo>
                <a:pt x="0" y="33"/>
              </a:lnTo>
              <a:lnTo>
                <a:pt x="0" y="22"/>
              </a:lnTo>
              <a:lnTo>
                <a:pt x="3" y="10"/>
              </a:lnTo>
              <a:lnTo>
                <a:pt x="8" y="0"/>
              </a:lnTo>
              <a:lnTo>
                <a:pt x="52" y="27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123825</xdr:colOff>
      <xdr:row>31</xdr:row>
      <xdr:rowOff>85725</xdr:rowOff>
    </xdr:from>
    <xdr:to>
      <xdr:col>17</xdr:col>
      <xdr:colOff>171450</xdr:colOff>
      <xdr:row>31</xdr:row>
      <xdr:rowOff>104775</xdr:rowOff>
    </xdr:to>
    <xdr:sp macro="" textlink="">
      <xdr:nvSpPr>
        <xdr:cNvPr id="13099" name="Freeform 145">
          <a:extLst>
            <a:ext uri="{FF2B5EF4-FFF2-40B4-BE49-F238E27FC236}">
              <a16:creationId xmlns:a16="http://schemas.microsoft.com/office/drawing/2014/main" id="{00000000-0008-0000-0A00-00002B330000}"/>
            </a:ext>
          </a:extLst>
        </xdr:cNvPr>
        <xdr:cNvSpPr>
          <a:spLocks noChangeAspect="1"/>
        </xdr:cNvSpPr>
      </xdr:nvSpPr>
      <xdr:spPr bwMode="auto">
        <a:xfrm>
          <a:off x="9248775" y="5572125"/>
          <a:ext cx="47625" cy="19050"/>
        </a:xfrm>
        <a:custGeom>
          <a:avLst/>
          <a:gdLst>
            <a:gd name="T0" fmla="*/ 0 w 96"/>
            <a:gd name="T1" fmla="*/ 0 h 78"/>
            <a:gd name="T2" fmla="*/ 0 w 96"/>
            <a:gd name="T3" fmla="*/ 0 h 78"/>
            <a:gd name="T4" fmla="*/ 0 w 96"/>
            <a:gd name="T5" fmla="*/ 0 h 78"/>
            <a:gd name="T6" fmla="*/ 0 w 96"/>
            <a:gd name="T7" fmla="*/ 0 h 78"/>
            <a:gd name="T8" fmla="*/ 0 w 96"/>
            <a:gd name="T9" fmla="*/ 0 h 78"/>
            <a:gd name="T10" fmla="*/ 0 w 96"/>
            <a:gd name="T11" fmla="*/ 0 h 78"/>
            <a:gd name="T12" fmla="*/ 0 w 96"/>
            <a:gd name="T13" fmla="*/ 0 h 78"/>
            <a:gd name="T14" fmla="*/ 0 w 96"/>
            <a:gd name="T15" fmla="*/ 0 h 78"/>
            <a:gd name="T16" fmla="*/ 0 w 96"/>
            <a:gd name="T17" fmla="*/ 0 h 78"/>
            <a:gd name="T18" fmla="*/ 0 w 96"/>
            <a:gd name="T19" fmla="*/ 0 h 78"/>
            <a:gd name="T20" fmla="*/ 0 w 96"/>
            <a:gd name="T21" fmla="*/ 0 h 78"/>
            <a:gd name="T22" fmla="*/ 0 w 96"/>
            <a:gd name="T23" fmla="*/ 0 h 78"/>
            <a:gd name="T24" fmla="*/ 0 w 96"/>
            <a:gd name="T25" fmla="*/ 0 h 78"/>
            <a:gd name="T26" fmla="*/ 0 w 96"/>
            <a:gd name="T27" fmla="*/ 0 h 78"/>
            <a:gd name="T28" fmla="*/ 0 w 96"/>
            <a:gd name="T29" fmla="*/ 0 h 78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96"/>
            <a:gd name="T46" fmla="*/ 0 h 78"/>
            <a:gd name="T47" fmla="*/ 96 w 96"/>
            <a:gd name="T48" fmla="*/ 78 h 78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96" h="78">
              <a:moveTo>
                <a:pt x="96" y="54"/>
              </a:moveTo>
              <a:lnTo>
                <a:pt x="89" y="64"/>
              </a:lnTo>
              <a:lnTo>
                <a:pt x="80" y="71"/>
              </a:lnTo>
              <a:lnTo>
                <a:pt x="70" y="76"/>
              </a:lnTo>
              <a:lnTo>
                <a:pt x="58" y="78"/>
              </a:lnTo>
              <a:lnTo>
                <a:pt x="47" y="78"/>
              </a:lnTo>
              <a:lnTo>
                <a:pt x="35" y="76"/>
              </a:lnTo>
              <a:lnTo>
                <a:pt x="25" y="71"/>
              </a:lnTo>
              <a:lnTo>
                <a:pt x="15" y="64"/>
              </a:lnTo>
              <a:lnTo>
                <a:pt x="8" y="55"/>
              </a:lnTo>
              <a:lnTo>
                <a:pt x="3" y="45"/>
              </a:lnTo>
              <a:lnTo>
                <a:pt x="0" y="33"/>
              </a:lnTo>
              <a:lnTo>
                <a:pt x="0" y="22"/>
              </a:lnTo>
              <a:lnTo>
                <a:pt x="3" y="10"/>
              </a:lnTo>
              <a:lnTo>
                <a:pt x="8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123825</xdr:colOff>
      <xdr:row>30</xdr:row>
      <xdr:rowOff>47625</xdr:rowOff>
    </xdr:from>
    <xdr:to>
      <xdr:col>17</xdr:col>
      <xdr:colOff>266700</xdr:colOff>
      <xdr:row>31</xdr:row>
      <xdr:rowOff>85725</xdr:rowOff>
    </xdr:to>
    <xdr:sp macro="" textlink="">
      <xdr:nvSpPr>
        <xdr:cNvPr id="13100" name="Freeform 146">
          <a:extLst>
            <a:ext uri="{FF2B5EF4-FFF2-40B4-BE49-F238E27FC236}">
              <a16:creationId xmlns:a16="http://schemas.microsoft.com/office/drawing/2014/main" id="{00000000-0008-0000-0A00-00002C330000}"/>
            </a:ext>
          </a:extLst>
        </xdr:cNvPr>
        <xdr:cNvSpPr>
          <a:spLocks noChangeAspect="1"/>
        </xdr:cNvSpPr>
      </xdr:nvSpPr>
      <xdr:spPr bwMode="auto">
        <a:xfrm>
          <a:off x="9248775" y="5372100"/>
          <a:ext cx="142875" cy="200025"/>
        </a:xfrm>
        <a:custGeom>
          <a:avLst/>
          <a:gdLst>
            <a:gd name="T0" fmla="*/ 0 w 344"/>
            <a:gd name="T1" fmla="*/ 2147483647 h 467"/>
            <a:gd name="T2" fmla="*/ 0 w 344"/>
            <a:gd name="T3" fmla="*/ 2147483647 h 467"/>
            <a:gd name="T4" fmla="*/ 0 w 344"/>
            <a:gd name="T5" fmla="*/ 2147483647 h 467"/>
            <a:gd name="T6" fmla="*/ 2147483647 w 344"/>
            <a:gd name="T7" fmla="*/ 0 h 467"/>
            <a:gd name="T8" fmla="*/ 2147483647 w 344"/>
            <a:gd name="T9" fmla="*/ 0 h 467"/>
            <a:gd name="T10" fmla="*/ 2147483647 w 344"/>
            <a:gd name="T11" fmla="*/ 0 h 467"/>
            <a:gd name="T12" fmla="*/ 0 w 344"/>
            <a:gd name="T13" fmla="*/ 2147483647 h 46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4"/>
            <a:gd name="T22" fmla="*/ 0 h 467"/>
            <a:gd name="T23" fmla="*/ 344 w 344"/>
            <a:gd name="T24" fmla="*/ 467 h 46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4" h="467">
              <a:moveTo>
                <a:pt x="0" y="413"/>
              </a:moveTo>
              <a:lnTo>
                <a:pt x="44" y="440"/>
              </a:lnTo>
              <a:lnTo>
                <a:pt x="88" y="467"/>
              </a:lnTo>
              <a:lnTo>
                <a:pt x="344" y="55"/>
              </a:lnTo>
              <a:lnTo>
                <a:pt x="300" y="27"/>
              </a:lnTo>
              <a:lnTo>
                <a:pt x="256" y="0"/>
              </a:lnTo>
              <a:lnTo>
                <a:pt x="0" y="41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123825</xdr:colOff>
      <xdr:row>30</xdr:row>
      <xdr:rowOff>47625</xdr:rowOff>
    </xdr:from>
    <xdr:to>
      <xdr:col>17</xdr:col>
      <xdr:colOff>266700</xdr:colOff>
      <xdr:row>31</xdr:row>
      <xdr:rowOff>85725</xdr:rowOff>
    </xdr:to>
    <xdr:sp macro="" textlink="">
      <xdr:nvSpPr>
        <xdr:cNvPr id="13101" name="Freeform 147">
          <a:extLst>
            <a:ext uri="{FF2B5EF4-FFF2-40B4-BE49-F238E27FC236}">
              <a16:creationId xmlns:a16="http://schemas.microsoft.com/office/drawing/2014/main" id="{00000000-0008-0000-0A00-00002D330000}"/>
            </a:ext>
          </a:extLst>
        </xdr:cNvPr>
        <xdr:cNvSpPr>
          <a:spLocks noChangeAspect="1"/>
        </xdr:cNvSpPr>
      </xdr:nvSpPr>
      <xdr:spPr bwMode="auto">
        <a:xfrm>
          <a:off x="9248775" y="5372100"/>
          <a:ext cx="142875" cy="200025"/>
        </a:xfrm>
        <a:custGeom>
          <a:avLst/>
          <a:gdLst>
            <a:gd name="T0" fmla="*/ 0 w 344"/>
            <a:gd name="T1" fmla="*/ 2147483647 h 467"/>
            <a:gd name="T2" fmla="*/ 0 w 344"/>
            <a:gd name="T3" fmla="*/ 2147483647 h 467"/>
            <a:gd name="T4" fmla="*/ 0 w 344"/>
            <a:gd name="T5" fmla="*/ 2147483647 h 467"/>
            <a:gd name="T6" fmla="*/ 2147483647 w 344"/>
            <a:gd name="T7" fmla="*/ 0 h 467"/>
            <a:gd name="T8" fmla="*/ 2147483647 w 344"/>
            <a:gd name="T9" fmla="*/ 0 h 467"/>
            <a:gd name="T10" fmla="*/ 2147483647 w 344"/>
            <a:gd name="T11" fmla="*/ 0 h 467"/>
            <a:gd name="T12" fmla="*/ 0 w 344"/>
            <a:gd name="T13" fmla="*/ 2147483647 h 46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4"/>
            <a:gd name="T22" fmla="*/ 0 h 467"/>
            <a:gd name="T23" fmla="*/ 344 w 344"/>
            <a:gd name="T24" fmla="*/ 467 h 46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4" h="467">
              <a:moveTo>
                <a:pt x="0" y="413"/>
              </a:moveTo>
              <a:lnTo>
                <a:pt x="44" y="440"/>
              </a:lnTo>
              <a:lnTo>
                <a:pt x="88" y="467"/>
              </a:lnTo>
              <a:lnTo>
                <a:pt x="344" y="55"/>
              </a:lnTo>
              <a:lnTo>
                <a:pt x="300" y="27"/>
              </a:lnTo>
              <a:lnTo>
                <a:pt x="256" y="0"/>
              </a:lnTo>
              <a:lnTo>
                <a:pt x="0" y="413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247650</xdr:colOff>
      <xdr:row>30</xdr:row>
      <xdr:rowOff>47625</xdr:rowOff>
    </xdr:from>
    <xdr:to>
      <xdr:col>17</xdr:col>
      <xdr:colOff>285750</xdr:colOff>
      <xdr:row>30</xdr:row>
      <xdr:rowOff>76200</xdr:rowOff>
    </xdr:to>
    <xdr:sp macro="" textlink="">
      <xdr:nvSpPr>
        <xdr:cNvPr id="13102" name="Freeform 148">
          <a:extLst>
            <a:ext uri="{FF2B5EF4-FFF2-40B4-BE49-F238E27FC236}">
              <a16:creationId xmlns:a16="http://schemas.microsoft.com/office/drawing/2014/main" id="{00000000-0008-0000-0A00-00002E330000}"/>
            </a:ext>
          </a:extLst>
        </xdr:cNvPr>
        <xdr:cNvSpPr>
          <a:spLocks noChangeAspect="1"/>
        </xdr:cNvSpPr>
      </xdr:nvSpPr>
      <xdr:spPr bwMode="auto">
        <a:xfrm>
          <a:off x="9372600" y="5372100"/>
          <a:ext cx="38100" cy="28575"/>
        </a:xfrm>
        <a:custGeom>
          <a:avLst/>
          <a:gdLst>
            <a:gd name="T0" fmla="*/ 0 w 96"/>
            <a:gd name="T1" fmla="*/ 0 h 79"/>
            <a:gd name="T2" fmla="*/ 0 w 96"/>
            <a:gd name="T3" fmla="*/ 0 h 79"/>
            <a:gd name="T4" fmla="*/ 0 w 96"/>
            <a:gd name="T5" fmla="*/ 0 h 79"/>
            <a:gd name="T6" fmla="*/ 0 w 96"/>
            <a:gd name="T7" fmla="*/ 0 h 79"/>
            <a:gd name="T8" fmla="*/ 0 w 96"/>
            <a:gd name="T9" fmla="*/ 0 h 79"/>
            <a:gd name="T10" fmla="*/ 0 w 96"/>
            <a:gd name="T11" fmla="*/ 0 h 79"/>
            <a:gd name="T12" fmla="*/ 0 w 96"/>
            <a:gd name="T13" fmla="*/ 0 h 79"/>
            <a:gd name="T14" fmla="*/ 0 w 96"/>
            <a:gd name="T15" fmla="*/ 0 h 79"/>
            <a:gd name="T16" fmla="*/ 0 w 96"/>
            <a:gd name="T17" fmla="*/ 0 h 79"/>
            <a:gd name="T18" fmla="*/ 0 w 96"/>
            <a:gd name="T19" fmla="*/ 0 h 79"/>
            <a:gd name="T20" fmla="*/ 0 w 96"/>
            <a:gd name="T21" fmla="*/ 0 h 79"/>
            <a:gd name="T22" fmla="*/ 0 w 96"/>
            <a:gd name="T23" fmla="*/ 0 h 79"/>
            <a:gd name="T24" fmla="*/ 0 w 96"/>
            <a:gd name="T25" fmla="*/ 0 h 79"/>
            <a:gd name="T26" fmla="*/ 0 w 96"/>
            <a:gd name="T27" fmla="*/ 0 h 79"/>
            <a:gd name="T28" fmla="*/ 0 w 96"/>
            <a:gd name="T29" fmla="*/ 0 h 79"/>
            <a:gd name="T30" fmla="*/ 0 w 96"/>
            <a:gd name="T31" fmla="*/ 0 h 79"/>
            <a:gd name="T32" fmla="*/ 0 w 96"/>
            <a:gd name="T33" fmla="*/ 0 h 79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96"/>
            <a:gd name="T52" fmla="*/ 0 h 79"/>
            <a:gd name="T53" fmla="*/ 96 w 96"/>
            <a:gd name="T54" fmla="*/ 79 h 79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96" h="79">
              <a:moveTo>
                <a:pt x="44" y="51"/>
              </a:moveTo>
              <a:lnTo>
                <a:pt x="0" y="24"/>
              </a:lnTo>
              <a:lnTo>
                <a:pt x="7" y="15"/>
              </a:lnTo>
              <a:lnTo>
                <a:pt x="16" y="7"/>
              </a:lnTo>
              <a:lnTo>
                <a:pt x="26" y="2"/>
              </a:lnTo>
              <a:lnTo>
                <a:pt x="38" y="0"/>
              </a:lnTo>
              <a:lnTo>
                <a:pt x="49" y="0"/>
              </a:lnTo>
              <a:lnTo>
                <a:pt x="61" y="2"/>
              </a:lnTo>
              <a:lnTo>
                <a:pt x="71" y="7"/>
              </a:lnTo>
              <a:lnTo>
                <a:pt x="81" y="15"/>
              </a:lnTo>
              <a:lnTo>
                <a:pt x="88" y="23"/>
              </a:lnTo>
              <a:lnTo>
                <a:pt x="93" y="33"/>
              </a:lnTo>
              <a:lnTo>
                <a:pt x="96" y="45"/>
              </a:lnTo>
              <a:lnTo>
                <a:pt x="96" y="57"/>
              </a:lnTo>
              <a:lnTo>
                <a:pt x="93" y="68"/>
              </a:lnTo>
              <a:lnTo>
                <a:pt x="88" y="79"/>
              </a:lnTo>
              <a:lnTo>
                <a:pt x="44" y="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247650</xdr:colOff>
      <xdr:row>30</xdr:row>
      <xdr:rowOff>47625</xdr:rowOff>
    </xdr:from>
    <xdr:to>
      <xdr:col>17</xdr:col>
      <xdr:colOff>285750</xdr:colOff>
      <xdr:row>30</xdr:row>
      <xdr:rowOff>76200</xdr:rowOff>
    </xdr:to>
    <xdr:sp macro="" textlink="">
      <xdr:nvSpPr>
        <xdr:cNvPr id="13103" name="Freeform 149">
          <a:extLst>
            <a:ext uri="{FF2B5EF4-FFF2-40B4-BE49-F238E27FC236}">
              <a16:creationId xmlns:a16="http://schemas.microsoft.com/office/drawing/2014/main" id="{00000000-0008-0000-0A00-00002F330000}"/>
            </a:ext>
          </a:extLst>
        </xdr:cNvPr>
        <xdr:cNvSpPr>
          <a:spLocks noChangeAspect="1"/>
        </xdr:cNvSpPr>
      </xdr:nvSpPr>
      <xdr:spPr bwMode="auto">
        <a:xfrm>
          <a:off x="9372600" y="5372100"/>
          <a:ext cx="38100" cy="28575"/>
        </a:xfrm>
        <a:custGeom>
          <a:avLst/>
          <a:gdLst>
            <a:gd name="T0" fmla="*/ 0 w 96"/>
            <a:gd name="T1" fmla="*/ 0 h 79"/>
            <a:gd name="T2" fmla="*/ 0 w 96"/>
            <a:gd name="T3" fmla="*/ 0 h 79"/>
            <a:gd name="T4" fmla="*/ 0 w 96"/>
            <a:gd name="T5" fmla="*/ 0 h 79"/>
            <a:gd name="T6" fmla="*/ 0 w 96"/>
            <a:gd name="T7" fmla="*/ 0 h 79"/>
            <a:gd name="T8" fmla="*/ 0 w 96"/>
            <a:gd name="T9" fmla="*/ 0 h 79"/>
            <a:gd name="T10" fmla="*/ 0 w 96"/>
            <a:gd name="T11" fmla="*/ 0 h 79"/>
            <a:gd name="T12" fmla="*/ 0 w 96"/>
            <a:gd name="T13" fmla="*/ 0 h 79"/>
            <a:gd name="T14" fmla="*/ 0 w 96"/>
            <a:gd name="T15" fmla="*/ 0 h 79"/>
            <a:gd name="T16" fmla="*/ 0 w 96"/>
            <a:gd name="T17" fmla="*/ 0 h 79"/>
            <a:gd name="T18" fmla="*/ 0 w 96"/>
            <a:gd name="T19" fmla="*/ 0 h 79"/>
            <a:gd name="T20" fmla="*/ 0 w 96"/>
            <a:gd name="T21" fmla="*/ 0 h 79"/>
            <a:gd name="T22" fmla="*/ 0 w 96"/>
            <a:gd name="T23" fmla="*/ 0 h 79"/>
            <a:gd name="T24" fmla="*/ 0 w 96"/>
            <a:gd name="T25" fmla="*/ 0 h 79"/>
            <a:gd name="T26" fmla="*/ 0 w 96"/>
            <a:gd name="T27" fmla="*/ 0 h 79"/>
            <a:gd name="T28" fmla="*/ 0 w 96"/>
            <a:gd name="T29" fmla="*/ 0 h 79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96"/>
            <a:gd name="T46" fmla="*/ 0 h 79"/>
            <a:gd name="T47" fmla="*/ 96 w 96"/>
            <a:gd name="T48" fmla="*/ 79 h 79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96" h="79">
              <a:moveTo>
                <a:pt x="0" y="24"/>
              </a:moveTo>
              <a:lnTo>
                <a:pt x="7" y="15"/>
              </a:lnTo>
              <a:lnTo>
                <a:pt x="16" y="7"/>
              </a:lnTo>
              <a:lnTo>
                <a:pt x="26" y="2"/>
              </a:lnTo>
              <a:lnTo>
                <a:pt x="38" y="0"/>
              </a:lnTo>
              <a:lnTo>
                <a:pt x="49" y="0"/>
              </a:lnTo>
              <a:lnTo>
                <a:pt x="61" y="2"/>
              </a:lnTo>
              <a:lnTo>
                <a:pt x="71" y="7"/>
              </a:lnTo>
              <a:lnTo>
                <a:pt x="81" y="15"/>
              </a:lnTo>
              <a:lnTo>
                <a:pt x="88" y="23"/>
              </a:lnTo>
              <a:lnTo>
                <a:pt x="93" y="33"/>
              </a:lnTo>
              <a:lnTo>
                <a:pt x="96" y="45"/>
              </a:lnTo>
              <a:lnTo>
                <a:pt x="96" y="57"/>
              </a:lnTo>
              <a:lnTo>
                <a:pt x="93" y="68"/>
              </a:lnTo>
              <a:lnTo>
                <a:pt x="88" y="79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285750</xdr:colOff>
      <xdr:row>28</xdr:row>
      <xdr:rowOff>142875</xdr:rowOff>
    </xdr:from>
    <xdr:to>
      <xdr:col>18</xdr:col>
      <xdr:colOff>76200</xdr:colOff>
      <xdr:row>30</xdr:row>
      <xdr:rowOff>9525</xdr:rowOff>
    </xdr:to>
    <xdr:sp macro="" textlink="">
      <xdr:nvSpPr>
        <xdr:cNvPr id="13104" name="Freeform 150">
          <a:extLst>
            <a:ext uri="{FF2B5EF4-FFF2-40B4-BE49-F238E27FC236}">
              <a16:creationId xmlns:a16="http://schemas.microsoft.com/office/drawing/2014/main" id="{00000000-0008-0000-0A00-000030330000}"/>
            </a:ext>
          </a:extLst>
        </xdr:cNvPr>
        <xdr:cNvSpPr>
          <a:spLocks noChangeAspect="1"/>
        </xdr:cNvSpPr>
      </xdr:nvSpPr>
      <xdr:spPr bwMode="auto">
        <a:xfrm>
          <a:off x="9410700" y="5143500"/>
          <a:ext cx="276225" cy="190500"/>
        </a:xfrm>
        <a:custGeom>
          <a:avLst/>
          <a:gdLst>
            <a:gd name="T0" fmla="*/ 0 w 343"/>
            <a:gd name="T1" fmla="*/ 2147483647 h 467"/>
            <a:gd name="T2" fmla="*/ 0 w 343"/>
            <a:gd name="T3" fmla="*/ 2147483647 h 467"/>
            <a:gd name="T4" fmla="*/ 0 w 343"/>
            <a:gd name="T5" fmla="*/ 2147483647 h 467"/>
            <a:gd name="T6" fmla="*/ 2147483647 w 343"/>
            <a:gd name="T7" fmla="*/ 0 h 467"/>
            <a:gd name="T8" fmla="*/ 2147483647 w 343"/>
            <a:gd name="T9" fmla="*/ 0 h 467"/>
            <a:gd name="T10" fmla="*/ 2147483647 w 343"/>
            <a:gd name="T11" fmla="*/ 0 h 467"/>
            <a:gd name="T12" fmla="*/ 0 w 343"/>
            <a:gd name="T13" fmla="*/ 2147483647 h 46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3"/>
            <a:gd name="T22" fmla="*/ 0 h 467"/>
            <a:gd name="T23" fmla="*/ 343 w 343"/>
            <a:gd name="T24" fmla="*/ 467 h 46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3" h="467">
              <a:moveTo>
                <a:pt x="0" y="413"/>
              </a:moveTo>
              <a:lnTo>
                <a:pt x="44" y="440"/>
              </a:lnTo>
              <a:lnTo>
                <a:pt x="88" y="467"/>
              </a:lnTo>
              <a:lnTo>
                <a:pt x="343" y="55"/>
              </a:lnTo>
              <a:lnTo>
                <a:pt x="299" y="27"/>
              </a:lnTo>
              <a:lnTo>
                <a:pt x="255" y="0"/>
              </a:lnTo>
              <a:lnTo>
                <a:pt x="0" y="41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304800</xdr:colOff>
      <xdr:row>38</xdr:row>
      <xdr:rowOff>9525</xdr:rowOff>
    </xdr:from>
    <xdr:to>
      <xdr:col>16</xdr:col>
      <xdr:colOff>342900</xdr:colOff>
      <xdr:row>38</xdr:row>
      <xdr:rowOff>19050</xdr:rowOff>
    </xdr:to>
    <xdr:sp macro="" textlink="">
      <xdr:nvSpPr>
        <xdr:cNvPr id="13105" name="Freeform 151">
          <a:extLst>
            <a:ext uri="{FF2B5EF4-FFF2-40B4-BE49-F238E27FC236}">
              <a16:creationId xmlns:a16="http://schemas.microsoft.com/office/drawing/2014/main" id="{00000000-0008-0000-0A00-000031330000}"/>
            </a:ext>
          </a:extLst>
        </xdr:cNvPr>
        <xdr:cNvSpPr>
          <a:spLocks noChangeAspect="1"/>
        </xdr:cNvSpPr>
      </xdr:nvSpPr>
      <xdr:spPr bwMode="auto">
        <a:xfrm>
          <a:off x="9010650" y="6629400"/>
          <a:ext cx="38100" cy="9525"/>
        </a:xfrm>
        <a:custGeom>
          <a:avLst/>
          <a:gdLst>
            <a:gd name="T0" fmla="*/ 0 w 103"/>
            <a:gd name="T1" fmla="*/ 0 h 57"/>
            <a:gd name="T2" fmla="*/ 0 w 103"/>
            <a:gd name="T3" fmla="*/ 0 h 57"/>
            <a:gd name="T4" fmla="*/ 0 w 103"/>
            <a:gd name="T5" fmla="*/ 0 h 57"/>
            <a:gd name="T6" fmla="*/ 0 w 103"/>
            <a:gd name="T7" fmla="*/ 0 h 57"/>
            <a:gd name="T8" fmla="*/ 0 w 103"/>
            <a:gd name="T9" fmla="*/ 0 h 57"/>
            <a:gd name="T10" fmla="*/ 0 w 103"/>
            <a:gd name="T11" fmla="*/ 0 h 57"/>
            <a:gd name="T12" fmla="*/ 0 w 103"/>
            <a:gd name="T13" fmla="*/ 0 h 57"/>
            <a:gd name="T14" fmla="*/ 0 w 103"/>
            <a:gd name="T15" fmla="*/ 0 h 57"/>
            <a:gd name="T16" fmla="*/ 0 w 103"/>
            <a:gd name="T17" fmla="*/ 0 h 57"/>
            <a:gd name="T18" fmla="*/ 0 w 103"/>
            <a:gd name="T19" fmla="*/ 0 h 57"/>
            <a:gd name="T20" fmla="*/ 0 w 103"/>
            <a:gd name="T21" fmla="*/ 0 h 57"/>
            <a:gd name="T22" fmla="*/ 0 w 103"/>
            <a:gd name="T23" fmla="*/ 0 h 57"/>
            <a:gd name="T24" fmla="*/ 0 w 103"/>
            <a:gd name="T25" fmla="*/ 0 h 57"/>
            <a:gd name="T26" fmla="*/ 0 w 103"/>
            <a:gd name="T27" fmla="*/ 0 h 57"/>
            <a:gd name="T28" fmla="*/ 0 w 103"/>
            <a:gd name="T29" fmla="*/ 0 h 57"/>
            <a:gd name="T30" fmla="*/ 0 w 103"/>
            <a:gd name="T31" fmla="*/ 0 h 57"/>
            <a:gd name="T32" fmla="*/ 0 w 103"/>
            <a:gd name="T33" fmla="*/ 0 h 57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3"/>
            <a:gd name="T52" fmla="*/ 0 h 57"/>
            <a:gd name="T53" fmla="*/ 103 w 103"/>
            <a:gd name="T54" fmla="*/ 57 h 57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3" h="57">
              <a:moveTo>
                <a:pt x="52" y="5"/>
              </a:moveTo>
              <a:lnTo>
                <a:pt x="103" y="11"/>
              </a:lnTo>
              <a:lnTo>
                <a:pt x="101" y="21"/>
              </a:lnTo>
              <a:lnTo>
                <a:pt x="96" y="33"/>
              </a:lnTo>
              <a:lnTo>
                <a:pt x="90" y="41"/>
              </a:lnTo>
              <a:lnTo>
                <a:pt x="80" y="49"/>
              </a:lnTo>
              <a:lnTo>
                <a:pt x="70" y="54"/>
              </a:lnTo>
              <a:lnTo>
                <a:pt x="58" y="57"/>
              </a:lnTo>
              <a:lnTo>
                <a:pt x="47" y="57"/>
              </a:lnTo>
              <a:lnTo>
                <a:pt x="36" y="55"/>
              </a:lnTo>
              <a:lnTo>
                <a:pt x="25" y="50"/>
              </a:lnTo>
              <a:lnTo>
                <a:pt x="16" y="43"/>
              </a:lnTo>
              <a:lnTo>
                <a:pt x="9" y="34"/>
              </a:lnTo>
              <a:lnTo>
                <a:pt x="4" y="23"/>
              </a:lnTo>
              <a:lnTo>
                <a:pt x="0" y="12"/>
              </a:lnTo>
              <a:lnTo>
                <a:pt x="0" y="0"/>
              </a:lnTo>
              <a:lnTo>
                <a:pt x="52" y="5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304800</xdr:colOff>
      <xdr:row>38</xdr:row>
      <xdr:rowOff>9525</xdr:rowOff>
    </xdr:from>
    <xdr:to>
      <xdr:col>16</xdr:col>
      <xdr:colOff>342900</xdr:colOff>
      <xdr:row>38</xdr:row>
      <xdr:rowOff>19050</xdr:rowOff>
    </xdr:to>
    <xdr:sp macro="" textlink="">
      <xdr:nvSpPr>
        <xdr:cNvPr id="13106" name="Freeform 152">
          <a:extLst>
            <a:ext uri="{FF2B5EF4-FFF2-40B4-BE49-F238E27FC236}">
              <a16:creationId xmlns:a16="http://schemas.microsoft.com/office/drawing/2014/main" id="{00000000-0008-0000-0A00-000032330000}"/>
            </a:ext>
          </a:extLst>
        </xdr:cNvPr>
        <xdr:cNvSpPr>
          <a:spLocks noChangeAspect="1"/>
        </xdr:cNvSpPr>
      </xdr:nvSpPr>
      <xdr:spPr bwMode="auto">
        <a:xfrm>
          <a:off x="9010650" y="6629400"/>
          <a:ext cx="38100" cy="9525"/>
        </a:xfrm>
        <a:custGeom>
          <a:avLst/>
          <a:gdLst>
            <a:gd name="T0" fmla="*/ 0 w 103"/>
            <a:gd name="T1" fmla="*/ 0 h 57"/>
            <a:gd name="T2" fmla="*/ 0 w 103"/>
            <a:gd name="T3" fmla="*/ 0 h 57"/>
            <a:gd name="T4" fmla="*/ 0 w 103"/>
            <a:gd name="T5" fmla="*/ 0 h 57"/>
            <a:gd name="T6" fmla="*/ 0 w 103"/>
            <a:gd name="T7" fmla="*/ 0 h 57"/>
            <a:gd name="T8" fmla="*/ 0 w 103"/>
            <a:gd name="T9" fmla="*/ 0 h 57"/>
            <a:gd name="T10" fmla="*/ 0 w 103"/>
            <a:gd name="T11" fmla="*/ 0 h 57"/>
            <a:gd name="T12" fmla="*/ 0 w 103"/>
            <a:gd name="T13" fmla="*/ 0 h 57"/>
            <a:gd name="T14" fmla="*/ 0 w 103"/>
            <a:gd name="T15" fmla="*/ 0 h 57"/>
            <a:gd name="T16" fmla="*/ 0 w 103"/>
            <a:gd name="T17" fmla="*/ 0 h 57"/>
            <a:gd name="T18" fmla="*/ 0 w 103"/>
            <a:gd name="T19" fmla="*/ 0 h 57"/>
            <a:gd name="T20" fmla="*/ 0 w 103"/>
            <a:gd name="T21" fmla="*/ 0 h 57"/>
            <a:gd name="T22" fmla="*/ 0 w 103"/>
            <a:gd name="T23" fmla="*/ 0 h 57"/>
            <a:gd name="T24" fmla="*/ 0 w 103"/>
            <a:gd name="T25" fmla="*/ 0 h 57"/>
            <a:gd name="T26" fmla="*/ 0 w 103"/>
            <a:gd name="T27" fmla="*/ 0 h 57"/>
            <a:gd name="T28" fmla="*/ 0 w 103"/>
            <a:gd name="T29" fmla="*/ 0 h 5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3"/>
            <a:gd name="T46" fmla="*/ 0 h 57"/>
            <a:gd name="T47" fmla="*/ 103 w 103"/>
            <a:gd name="T48" fmla="*/ 57 h 5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3" h="57">
              <a:moveTo>
                <a:pt x="103" y="11"/>
              </a:moveTo>
              <a:lnTo>
                <a:pt x="101" y="21"/>
              </a:lnTo>
              <a:lnTo>
                <a:pt x="96" y="33"/>
              </a:lnTo>
              <a:lnTo>
                <a:pt x="90" y="41"/>
              </a:lnTo>
              <a:lnTo>
                <a:pt x="80" y="49"/>
              </a:lnTo>
              <a:lnTo>
                <a:pt x="70" y="54"/>
              </a:lnTo>
              <a:lnTo>
                <a:pt x="58" y="57"/>
              </a:lnTo>
              <a:lnTo>
                <a:pt x="47" y="57"/>
              </a:lnTo>
              <a:lnTo>
                <a:pt x="36" y="55"/>
              </a:lnTo>
              <a:lnTo>
                <a:pt x="25" y="50"/>
              </a:lnTo>
              <a:lnTo>
                <a:pt x="16" y="43"/>
              </a:lnTo>
              <a:lnTo>
                <a:pt x="9" y="34"/>
              </a:lnTo>
              <a:lnTo>
                <a:pt x="4" y="23"/>
              </a:lnTo>
              <a:lnTo>
                <a:pt x="0" y="12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304800</xdr:colOff>
      <xdr:row>36</xdr:row>
      <xdr:rowOff>66675</xdr:rowOff>
    </xdr:from>
    <xdr:to>
      <xdr:col>17</xdr:col>
      <xdr:colOff>19050</xdr:colOff>
      <xdr:row>38</xdr:row>
      <xdr:rowOff>9525</xdr:rowOff>
    </xdr:to>
    <xdr:sp macro="" textlink="">
      <xdr:nvSpPr>
        <xdr:cNvPr id="13107" name="Freeform 153">
          <a:extLst>
            <a:ext uri="{FF2B5EF4-FFF2-40B4-BE49-F238E27FC236}">
              <a16:creationId xmlns:a16="http://schemas.microsoft.com/office/drawing/2014/main" id="{00000000-0008-0000-0A00-000033330000}"/>
            </a:ext>
          </a:extLst>
        </xdr:cNvPr>
        <xdr:cNvSpPr>
          <a:spLocks noChangeAspect="1"/>
        </xdr:cNvSpPr>
      </xdr:nvSpPr>
      <xdr:spPr bwMode="auto">
        <a:xfrm>
          <a:off x="9010650" y="6362700"/>
          <a:ext cx="133350" cy="266700"/>
        </a:xfrm>
        <a:custGeom>
          <a:avLst/>
          <a:gdLst>
            <a:gd name="T0" fmla="*/ 0 w 161"/>
            <a:gd name="T1" fmla="*/ 2147483647 h 629"/>
            <a:gd name="T2" fmla="*/ 0 w 161"/>
            <a:gd name="T3" fmla="*/ 2147483647 h 629"/>
            <a:gd name="T4" fmla="*/ 0 w 161"/>
            <a:gd name="T5" fmla="*/ 2147483647 h 629"/>
            <a:gd name="T6" fmla="*/ 0 w 161"/>
            <a:gd name="T7" fmla="*/ 0 h 629"/>
            <a:gd name="T8" fmla="*/ 0 w 161"/>
            <a:gd name="T9" fmla="*/ 0 h 629"/>
            <a:gd name="T10" fmla="*/ 0 w 161"/>
            <a:gd name="T11" fmla="*/ 0 h 629"/>
            <a:gd name="T12" fmla="*/ 0 w 161"/>
            <a:gd name="T13" fmla="*/ 2147483647 h 62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61"/>
            <a:gd name="T22" fmla="*/ 0 h 629"/>
            <a:gd name="T23" fmla="*/ 161 w 161"/>
            <a:gd name="T24" fmla="*/ 629 h 62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61" h="629">
              <a:moveTo>
                <a:pt x="0" y="618"/>
              </a:moveTo>
              <a:lnTo>
                <a:pt x="52" y="623"/>
              </a:lnTo>
              <a:lnTo>
                <a:pt x="103" y="629"/>
              </a:lnTo>
              <a:lnTo>
                <a:pt x="161" y="10"/>
              </a:lnTo>
              <a:lnTo>
                <a:pt x="110" y="5"/>
              </a:lnTo>
              <a:lnTo>
                <a:pt x="58" y="0"/>
              </a:lnTo>
              <a:lnTo>
                <a:pt x="0" y="618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304800</xdr:colOff>
      <xdr:row>36</xdr:row>
      <xdr:rowOff>66675</xdr:rowOff>
    </xdr:from>
    <xdr:to>
      <xdr:col>17</xdr:col>
      <xdr:colOff>19050</xdr:colOff>
      <xdr:row>38</xdr:row>
      <xdr:rowOff>9525</xdr:rowOff>
    </xdr:to>
    <xdr:sp macro="" textlink="">
      <xdr:nvSpPr>
        <xdr:cNvPr id="13108" name="Freeform 154">
          <a:extLst>
            <a:ext uri="{FF2B5EF4-FFF2-40B4-BE49-F238E27FC236}">
              <a16:creationId xmlns:a16="http://schemas.microsoft.com/office/drawing/2014/main" id="{00000000-0008-0000-0A00-000034330000}"/>
            </a:ext>
          </a:extLst>
        </xdr:cNvPr>
        <xdr:cNvSpPr>
          <a:spLocks noChangeAspect="1"/>
        </xdr:cNvSpPr>
      </xdr:nvSpPr>
      <xdr:spPr bwMode="auto">
        <a:xfrm>
          <a:off x="9010650" y="6362700"/>
          <a:ext cx="133350" cy="266700"/>
        </a:xfrm>
        <a:custGeom>
          <a:avLst/>
          <a:gdLst>
            <a:gd name="T0" fmla="*/ 0 w 161"/>
            <a:gd name="T1" fmla="*/ 2147483647 h 629"/>
            <a:gd name="T2" fmla="*/ 0 w 161"/>
            <a:gd name="T3" fmla="*/ 2147483647 h 629"/>
            <a:gd name="T4" fmla="*/ 0 w 161"/>
            <a:gd name="T5" fmla="*/ 2147483647 h 629"/>
            <a:gd name="T6" fmla="*/ 0 w 161"/>
            <a:gd name="T7" fmla="*/ 0 h 629"/>
            <a:gd name="T8" fmla="*/ 0 w 161"/>
            <a:gd name="T9" fmla="*/ 0 h 629"/>
            <a:gd name="T10" fmla="*/ 0 w 161"/>
            <a:gd name="T11" fmla="*/ 0 h 629"/>
            <a:gd name="T12" fmla="*/ 0 w 161"/>
            <a:gd name="T13" fmla="*/ 2147483647 h 62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61"/>
            <a:gd name="T22" fmla="*/ 0 h 629"/>
            <a:gd name="T23" fmla="*/ 161 w 161"/>
            <a:gd name="T24" fmla="*/ 629 h 62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61" h="629">
              <a:moveTo>
                <a:pt x="0" y="618"/>
              </a:moveTo>
              <a:lnTo>
                <a:pt x="52" y="623"/>
              </a:lnTo>
              <a:lnTo>
                <a:pt x="103" y="629"/>
              </a:lnTo>
              <a:lnTo>
                <a:pt x="161" y="10"/>
              </a:lnTo>
              <a:lnTo>
                <a:pt x="110" y="5"/>
              </a:lnTo>
              <a:lnTo>
                <a:pt x="58" y="0"/>
              </a:lnTo>
              <a:lnTo>
                <a:pt x="0" y="618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333375</xdr:colOff>
      <xdr:row>36</xdr:row>
      <xdr:rowOff>47625</xdr:rowOff>
    </xdr:from>
    <xdr:to>
      <xdr:col>17</xdr:col>
      <xdr:colOff>19050</xdr:colOff>
      <xdr:row>36</xdr:row>
      <xdr:rowOff>66675</xdr:rowOff>
    </xdr:to>
    <xdr:sp macro="" textlink="">
      <xdr:nvSpPr>
        <xdr:cNvPr id="13109" name="Freeform 155">
          <a:extLst>
            <a:ext uri="{FF2B5EF4-FFF2-40B4-BE49-F238E27FC236}">
              <a16:creationId xmlns:a16="http://schemas.microsoft.com/office/drawing/2014/main" id="{00000000-0008-0000-0A00-000035330000}"/>
            </a:ext>
          </a:extLst>
        </xdr:cNvPr>
        <xdr:cNvSpPr>
          <a:spLocks noChangeAspect="1"/>
        </xdr:cNvSpPr>
      </xdr:nvSpPr>
      <xdr:spPr bwMode="auto">
        <a:xfrm>
          <a:off x="9039225" y="6343650"/>
          <a:ext cx="104775" cy="19050"/>
        </a:xfrm>
        <a:custGeom>
          <a:avLst/>
          <a:gdLst>
            <a:gd name="T0" fmla="*/ 0 w 103"/>
            <a:gd name="T1" fmla="*/ 0 h 56"/>
            <a:gd name="T2" fmla="*/ 0 w 103"/>
            <a:gd name="T3" fmla="*/ 0 h 56"/>
            <a:gd name="T4" fmla="*/ 0 w 103"/>
            <a:gd name="T5" fmla="*/ 0 h 56"/>
            <a:gd name="T6" fmla="*/ 0 w 103"/>
            <a:gd name="T7" fmla="*/ 0 h 56"/>
            <a:gd name="T8" fmla="*/ 0 w 103"/>
            <a:gd name="T9" fmla="*/ 0 h 56"/>
            <a:gd name="T10" fmla="*/ 0 w 103"/>
            <a:gd name="T11" fmla="*/ 0 h 56"/>
            <a:gd name="T12" fmla="*/ 0 w 103"/>
            <a:gd name="T13" fmla="*/ 0 h 56"/>
            <a:gd name="T14" fmla="*/ 0 w 103"/>
            <a:gd name="T15" fmla="*/ 0 h 56"/>
            <a:gd name="T16" fmla="*/ 0 w 103"/>
            <a:gd name="T17" fmla="*/ 0 h 56"/>
            <a:gd name="T18" fmla="*/ 0 w 103"/>
            <a:gd name="T19" fmla="*/ 0 h 56"/>
            <a:gd name="T20" fmla="*/ 0 w 103"/>
            <a:gd name="T21" fmla="*/ 0 h 56"/>
            <a:gd name="T22" fmla="*/ 0 w 103"/>
            <a:gd name="T23" fmla="*/ 0 h 56"/>
            <a:gd name="T24" fmla="*/ 0 w 103"/>
            <a:gd name="T25" fmla="*/ 0 h 56"/>
            <a:gd name="T26" fmla="*/ 0 w 103"/>
            <a:gd name="T27" fmla="*/ 0 h 56"/>
            <a:gd name="T28" fmla="*/ 0 w 103"/>
            <a:gd name="T29" fmla="*/ 0 h 56"/>
            <a:gd name="T30" fmla="*/ 0 w 103"/>
            <a:gd name="T31" fmla="*/ 0 h 56"/>
            <a:gd name="T32" fmla="*/ 0 w 103"/>
            <a:gd name="T33" fmla="*/ 0 h 5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3"/>
            <a:gd name="T52" fmla="*/ 0 h 56"/>
            <a:gd name="T53" fmla="*/ 103 w 103"/>
            <a:gd name="T54" fmla="*/ 56 h 56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3" h="56">
              <a:moveTo>
                <a:pt x="52" y="51"/>
              </a:moveTo>
              <a:lnTo>
                <a:pt x="0" y="46"/>
              </a:lnTo>
              <a:lnTo>
                <a:pt x="2" y="35"/>
              </a:lnTo>
              <a:lnTo>
                <a:pt x="8" y="24"/>
              </a:lnTo>
              <a:lnTo>
                <a:pt x="14" y="15"/>
              </a:lnTo>
              <a:lnTo>
                <a:pt x="23" y="8"/>
              </a:lnTo>
              <a:lnTo>
                <a:pt x="34" y="3"/>
              </a:lnTo>
              <a:lnTo>
                <a:pt x="45" y="0"/>
              </a:lnTo>
              <a:lnTo>
                <a:pt x="57" y="0"/>
              </a:lnTo>
              <a:lnTo>
                <a:pt x="67" y="2"/>
              </a:lnTo>
              <a:lnTo>
                <a:pt x="79" y="7"/>
              </a:lnTo>
              <a:lnTo>
                <a:pt x="87" y="13"/>
              </a:lnTo>
              <a:lnTo>
                <a:pt x="95" y="23"/>
              </a:lnTo>
              <a:lnTo>
                <a:pt x="100" y="33"/>
              </a:lnTo>
              <a:lnTo>
                <a:pt x="103" y="45"/>
              </a:lnTo>
              <a:lnTo>
                <a:pt x="103" y="56"/>
              </a:lnTo>
              <a:lnTo>
                <a:pt x="52" y="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333375</xdr:colOff>
      <xdr:row>36</xdr:row>
      <xdr:rowOff>47625</xdr:rowOff>
    </xdr:from>
    <xdr:to>
      <xdr:col>17</xdr:col>
      <xdr:colOff>19050</xdr:colOff>
      <xdr:row>36</xdr:row>
      <xdr:rowOff>66675</xdr:rowOff>
    </xdr:to>
    <xdr:sp macro="" textlink="">
      <xdr:nvSpPr>
        <xdr:cNvPr id="13110" name="Freeform 156">
          <a:extLst>
            <a:ext uri="{FF2B5EF4-FFF2-40B4-BE49-F238E27FC236}">
              <a16:creationId xmlns:a16="http://schemas.microsoft.com/office/drawing/2014/main" id="{00000000-0008-0000-0A00-000036330000}"/>
            </a:ext>
          </a:extLst>
        </xdr:cNvPr>
        <xdr:cNvSpPr>
          <a:spLocks noChangeAspect="1"/>
        </xdr:cNvSpPr>
      </xdr:nvSpPr>
      <xdr:spPr bwMode="auto">
        <a:xfrm>
          <a:off x="9039225" y="6343650"/>
          <a:ext cx="104775" cy="19050"/>
        </a:xfrm>
        <a:custGeom>
          <a:avLst/>
          <a:gdLst>
            <a:gd name="T0" fmla="*/ 0 w 103"/>
            <a:gd name="T1" fmla="*/ 0 h 56"/>
            <a:gd name="T2" fmla="*/ 0 w 103"/>
            <a:gd name="T3" fmla="*/ 0 h 56"/>
            <a:gd name="T4" fmla="*/ 0 w 103"/>
            <a:gd name="T5" fmla="*/ 0 h 56"/>
            <a:gd name="T6" fmla="*/ 0 w 103"/>
            <a:gd name="T7" fmla="*/ 0 h 56"/>
            <a:gd name="T8" fmla="*/ 0 w 103"/>
            <a:gd name="T9" fmla="*/ 0 h 56"/>
            <a:gd name="T10" fmla="*/ 0 w 103"/>
            <a:gd name="T11" fmla="*/ 0 h 56"/>
            <a:gd name="T12" fmla="*/ 0 w 103"/>
            <a:gd name="T13" fmla="*/ 0 h 56"/>
            <a:gd name="T14" fmla="*/ 0 w 103"/>
            <a:gd name="T15" fmla="*/ 0 h 56"/>
            <a:gd name="T16" fmla="*/ 0 w 103"/>
            <a:gd name="T17" fmla="*/ 0 h 56"/>
            <a:gd name="T18" fmla="*/ 0 w 103"/>
            <a:gd name="T19" fmla="*/ 0 h 56"/>
            <a:gd name="T20" fmla="*/ 0 w 103"/>
            <a:gd name="T21" fmla="*/ 0 h 56"/>
            <a:gd name="T22" fmla="*/ 0 w 103"/>
            <a:gd name="T23" fmla="*/ 0 h 56"/>
            <a:gd name="T24" fmla="*/ 0 w 103"/>
            <a:gd name="T25" fmla="*/ 0 h 56"/>
            <a:gd name="T26" fmla="*/ 0 w 103"/>
            <a:gd name="T27" fmla="*/ 0 h 56"/>
            <a:gd name="T28" fmla="*/ 0 w 103"/>
            <a:gd name="T29" fmla="*/ 0 h 5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3"/>
            <a:gd name="T46" fmla="*/ 0 h 56"/>
            <a:gd name="T47" fmla="*/ 103 w 103"/>
            <a:gd name="T48" fmla="*/ 56 h 56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3" h="56">
              <a:moveTo>
                <a:pt x="0" y="46"/>
              </a:moveTo>
              <a:lnTo>
                <a:pt x="2" y="35"/>
              </a:lnTo>
              <a:lnTo>
                <a:pt x="8" y="24"/>
              </a:lnTo>
              <a:lnTo>
                <a:pt x="14" y="15"/>
              </a:lnTo>
              <a:lnTo>
                <a:pt x="23" y="8"/>
              </a:lnTo>
              <a:lnTo>
                <a:pt x="34" y="3"/>
              </a:lnTo>
              <a:lnTo>
                <a:pt x="45" y="0"/>
              </a:lnTo>
              <a:lnTo>
                <a:pt x="57" y="0"/>
              </a:lnTo>
              <a:lnTo>
                <a:pt x="67" y="2"/>
              </a:lnTo>
              <a:lnTo>
                <a:pt x="79" y="7"/>
              </a:lnTo>
              <a:lnTo>
                <a:pt x="87" y="13"/>
              </a:lnTo>
              <a:lnTo>
                <a:pt x="95" y="23"/>
              </a:lnTo>
              <a:lnTo>
                <a:pt x="100" y="33"/>
              </a:lnTo>
              <a:lnTo>
                <a:pt x="103" y="45"/>
              </a:lnTo>
              <a:lnTo>
                <a:pt x="103" y="56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333375</xdr:colOff>
      <xdr:row>35</xdr:row>
      <xdr:rowOff>114300</xdr:rowOff>
    </xdr:from>
    <xdr:to>
      <xdr:col>17</xdr:col>
      <xdr:colOff>19050</xdr:colOff>
      <xdr:row>35</xdr:row>
      <xdr:rowOff>142875</xdr:rowOff>
    </xdr:to>
    <xdr:sp macro="" textlink="">
      <xdr:nvSpPr>
        <xdr:cNvPr id="13111" name="Freeform 157">
          <a:extLst>
            <a:ext uri="{FF2B5EF4-FFF2-40B4-BE49-F238E27FC236}">
              <a16:creationId xmlns:a16="http://schemas.microsoft.com/office/drawing/2014/main" id="{00000000-0008-0000-0A00-000037330000}"/>
            </a:ext>
          </a:extLst>
        </xdr:cNvPr>
        <xdr:cNvSpPr>
          <a:spLocks noChangeAspect="1"/>
        </xdr:cNvSpPr>
      </xdr:nvSpPr>
      <xdr:spPr bwMode="auto">
        <a:xfrm>
          <a:off x="9039225" y="6248400"/>
          <a:ext cx="104775" cy="28575"/>
        </a:xfrm>
        <a:custGeom>
          <a:avLst/>
          <a:gdLst>
            <a:gd name="T0" fmla="*/ 0 w 103"/>
            <a:gd name="T1" fmla="*/ 0 h 57"/>
            <a:gd name="T2" fmla="*/ 0 w 103"/>
            <a:gd name="T3" fmla="*/ 0 h 57"/>
            <a:gd name="T4" fmla="*/ 0 w 103"/>
            <a:gd name="T5" fmla="*/ 0 h 57"/>
            <a:gd name="T6" fmla="*/ 0 w 103"/>
            <a:gd name="T7" fmla="*/ 0 h 57"/>
            <a:gd name="T8" fmla="*/ 0 w 103"/>
            <a:gd name="T9" fmla="*/ 0 h 57"/>
            <a:gd name="T10" fmla="*/ 0 w 103"/>
            <a:gd name="T11" fmla="*/ 0 h 57"/>
            <a:gd name="T12" fmla="*/ 0 w 103"/>
            <a:gd name="T13" fmla="*/ 0 h 57"/>
            <a:gd name="T14" fmla="*/ 0 w 103"/>
            <a:gd name="T15" fmla="*/ 0 h 57"/>
            <a:gd name="T16" fmla="*/ 0 w 103"/>
            <a:gd name="T17" fmla="*/ 0 h 57"/>
            <a:gd name="T18" fmla="*/ 0 w 103"/>
            <a:gd name="T19" fmla="*/ 0 h 57"/>
            <a:gd name="T20" fmla="*/ 0 w 103"/>
            <a:gd name="T21" fmla="*/ 0 h 57"/>
            <a:gd name="T22" fmla="*/ 0 w 103"/>
            <a:gd name="T23" fmla="*/ 0 h 57"/>
            <a:gd name="T24" fmla="*/ 0 w 103"/>
            <a:gd name="T25" fmla="*/ 0 h 57"/>
            <a:gd name="T26" fmla="*/ 0 w 103"/>
            <a:gd name="T27" fmla="*/ 0 h 57"/>
            <a:gd name="T28" fmla="*/ 0 w 103"/>
            <a:gd name="T29" fmla="*/ 0 h 57"/>
            <a:gd name="T30" fmla="*/ 0 w 103"/>
            <a:gd name="T31" fmla="*/ 0 h 57"/>
            <a:gd name="T32" fmla="*/ 0 w 103"/>
            <a:gd name="T33" fmla="*/ 0 h 57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3"/>
            <a:gd name="T52" fmla="*/ 0 h 57"/>
            <a:gd name="T53" fmla="*/ 103 w 103"/>
            <a:gd name="T54" fmla="*/ 57 h 57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3" h="57">
              <a:moveTo>
                <a:pt x="52" y="5"/>
              </a:moveTo>
              <a:lnTo>
                <a:pt x="103" y="10"/>
              </a:lnTo>
              <a:lnTo>
                <a:pt x="101" y="21"/>
              </a:lnTo>
              <a:lnTo>
                <a:pt x="96" y="32"/>
              </a:lnTo>
              <a:lnTo>
                <a:pt x="89" y="41"/>
              </a:lnTo>
              <a:lnTo>
                <a:pt x="80" y="48"/>
              </a:lnTo>
              <a:lnTo>
                <a:pt x="70" y="53"/>
              </a:lnTo>
              <a:lnTo>
                <a:pt x="58" y="57"/>
              </a:lnTo>
              <a:lnTo>
                <a:pt x="46" y="57"/>
              </a:lnTo>
              <a:lnTo>
                <a:pt x="36" y="55"/>
              </a:lnTo>
              <a:lnTo>
                <a:pt x="24" y="49"/>
              </a:lnTo>
              <a:lnTo>
                <a:pt x="16" y="43"/>
              </a:lnTo>
              <a:lnTo>
                <a:pt x="9" y="34"/>
              </a:lnTo>
              <a:lnTo>
                <a:pt x="3" y="23"/>
              </a:lnTo>
              <a:lnTo>
                <a:pt x="0" y="11"/>
              </a:lnTo>
              <a:lnTo>
                <a:pt x="0" y="0"/>
              </a:lnTo>
              <a:lnTo>
                <a:pt x="52" y="5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333375</xdr:colOff>
      <xdr:row>35</xdr:row>
      <xdr:rowOff>114300</xdr:rowOff>
    </xdr:from>
    <xdr:to>
      <xdr:col>17</xdr:col>
      <xdr:colOff>19050</xdr:colOff>
      <xdr:row>35</xdr:row>
      <xdr:rowOff>142875</xdr:rowOff>
    </xdr:to>
    <xdr:sp macro="" textlink="">
      <xdr:nvSpPr>
        <xdr:cNvPr id="13112" name="Freeform 158">
          <a:extLst>
            <a:ext uri="{FF2B5EF4-FFF2-40B4-BE49-F238E27FC236}">
              <a16:creationId xmlns:a16="http://schemas.microsoft.com/office/drawing/2014/main" id="{00000000-0008-0000-0A00-000038330000}"/>
            </a:ext>
          </a:extLst>
        </xdr:cNvPr>
        <xdr:cNvSpPr>
          <a:spLocks noChangeAspect="1"/>
        </xdr:cNvSpPr>
      </xdr:nvSpPr>
      <xdr:spPr bwMode="auto">
        <a:xfrm>
          <a:off x="9039225" y="6248400"/>
          <a:ext cx="104775" cy="28575"/>
        </a:xfrm>
        <a:custGeom>
          <a:avLst/>
          <a:gdLst>
            <a:gd name="T0" fmla="*/ 0 w 103"/>
            <a:gd name="T1" fmla="*/ 0 h 57"/>
            <a:gd name="T2" fmla="*/ 0 w 103"/>
            <a:gd name="T3" fmla="*/ 0 h 57"/>
            <a:gd name="T4" fmla="*/ 0 w 103"/>
            <a:gd name="T5" fmla="*/ 0 h 57"/>
            <a:gd name="T6" fmla="*/ 0 w 103"/>
            <a:gd name="T7" fmla="*/ 0 h 57"/>
            <a:gd name="T8" fmla="*/ 0 w 103"/>
            <a:gd name="T9" fmla="*/ 0 h 57"/>
            <a:gd name="T10" fmla="*/ 0 w 103"/>
            <a:gd name="T11" fmla="*/ 0 h 57"/>
            <a:gd name="T12" fmla="*/ 0 w 103"/>
            <a:gd name="T13" fmla="*/ 0 h 57"/>
            <a:gd name="T14" fmla="*/ 0 w 103"/>
            <a:gd name="T15" fmla="*/ 0 h 57"/>
            <a:gd name="T16" fmla="*/ 0 w 103"/>
            <a:gd name="T17" fmla="*/ 0 h 57"/>
            <a:gd name="T18" fmla="*/ 0 w 103"/>
            <a:gd name="T19" fmla="*/ 0 h 57"/>
            <a:gd name="T20" fmla="*/ 0 w 103"/>
            <a:gd name="T21" fmla="*/ 0 h 57"/>
            <a:gd name="T22" fmla="*/ 0 w 103"/>
            <a:gd name="T23" fmla="*/ 0 h 57"/>
            <a:gd name="T24" fmla="*/ 0 w 103"/>
            <a:gd name="T25" fmla="*/ 0 h 57"/>
            <a:gd name="T26" fmla="*/ 0 w 103"/>
            <a:gd name="T27" fmla="*/ 0 h 57"/>
            <a:gd name="T28" fmla="*/ 0 w 103"/>
            <a:gd name="T29" fmla="*/ 0 h 5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3"/>
            <a:gd name="T46" fmla="*/ 0 h 57"/>
            <a:gd name="T47" fmla="*/ 103 w 103"/>
            <a:gd name="T48" fmla="*/ 57 h 5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3" h="57">
              <a:moveTo>
                <a:pt x="103" y="10"/>
              </a:moveTo>
              <a:lnTo>
                <a:pt x="101" y="21"/>
              </a:lnTo>
              <a:lnTo>
                <a:pt x="96" y="32"/>
              </a:lnTo>
              <a:lnTo>
                <a:pt x="89" y="41"/>
              </a:lnTo>
              <a:lnTo>
                <a:pt x="80" y="48"/>
              </a:lnTo>
              <a:lnTo>
                <a:pt x="70" y="53"/>
              </a:lnTo>
              <a:lnTo>
                <a:pt x="58" y="57"/>
              </a:lnTo>
              <a:lnTo>
                <a:pt x="46" y="57"/>
              </a:lnTo>
              <a:lnTo>
                <a:pt x="36" y="55"/>
              </a:lnTo>
              <a:lnTo>
                <a:pt x="24" y="49"/>
              </a:lnTo>
              <a:lnTo>
                <a:pt x="16" y="43"/>
              </a:lnTo>
              <a:lnTo>
                <a:pt x="9" y="34"/>
              </a:lnTo>
              <a:lnTo>
                <a:pt x="3" y="23"/>
              </a:lnTo>
              <a:lnTo>
                <a:pt x="0" y="11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333375</xdr:colOff>
      <xdr:row>34</xdr:row>
      <xdr:rowOff>28575</xdr:rowOff>
    </xdr:from>
    <xdr:to>
      <xdr:col>17</xdr:col>
      <xdr:colOff>47625</xdr:colOff>
      <xdr:row>35</xdr:row>
      <xdr:rowOff>133350</xdr:rowOff>
    </xdr:to>
    <xdr:sp macro="" textlink="">
      <xdr:nvSpPr>
        <xdr:cNvPr id="13113" name="Freeform 159">
          <a:extLst>
            <a:ext uri="{FF2B5EF4-FFF2-40B4-BE49-F238E27FC236}">
              <a16:creationId xmlns:a16="http://schemas.microsoft.com/office/drawing/2014/main" id="{00000000-0008-0000-0A00-000039330000}"/>
            </a:ext>
          </a:extLst>
        </xdr:cNvPr>
        <xdr:cNvSpPr>
          <a:spLocks noChangeAspect="1"/>
        </xdr:cNvSpPr>
      </xdr:nvSpPr>
      <xdr:spPr bwMode="auto">
        <a:xfrm>
          <a:off x="9039225" y="6000750"/>
          <a:ext cx="133350" cy="266700"/>
        </a:xfrm>
        <a:custGeom>
          <a:avLst/>
          <a:gdLst>
            <a:gd name="T0" fmla="*/ 0 w 161"/>
            <a:gd name="T1" fmla="*/ 2147483647 h 629"/>
            <a:gd name="T2" fmla="*/ 0 w 161"/>
            <a:gd name="T3" fmla="*/ 2147483647 h 629"/>
            <a:gd name="T4" fmla="*/ 0 w 161"/>
            <a:gd name="T5" fmla="*/ 2147483647 h 629"/>
            <a:gd name="T6" fmla="*/ 2147483647 w 161"/>
            <a:gd name="T7" fmla="*/ 0 h 629"/>
            <a:gd name="T8" fmla="*/ 0 w 161"/>
            <a:gd name="T9" fmla="*/ 0 h 629"/>
            <a:gd name="T10" fmla="*/ 0 w 161"/>
            <a:gd name="T11" fmla="*/ 0 h 629"/>
            <a:gd name="T12" fmla="*/ 0 w 161"/>
            <a:gd name="T13" fmla="*/ 2147483647 h 62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61"/>
            <a:gd name="T22" fmla="*/ 0 h 629"/>
            <a:gd name="T23" fmla="*/ 161 w 161"/>
            <a:gd name="T24" fmla="*/ 629 h 62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61" h="629">
              <a:moveTo>
                <a:pt x="0" y="619"/>
              </a:moveTo>
              <a:lnTo>
                <a:pt x="52" y="624"/>
              </a:lnTo>
              <a:lnTo>
                <a:pt x="103" y="629"/>
              </a:lnTo>
              <a:lnTo>
                <a:pt x="161" y="11"/>
              </a:lnTo>
              <a:lnTo>
                <a:pt x="109" y="6"/>
              </a:lnTo>
              <a:lnTo>
                <a:pt x="58" y="0"/>
              </a:lnTo>
              <a:lnTo>
                <a:pt x="0" y="619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342900</xdr:colOff>
      <xdr:row>34</xdr:row>
      <xdr:rowOff>19050</xdr:rowOff>
    </xdr:from>
    <xdr:to>
      <xdr:col>17</xdr:col>
      <xdr:colOff>47625</xdr:colOff>
      <xdr:row>34</xdr:row>
      <xdr:rowOff>38100</xdr:rowOff>
    </xdr:to>
    <xdr:sp macro="" textlink="">
      <xdr:nvSpPr>
        <xdr:cNvPr id="13114" name="Freeform 160">
          <a:extLst>
            <a:ext uri="{FF2B5EF4-FFF2-40B4-BE49-F238E27FC236}">
              <a16:creationId xmlns:a16="http://schemas.microsoft.com/office/drawing/2014/main" id="{00000000-0008-0000-0A00-00003A330000}"/>
            </a:ext>
          </a:extLst>
        </xdr:cNvPr>
        <xdr:cNvSpPr>
          <a:spLocks noChangeAspect="1"/>
        </xdr:cNvSpPr>
      </xdr:nvSpPr>
      <xdr:spPr bwMode="auto">
        <a:xfrm>
          <a:off x="9048750" y="5991225"/>
          <a:ext cx="123825" cy="19050"/>
        </a:xfrm>
        <a:custGeom>
          <a:avLst/>
          <a:gdLst>
            <a:gd name="T0" fmla="*/ 0 w 103"/>
            <a:gd name="T1" fmla="*/ 0 h 57"/>
            <a:gd name="T2" fmla="*/ 0 w 103"/>
            <a:gd name="T3" fmla="*/ 0 h 57"/>
            <a:gd name="T4" fmla="*/ 0 w 103"/>
            <a:gd name="T5" fmla="*/ 0 h 57"/>
            <a:gd name="T6" fmla="*/ 0 w 103"/>
            <a:gd name="T7" fmla="*/ 0 h 57"/>
            <a:gd name="T8" fmla="*/ 0 w 103"/>
            <a:gd name="T9" fmla="*/ 0 h 57"/>
            <a:gd name="T10" fmla="*/ 0 w 103"/>
            <a:gd name="T11" fmla="*/ 0 h 57"/>
            <a:gd name="T12" fmla="*/ 0 w 103"/>
            <a:gd name="T13" fmla="*/ 0 h 57"/>
            <a:gd name="T14" fmla="*/ 0 w 103"/>
            <a:gd name="T15" fmla="*/ 0 h 57"/>
            <a:gd name="T16" fmla="*/ 0 w 103"/>
            <a:gd name="T17" fmla="*/ 0 h 57"/>
            <a:gd name="T18" fmla="*/ 0 w 103"/>
            <a:gd name="T19" fmla="*/ 0 h 57"/>
            <a:gd name="T20" fmla="*/ 0 w 103"/>
            <a:gd name="T21" fmla="*/ 0 h 57"/>
            <a:gd name="T22" fmla="*/ 0 w 103"/>
            <a:gd name="T23" fmla="*/ 0 h 57"/>
            <a:gd name="T24" fmla="*/ 0 w 103"/>
            <a:gd name="T25" fmla="*/ 0 h 57"/>
            <a:gd name="T26" fmla="*/ 0 w 103"/>
            <a:gd name="T27" fmla="*/ 0 h 57"/>
            <a:gd name="T28" fmla="*/ 0 w 103"/>
            <a:gd name="T29" fmla="*/ 0 h 57"/>
            <a:gd name="T30" fmla="*/ 0 w 103"/>
            <a:gd name="T31" fmla="*/ 0 h 57"/>
            <a:gd name="T32" fmla="*/ 0 w 103"/>
            <a:gd name="T33" fmla="*/ 0 h 57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3"/>
            <a:gd name="T52" fmla="*/ 0 h 57"/>
            <a:gd name="T53" fmla="*/ 103 w 103"/>
            <a:gd name="T54" fmla="*/ 57 h 57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3" h="57">
              <a:moveTo>
                <a:pt x="51" y="52"/>
              </a:moveTo>
              <a:lnTo>
                <a:pt x="0" y="46"/>
              </a:lnTo>
              <a:lnTo>
                <a:pt x="2" y="36"/>
              </a:lnTo>
              <a:lnTo>
                <a:pt x="7" y="24"/>
              </a:lnTo>
              <a:lnTo>
                <a:pt x="14" y="16"/>
              </a:lnTo>
              <a:lnTo>
                <a:pt x="23" y="9"/>
              </a:lnTo>
              <a:lnTo>
                <a:pt x="34" y="3"/>
              </a:lnTo>
              <a:lnTo>
                <a:pt x="45" y="0"/>
              </a:lnTo>
              <a:lnTo>
                <a:pt x="57" y="0"/>
              </a:lnTo>
              <a:lnTo>
                <a:pt x="67" y="2"/>
              </a:lnTo>
              <a:lnTo>
                <a:pt x="79" y="8"/>
              </a:lnTo>
              <a:lnTo>
                <a:pt x="87" y="14"/>
              </a:lnTo>
              <a:lnTo>
                <a:pt x="94" y="23"/>
              </a:lnTo>
              <a:lnTo>
                <a:pt x="100" y="34"/>
              </a:lnTo>
              <a:lnTo>
                <a:pt x="103" y="45"/>
              </a:lnTo>
              <a:lnTo>
                <a:pt x="103" y="57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342900</xdr:colOff>
      <xdr:row>34</xdr:row>
      <xdr:rowOff>19050</xdr:rowOff>
    </xdr:from>
    <xdr:to>
      <xdr:col>17</xdr:col>
      <xdr:colOff>47625</xdr:colOff>
      <xdr:row>34</xdr:row>
      <xdr:rowOff>38100</xdr:rowOff>
    </xdr:to>
    <xdr:sp macro="" textlink="">
      <xdr:nvSpPr>
        <xdr:cNvPr id="13115" name="Freeform 161">
          <a:extLst>
            <a:ext uri="{FF2B5EF4-FFF2-40B4-BE49-F238E27FC236}">
              <a16:creationId xmlns:a16="http://schemas.microsoft.com/office/drawing/2014/main" id="{00000000-0008-0000-0A00-00003B330000}"/>
            </a:ext>
          </a:extLst>
        </xdr:cNvPr>
        <xdr:cNvSpPr>
          <a:spLocks noChangeAspect="1"/>
        </xdr:cNvSpPr>
      </xdr:nvSpPr>
      <xdr:spPr bwMode="auto">
        <a:xfrm>
          <a:off x="9048750" y="5991225"/>
          <a:ext cx="123825" cy="19050"/>
        </a:xfrm>
        <a:custGeom>
          <a:avLst/>
          <a:gdLst>
            <a:gd name="T0" fmla="*/ 0 w 103"/>
            <a:gd name="T1" fmla="*/ 0 h 57"/>
            <a:gd name="T2" fmla="*/ 0 w 103"/>
            <a:gd name="T3" fmla="*/ 0 h 57"/>
            <a:gd name="T4" fmla="*/ 0 w 103"/>
            <a:gd name="T5" fmla="*/ 0 h 57"/>
            <a:gd name="T6" fmla="*/ 0 w 103"/>
            <a:gd name="T7" fmla="*/ 0 h 57"/>
            <a:gd name="T8" fmla="*/ 0 w 103"/>
            <a:gd name="T9" fmla="*/ 0 h 57"/>
            <a:gd name="T10" fmla="*/ 0 w 103"/>
            <a:gd name="T11" fmla="*/ 0 h 57"/>
            <a:gd name="T12" fmla="*/ 0 w 103"/>
            <a:gd name="T13" fmla="*/ 0 h 57"/>
            <a:gd name="T14" fmla="*/ 0 w 103"/>
            <a:gd name="T15" fmla="*/ 0 h 57"/>
            <a:gd name="T16" fmla="*/ 0 w 103"/>
            <a:gd name="T17" fmla="*/ 0 h 57"/>
            <a:gd name="T18" fmla="*/ 0 w 103"/>
            <a:gd name="T19" fmla="*/ 0 h 57"/>
            <a:gd name="T20" fmla="*/ 0 w 103"/>
            <a:gd name="T21" fmla="*/ 0 h 57"/>
            <a:gd name="T22" fmla="*/ 0 w 103"/>
            <a:gd name="T23" fmla="*/ 0 h 57"/>
            <a:gd name="T24" fmla="*/ 0 w 103"/>
            <a:gd name="T25" fmla="*/ 0 h 57"/>
            <a:gd name="T26" fmla="*/ 0 w 103"/>
            <a:gd name="T27" fmla="*/ 0 h 57"/>
            <a:gd name="T28" fmla="*/ 0 w 103"/>
            <a:gd name="T29" fmla="*/ 0 h 5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3"/>
            <a:gd name="T46" fmla="*/ 0 h 57"/>
            <a:gd name="T47" fmla="*/ 103 w 103"/>
            <a:gd name="T48" fmla="*/ 57 h 5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3" h="57">
              <a:moveTo>
                <a:pt x="0" y="46"/>
              </a:moveTo>
              <a:lnTo>
                <a:pt x="2" y="36"/>
              </a:lnTo>
              <a:lnTo>
                <a:pt x="7" y="24"/>
              </a:lnTo>
              <a:lnTo>
                <a:pt x="14" y="16"/>
              </a:lnTo>
              <a:lnTo>
                <a:pt x="23" y="9"/>
              </a:lnTo>
              <a:lnTo>
                <a:pt x="34" y="3"/>
              </a:lnTo>
              <a:lnTo>
                <a:pt x="45" y="0"/>
              </a:lnTo>
              <a:lnTo>
                <a:pt x="57" y="0"/>
              </a:lnTo>
              <a:lnTo>
                <a:pt x="67" y="2"/>
              </a:lnTo>
              <a:lnTo>
                <a:pt x="79" y="8"/>
              </a:lnTo>
              <a:lnTo>
                <a:pt x="87" y="14"/>
              </a:lnTo>
              <a:lnTo>
                <a:pt x="94" y="23"/>
              </a:lnTo>
              <a:lnTo>
                <a:pt x="100" y="34"/>
              </a:lnTo>
              <a:lnTo>
                <a:pt x="103" y="45"/>
              </a:lnTo>
              <a:lnTo>
                <a:pt x="103" y="57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342900</xdr:colOff>
      <xdr:row>34</xdr:row>
      <xdr:rowOff>28575</xdr:rowOff>
    </xdr:from>
    <xdr:to>
      <xdr:col>17</xdr:col>
      <xdr:colOff>47625</xdr:colOff>
      <xdr:row>34</xdr:row>
      <xdr:rowOff>66675</xdr:rowOff>
    </xdr:to>
    <xdr:sp macro="" textlink="">
      <xdr:nvSpPr>
        <xdr:cNvPr id="13116" name="Freeform 162">
          <a:extLst>
            <a:ext uri="{FF2B5EF4-FFF2-40B4-BE49-F238E27FC236}">
              <a16:creationId xmlns:a16="http://schemas.microsoft.com/office/drawing/2014/main" id="{00000000-0008-0000-0A00-00003C330000}"/>
            </a:ext>
          </a:extLst>
        </xdr:cNvPr>
        <xdr:cNvSpPr>
          <a:spLocks noChangeAspect="1"/>
        </xdr:cNvSpPr>
      </xdr:nvSpPr>
      <xdr:spPr bwMode="auto">
        <a:xfrm>
          <a:off x="9048750" y="6000750"/>
          <a:ext cx="123825" cy="38100"/>
        </a:xfrm>
        <a:custGeom>
          <a:avLst/>
          <a:gdLst>
            <a:gd name="T0" fmla="*/ 0 w 102"/>
            <a:gd name="T1" fmla="*/ 0 h 65"/>
            <a:gd name="T2" fmla="*/ 0 w 102"/>
            <a:gd name="T3" fmla="*/ 0 h 65"/>
            <a:gd name="T4" fmla="*/ 0 w 102"/>
            <a:gd name="T5" fmla="*/ 0 h 65"/>
            <a:gd name="T6" fmla="*/ 0 w 102"/>
            <a:gd name="T7" fmla="*/ 0 h 65"/>
            <a:gd name="T8" fmla="*/ 0 w 102"/>
            <a:gd name="T9" fmla="*/ 0 h 65"/>
            <a:gd name="T10" fmla="*/ 0 w 102"/>
            <a:gd name="T11" fmla="*/ 0 h 65"/>
            <a:gd name="T12" fmla="*/ 0 w 102"/>
            <a:gd name="T13" fmla="*/ 0 h 65"/>
            <a:gd name="T14" fmla="*/ 0 w 102"/>
            <a:gd name="T15" fmla="*/ 0 h 65"/>
            <a:gd name="T16" fmla="*/ 0 w 102"/>
            <a:gd name="T17" fmla="*/ 0 h 65"/>
            <a:gd name="T18" fmla="*/ 0 w 102"/>
            <a:gd name="T19" fmla="*/ 0 h 65"/>
            <a:gd name="T20" fmla="*/ 0 w 102"/>
            <a:gd name="T21" fmla="*/ 0 h 65"/>
            <a:gd name="T22" fmla="*/ 0 w 102"/>
            <a:gd name="T23" fmla="*/ 0 h 65"/>
            <a:gd name="T24" fmla="*/ 0 w 102"/>
            <a:gd name="T25" fmla="*/ 0 h 65"/>
            <a:gd name="T26" fmla="*/ 0 w 102"/>
            <a:gd name="T27" fmla="*/ 0 h 65"/>
            <a:gd name="T28" fmla="*/ 0 w 102"/>
            <a:gd name="T29" fmla="*/ 0 h 65"/>
            <a:gd name="T30" fmla="*/ 0 w 102"/>
            <a:gd name="T31" fmla="*/ 0 h 65"/>
            <a:gd name="T32" fmla="*/ 0 w 102"/>
            <a:gd name="T33" fmla="*/ 0 h 65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2"/>
            <a:gd name="T52" fmla="*/ 0 h 65"/>
            <a:gd name="T53" fmla="*/ 102 w 102"/>
            <a:gd name="T54" fmla="*/ 65 h 65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2" h="65">
              <a:moveTo>
                <a:pt x="51" y="14"/>
              </a:moveTo>
              <a:lnTo>
                <a:pt x="102" y="27"/>
              </a:lnTo>
              <a:lnTo>
                <a:pt x="98" y="39"/>
              </a:lnTo>
              <a:lnTo>
                <a:pt x="90" y="48"/>
              </a:lnTo>
              <a:lnTo>
                <a:pt x="82" y="56"/>
              </a:lnTo>
              <a:lnTo>
                <a:pt x="71" y="62"/>
              </a:lnTo>
              <a:lnTo>
                <a:pt x="61" y="65"/>
              </a:lnTo>
              <a:lnTo>
                <a:pt x="49" y="65"/>
              </a:lnTo>
              <a:lnTo>
                <a:pt x="38" y="64"/>
              </a:lnTo>
              <a:lnTo>
                <a:pt x="26" y="60"/>
              </a:lnTo>
              <a:lnTo>
                <a:pt x="17" y="53"/>
              </a:lnTo>
              <a:lnTo>
                <a:pt x="9" y="44"/>
              </a:lnTo>
              <a:lnTo>
                <a:pt x="3" y="34"/>
              </a:lnTo>
              <a:lnTo>
                <a:pt x="0" y="23"/>
              </a:lnTo>
              <a:lnTo>
                <a:pt x="0" y="12"/>
              </a:lnTo>
              <a:lnTo>
                <a:pt x="1" y="0"/>
              </a:lnTo>
              <a:lnTo>
                <a:pt x="51" y="1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342900</xdr:colOff>
      <xdr:row>34</xdr:row>
      <xdr:rowOff>28575</xdr:rowOff>
    </xdr:from>
    <xdr:to>
      <xdr:col>17</xdr:col>
      <xdr:colOff>47625</xdr:colOff>
      <xdr:row>34</xdr:row>
      <xdr:rowOff>66675</xdr:rowOff>
    </xdr:to>
    <xdr:sp macro="" textlink="">
      <xdr:nvSpPr>
        <xdr:cNvPr id="13117" name="Freeform 163">
          <a:extLst>
            <a:ext uri="{FF2B5EF4-FFF2-40B4-BE49-F238E27FC236}">
              <a16:creationId xmlns:a16="http://schemas.microsoft.com/office/drawing/2014/main" id="{00000000-0008-0000-0A00-00003D330000}"/>
            </a:ext>
          </a:extLst>
        </xdr:cNvPr>
        <xdr:cNvSpPr>
          <a:spLocks noChangeAspect="1"/>
        </xdr:cNvSpPr>
      </xdr:nvSpPr>
      <xdr:spPr bwMode="auto">
        <a:xfrm>
          <a:off x="9048750" y="6000750"/>
          <a:ext cx="123825" cy="38100"/>
        </a:xfrm>
        <a:custGeom>
          <a:avLst/>
          <a:gdLst>
            <a:gd name="T0" fmla="*/ 0 w 102"/>
            <a:gd name="T1" fmla="*/ 0 h 65"/>
            <a:gd name="T2" fmla="*/ 0 w 102"/>
            <a:gd name="T3" fmla="*/ 0 h 65"/>
            <a:gd name="T4" fmla="*/ 0 w 102"/>
            <a:gd name="T5" fmla="*/ 0 h 65"/>
            <a:gd name="T6" fmla="*/ 0 w 102"/>
            <a:gd name="T7" fmla="*/ 0 h 65"/>
            <a:gd name="T8" fmla="*/ 0 w 102"/>
            <a:gd name="T9" fmla="*/ 0 h 65"/>
            <a:gd name="T10" fmla="*/ 0 w 102"/>
            <a:gd name="T11" fmla="*/ 0 h 65"/>
            <a:gd name="T12" fmla="*/ 0 w 102"/>
            <a:gd name="T13" fmla="*/ 0 h 65"/>
            <a:gd name="T14" fmla="*/ 0 w 102"/>
            <a:gd name="T15" fmla="*/ 0 h 65"/>
            <a:gd name="T16" fmla="*/ 0 w 102"/>
            <a:gd name="T17" fmla="*/ 0 h 65"/>
            <a:gd name="T18" fmla="*/ 0 w 102"/>
            <a:gd name="T19" fmla="*/ 0 h 65"/>
            <a:gd name="T20" fmla="*/ 0 w 102"/>
            <a:gd name="T21" fmla="*/ 0 h 65"/>
            <a:gd name="T22" fmla="*/ 0 w 102"/>
            <a:gd name="T23" fmla="*/ 0 h 65"/>
            <a:gd name="T24" fmla="*/ 0 w 102"/>
            <a:gd name="T25" fmla="*/ 0 h 65"/>
            <a:gd name="T26" fmla="*/ 0 w 102"/>
            <a:gd name="T27" fmla="*/ 0 h 65"/>
            <a:gd name="T28" fmla="*/ 0 w 102"/>
            <a:gd name="T29" fmla="*/ 0 h 65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2"/>
            <a:gd name="T46" fmla="*/ 0 h 65"/>
            <a:gd name="T47" fmla="*/ 102 w 102"/>
            <a:gd name="T48" fmla="*/ 65 h 65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2" h="65">
              <a:moveTo>
                <a:pt x="102" y="27"/>
              </a:moveTo>
              <a:lnTo>
                <a:pt x="98" y="39"/>
              </a:lnTo>
              <a:lnTo>
                <a:pt x="90" y="48"/>
              </a:lnTo>
              <a:lnTo>
                <a:pt x="82" y="56"/>
              </a:lnTo>
              <a:lnTo>
                <a:pt x="71" y="62"/>
              </a:lnTo>
              <a:lnTo>
                <a:pt x="61" y="65"/>
              </a:lnTo>
              <a:lnTo>
                <a:pt x="49" y="65"/>
              </a:lnTo>
              <a:lnTo>
                <a:pt x="38" y="64"/>
              </a:lnTo>
              <a:lnTo>
                <a:pt x="26" y="60"/>
              </a:lnTo>
              <a:lnTo>
                <a:pt x="17" y="53"/>
              </a:lnTo>
              <a:lnTo>
                <a:pt x="9" y="44"/>
              </a:lnTo>
              <a:lnTo>
                <a:pt x="3" y="34"/>
              </a:lnTo>
              <a:lnTo>
                <a:pt x="0" y="23"/>
              </a:lnTo>
              <a:lnTo>
                <a:pt x="0" y="12"/>
              </a:lnTo>
              <a:lnTo>
                <a:pt x="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28575</xdr:colOff>
      <xdr:row>31</xdr:row>
      <xdr:rowOff>142875</xdr:rowOff>
    </xdr:from>
    <xdr:to>
      <xdr:col>17</xdr:col>
      <xdr:colOff>123825</xdr:colOff>
      <xdr:row>33</xdr:row>
      <xdr:rowOff>114300</xdr:rowOff>
    </xdr:to>
    <xdr:sp macro="" textlink="">
      <xdr:nvSpPr>
        <xdr:cNvPr id="13118" name="Freeform 164">
          <a:extLst>
            <a:ext uri="{FF2B5EF4-FFF2-40B4-BE49-F238E27FC236}">
              <a16:creationId xmlns:a16="http://schemas.microsoft.com/office/drawing/2014/main" id="{00000000-0008-0000-0A00-00003E330000}"/>
            </a:ext>
          </a:extLst>
        </xdr:cNvPr>
        <xdr:cNvSpPr>
          <a:spLocks noChangeAspect="1"/>
        </xdr:cNvSpPr>
      </xdr:nvSpPr>
      <xdr:spPr bwMode="auto">
        <a:xfrm>
          <a:off x="9153525" y="5629275"/>
          <a:ext cx="95250" cy="295275"/>
        </a:xfrm>
        <a:custGeom>
          <a:avLst/>
          <a:gdLst>
            <a:gd name="T0" fmla="*/ 0 w 404"/>
            <a:gd name="T1" fmla="*/ 2147483647 h 1115"/>
            <a:gd name="T2" fmla="*/ 0 w 404"/>
            <a:gd name="T3" fmla="*/ 2147483647 h 1115"/>
            <a:gd name="T4" fmla="*/ 0 w 404"/>
            <a:gd name="T5" fmla="*/ 2147483647 h 1115"/>
            <a:gd name="T6" fmla="*/ 0 w 404"/>
            <a:gd name="T7" fmla="*/ 0 h 1115"/>
            <a:gd name="T8" fmla="*/ 0 w 404"/>
            <a:gd name="T9" fmla="*/ 0 h 1115"/>
            <a:gd name="T10" fmla="*/ 0 w 404"/>
            <a:gd name="T11" fmla="*/ 0 h 1115"/>
            <a:gd name="T12" fmla="*/ 0 w 404"/>
            <a:gd name="T13" fmla="*/ 2147483647 h 1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04"/>
            <a:gd name="T22" fmla="*/ 0 h 1115"/>
            <a:gd name="T23" fmla="*/ 404 w 404"/>
            <a:gd name="T24" fmla="*/ 1115 h 111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04" h="1115">
              <a:moveTo>
                <a:pt x="0" y="1088"/>
              </a:moveTo>
              <a:lnTo>
                <a:pt x="50" y="1102"/>
              </a:lnTo>
              <a:lnTo>
                <a:pt x="101" y="1115"/>
              </a:lnTo>
              <a:lnTo>
                <a:pt x="404" y="28"/>
              </a:lnTo>
              <a:lnTo>
                <a:pt x="354" y="14"/>
              </a:lnTo>
              <a:lnTo>
                <a:pt x="303" y="0"/>
              </a:lnTo>
              <a:lnTo>
                <a:pt x="0" y="1088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123825</xdr:colOff>
      <xdr:row>31</xdr:row>
      <xdr:rowOff>66675</xdr:rowOff>
    </xdr:from>
    <xdr:to>
      <xdr:col>17</xdr:col>
      <xdr:colOff>171450</xdr:colOff>
      <xdr:row>31</xdr:row>
      <xdr:rowOff>104775</xdr:rowOff>
    </xdr:to>
    <xdr:sp macro="" textlink="">
      <xdr:nvSpPr>
        <xdr:cNvPr id="13119" name="Freeform 165">
          <a:extLst>
            <a:ext uri="{FF2B5EF4-FFF2-40B4-BE49-F238E27FC236}">
              <a16:creationId xmlns:a16="http://schemas.microsoft.com/office/drawing/2014/main" id="{00000000-0008-0000-0A00-00003F330000}"/>
            </a:ext>
          </a:extLst>
        </xdr:cNvPr>
        <xdr:cNvSpPr>
          <a:spLocks noChangeAspect="1"/>
        </xdr:cNvSpPr>
      </xdr:nvSpPr>
      <xdr:spPr bwMode="auto">
        <a:xfrm>
          <a:off x="9248775" y="5553075"/>
          <a:ext cx="47625" cy="38100"/>
        </a:xfrm>
        <a:custGeom>
          <a:avLst/>
          <a:gdLst>
            <a:gd name="T0" fmla="*/ 0 w 102"/>
            <a:gd name="T1" fmla="*/ 0 h 66"/>
            <a:gd name="T2" fmla="*/ 0 w 102"/>
            <a:gd name="T3" fmla="*/ 0 h 66"/>
            <a:gd name="T4" fmla="*/ 0 w 102"/>
            <a:gd name="T5" fmla="*/ 0 h 66"/>
            <a:gd name="T6" fmla="*/ 0 w 102"/>
            <a:gd name="T7" fmla="*/ 0 h 66"/>
            <a:gd name="T8" fmla="*/ 0 w 102"/>
            <a:gd name="T9" fmla="*/ 0 h 66"/>
            <a:gd name="T10" fmla="*/ 0 w 102"/>
            <a:gd name="T11" fmla="*/ 0 h 66"/>
            <a:gd name="T12" fmla="*/ 0 w 102"/>
            <a:gd name="T13" fmla="*/ 0 h 66"/>
            <a:gd name="T14" fmla="*/ 0 w 102"/>
            <a:gd name="T15" fmla="*/ 0 h 66"/>
            <a:gd name="T16" fmla="*/ 0 w 102"/>
            <a:gd name="T17" fmla="*/ 0 h 66"/>
            <a:gd name="T18" fmla="*/ 0 w 102"/>
            <a:gd name="T19" fmla="*/ 0 h 66"/>
            <a:gd name="T20" fmla="*/ 0 w 102"/>
            <a:gd name="T21" fmla="*/ 0 h 66"/>
            <a:gd name="T22" fmla="*/ 0 w 102"/>
            <a:gd name="T23" fmla="*/ 0 h 66"/>
            <a:gd name="T24" fmla="*/ 0 w 102"/>
            <a:gd name="T25" fmla="*/ 0 h 66"/>
            <a:gd name="T26" fmla="*/ 0 w 102"/>
            <a:gd name="T27" fmla="*/ 0 h 66"/>
            <a:gd name="T28" fmla="*/ 0 w 102"/>
            <a:gd name="T29" fmla="*/ 0 h 66"/>
            <a:gd name="T30" fmla="*/ 0 w 102"/>
            <a:gd name="T31" fmla="*/ 0 h 66"/>
            <a:gd name="T32" fmla="*/ 0 w 102"/>
            <a:gd name="T33" fmla="*/ 0 h 6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2"/>
            <a:gd name="T52" fmla="*/ 0 h 66"/>
            <a:gd name="T53" fmla="*/ 102 w 102"/>
            <a:gd name="T54" fmla="*/ 66 h 66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2" h="66">
              <a:moveTo>
                <a:pt x="51" y="52"/>
              </a:moveTo>
              <a:lnTo>
                <a:pt x="0" y="38"/>
              </a:lnTo>
              <a:lnTo>
                <a:pt x="5" y="27"/>
              </a:lnTo>
              <a:lnTo>
                <a:pt x="12" y="17"/>
              </a:lnTo>
              <a:lnTo>
                <a:pt x="20" y="10"/>
              </a:lnTo>
              <a:lnTo>
                <a:pt x="31" y="4"/>
              </a:lnTo>
              <a:lnTo>
                <a:pt x="41" y="0"/>
              </a:lnTo>
              <a:lnTo>
                <a:pt x="53" y="0"/>
              </a:lnTo>
              <a:lnTo>
                <a:pt x="65" y="2"/>
              </a:lnTo>
              <a:lnTo>
                <a:pt x="76" y="6"/>
              </a:lnTo>
              <a:lnTo>
                <a:pt x="86" y="13"/>
              </a:lnTo>
              <a:lnTo>
                <a:pt x="93" y="21"/>
              </a:lnTo>
              <a:lnTo>
                <a:pt x="99" y="32"/>
              </a:lnTo>
              <a:lnTo>
                <a:pt x="102" y="42"/>
              </a:lnTo>
              <a:lnTo>
                <a:pt x="102" y="54"/>
              </a:lnTo>
              <a:lnTo>
                <a:pt x="101" y="66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123825</xdr:colOff>
      <xdr:row>31</xdr:row>
      <xdr:rowOff>66675</xdr:rowOff>
    </xdr:from>
    <xdr:to>
      <xdr:col>17</xdr:col>
      <xdr:colOff>171450</xdr:colOff>
      <xdr:row>31</xdr:row>
      <xdr:rowOff>104775</xdr:rowOff>
    </xdr:to>
    <xdr:sp macro="" textlink="">
      <xdr:nvSpPr>
        <xdr:cNvPr id="13120" name="Freeform 166">
          <a:extLst>
            <a:ext uri="{FF2B5EF4-FFF2-40B4-BE49-F238E27FC236}">
              <a16:creationId xmlns:a16="http://schemas.microsoft.com/office/drawing/2014/main" id="{00000000-0008-0000-0A00-000040330000}"/>
            </a:ext>
          </a:extLst>
        </xdr:cNvPr>
        <xdr:cNvSpPr>
          <a:spLocks noChangeAspect="1"/>
        </xdr:cNvSpPr>
      </xdr:nvSpPr>
      <xdr:spPr bwMode="auto">
        <a:xfrm>
          <a:off x="9248775" y="5553075"/>
          <a:ext cx="47625" cy="38100"/>
        </a:xfrm>
        <a:custGeom>
          <a:avLst/>
          <a:gdLst>
            <a:gd name="T0" fmla="*/ 0 w 102"/>
            <a:gd name="T1" fmla="*/ 0 h 66"/>
            <a:gd name="T2" fmla="*/ 0 w 102"/>
            <a:gd name="T3" fmla="*/ 0 h 66"/>
            <a:gd name="T4" fmla="*/ 0 w 102"/>
            <a:gd name="T5" fmla="*/ 0 h 66"/>
            <a:gd name="T6" fmla="*/ 0 w 102"/>
            <a:gd name="T7" fmla="*/ 0 h 66"/>
            <a:gd name="T8" fmla="*/ 0 w 102"/>
            <a:gd name="T9" fmla="*/ 0 h 66"/>
            <a:gd name="T10" fmla="*/ 0 w 102"/>
            <a:gd name="T11" fmla="*/ 0 h 66"/>
            <a:gd name="T12" fmla="*/ 0 w 102"/>
            <a:gd name="T13" fmla="*/ 0 h 66"/>
            <a:gd name="T14" fmla="*/ 0 w 102"/>
            <a:gd name="T15" fmla="*/ 0 h 66"/>
            <a:gd name="T16" fmla="*/ 0 w 102"/>
            <a:gd name="T17" fmla="*/ 0 h 66"/>
            <a:gd name="T18" fmla="*/ 0 w 102"/>
            <a:gd name="T19" fmla="*/ 0 h 66"/>
            <a:gd name="T20" fmla="*/ 0 w 102"/>
            <a:gd name="T21" fmla="*/ 0 h 66"/>
            <a:gd name="T22" fmla="*/ 0 w 102"/>
            <a:gd name="T23" fmla="*/ 0 h 66"/>
            <a:gd name="T24" fmla="*/ 0 w 102"/>
            <a:gd name="T25" fmla="*/ 0 h 66"/>
            <a:gd name="T26" fmla="*/ 0 w 102"/>
            <a:gd name="T27" fmla="*/ 0 h 66"/>
            <a:gd name="T28" fmla="*/ 0 w 102"/>
            <a:gd name="T29" fmla="*/ 0 h 6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2"/>
            <a:gd name="T46" fmla="*/ 0 h 66"/>
            <a:gd name="T47" fmla="*/ 102 w 102"/>
            <a:gd name="T48" fmla="*/ 66 h 66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2" h="66">
              <a:moveTo>
                <a:pt x="0" y="38"/>
              </a:moveTo>
              <a:lnTo>
                <a:pt x="5" y="27"/>
              </a:lnTo>
              <a:lnTo>
                <a:pt x="12" y="17"/>
              </a:lnTo>
              <a:lnTo>
                <a:pt x="20" y="10"/>
              </a:lnTo>
              <a:lnTo>
                <a:pt x="31" y="4"/>
              </a:lnTo>
              <a:lnTo>
                <a:pt x="41" y="0"/>
              </a:lnTo>
              <a:lnTo>
                <a:pt x="53" y="0"/>
              </a:lnTo>
              <a:lnTo>
                <a:pt x="65" y="2"/>
              </a:lnTo>
              <a:lnTo>
                <a:pt x="76" y="6"/>
              </a:lnTo>
              <a:lnTo>
                <a:pt x="86" y="13"/>
              </a:lnTo>
              <a:lnTo>
                <a:pt x="93" y="21"/>
              </a:lnTo>
              <a:lnTo>
                <a:pt x="99" y="32"/>
              </a:lnTo>
              <a:lnTo>
                <a:pt x="102" y="42"/>
              </a:lnTo>
              <a:lnTo>
                <a:pt x="102" y="54"/>
              </a:lnTo>
              <a:lnTo>
                <a:pt x="101" y="66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123825</xdr:colOff>
      <xdr:row>31</xdr:row>
      <xdr:rowOff>85725</xdr:rowOff>
    </xdr:from>
    <xdr:to>
      <xdr:col>17</xdr:col>
      <xdr:colOff>171450</xdr:colOff>
      <xdr:row>31</xdr:row>
      <xdr:rowOff>104775</xdr:rowOff>
    </xdr:to>
    <xdr:sp macro="" textlink="">
      <xdr:nvSpPr>
        <xdr:cNvPr id="13121" name="Freeform 167">
          <a:extLst>
            <a:ext uri="{FF2B5EF4-FFF2-40B4-BE49-F238E27FC236}">
              <a16:creationId xmlns:a16="http://schemas.microsoft.com/office/drawing/2014/main" id="{00000000-0008-0000-0A00-000041330000}"/>
            </a:ext>
          </a:extLst>
        </xdr:cNvPr>
        <xdr:cNvSpPr>
          <a:spLocks noChangeAspect="1"/>
        </xdr:cNvSpPr>
      </xdr:nvSpPr>
      <xdr:spPr bwMode="auto">
        <a:xfrm>
          <a:off x="9248775" y="5572125"/>
          <a:ext cx="47625" cy="19050"/>
        </a:xfrm>
        <a:custGeom>
          <a:avLst/>
          <a:gdLst>
            <a:gd name="T0" fmla="*/ 0 w 96"/>
            <a:gd name="T1" fmla="*/ 0 h 78"/>
            <a:gd name="T2" fmla="*/ 0 w 96"/>
            <a:gd name="T3" fmla="*/ 0 h 78"/>
            <a:gd name="T4" fmla="*/ 0 w 96"/>
            <a:gd name="T5" fmla="*/ 0 h 78"/>
            <a:gd name="T6" fmla="*/ 0 w 96"/>
            <a:gd name="T7" fmla="*/ 0 h 78"/>
            <a:gd name="T8" fmla="*/ 0 w 96"/>
            <a:gd name="T9" fmla="*/ 0 h 78"/>
            <a:gd name="T10" fmla="*/ 0 w 96"/>
            <a:gd name="T11" fmla="*/ 0 h 78"/>
            <a:gd name="T12" fmla="*/ 0 w 96"/>
            <a:gd name="T13" fmla="*/ 0 h 78"/>
            <a:gd name="T14" fmla="*/ 0 w 96"/>
            <a:gd name="T15" fmla="*/ 0 h 78"/>
            <a:gd name="T16" fmla="*/ 0 w 96"/>
            <a:gd name="T17" fmla="*/ 0 h 78"/>
            <a:gd name="T18" fmla="*/ 0 w 96"/>
            <a:gd name="T19" fmla="*/ 0 h 78"/>
            <a:gd name="T20" fmla="*/ 0 w 96"/>
            <a:gd name="T21" fmla="*/ 0 h 78"/>
            <a:gd name="T22" fmla="*/ 0 w 96"/>
            <a:gd name="T23" fmla="*/ 0 h 78"/>
            <a:gd name="T24" fmla="*/ 0 w 96"/>
            <a:gd name="T25" fmla="*/ 0 h 78"/>
            <a:gd name="T26" fmla="*/ 0 w 96"/>
            <a:gd name="T27" fmla="*/ 0 h 78"/>
            <a:gd name="T28" fmla="*/ 0 w 96"/>
            <a:gd name="T29" fmla="*/ 0 h 78"/>
            <a:gd name="T30" fmla="*/ 0 w 96"/>
            <a:gd name="T31" fmla="*/ 0 h 78"/>
            <a:gd name="T32" fmla="*/ 0 w 96"/>
            <a:gd name="T33" fmla="*/ 0 h 78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96"/>
            <a:gd name="T52" fmla="*/ 0 h 78"/>
            <a:gd name="T53" fmla="*/ 96 w 96"/>
            <a:gd name="T54" fmla="*/ 78 h 78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96" h="78">
              <a:moveTo>
                <a:pt x="52" y="27"/>
              </a:moveTo>
              <a:lnTo>
                <a:pt x="96" y="54"/>
              </a:lnTo>
              <a:lnTo>
                <a:pt x="89" y="64"/>
              </a:lnTo>
              <a:lnTo>
                <a:pt x="80" y="71"/>
              </a:lnTo>
              <a:lnTo>
                <a:pt x="70" y="76"/>
              </a:lnTo>
              <a:lnTo>
                <a:pt x="58" y="78"/>
              </a:lnTo>
              <a:lnTo>
                <a:pt x="47" y="78"/>
              </a:lnTo>
              <a:lnTo>
                <a:pt x="35" y="76"/>
              </a:lnTo>
              <a:lnTo>
                <a:pt x="25" y="71"/>
              </a:lnTo>
              <a:lnTo>
                <a:pt x="15" y="64"/>
              </a:lnTo>
              <a:lnTo>
                <a:pt x="8" y="55"/>
              </a:lnTo>
              <a:lnTo>
                <a:pt x="3" y="45"/>
              </a:lnTo>
              <a:lnTo>
                <a:pt x="0" y="33"/>
              </a:lnTo>
              <a:lnTo>
                <a:pt x="0" y="22"/>
              </a:lnTo>
              <a:lnTo>
                <a:pt x="3" y="10"/>
              </a:lnTo>
              <a:lnTo>
                <a:pt x="8" y="0"/>
              </a:lnTo>
              <a:lnTo>
                <a:pt x="52" y="27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123825</xdr:colOff>
      <xdr:row>31</xdr:row>
      <xdr:rowOff>85725</xdr:rowOff>
    </xdr:from>
    <xdr:to>
      <xdr:col>17</xdr:col>
      <xdr:colOff>171450</xdr:colOff>
      <xdr:row>31</xdr:row>
      <xdr:rowOff>104775</xdr:rowOff>
    </xdr:to>
    <xdr:sp macro="" textlink="">
      <xdr:nvSpPr>
        <xdr:cNvPr id="13122" name="Freeform 168">
          <a:extLst>
            <a:ext uri="{FF2B5EF4-FFF2-40B4-BE49-F238E27FC236}">
              <a16:creationId xmlns:a16="http://schemas.microsoft.com/office/drawing/2014/main" id="{00000000-0008-0000-0A00-000042330000}"/>
            </a:ext>
          </a:extLst>
        </xdr:cNvPr>
        <xdr:cNvSpPr>
          <a:spLocks noChangeAspect="1"/>
        </xdr:cNvSpPr>
      </xdr:nvSpPr>
      <xdr:spPr bwMode="auto">
        <a:xfrm>
          <a:off x="9248775" y="5572125"/>
          <a:ext cx="47625" cy="19050"/>
        </a:xfrm>
        <a:custGeom>
          <a:avLst/>
          <a:gdLst>
            <a:gd name="T0" fmla="*/ 0 w 96"/>
            <a:gd name="T1" fmla="*/ 0 h 78"/>
            <a:gd name="T2" fmla="*/ 0 w 96"/>
            <a:gd name="T3" fmla="*/ 0 h 78"/>
            <a:gd name="T4" fmla="*/ 0 w 96"/>
            <a:gd name="T5" fmla="*/ 0 h 78"/>
            <a:gd name="T6" fmla="*/ 0 w 96"/>
            <a:gd name="T7" fmla="*/ 0 h 78"/>
            <a:gd name="T8" fmla="*/ 0 w 96"/>
            <a:gd name="T9" fmla="*/ 0 h 78"/>
            <a:gd name="T10" fmla="*/ 0 w 96"/>
            <a:gd name="T11" fmla="*/ 0 h 78"/>
            <a:gd name="T12" fmla="*/ 0 w 96"/>
            <a:gd name="T13" fmla="*/ 0 h 78"/>
            <a:gd name="T14" fmla="*/ 0 w 96"/>
            <a:gd name="T15" fmla="*/ 0 h 78"/>
            <a:gd name="T16" fmla="*/ 0 w 96"/>
            <a:gd name="T17" fmla="*/ 0 h 78"/>
            <a:gd name="T18" fmla="*/ 0 w 96"/>
            <a:gd name="T19" fmla="*/ 0 h 78"/>
            <a:gd name="T20" fmla="*/ 0 w 96"/>
            <a:gd name="T21" fmla="*/ 0 h 78"/>
            <a:gd name="T22" fmla="*/ 0 w 96"/>
            <a:gd name="T23" fmla="*/ 0 h 78"/>
            <a:gd name="T24" fmla="*/ 0 w 96"/>
            <a:gd name="T25" fmla="*/ 0 h 78"/>
            <a:gd name="T26" fmla="*/ 0 w 96"/>
            <a:gd name="T27" fmla="*/ 0 h 78"/>
            <a:gd name="T28" fmla="*/ 0 w 96"/>
            <a:gd name="T29" fmla="*/ 0 h 78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96"/>
            <a:gd name="T46" fmla="*/ 0 h 78"/>
            <a:gd name="T47" fmla="*/ 96 w 96"/>
            <a:gd name="T48" fmla="*/ 78 h 78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96" h="78">
              <a:moveTo>
                <a:pt x="96" y="54"/>
              </a:moveTo>
              <a:lnTo>
                <a:pt x="89" y="64"/>
              </a:lnTo>
              <a:lnTo>
                <a:pt x="80" y="71"/>
              </a:lnTo>
              <a:lnTo>
                <a:pt x="70" y="76"/>
              </a:lnTo>
              <a:lnTo>
                <a:pt x="58" y="78"/>
              </a:lnTo>
              <a:lnTo>
                <a:pt x="47" y="78"/>
              </a:lnTo>
              <a:lnTo>
                <a:pt x="35" y="76"/>
              </a:lnTo>
              <a:lnTo>
                <a:pt x="25" y="71"/>
              </a:lnTo>
              <a:lnTo>
                <a:pt x="15" y="64"/>
              </a:lnTo>
              <a:lnTo>
                <a:pt x="8" y="55"/>
              </a:lnTo>
              <a:lnTo>
                <a:pt x="3" y="45"/>
              </a:lnTo>
              <a:lnTo>
                <a:pt x="0" y="33"/>
              </a:lnTo>
              <a:lnTo>
                <a:pt x="0" y="22"/>
              </a:lnTo>
              <a:lnTo>
                <a:pt x="3" y="10"/>
              </a:lnTo>
              <a:lnTo>
                <a:pt x="8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123825</xdr:colOff>
      <xdr:row>30</xdr:row>
      <xdr:rowOff>47625</xdr:rowOff>
    </xdr:from>
    <xdr:to>
      <xdr:col>17</xdr:col>
      <xdr:colOff>266700</xdr:colOff>
      <xdr:row>31</xdr:row>
      <xdr:rowOff>85725</xdr:rowOff>
    </xdr:to>
    <xdr:sp macro="" textlink="">
      <xdr:nvSpPr>
        <xdr:cNvPr id="13123" name="Freeform 169">
          <a:extLst>
            <a:ext uri="{FF2B5EF4-FFF2-40B4-BE49-F238E27FC236}">
              <a16:creationId xmlns:a16="http://schemas.microsoft.com/office/drawing/2014/main" id="{00000000-0008-0000-0A00-000043330000}"/>
            </a:ext>
          </a:extLst>
        </xdr:cNvPr>
        <xdr:cNvSpPr>
          <a:spLocks noChangeAspect="1"/>
        </xdr:cNvSpPr>
      </xdr:nvSpPr>
      <xdr:spPr bwMode="auto">
        <a:xfrm>
          <a:off x="9248775" y="5372100"/>
          <a:ext cx="142875" cy="200025"/>
        </a:xfrm>
        <a:custGeom>
          <a:avLst/>
          <a:gdLst>
            <a:gd name="T0" fmla="*/ 0 w 344"/>
            <a:gd name="T1" fmla="*/ 2147483647 h 467"/>
            <a:gd name="T2" fmla="*/ 0 w 344"/>
            <a:gd name="T3" fmla="*/ 2147483647 h 467"/>
            <a:gd name="T4" fmla="*/ 0 w 344"/>
            <a:gd name="T5" fmla="*/ 2147483647 h 467"/>
            <a:gd name="T6" fmla="*/ 2147483647 w 344"/>
            <a:gd name="T7" fmla="*/ 0 h 467"/>
            <a:gd name="T8" fmla="*/ 2147483647 w 344"/>
            <a:gd name="T9" fmla="*/ 0 h 467"/>
            <a:gd name="T10" fmla="*/ 2147483647 w 344"/>
            <a:gd name="T11" fmla="*/ 0 h 467"/>
            <a:gd name="T12" fmla="*/ 0 w 344"/>
            <a:gd name="T13" fmla="*/ 2147483647 h 46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4"/>
            <a:gd name="T22" fmla="*/ 0 h 467"/>
            <a:gd name="T23" fmla="*/ 344 w 344"/>
            <a:gd name="T24" fmla="*/ 467 h 46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4" h="467">
              <a:moveTo>
                <a:pt x="0" y="413"/>
              </a:moveTo>
              <a:lnTo>
                <a:pt x="44" y="440"/>
              </a:lnTo>
              <a:lnTo>
                <a:pt x="88" y="467"/>
              </a:lnTo>
              <a:lnTo>
                <a:pt x="344" y="55"/>
              </a:lnTo>
              <a:lnTo>
                <a:pt x="300" y="27"/>
              </a:lnTo>
              <a:lnTo>
                <a:pt x="256" y="0"/>
              </a:lnTo>
              <a:lnTo>
                <a:pt x="0" y="41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123825</xdr:colOff>
      <xdr:row>30</xdr:row>
      <xdr:rowOff>47625</xdr:rowOff>
    </xdr:from>
    <xdr:to>
      <xdr:col>17</xdr:col>
      <xdr:colOff>266700</xdr:colOff>
      <xdr:row>31</xdr:row>
      <xdr:rowOff>85725</xdr:rowOff>
    </xdr:to>
    <xdr:sp macro="" textlink="">
      <xdr:nvSpPr>
        <xdr:cNvPr id="13124" name="Freeform 170">
          <a:extLst>
            <a:ext uri="{FF2B5EF4-FFF2-40B4-BE49-F238E27FC236}">
              <a16:creationId xmlns:a16="http://schemas.microsoft.com/office/drawing/2014/main" id="{00000000-0008-0000-0A00-000044330000}"/>
            </a:ext>
          </a:extLst>
        </xdr:cNvPr>
        <xdr:cNvSpPr>
          <a:spLocks noChangeAspect="1"/>
        </xdr:cNvSpPr>
      </xdr:nvSpPr>
      <xdr:spPr bwMode="auto">
        <a:xfrm>
          <a:off x="9248775" y="5372100"/>
          <a:ext cx="142875" cy="200025"/>
        </a:xfrm>
        <a:custGeom>
          <a:avLst/>
          <a:gdLst>
            <a:gd name="T0" fmla="*/ 0 w 344"/>
            <a:gd name="T1" fmla="*/ 2147483647 h 467"/>
            <a:gd name="T2" fmla="*/ 0 w 344"/>
            <a:gd name="T3" fmla="*/ 2147483647 h 467"/>
            <a:gd name="T4" fmla="*/ 0 w 344"/>
            <a:gd name="T5" fmla="*/ 2147483647 h 467"/>
            <a:gd name="T6" fmla="*/ 2147483647 w 344"/>
            <a:gd name="T7" fmla="*/ 0 h 467"/>
            <a:gd name="T8" fmla="*/ 2147483647 w 344"/>
            <a:gd name="T9" fmla="*/ 0 h 467"/>
            <a:gd name="T10" fmla="*/ 2147483647 w 344"/>
            <a:gd name="T11" fmla="*/ 0 h 467"/>
            <a:gd name="T12" fmla="*/ 0 w 344"/>
            <a:gd name="T13" fmla="*/ 2147483647 h 46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4"/>
            <a:gd name="T22" fmla="*/ 0 h 467"/>
            <a:gd name="T23" fmla="*/ 344 w 344"/>
            <a:gd name="T24" fmla="*/ 467 h 46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4" h="467">
              <a:moveTo>
                <a:pt x="0" y="413"/>
              </a:moveTo>
              <a:lnTo>
                <a:pt x="44" y="440"/>
              </a:lnTo>
              <a:lnTo>
                <a:pt x="88" y="467"/>
              </a:lnTo>
              <a:lnTo>
                <a:pt x="344" y="55"/>
              </a:lnTo>
              <a:lnTo>
                <a:pt x="300" y="27"/>
              </a:lnTo>
              <a:lnTo>
                <a:pt x="256" y="0"/>
              </a:lnTo>
              <a:lnTo>
                <a:pt x="0" y="413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247650</xdr:colOff>
      <xdr:row>30</xdr:row>
      <xdr:rowOff>47625</xdr:rowOff>
    </xdr:from>
    <xdr:to>
      <xdr:col>17</xdr:col>
      <xdr:colOff>285750</xdr:colOff>
      <xdr:row>30</xdr:row>
      <xdr:rowOff>76200</xdr:rowOff>
    </xdr:to>
    <xdr:sp macro="" textlink="">
      <xdr:nvSpPr>
        <xdr:cNvPr id="13125" name="Freeform 171">
          <a:extLst>
            <a:ext uri="{FF2B5EF4-FFF2-40B4-BE49-F238E27FC236}">
              <a16:creationId xmlns:a16="http://schemas.microsoft.com/office/drawing/2014/main" id="{00000000-0008-0000-0A00-000045330000}"/>
            </a:ext>
          </a:extLst>
        </xdr:cNvPr>
        <xdr:cNvSpPr>
          <a:spLocks noChangeAspect="1"/>
        </xdr:cNvSpPr>
      </xdr:nvSpPr>
      <xdr:spPr bwMode="auto">
        <a:xfrm>
          <a:off x="9372600" y="5372100"/>
          <a:ext cx="38100" cy="28575"/>
        </a:xfrm>
        <a:custGeom>
          <a:avLst/>
          <a:gdLst>
            <a:gd name="T0" fmla="*/ 0 w 96"/>
            <a:gd name="T1" fmla="*/ 0 h 79"/>
            <a:gd name="T2" fmla="*/ 0 w 96"/>
            <a:gd name="T3" fmla="*/ 0 h 79"/>
            <a:gd name="T4" fmla="*/ 0 w 96"/>
            <a:gd name="T5" fmla="*/ 0 h 79"/>
            <a:gd name="T6" fmla="*/ 0 w 96"/>
            <a:gd name="T7" fmla="*/ 0 h 79"/>
            <a:gd name="T8" fmla="*/ 0 w 96"/>
            <a:gd name="T9" fmla="*/ 0 h 79"/>
            <a:gd name="T10" fmla="*/ 0 w 96"/>
            <a:gd name="T11" fmla="*/ 0 h 79"/>
            <a:gd name="T12" fmla="*/ 0 w 96"/>
            <a:gd name="T13" fmla="*/ 0 h 79"/>
            <a:gd name="T14" fmla="*/ 0 w 96"/>
            <a:gd name="T15" fmla="*/ 0 h 79"/>
            <a:gd name="T16" fmla="*/ 0 w 96"/>
            <a:gd name="T17" fmla="*/ 0 h 79"/>
            <a:gd name="T18" fmla="*/ 0 w 96"/>
            <a:gd name="T19" fmla="*/ 0 h 79"/>
            <a:gd name="T20" fmla="*/ 0 w 96"/>
            <a:gd name="T21" fmla="*/ 0 h 79"/>
            <a:gd name="T22" fmla="*/ 0 w 96"/>
            <a:gd name="T23" fmla="*/ 0 h 79"/>
            <a:gd name="T24" fmla="*/ 0 w 96"/>
            <a:gd name="T25" fmla="*/ 0 h 79"/>
            <a:gd name="T26" fmla="*/ 0 w 96"/>
            <a:gd name="T27" fmla="*/ 0 h 79"/>
            <a:gd name="T28" fmla="*/ 0 w 96"/>
            <a:gd name="T29" fmla="*/ 0 h 79"/>
            <a:gd name="T30" fmla="*/ 0 w 96"/>
            <a:gd name="T31" fmla="*/ 0 h 79"/>
            <a:gd name="T32" fmla="*/ 0 w 96"/>
            <a:gd name="T33" fmla="*/ 0 h 79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96"/>
            <a:gd name="T52" fmla="*/ 0 h 79"/>
            <a:gd name="T53" fmla="*/ 96 w 96"/>
            <a:gd name="T54" fmla="*/ 79 h 79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96" h="79">
              <a:moveTo>
                <a:pt x="44" y="51"/>
              </a:moveTo>
              <a:lnTo>
                <a:pt x="0" y="24"/>
              </a:lnTo>
              <a:lnTo>
                <a:pt x="7" y="15"/>
              </a:lnTo>
              <a:lnTo>
                <a:pt x="16" y="7"/>
              </a:lnTo>
              <a:lnTo>
                <a:pt x="26" y="2"/>
              </a:lnTo>
              <a:lnTo>
                <a:pt x="38" y="0"/>
              </a:lnTo>
              <a:lnTo>
                <a:pt x="49" y="0"/>
              </a:lnTo>
              <a:lnTo>
                <a:pt x="61" y="2"/>
              </a:lnTo>
              <a:lnTo>
                <a:pt x="71" y="7"/>
              </a:lnTo>
              <a:lnTo>
                <a:pt x="81" y="15"/>
              </a:lnTo>
              <a:lnTo>
                <a:pt x="88" y="23"/>
              </a:lnTo>
              <a:lnTo>
                <a:pt x="93" y="33"/>
              </a:lnTo>
              <a:lnTo>
                <a:pt x="96" y="45"/>
              </a:lnTo>
              <a:lnTo>
                <a:pt x="96" y="57"/>
              </a:lnTo>
              <a:lnTo>
                <a:pt x="93" y="68"/>
              </a:lnTo>
              <a:lnTo>
                <a:pt x="88" y="79"/>
              </a:lnTo>
              <a:lnTo>
                <a:pt x="44" y="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247650</xdr:colOff>
      <xdr:row>30</xdr:row>
      <xdr:rowOff>47625</xdr:rowOff>
    </xdr:from>
    <xdr:to>
      <xdr:col>17</xdr:col>
      <xdr:colOff>285750</xdr:colOff>
      <xdr:row>30</xdr:row>
      <xdr:rowOff>76200</xdr:rowOff>
    </xdr:to>
    <xdr:sp macro="" textlink="">
      <xdr:nvSpPr>
        <xdr:cNvPr id="13126" name="Freeform 172">
          <a:extLst>
            <a:ext uri="{FF2B5EF4-FFF2-40B4-BE49-F238E27FC236}">
              <a16:creationId xmlns:a16="http://schemas.microsoft.com/office/drawing/2014/main" id="{00000000-0008-0000-0A00-000046330000}"/>
            </a:ext>
          </a:extLst>
        </xdr:cNvPr>
        <xdr:cNvSpPr>
          <a:spLocks noChangeAspect="1"/>
        </xdr:cNvSpPr>
      </xdr:nvSpPr>
      <xdr:spPr bwMode="auto">
        <a:xfrm>
          <a:off x="9372600" y="5372100"/>
          <a:ext cx="38100" cy="28575"/>
        </a:xfrm>
        <a:custGeom>
          <a:avLst/>
          <a:gdLst>
            <a:gd name="T0" fmla="*/ 0 w 96"/>
            <a:gd name="T1" fmla="*/ 0 h 79"/>
            <a:gd name="T2" fmla="*/ 0 w 96"/>
            <a:gd name="T3" fmla="*/ 0 h 79"/>
            <a:gd name="T4" fmla="*/ 0 w 96"/>
            <a:gd name="T5" fmla="*/ 0 h 79"/>
            <a:gd name="T6" fmla="*/ 0 w 96"/>
            <a:gd name="T7" fmla="*/ 0 h 79"/>
            <a:gd name="T8" fmla="*/ 0 w 96"/>
            <a:gd name="T9" fmla="*/ 0 h 79"/>
            <a:gd name="T10" fmla="*/ 0 w 96"/>
            <a:gd name="T11" fmla="*/ 0 h 79"/>
            <a:gd name="T12" fmla="*/ 0 w 96"/>
            <a:gd name="T13" fmla="*/ 0 h 79"/>
            <a:gd name="T14" fmla="*/ 0 w 96"/>
            <a:gd name="T15" fmla="*/ 0 h 79"/>
            <a:gd name="T16" fmla="*/ 0 w 96"/>
            <a:gd name="T17" fmla="*/ 0 h 79"/>
            <a:gd name="T18" fmla="*/ 0 w 96"/>
            <a:gd name="T19" fmla="*/ 0 h 79"/>
            <a:gd name="T20" fmla="*/ 0 w 96"/>
            <a:gd name="T21" fmla="*/ 0 h 79"/>
            <a:gd name="T22" fmla="*/ 0 w 96"/>
            <a:gd name="T23" fmla="*/ 0 h 79"/>
            <a:gd name="T24" fmla="*/ 0 w 96"/>
            <a:gd name="T25" fmla="*/ 0 h 79"/>
            <a:gd name="T26" fmla="*/ 0 w 96"/>
            <a:gd name="T27" fmla="*/ 0 h 79"/>
            <a:gd name="T28" fmla="*/ 0 w 96"/>
            <a:gd name="T29" fmla="*/ 0 h 79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96"/>
            <a:gd name="T46" fmla="*/ 0 h 79"/>
            <a:gd name="T47" fmla="*/ 96 w 96"/>
            <a:gd name="T48" fmla="*/ 79 h 79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96" h="79">
              <a:moveTo>
                <a:pt x="0" y="24"/>
              </a:moveTo>
              <a:lnTo>
                <a:pt x="7" y="15"/>
              </a:lnTo>
              <a:lnTo>
                <a:pt x="16" y="7"/>
              </a:lnTo>
              <a:lnTo>
                <a:pt x="26" y="2"/>
              </a:lnTo>
              <a:lnTo>
                <a:pt x="38" y="0"/>
              </a:lnTo>
              <a:lnTo>
                <a:pt x="49" y="0"/>
              </a:lnTo>
              <a:lnTo>
                <a:pt x="61" y="2"/>
              </a:lnTo>
              <a:lnTo>
                <a:pt x="71" y="7"/>
              </a:lnTo>
              <a:lnTo>
                <a:pt x="81" y="15"/>
              </a:lnTo>
              <a:lnTo>
                <a:pt x="88" y="23"/>
              </a:lnTo>
              <a:lnTo>
                <a:pt x="93" y="33"/>
              </a:lnTo>
              <a:lnTo>
                <a:pt x="96" y="45"/>
              </a:lnTo>
              <a:lnTo>
                <a:pt x="96" y="57"/>
              </a:lnTo>
              <a:lnTo>
                <a:pt x="93" y="68"/>
              </a:lnTo>
              <a:lnTo>
                <a:pt x="88" y="79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39</xdr:row>
      <xdr:rowOff>142875</xdr:rowOff>
    </xdr:from>
    <xdr:to>
      <xdr:col>11</xdr:col>
      <xdr:colOff>161925</xdr:colOff>
      <xdr:row>40</xdr:row>
      <xdr:rowOff>28575</xdr:rowOff>
    </xdr:to>
    <xdr:sp macro="" textlink="">
      <xdr:nvSpPr>
        <xdr:cNvPr id="13127" name="Freeform 173">
          <a:extLst>
            <a:ext uri="{FF2B5EF4-FFF2-40B4-BE49-F238E27FC236}">
              <a16:creationId xmlns:a16="http://schemas.microsoft.com/office/drawing/2014/main" id="{00000000-0008-0000-0A00-000047330000}"/>
            </a:ext>
          </a:extLst>
        </xdr:cNvPr>
        <xdr:cNvSpPr>
          <a:spLocks noChangeAspect="1"/>
        </xdr:cNvSpPr>
      </xdr:nvSpPr>
      <xdr:spPr bwMode="auto">
        <a:xfrm>
          <a:off x="6181725" y="6924675"/>
          <a:ext cx="19050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2"/>
              </a:moveTo>
              <a:lnTo>
                <a:pt x="52" y="104"/>
              </a:ln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5" y="74"/>
              </a:lnTo>
              <a:lnTo>
                <a:pt x="2" y="64"/>
              </a:lnTo>
              <a:lnTo>
                <a:pt x="0" y="52"/>
              </a:ln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39</xdr:row>
      <xdr:rowOff>142875</xdr:rowOff>
    </xdr:from>
    <xdr:to>
      <xdr:col>11</xdr:col>
      <xdr:colOff>161925</xdr:colOff>
      <xdr:row>40</xdr:row>
      <xdr:rowOff>28575</xdr:rowOff>
    </xdr:to>
    <xdr:sp macro="" textlink="">
      <xdr:nvSpPr>
        <xdr:cNvPr id="13128" name="Freeform 174">
          <a:extLst>
            <a:ext uri="{FF2B5EF4-FFF2-40B4-BE49-F238E27FC236}">
              <a16:creationId xmlns:a16="http://schemas.microsoft.com/office/drawing/2014/main" id="{00000000-0008-0000-0A00-000048330000}"/>
            </a:ext>
          </a:extLst>
        </xdr:cNvPr>
        <xdr:cNvSpPr>
          <a:spLocks noChangeAspect="1"/>
        </xdr:cNvSpPr>
      </xdr:nvSpPr>
      <xdr:spPr bwMode="auto">
        <a:xfrm>
          <a:off x="6181725" y="6924675"/>
          <a:ext cx="19050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5" y="74"/>
              </a:lnTo>
              <a:lnTo>
                <a:pt x="2" y="64"/>
              </a:lnTo>
              <a:lnTo>
                <a:pt x="0" y="52"/>
              </a:ln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39</xdr:row>
      <xdr:rowOff>142875</xdr:rowOff>
    </xdr:from>
    <xdr:to>
      <xdr:col>12</xdr:col>
      <xdr:colOff>47625</xdr:colOff>
      <xdr:row>40</xdr:row>
      <xdr:rowOff>28575</xdr:rowOff>
    </xdr:to>
    <xdr:sp macro="" textlink="">
      <xdr:nvSpPr>
        <xdr:cNvPr id="13129" name="Freeform 175">
          <a:extLst>
            <a:ext uri="{FF2B5EF4-FFF2-40B4-BE49-F238E27FC236}">
              <a16:creationId xmlns:a16="http://schemas.microsoft.com/office/drawing/2014/main" id="{00000000-0008-0000-0A00-000049330000}"/>
            </a:ext>
          </a:extLst>
        </xdr:cNvPr>
        <xdr:cNvSpPr>
          <a:spLocks noChangeAspect="1"/>
        </xdr:cNvSpPr>
      </xdr:nvSpPr>
      <xdr:spPr bwMode="auto">
        <a:xfrm>
          <a:off x="6219825" y="6924675"/>
          <a:ext cx="400050" cy="47625"/>
        </a:xfrm>
        <a:custGeom>
          <a:avLst/>
          <a:gdLst>
            <a:gd name="T0" fmla="*/ 0 w 912"/>
            <a:gd name="T1" fmla="*/ 0 h 104"/>
            <a:gd name="T2" fmla="*/ 0 w 912"/>
            <a:gd name="T3" fmla="*/ 0 h 104"/>
            <a:gd name="T4" fmla="*/ 0 w 912"/>
            <a:gd name="T5" fmla="*/ 0 h 104"/>
            <a:gd name="T6" fmla="*/ 2147483647 w 912"/>
            <a:gd name="T7" fmla="*/ 0 h 104"/>
            <a:gd name="T8" fmla="*/ 2147483647 w 912"/>
            <a:gd name="T9" fmla="*/ 0 h 104"/>
            <a:gd name="T10" fmla="*/ 2147483647 w 912"/>
            <a:gd name="T11" fmla="*/ 0 h 104"/>
            <a:gd name="T12" fmla="*/ 0 w 912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2"/>
            <a:gd name="T22" fmla="*/ 0 h 104"/>
            <a:gd name="T23" fmla="*/ 912 w 912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2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2" y="104"/>
              </a:lnTo>
              <a:lnTo>
                <a:pt x="912" y="52"/>
              </a:lnTo>
              <a:lnTo>
                <a:pt x="912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39</xdr:row>
      <xdr:rowOff>142875</xdr:rowOff>
    </xdr:from>
    <xdr:to>
      <xdr:col>12</xdr:col>
      <xdr:colOff>47625</xdr:colOff>
      <xdr:row>40</xdr:row>
      <xdr:rowOff>28575</xdr:rowOff>
    </xdr:to>
    <xdr:sp macro="" textlink="">
      <xdr:nvSpPr>
        <xdr:cNvPr id="13130" name="Freeform 176">
          <a:extLst>
            <a:ext uri="{FF2B5EF4-FFF2-40B4-BE49-F238E27FC236}">
              <a16:creationId xmlns:a16="http://schemas.microsoft.com/office/drawing/2014/main" id="{00000000-0008-0000-0A00-00004A330000}"/>
            </a:ext>
          </a:extLst>
        </xdr:cNvPr>
        <xdr:cNvSpPr>
          <a:spLocks noChangeAspect="1"/>
        </xdr:cNvSpPr>
      </xdr:nvSpPr>
      <xdr:spPr bwMode="auto">
        <a:xfrm>
          <a:off x="6219825" y="6924675"/>
          <a:ext cx="400050" cy="47625"/>
        </a:xfrm>
        <a:custGeom>
          <a:avLst/>
          <a:gdLst>
            <a:gd name="T0" fmla="*/ 0 w 912"/>
            <a:gd name="T1" fmla="*/ 0 h 104"/>
            <a:gd name="T2" fmla="*/ 0 w 912"/>
            <a:gd name="T3" fmla="*/ 0 h 104"/>
            <a:gd name="T4" fmla="*/ 0 w 912"/>
            <a:gd name="T5" fmla="*/ 0 h 104"/>
            <a:gd name="T6" fmla="*/ 2147483647 w 912"/>
            <a:gd name="T7" fmla="*/ 0 h 104"/>
            <a:gd name="T8" fmla="*/ 2147483647 w 912"/>
            <a:gd name="T9" fmla="*/ 0 h 104"/>
            <a:gd name="T10" fmla="*/ 2147483647 w 912"/>
            <a:gd name="T11" fmla="*/ 0 h 104"/>
            <a:gd name="T12" fmla="*/ 0 w 912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2"/>
            <a:gd name="T22" fmla="*/ 0 h 104"/>
            <a:gd name="T23" fmla="*/ 912 w 912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2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2" y="104"/>
              </a:lnTo>
              <a:lnTo>
                <a:pt x="912" y="52"/>
              </a:lnTo>
              <a:lnTo>
                <a:pt x="912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47625</xdr:colOff>
      <xdr:row>39</xdr:row>
      <xdr:rowOff>142875</xdr:rowOff>
    </xdr:from>
    <xdr:to>
      <xdr:col>12</xdr:col>
      <xdr:colOff>76200</xdr:colOff>
      <xdr:row>40</xdr:row>
      <xdr:rowOff>28575</xdr:rowOff>
    </xdr:to>
    <xdr:sp macro="" textlink="">
      <xdr:nvSpPr>
        <xdr:cNvPr id="13131" name="Freeform 177">
          <a:extLst>
            <a:ext uri="{FF2B5EF4-FFF2-40B4-BE49-F238E27FC236}">
              <a16:creationId xmlns:a16="http://schemas.microsoft.com/office/drawing/2014/main" id="{00000000-0008-0000-0A00-00004B330000}"/>
            </a:ext>
          </a:extLst>
        </xdr:cNvPr>
        <xdr:cNvSpPr>
          <a:spLocks noChangeAspect="1"/>
        </xdr:cNvSpPr>
      </xdr:nvSpPr>
      <xdr:spPr bwMode="auto">
        <a:xfrm>
          <a:off x="6619875" y="6924675"/>
          <a:ext cx="28575" cy="4762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2"/>
              </a:moveTo>
              <a:lnTo>
                <a:pt x="0" y="0"/>
              </a:ln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8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8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47625</xdr:colOff>
      <xdr:row>39</xdr:row>
      <xdr:rowOff>142875</xdr:rowOff>
    </xdr:from>
    <xdr:to>
      <xdr:col>12</xdr:col>
      <xdr:colOff>76200</xdr:colOff>
      <xdr:row>40</xdr:row>
      <xdr:rowOff>28575</xdr:rowOff>
    </xdr:to>
    <xdr:sp macro="" textlink="">
      <xdr:nvSpPr>
        <xdr:cNvPr id="13132" name="Freeform 178">
          <a:extLst>
            <a:ext uri="{FF2B5EF4-FFF2-40B4-BE49-F238E27FC236}">
              <a16:creationId xmlns:a16="http://schemas.microsoft.com/office/drawing/2014/main" id="{00000000-0008-0000-0A00-00004C330000}"/>
            </a:ext>
          </a:extLst>
        </xdr:cNvPr>
        <xdr:cNvSpPr>
          <a:spLocks noChangeAspect="1"/>
        </xdr:cNvSpPr>
      </xdr:nvSpPr>
      <xdr:spPr bwMode="auto">
        <a:xfrm>
          <a:off x="6619875" y="6924675"/>
          <a:ext cx="28575" cy="4762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8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8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123825</xdr:colOff>
      <xdr:row>39</xdr:row>
      <xdr:rowOff>142875</xdr:rowOff>
    </xdr:from>
    <xdr:to>
      <xdr:col>12</xdr:col>
      <xdr:colOff>152400</xdr:colOff>
      <xdr:row>40</xdr:row>
      <xdr:rowOff>28575</xdr:rowOff>
    </xdr:to>
    <xdr:sp macro="" textlink="">
      <xdr:nvSpPr>
        <xdr:cNvPr id="13133" name="Freeform 179">
          <a:extLst>
            <a:ext uri="{FF2B5EF4-FFF2-40B4-BE49-F238E27FC236}">
              <a16:creationId xmlns:a16="http://schemas.microsoft.com/office/drawing/2014/main" id="{00000000-0008-0000-0A00-00004D330000}"/>
            </a:ext>
          </a:extLst>
        </xdr:cNvPr>
        <xdr:cNvSpPr>
          <a:spLocks noChangeAspect="1"/>
        </xdr:cNvSpPr>
      </xdr:nvSpPr>
      <xdr:spPr bwMode="auto">
        <a:xfrm>
          <a:off x="6696075" y="6924675"/>
          <a:ext cx="28575" cy="4762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2"/>
              </a:moveTo>
              <a:lnTo>
                <a:pt x="51" y="104"/>
              </a:ln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123825</xdr:colOff>
      <xdr:row>39</xdr:row>
      <xdr:rowOff>142875</xdr:rowOff>
    </xdr:from>
    <xdr:to>
      <xdr:col>12</xdr:col>
      <xdr:colOff>152400</xdr:colOff>
      <xdr:row>40</xdr:row>
      <xdr:rowOff>28575</xdr:rowOff>
    </xdr:to>
    <xdr:sp macro="" textlink="">
      <xdr:nvSpPr>
        <xdr:cNvPr id="13134" name="Freeform 180">
          <a:extLst>
            <a:ext uri="{FF2B5EF4-FFF2-40B4-BE49-F238E27FC236}">
              <a16:creationId xmlns:a16="http://schemas.microsoft.com/office/drawing/2014/main" id="{00000000-0008-0000-0A00-00004E330000}"/>
            </a:ext>
          </a:extLst>
        </xdr:cNvPr>
        <xdr:cNvSpPr>
          <a:spLocks noChangeAspect="1"/>
        </xdr:cNvSpPr>
      </xdr:nvSpPr>
      <xdr:spPr bwMode="auto">
        <a:xfrm>
          <a:off x="6696075" y="6924675"/>
          <a:ext cx="28575" cy="4762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152400</xdr:colOff>
      <xdr:row>39</xdr:row>
      <xdr:rowOff>142875</xdr:rowOff>
    </xdr:from>
    <xdr:to>
      <xdr:col>13</xdr:col>
      <xdr:colOff>28575</xdr:colOff>
      <xdr:row>40</xdr:row>
      <xdr:rowOff>28575</xdr:rowOff>
    </xdr:to>
    <xdr:sp macro="" textlink="">
      <xdr:nvSpPr>
        <xdr:cNvPr id="13135" name="Freeform 181">
          <a:extLst>
            <a:ext uri="{FF2B5EF4-FFF2-40B4-BE49-F238E27FC236}">
              <a16:creationId xmlns:a16="http://schemas.microsoft.com/office/drawing/2014/main" id="{00000000-0008-0000-0A00-00004F330000}"/>
            </a:ext>
          </a:extLst>
        </xdr:cNvPr>
        <xdr:cNvSpPr>
          <a:spLocks noChangeAspect="1"/>
        </xdr:cNvSpPr>
      </xdr:nvSpPr>
      <xdr:spPr bwMode="auto">
        <a:xfrm>
          <a:off x="6724650" y="6924675"/>
          <a:ext cx="409575" cy="47625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7" y="104"/>
              </a:lnTo>
              <a:lnTo>
                <a:pt x="917" y="52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152400</xdr:colOff>
      <xdr:row>39</xdr:row>
      <xdr:rowOff>142875</xdr:rowOff>
    </xdr:from>
    <xdr:to>
      <xdr:col>13</xdr:col>
      <xdr:colOff>28575</xdr:colOff>
      <xdr:row>40</xdr:row>
      <xdr:rowOff>28575</xdr:rowOff>
    </xdr:to>
    <xdr:sp macro="" textlink="">
      <xdr:nvSpPr>
        <xdr:cNvPr id="13136" name="Freeform 182">
          <a:extLst>
            <a:ext uri="{FF2B5EF4-FFF2-40B4-BE49-F238E27FC236}">
              <a16:creationId xmlns:a16="http://schemas.microsoft.com/office/drawing/2014/main" id="{00000000-0008-0000-0A00-000050330000}"/>
            </a:ext>
          </a:extLst>
        </xdr:cNvPr>
        <xdr:cNvSpPr>
          <a:spLocks noChangeAspect="1"/>
        </xdr:cNvSpPr>
      </xdr:nvSpPr>
      <xdr:spPr bwMode="auto">
        <a:xfrm>
          <a:off x="6724650" y="6924675"/>
          <a:ext cx="409575" cy="47625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7" y="104"/>
              </a:lnTo>
              <a:lnTo>
                <a:pt x="917" y="52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28575</xdr:colOff>
      <xdr:row>39</xdr:row>
      <xdr:rowOff>142875</xdr:rowOff>
    </xdr:from>
    <xdr:to>
      <xdr:col>13</xdr:col>
      <xdr:colOff>47625</xdr:colOff>
      <xdr:row>40</xdr:row>
      <xdr:rowOff>28575</xdr:rowOff>
    </xdr:to>
    <xdr:sp macro="" textlink="">
      <xdr:nvSpPr>
        <xdr:cNvPr id="13137" name="Freeform 183">
          <a:extLst>
            <a:ext uri="{FF2B5EF4-FFF2-40B4-BE49-F238E27FC236}">
              <a16:creationId xmlns:a16="http://schemas.microsoft.com/office/drawing/2014/main" id="{00000000-0008-0000-0A00-000051330000}"/>
            </a:ext>
          </a:extLst>
        </xdr:cNvPr>
        <xdr:cNvSpPr>
          <a:spLocks noChangeAspect="1"/>
        </xdr:cNvSpPr>
      </xdr:nvSpPr>
      <xdr:spPr bwMode="auto">
        <a:xfrm>
          <a:off x="7134225" y="6924675"/>
          <a:ext cx="19050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2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28575</xdr:colOff>
      <xdr:row>39</xdr:row>
      <xdr:rowOff>142875</xdr:rowOff>
    </xdr:from>
    <xdr:to>
      <xdr:col>13</xdr:col>
      <xdr:colOff>47625</xdr:colOff>
      <xdr:row>40</xdr:row>
      <xdr:rowOff>28575</xdr:rowOff>
    </xdr:to>
    <xdr:sp macro="" textlink="">
      <xdr:nvSpPr>
        <xdr:cNvPr id="13138" name="Freeform 184">
          <a:extLst>
            <a:ext uri="{FF2B5EF4-FFF2-40B4-BE49-F238E27FC236}">
              <a16:creationId xmlns:a16="http://schemas.microsoft.com/office/drawing/2014/main" id="{00000000-0008-0000-0A00-000052330000}"/>
            </a:ext>
          </a:extLst>
        </xdr:cNvPr>
        <xdr:cNvSpPr>
          <a:spLocks noChangeAspect="1"/>
        </xdr:cNvSpPr>
      </xdr:nvSpPr>
      <xdr:spPr bwMode="auto">
        <a:xfrm>
          <a:off x="7134225" y="6924675"/>
          <a:ext cx="19050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104775</xdr:colOff>
      <xdr:row>39</xdr:row>
      <xdr:rowOff>142875</xdr:rowOff>
    </xdr:from>
    <xdr:to>
      <xdr:col>13</xdr:col>
      <xdr:colOff>123825</xdr:colOff>
      <xdr:row>40</xdr:row>
      <xdr:rowOff>28575</xdr:rowOff>
    </xdr:to>
    <xdr:sp macro="" textlink="">
      <xdr:nvSpPr>
        <xdr:cNvPr id="13139" name="Freeform 185">
          <a:extLst>
            <a:ext uri="{FF2B5EF4-FFF2-40B4-BE49-F238E27FC236}">
              <a16:creationId xmlns:a16="http://schemas.microsoft.com/office/drawing/2014/main" id="{00000000-0008-0000-0A00-000053330000}"/>
            </a:ext>
          </a:extLst>
        </xdr:cNvPr>
        <xdr:cNvSpPr>
          <a:spLocks noChangeAspect="1"/>
        </xdr:cNvSpPr>
      </xdr:nvSpPr>
      <xdr:spPr bwMode="auto">
        <a:xfrm>
          <a:off x="7210425" y="6924675"/>
          <a:ext cx="19050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2"/>
              </a:moveTo>
              <a:lnTo>
                <a:pt x="52" y="104"/>
              </a:ln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5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104775</xdr:colOff>
      <xdr:row>39</xdr:row>
      <xdr:rowOff>142875</xdr:rowOff>
    </xdr:from>
    <xdr:to>
      <xdr:col>13</xdr:col>
      <xdr:colOff>123825</xdr:colOff>
      <xdr:row>40</xdr:row>
      <xdr:rowOff>28575</xdr:rowOff>
    </xdr:to>
    <xdr:sp macro="" textlink="">
      <xdr:nvSpPr>
        <xdr:cNvPr id="13140" name="Freeform 186">
          <a:extLst>
            <a:ext uri="{FF2B5EF4-FFF2-40B4-BE49-F238E27FC236}">
              <a16:creationId xmlns:a16="http://schemas.microsoft.com/office/drawing/2014/main" id="{00000000-0008-0000-0A00-000054330000}"/>
            </a:ext>
          </a:extLst>
        </xdr:cNvPr>
        <xdr:cNvSpPr>
          <a:spLocks noChangeAspect="1"/>
        </xdr:cNvSpPr>
      </xdr:nvSpPr>
      <xdr:spPr bwMode="auto">
        <a:xfrm>
          <a:off x="7210425" y="6924675"/>
          <a:ext cx="19050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5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123825</xdr:colOff>
      <xdr:row>39</xdr:row>
      <xdr:rowOff>142875</xdr:rowOff>
    </xdr:from>
    <xdr:to>
      <xdr:col>14</xdr:col>
      <xdr:colOff>0</xdr:colOff>
      <xdr:row>40</xdr:row>
      <xdr:rowOff>28575</xdr:rowOff>
    </xdr:to>
    <xdr:sp macro="" textlink="">
      <xdr:nvSpPr>
        <xdr:cNvPr id="13141" name="Freeform 187">
          <a:extLst>
            <a:ext uri="{FF2B5EF4-FFF2-40B4-BE49-F238E27FC236}">
              <a16:creationId xmlns:a16="http://schemas.microsoft.com/office/drawing/2014/main" id="{00000000-0008-0000-0A00-000055330000}"/>
            </a:ext>
          </a:extLst>
        </xdr:cNvPr>
        <xdr:cNvSpPr>
          <a:spLocks noChangeAspect="1"/>
        </xdr:cNvSpPr>
      </xdr:nvSpPr>
      <xdr:spPr bwMode="auto">
        <a:xfrm>
          <a:off x="7229475" y="6924675"/>
          <a:ext cx="409575" cy="47625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7" y="104"/>
              </a:lnTo>
              <a:lnTo>
                <a:pt x="917" y="52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123825</xdr:colOff>
      <xdr:row>39</xdr:row>
      <xdr:rowOff>142875</xdr:rowOff>
    </xdr:from>
    <xdr:to>
      <xdr:col>14</xdr:col>
      <xdr:colOff>0</xdr:colOff>
      <xdr:row>40</xdr:row>
      <xdr:rowOff>28575</xdr:rowOff>
    </xdr:to>
    <xdr:sp macro="" textlink="">
      <xdr:nvSpPr>
        <xdr:cNvPr id="13142" name="Freeform 188">
          <a:extLst>
            <a:ext uri="{FF2B5EF4-FFF2-40B4-BE49-F238E27FC236}">
              <a16:creationId xmlns:a16="http://schemas.microsoft.com/office/drawing/2014/main" id="{00000000-0008-0000-0A00-000056330000}"/>
            </a:ext>
          </a:extLst>
        </xdr:cNvPr>
        <xdr:cNvSpPr>
          <a:spLocks noChangeAspect="1"/>
        </xdr:cNvSpPr>
      </xdr:nvSpPr>
      <xdr:spPr bwMode="auto">
        <a:xfrm>
          <a:off x="7229475" y="6924675"/>
          <a:ext cx="409575" cy="47625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7" y="104"/>
              </a:lnTo>
              <a:lnTo>
                <a:pt x="917" y="52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0</xdr:colOff>
      <xdr:row>39</xdr:row>
      <xdr:rowOff>142875</xdr:rowOff>
    </xdr:from>
    <xdr:to>
      <xdr:col>14</xdr:col>
      <xdr:colOff>19050</xdr:colOff>
      <xdr:row>40</xdr:row>
      <xdr:rowOff>28575</xdr:rowOff>
    </xdr:to>
    <xdr:sp macro="" textlink="">
      <xdr:nvSpPr>
        <xdr:cNvPr id="13143" name="Freeform 189">
          <a:extLst>
            <a:ext uri="{FF2B5EF4-FFF2-40B4-BE49-F238E27FC236}">
              <a16:creationId xmlns:a16="http://schemas.microsoft.com/office/drawing/2014/main" id="{00000000-0008-0000-0A00-000057330000}"/>
            </a:ext>
          </a:extLst>
        </xdr:cNvPr>
        <xdr:cNvSpPr>
          <a:spLocks noChangeAspect="1"/>
        </xdr:cNvSpPr>
      </xdr:nvSpPr>
      <xdr:spPr bwMode="auto">
        <a:xfrm>
          <a:off x="7639050" y="6924675"/>
          <a:ext cx="19050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2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0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0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0</xdr:colOff>
      <xdr:row>39</xdr:row>
      <xdr:rowOff>142875</xdr:rowOff>
    </xdr:from>
    <xdr:to>
      <xdr:col>14</xdr:col>
      <xdr:colOff>19050</xdr:colOff>
      <xdr:row>40</xdr:row>
      <xdr:rowOff>28575</xdr:rowOff>
    </xdr:to>
    <xdr:sp macro="" textlink="">
      <xdr:nvSpPr>
        <xdr:cNvPr id="13144" name="Freeform 190">
          <a:extLst>
            <a:ext uri="{FF2B5EF4-FFF2-40B4-BE49-F238E27FC236}">
              <a16:creationId xmlns:a16="http://schemas.microsoft.com/office/drawing/2014/main" id="{00000000-0008-0000-0A00-000058330000}"/>
            </a:ext>
          </a:extLst>
        </xdr:cNvPr>
        <xdr:cNvSpPr>
          <a:spLocks noChangeAspect="1"/>
        </xdr:cNvSpPr>
      </xdr:nvSpPr>
      <xdr:spPr bwMode="auto">
        <a:xfrm>
          <a:off x="7639050" y="6924675"/>
          <a:ext cx="19050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0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0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76200</xdr:colOff>
      <xdr:row>39</xdr:row>
      <xdr:rowOff>142875</xdr:rowOff>
    </xdr:from>
    <xdr:to>
      <xdr:col>14</xdr:col>
      <xdr:colOff>85725</xdr:colOff>
      <xdr:row>40</xdr:row>
      <xdr:rowOff>28575</xdr:rowOff>
    </xdr:to>
    <xdr:sp macro="" textlink="">
      <xdr:nvSpPr>
        <xdr:cNvPr id="13145" name="Freeform 191">
          <a:extLst>
            <a:ext uri="{FF2B5EF4-FFF2-40B4-BE49-F238E27FC236}">
              <a16:creationId xmlns:a16="http://schemas.microsoft.com/office/drawing/2014/main" id="{00000000-0008-0000-0A00-000059330000}"/>
            </a:ext>
          </a:extLst>
        </xdr:cNvPr>
        <xdr:cNvSpPr>
          <a:spLocks noChangeAspect="1"/>
        </xdr:cNvSpPr>
      </xdr:nvSpPr>
      <xdr:spPr bwMode="auto">
        <a:xfrm>
          <a:off x="7715250" y="6924675"/>
          <a:ext cx="9525" cy="4762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2"/>
              </a:moveTo>
              <a:lnTo>
                <a:pt x="51" y="104"/>
              </a:ln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76200</xdr:colOff>
      <xdr:row>39</xdr:row>
      <xdr:rowOff>142875</xdr:rowOff>
    </xdr:from>
    <xdr:to>
      <xdr:col>14</xdr:col>
      <xdr:colOff>85725</xdr:colOff>
      <xdr:row>40</xdr:row>
      <xdr:rowOff>28575</xdr:rowOff>
    </xdr:to>
    <xdr:sp macro="" textlink="">
      <xdr:nvSpPr>
        <xdr:cNvPr id="13146" name="Freeform 192">
          <a:extLst>
            <a:ext uri="{FF2B5EF4-FFF2-40B4-BE49-F238E27FC236}">
              <a16:creationId xmlns:a16="http://schemas.microsoft.com/office/drawing/2014/main" id="{00000000-0008-0000-0A00-00005A330000}"/>
            </a:ext>
          </a:extLst>
        </xdr:cNvPr>
        <xdr:cNvSpPr>
          <a:spLocks noChangeAspect="1"/>
        </xdr:cNvSpPr>
      </xdr:nvSpPr>
      <xdr:spPr bwMode="auto">
        <a:xfrm>
          <a:off x="7715250" y="6924675"/>
          <a:ext cx="9525" cy="4762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85725</xdr:colOff>
      <xdr:row>39</xdr:row>
      <xdr:rowOff>142875</xdr:rowOff>
    </xdr:from>
    <xdr:to>
      <xdr:col>15</xdr:col>
      <xdr:colOff>9525</xdr:colOff>
      <xdr:row>40</xdr:row>
      <xdr:rowOff>28575</xdr:rowOff>
    </xdr:to>
    <xdr:sp macro="" textlink="">
      <xdr:nvSpPr>
        <xdr:cNvPr id="13147" name="Freeform 193">
          <a:extLst>
            <a:ext uri="{FF2B5EF4-FFF2-40B4-BE49-F238E27FC236}">
              <a16:creationId xmlns:a16="http://schemas.microsoft.com/office/drawing/2014/main" id="{00000000-0008-0000-0A00-00005B330000}"/>
            </a:ext>
          </a:extLst>
        </xdr:cNvPr>
        <xdr:cNvSpPr>
          <a:spLocks noChangeAspect="1"/>
        </xdr:cNvSpPr>
      </xdr:nvSpPr>
      <xdr:spPr bwMode="auto">
        <a:xfrm>
          <a:off x="7724775" y="6924675"/>
          <a:ext cx="457200" cy="47625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7" y="104"/>
              </a:lnTo>
              <a:lnTo>
                <a:pt x="917" y="52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85725</xdr:colOff>
      <xdr:row>39</xdr:row>
      <xdr:rowOff>142875</xdr:rowOff>
    </xdr:from>
    <xdr:to>
      <xdr:col>15</xdr:col>
      <xdr:colOff>9525</xdr:colOff>
      <xdr:row>40</xdr:row>
      <xdr:rowOff>28575</xdr:rowOff>
    </xdr:to>
    <xdr:sp macro="" textlink="">
      <xdr:nvSpPr>
        <xdr:cNvPr id="13148" name="Freeform 194">
          <a:extLst>
            <a:ext uri="{FF2B5EF4-FFF2-40B4-BE49-F238E27FC236}">
              <a16:creationId xmlns:a16="http://schemas.microsoft.com/office/drawing/2014/main" id="{00000000-0008-0000-0A00-00005C330000}"/>
            </a:ext>
          </a:extLst>
        </xdr:cNvPr>
        <xdr:cNvSpPr>
          <a:spLocks noChangeAspect="1"/>
        </xdr:cNvSpPr>
      </xdr:nvSpPr>
      <xdr:spPr bwMode="auto">
        <a:xfrm>
          <a:off x="7724775" y="6924675"/>
          <a:ext cx="457200" cy="47625"/>
        </a:xfrm>
        <a:custGeom>
          <a:avLst/>
          <a:gdLst>
            <a:gd name="T0" fmla="*/ 0 w 917"/>
            <a:gd name="T1" fmla="*/ 0 h 104"/>
            <a:gd name="T2" fmla="*/ 0 w 917"/>
            <a:gd name="T3" fmla="*/ 0 h 104"/>
            <a:gd name="T4" fmla="*/ 0 w 917"/>
            <a:gd name="T5" fmla="*/ 0 h 104"/>
            <a:gd name="T6" fmla="*/ 2147483647 w 917"/>
            <a:gd name="T7" fmla="*/ 0 h 104"/>
            <a:gd name="T8" fmla="*/ 2147483647 w 917"/>
            <a:gd name="T9" fmla="*/ 0 h 104"/>
            <a:gd name="T10" fmla="*/ 2147483647 w 917"/>
            <a:gd name="T11" fmla="*/ 0 h 104"/>
            <a:gd name="T12" fmla="*/ 0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7" y="104"/>
              </a:lnTo>
              <a:lnTo>
                <a:pt x="917" y="52"/>
              </a:lnTo>
              <a:lnTo>
                <a:pt x="917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9525</xdr:colOff>
      <xdr:row>39</xdr:row>
      <xdr:rowOff>142875</xdr:rowOff>
    </xdr:from>
    <xdr:to>
      <xdr:col>15</xdr:col>
      <xdr:colOff>9525</xdr:colOff>
      <xdr:row>40</xdr:row>
      <xdr:rowOff>28575</xdr:rowOff>
    </xdr:to>
    <xdr:sp macro="" textlink="">
      <xdr:nvSpPr>
        <xdr:cNvPr id="13149" name="Freeform 195">
          <a:extLst>
            <a:ext uri="{FF2B5EF4-FFF2-40B4-BE49-F238E27FC236}">
              <a16:creationId xmlns:a16="http://schemas.microsoft.com/office/drawing/2014/main" id="{00000000-0008-0000-0A00-00005D330000}"/>
            </a:ext>
          </a:extLst>
        </xdr:cNvPr>
        <xdr:cNvSpPr>
          <a:spLocks noChangeAspect="1"/>
        </xdr:cNvSpPr>
      </xdr:nvSpPr>
      <xdr:spPr bwMode="auto">
        <a:xfrm>
          <a:off x="8181975" y="6924675"/>
          <a:ext cx="0" cy="4762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2"/>
              </a:moveTo>
              <a:lnTo>
                <a:pt x="0" y="0"/>
              </a:ln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3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9525</xdr:colOff>
      <xdr:row>39</xdr:row>
      <xdr:rowOff>142875</xdr:rowOff>
    </xdr:from>
    <xdr:to>
      <xdr:col>15</xdr:col>
      <xdr:colOff>9525</xdr:colOff>
      <xdr:row>40</xdr:row>
      <xdr:rowOff>28575</xdr:rowOff>
    </xdr:to>
    <xdr:sp macro="" textlink="">
      <xdr:nvSpPr>
        <xdr:cNvPr id="13150" name="Freeform 196">
          <a:extLst>
            <a:ext uri="{FF2B5EF4-FFF2-40B4-BE49-F238E27FC236}">
              <a16:creationId xmlns:a16="http://schemas.microsoft.com/office/drawing/2014/main" id="{00000000-0008-0000-0A00-00005E330000}"/>
            </a:ext>
          </a:extLst>
        </xdr:cNvPr>
        <xdr:cNvSpPr>
          <a:spLocks noChangeAspect="1"/>
        </xdr:cNvSpPr>
      </xdr:nvSpPr>
      <xdr:spPr bwMode="auto">
        <a:xfrm>
          <a:off x="8181975" y="6924675"/>
          <a:ext cx="0" cy="4762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3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57150</xdr:colOff>
      <xdr:row>39</xdr:row>
      <xdr:rowOff>142875</xdr:rowOff>
    </xdr:from>
    <xdr:to>
      <xdr:col>15</xdr:col>
      <xdr:colOff>85725</xdr:colOff>
      <xdr:row>40</xdr:row>
      <xdr:rowOff>28575</xdr:rowOff>
    </xdr:to>
    <xdr:sp macro="" textlink="">
      <xdr:nvSpPr>
        <xdr:cNvPr id="13151" name="Freeform 197">
          <a:extLst>
            <a:ext uri="{FF2B5EF4-FFF2-40B4-BE49-F238E27FC236}">
              <a16:creationId xmlns:a16="http://schemas.microsoft.com/office/drawing/2014/main" id="{00000000-0008-0000-0A00-00005F330000}"/>
            </a:ext>
          </a:extLst>
        </xdr:cNvPr>
        <xdr:cNvSpPr>
          <a:spLocks noChangeAspect="1"/>
        </xdr:cNvSpPr>
      </xdr:nvSpPr>
      <xdr:spPr bwMode="auto">
        <a:xfrm>
          <a:off x="8229600" y="6924675"/>
          <a:ext cx="28575" cy="4762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2"/>
              </a:moveTo>
              <a:lnTo>
                <a:pt x="51" y="104"/>
              </a:lnTo>
              <a:lnTo>
                <a:pt x="39" y="103"/>
              </a:lnTo>
              <a:lnTo>
                <a:pt x="29" y="99"/>
              </a:lnTo>
              <a:lnTo>
                <a:pt x="18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8" y="11"/>
              </a:lnTo>
              <a:lnTo>
                <a:pt x="29" y="5"/>
              </a:lnTo>
              <a:lnTo>
                <a:pt x="39" y="2"/>
              </a:lnTo>
              <a:lnTo>
                <a:pt x="51" y="0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57150</xdr:colOff>
      <xdr:row>39</xdr:row>
      <xdr:rowOff>142875</xdr:rowOff>
    </xdr:from>
    <xdr:to>
      <xdr:col>15</xdr:col>
      <xdr:colOff>85725</xdr:colOff>
      <xdr:row>40</xdr:row>
      <xdr:rowOff>28575</xdr:rowOff>
    </xdr:to>
    <xdr:sp macro="" textlink="">
      <xdr:nvSpPr>
        <xdr:cNvPr id="13152" name="Freeform 198">
          <a:extLst>
            <a:ext uri="{FF2B5EF4-FFF2-40B4-BE49-F238E27FC236}">
              <a16:creationId xmlns:a16="http://schemas.microsoft.com/office/drawing/2014/main" id="{00000000-0008-0000-0A00-000060330000}"/>
            </a:ext>
          </a:extLst>
        </xdr:cNvPr>
        <xdr:cNvSpPr>
          <a:spLocks noChangeAspect="1"/>
        </xdr:cNvSpPr>
      </xdr:nvSpPr>
      <xdr:spPr bwMode="auto">
        <a:xfrm>
          <a:off x="8229600" y="6924675"/>
          <a:ext cx="28575" cy="4762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39" y="103"/>
              </a:lnTo>
              <a:lnTo>
                <a:pt x="29" y="99"/>
              </a:lnTo>
              <a:lnTo>
                <a:pt x="18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8" y="11"/>
              </a:lnTo>
              <a:lnTo>
                <a:pt x="29" y="5"/>
              </a:lnTo>
              <a:lnTo>
                <a:pt x="39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57150</xdr:colOff>
      <xdr:row>39</xdr:row>
      <xdr:rowOff>142875</xdr:rowOff>
    </xdr:from>
    <xdr:to>
      <xdr:col>16</xdr:col>
      <xdr:colOff>9525</xdr:colOff>
      <xdr:row>40</xdr:row>
      <xdr:rowOff>28575</xdr:rowOff>
    </xdr:to>
    <xdr:sp macro="" textlink="">
      <xdr:nvSpPr>
        <xdr:cNvPr id="13153" name="Freeform 199">
          <a:extLst>
            <a:ext uri="{FF2B5EF4-FFF2-40B4-BE49-F238E27FC236}">
              <a16:creationId xmlns:a16="http://schemas.microsoft.com/office/drawing/2014/main" id="{00000000-0008-0000-0A00-000061330000}"/>
            </a:ext>
          </a:extLst>
        </xdr:cNvPr>
        <xdr:cNvSpPr>
          <a:spLocks noChangeAspect="1"/>
        </xdr:cNvSpPr>
      </xdr:nvSpPr>
      <xdr:spPr bwMode="auto">
        <a:xfrm>
          <a:off x="8229600" y="6924675"/>
          <a:ext cx="485775" cy="47625"/>
        </a:xfrm>
        <a:custGeom>
          <a:avLst/>
          <a:gdLst>
            <a:gd name="T0" fmla="*/ 0 w 912"/>
            <a:gd name="T1" fmla="*/ 0 h 104"/>
            <a:gd name="T2" fmla="*/ 0 w 912"/>
            <a:gd name="T3" fmla="*/ 0 h 104"/>
            <a:gd name="T4" fmla="*/ 0 w 912"/>
            <a:gd name="T5" fmla="*/ 0 h 104"/>
            <a:gd name="T6" fmla="*/ 2147483647 w 912"/>
            <a:gd name="T7" fmla="*/ 0 h 104"/>
            <a:gd name="T8" fmla="*/ 2147483647 w 912"/>
            <a:gd name="T9" fmla="*/ 0 h 104"/>
            <a:gd name="T10" fmla="*/ 2147483647 w 912"/>
            <a:gd name="T11" fmla="*/ 0 h 104"/>
            <a:gd name="T12" fmla="*/ 0 w 912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2"/>
            <a:gd name="T22" fmla="*/ 0 h 104"/>
            <a:gd name="T23" fmla="*/ 912 w 912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2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2" y="104"/>
              </a:lnTo>
              <a:lnTo>
                <a:pt x="912" y="52"/>
              </a:lnTo>
              <a:lnTo>
                <a:pt x="912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57150</xdr:colOff>
      <xdr:row>39</xdr:row>
      <xdr:rowOff>142875</xdr:rowOff>
    </xdr:from>
    <xdr:to>
      <xdr:col>16</xdr:col>
      <xdr:colOff>9525</xdr:colOff>
      <xdr:row>40</xdr:row>
      <xdr:rowOff>28575</xdr:rowOff>
    </xdr:to>
    <xdr:sp macro="" textlink="">
      <xdr:nvSpPr>
        <xdr:cNvPr id="13154" name="Freeform 200">
          <a:extLst>
            <a:ext uri="{FF2B5EF4-FFF2-40B4-BE49-F238E27FC236}">
              <a16:creationId xmlns:a16="http://schemas.microsoft.com/office/drawing/2014/main" id="{00000000-0008-0000-0A00-000062330000}"/>
            </a:ext>
          </a:extLst>
        </xdr:cNvPr>
        <xdr:cNvSpPr>
          <a:spLocks noChangeAspect="1"/>
        </xdr:cNvSpPr>
      </xdr:nvSpPr>
      <xdr:spPr bwMode="auto">
        <a:xfrm>
          <a:off x="8229600" y="6924675"/>
          <a:ext cx="485775" cy="47625"/>
        </a:xfrm>
        <a:custGeom>
          <a:avLst/>
          <a:gdLst>
            <a:gd name="T0" fmla="*/ 0 w 912"/>
            <a:gd name="T1" fmla="*/ 0 h 104"/>
            <a:gd name="T2" fmla="*/ 0 w 912"/>
            <a:gd name="T3" fmla="*/ 0 h 104"/>
            <a:gd name="T4" fmla="*/ 0 w 912"/>
            <a:gd name="T5" fmla="*/ 0 h 104"/>
            <a:gd name="T6" fmla="*/ 2147483647 w 912"/>
            <a:gd name="T7" fmla="*/ 0 h 104"/>
            <a:gd name="T8" fmla="*/ 2147483647 w 912"/>
            <a:gd name="T9" fmla="*/ 0 h 104"/>
            <a:gd name="T10" fmla="*/ 2147483647 w 912"/>
            <a:gd name="T11" fmla="*/ 0 h 104"/>
            <a:gd name="T12" fmla="*/ 0 w 912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2"/>
            <a:gd name="T22" fmla="*/ 0 h 104"/>
            <a:gd name="T23" fmla="*/ 912 w 912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2" h="104">
              <a:moveTo>
                <a:pt x="0" y="0"/>
              </a:moveTo>
              <a:lnTo>
                <a:pt x="0" y="52"/>
              </a:lnTo>
              <a:lnTo>
                <a:pt x="0" y="104"/>
              </a:lnTo>
              <a:lnTo>
                <a:pt x="912" y="104"/>
              </a:lnTo>
              <a:lnTo>
                <a:pt x="912" y="52"/>
              </a:lnTo>
              <a:lnTo>
                <a:pt x="912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39</xdr:row>
      <xdr:rowOff>142875</xdr:rowOff>
    </xdr:from>
    <xdr:to>
      <xdr:col>11</xdr:col>
      <xdr:colOff>190500</xdr:colOff>
      <xdr:row>40</xdr:row>
      <xdr:rowOff>28575</xdr:rowOff>
    </xdr:to>
    <xdr:sp macro="" textlink="">
      <xdr:nvSpPr>
        <xdr:cNvPr id="13155" name="Freeform 201">
          <a:extLst>
            <a:ext uri="{FF2B5EF4-FFF2-40B4-BE49-F238E27FC236}">
              <a16:creationId xmlns:a16="http://schemas.microsoft.com/office/drawing/2014/main" id="{00000000-0008-0000-0A00-000063330000}"/>
            </a:ext>
          </a:extLst>
        </xdr:cNvPr>
        <xdr:cNvSpPr>
          <a:spLocks noChangeAspect="1"/>
        </xdr:cNvSpPr>
      </xdr:nvSpPr>
      <xdr:spPr bwMode="auto">
        <a:xfrm>
          <a:off x="6219825" y="6924675"/>
          <a:ext cx="952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2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39</xdr:row>
      <xdr:rowOff>142875</xdr:rowOff>
    </xdr:from>
    <xdr:to>
      <xdr:col>11</xdr:col>
      <xdr:colOff>190500</xdr:colOff>
      <xdr:row>40</xdr:row>
      <xdr:rowOff>28575</xdr:rowOff>
    </xdr:to>
    <xdr:sp macro="" textlink="">
      <xdr:nvSpPr>
        <xdr:cNvPr id="13156" name="Freeform 202">
          <a:extLst>
            <a:ext uri="{FF2B5EF4-FFF2-40B4-BE49-F238E27FC236}">
              <a16:creationId xmlns:a16="http://schemas.microsoft.com/office/drawing/2014/main" id="{00000000-0008-0000-0A00-000064330000}"/>
            </a:ext>
          </a:extLst>
        </xdr:cNvPr>
        <xdr:cNvSpPr>
          <a:spLocks noChangeAspect="1"/>
        </xdr:cNvSpPr>
      </xdr:nvSpPr>
      <xdr:spPr bwMode="auto">
        <a:xfrm>
          <a:off x="6219825" y="6924675"/>
          <a:ext cx="952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9525</xdr:colOff>
      <xdr:row>39</xdr:row>
      <xdr:rowOff>142875</xdr:rowOff>
    </xdr:from>
    <xdr:to>
      <xdr:col>11</xdr:col>
      <xdr:colOff>180975</xdr:colOff>
      <xdr:row>40</xdr:row>
      <xdr:rowOff>28575</xdr:rowOff>
    </xdr:to>
    <xdr:sp macro="" textlink="">
      <xdr:nvSpPr>
        <xdr:cNvPr id="13157" name="Freeform 203">
          <a:extLst>
            <a:ext uri="{FF2B5EF4-FFF2-40B4-BE49-F238E27FC236}">
              <a16:creationId xmlns:a16="http://schemas.microsoft.com/office/drawing/2014/main" id="{00000000-0008-0000-0A00-000065330000}"/>
            </a:ext>
          </a:extLst>
        </xdr:cNvPr>
        <xdr:cNvSpPr>
          <a:spLocks noChangeAspect="1"/>
        </xdr:cNvSpPr>
      </xdr:nvSpPr>
      <xdr:spPr bwMode="auto">
        <a:xfrm>
          <a:off x="6048375" y="6924675"/>
          <a:ext cx="171450" cy="47625"/>
        </a:xfrm>
        <a:custGeom>
          <a:avLst/>
          <a:gdLst>
            <a:gd name="T0" fmla="*/ 2147483647 w 560"/>
            <a:gd name="T1" fmla="*/ 0 h 104"/>
            <a:gd name="T2" fmla="*/ 2147483647 w 560"/>
            <a:gd name="T3" fmla="*/ 0 h 104"/>
            <a:gd name="T4" fmla="*/ 2147483647 w 560"/>
            <a:gd name="T5" fmla="*/ 0 h 104"/>
            <a:gd name="T6" fmla="*/ 0 w 560"/>
            <a:gd name="T7" fmla="*/ 0 h 104"/>
            <a:gd name="T8" fmla="*/ 0 w 560"/>
            <a:gd name="T9" fmla="*/ 0 h 104"/>
            <a:gd name="T10" fmla="*/ 0 w 560"/>
            <a:gd name="T11" fmla="*/ 0 h 104"/>
            <a:gd name="T12" fmla="*/ 2147483647 w 560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60"/>
            <a:gd name="T22" fmla="*/ 0 h 104"/>
            <a:gd name="T23" fmla="*/ 560 w 560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60" h="104">
              <a:moveTo>
                <a:pt x="560" y="104"/>
              </a:moveTo>
              <a:lnTo>
                <a:pt x="560" y="52"/>
              </a:lnTo>
              <a:lnTo>
                <a:pt x="560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560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9525</xdr:colOff>
      <xdr:row>39</xdr:row>
      <xdr:rowOff>142875</xdr:rowOff>
    </xdr:from>
    <xdr:to>
      <xdr:col>11</xdr:col>
      <xdr:colOff>180975</xdr:colOff>
      <xdr:row>40</xdr:row>
      <xdr:rowOff>28575</xdr:rowOff>
    </xdr:to>
    <xdr:sp macro="" textlink="">
      <xdr:nvSpPr>
        <xdr:cNvPr id="13158" name="Freeform 204">
          <a:extLst>
            <a:ext uri="{FF2B5EF4-FFF2-40B4-BE49-F238E27FC236}">
              <a16:creationId xmlns:a16="http://schemas.microsoft.com/office/drawing/2014/main" id="{00000000-0008-0000-0A00-000066330000}"/>
            </a:ext>
          </a:extLst>
        </xdr:cNvPr>
        <xdr:cNvSpPr>
          <a:spLocks noChangeAspect="1"/>
        </xdr:cNvSpPr>
      </xdr:nvSpPr>
      <xdr:spPr bwMode="auto">
        <a:xfrm>
          <a:off x="6048375" y="6924675"/>
          <a:ext cx="171450" cy="47625"/>
        </a:xfrm>
        <a:custGeom>
          <a:avLst/>
          <a:gdLst>
            <a:gd name="T0" fmla="*/ 2147483647 w 560"/>
            <a:gd name="T1" fmla="*/ 0 h 104"/>
            <a:gd name="T2" fmla="*/ 2147483647 w 560"/>
            <a:gd name="T3" fmla="*/ 0 h 104"/>
            <a:gd name="T4" fmla="*/ 2147483647 w 560"/>
            <a:gd name="T5" fmla="*/ 0 h 104"/>
            <a:gd name="T6" fmla="*/ 0 w 560"/>
            <a:gd name="T7" fmla="*/ 0 h 104"/>
            <a:gd name="T8" fmla="*/ 0 w 560"/>
            <a:gd name="T9" fmla="*/ 0 h 104"/>
            <a:gd name="T10" fmla="*/ 0 w 560"/>
            <a:gd name="T11" fmla="*/ 0 h 104"/>
            <a:gd name="T12" fmla="*/ 2147483647 w 560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60"/>
            <a:gd name="T22" fmla="*/ 0 h 104"/>
            <a:gd name="T23" fmla="*/ 560 w 560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60" h="104">
              <a:moveTo>
                <a:pt x="560" y="104"/>
              </a:moveTo>
              <a:lnTo>
                <a:pt x="560" y="52"/>
              </a:lnTo>
              <a:lnTo>
                <a:pt x="560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560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409575</xdr:colOff>
      <xdr:row>39</xdr:row>
      <xdr:rowOff>142875</xdr:rowOff>
    </xdr:from>
    <xdr:to>
      <xdr:col>10</xdr:col>
      <xdr:colOff>438150</xdr:colOff>
      <xdr:row>40</xdr:row>
      <xdr:rowOff>28575</xdr:rowOff>
    </xdr:to>
    <xdr:sp macro="" textlink="">
      <xdr:nvSpPr>
        <xdr:cNvPr id="13159" name="Freeform 205">
          <a:extLst>
            <a:ext uri="{FF2B5EF4-FFF2-40B4-BE49-F238E27FC236}">
              <a16:creationId xmlns:a16="http://schemas.microsoft.com/office/drawing/2014/main" id="{00000000-0008-0000-0A00-000067330000}"/>
            </a:ext>
          </a:extLst>
        </xdr:cNvPr>
        <xdr:cNvSpPr>
          <a:spLocks noChangeAspect="1"/>
        </xdr:cNvSpPr>
      </xdr:nvSpPr>
      <xdr:spPr bwMode="auto">
        <a:xfrm>
          <a:off x="5915025" y="6924675"/>
          <a:ext cx="28575" cy="4762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2"/>
              </a:moveTo>
              <a:lnTo>
                <a:pt x="51" y="104"/>
              </a:ln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409575</xdr:colOff>
      <xdr:row>39</xdr:row>
      <xdr:rowOff>142875</xdr:rowOff>
    </xdr:from>
    <xdr:to>
      <xdr:col>10</xdr:col>
      <xdr:colOff>438150</xdr:colOff>
      <xdr:row>40</xdr:row>
      <xdr:rowOff>28575</xdr:rowOff>
    </xdr:to>
    <xdr:sp macro="" textlink="">
      <xdr:nvSpPr>
        <xdr:cNvPr id="13160" name="Freeform 206">
          <a:extLst>
            <a:ext uri="{FF2B5EF4-FFF2-40B4-BE49-F238E27FC236}">
              <a16:creationId xmlns:a16="http://schemas.microsoft.com/office/drawing/2014/main" id="{00000000-0008-0000-0A00-000068330000}"/>
            </a:ext>
          </a:extLst>
        </xdr:cNvPr>
        <xdr:cNvSpPr>
          <a:spLocks noChangeAspect="1"/>
        </xdr:cNvSpPr>
      </xdr:nvSpPr>
      <xdr:spPr bwMode="auto">
        <a:xfrm>
          <a:off x="5915025" y="6924675"/>
          <a:ext cx="28575" cy="4762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333375</xdr:colOff>
      <xdr:row>39</xdr:row>
      <xdr:rowOff>142875</xdr:rowOff>
    </xdr:from>
    <xdr:to>
      <xdr:col>10</xdr:col>
      <xdr:colOff>361950</xdr:colOff>
      <xdr:row>40</xdr:row>
      <xdr:rowOff>28575</xdr:rowOff>
    </xdr:to>
    <xdr:sp macro="" textlink="">
      <xdr:nvSpPr>
        <xdr:cNvPr id="13161" name="Freeform 207">
          <a:extLst>
            <a:ext uri="{FF2B5EF4-FFF2-40B4-BE49-F238E27FC236}">
              <a16:creationId xmlns:a16="http://schemas.microsoft.com/office/drawing/2014/main" id="{00000000-0008-0000-0A00-000069330000}"/>
            </a:ext>
          </a:extLst>
        </xdr:cNvPr>
        <xdr:cNvSpPr>
          <a:spLocks noChangeAspect="1"/>
        </xdr:cNvSpPr>
      </xdr:nvSpPr>
      <xdr:spPr bwMode="auto">
        <a:xfrm>
          <a:off x="5838825" y="6924675"/>
          <a:ext cx="28575" cy="4762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2"/>
              </a:moveTo>
              <a:lnTo>
                <a:pt x="0" y="0"/>
              </a:ln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8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8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333375</xdr:colOff>
      <xdr:row>39</xdr:row>
      <xdr:rowOff>142875</xdr:rowOff>
    </xdr:from>
    <xdr:to>
      <xdr:col>10</xdr:col>
      <xdr:colOff>361950</xdr:colOff>
      <xdr:row>40</xdr:row>
      <xdr:rowOff>28575</xdr:rowOff>
    </xdr:to>
    <xdr:sp macro="" textlink="">
      <xdr:nvSpPr>
        <xdr:cNvPr id="13162" name="Freeform 208">
          <a:extLst>
            <a:ext uri="{FF2B5EF4-FFF2-40B4-BE49-F238E27FC236}">
              <a16:creationId xmlns:a16="http://schemas.microsoft.com/office/drawing/2014/main" id="{00000000-0008-0000-0A00-00006A330000}"/>
            </a:ext>
          </a:extLst>
        </xdr:cNvPr>
        <xdr:cNvSpPr>
          <a:spLocks noChangeAspect="1"/>
        </xdr:cNvSpPr>
      </xdr:nvSpPr>
      <xdr:spPr bwMode="auto">
        <a:xfrm>
          <a:off x="5838825" y="6924675"/>
          <a:ext cx="28575" cy="4762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8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8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9525</xdr:colOff>
      <xdr:row>39</xdr:row>
      <xdr:rowOff>142875</xdr:rowOff>
    </xdr:from>
    <xdr:to>
      <xdr:col>10</xdr:col>
      <xdr:colOff>352425</xdr:colOff>
      <xdr:row>40</xdr:row>
      <xdr:rowOff>28575</xdr:rowOff>
    </xdr:to>
    <xdr:sp macro="" textlink="">
      <xdr:nvSpPr>
        <xdr:cNvPr id="13163" name="Freeform 209">
          <a:extLst>
            <a:ext uri="{FF2B5EF4-FFF2-40B4-BE49-F238E27FC236}">
              <a16:creationId xmlns:a16="http://schemas.microsoft.com/office/drawing/2014/main" id="{00000000-0008-0000-0A00-00006B330000}"/>
            </a:ext>
          </a:extLst>
        </xdr:cNvPr>
        <xdr:cNvSpPr>
          <a:spLocks noChangeAspect="1"/>
        </xdr:cNvSpPr>
      </xdr:nvSpPr>
      <xdr:spPr bwMode="auto">
        <a:xfrm>
          <a:off x="5514975" y="6924675"/>
          <a:ext cx="342900" cy="47625"/>
        </a:xfrm>
        <a:custGeom>
          <a:avLst/>
          <a:gdLst>
            <a:gd name="T0" fmla="*/ 2147483647 w 916"/>
            <a:gd name="T1" fmla="*/ 0 h 104"/>
            <a:gd name="T2" fmla="*/ 2147483647 w 916"/>
            <a:gd name="T3" fmla="*/ 0 h 104"/>
            <a:gd name="T4" fmla="*/ 2147483647 w 916"/>
            <a:gd name="T5" fmla="*/ 0 h 104"/>
            <a:gd name="T6" fmla="*/ 0 w 916"/>
            <a:gd name="T7" fmla="*/ 0 h 104"/>
            <a:gd name="T8" fmla="*/ 0 w 916"/>
            <a:gd name="T9" fmla="*/ 0 h 104"/>
            <a:gd name="T10" fmla="*/ 0 w 916"/>
            <a:gd name="T11" fmla="*/ 0 h 104"/>
            <a:gd name="T12" fmla="*/ 2147483647 w 916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6"/>
            <a:gd name="T22" fmla="*/ 0 h 104"/>
            <a:gd name="T23" fmla="*/ 916 w 916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6" h="104">
              <a:moveTo>
                <a:pt x="916" y="104"/>
              </a:moveTo>
              <a:lnTo>
                <a:pt x="916" y="52"/>
              </a:lnTo>
              <a:lnTo>
                <a:pt x="916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6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9525</xdr:colOff>
      <xdr:row>39</xdr:row>
      <xdr:rowOff>142875</xdr:rowOff>
    </xdr:from>
    <xdr:to>
      <xdr:col>10</xdr:col>
      <xdr:colOff>352425</xdr:colOff>
      <xdr:row>40</xdr:row>
      <xdr:rowOff>28575</xdr:rowOff>
    </xdr:to>
    <xdr:sp macro="" textlink="">
      <xdr:nvSpPr>
        <xdr:cNvPr id="13164" name="Freeform 210">
          <a:extLst>
            <a:ext uri="{FF2B5EF4-FFF2-40B4-BE49-F238E27FC236}">
              <a16:creationId xmlns:a16="http://schemas.microsoft.com/office/drawing/2014/main" id="{00000000-0008-0000-0A00-00006C330000}"/>
            </a:ext>
          </a:extLst>
        </xdr:cNvPr>
        <xdr:cNvSpPr>
          <a:spLocks noChangeAspect="1"/>
        </xdr:cNvSpPr>
      </xdr:nvSpPr>
      <xdr:spPr bwMode="auto">
        <a:xfrm>
          <a:off x="5514975" y="6924675"/>
          <a:ext cx="342900" cy="47625"/>
        </a:xfrm>
        <a:custGeom>
          <a:avLst/>
          <a:gdLst>
            <a:gd name="T0" fmla="*/ 2147483647 w 916"/>
            <a:gd name="T1" fmla="*/ 0 h 104"/>
            <a:gd name="T2" fmla="*/ 2147483647 w 916"/>
            <a:gd name="T3" fmla="*/ 0 h 104"/>
            <a:gd name="T4" fmla="*/ 2147483647 w 916"/>
            <a:gd name="T5" fmla="*/ 0 h 104"/>
            <a:gd name="T6" fmla="*/ 0 w 916"/>
            <a:gd name="T7" fmla="*/ 0 h 104"/>
            <a:gd name="T8" fmla="*/ 0 w 916"/>
            <a:gd name="T9" fmla="*/ 0 h 104"/>
            <a:gd name="T10" fmla="*/ 0 w 916"/>
            <a:gd name="T11" fmla="*/ 0 h 104"/>
            <a:gd name="T12" fmla="*/ 2147483647 w 916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6"/>
            <a:gd name="T22" fmla="*/ 0 h 104"/>
            <a:gd name="T23" fmla="*/ 916 w 916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6" h="104">
              <a:moveTo>
                <a:pt x="916" y="104"/>
              </a:moveTo>
              <a:lnTo>
                <a:pt x="916" y="52"/>
              </a:lnTo>
              <a:lnTo>
                <a:pt x="916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6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9525</xdr:colOff>
      <xdr:row>39</xdr:row>
      <xdr:rowOff>142875</xdr:rowOff>
    </xdr:from>
    <xdr:to>
      <xdr:col>10</xdr:col>
      <xdr:colOff>9525</xdr:colOff>
      <xdr:row>40</xdr:row>
      <xdr:rowOff>28575</xdr:rowOff>
    </xdr:to>
    <xdr:sp macro="" textlink="">
      <xdr:nvSpPr>
        <xdr:cNvPr id="13165" name="Freeform 211">
          <a:extLst>
            <a:ext uri="{FF2B5EF4-FFF2-40B4-BE49-F238E27FC236}">
              <a16:creationId xmlns:a16="http://schemas.microsoft.com/office/drawing/2014/main" id="{00000000-0008-0000-0A00-00006D330000}"/>
            </a:ext>
          </a:extLst>
        </xdr:cNvPr>
        <xdr:cNvSpPr>
          <a:spLocks noChangeAspect="1"/>
        </xdr:cNvSpPr>
      </xdr:nvSpPr>
      <xdr:spPr bwMode="auto">
        <a:xfrm>
          <a:off x="5514975" y="6924675"/>
          <a:ext cx="0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0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2"/>
              </a:moveTo>
              <a:lnTo>
                <a:pt x="52" y="104"/>
              </a:ln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9525</xdr:colOff>
      <xdr:row>39</xdr:row>
      <xdr:rowOff>142875</xdr:rowOff>
    </xdr:from>
    <xdr:to>
      <xdr:col>10</xdr:col>
      <xdr:colOff>9525</xdr:colOff>
      <xdr:row>40</xdr:row>
      <xdr:rowOff>28575</xdr:rowOff>
    </xdr:to>
    <xdr:sp macro="" textlink="">
      <xdr:nvSpPr>
        <xdr:cNvPr id="13166" name="Freeform 212">
          <a:extLst>
            <a:ext uri="{FF2B5EF4-FFF2-40B4-BE49-F238E27FC236}">
              <a16:creationId xmlns:a16="http://schemas.microsoft.com/office/drawing/2014/main" id="{00000000-0008-0000-0A00-00006E330000}"/>
            </a:ext>
          </a:extLst>
        </xdr:cNvPr>
        <xdr:cNvSpPr>
          <a:spLocks noChangeAspect="1"/>
        </xdr:cNvSpPr>
      </xdr:nvSpPr>
      <xdr:spPr bwMode="auto">
        <a:xfrm>
          <a:off x="5514975" y="6924675"/>
          <a:ext cx="0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0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361950</xdr:colOff>
      <xdr:row>39</xdr:row>
      <xdr:rowOff>142875</xdr:rowOff>
    </xdr:from>
    <xdr:to>
      <xdr:col>9</xdr:col>
      <xdr:colOff>371475</xdr:colOff>
      <xdr:row>40</xdr:row>
      <xdr:rowOff>28575</xdr:rowOff>
    </xdr:to>
    <xdr:sp macro="" textlink="">
      <xdr:nvSpPr>
        <xdr:cNvPr id="13167" name="Freeform 213">
          <a:extLst>
            <a:ext uri="{FF2B5EF4-FFF2-40B4-BE49-F238E27FC236}">
              <a16:creationId xmlns:a16="http://schemas.microsoft.com/office/drawing/2014/main" id="{00000000-0008-0000-0A00-00006F330000}"/>
            </a:ext>
          </a:extLst>
        </xdr:cNvPr>
        <xdr:cNvSpPr>
          <a:spLocks noChangeAspect="1"/>
        </xdr:cNvSpPr>
      </xdr:nvSpPr>
      <xdr:spPr bwMode="auto">
        <a:xfrm>
          <a:off x="5334000" y="6924675"/>
          <a:ext cx="952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2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361950</xdr:colOff>
      <xdr:row>39</xdr:row>
      <xdr:rowOff>142875</xdr:rowOff>
    </xdr:from>
    <xdr:to>
      <xdr:col>9</xdr:col>
      <xdr:colOff>371475</xdr:colOff>
      <xdr:row>40</xdr:row>
      <xdr:rowOff>28575</xdr:rowOff>
    </xdr:to>
    <xdr:sp macro="" textlink="">
      <xdr:nvSpPr>
        <xdr:cNvPr id="13168" name="Freeform 214">
          <a:extLst>
            <a:ext uri="{FF2B5EF4-FFF2-40B4-BE49-F238E27FC236}">
              <a16:creationId xmlns:a16="http://schemas.microsoft.com/office/drawing/2014/main" id="{00000000-0008-0000-0A00-000070330000}"/>
            </a:ext>
          </a:extLst>
        </xdr:cNvPr>
        <xdr:cNvSpPr>
          <a:spLocks noChangeAspect="1"/>
        </xdr:cNvSpPr>
      </xdr:nvSpPr>
      <xdr:spPr bwMode="auto">
        <a:xfrm>
          <a:off x="5334000" y="6924675"/>
          <a:ext cx="952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9525</xdr:colOff>
      <xdr:row>39</xdr:row>
      <xdr:rowOff>142875</xdr:rowOff>
    </xdr:from>
    <xdr:to>
      <xdr:col>9</xdr:col>
      <xdr:colOff>361950</xdr:colOff>
      <xdr:row>40</xdr:row>
      <xdr:rowOff>28575</xdr:rowOff>
    </xdr:to>
    <xdr:sp macro="" textlink="">
      <xdr:nvSpPr>
        <xdr:cNvPr id="13169" name="Freeform 215">
          <a:extLst>
            <a:ext uri="{FF2B5EF4-FFF2-40B4-BE49-F238E27FC236}">
              <a16:creationId xmlns:a16="http://schemas.microsoft.com/office/drawing/2014/main" id="{00000000-0008-0000-0A00-000071330000}"/>
            </a:ext>
          </a:extLst>
        </xdr:cNvPr>
        <xdr:cNvSpPr>
          <a:spLocks noChangeAspect="1"/>
        </xdr:cNvSpPr>
      </xdr:nvSpPr>
      <xdr:spPr bwMode="auto">
        <a:xfrm>
          <a:off x="4981575" y="6924675"/>
          <a:ext cx="352425" cy="47625"/>
        </a:xfrm>
        <a:custGeom>
          <a:avLst/>
          <a:gdLst>
            <a:gd name="T0" fmla="*/ 2147483647 w 917"/>
            <a:gd name="T1" fmla="*/ 0 h 104"/>
            <a:gd name="T2" fmla="*/ 2147483647 w 917"/>
            <a:gd name="T3" fmla="*/ 0 h 104"/>
            <a:gd name="T4" fmla="*/ 2147483647 w 917"/>
            <a:gd name="T5" fmla="*/ 0 h 104"/>
            <a:gd name="T6" fmla="*/ 0 w 917"/>
            <a:gd name="T7" fmla="*/ 0 h 104"/>
            <a:gd name="T8" fmla="*/ 0 w 917"/>
            <a:gd name="T9" fmla="*/ 0 h 104"/>
            <a:gd name="T10" fmla="*/ 0 w 917"/>
            <a:gd name="T11" fmla="*/ 0 h 104"/>
            <a:gd name="T12" fmla="*/ 2147483647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917" y="104"/>
              </a:moveTo>
              <a:lnTo>
                <a:pt x="917" y="52"/>
              </a:lnTo>
              <a:lnTo>
                <a:pt x="917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7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9525</xdr:colOff>
      <xdr:row>39</xdr:row>
      <xdr:rowOff>142875</xdr:rowOff>
    </xdr:from>
    <xdr:to>
      <xdr:col>9</xdr:col>
      <xdr:colOff>361950</xdr:colOff>
      <xdr:row>40</xdr:row>
      <xdr:rowOff>28575</xdr:rowOff>
    </xdr:to>
    <xdr:sp macro="" textlink="">
      <xdr:nvSpPr>
        <xdr:cNvPr id="13170" name="Freeform 216">
          <a:extLst>
            <a:ext uri="{FF2B5EF4-FFF2-40B4-BE49-F238E27FC236}">
              <a16:creationId xmlns:a16="http://schemas.microsoft.com/office/drawing/2014/main" id="{00000000-0008-0000-0A00-000072330000}"/>
            </a:ext>
          </a:extLst>
        </xdr:cNvPr>
        <xdr:cNvSpPr>
          <a:spLocks noChangeAspect="1"/>
        </xdr:cNvSpPr>
      </xdr:nvSpPr>
      <xdr:spPr bwMode="auto">
        <a:xfrm>
          <a:off x="4981575" y="6924675"/>
          <a:ext cx="352425" cy="47625"/>
        </a:xfrm>
        <a:custGeom>
          <a:avLst/>
          <a:gdLst>
            <a:gd name="T0" fmla="*/ 2147483647 w 917"/>
            <a:gd name="T1" fmla="*/ 0 h 104"/>
            <a:gd name="T2" fmla="*/ 2147483647 w 917"/>
            <a:gd name="T3" fmla="*/ 0 h 104"/>
            <a:gd name="T4" fmla="*/ 2147483647 w 917"/>
            <a:gd name="T5" fmla="*/ 0 h 104"/>
            <a:gd name="T6" fmla="*/ 0 w 917"/>
            <a:gd name="T7" fmla="*/ 0 h 104"/>
            <a:gd name="T8" fmla="*/ 0 w 917"/>
            <a:gd name="T9" fmla="*/ 0 h 104"/>
            <a:gd name="T10" fmla="*/ 0 w 917"/>
            <a:gd name="T11" fmla="*/ 0 h 104"/>
            <a:gd name="T12" fmla="*/ 2147483647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917" y="104"/>
              </a:moveTo>
              <a:lnTo>
                <a:pt x="917" y="52"/>
              </a:lnTo>
              <a:lnTo>
                <a:pt x="917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7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9525</xdr:colOff>
      <xdr:row>39</xdr:row>
      <xdr:rowOff>142875</xdr:rowOff>
    </xdr:from>
    <xdr:to>
      <xdr:col>9</xdr:col>
      <xdr:colOff>9525</xdr:colOff>
      <xdr:row>40</xdr:row>
      <xdr:rowOff>28575</xdr:rowOff>
    </xdr:to>
    <xdr:sp macro="" textlink="">
      <xdr:nvSpPr>
        <xdr:cNvPr id="13171" name="Freeform 217">
          <a:extLst>
            <a:ext uri="{FF2B5EF4-FFF2-40B4-BE49-F238E27FC236}">
              <a16:creationId xmlns:a16="http://schemas.microsoft.com/office/drawing/2014/main" id="{00000000-0008-0000-0A00-000073330000}"/>
            </a:ext>
          </a:extLst>
        </xdr:cNvPr>
        <xdr:cNvSpPr>
          <a:spLocks noChangeAspect="1"/>
        </xdr:cNvSpPr>
      </xdr:nvSpPr>
      <xdr:spPr bwMode="auto">
        <a:xfrm>
          <a:off x="4981575" y="6924675"/>
          <a:ext cx="0" cy="4762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0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2"/>
              </a:moveTo>
              <a:lnTo>
                <a:pt x="51" y="104"/>
              </a:ln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9525</xdr:colOff>
      <xdr:row>39</xdr:row>
      <xdr:rowOff>142875</xdr:rowOff>
    </xdr:from>
    <xdr:to>
      <xdr:col>9</xdr:col>
      <xdr:colOff>9525</xdr:colOff>
      <xdr:row>40</xdr:row>
      <xdr:rowOff>28575</xdr:rowOff>
    </xdr:to>
    <xdr:sp macro="" textlink="">
      <xdr:nvSpPr>
        <xdr:cNvPr id="13172" name="Freeform 218">
          <a:extLst>
            <a:ext uri="{FF2B5EF4-FFF2-40B4-BE49-F238E27FC236}">
              <a16:creationId xmlns:a16="http://schemas.microsoft.com/office/drawing/2014/main" id="{00000000-0008-0000-0A00-000074330000}"/>
            </a:ext>
          </a:extLst>
        </xdr:cNvPr>
        <xdr:cNvSpPr>
          <a:spLocks noChangeAspect="1"/>
        </xdr:cNvSpPr>
      </xdr:nvSpPr>
      <xdr:spPr bwMode="auto">
        <a:xfrm>
          <a:off x="4981575" y="6924675"/>
          <a:ext cx="0" cy="4762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0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390525</xdr:colOff>
      <xdr:row>39</xdr:row>
      <xdr:rowOff>142875</xdr:rowOff>
    </xdr:from>
    <xdr:to>
      <xdr:col>8</xdr:col>
      <xdr:colOff>409575</xdr:colOff>
      <xdr:row>40</xdr:row>
      <xdr:rowOff>28575</xdr:rowOff>
    </xdr:to>
    <xdr:sp macro="" textlink="">
      <xdr:nvSpPr>
        <xdr:cNvPr id="13173" name="Freeform 219">
          <a:extLst>
            <a:ext uri="{FF2B5EF4-FFF2-40B4-BE49-F238E27FC236}">
              <a16:creationId xmlns:a16="http://schemas.microsoft.com/office/drawing/2014/main" id="{00000000-0008-0000-0A00-000075330000}"/>
            </a:ext>
          </a:extLst>
        </xdr:cNvPr>
        <xdr:cNvSpPr>
          <a:spLocks noChangeAspect="1"/>
        </xdr:cNvSpPr>
      </xdr:nvSpPr>
      <xdr:spPr bwMode="auto">
        <a:xfrm>
          <a:off x="4829175" y="6924675"/>
          <a:ext cx="19050" cy="4762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2"/>
              </a:moveTo>
              <a:lnTo>
                <a:pt x="0" y="0"/>
              </a:ln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7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7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390525</xdr:colOff>
      <xdr:row>39</xdr:row>
      <xdr:rowOff>142875</xdr:rowOff>
    </xdr:from>
    <xdr:to>
      <xdr:col>8</xdr:col>
      <xdr:colOff>409575</xdr:colOff>
      <xdr:row>40</xdr:row>
      <xdr:rowOff>28575</xdr:rowOff>
    </xdr:to>
    <xdr:sp macro="" textlink="">
      <xdr:nvSpPr>
        <xdr:cNvPr id="13174" name="Freeform 220">
          <a:extLst>
            <a:ext uri="{FF2B5EF4-FFF2-40B4-BE49-F238E27FC236}">
              <a16:creationId xmlns:a16="http://schemas.microsoft.com/office/drawing/2014/main" id="{00000000-0008-0000-0A00-000076330000}"/>
            </a:ext>
          </a:extLst>
        </xdr:cNvPr>
        <xdr:cNvSpPr>
          <a:spLocks noChangeAspect="1"/>
        </xdr:cNvSpPr>
      </xdr:nvSpPr>
      <xdr:spPr bwMode="auto">
        <a:xfrm>
          <a:off x="4829175" y="6924675"/>
          <a:ext cx="19050" cy="4762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7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7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9525</xdr:colOff>
      <xdr:row>39</xdr:row>
      <xdr:rowOff>142875</xdr:rowOff>
    </xdr:from>
    <xdr:to>
      <xdr:col>8</xdr:col>
      <xdr:colOff>381000</xdr:colOff>
      <xdr:row>40</xdr:row>
      <xdr:rowOff>28575</xdr:rowOff>
    </xdr:to>
    <xdr:sp macro="" textlink="">
      <xdr:nvSpPr>
        <xdr:cNvPr id="13175" name="Freeform 221">
          <a:extLst>
            <a:ext uri="{FF2B5EF4-FFF2-40B4-BE49-F238E27FC236}">
              <a16:creationId xmlns:a16="http://schemas.microsoft.com/office/drawing/2014/main" id="{00000000-0008-0000-0A00-000077330000}"/>
            </a:ext>
          </a:extLst>
        </xdr:cNvPr>
        <xdr:cNvSpPr>
          <a:spLocks noChangeAspect="1"/>
        </xdr:cNvSpPr>
      </xdr:nvSpPr>
      <xdr:spPr bwMode="auto">
        <a:xfrm>
          <a:off x="4448175" y="6924675"/>
          <a:ext cx="371475" cy="47625"/>
        </a:xfrm>
        <a:custGeom>
          <a:avLst/>
          <a:gdLst>
            <a:gd name="T0" fmla="*/ 2147483647 w 917"/>
            <a:gd name="T1" fmla="*/ 0 h 104"/>
            <a:gd name="T2" fmla="*/ 2147483647 w 917"/>
            <a:gd name="T3" fmla="*/ 0 h 104"/>
            <a:gd name="T4" fmla="*/ 2147483647 w 917"/>
            <a:gd name="T5" fmla="*/ 0 h 104"/>
            <a:gd name="T6" fmla="*/ 0 w 917"/>
            <a:gd name="T7" fmla="*/ 0 h 104"/>
            <a:gd name="T8" fmla="*/ 0 w 917"/>
            <a:gd name="T9" fmla="*/ 0 h 104"/>
            <a:gd name="T10" fmla="*/ 0 w 917"/>
            <a:gd name="T11" fmla="*/ 0 h 104"/>
            <a:gd name="T12" fmla="*/ 2147483647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917" y="104"/>
              </a:moveTo>
              <a:lnTo>
                <a:pt x="917" y="52"/>
              </a:lnTo>
              <a:lnTo>
                <a:pt x="917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7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9525</xdr:colOff>
      <xdr:row>39</xdr:row>
      <xdr:rowOff>142875</xdr:rowOff>
    </xdr:from>
    <xdr:to>
      <xdr:col>8</xdr:col>
      <xdr:colOff>381000</xdr:colOff>
      <xdr:row>40</xdr:row>
      <xdr:rowOff>28575</xdr:rowOff>
    </xdr:to>
    <xdr:sp macro="" textlink="">
      <xdr:nvSpPr>
        <xdr:cNvPr id="13176" name="Freeform 222">
          <a:extLst>
            <a:ext uri="{FF2B5EF4-FFF2-40B4-BE49-F238E27FC236}">
              <a16:creationId xmlns:a16="http://schemas.microsoft.com/office/drawing/2014/main" id="{00000000-0008-0000-0A00-000078330000}"/>
            </a:ext>
          </a:extLst>
        </xdr:cNvPr>
        <xdr:cNvSpPr>
          <a:spLocks noChangeAspect="1"/>
        </xdr:cNvSpPr>
      </xdr:nvSpPr>
      <xdr:spPr bwMode="auto">
        <a:xfrm>
          <a:off x="4448175" y="6924675"/>
          <a:ext cx="371475" cy="47625"/>
        </a:xfrm>
        <a:custGeom>
          <a:avLst/>
          <a:gdLst>
            <a:gd name="T0" fmla="*/ 2147483647 w 917"/>
            <a:gd name="T1" fmla="*/ 0 h 104"/>
            <a:gd name="T2" fmla="*/ 2147483647 w 917"/>
            <a:gd name="T3" fmla="*/ 0 h 104"/>
            <a:gd name="T4" fmla="*/ 2147483647 w 917"/>
            <a:gd name="T5" fmla="*/ 0 h 104"/>
            <a:gd name="T6" fmla="*/ 0 w 917"/>
            <a:gd name="T7" fmla="*/ 0 h 104"/>
            <a:gd name="T8" fmla="*/ 0 w 917"/>
            <a:gd name="T9" fmla="*/ 0 h 104"/>
            <a:gd name="T10" fmla="*/ 0 w 917"/>
            <a:gd name="T11" fmla="*/ 0 h 104"/>
            <a:gd name="T12" fmla="*/ 2147483647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917" y="104"/>
              </a:moveTo>
              <a:lnTo>
                <a:pt x="917" y="52"/>
              </a:lnTo>
              <a:lnTo>
                <a:pt x="917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7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9525</xdr:colOff>
      <xdr:row>39</xdr:row>
      <xdr:rowOff>142875</xdr:rowOff>
    </xdr:from>
    <xdr:to>
      <xdr:col>8</xdr:col>
      <xdr:colOff>9525</xdr:colOff>
      <xdr:row>40</xdr:row>
      <xdr:rowOff>28575</xdr:rowOff>
    </xdr:to>
    <xdr:sp macro="" textlink="">
      <xdr:nvSpPr>
        <xdr:cNvPr id="13177" name="Freeform 223">
          <a:extLst>
            <a:ext uri="{FF2B5EF4-FFF2-40B4-BE49-F238E27FC236}">
              <a16:creationId xmlns:a16="http://schemas.microsoft.com/office/drawing/2014/main" id="{00000000-0008-0000-0A00-000079330000}"/>
            </a:ext>
          </a:extLst>
        </xdr:cNvPr>
        <xdr:cNvSpPr>
          <a:spLocks noChangeAspect="1"/>
        </xdr:cNvSpPr>
      </xdr:nvSpPr>
      <xdr:spPr bwMode="auto">
        <a:xfrm>
          <a:off x="4448175" y="6924675"/>
          <a:ext cx="0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2"/>
              </a:moveTo>
              <a:lnTo>
                <a:pt x="52" y="104"/>
              </a:ln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1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2" y="0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9525</xdr:colOff>
      <xdr:row>39</xdr:row>
      <xdr:rowOff>142875</xdr:rowOff>
    </xdr:from>
    <xdr:to>
      <xdr:col>8</xdr:col>
      <xdr:colOff>9525</xdr:colOff>
      <xdr:row>40</xdr:row>
      <xdr:rowOff>28575</xdr:rowOff>
    </xdr:to>
    <xdr:sp macro="" textlink="">
      <xdr:nvSpPr>
        <xdr:cNvPr id="13178" name="Freeform 224">
          <a:extLst>
            <a:ext uri="{FF2B5EF4-FFF2-40B4-BE49-F238E27FC236}">
              <a16:creationId xmlns:a16="http://schemas.microsoft.com/office/drawing/2014/main" id="{00000000-0008-0000-0A00-00007A330000}"/>
            </a:ext>
          </a:extLst>
        </xdr:cNvPr>
        <xdr:cNvSpPr>
          <a:spLocks noChangeAspect="1"/>
        </xdr:cNvSpPr>
      </xdr:nvSpPr>
      <xdr:spPr bwMode="auto">
        <a:xfrm>
          <a:off x="4448175" y="6924675"/>
          <a:ext cx="0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1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428625</xdr:colOff>
      <xdr:row>39</xdr:row>
      <xdr:rowOff>142875</xdr:rowOff>
    </xdr:from>
    <xdr:to>
      <xdr:col>7</xdr:col>
      <xdr:colOff>438150</xdr:colOff>
      <xdr:row>40</xdr:row>
      <xdr:rowOff>28575</xdr:rowOff>
    </xdr:to>
    <xdr:sp macro="" textlink="">
      <xdr:nvSpPr>
        <xdr:cNvPr id="13179" name="Freeform 225">
          <a:extLst>
            <a:ext uri="{FF2B5EF4-FFF2-40B4-BE49-F238E27FC236}">
              <a16:creationId xmlns:a16="http://schemas.microsoft.com/office/drawing/2014/main" id="{00000000-0008-0000-0A00-00007B330000}"/>
            </a:ext>
          </a:extLst>
        </xdr:cNvPr>
        <xdr:cNvSpPr>
          <a:spLocks noChangeAspect="1"/>
        </xdr:cNvSpPr>
      </xdr:nvSpPr>
      <xdr:spPr bwMode="auto">
        <a:xfrm>
          <a:off x="4333875" y="6924675"/>
          <a:ext cx="952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2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428625</xdr:colOff>
      <xdr:row>39</xdr:row>
      <xdr:rowOff>142875</xdr:rowOff>
    </xdr:from>
    <xdr:to>
      <xdr:col>7</xdr:col>
      <xdr:colOff>438150</xdr:colOff>
      <xdr:row>40</xdr:row>
      <xdr:rowOff>28575</xdr:rowOff>
    </xdr:to>
    <xdr:sp macro="" textlink="">
      <xdr:nvSpPr>
        <xdr:cNvPr id="13180" name="Freeform 226">
          <a:extLst>
            <a:ext uri="{FF2B5EF4-FFF2-40B4-BE49-F238E27FC236}">
              <a16:creationId xmlns:a16="http://schemas.microsoft.com/office/drawing/2014/main" id="{00000000-0008-0000-0A00-00007C330000}"/>
            </a:ext>
          </a:extLst>
        </xdr:cNvPr>
        <xdr:cNvSpPr>
          <a:spLocks noChangeAspect="1"/>
        </xdr:cNvSpPr>
      </xdr:nvSpPr>
      <xdr:spPr bwMode="auto">
        <a:xfrm>
          <a:off x="4333875" y="6924675"/>
          <a:ext cx="952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28575</xdr:colOff>
      <xdr:row>39</xdr:row>
      <xdr:rowOff>142875</xdr:rowOff>
    </xdr:from>
    <xdr:to>
      <xdr:col>7</xdr:col>
      <xdr:colOff>428625</xdr:colOff>
      <xdr:row>40</xdr:row>
      <xdr:rowOff>28575</xdr:rowOff>
    </xdr:to>
    <xdr:sp macro="" textlink="">
      <xdr:nvSpPr>
        <xdr:cNvPr id="13181" name="Freeform 227">
          <a:extLst>
            <a:ext uri="{FF2B5EF4-FFF2-40B4-BE49-F238E27FC236}">
              <a16:creationId xmlns:a16="http://schemas.microsoft.com/office/drawing/2014/main" id="{00000000-0008-0000-0A00-00007D330000}"/>
            </a:ext>
          </a:extLst>
        </xdr:cNvPr>
        <xdr:cNvSpPr>
          <a:spLocks noChangeAspect="1"/>
        </xdr:cNvSpPr>
      </xdr:nvSpPr>
      <xdr:spPr bwMode="auto">
        <a:xfrm>
          <a:off x="3933825" y="6924675"/>
          <a:ext cx="400050" cy="47625"/>
        </a:xfrm>
        <a:custGeom>
          <a:avLst/>
          <a:gdLst>
            <a:gd name="T0" fmla="*/ 2147483647 w 917"/>
            <a:gd name="T1" fmla="*/ 0 h 104"/>
            <a:gd name="T2" fmla="*/ 2147483647 w 917"/>
            <a:gd name="T3" fmla="*/ 0 h 104"/>
            <a:gd name="T4" fmla="*/ 2147483647 w 917"/>
            <a:gd name="T5" fmla="*/ 0 h 104"/>
            <a:gd name="T6" fmla="*/ 0 w 917"/>
            <a:gd name="T7" fmla="*/ 0 h 104"/>
            <a:gd name="T8" fmla="*/ 0 w 917"/>
            <a:gd name="T9" fmla="*/ 0 h 104"/>
            <a:gd name="T10" fmla="*/ 0 w 917"/>
            <a:gd name="T11" fmla="*/ 0 h 104"/>
            <a:gd name="T12" fmla="*/ 2147483647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917" y="104"/>
              </a:moveTo>
              <a:lnTo>
                <a:pt x="917" y="52"/>
              </a:lnTo>
              <a:lnTo>
                <a:pt x="917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7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28575</xdr:colOff>
      <xdr:row>39</xdr:row>
      <xdr:rowOff>142875</xdr:rowOff>
    </xdr:from>
    <xdr:to>
      <xdr:col>7</xdr:col>
      <xdr:colOff>428625</xdr:colOff>
      <xdr:row>40</xdr:row>
      <xdr:rowOff>28575</xdr:rowOff>
    </xdr:to>
    <xdr:sp macro="" textlink="">
      <xdr:nvSpPr>
        <xdr:cNvPr id="13182" name="Freeform 228">
          <a:extLst>
            <a:ext uri="{FF2B5EF4-FFF2-40B4-BE49-F238E27FC236}">
              <a16:creationId xmlns:a16="http://schemas.microsoft.com/office/drawing/2014/main" id="{00000000-0008-0000-0A00-00007E330000}"/>
            </a:ext>
          </a:extLst>
        </xdr:cNvPr>
        <xdr:cNvSpPr>
          <a:spLocks noChangeAspect="1"/>
        </xdr:cNvSpPr>
      </xdr:nvSpPr>
      <xdr:spPr bwMode="auto">
        <a:xfrm>
          <a:off x="3933825" y="6924675"/>
          <a:ext cx="400050" cy="47625"/>
        </a:xfrm>
        <a:custGeom>
          <a:avLst/>
          <a:gdLst>
            <a:gd name="T0" fmla="*/ 2147483647 w 917"/>
            <a:gd name="T1" fmla="*/ 0 h 104"/>
            <a:gd name="T2" fmla="*/ 2147483647 w 917"/>
            <a:gd name="T3" fmla="*/ 0 h 104"/>
            <a:gd name="T4" fmla="*/ 2147483647 w 917"/>
            <a:gd name="T5" fmla="*/ 0 h 104"/>
            <a:gd name="T6" fmla="*/ 0 w 917"/>
            <a:gd name="T7" fmla="*/ 0 h 104"/>
            <a:gd name="T8" fmla="*/ 0 w 917"/>
            <a:gd name="T9" fmla="*/ 0 h 104"/>
            <a:gd name="T10" fmla="*/ 0 w 917"/>
            <a:gd name="T11" fmla="*/ 0 h 104"/>
            <a:gd name="T12" fmla="*/ 2147483647 w 91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7"/>
            <a:gd name="T22" fmla="*/ 0 h 104"/>
            <a:gd name="T23" fmla="*/ 917 w 91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7" h="104">
              <a:moveTo>
                <a:pt x="917" y="104"/>
              </a:moveTo>
              <a:lnTo>
                <a:pt x="917" y="52"/>
              </a:lnTo>
              <a:lnTo>
                <a:pt x="917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7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9525</xdr:colOff>
      <xdr:row>39</xdr:row>
      <xdr:rowOff>142875</xdr:rowOff>
    </xdr:from>
    <xdr:to>
      <xdr:col>7</xdr:col>
      <xdr:colOff>28575</xdr:colOff>
      <xdr:row>40</xdr:row>
      <xdr:rowOff>28575</xdr:rowOff>
    </xdr:to>
    <xdr:sp macro="" textlink="">
      <xdr:nvSpPr>
        <xdr:cNvPr id="13183" name="Freeform 229">
          <a:extLst>
            <a:ext uri="{FF2B5EF4-FFF2-40B4-BE49-F238E27FC236}">
              <a16:creationId xmlns:a16="http://schemas.microsoft.com/office/drawing/2014/main" id="{00000000-0008-0000-0A00-00007F330000}"/>
            </a:ext>
          </a:extLst>
        </xdr:cNvPr>
        <xdr:cNvSpPr>
          <a:spLocks noChangeAspect="1"/>
        </xdr:cNvSpPr>
      </xdr:nvSpPr>
      <xdr:spPr bwMode="auto">
        <a:xfrm>
          <a:off x="3914775" y="6924675"/>
          <a:ext cx="19050" cy="4762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2"/>
              </a:moveTo>
              <a:lnTo>
                <a:pt x="51" y="104"/>
              </a:lnTo>
              <a:lnTo>
                <a:pt x="39" y="103"/>
              </a:lnTo>
              <a:lnTo>
                <a:pt x="29" y="99"/>
              </a:lnTo>
              <a:lnTo>
                <a:pt x="18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8" y="11"/>
              </a:lnTo>
              <a:lnTo>
                <a:pt x="29" y="5"/>
              </a:lnTo>
              <a:lnTo>
                <a:pt x="39" y="2"/>
              </a:lnTo>
              <a:lnTo>
                <a:pt x="51" y="0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9525</xdr:colOff>
      <xdr:row>39</xdr:row>
      <xdr:rowOff>142875</xdr:rowOff>
    </xdr:from>
    <xdr:to>
      <xdr:col>7</xdr:col>
      <xdr:colOff>28575</xdr:colOff>
      <xdr:row>40</xdr:row>
      <xdr:rowOff>28575</xdr:rowOff>
    </xdr:to>
    <xdr:sp macro="" textlink="">
      <xdr:nvSpPr>
        <xdr:cNvPr id="13184" name="Freeform 230">
          <a:extLst>
            <a:ext uri="{FF2B5EF4-FFF2-40B4-BE49-F238E27FC236}">
              <a16:creationId xmlns:a16="http://schemas.microsoft.com/office/drawing/2014/main" id="{00000000-0008-0000-0A00-000080330000}"/>
            </a:ext>
          </a:extLst>
        </xdr:cNvPr>
        <xdr:cNvSpPr>
          <a:spLocks noChangeAspect="1"/>
        </xdr:cNvSpPr>
      </xdr:nvSpPr>
      <xdr:spPr bwMode="auto">
        <a:xfrm>
          <a:off x="3914775" y="6924675"/>
          <a:ext cx="19050" cy="4762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39" y="103"/>
              </a:lnTo>
              <a:lnTo>
                <a:pt x="29" y="99"/>
              </a:lnTo>
              <a:lnTo>
                <a:pt x="18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8" y="11"/>
              </a:lnTo>
              <a:lnTo>
                <a:pt x="29" y="5"/>
              </a:lnTo>
              <a:lnTo>
                <a:pt x="39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9525</xdr:colOff>
      <xdr:row>39</xdr:row>
      <xdr:rowOff>142875</xdr:rowOff>
    </xdr:from>
    <xdr:to>
      <xdr:col>7</xdr:col>
      <xdr:colOff>9525</xdr:colOff>
      <xdr:row>40</xdr:row>
      <xdr:rowOff>28575</xdr:rowOff>
    </xdr:to>
    <xdr:sp macro="" textlink="">
      <xdr:nvSpPr>
        <xdr:cNvPr id="13185" name="Freeform 231">
          <a:extLst>
            <a:ext uri="{FF2B5EF4-FFF2-40B4-BE49-F238E27FC236}">
              <a16:creationId xmlns:a16="http://schemas.microsoft.com/office/drawing/2014/main" id="{00000000-0008-0000-0A00-000081330000}"/>
            </a:ext>
          </a:extLst>
        </xdr:cNvPr>
        <xdr:cNvSpPr>
          <a:spLocks noChangeAspect="1"/>
        </xdr:cNvSpPr>
      </xdr:nvSpPr>
      <xdr:spPr bwMode="auto">
        <a:xfrm>
          <a:off x="3914775" y="6924675"/>
          <a:ext cx="0" cy="4762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0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2"/>
              </a:moveTo>
              <a:lnTo>
                <a:pt x="0" y="0"/>
              </a:ln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3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9525</xdr:colOff>
      <xdr:row>39</xdr:row>
      <xdr:rowOff>142875</xdr:rowOff>
    </xdr:from>
    <xdr:to>
      <xdr:col>7</xdr:col>
      <xdr:colOff>9525</xdr:colOff>
      <xdr:row>40</xdr:row>
      <xdr:rowOff>28575</xdr:rowOff>
    </xdr:to>
    <xdr:sp macro="" textlink="">
      <xdr:nvSpPr>
        <xdr:cNvPr id="13186" name="Freeform 232">
          <a:extLst>
            <a:ext uri="{FF2B5EF4-FFF2-40B4-BE49-F238E27FC236}">
              <a16:creationId xmlns:a16="http://schemas.microsoft.com/office/drawing/2014/main" id="{00000000-0008-0000-0A00-000082330000}"/>
            </a:ext>
          </a:extLst>
        </xdr:cNvPr>
        <xdr:cNvSpPr>
          <a:spLocks noChangeAspect="1"/>
        </xdr:cNvSpPr>
      </xdr:nvSpPr>
      <xdr:spPr bwMode="auto">
        <a:xfrm>
          <a:off x="3914775" y="6924675"/>
          <a:ext cx="0" cy="4762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0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3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47625</xdr:colOff>
      <xdr:row>39</xdr:row>
      <xdr:rowOff>142875</xdr:rowOff>
    </xdr:from>
    <xdr:to>
      <xdr:col>6</xdr:col>
      <xdr:colOff>438150</xdr:colOff>
      <xdr:row>40</xdr:row>
      <xdr:rowOff>28575</xdr:rowOff>
    </xdr:to>
    <xdr:sp macro="" textlink="">
      <xdr:nvSpPr>
        <xdr:cNvPr id="13187" name="Freeform 233">
          <a:extLst>
            <a:ext uri="{FF2B5EF4-FFF2-40B4-BE49-F238E27FC236}">
              <a16:creationId xmlns:a16="http://schemas.microsoft.com/office/drawing/2014/main" id="{00000000-0008-0000-0A00-000083330000}"/>
            </a:ext>
          </a:extLst>
        </xdr:cNvPr>
        <xdr:cNvSpPr>
          <a:spLocks noChangeAspect="1"/>
        </xdr:cNvSpPr>
      </xdr:nvSpPr>
      <xdr:spPr bwMode="auto">
        <a:xfrm>
          <a:off x="3419475" y="6924675"/>
          <a:ext cx="390525" cy="47625"/>
        </a:xfrm>
        <a:custGeom>
          <a:avLst/>
          <a:gdLst>
            <a:gd name="T0" fmla="*/ 2147483647 w 918"/>
            <a:gd name="T1" fmla="*/ 0 h 104"/>
            <a:gd name="T2" fmla="*/ 2147483647 w 918"/>
            <a:gd name="T3" fmla="*/ 0 h 104"/>
            <a:gd name="T4" fmla="*/ 2147483647 w 918"/>
            <a:gd name="T5" fmla="*/ 0 h 104"/>
            <a:gd name="T6" fmla="*/ 0 w 918"/>
            <a:gd name="T7" fmla="*/ 0 h 104"/>
            <a:gd name="T8" fmla="*/ 0 w 918"/>
            <a:gd name="T9" fmla="*/ 0 h 104"/>
            <a:gd name="T10" fmla="*/ 0 w 918"/>
            <a:gd name="T11" fmla="*/ 0 h 104"/>
            <a:gd name="T12" fmla="*/ 2147483647 w 918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8"/>
            <a:gd name="T22" fmla="*/ 0 h 104"/>
            <a:gd name="T23" fmla="*/ 918 w 918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8" h="104">
              <a:moveTo>
                <a:pt x="918" y="104"/>
              </a:moveTo>
              <a:lnTo>
                <a:pt x="918" y="52"/>
              </a:lnTo>
              <a:lnTo>
                <a:pt x="918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8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47625</xdr:colOff>
      <xdr:row>39</xdr:row>
      <xdr:rowOff>142875</xdr:rowOff>
    </xdr:from>
    <xdr:to>
      <xdr:col>6</xdr:col>
      <xdr:colOff>438150</xdr:colOff>
      <xdr:row>40</xdr:row>
      <xdr:rowOff>28575</xdr:rowOff>
    </xdr:to>
    <xdr:sp macro="" textlink="">
      <xdr:nvSpPr>
        <xdr:cNvPr id="13188" name="Freeform 234">
          <a:extLst>
            <a:ext uri="{FF2B5EF4-FFF2-40B4-BE49-F238E27FC236}">
              <a16:creationId xmlns:a16="http://schemas.microsoft.com/office/drawing/2014/main" id="{00000000-0008-0000-0A00-000084330000}"/>
            </a:ext>
          </a:extLst>
        </xdr:cNvPr>
        <xdr:cNvSpPr>
          <a:spLocks noChangeAspect="1"/>
        </xdr:cNvSpPr>
      </xdr:nvSpPr>
      <xdr:spPr bwMode="auto">
        <a:xfrm>
          <a:off x="3419475" y="6924675"/>
          <a:ext cx="390525" cy="47625"/>
        </a:xfrm>
        <a:custGeom>
          <a:avLst/>
          <a:gdLst>
            <a:gd name="T0" fmla="*/ 2147483647 w 918"/>
            <a:gd name="T1" fmla="*/ 0 h 104"/>
            <a:gd name="T2" fmla="*/ 2147483647 w 918"/>
            <a:gd name="T3" fmla="*/ 0 h 104"/>
            <a:gd name="T4" fmla="*/ 2147483647 w 918"/>
            <a:gd name="T5" fmla="*/ 0 h 104"/>
            <a:gd name="T6" fmla="*/ 0 w 918"/>
            <a:gd name="T7" fmla="*/ 0 h 104"/>
            <a:gd name="T8" fmla="*/ 0 w 918"/>
            <a:gd name="T9" fmla="*/ 0 h 104"/>
            <a:gd name="T10" fmla="*/ 0 w 918"/>
            <a:gd name="T11" fmla="*/ 0 h 104"/>
            <a:gd name="T12" fmla="*/ 2147483647 w 918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8"/>
            <a:gd name="T22" fmla="*/ 0 h 104"/>
            <a:gd name="T23" fmla="*/ 918 w 918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8" h="104">
              <a:moveTo>
                <a:pt x="918" y="104"/>
              </a:moveTo>
              <a:lnTo>
                <a:pt x="918" y="52"/>
              </a:lnTo>
              <a:lnTo>
                <a:pt x="918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8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47625</xdr:colOff>
      <xdr:row>39</xdr:row>
      <xdr:rowOff>142875</xdr:rowOff>
    </xdr:from>
    <xdr:to>
      <xdr:col>6</xdr:col>
      <xdr:colOff>57150</xdr:colOff>
      <xdr:row>40</xdr:row>
      <xdr:rowOff>28575</xdr:rowOff>
    </xdr:to>
    <xdr:sp macro="" textlink="">
      <xdr:nvSpPr>
        <xdr:cNvPr id="13189" name="Freeform 235">
          <a:extLst>
            <a:ext uri="{FF2B5EF4-FFF2-40B4-BE49-F238E27FC236}">
              <a16:creationId xmlns:a16="http://schemas.microsoft.com/office/drawing/2014/main" id="{00000000-0008-0000-0A00-000085330000}"/>
            </a:ext>
          </a:extLst>
        </xdr:cNvPr>
        <xdr:cNvSpPr>
          <a:spLocks noChangeAspect="1"/>
        </xdr:cNvSpPr>
      </xdr:nvSpPr>
      <xdr:spPr bwMode="auto">
        <a:xfrm>
          <a:off x="3419475" y="6924675"/>
          <a:ext cx="9525" cy="4762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2"/>
              </a:moveTo>
              <a:lnTo>
                <a:pt x="51" y="104"/>
              </a:ln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47625</xdr:colOff>
      <xdr:row>39</xdr:row>
      <xdr:rowOff>142875</xdr:rowOff>
    </xdr:from>
    <xdr:to>
      <xdr:col>6</xdr:col>
      <xdr:colOff>57150</xdr:colOff>
      <xdr:row>40</xdr:row>
      <xdr:rowOff>28575</xdr:rowOff>
    </xdr:to>
    <xdr:sp macro="" textlink="">
      <xdr:nvSpPr>
        <xdr:cNvPr id="13190" name="Freeform 236">
          <a:extLst>
            <a:ext uri="{FF2B5EF4-FFF2-40B4-BE49-F238E27FC236}">
              <a16:creationId xmlns:a16="http://schemas.microsoft.com/office/drawing/2014/main" id="{00000000-0008-0000-0A00-000086330000}"/>
            </a:ext>
          </a:extLst>
        </xdr:cNvPr>
        <xdr:cNvSpPr>
          <a:spLocks noChangeAspect="1"/>
        </xdr:cNvSpPr>
      </xdr:nvSpPr>
      <xdr:spPr bwMode="auto">
        <a:xfrm>
          <a:off x="3419475" y="6924675"/>
          <a:ext cx="9525" cy="4762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9525</xdr:colOff>
      <xdr:row>39</xdr:row>
      <xdr:rowOff>142875</xdr:rowOff>
    </xdr:from>
    <xdr:to>
      <xdr:col>6</xdr:col>
      <xdr:colOff>9525</xdr:colOff>
      <xdr:row>40</xdr:row>
      <xdr:rowOff>28575</xdr:rowOff>
    </xdr:to>
    <xdr:sp macro="" textlink="">
      <xdr:nvSpPr>
        <xdr:cNvPr id="13191" name="Freeform 237">
          <a:extLst>
            <a:ext uri="{FF2B5EF4-FFF2-40B4-BE49-F238E27FC236}">
              <a16:creationId xmlns:a16="http://schemas.microsoft.com/office/drawing/2014/main" id="{00000000-0008-0000-0A00-000087330000}"/>
            </a:ext>
          </a:extLst>
        </xdr:cNvPr>
        <xdr:cNvSpPr>
          <a:spLocks noChangeAspect="1"/>
        </xdr:cNvSpPr>
      </xdr:nvSpPr>
      <xdr:spPr bwMode="auto">
        <a:xfrm>
          <a:off x="3381375" y="6924675"/>
          <a:ext cx="0" cy="4762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0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2"/>
              </a:moveTo>
              <a:lnTo>
                <a:pt x="0" y="0"/>
              </a:lnTo>
              <a:lnTo>
                <a:pt x="12" y="2"/>
              </a:lnTo>
              <a:lnTo>
                <a:pt x="23" y="5"/>
              </a:lnTo>
              <a:lnTo>
                <a:pt x="33" y="11"/>
              </a:lnTo>
              <a:lnTo>
                <a:pt x="41" y="20"/>
              </a:lnTo>
              <a:lnTo>
                <a:pt x="48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8" y="74"/>
              </a:lnTo>
              <a:lnTo>
                <a:pt x="41" y="85"/>
              </a:lnTo>
              <a:lnTo>
                <a:pt x="33" y="93"/>
              </a:lnTo>
              <a:lnTo>
                <a:pt x="23" y="99"/>
              </a:lnTo>
              <a:lnTo>
                <a:pt x="12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9525</xdr:colOff>
      <xdr:row>39</xdr:row>
      <xdr:rowOff>142875</xdr:rowOff>
    </xdr:from>
    <xdr:to>
      <xdr:col>6</xdr:col>
      <xdr:colOff>9525</xdr:colOff>
      <xdr:row>40</xdr:row>
      <xdr:rowOff>28575</xdr:rowOff>
    </xdr:to>
    <xdr:sp macro="" textlink="">
      <xdr:nvSpPr>
        <xdr:cNvPr id="13192" name="Freeform 238">
          <a:extLst>
            <a:ext uri="{FF2B5EF4-FFF2-40B4-BE49-F238E27FC236}">
              <a16:creationId xmlns:a16="http://schemas.microsoft.com/office/drawing/2014/main" id="{00000000-0008-0000-0A00-000088330000}"/>
            </a:ext>
          </a:extLst>
        </xdr:cNvPr>
        <xdr:cNvSpPr>
          <a:spLocks noChangeAspect="1"/>
        </xdr:cNvSpPr>
      </xdr:nvSpPr>
      <xdr:spPr bwMode="auto">
        <a:xfrm>
          <a:off x="3381375" y="6924675"/>
          <a:ext cx="0" cy="4762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0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3" y="5"/>
              </a:lnTo>
              <a:lnTo>
                <a:pt x="33" y="11"/>
              </a:lnTo>
              <a:lnTo>
                <a:pt x="41" y="20"/>
              </a:lnTo>
              <a:lnTo>
                <a:pt x="48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8" y="74"/>
              </a:lnTo>
              <a:lnTo>
                <a:pt x="41" y="85"/>
              </a:lnTo>
              <a:lnTo>
                <a:pt x="33" y="93"/>
              </a:lnTo>
              <a:lnTo>
                <a:pt x="23" y="99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85725</xdr:colOff>
      <xdr:row>39</xdr:row>
      <xdr:rowOff>142875</xdr:rowOff>
    </xdr:from>
    <xdr:to>
      <xdr:col>6</xdr:col>
      <xdr:colOff>9525</xdr:colOff>
      <xdr:row>40</xdr:row>
      <xdr:rowOff>28575</xdr:rowOff>
    </xdr:to>
    <xdr:sp macro="" textlink="">
      <xdr:nvSpPr>
        <xdr:cNvPr id="13193" name="Freeform 239">
          <a:extLst>
            <a:ext uri="{FF2B5EF4-FFF2-40B4-BE49-F238E27FC236}">
              <a16:creationId xmlns:a16="http://schemas.microsoft.com/office/drawing/2014/main" id="{00000000-0008-0000-0A00-000089330000}"/>
            </a:ext>
          </a:extLst>
        </xdr:cNvPr>
        <xdr:cNvSpPr>
          <a:spLocks noChangeAspect="1"/>
        </xdr:cNvSpPr>
      </xdr:nvSpPr>
      <xdr:spPr bwMode="auto">
        <a:xfrm>
          <a:off x="2924175" y="6924675"/>
          <a:ext cx="457200" cy="47625"/>
        </a:xfrm>
        <a:custGeom>
          <a:avLst/>
          <a:gdLst>
            <a:gd name="T0" fmla="*/ 2147483647 w 916"/>
            <a:gd name="T1" fmla="*/ 0 h 104"/>
            <a:gd name="T2" fmla="*/ 2147483647 w 916"/>
            <a:gd name="T3" fmla="*/ 0 h 104"/>
            <a:gd name="T4" fmla="*/ 2147483647 w 916"/>
            <a:gd name="T5" fmla="*/ 0 h 104"/>
            <a:gd name="T6" fmla="*/ 0 w 916"/>
            <a:gd name="T7" fmla="*/ 0 h 104"/>
            <a:gd name="T8" fmla="*/ 0 w 916"/>
            <a:gd name="T9" fmla="*/ 0 h 104"/>
            <a:gd name="T10" fmla="*/ 0 w 916"/>
            <a:gd name="T11" fmla="*/ 0 h 104"/>
            <a:gd name="T12" fmla="*/ 2147483647 w 916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6"/>
            <a:gd name="T22" fmla="*/ 0 h 104"/>
            <a:gd name="T23" fmla="*/ 916 w 916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6" h="104">
              <a:moveTo>
                <a:pt x="916" y="104"/>
              </a:moveTo>
              <a:lnTo>
                <a:pt x="916" y="52"/>
              </a:lnTo>
              <a:lnTo>
                <a:pt x="916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6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85725</xdr:colOff>
      <xdr:row>39</xdr:row>
      <xdr:rowOff>142875</xdr:rowOff>
    </xdr:from>
    <xdr:to>
      <xdr:col>6</xdr:col>
      <xdr:colOff>9525</xdr:colOff>
      <xdr:row>40</xdr:row>
      <xdr:rowOff>28575</xdr:rowOff>
    </xdr:to>
    <xdr:sp macro="" textlink="">
      <xdr:nvSpPr>
        <xdr:cNvPr id="13194" name="Freeform 240">
          <a:extLst>
            <a:ext uri="{FF2B5EF4-FFF2-40B4-BE49-F238E27FC236}">
              <a16:creationId xmlns:a16="http://schemas.microsoft.com/office/drawing/2014/main" id="{00000000-0008-0000-0A00-00008A330000}"/>
            </a:ext>
          </a:extLst>
        </xdr:cNvPr>
        <xdr:cNvSpPr>
          <a:spLocks noChangeAspect="1"/>
        </xdr:cNvSpPr>
      </xdr:nvSpPr>
      <xdr:spPr bwMode="auto">
        <a:xfrm>
          <a:off x="2924175" y="6924675"/>
          <a:ext cx="457200" cy="47625"/>
        </a:xfrm>
        <a:custGeom>
          <a:avLst/>
          <a:gdLst>
            <a:gd name="T0" fmla="*/ 2147483647 w 916"/>
            <a:gd name="T1" fmla="*/ 0 h 104"/>
            <a:gd name="T2" fmla="*/ 2147483647 w 916"/>
            <a:gd name="T3" fmla="*/ 0 h 104"/>
            <a:gd name="T4" fmla="*/ 2147483647 w 916"/>
            <a:gd name="T5" fmla="*/ 0 h 104"/>
            <a:gd name="T6" fmla="*/ 0 w 916"/>
            <a:gd name="T7" fmla="*/ 0 h 104"/>
            <a:gd name="T8" fmla="*/ 0 w 916"/>
            <a:gd name="T9" fmla="*/ 0 h 104"/>
            <a:gd name="T10" fmla="*/ 0 w 916"/>
            <a:gd name="T11" fmla="*/ 0 h 104"/>
            <a:gd name="T12" fmla="*/ 2147483647 w 916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6"/>
            <a:gd name="T22" fmla="*/ 0 h 104"/>
            <a:gd name="T23" fmla="*/ 916 w 916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6" h="104">
              <a:moveTo>
                <a:pt x="916" y="104"/>
              </a:moveTo>
              <a:lnTo>
                <a:pt x="916" y="52"/>
              </a:lnTo>
              <a:lnTo>
                <a:pt x="916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6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57150</xdr:colOff>
      <xdr:row>39</xdr:row>
      <xdr:rowOff>142875</xdr:rowOff>
    </xdr:from>
    <xdr:to>
      <xdr:col>5</xdr:col>
      <xdr:colOff>85725</xdr:colOff>
      <xdr:row>40</xdr:row>
      <xdr:rowOff>28575</xdr:rowOff>
    </xdr:to>
    <xdr:sp macro="" textlink="">
      <xdr:nvSpPr>
        <xdr:cNvPr id="13195" name="Freeform 241">
          <a:extLst>
            <a:ext uri="{FF2B5EF4-FFF2-40B4-BE49-F238E27FC236}">
              <a16:creationId xmlns:a16="http://schemas.microsoft.com/office/drawing/2014/main" id="{00000000-0008-0000-0A00-00008B330000}"/>
            </a:ext>
          </a:extLst>
        </xdr:cNvPr>
        <xdr:cNvSpPr>
          <a:spLocks noChangeAspect="1"/>
        </xdr:cNvSpPr>
      </xdr:nvSpPr>
      <xdr:spPr bwMode="auto">
        <a:xfrm>
          <a:off x="2895600" y="6924675"/>
          <a:ext cx="2857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2"/>
              </a:moveTo>
              <a:lnTo>
                <a:pt x="52" y="104"/>
              </a:ln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5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57150</xdr:colOff>
      <xdr:row>39</xdr:row>
      <xdr:rowOff>142875</xdr:rowOff>
    </xdr:from>
    <xdr:to>
      <xdr:col>5</xdr:col>
      <xdr:colOff>85725</xdr:colOff>
      <xdr:row>40</xdr:row>
      <xdr:rowOff>28575</xdr:rowOff>
    </xdr:to>
    <xdr:sp macro="" textlink="">
      <xdr:nvSpPr>
        <xdr:cNvPr id="13196" name="Freeform 242">
          <a:extLst>
            <a:ext uri="{FF2B5EF4-FFF2-40B4-BE49-F238E27FC236}">
              <a16:creationId xmlns:a16="http://schemas.microsoft.com/office/drawing/2014/main" id="{00000000-0008-0000-0A00-00008C330000}"/>
            </a:ext>
          </a:extLst>
        </xdr:cNvPr>
        <xdr:cNvSpPr>
          <a:spLocks noChangeAspect="1"/>
        </xdr:cNvSpPr>
      </xdr:nvSpPr>
      <xdr:spPr bwMode="auto">
        <a:xfrm>
          <a:off x="2895600" y="6924675"/>
          <a:ext cx="2857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5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571500</xdr:colOff>
      <xdr:row>39</xdr:row>
      <xdr:rowOff>142875</xdr:rowOff>
    </xdr:from>
    <xdr:to>
      <xdr:col>5</xdr:col>
      <xdr:colOff>0</xdr:colOff>
      <xdr:row>40</xdr:row>
      <xdr:rowOff>28575</xdr:rowOff>
    </xdr:to>
    <xdr:sp macro="" textlink="">
      <xdr:nvSpPr>
        <xdr:cNvPr id="13197" name="Freeform 243">
          <a:extLst>
            <a:ext uri="{FF2B5EF4-FFF2-40B4-BE49-F238E27FC236}">
              <a16:creationId xmlns:a16="http://schemas.microsoft.com/office/drawing/2014/main" id="{00000000-0008-0000-0A00-00008D330000}"/>
            </a:ext>
          </a:extLst>
        </xdr:cNvPr>
        <xdr:cNvSpPr>
          <a:spLocks noChangeAspect="1"/>
        </xdr:cNvSpPr>
      </xdr:nvSpPr>
      <xdr:spPr bwMode="auto">
        <a:xfrm>
          <a:off x="2705100" y="6924675"/>
          <a:ext cx="133350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2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571500</xdr:colOff>
      <xdr:row>39</xdr:row>
      <xdr:rowOff>142875</xdr:rowOff>
    </xdr:from>
    <xdr:to>
      <xdr:col>5</xdr:col>
      <xdr:colOff>0</xdr:colOff>
      <xdr:row>40</xdr:row>
      <xdr:rowOff>28575</xdr:rowOff>
    </xdr:to>
    <xdr:sp macro="" textlink="">
      <xdr:nvSpPr>
        <xdr:cNvPr id="13198" name="Freeform 244">
          <a:extLst>
            <a:ext uri="{FF2B5EF4-FFF2-40B4-BE49-F238E27FC236}">
              <a16:creationId xmlns:a16="http://schemas.microsoft.com/office/drawing/2014/main" id="{00000000-0008-0000-0A00-00008E330000}"/>
            </a:ext>
          </a:extLst>
        </xdr:cNvPr>
        <xdr:cNvSpPr>
          <a:spLocks noChangeAspect="1"/>
        </xdr:cNvSpPr>
      </xdr:nvSpPr>
      <xdr:spPr bwMode="auto">
        <a:xfrm>
          <a:off x="2705100" y="6924675"/>
          <a:ext cx="133350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1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4"/>
              </a:lnTo>
              <a:lnTo>
                <a:pt x="41" y="85"/>
              </a:lnTo>
              <a:lnTo>
                <a:pt x="32" y="93"/>
              </a:lnTo>
              <a:lnTo>
                <a:pt x="22" y="99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190500</xdr:colOff>
      <xdr:row>39</xdr:row>
      <xdr:rowOff>142875</xdr:rowOff>
    </xdr:from>
    <xdr:to>
      <xdr:col>4</xdr:col>
      <xdr:colOff>581025</xdr:colOff>
      <xdr:row>40</xdr:row>
      <xdr:rowOff>28575</xdr:rowOff>
    </xdr:to>
    <xdr:sp macro="" textlink="">
      <xdr:nvSpPr>
        <xdr:cNvPr id="13199" name="Freeform 245">
          <a:extLst>
            <a:ext uri="{FF2B5EF4-FFF2-40B4-BE49-F238E27FC236}">
              <a16:creationId xmlns:a16="http://schemas.microsoft.com/office/drawing/2014/main" id="{00000000-0008-0000-0A00-00008F330000}"/>
            </a:ext>
          </a:extLst>
        </xdr:cNvPr>
        <xdr:cNvSpPr>
          <a:spLocks noChangeAspect="1"/>
        </xdr:cNvSpPr>
      </xdr:nvSpPr>
      <xdr:spPr bwMode="auto">
        <a:xfrm>
          <a:off x="2324100" y="6924675"/>
          <a:ext cx="390525" cy="47625"/>
        </a:xfrm>
        <a:custGeom>
          <a:avLst/>
          <a:gdLst>
            <a:gd name="T0" fmla="*/ 2147483647 w 918"/>
            <a:gd name="T1" fmla="*/ 0 h 104"/>
            <a:gd name="T2" fmla="*/ 2147483647 w 918"/>
            <a:gd name="T3" fmla="*/ 0 h 104"/>
            <a:gd name="T4" fmla="*/ 2147483647 w 918"/>
            <a:gd name="T5" fmla="*/ 0 h 104"/>
            <a:gd name="T6" fmla="*/ 0 w 918"/>
            <a:gd name="T7" fmla="*/ 0 h 104"/>
            <a:gd name="T8" fmla="*/ 0 w 918"/>
            <a:gd name="T9" fmla="*/ 0 h 104"/>
            <a:gd name="T10" fmla="*/ 0 w 918"/>
            <a:gd name="T11" fmla="*/ 0 h 104"/>
            <a:gd name="T12" fmla="*/ 2147483647 w 918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8"/>
            <a:gd name="T22" fmla="*/ 0 h 104"/>
            <a:gd name="T23" fmla="*/ 918 w 918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8" h="104">
              <a:moveTo>
                <a:pt x="918" y="104"/>
              </a:moveTo>
              <a:lnTo>
                <a:pt x="918" y="52"/>
              </a:lnTo>
              <a:lnTo>
                <a:pt x="918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8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190500</xdr:colOff>
      <xdr:row>39</xdr:row>
      <xdr:rowOff>142875</xdr:rowOff>
    </xdr:from>
    <xdr:to>
      <xdr:col>4</xdr:col>
      <xdr:colOff>581025</xdr:colOff>
      <xdr:row>40</xdr:row>
      <xdr:rowOff>28575</xdr:rowOff>
    </xdr:to>
    <xdr:sp macro="" textlink="">
      <xdr:nvSpPr>
        <xdr:cNvPr id="13200" name="Freeform 246">
          <a:extLst>
            <a:ext uri="{FF2B5EF4-FFF2-40B4-BE49-F238E27FC236}">
              <a16:creationId xmlns:a16="http://schemas.microsoft.com/office/drawing/2014/main" id="{00000000-0008-0000-0A00-000090330000}"/>
            </a:ext>
          </a:extLst>
        </xdr:cNvPr>
        <xdr:cNvSpPr>
          <a:spLocks noChangeAspect="1"/>
        </xdr:cNvSpPr>
      </xdr:nvSpPr>
      <xdr:spPr bwMode="auto">
        <a:xfrm>
          <a:off x="2324100" y="6924675"/>
          <a:ext cx="390525" cy="47625"/>
        </a:xfrm>
        <a:custGeom>
          <a:avLst/>
          <a:gdLst>
            <a:gd name="T0" fmla="*/ 2147483647 w 918"/>
            <a:gd name="T1" fmla="*/ 0 h 104"/>
            <a:gd name="T2" fmla="*/ 2147483647 w 918"/>
            <a:gd name="T3" fmla="*/ 0 h 104"/>
            <a:gd name="T4" fmla="*/ 2147483647 w 918"/>
            <a:gd name="T5" fmla="*/ 0 h 104"/>
            <a:gd name="T6" fmla="*/ 0 w 918"/>
            <a:gd name="T7" fmla="*/ 0 h 104"/>
            <a:gd name="T8" fmla="*/ 0 w 918"/>
            <a:gd name="T9" fmla="*/ 0 h 104"/>
            <a:gd name="T10" fmla="*/ 0 w 918"/>
            <a:gd name="T11" fmla="*/ 0 h 104"/>
            <a:gd name="T12" fmla="*/ 2147483647 w 918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18"/>
            <a:gd name="T22" fmla="*/ 0 h 104"/>
            <a:gd name="T23" fmla="*/ 918 w 918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18" h="104">
              <a:moveTo>
                <a:pt x="918" y="104"/>
              </a:moveTo>
              <a:lnTo>
                <a:pt x="918" y="52"/>
              </a:lnTo>
              <a:lnTo>
                <a:pt x="918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918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171450</xdr:colOff>
      <xdr:row>39</xdr:row>
      <xdr:rowOff>142875</xdr:rowOff>
    </xdr:from>
    <xdr:to>
      <xdr:col>4</xdr:col>
      <xdr:colOff>190500</xdr:colOff>
      <xdr:row>40</xdr:row>
      <xdr:rowOff>28575</xdr:rowOff>
    </xdr:to>
    <xdr:sp macro="" textlink="">
      <xdr:nvSpPr>
        <xdr:cNvPr id="13201" name="Freeform 247">
          <a:extLst>
            <a:ext uri="{FF2B5EF4-FFF2-40B4-BE49-F238E27FC236}">
              <a16:creationId xmlns:a16="http://schemas.microsoft.com/office/drawing/2014/main" id="{00000000-0008-0000-0A00-000091330000}"/>
            </a:ext>
          </a:extLst>
        </xdr:cNvPr>
        <xdr:cNvSpPr>
          <a:spLocks noChangeAspect="1"/>
        </xdr:cNvSpPr>
      </xdr:nvSpPr>
      <xdr:spPr bwMode="auto">
        <a:xfrm>
          <a:off x="2305050" y="6924675"/>
          <a:ext cx="19050" cy="4762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51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2"/>
              </a:moveTo>
              <a:lnTo>
                <a:pt x="51" y="104"/>
              </a:ln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171450</xdr:colOff>
      <xdr:row>39</xdr:row>
      <xdr:rowOff>142875</xdr:rowOff>
    </xdr:from>
    <xdr:to>
      <xdr:col>4</xdr:col>
      <xdr:colOff>190500</xdr:colOff>
      <xdr:row>40</xdr:row>
      <xdr:rowOff>28575</xdr:rowOff>
    </xdr:to>
    <xdr:sp macro="" textlink="">
      <xdr:nvSpPr>
        <xdr:cNvPr id="13202" name="Freeform 248">
          <a:extLst>
            <a:ext uri="{FF2B5EF4-FFF2-40B4-BE49-F238E27FC236}">
              <a16:creationId xmlns:a16="http://schemas.microsoft.com/office/drawing/2014/main" id="{00000000-0008-0000-0A00-000092330000}"/>
            </a:ext>
          </a:extLst>
        </xdr:cNvPr>
        <xdr:cNvSpPr>
          <a:spLocks noChangeAspect="1"/>
        </xdr:cNvSpPr>
      </xdr:nvSpPr>
      <xdr:spPr bwMode="auto">
        <a:xfrm>
          <a:off x="2305050" y="6924675"/>
          <a:ext cx="19050" cy="47625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51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40" y="103"/>
              </a:lnTo>
              <a:lnTo>
                <a:pt x="29" y="99"/>
              </a:lnTo>
              <a:lnTo>
                <a:pt x="19" y="93"/>
              </a:lnTo>
              <a:lnTo>
                <a:pt x="10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9" y="11"/>
              </a:lnTo>
              <a:lnTo>
                <a:pt x="29" y="5"/>
              </a:lnTo>
              <a:lnTo>
                <a:pt x="40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76200</xdr:colOff>
      <xdr:row>39</xdr:row>
      <xdr:rowOff>142875</xdr:rowOff>
    </xdr:from>
    <xdr:to>
      <xdr:col>4</xdr:col>
      <xdr:colOff>104775</xdr:colOff>
      <xdr:row>40</xdr:row>
      <xdr:rowOff>28575</xdr:rowOff>
    </xdr:to>
    <xdr:sp macro="" textlink="">
      <xdr:nvSpPr>
        <xdr:cNvPr id="13203" name="Freeform 249">
          <a:extLst>
            <a:ext uri="{FF2B5EF4-FFF2-40B4-BE49-F238E27FC236}">
              <a16:creationId xmlns:a16="http://schemas.microsoft.com/office/drawing/2014/main" id="{00000000-0008-0000-0A00-000093330000}"/>
            </a:ext>
          </a:extLst>
        </xdr:cNvPr>
        <xdr:cNvSpPr>
          <a:spLocks noChangeAspect="1"/>
        </xdr:cNvSpPr>
      </xdr:nvSpPr>
      <xdr:spPr bwMode="auto">
        <a:xfrm>
          <a:off x="2209800" y="6924675"/>
          <a:ext cx="28575" cy="4762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w 53"/>
            <a:gd name="T31" fmla="*/ 0 h 104"/>
            <a:gd name="T32" fmla="*/ 0 w 53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3"/>
            <a:gd name="T52" fmla="*/ 0 h 104"/>
            <a:gd name="T53" fmla="*/ 53 w 53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3" h="104">
              <a:moveTo>
                <a:pt x="0" y="52"/>
              </a:moveTo>
              <a:lnTo>
                <a:pt x="0" y="0"/>
              </a:ln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8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8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76200</xdr:colOff>
      <xdr:row>39</xdr:row>
      <xdr:rowOff>142875</xdr:rowOff>
    </xdr:from>
    <xdr:to>
      <xdr:col>4</xdr:col>
      <xdr:colOff>104775</xdr:colOff>
      <xdr:row>40</xdr:row>
      <xdr:rowOff>28575</xdr:rowOff>
    </xdr:to>
    <xdr:sp macro="" textlink="">
      <xdr:nvSpPr>
        <xdr:cNvPr id="13204" name="Freeform 250">
          <a:extLst>
            <a:ext uri="{FF2B5EF4-FFF2-40B4-BE49-F238E27FC236}">
              <a16:creationId xmlns:a16="http://schemas.microsoft.com/office/drawing/2014/main" id="{00000000-0008-0000-0A00-000094330000}"/>
            </a:ext>
          </a:extLst>
        </xdr:cNvPr>
        <xdr:cNvSpPr>
          <a:spLocks noChangeAspect="1"/>
        </xdr:cNvSpPr>
      </xdr:nvSpPr>
      <xdr:spPr bwMode="auto">
        <a:xfrm>
          <a:off x="2209800" y="6924675"/>
          <a:ext cx="28575" cy="47625"/>
        </a:xfrm>
        <a:custGeom>
          <a:avLst/>
          <a:gdLst>
            <a:gd name="T0" fmla="*/ 0 w 53"/>
            <a:gd name="T1" fmla="*/ 0 h 104"/>
            <a:gd name="T2" fmla="*/ 0 w 53"/>
            <a:gd name="T3" fmla="*/ 0 h 104"/>
            <a:gd name="T4" fmla="*/ 0 w 53"/>
            <a:gd name="T5" fmla="*/ 0 h 104"/>
            <a:gd name="T6" fmla="*/ 0 w 53"/>
            <a:gd name="T7" fmla="*/ 0 h 104"/>
            <a:gd name="T8" fmla="*/ 0 w 53"/>
            <a:gd name="T9" fmla="*/ 0 h 104"/>
            <a:gd name="T10" fmla="*/ 0 w 53"/>
            <a:gd name="T11" fmla="*/ 0 h 104"/>
            <a:gd name="T12" fmla="*/ 0 w 53"/>
            <a:gd name="T13" fmla="*/ 0 h 104"/>
            <a:gd name="T14" fmla="*/ 0 w 53"/>
            <a:gd name="T15" fmla="*/ 0 h 104"/>
            <a:gd name="T16" fmla="*/ 0 w 53"/>
            <a:gd name="T17" fmla="*/ 0 h 104"/>
            <a:gd name="T18" fmla="*/ 0 w 53"/>
            <a:gd name="T19" fmla="*/ 0 h 104"/>
            <a:gd name="T20" fmla="*/ 0 w 53"/>
            <a:gd name="T21" fmla="*/ 0 h 104"/>
            <a:gd name="T22" fmla="*/ 0 w 53"/>
            <a:gd name="T23" fmla="*/ 0 h 104"/>
            <a:gd name="T24" fmla="*/ 0 w 53"/>
            <a:gd name="T25" fmla="*/ 0 h 104"/>
            <a:gd name="T26" fmla="*/ 0 w 53"/>
            <a:gd name="T27" fmla="*/ 0 h 104"/>
            <a:gd name="T28" fmla="*/ 0 w 53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3"/>
            <a:gd name="T46" fmla="*/ 0 h 104"/>
            <a:gd name="T47" fmla="*/ 53 w 53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3" h="104">
              <a:moveTo>
                <a:pt x="0" y="0"/>
              </a:moveTo>
              <a:lnTo>
                <a:pt x="12" y="2"/>
              </a:lnTo>
              <a:lnTo>
                <a:pt x="22" y="5"/>
              </a:lnTo>
              <a:lnTo>
                <a:pt x="33" y="11"/>
              </a:lnTo>
              <a:lnTo>
                <a:pt x="41" y="20"/>
              </a:lnTo>
              <a:lnTo>
                <a:pt x="48" y="30"/>
              </a:lnTo>
              <a:lnTo>
                <a:pt x="51" y="41"/>
              </a:lnTo>
              <a:lnTo>
                <a:pt x="53" y="52"/>
              </a:lnTo>
              <a:lnTo>
                <a:pt x="51" y="64"/>
              </a:lnTo>
              <a:lnTo>
                <a:pt x="48" y="74"/>
              </a:lnTo>
              <a:lnTo>
                <a:pt x="41" y="85"/>
              </a:lnTo>
              <a:lnTo>
                <a:pt x="33" y="93"/>
              </a:lnTo>
              <a:lnTo>
                <a:pt x="22" y="99"/>
              </a:lnTo>
              <a:lnTo>
                <a:pt x="12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352425</xdr:colOff>
      <xdr:row>39</xdr:row>
      <xdr:rowOff>142875</xdr:rowOff>
    </xdr:from>
    <xdr:to>
      <xdr:col>4</xdr:col>
      <xdr:colOff>66675</xdr:colOff>
      <xdr:row>40</xdr:row>
      <xdr:rowOff>28575</xdr:rowOff>
    </xdr:to>
    <xdr:sp macro="" textlink="">
      <xdr:nvSpPr>
        <xdr:cNvPr id="13205" name="Freeform 251">
          <a:extLst>
            <a:ext uri="{FF2B5EF4-FFF2-40B4-BE49-F238E27FC236}">
              <a16:creationId xmlns:a16="http://schemas.microsoft.com/office/drawing/2014/main" id="{00000000-0008-0000-0A00-000095330000}"/>
            </a:ext>
          </a:extLst>
        </xdr:cNvPr>
        <xdr:cNvSpPr>
          <a:spLocks noChangeAspect="1"/>
        </xdr:cNvSpPr>
      </xdr:nvSpPr>
      <xdr:spPr bwMode="auto">
        <a:xfrm>
          <a:off x="1952625" y="6924675"/>
          <a:ext cx="247650" cy="47625"/>
        </a:xfrm>
        <a:custGeom>
          <a:avLst/>
          <a:gdLst>
            <a:gd name="T0" fmla="*/ 2147483647 w 559"/>
            <a:gd name="T1" fmla="*/ 0 h 104"/>
            <a:gd name="T2" fmla="*/ 2147483647 w 559"/>
            <a:gd name="T3" fmla="*/ 0 h 104"/>
            <a:gd name="T4" fmla="*/ 2147483647 w 559"/>
            <a:gd name="T5" fmla="*/ 0 h 104"/>
            <a:gd name="T6" fmla="*/ 0 w 559"/>
            <a:gd name="T7" fmla="*/ 0 h 104"/>
            <a:gd name="T8" fmla="*/ 0 w 559"/>
            <a:gd name="T9" fmla="*/ 0 h 104"/>
            <a:gd name="T10" fmla="*/ 0 w 559"/>
            <a:gd name="T11" fmla="*/ 0 h 104"/>
            <a:gd name="T12" fmla="*/ 2147483647 w 559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59"/>
            <a:gd name="T22" fmla="*/ 0 h 104"/>
            <a:gd name="T23" fmla="*/ 559 w 559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59" h="104">
              <a:moveTo>
                <a:pt x="559" y="104"/>
              </a:moveTo>
              <a:lnTo>
                <a:pt x="559" y="52"/>
              </a:lnTo>
              <a:lnTo>
                <a:pt x="559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559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352425</xdr:colOff>
      <xdr:row>39</xdr:row>
      <xdr:rowOff>142875</xdr:rowOff>
    </xdr:from>
    <xdr:to>
      <xdr:col>4</xdr:col>
      <xdr:colOff>66675</xdr:colOff>
      <xdr:row>40</xdr:row>
      <xdr:rowOff>28575</xdr:rowOff>
    </xdr:to>
    <xdr:sp macro="" textlink="">
      <xdr:nvSpPr>
        <xdr:cNvPr id="13206" name="Freeform 252">
          <a:extLst>
            <a:ext uri="{FF2B5EF4-FFF2-40B4-BE49-F238E27FC236}">
              <a16:creationId xmlns:a16="http://schemas.microsoft.com/office/drawing/2014/main" id="{00000000-0008-0000-0A00-000096330000}"/>
            </a:ext>
          </a:extLst>
        </xdr:cNvPr>
        <xdr:cNvSpPr>
          <a:spLocks noChangeAspect="1"/>
        </xdr:cNvSpPr>
      </xdr:nvSpPr>
      <xdr:spPr bwMode="auto">
        <a:xfrm>
          <a:off x="1952625" y="6924675"/>
          <a:ext cx="247650" cy="47625"/>
        </a:xfrm>
        <a:custGeom>
          <a:avLst/>
          <a:gdLst>
            <a:gd name="T0" fmla="*/ 2147483647 w 559"/>
            <a:gd name="T1" fmla="*/ 0 h 104"/>
            <a:gd name="T2" fmla="*/ 2147483647 w 559"/>
            <a:gd name="T3" fmla="*/ 0 h 104"/>
            <a:gd name="T4" fmla="*/ 2147483647 w 559"/>
            <a:gd name="T5" fmla="*/ 0 h 104"/>
            <a:gd name="T6" fmla="*/ 0 w 559"/>
            <a:gd name="T7" fmla="*/ 0 h 104"/>
            <a:gd name="T8" fmla="*/ 0 w 559"/>
            <a:gd name="T9" fmla="*/ 0 h 104"/>
            <a:gd name="T10" fmla="*/ 0 w 559"/>
            <a:gd name="T11" fmla="*/ 0 h 104"/>
            <a:gd name="T12" fmla="*/ 2147483647 w 559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559"/>
            <a:gd name="T22" fmla="*/ 0 h 104"/>
            <a:gd name="T23" fmla="*/ 559 w 559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559" h="104">
              <a:moveTo>
                <a:pt x="559" y="104"/>
              </a:moveTo>
              <a:lnTo>
                <a:pt x="559" y="52"/>
              </a:lnTo>
              <a:lnTo>
                <a:pt x="559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559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333375</xdr:colOff>
      <xdr:row>39</xdr:row>
      <xdr:rowOff>142875</xdr:rowOff>
    </xdr:from>
    <xdr:to>
      <xdr:col>3</xdr:col>
      <xdr:colOff>361950</xdr:colOff>
      <xdr:row>40</xdr:row>
      <xdr:rowOff>28575</xdr:rowOff>
    </xdr:to>
    <xdr:sp macro="" textlink="">
      <xdr:nvSpPr>
        <xdr:cNvPr id="13207" name="Freeform 253">
          <a:extLst>
            <a:ext uri="{FF2B5EF4-FFF2-40B4-BE49-F238E27FC236}">
              <a16:creationId xmlns:a16="http://schemas.microsoft.com/office/drawing/2014/main" id="{00000000-0008-0000-0A00-000097330000}"/>
            </a:ext>
          </a:extLst>
        </xdr:cNvPr>
        <xdr:cNvSpPr>
          <a:spLocks noChangeAspect="1"/>
        </xdr:cNvSpPr>
      </xdr:nvSpPr>
      <xdr:spPr bwMode="auto">
        <a:xfrm>
          <a:off x="1933575" y="6924675"/>
          <a:ext cx="2857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2"/>
              </a:moveTo>
              <a:lnTo>
                <a:pt x="52" y="104"/>
              </a:ln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333375</xdr:colOff>
      <xdr:row>39</xdr:row>
      <xdr:rowOff>142875</xdr:rowOff>
    </xdr:from>
    <xdr:to>
      <xdr:col>3</xdr:col>
      <xdr:colOff>361950</xdr:colOff>
      <xdr:row>40</xdr:row>
      <xdr:rowOff>28575</xdr:rowOff>
    </xdr:to>
    <xdr:sp macro="" textlink="">
      <xdr:nvSpPr>
        <xdr:cNvPr id="13208" name="Freeform 254">
          <a:extLst>
            <a:ext uri="{FF2B5EF4-FFF2-40B4-BE49-F238E27FC236}">
              <a16:creationId xmlns:a16="http://schemas.microsoft.com/office/drawing/2014/main" id="{00000000-0008-0000-0A00-000098330000}"/>
            </a:ext>
          </a:extLst>
        </xdr:cNvPr>
        <xdr:cNvSpPr>
          <a:spLocks noChangeAspect="1"/>
        </xdr:cNvSpPr>
      </xdr:nvSpPr>
      <xdr:spPr bwMode="auto">
        <a:xfrm>
          <a:off x="1933575" y="6924675"/>
          <a:ext cx="2857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99"/>
              </a:lnTo>
              <a:lnTo>
                <a:pt x="19" y="93"/>
              </a:lnTo>
              <a:lnTo>
                <a:pt x="11" y="85"/>
              </a:lnTo>
              <a:lnTo>
                <a:pt x="4" y="74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38</xdr:row>
      <xdr:rowOff>9525</xdr:rowOff>
    </xdr:from>
    <xdr:to>
      <xdr:col>2</xdr:col>
      <xdr:colOff>190500</xdr:colOff>
      <xdr:row>38</xdr:row>
      <xdr:rowOff>19050</xdr:rowOff>
    </xdr:to>
    <xdr:sp macro="" textlink="">
      <xdr:nvSpPr>
        <xdr:cNvPr id="13209" name="Freeform 255">
          <a:extLst>
            <a:ext uri="{FF2B5EF4-FFF2-40B4-BE49-F238E27FC236}">
              <a16:creationId xmlns:a16="http://schemas.microsoft.com/office/drawing/2014/main" id="{00000000-0008-0000-0A00-000099330000}"/>
            </a:ext>
          </a:extLst>
        </xdr:cNvPr>
        <xdr:cNvSpPr>
          <a:spLocks noChangeAspect="1"/>
        </xdr:cNvSpPr>
      </xdr:nvSpPr>
      <xdr:spPr bwMode="auto">
        <a:xfrm>
          <a:off x="1219200" y="6629400"/>
          <a:ext cx="38100" cy="952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0"/>
              </a:moveTo>
              <a:lnTo>
                <a:pt x="104" y="0"/>
              </a:lnTo>
              <a:lnTo>
                <a:pt x="102" y="12"/>
              </a:lnTo>
              <a:lnTo>
                <a:pt x="99" y="23"/>
              </a:lnTo>
              <a:lnTo>
                <a:pt x="93" y="33"/>
              </a:lnTo>
              <a:lnTo>
                <a:pt x="84" y="41"/>
              </a:lnTo>
              <a:lnTo>
                <a:pt x="74" y="48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8"/>
              </a:lnTo>
              <a:lnTo>
                <a:pt x="19" y="41"/>
              </a:lnTo>
              <a:lnTo>
                <a:pt x="11" y="33"/>
              </a:lnTo>
              <a:lnTo>
                <a:pt x="5" y="23"/>
              </a:lnTo>
              <a:lnTo>
                <a:pt x="2" y="12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38</xdr:row>
      <xdr:rowOff>9525</xdr:rowOff>
    </xdr:from>
    <xdr:to>
      <xdr:col>2</xdr:col>
      <xdr:colOff>190500</xdr:colOff>
      <xdr:row>38</xdr:row>
      <xdr:rowOff>19050</xdr:rowOff>
    </xdr:to>
    <xdr:sp macro="" textlink="">
      <xdr:nvSpPr>
        <xdr:cNvPr id="13210" name="Freeform 256">
          <a:extLst>
            <a:ext uri="{FF2B5EF4-FFF2-40B4-BE49-F238E27FC236}">
              <a16:creationId xmlns:a16="http://schemas.microsoft.com/office/drawing/2014/main" id="{00000000-0008-0000-0A00-00009A330000}"/>
            </a:ext>
          </a:extLst>
        </xdr:cNvPr>
        <xdr:cNvSpPr>
          <a:spLocks noChangeAspect="1"/>
        </xdr:cNvSpPr>
      </xdr:nvSpPr>
      <xdr:spPr bwMode="auto">
        <a:xfrm>
          <a:off x="1219200" y="6629400"/>
          <a:ext cx="38100" cy="952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104" y="0"/>
              </a:moveTo>
              <a:lnTo>
                <a:pt x="102" y="12"/>
              </a:lnTo>
              <a:lnTo>
                <a:pt x="99" y="23"/>
              </a:lnTo>
              <a:lnTo>
                <a:pt x="93" y="33"/>
              </a:lnTo>
              <a:lnTo>
                <a:pt x="84" y="41"/>
              </a:lnTo>
              <a:lnTo>
                <a:pt x="74" y="48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8"/>
              </a:lnTo>
              <a:lnTo>
                <a:pt x="19" y="41"/>
              </a:lnTo>
              <a:lnTo>
                <a:pt x="11" y="33"/>
              </a:lnTo>
              <a:lnTo>
                <a:pt x="5" y="23"/>
              </a:lnTo>
              <a:lnTo>
                <a:pt x="2" y="12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36</xdr:row>
      <xdr:rowOff>28575</xdr:rowOff>
    </xdr:from>
    <xdr:to>
      <xdr:col>2</xdr:col>
      <xdr:colOff>190500</xdr:colOff>
      <xdr:row>38</xdr:row>
      <xdr:rowOff>9525</xdr:rowOff>
    </xdr:to>
    <xdr:sp macro="" textlink="">
      <xdr:nvSpPr>
        <xdr:cNvPr id="13211" name="Freeform 257">
          <a:extLst>
            <a:ext uri="{FF2B5EF4-FFF2-40B4-BE49-F238E27FC236}">
              <a16:creationId xmlns:a16="http://schemas.microsoft.com/office/drawing/2014/main" id="{00000000-0008-0000-0A00-00009B330000}"/>
            </a:ext>
          </a:extLst>
        </xdr:cNvPr>
        <xdr:cNvSpPr>
          <a:spLocks noChangeAspect="1"/>
        </xdr:cNvSpPr>
      </xdr:nvSpPr>
      <xdr:spPr bwMode="auto">
        <a:xfrm>
          <a:off x="1219200" y="6324600"/>
          <a:ext cx="38100" cy="304800"/>
        </a:xfrm>
        <a:custGeom>
          <a:avLst/>
          <a:gdLst>
            <a:gd name="T0" fmla="*/ 0 w 104"/>
            <a:gd name="T1" fmla="*/ 2147483647 h 715"/>
            <a:gd name="T2" fmla="*/ 0 w 104"/>
            <a:gd name="T3" fmla="*/ 2147483647 h 715"/>
            <a:gd name="T4" fmla="*/ 0 w 104"/>
            <a:gd name="T5" fmla="*/ 2147483647 h 715"/>
            <a:gd name="T6" fmla="*/ 0 w 104"/>
            <a:gd name="T7" fmla="*/ 0 h 715"/>
            <a:gd name="T8" fmla="*/ 0 w 104"/>
            <a:gd name="T9" fmla="*/ 0 h 715"/>
            <a:gd name="T10" fmla="*/ 0 w 104"/>
            <a:gd name="T11" fmla="*/ 0 h 715"/>
            <a:gd name="T12" fmla="*/ 0 w 104"/>
            <a:gd name="T13" fmla="*/ 2147483647 h 7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15"/>
            <a:gd name="T23" fmla="*/ 104 w 104"/>
            <a:gd name="T24" fmla="*/ 715 h 71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15">
              <a:moveTo>
                <a:pt x="0" y="715"/>
              </a:moveTo>
              <a:lnTo>
                <a:pt x="52" y="715"/>
              </a:lnTo>
              <a:lnTo>
                <a:pt x="104" y="715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715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36</xdr:row>
      <xdr:rowOff>28575</xdr:rowOff>
    </xdr:from>
    <xdr:to>
      <xdr:col>2</xdr:col>
      <xdr:colOff>190500</xdr:colOff>
      <xdr:row>38</xdr:row>
      <xdr:rowOff>9525</xdr:rowOff>
    </xdr:to>
    <xdr:sp macro="" textlink="">
      <xdr:nvSpPr>
        <xdr:cNvPr id="13212" name="Freeform 258">
          <a:extLst>
            <a:ext uri="{FF2B5EF4-FFF2-40B4-BE49-F238E27FC236}">
              <a16:creationId xmlns:a16="http://schemas.microsoft.com/office/drawing/2014/main" id="{00000000-0008-0000-0A00-00009C330000}"/>
            </a:ext>
          </a:extLst>
        </xdr:cNvPr>
        <xdr:cNvSpPr>
          <a:spLocks noChangeAspect="1"/>
        </xdr:cNvSpPr>
      </xdr:nvSpPr>
      <xdr:spPr bwMode="auto">
        <a:xfrm>
          <a:off x="1219200" y="6324600"/>
          <a:ext cx="38100" cy="304800"/>
        </a:xfrm>
        <a:custGeom>
          <a:avLst/>
          <a:gdLst>
            <a:gd name="T0" fmla="*/ 0 w 104"/>
            <a:gd name="T1" fmla="*/ 2147483647 h 715"/>
            <a:gd name="T2" fmla="*/ 0 w 104"/>
            <a:gd name="T3" fmla="*/ 2147483647 h 715"/>
            <a:gd name="T4" fmla="*/ 0 w 104"/>
            <a:gd name="T5" fmla="*/ 2147483647 h 715"/>
            <a:gd name="T6" fmla="*/ 0 w 104"/>
            <a:gd name="T7" fmla="*/ 0 h 715"/>
            <a:gd name="T8" fmla="*/ 0 w 104"/>
            <a:gd name="T9" fmla="*/ 0 h 715"/>
            <a:gd name="T10" fmla="*/ 0 w 104"/>
            <a:gd name="T11" fmla="*/ 0 h 715"/>
            <a:gd name="T12" fmla="*/ 0 w 104"/>
            <a:gd name="T13" fmla="*/ 2147483647 h 7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15"/>
            <a:gd name="T23" fmla="*/ 104 w 104"/>
            <a:gd name="T24" fmla="*/ 715 h 71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15">
              <a:moveTo>
                <a:pt x="0" y="715"/>
              </a:moveTo>
              <a:lnTo>
                <a:pt x="52" y="715"/>
              </a:lnTo>
              <a:lnTo>
                <a:pt x="104" y="715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715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36</xdr:row>
      <xdr:rowOff>9525</xdr:rowOff>
    </xdr:from>
    <xdr:to>
      <xdr:col>2</xdr:col>
      <xdr:colOff>190500</xdr:colOff>
      <xdr:row>36</xdr:row>
      <xdr:rowOff>19050</xdr:rowOff>
    </xdr:to>
    <xdr:sp macro="" textlink="">
      <xdr:nvSpPr>
        <xdr:cNvPr id="13213" name="Freeform 259">
          <a:extLst>
            <a:ext uri="{FF2B5EF4-FFF2-40B4-BE49-F238E27FC236}">
              <a16:creationId xmlns:a16="http://schemas.microsoft.com/office/drawing/2014/main" id="{00000000-0008-0000-0A00-00009D330000}"/>
            </a:ext>
          </a:extLst>
        </xdr:cNvPr>
        <xdr:cNvSpPr>
          <a:spLocks noChangeAspect="1"/>
        </xdr:cNvSpPr>
      </xdr:nvSpPr>
      <xdr:spPr bwMode="auto">
        <a:xfrm>
          <a:off x="1219200" y="6305550"/>
          <a:ext cx="38100" cy="952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52"/>
              </a:moveTo>
              <a:lnTo>
                <a:pt x="0" y="52"/>
              </a:ln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1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36</xdr:row>
      <xdr:rowOff>9525</xdr:rowOff>
    </xdr:from>
    <xdr:to>
      <xdr:col>2</xdr:col>
      <xdr:colOff>190500</xdr:colOff>
      <xdr:row>36</xdr:row>
      <xdr:rowOff>19050</xdr:rowOff>
    </xdr:to>
    <xdr:sp macro="" textlink="">
      <xdr:nvSpPr>
        <xdr:cNvPr id="13214" name="Freeform 260">
          <a:extLst>
            <a:ext uri="{FF2B5EF4-FFF2-40B4-BE49-F238E27FC236}">
              <a16:creationId xmlns:a16="http://schemas.microsoft.com/office/drawing/2014/main" id="{00000000-0008-0000-0A00-00009E330000}"/>
            </a:ext>
          </a:extLst>
        </xdr:cNvPr>
        <xdr:cNvSpPr>
          <a:spLocks noChangeAspect="1"/>
        </xdr:cNvSpPr>
      </xdr:nvSpPr>
      <xdr:spPr bwMode="auto">
        <a:xfrm>
          <a:off x="1219200" y="6305550"/>
          <a:ext cx="38100" cy="952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0" y="52"/>
              </a:move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1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35</xdr:row>
      <xdr:rowOff>104775</xdr:rowOff>
    </xdr:from>
    <xdr:to>
      <xdr:col>2</xdr:col>
      <xdr:colOff>190500</xdr:colOff>
      <xdr:row>35</xdr:row>
      <xdr:rowOff>123825</xdr:rowOff>
    </xdr:to>
    <xdr:sp macro="" textlink="">
      <xdr:nvSpPr>
        <xdr:cNvPr id="13215" name="Freeform 261">
          <a:extLst>
            <a:ext uri="{FF2B5EF4-FFF2-40B4-BE49-F238E27FC236}">
              <a16:creationId xmlns:a16="http://schemas.microsoft.com/office/drawing/2014/main" id="{00000000-0008-0000-0A00-00009F330000}"/>
            </a:ext>
          </a:extLst>
        </xdr:cNvPr>
        <xdr:cNvSpPr>
          <a:spLocks noChangeAspect="1"/>
        </xdr:cNvSpPr>
      </xdr:nvSpPr>
      <xdr:spPr bwMode="auto">
        <a:xfrm>
          <a:off x="1219200" y="6238875"/>
          <a:ext cx="38100" cy="19050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w 104"/>
            <a:gd name="T31" fmla="*/ 0 h 51"/>
            <a:gd name="T32" fmla="*/ 0 w 104"/>
            <a:gd name="T33" fmla="*/ 0 h 5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1"/>
            <a:gd name="T53" fmla="*/ 104 w 104"/>
            <a:gd name="T54" fmla="*/ 51 h 5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1">
              <a:moveTo>
                <a:pt x="52" y="0"/>
              </a:moveTo>
              <a:lnTo>
                <a:pt x="104" y="0"/>
              </a:ln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0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0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35</xdr:row>
      <xdr:rowOff>104775</xdr:rowOff>
    </xdr:from>
    <xdr:to>
      <xdr:col>2</xdr:col>
      <xdr:colOff>190500</xdr:colOff>
      <xdr:row>35</xdr:row>
      <xdr:rowOff>123825</xdr:rowOff>
    </xdr:to>
    <xdr:sp macro="" textlink="">
      <xdr:nvSpPr>
        <xdr:cNvPr id="13216" name="Freeform 262">
          <a:extLst>
            <a:ext uri="{FF2B5EF4-FFF2-40B4-BE49-F238E27FC236}">
              <a16:creationId xmlns:a16="http://schemas.microsoft.com/office/drawing/2014/main" id="{00000000-0008-0000-0A00-0000A0330000}"/>
            </a:ext>
          </a:extLst>
        </xdr:cNvPr>
        <xdr:cNvSpPr>
          <a:spLocks noChangeAspect="1"/>
        </xdr:cNvSpPr>
      </xdr:nvSpPr>
      <xdr:spPr bwMode="auto">
        <a:xfrm>
          <a:off x="1219200" y="6238875"/>
          <a:ext cx="38100" cy="19050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1"/>
            <a:gd name="T47" fmla="*/ 104 w 104"/>
            <a:gd name="T48" fmla="*/ 51 h 5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1">
              <a:moveTo>
                <a:pt x="104" y="0"/>
              </a:move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0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0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33</xdr:row>
      <xdr:rowOff>47625</xdr:rowOff>
    </xdr:from>
    <xdr:to>
      <xdr:col>2</xdr:col>
      <xdr:colOff>190500</xdr:colOff>
      <xdr:row>35</xdr:row>
      <xdr:rowOff>104775</xdr:rowOff>
    </xdr:to>
    <xdr:sp macro="" textlink="">
      <xdr:nvSpPr>
        <xdr:cNvPr id="13217" name="Freeform 263">
          <a:extLst>
            <a:ext uri="{FF2B5EF4-FFF2-40B4-BE49-F238E27FC236}">
              <a16:creationId xmlns:a16="http://schemas.microsoft.com/office/drawing/2014/main" id="{00000000-0008-0000-0A00-0000A1330000}"/>
            </a:ext>
          </a:extLst>
        </xdr:cNvPr>
        <xdr:cNvSpPr>
          <a:spLocks noChangeAspect="1"/>
        </xdr:cNvSpPr>
      </xdr:nvSpPr>
      <xdr:spPr bwMode="auto">
        <a:xfrm>
          <a:off x="1219200" y="5857875"/>
          <a:ext cx="38100" cy="381000"/>
        </a:xfrm>
        <a:custGeom>
          <a:avLst/>
          <a:gdLst>
            <a:gd name="T0" fmla="*/ 0 w 104"/>
            <a:gd name="T1" fmla="*/ 2147483647 h 917"/>
            <a:gd name="T2" fmla="*/ 0 w 104"/>
            <a:gd name="T3" fmla="*/ 2147483647 h 917"/>
            <a:gd name="T4" fmla="*/ 0 w 104"/>
            <a:gd name="T5" fmla="*/ 2147483647 h 917"/>
            <a:gd name="T6" fmla="*/ 0 w 104"/>
            <a:gd name="T7" fmla="*/ 0 h 917"/>
            <a:gd name="T8" fmla="*/ 0 w 104"/>
            <a:gd name="T9" fmla="*/ 0 h 917"/>
            <a:gd name="T10" fmla="*/ 0 w 104"/>
            <a:gd name="T11" fmla="*/ 0 h 917"/>
            <a:gd name="T12" fmla="*/ 0 w 104"/>
            <a:gd name="T13" fmla="*/ 2147483647 h 91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7"/>
            <a:gd name="T23" fmla="*/ 104 w 104"/>
            <a:gd name="T24" fmla="*/ 917 h 91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7">
              <a:moveTo>
                <a:pt x="0" y="917"/>
              </a:moveTo>
              <a:lnTo>
                <a:pt x="52" y="917"/>
              </a:lnTo>
              <a:lnTo>
                <a:pt x="104" y="917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7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33</xdr:row>
      <xdr:rowOff>47625</xdr:rowOff>
    </xdr:from>
    <xdr:to>
      <xdr:col>2</xdr:col>
      <xdr:colOff>190500</xdr:colOff>
      <xdr:row>35</xdr:row>
      <xdr:rowOff>104775</xdr:rowOff>
    </xdr:to>
    <xdr:sp macro="" textlink="">
      <xdr:nvSpPr>
        <xdr:cNvPr id="13218" name="Freeform 264">
          <a:extLst>
            <a:ext uri="{FF2B5EF4-FFF2-40B4-BE49-F238E27FC236}">
              <a16:creationId xmlns:a16="http://schemas.microsoft.com/office/drawing/2014/main" id="{00000000-0008-0000-0A00-0000A2330000}"/>
            </a:ext>
          </a:extLst>
        </xdr:cNvPr>
        <xdr:cNvSpPr>
          <a:spLocks noChangeAspect="1"/>
        </xdr:cNvSpPr>
      </xdr:nvSpPr>
      <xdr:spPr bwMode="auto">
        <a:xfrm>
          <a:off x="1219200" y="5857875"/>
          <a:ext cx="38100" cy="381000"/>
        </a:xfrm>
        <a:custGeom>
          <a:avLst/>
          <a:gdLst>
            <a:gd name="T0" fmla="*/ 0 w 104"/>
            <a:gd name="T1" fmla="*/ 2147483647 h 917"/>
            <a:gd name="T2" fmla="*/ 0 w 104"/>
            <a:gd name="T3" fmla="*/ 2147483647 h 917"/>
            <a:gd name="T4" fmla="*/ 0 w 104"/>
            <a:gd name="T5" fmla="*/ 2147483647 h 917"/>
            <a:gd name="T6" fmla="*/ 0 w 104"/>
            <a:gd name="T7" fmla="*/ 0 h 917"/>
            <a:gd name="T8" fmla="*/ 0 w 104"/>
            <a:gd name="T9" fmla="*/ 0 h 917"/>
            <a:gd name="T10" fmla="*/ 0 w 104"/>
            <a:gd name="T11" fmla="*/ 0 h 917"/>
            <a:gd name="T12" fmla="*/ 0 w 104"/>
            <a:gd name="T13" fmla="*/ 2147483647 h 91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7"/>
            <a:gd name="T23" fmla="*/ 104 w 104"/>
            <a:gd name="T24" fmla="*/ 917 h 91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7">
              <a:moveTo>
                <a:pt x="0" y="917"/>
              </a:moveTo>
              <a:lnTo>
                <a:pt x="52" y="917"/>
              </a:lnTo>
              <a:lnTo>
                <a:pt x="104" y="917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7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33</xdr:row>
      <xdr:rowOff>9525</xdr:rowOff>
    </xdr:from>
    <xdr:to>
      <xdr:col>2</xdr:col>
      <xdr:colOff>190500</xdr:colOff>
      <xdr:row>33</xdr:row>
      <xdr:rowOff>38100</xdr:rowOff>
    </xdr:to>
    <xdr:sp macro="" textlink="">
      <xdr:nvSpPr>
        <xdr:cNvPr id="13219" name="Freeform 265">
          <a:extLst>
            <a:ext uri="{FF2B5EF4-FFF2-40B4-BE49-F238E27FC236}">
              <a16:creationId xmlns:a16="http://schemas.microsoft.com/office/drawing/2014/main" id="{00000000-0008-0000-0A00-0000A3330000}"/>
            </a:ext>
          </a:extLst>
        </xdr:cNvPr>
        <xdr:cNvSpPr>
          <a:spLocks noChangeAspect="1"/>
        </xdr:cNvSpPr>
      </xdr:nvSpPr>
      <xdr:spPr bwMode="auto">
        <a:xfrm>
          <a:off x="1219200" y="5819775"/>
          <a:ext cx="38100" cy="28575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w 104"/>
            <a:gd name="T31" fmla="*/ 0 h 53"/>
            <a:gd name="T32" fmla="*/ 0 w 104"/>
            <a:gd name="T33" fmla="*/ 0 h 53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3"/>
            <a:gd name="T53" fmla="*/ 104 w 104"/>
            <a:gd name="T54" fmla="*/ 53 h 53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3">
              <a:moveTo>
                <a:pt x="52" y="53"/>
              </a:moveTo>
              <a:lnTo>
                <a:pt x="0" y="53"/>
              </a:ln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6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33</xdr:row>
      <xdr:rowOff>9525</xdr:rowOff>
    </xdr:from>
    <xdr:to>
      <xdr:col>2</xdr:col>
      <xdr:colOff>190500</xdr:colOff>
      <xdr:row>33</xdr:row>
      <xdr:rowOff>38100</xdr:rowOff>
    </xdr:to>
    <xdr:sp macro="" textlink="">
      <xdr:nvSpPr>
        <xdr:cNvPr id="13220" name="Freeform 266">
          <a:extLst>
            <a:ext uri="{FF2B5EF4-FFF2-40B4-BE49-F238E27FC236}">
              <a16:creationId xmlns:a16="http://schemas.microsoft.com/office/drawing/2014/main" id="{00000000-0008-0000-0A00-0000A4330000}"/>
            </a:ext>
          </a:extLst>
        </xdr:cNvPr>
        <xdr:cNvSpPr>
          <a:spLocks noChangeAspect="1"/>
        </xdr:cNvSpPr>
      </xdr:nvSpPr>
      <xdr:spPr bwMode="auto">
        <a:xfrm>
          <a:off x="1219200" y="5819775"/>
          <a:ext cx="38100" cy="28575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3"/>
            <a:gd name="T47" fmla="*/ 104 w 104"/>
            <a:gd name="T48" fmla="*/ 53 h 53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3">
              <a:moveTo>
                <a:pt x="0" y="53"/>
              </a:move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6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32</xdr:row>
      <xdr:rowOff>114300</xdr:rowOff>
    </xdr:from>
    <xdr:to>
      <xdr:col>2</xdr:col>
      <xdr:colOff>190500</xdr:colOff>
      <xdr:row>32</xdr:row>
      <xdr:rowOff>123825</xdr:rowOff>
    </xdr:to>
    <xdr:sp macro="" textlink="">
      <xdr:nvSpPr>
        <xdr:cNvPr id="13221" name="Freeform 267">
          <a:extLst>
            <a:ext uri="{FF2B5EF4-FFF2-40B4-BE49-F238E27FC236}">
              <a16:creationId xmlns:a16="http://schemas.microsoft.com/office/drawing/2014/main" id="{00000000-0008-0000-0A00-0000A5330000}"/>
            </a:ext>
          </a:extLst>
        </xdr:cNvPr>
        <xdr:cNvSpPr>
          <a:spLocks noChangeAspect="1"/>
        </xdr:cNvSpPr>
      </xdr:nvSpPr>
      <xdr:spPr bwMode="auto">
        <a:xfrm>
          <a:off x="1219200" y="5762625"/>
          <a:ext cx="38100" cy="9525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w 104"/>
            <a:gd name="T31" fmla="*/ 0 h 51"/>
            <a:gd name="T32" fmla="*/ 0 w 104"/>
            <a:gd name="T33" fmla="*/ 0 h 5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1"/>
            <a:gd name="T53" fmla="*/ 104 w 104"/>
            <a:gd name="T54" fmla="*/ 51 h 5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1">
              <a:moveTo>
                <a:pt x="52" y="0"/>
              </a:moveTo>
              <a:lnTo>
                <a:pt x="104" y="0"/>
              </a:ln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32</xdr:row>
      <xdr:rowOff>114300</xdr:rowOff>
    </xdr:from>
    <xdr:to>
      <xdr:col>2</xdr:col>
      <xdr:colOff>190500</xdr:colOff>
      <xdr:row>32</xdr:row>
      <xdr:rowOff>123825</xdr:rowOff>
    </xdr:to>
    <xdr:sp macro="" textlink="">
      <xdr:nvSpPr>
        <xdr:cNvPr id="13222" name="Freeform 268">
          <a:extLst>
            <a:ext uri="{FF2B5EF4-FFF2-40B4-BE49-F238E27FC236}">
              <a16:creationId xmlns:a16="http://schemas.microsoft.com/office/drawing/2014/main" id="{00000000-0008-0000-0A00-0000A6330000}"/>
            </a:ext>
          </a:extLst>
        </xdr:cNvPr>
        <xdr:cNvSpPr>
          <a:spLocks noChangeAspect="1"/>
        </xdr:cNvSpPr>
      </xdr:nvSpPr>
      <xdr:spPr bwMode="auto">
        <a:xfrm>
          <a:off x="1219200" y="5762625"/>
          <a:ext cx="38100" cy="9525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1"/>
            <a:gd name="T47" fmla="*/ 104 w 104"/>
            <a:gd name="T48" fmla="*/ 51 h 5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1">
              <a:moveTo>
                <a:pt x="104" y="0"/>
              </a:move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30</xdr:row>
      <xdr:rowOff>47625</xdr:rowOff>
    </xdr:from>
    <xdr:to>
      <xdr:col>2</xdr:col>
      <xdr:colOff>190500</xdr:colOff>
      <xdr:row>32</xdr:row>
      <xdr:rowOff>114300</xdr:rowOff>
    </xdr:to>
    <xdr:sp macro="" textlink="">
      <xdr:nvSpPr>
        <xdr:cNvPr id="13223" name="Freeform 269">
          <a:extLst>
            <a:ext uri="{FF2B5EF4-FFF2-40B4-BE49-F238E27FC236}">
              <a16:creationId xmlns:a16="http://schemas.microsoft.com/office/drawing/2014/main" id="{00000000-0008-0000-0A00-0000A7330000}"/>
            </a:ext>
          </a:extLst>
        </xdr:cNvPr>
        <xdr:cNvSpPr>
          <a:spLocks noChangeAspect="1"/>
        </xdr:cNvSpPr>
      </xdr:nvSpPr>
      <xdr:spPr bwMode="auto">
        <a:xfrm>
          <a:off x="1219200" y="5372100"/>
          <a:ext cx="38100" cy="390525"/>
        </a:xfrm>
        <a:custGeom>
          <a:avLst/>
          <a:gdLst>
            <a:gd name="T0" fmla="*/ 0 w 104"/>
            <a:gd name="T1" fmla="*/ 2147483647 h 917"/>
            <a:gd name="T2" fmla="*/ 0 w 104"/>
            <a:gd name="T3" fmla="*/ 2147483647 h 917"/>
            <a:gd name="T4" fmla="*/ 0 w 104"/>
            <a:gd name="T5" fmla="*/ 2147483647 h 917"/>
            <a:gd name="T6" fmla="*/ 0 w 104"/>
            <a:gd name="T7" fmla="*/ 0 h 917"/>
            <a:gd name="T8" fmla="*/ 0 w 104"/>
            <a:gd name="T9" fmla="*/ 0 h 917"/>
            <a:gd name="T10" fmla="*/ 0 w 104"/>
            <a:gd name="T11" fmla="*/ 0 h 917"/>
            <a:gd name="T12" fmla="*/ 0 w 104"/>
            <a:gd name="T13" fmla="*/ 2147483647 h 91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7"/>
            <a:gd name="T23" fmla="*/ 104 w 104"/>
            <a:gd name="T24" fmla="*/ 917 h 91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7">
              <a:moveTo>
                <a:pt x="0" y="917"/>
              </a:moveTo>
              <a:lnTo>
                <a:pt x="52" y="917"/>
              </a:lnTo>
              <a:lnTo>
                <a:pt x="104" y="917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7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30</xdr:row>
      <xdr:rowOff>47625</xdr:rowOff>
    </xdr:from>
    <xdr:to>
      <xdr:col>2</xdr:col>
      <xdr:colOff>190500</xdr:colOff>
      <xdr:row>32</xdr:row>
      <xdr:rowOff>114300</xdr:rowOff>
    </xdr:to>
    <xdr:sp macro="" textlink="">
      <xdr:nvSpPr>
        <xdr:cNvPr id="13224" name="Freeform 270">
          <a:extLst>
            <a:ext uri="{FF2B5EF4-FFF2-40B4-BE49-F238E27FC236}">
              <a16:creationId xmlns:a16="http://schemas.microsoft.com/office/drawing/2014/main" id="{00000000-0008-0000-0A00-0000A8330000}"/>
            </a:ext>
          </a:extLst>
        </xdr:cNvPr>
        <xdr:cNvSpPr>
          <a:spLocks noChangeAspect="1"/>
        </xdr:cNvSpPr>
      </xdr:nvSpPr>
      <xdr:spPr bwMode="auto">
        <a:xfrm>
          <a:off x="1219200" y="5372100"/>
          <a:ext cx="38100" cy="390525"/>
        </a:xfrm>
        <a:custGeom>
          <a:avLst/>
          <a:gdLst>
            <a:gd name="T0" fmla="*/ 0 w 104"/>
            <a:gd name="T1" fmla="*/ 2147483647 h 917"/>
            <a:gd name="T2" fmla="*/ 0 w 104"/>
            <a:gd name="T3" fmla="*/ 2147483647 h 917"/>
            <a:gd name="T4" fmla="*/ 0 w 104"/>
            <a:gd name="T5" fmla="*/ 2147483647 h 917"/>
            <a:gd name="T6" fmla="*/ 0 w 104"/>
            <a:gd name="T7" fmla="*/ 0 h 917"/>
            <a:gd name="T8" fmla="*/ 0 w 104"/>
            <a:gd name="T9" fmla="*/ 0 h 917"/>
            <a:gd name="T10" fmla="*/ 0 w 104"/>
            <a:gd name="T11" fmla="*/ 0 h 917"/>
            <a:gd name="T12" fmla="*/ 0 w 104"/>
            <a:gd name="T13" fmla="*/ 2147483647 h 91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7"/>
            <a:gd name="T23" fmla="*/ 104 w 104"/>
            <a:gd name="T24" fmla="*/ 917 h 91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7">
              <a:moveTo>
                <a:pt x="0" y="917"/>
              </a:moveTo>
              <a:lnTo>
                <a:pt x="52" y="917"/>
              </a:lnTo>
              <a:lnTo>
                <a:pt x="104" y="917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7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30</xdr:row>
      <xdr:rowOff>38100</xdr:rowOff>
    </xdr:from>
    <xdr:to>
      <xdr:col>2</xdr:col>
      <xdr:colOff>190500</xdr:colOff>
      <xdr:row>30</xdr:row>
      <xdr:rowOff>57150</xdr:rowOff>
    </xdr:to>
    <xdr:sp macro="" textlink="">
      <xdr:nvSpPr>
        <xdr:cNvPr id="13225" name="Freeform 271">
          <a:extLst>
            <a:ext uri="{FF2B5EF4-FFF2-40B4-BE49-F238E27FC236}">
              <a16:creationId xmlns:a16="http://schemas.microsoft.com/office/drawing/2014/main" id="{00000000-0008-0000-0A00-0000A9330000}"/>
            </a:ext>
          </a:extLst>
        </xdr:cNvPr>
        <xdr:cNvSpPr>
          <a:spLocks noChangeAspect="1"/>
        </xdr:cNvSpPr>
      </xdr:nvSpPr>
      <xdr:spPr bwMode="auto">
        <a:xfrm>
          <a:off x="1219200" y="5362575"/>
          <a:ext cx="38100" cy="19050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52"/>
              </a:moveTo>
              <a:lnTo>
                <a:pt x="0" y="52"/>
              </a:ln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1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30</xdr:row>
      <xdr:rowOff>38100</xdr:rowOff>
    </xdr:from>
    <xdr:to>
      <xdr:col>2</xdr:col>
      <xdr:colOff>190500</xdr:colOff>
      <xdr:row>30</xdr:row>
      <xdr:rowOff>57150</xdr:rowOff>
    </xdr:to>
    <xdr:sp macro="" textlink="">
      <xdr:nvSpPr>
        <xdr:cNvPr id="13226" name="Freeform 272">
          <a:extLst>
            <a:ext uri="{FF2B5EF4-FFF2-40B4-BE49-F238E27FC236}">
              <a16:creationId xmlns:a16="http://schemas.microsoft.com/office/drawing/2014/main" id="{00000000-0008-0000-0A00-0000AA330000}"/>
            </a:ext>
          </a:extLst>
        </xdr:cNvPr>
        <xdr:cNvSpPr>
          <a:spLocks noChangeAspect="1"/>
        </xdr:cNvSpPr>
      </xdr:nvSpPr>
      <xdr:spPr bwMode="auto">
        <a:xfrm>
          <a:off x="1219200" y="5362575"/>
          <a:ext cx="38100" cy="19050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0" y="52"/>
              </a:move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1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29</xdr:row>
      <xdr:rowOff>114300</xdr:rowOff>
    </xdr:from>
    <xdr:to>
      <xdr:col>2</xdr:col>
      <xdr:colOff>190500</xdr:colOff>
      <xdr:row>29</xdr:row>
      <xdr:rowOff>142875</xdr:rowOff>
    </xdr:to>
    <xdr:sp macro="" textlink="">
      <xdr:nvSpPr>
        <xdr:cNvPr id="13227" name="Freeform 273">
          <a:extLst>
            <a:ext uri="{FF2B5EF4-FFF2-40B4-BE49-F238E27FC236}">
              <a16:creationId xmlns:a16="http://schemas.microsoft.com/office/drawing/2014/main" id="{00000000-0008-0000-0A00-0000AB330000}"/>
            </a:ext>
          </a:extLst>
        </xdr:cNvPr>
        <xdr:cNvSpPr>
          <a:spLocks noChangeAspect="1"/>
        </xdr:cNvSpPr>
      </xdr:nvSpPr>
      <xdr:spPr bwMode="auto">
        <a:xfrm>
          <a:off x="1219200" y="5276850"/>
          <a:ext cx="38100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0"/>
              </a:moveTo>
              <a:lnTo>
                <a:pt x="104" y="0"/>
              </a:lnTo>
              <a:lnTo>
                <a:pt x="102" y="12"/>
              </a:lnTo>
              <a:lnTo>
                <a:pt x="99" y="22"/>
              </a:lnTo>
              <a:lnTo>
                <a:pt x="93" y="33"/>
              </a:lnTo>
              <a:lnTo>
                <a:pt x="84" y="41"/>
              </a:lnTo>
              <a:lnTo>
                <a:pt x="74" y="48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8"/>
              </a:lnTo>
              <a:lnTo>
                <a:pt x="19" y="41"/>
              </a:lnTo>
              <a:lnTo>
                <a:pt x="11" y="33"/>
              </a:lnTo>
              <a:lnTo>
                <a:pt x="5" y="22"/>
              </a:lnTo>
              <a:lnTo>
                <a:pt x="2" y="12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29</xdr:row>
      <xdr:rowOff>114300</xdr:rowOff>
    </xdr:from>
    <xdr:to>
      <xdr:col>2</xdr:col>
      <xdr:colOff>190500</xdr:colOff>
      <xdr:row>29</xdr:row>
      <xdr:rowOff>142875</xdr:rowOff>
    </xdr:to>
    <xdr:sp macro="" textlink="">
      <xdr:nvSpPr>
        <xdr:cNvPr id="13228" name="Freeform 274">
          <a:extLst>
            <a:ext uri="{FF2B5EF4-FFF2-40B4-BE49-F238E27FC236}">
              <a16:creationId xmlns:a16="http://schemas.microsoft.com/office/drawing/2014/main" id="{00000000-0008-0000-0A00-0000AC330000}"/>
            </a:ext>
          </a:extLst>
        </xdr:cNvPr>
        <xdr:cNvSpPr>
          <a:spLocks noChangeAspect="1"/>
        </xdr:cNvSpPr>
      </xdr:nvSpPr>
      <xdr:spPr bwMode="auto">
        <a:xfrm>
          <a:off x="1219200" y="5276850"/>
          <a:ext cx="38100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104" y="0"/>
              </a:moveTo>
              <a:lnTo>
                <a:pt x="102" y="12"/>
              </a:lnTo>
              <a:lnTo>
                <a:pt x="99" y="22"/>
              </a:lnTo>
              <a:lnTo>
                <a:pt x="93" y="33"/>
              </a:lnTo>
              <a:lnTo>
                <a:pt x="84" y="41"/>
              </a:lnTo>
              <a:lnTo>
                <a:pt x="74" y="48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8"/>
              </a:lnTo>
              <a:lnTo>
                <a:pt x="19" y="41"/>
              </a:lnTo>
              <a:lnTo>
                <a:pt x="11" y="33"/>
              </a:lnTo>
              <a:lnTo>
                <a:pt x="5" y="22"/>
              </a:lnTo>
              <a:lnTo>
                <a:pt x="2" y="12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27</xdr:row>
      <xdr:rowOff>85725</xdr:rowOff>
    </xdr:from>
    <xdr:to>
      <xdr:col>2</xdr:col>
      <xdr:colOff>190500</xdr:colOff>
      <xdr:row>29</xdr:row>
      <xdr:rowOff>133350</xdr:rowOff>
    </xdr:to>
    <xdr:sp macro="" textlink="">
      <xdr:nvSpPr>
        <xdr:cNvPr id="13229" name="Freeform 275">
          <a:extLst>
            <a:ext uri="{FF2B5EF4-FFF2-40B4-BE49-F238E27FC236}">
              <a16:creationId xmlns:a16="http://schemas.microsoft.com/office/drawing/2014/main" id="{00000000-0008-0000-0A00-0000AD330000}"/>
            </a:ext>
          </a:extLst>
        </xdr:cNvPr>
        <xdr:cNvSpPr>
          <a:spLocks noChangeAspect="1"/>
        </xdr:cNvSpPr>
      </xdr:nvSpPr>
      <xdr:spPr bwMode="auto">
        <a:xfrm>
          <a:off x="1219200" y="4924425"/>
          <a:ext cx="38100" cy="371475"/>
        </a:xfrm>
        <a:custGeom>
          <a:avLst/>
          <a:gdLst>
            <a:gd name="T0" fmla="*/ 0 w 104"/>
            <a:gd name="T1" fmla="*/ 2147483647 h 916"/>
            <a:gd name="T2" fmla="*/ 0 w 104"/>
            <a:gd name="T3" fmla="*/ 2147483647 h 916"/>
            <a:gd name="T4" fmla="*/ 0 w 104"/>
            <a:gd name="T5" fmla="*/ 2147483647 h 916"/>
            <a:gd name="T6" fmla="*/ 0 w 104"/>
            <a:gd name="T7" fmla="*/ 0 h 916"/>
            <a:gd name="T8" fmla="*/ 0 w 104"/>
            <a:gd name="T9" fmla="*/ 0 h 916"/>
            <a:gd name="T10" fmla="*/ 0 w 104"/>
            <a:gd name="T11" fmla="*/ 0 h 916"/>
            <a:gd name="T12" fmla="*/ 0 w 104"/>
            <a:gd name="T13" fmla="*/ 2147483647 h 91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6"/>
            <a:gd name="T23" fmla="*/ 104 w 104"/>
            <a:gd name="T24" fmla="*/ 916 h 91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6">
              <a:moveTo>
                <a:pt x="0" y="916"/>
              </a:moveTo>
              <a:lnTo>
                <a:pt x="52" y="916"/>
              </a:lnTo>
              <a:lnTo>
                <a:pt x="104" y="916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6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27</xdr:row>
      <xdr:rowOff>85725</xdr:rowOff>
    </xdr:from>
    <xdr:to>
      <xdr:col>2</xdr:col>
      <xdr:colOff>190500</xdr:colOff>
      <xdr:row>29</xdr:row>
      <xdr:rowOff>133350</xdr:rowOff>
    </xdr:to>
    <xdr:sp macro="" textlink="">
      <xdr:nvSpPr>
        <xdr:cNvPr id="13230" name="Freeform 276">
          <a:extLst>
            <a:ext uri="{FF2B5EF4-FFF2-40B4-BE49-F238E27FC236}">
              <a16:creationId xmlns:a16="http://schemas.microsoft.com/office/drawing/2014/main" id="{00000000-0008-0000-0A00-0000AE330000}"/>
            </a:ext>
          </a:extLst>
        </xdr:cNvPr>
        <xdr:cNvSpPr>
          <a:spLocks noChangeAspect="1"/>
        </xdr:cNvSpPr>
      </xdr:nvSpPr>
      <xdr:spPr bwMode="auto">
        <a:xfrm>
          <a:off x="1219200" y="4924425"/>
          <a:ext cx="38100" cy="371475"/>
        </a:xfrm>
        <a:custGeom>
          <a:avLst/>
          <a:gdLst>
            <a:gd name="T0" fmla="*/ 0 w 104"/>
            <a:gd name="T1" fmla="*/ 2147483647 h 916"/>
            <a:gd name="T2" fmla="*/ 0 w 104"/>
            <a:gd name="T3" fmla="*/ 2147483647 h 916"/>
            <a:gd name="T4" fmla="*/ 0 w 104"/>
            <a:gd name="T5" fmla="*/ 2147483647 h 916"/>
            <a:gd name="T6" fmla="*/ 0 w 104"/>
            <a:gd name="T7" fmla="*/ 0 h 916"/>
            <a:gd name="T8" fmla="*/ 0 w 104"/>
            <a:gd name="T9" fmla="*/ 0 h 916"/>
            <a:gd name="T10" fmla="*/ 0 w 104"/>
            <a:gd name="T11" fmla="*/ 0 h 916"/>
            <a:gd name="T12" fmla="*/ 0 w 104"/>
            <a:gd name="T13" fmla="*/ 2147483647 h 91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6"/>
            <a:gd name="T23" fmla="*/ 104 w 104"/>
            <a:gd name="T24" fmla="*/ 916 h 91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6">
              <a:moveTo>
                <a:pt x="0" y="916"/>
              </a:moveTo>
              <a:lnTo>
                <a:pt x="52" y="916"/>
              </a:lnTo>
              <a:lnTo>
                <a:pt x="104" y="916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6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27</xdr:row>
      <xdr:rowOff>38100</xdr:rowOff>
    </xdr:from>
    <xdr:to>
      <xdr:col>2</xdr:col>
      <xdr:colOff>190500</xdr:colOff>
      <xdr:row>27</xdr:row>
      <xdr:rowOff>76200</xdr:rowOff>
    </xdr:to>
    <xdr:sp macro="" textlink="">
      <xdr:nvSpPr>
        <xdr:cNvPr id="13231" name="Freeform 277">
          <a:extLst>
            <a:ext uri="{FF2B5EF4-FFF2-40B4-BE49-F238E27FC236}">
              <a16:creationId xmlns:a16="http://schemas.microsoft.com/office/drawing/2014/main" id="{00000000-0008-0000-0A00-0000AF330000}"/>
            </a:ext>
          </a:extLst>
        </xdr:cNvPr>
        <xdr:cNvSpPr>
          <a:spLocks noChangeAspect="1"/>
        </xdr:cNvSpPr>
      </xdr:nvSpPr>
      <xdr:spPr bwMode="auto">
        <a:xfrm>
          <a:off x="1219200" y="4876800"/>
          <a:ext cx="38100" cy="38100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w 104"/>
            <a:gd name="T31" fmla="*/ 0 h 53"/>
            <a:gd name="T32" fmla="*/ 0 w 104"/>
            <a:gd name="T33" fmla="*/ 0 h 53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3"/>
            <a:gd name="T53" fmla="*/ 104 w 104"/>
            <a:gd name="T54" fmla="*/ 53 h 53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3">
              <a:moveTo>
                <a:pt x="52" y="53"/>
              </a:moveTo>
              <a:lnTo>
                <a:pt x="0" y="53"/>
              </a:ln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27</xdr:row>
      <xdr:rowOff>38100</xdr:rowOff>
    </xdr:from>
    <xdr:to>
      <xdr:col>2</xdr:col>
      <xdr:colOff>190500</xdr:colOff>
      <xdr:row>27</xdr:row>
      <xdr:rowOff>76200</xdr:rowOff>
    </xdr:to>
    <xdr:sp macro="" textlink="">
      <xdr:nvSpPr>
        <xdr:cNvPr id="13232" name="Freeform 278">
          <a:extLst>
            <a:ext uri="{FF2B5EF4-FFF2-40B4-BE49-F238E27FC236}">
              <a16:creationId xmlns:a16="http://schemas.microsoft.com/office/drawing/2014/main" id="{00000000-0008-0000-0A00-0000B0330000}"/>
            </a:ext>
          </a:extLst>
        </xdr:cNvPr>
        <xdr:cNvSpPr>
          <a:spLocks noChangeAspect="1"/>
        </xdr:cNvSpPr>
      </xdr:nvSpPr>
      <xdr:spPr bwMode="auto">
        <a:xfrm>
          <a:off x="1219200" y="4876800"/>
          <a:ext cx="38100" cy="38100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3"/>
            <a:gd name="T47" fmla="*/ 104 w 104"/>
            <a:gd name="T48" fmla="*/ 53 h 53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3">
              <a:moveTo>
                <a:pt x="0" y="53"/>
              </a:move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26</xdr:row>
      <xdr:rowOff>142875</xdr:rowOff>
    </xdr:from>
    <xdr:to>
      <xdr:col>2</xdr:col>
      <xdr:colOff>190500</xdr:colOff>
      <xdr:row>27</xdr:row>
      <xdr:rowOff>9525</xdr:rowOff>
    </xdr:to>
    <xdr:sp macro="" textlink="">
      <xdr:nvSpPr>
        <xdr:cNvPr id="13233" name="Freeform 279">
          <a:extLst>
            <a:ext uri="{FF2B5EF4-FFF2-40B4-BE49-F238E27FC236}">
              <a16:creationId xmlns:a16="http://schemas.microsoft.com/office/drawing/2014/main" id="{00000000-0008-0000-0A00-0000B1330000}"/>
            </a:ext>
          </a:extLst>
        </xdr:cNvPr>
        <xdr:cNvSpPr>
          <a:spLocks noChangeAspect="1"/>
        </xdr:cNvSpPr>
      </xdr:nvSpPr>
      <xdr:spPr bwMode="auto">
        <a:xfrm>
          <a:off x="1219200" y="4819650"/>
          <a:ext cx="38100" cy="28575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w 104"/>
            <a:gd name="T31" fmla="*/ 0 h 51"/>
            <a:gd name="T32" fmla="*/ 0 w 104"/>
            <a:gd name="T33" fmla="*/ 0 h 5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1"/>
            <a:gd name="T53" fmla="*/ 104 w 104"/>
            <a:gd name="T54" fmla="*/ 51 h 5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1">
              <a:moveTo>
                <a:pt x="52" y="0"/>
              </a:moveTo>
              <a:lnTo>
                <a:pt x="104" y="0"/>
              </a:ln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26</xdr:row>
      <xdr:rowOff>142875</xdr:rowOff>
    </xdr:from>
    <xdr:to>
      <xdr:col>2</xdr:col>
      <xdr:colOff>190500</xdr:colOff>
      <xdr:row>27</xdr:row>
      <xdr:rowOff>9525</xdr:rowOff>
    </xdr:to>
    <xdr:sp macro="" textlink="">
      <xdr:nvSpPr>
        <xdr:cNvPr id="13234" name="Freeform 280">
          <a:extLst>
            <a:ext uri="{FF2B5EF4-FFF2-40B4-BE49-F238E27FC236}">
              <a16:creationId xmlns:a16="http://schemas.microsoft.com/office/drawing/2014/main" id="{00000000-0008-0000-0A00-0000B2330000}"/>
            </a:ext>
          </a:extLst>
        </xdr:cNvPr>
        <xdr:cNvSpPr>
          <a:spLocks noChangeAspect="1"/>
        </xdr:cNvSpPr>
      </xdr:nvSpPr>
      <xdr:spPr bwMode="auto">
        <a:xfrm>
          <a:off x="1219200" y="4819650"/>
          <a:ext cx="38100" cy="28575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1"/>
            <a:gd name="T47" fmla="*/ 104 w 104"/>
            <a:gd name="T48" fmla="*/ 51 h 5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1">
              <a:moveTo>
                <a:pt x="104" y="0"/>
              </a:move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24</xdr:row>
      <xdr:rowOff>85725</xdr:rowOff>
    </xdr:from>
    <xdr:to>
      <xdr:col>2</xdr:col>
      <xdr:colOff>190500</xdr:colOff>
      <xdr:row>26</xdr:row>
      <xdr:rowOff>142875</xdr:rowOff>
    </xdr:to>
    <xdr:sp macro="" textlink="">
      <xdr:nvSpPr>
        <xdr:cNvPr id="13235" name="Freeform 281">
          <a:extLst>
            <a:ext uri="{FF2B5EF4-FFF2-40B4-BE49-F238E27FC236}">
              <a16:creationId xmlns:a16="http://schemas.microsoft.com/office/drawing/2014/main" id="{00000000-0008-0000-0A00-0000B3330000}"/>
            </a:ext>
          </a:extLst>
        </xdr:cNvPr>
        <xdr:cNvSpPr>
          <a:spLocks noChangeAspect="1"/>
        </xdr:cNvSpPr>
      </xdr:nvSpPr>
      <xdr:spPr bwMode="auto">
        <a:xfrm>
          <a:off x="1219200" y="4438650"/>
          <a:ext cx="38100" cy="381000"/>
        </a:xfrm>
        <a:custGeom>
          <a:avLst/>
          <a:gdLst>
            <a:gd name="T0" fmla="*/ 0 w 104"/>
            <a:gd name="T1" fmla="*/ 2147483647 h 918"/>
            <a:gd name="T2" fmla="*/ 0 w 104"/>
            <a:gd name="T3" fmla="*/ 2147483647 h 918"/>
            <a:gd name="T4" fmla="*/ 0 w 104"/>
            <a:gd name="T5" fmla="*/ 2147483647 h 918"/>
            <a:gd name="T6" fmla="*/ 0 w 104"/>
            <a:gd name="T7" fmla="*/ 0 h 918"/>
            <a:gd name="T8" fmla="*/ 0 w 104"/>
            <a:gd name="T9" fmla="*/ 0 h 918"/>
            <a:gd name="T10" fmla="*/ 0 w 104"/>
            <a:gd name="T11" fmla="*/ 0 h 918"/>
            <a:gd name="T12" fmla="*/ 0 w 104"/>
            <a:gd name="T13" fmla="*/ 2147483647 h 918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8"/>
            <a:gd name="T23" fmla="*/ 104 w 104"/>
            <a:gd name="T24" fmla="*/ 918 h 918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8">
              <a:moveTo>
                <a:pt x="0" y="918"/>
              </a:moveTo>
              <a:lnTo>
                <a:pt x="52" y="918"/>
              </a:lnTo>
              <a:lnTo>
                <a:pt x="104" y="918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8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24</xdr:row>
      <xdr:rowOff>85725</xdr:rowOff>
    </xdr:from>
    <xdr:to>
      <xdr:col>2</xdr:col>
      <xdr:colOff>190500</xdr:colOff>
      <xdr:row>26</xdr:row>
      <xdr:rowOff>142875</xdr:rowOff>
    </xdr:to>
    <xdr:sp macro="" textlink="">
      <xdr:nvSpPr>
        <xdr:cNvPr id="13236" name="Freeform 282">
          <a:extLst>
            <a:ext uri="{FF2B5EF4-FFF2-40B4-BE49-F238E27FC236}">
              <a16:creationId xmlns:a16="http://schemas.microsoft.com/office/drawing/2014/main" id="{00000000-0008-0000-0A00-0000B4330000}"/>
            </a:ext>
          </a:extLst>
        </xdr:cNvPr>
        <xdr:cNvSpPr>
          <a:spLocks noChangeAspect="1"/>
        </xdr:cNvSpPr>
      </xdr:nvSpPr>
      <xdr:spPr bwMode="auto">
        <a:xfrm>
          <a:off x="1219200" y="4438650"/>
          <a:ext cx="38100" cy="381000"/>
        </a:xfrm>
        <a:custGeom>
          <a:avLst/>
          <a:gdLst>
            <a:gd name="T0" fmla="*/ 0 w 104"/>
            <a:gd name="T1" fmla="*/ 2147483647 h 918"/>
            <a:gd name="T2" fmla="*/ 0 w 104"/>
            <a:gd name="T3" fmla="*/ 2147483647 h 918"/>
            <a:gd name="T4" fmla="*/ 0 w 104"/>
            <a:gd name="T5" fmla="*/ 2147483647 h 918"/>
            <a:gd name="T6" fmla="*/ 0 w 104"/>
            <a:gd name="T7" fmla="*/ 0 h 918"/>
            <a:gd name="T8" fmla="*/ 0 w 104"/>
            <a:gd name="T9" fmla="*/ 0 h 918"/>
            <a:gd name="T10" fmla="*/ 0 w 104"/>
            <a:gd name="T11" fmla="*/ 0 h 918"/>
            <a:gd name="T12" fmla="*/ 0 w 104"/>
            <a:gd name="T13" fmla="*/ 2147483647 h 918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8"/>
            <a:gd name="T23" fmla="*/ 104 w 104"/>
            <a:gd name="T24" fmla="*/ 918 h 918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8">
              <a:moveTo>
                <a:pt x="0" y="918"/>
              </a:moveTo>
              <a:lnTo>
                <a:pt x="52" y="918"/>
              </a:lnTo>
              <a:lnTo>
                <a:pt x="104" y="918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8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24</xdr:row>
      <xdr:rowOff>76200</xdr:rowOff>
    </xdr:from>
    <xdr:to>
      <xdr:col>2</xdr:col>
      <xdr:colOff>190500</xdr:colOff>
      <xdr:row>24</xdr:row>
      <xdr:rowOff>95250</xdr:rowOff>
    </xdr:to>
    <xdr:sp macro="" textlink="">
      <xdr:nvSpPr>
        <xdr:cNvPr id="13237" name="Freeform 283">
          <a:extLst>
            <a:ext uri="{FF2B5EF4-FFF2-40B4-BE49-F238E27FC236}">
              <a16:creationId xmlns:a16="http://schemas.microsoft.com/office/drawing/2014/main" id="{00000000-0008-0000-0A00-0000B5330000}"/>
            </a:ext>
          </a:extLst>
        </xdr:cNvPr>
        <xdr:cNvSpPr>
          <a:spLocks noChangeAspect="1"/>
        </xdr:cNvSpPr>
      </xdr:nvSpPr>
      <xdr:spPr bwMode="auto">
        <a:xfrm>
          <a:off x="1219200" y="4429125"/>
          <a:ext cx="38100" cy="19050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52"/>
              </a:moveTo>
              <a:lnTo>
                <a:pt x="0" y="52"/>
              </a:ln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1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24</xdr:row>
      <xdr:rowOff>76200</xdr:rowOff>
    </xdr:from>
    <xdr:to>
      <xdr:col>2</xdr:col>
      <xdr:colOff>190500</xdr:colOff>
      <xdr:row>24</xdr:row>
      <xdr:rowOff>95250</xdr:rowOff>
    </xdr:to>
    <xdr:sp macro="" textlink="">
      <xdr:nvSpPr>
        <xdr:cNvPr id="13238" name="Freeform 284">
          <a:extLst>
            <a:ext uri="{FF2B5EF4-FFF2-40B4-BE49-F238E27FC236}">
              <a16:creationId xmlns:a16="http://schemas.microsoft.com/office/drawing/2014/main" id="{00000000-0008-0000-0A00-0000B6330000}"/>
            </a:ext>
          </a:extLst>
        </xdr:cNvPr>
        <xdr:cNvSpPr>
          <a:spLocks noChangeAspect="1"/>
        </xdr:cNvSpPr>
      </xdr:nvSpPr>
      <xdr:spPr bwMode="auto">
        <a:xfrm>
          <a:off x="1219200" y="4429125"/>
          <a:ext cx="38100" cy="19050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0" y="52"/>
              </a:move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1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1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24</xdr:row>
      <xdr:rowOff>9525</xdr:rowOff>
    </xdr:from>
    <xdr:to>
      <xdr:col>2</xdr:col>
      <xdr:colOff>190500</xdr:colOff>
      <xdr:row>24</xdr:row>
      <xdr:rowOff>28575</xdr:rowOff>
    </xdr:to>
    <xdr:sp macro="" textlink="">
      <xdr:nvSpPr>
        <xdr:cNvPr id="13239" name="Freeform 285">
          <a:extLst>
            <a:ext uri="{FF2B5EF4-FFF2-40B4-BE49-F238E27FC236}">
              <a16:creationId xmlns:a16="http://schemas.microsoft.com/office/drawing/2014/main" id="{00000000-0008-0000-0A00-0000B7330000}"/>
            </a:ext>
          </a:extLst>
        </xdr:cNvPr>
        <xdr:cNvSpPr>
          <a:spLocks noChangeAspect="1"/>
        </xdr:cNvSpPr>
      </xdr:nvSpPr>
      <xdr:spPr bwMode="auto">
        <a:xfrm>
          <a:off x="1219200" y="4362450"/>
          <a:ext cx="38100" cy="19050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0"/>
              </a:moveTo>
              <a:lnTo>
                <a:pt x="104" y="0"/>
              </a:lnTo>
              <a:lnTo>
                <a:pt x="102" y="12"/>
              </a:lnTo>
              <a:lnTo>
                <a:pt x="99" y="22"/>
              </a:lnTo>
              <a:lnTo>
                <a:pt x="93" y="33"/>
              </a:lnTo>
              <a:lnTo>
                <a:pt x="84" y="41"/>
              </a:lnTo>
              <a:lnTo>
                <a:pt x="74" y="47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7"/>
              </a:lnTo>
              <a:lnTo>
                <a:pt x="19" y="41"/>
              </a:lnTo>
              <a:lnTo>
                <a:pt x="11" y="33"/>
              </a:lnTo>
              <a:lnTo>
                <a:pt x="5" y="22"/>
              </a:lnTo>
              <a:lnTo>
                <a:pt x="2" y="12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24</xdr:row>
      <xdr:rowOff>9525</xdr:rowOff>
    </xdr:from>
    <xdr:to>
      <xdr:col>2</xdr:col>
      <xdr:colOff>190500</xdr:colOff>
      <xdr:row>24</xdr:row>
      <xdr:rowOff>28575</xdr:rowOff>
    </xdr:to>
    <xdr:sp macro="" textlink="">
      <xdr:nvSpPr>
        <xdr:cNvPr id="13240" name="Freeform 286">
          <a:extLst>
            <a:ext uri="{FF2B5EF4-FFF2-40B4-BE49-F238E27FC236}">
              <a16:creationId xmlns:a16="http://schemas.microsoft.com/office/drawing/2014/main" id="{00000000-0008-0000-0A00-0000B8330000}"/>
            </a:ext>
          </a:extLst>
        </xdr:cNvPr>
        <xdr:cNvSpPr>
          <a:spLocks noChangeAspect="1"/>
        </xdr:cNvSpPr>
      </xdr:nvSpPr>
      <xdr:spPr bwMode="auto">
        <a:xfrm>
          <a:off x="1219200" y="4362450"/>
          <a:ext cx="38100" cy="19050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104" y="0"/>
              </a:moveTo>
              <a:lnTo>
                <a:pt x="102" y="12"/>
              </a:lnTo>
              <a:lnTo>
                <a:pt x="99" y="22"/>
              </a:lnTo>
              <a:lnTo>
                <a:pt x="93" y="33"/>
              </a:lnTo>
              <a:lnTo>
                <a:pt x="84" y="41"/>
              </a:lnTo>
              <a:lnTo>
                <a:pt x="74" y="47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7"/>
              </a:lnTo>
              <a:lnTo>
                <a:pt x="19" y="41"/>
              </a:lnTo>
              <a:lnTo>
                <a:pt x="11" y="33"/>
              </a:lnTo>
              <a:lnTo>
                <a:pt x="5" y="22"/>
              </a:lnTo>
              <a:lnTo>
                <a:pt x="2" y="12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21</xdr:row>
      <xdr:rowOff>85725</xdr:rowOff>
    </xdr:from>
    <xdr:to>
      <xdr:col>2</xdr:col>
      <xdr:colOff>190500</xdr:colOff>
      <xdr:row>23</xdr:row>
      <xdr:rowOff>142875</xdr:rowOff>
    </xdr:to>
    <xdr:sp macro="" textlink="">
      <xdr:nvSpPr>
        <xdr:cNvPr id="13241" name="Freeform 287">
          <a:extLst>
            <a:ext uri="{FF2B5EF4-FFF2-40B4-BE49-F238E27FC236}">
              <a16:creationId xmlns:a16="http://schemas.microsoft.com/office/drawing/2014/main" id="{00000000-0008-0000-0A00-0000B9330000}"/>
            </a:ext>
          </a:extLst>
        </xdr:cNvPr>
        <xdr:cNvSpPr>
          <a:spLocks noChangeAspect="1"/>
        </xdr:cNvSpPr>
      </xdr:nvSpPr>
      <xdr:spPr bwMode="auto">
        <a:xfrm>
          <a:off x="1219200" y="3952875"/>
          <a:ext cx="38100" cy="381000"/>
        </a:xfrm>
        <a:custGeom>
          <a:avLst/>
          <a:gdLst>
            <a:gd name="T0" fmla="*/ 0 w 104"/>
            <a:gd name="T1" fmla="*/ 2147483647 h 918"/>
            <a:gd name="T2" fmla="*/ 0 w 104"/>
            <a:gd name="T3" fmla="*/ 2147483647 h 918"/>
            <a:gd name="T4" fmla="*/ 0 w 104"/>
            <a:gd name="T5" fmla="*/ 2147483647 h 918"/>
            <a:gd name="T6" fmla="*/ 0 w 104"/>
            <a:gd name="T7" fmla="*/ 0 h 918"/>
            <a:gd name="T8" fmla="*/ 0 w 104"/>
            <a:gd name="T9" fmla="*/ 0 h 918"/>
            <a:gd name="T10" fmla="*/ 0 w 104"/>
            <a:gd name="T11" fmla="*/ 0 h 918"/>
            <a:gd name="T12" fmla="*/ 0 w 104"/>
            <a:gd name="T13" fmla="*/ 2147483647 h 918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8"/>
            <a:gd name="T23" fmla="*/ 104 w 104"/>
            <a:gd name="T24" fmla="*/ 918 h 918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8">
              <a:moveTo>
                <a:pt x="0" y="918"/>
              </a:moveTo>
              <a:lnTo>
                <a:pt x="52" y="918"/>
              </a:lnTo>
              <a:lnTo>
                <a:pt x="104" y="918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8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21</xdr:row>
      <xdr:rowOff>85725</xdr:rowOff>
    </xdr:from>
    <xdr:to>
      <xdr:col>2</xdr:col>
      <xdr:colOff>190500</xdr:colOff>
      <xdr:row>23</xdr:row>
      <xdr:rowOff>142875</xdr:rowOff>
    </xdr:to>
    <xdr:sp macro="" textlink="">
      <xdr:nvSpPr>
        <xdr:cNvPr id="13242" name="Freeform 288">
          <a:extLst>
            <a:ext uri="{FF2B5EF4-FFF2-40B4-BE49-F238E27FC236}">
              <a16:creationId xmlns:a16="http://schemas.microsoft.com/office/drawing/2014/main" id="{00000000-0008-0000-0A00-0000BA330000}"/>
            </a:ext>
          </a:extLst>
        </xdr:cNvPr>
        <xdr:cNvSpPr>
          <a:spLocks noChangeAspect="1"/>
        </xdr:cNvSpPr>
      </xdr:nvSpPr>
      <xdr:spPr bwMode="auto">
        <a:xfrm>
          <a:off x="1219200" y="3952875"/>
          <a:ext cx="38100" cy="381000"/>
        </a:xfrm>
        <a:custGeom>
          <a:avLst/>
          <a:gdLst>
            <a:gd name="T0" fmla="*/ 0 w 104"/>
            <a:gd name="T1" fmla="*/ 2147483647 h 918"/>
            <a:gd name="T2" fmla="*/ 0 w 104"/>
            <a:gd name="T3" fmla="*/ 2147483647 h 918"/>
            <a:gd name="T4" fmla="*/ 0 w 104"/>
            <a:gd name="T5" fmla="*/ 2147483647 h 918"/>
            <a:gd name="T6" fmla="*/ 0 w 104"/>
            <a:gd name="T7" fmla="*/ 0 h 918"/>
            <a:gd name="T8" fmla="*/ 0 w 104"/>
            <a:gd name="T9" fmla="*/ 0 h 918"/>
            <a:gd name="T10" fmla="*/ 0 w 104"/>
            <a:gd name="T11" fmla="*/ 0 h 918"/>
            <a:gd name="T12" fmla="*/ 0 w 104"/>
            <a:gd name="T13" fmla="*/ 2147483647 h 918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918"/>
            <a:gd name="T23" fmla="*/ 104 w 104"/>
            <a:gd name="T24" fmla="*/ 918 h 918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918">
              <a:moveTo>
                <a:pt x="0" y="918"/>
              </a:moveTo>
              <a:lnTo>
                <a:pt x="52" y="918"/>
              </a:lnTo>
              <a:lnTo>
                <a:pt x="104" y="918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918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21</xdr:row>
      <xdr:rowOff>85725</xdr:rowOff>
    </xdr:from>
    <xdr:to>
      <xdr:col>2</xdr:col>
      <xdr:colOff>190500</xdr:colOff>
      <xdr:row>21</xdr:row>
      <xdr:rowOff>104775</xdr:rowOff>
    </xdr:to>
    <xdr:sp macro="" textlink="">
      <xdr:nvSpPr>
        <xdr:cNvPr id="13243" name="Freeform 289">
          <a:extLst>
            <a:ext uri="{FF2B5EF4-FFF2-40B4-BE49-F238E27FC236}">
              <a16:creationId xmlns:a16="http://schemas.microsoft.com/office/drawing/2014/main" id="{00000000-0008-0000-0A00-0000BB330000}"/>
            </a:ext>
          </a:extLst>
        </xdr:cNvPr>
        <xdr:cNvSpPr>
          <a:spLocks noChangeAspect="1"/>
        </xdr:cNvSpPr>
      </xdr:nvSpPr>
      <xdr:spPr bwMode="auto">
        <a:xfrm>
          <a:off x="1219200" y="3952875"/>
          <a:ext cx="38100" cy="19050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52"/>
              </a:moveTo>
              <a:lnTo>
                <a:pt x="0" y="52"/>
              </a:ln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21</xdr:row>
      <xdr:rowOff>85725</xdr:rowOff>
    </xdr:from>
    <xdr:to>
      <xdr:col>2</xdr:col>
      <xdr:colOff>190500</xdr:colOff>
      <xdr:row>21</xdr:row>
      <xdr:rowOff>104775</xdr:rowOff>
    </xdr:to>
    <xdr:sp macro="" textlink="">
      <xdr:nvSpPr>
        <xdr:cNvPr id="13244" name="Freeform 290">
          <a:extLst>
            <a:ext uri="{FF2B5EF4-FFF2-40B4-BE49-F238E27FC236}">
              <a16:creationId xmlns:a16="http://schemas.microsoft.com/office/drawing/2014/main" id="{00000000-0008-0000-0A00-0000BC330000}"/>
            </a:ext>
          </a:extLst>
        </xdr:cNvPr>
        <xdr:cNvSpPr>
          <a:spLocks noChangeAspect="1"/>
        </xdr:cNvSpPr>
      </xdr:nvSpPr>
      <xdr:spPr bwMode="auto">
        <a:xfrm>
          <a:off x="1219200" y="3952875"/>
          <a:ext cx="38100" cy="19050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0" y="52"/>
              </a:move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21</xdr:row>
      <xdr:rowOff>9525</xdr:rowOff>
    </xdr:from>
    <xdr:to>
      <xdr:col>2</xdr:col>
      <xdr:colOff>190500</xdr:colOff>
      <xdr:row>21</xdr:row>
      <xdr:rowOff>28575</xdr:rowOff>
    </xdr:to>
    <xdr:sp macro="" textlink="">
      <xdr:nvSpPr>
        <xdr:cNvPr id="13245" name="Freeform 291">
          <a:extLst>
            <a:ext uri="{FF2B5EF4-FFF2-40B4-BE49-F238E27FC236}">
              <a16:creationId xmlns:a16="http://schemas.microsoft.com/office/drawing/2014/main" id="{00000000-0008-0000-0A00-0000BD330000}"/>
            </a:ext>
          </a:extLst>
        </xdr:cNvPr>
        <xdr:cNvSpPr>
          <a:spLocks noChangeAspect="1"/>
        </xdr:cNvSpPr>
      </xdr:nvSpPr>
      <xdr:spPr bwMode="auto">
        <a:xfrm>
          <a:off x="1219200" y="3876675"/>
          <a:ext cx="38100" cy="19050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w 104"/>
            <a:gd name="T31" fmla="*/ 0 h 51"/>
            <a:gd name="T32" fmla="*/ 0 w 104"/>
            <a:gd name="T33" fmla="*/ 0 h 5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1"/>
            <a:gd name="T53" fmla="*/ 104 w 104"/>
            <a:gd name="T54" fmla="*/ 51 h 5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1">
              <a:moveTo>
                <a:pt x="52" y="0"/>
              </a:moveTo>
              <a:lnTo>
                <a:pt x="104" y="0"/>
              </a:ln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21</xdr:row>
      <xdr:rowOff>9525</xdr:rowOff>
    </xdr:from>
    <xdr:to>
      <xdr:col>2</xdr:col>
      <xdr:colOff>190500</xdr:colOff>
      <xdr:row>21</xdr:row>
      <xdr:rowOff>28575</xdr:rowOff>
    </xdr:to>
    <xdr:sp macro="" textlink="">
      <xdr:nvSpPr>
        <xdr:cNvPr id="13246" name="Freeform 292">
          <a:extLst>
            <a:ext uri="{FF2B5EF4-FFF2-40B4-BE49-F238E27FC236}">
              <a16:creationId xmlns:a16="http://schemas.microsoft.com/office/drawing/2014/main" id="{00000000-0008-0000-0A00-0000BE330000}"/>
            </a:ext>
          </a:extLst>
        </xdr:cNvPr>
        <xdr:cNvSpPr>
          <a:spLocks noChangeAspect="1"/>
        </xdr:cNvSpPr>
      </xdr:nvSpPr>
      <xdr:spPr bwMode="auto">
        <a:xfrm>
          <a:off x="1219200" y="3876675"/>
          <a:ext cx="38100" cy="19050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1"/>
            <a:gd name="T47" fmla="*/ 104 w 104"/>
            <a:gd name="T48" fmla="*/ 51 h 5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1">
              <a:moveTo>
                <a:pt x="104" y="0"/>
              </a:move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19</xdr:row>
      <xdr:rowOff>47625</xdr:rowOff>
    </xdr:from>
    <xdr:to>
      <xdr:col>2</xdr:col>
      <xdr:colOff>190500</xdr:colOff>
      <xdr:row>21</xdr:row>
      <xdr:rowOff>9525</xdr:rowOff>
    </xdr:to>
    <xdr:sp macro="" textlink="">
      <xdr:nvSpPr>
        <xdr:cNvPr id="13247" name="Freeform 293">
          <a:extLst>
            <a:ext uri="{FF2B5EF4-FFF2-40B4-BE49-F238E27FC236}">
              <a16:creationId xmlns:a16="http://schemas.microsoft.com/office/drawing/2014/main" id="{00000000-0008-0000-0A00-0000BF330000}"/>
            </a:ext>
          </a:extLst>
        </xdr:cNvPr>
        <xdr:cNvSpPr>
          <a:spLocks noChangeAspect="1"/>
        </xdr:cNvSpPr>
      </xdr:nvSpPr>
      <xdr:spPr bwMode="auto">
        <a:xfrm>
          <a:off x="1219200" y="3590925"/>
          <a:ext cx="38100" cy="285750"/>
        </a:xfrm>
        <a:custGeom>
          <a:avLst/>
          <a:gdLst>
            <a:gd name="T0" fmla="*/ 0 w 104"/>
            <a:gd name="T1" fmla="*/ 2147483647 h 714"/>
            <a:gd name="T2" fmla="*/ 0 w 104"/>
            <a:gd name="T3" fmla="*/ 2147483647 h 714"/>
            <a:gd name="T4" fmla="*/ 0 w 104"/>
            <a:gd name="T5" fmla="*/ 2147483647 h 714"/>
            <a:gd name="T6" fmla="*/ 0 w 104"/>
            <a:gd name="T7" fmla="*/ 0 h 714"/>
            <a:gd name="T8" fmla="*/ 0 w 104"/>
            <a:gd name="T9" fmla="*/ 0 h 714"/>
            <a:gd name="T10" fmla="*/ 0 w 104"/>
            <a:gd name="T11" fmla="*/ 0 h 714"/>
            <a:gd name="T12" fmla="*/ 0 w 104"/>
            <a:gd name="T13" fmla="*/ 2147483647 h 71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14"/>
            <a:gd name="T23" fmla="*/ 104 w 104"/>
            <a:gd name="T24" fmla="*/ 714 h 71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14">
              <a:moveTo>
                <a:pt x="0" y="714"/>
              </a:moveTo>
              <a:lnTo>
                <a:pt x="52" y="714"/>
              </a:lnTo>
              <a:lnTo>
                <a:pt x="104" y="714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71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19</xdr:row>
      <xdr:rowOff>47625</xdr:rowOff>
    </xdr:from>
    <xdr:to>
      <xdr:col>2</xdr:col>
      <xdr:colOff>190500</xdr:colOff>
      <xdr:row>21</xdr:row>
      <xdr:rowOff>9525</xdr:rowOff>
    </xdr:to>
    <xdr:sp macro="" textlink="">
      <xdr:nvSpPr>
        <xdr:cNvPr id="13248" name="Freeform 294">
          <a:extLst>
            <a:ext uri="{FF2B5EF4-FFF2-40B4-BE49-F238E27FC236}">
              <a16:creationId xmlns:a16="http://schemas.microsoft.com/office/drawing/2014/main" id="{00000000-0008-0000-0A00-0000C0330000}"/>
            </a:ext>
          </a:extLst>
        </xdr:cNvPr>
        <xdr:cNvSpPr>
          <a:spLocks noChangeAspect="1"/>
        </xdr:cNvSpPr>
      </xdr:nvSpPr>
      <xdr:spPr bwMode="auto">
        <a:xfrm>
          <a:off x="1219200" y="3590925"/>
          <a:ext cx="38100" cy="285750"/>
        </a:xfrm>
        <a:custGeom>
          <a:avLst/>
          <a:gdLst>
            <a:gd name="T0" fmla="*/ 0 w 104"/>
            <a:gd name="T1" fmla="*/ 2147483647 h 714"/>
            <a:gd name="T2" fmla="*/ 0 w 104"/>
            <a:gd name="T3" fmla="*/ 2147483647 h 714"/>
            <a:gd name="T4" fmla="*/ 0 w 104"/>
            <a:gd name="T5" fmla="*/ 2147483647 h 714"/>
            <a:gd name="T6" fmla="*/ 0 w 104"/>
            <a:gd name="T7" fmla="*/ 0 h 714"/>
            <a:gd name="T8" fmla="*/ 0 w 104"/>
            <a:gd name="T9" fmla="*/ 0 h 714"/>
            <a:gd name="T10" fmla="*/ 0 w 104"/>
            <a:gd name="T11" fmla="*/ 0 h 714"/>
            <a:gd name="T12" fmla="*/ 0 w 104"/>
            <a:gd name="T13" fmla="*/ 2147483647 h 71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14"/>
            <a:gd name="T23" fmla="*/ 104 w 104"/>
            <a:gd name="T24" fmla="*/ 714 h 71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14">
              <a:moveTo>
                <a:pt x="0" y="714"/>
              </a:moveTo>
              <a:lnTo>
                <a:pt x="52" y="714"/>
              </a:lnTo>
              <a:lnTo>
                <a:pt x="104" y="714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71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19</xdr:row>
      <xdr:rowOff>19050</xdr:rowOff>
    </xdr:from>
    <xdr:to>
      <xdr:col>2</xdr:col>
      <xdr:colOff>190500</xdr:colOff>
      <xdr:row>19</xdr:row>
      <xdr:rowOff>57150</xdr:rowOff>
    </xdr:to>
    <xdr:sp macro="" textlink="">
      <xdr:nvSpPr>
        <xdr:cNvPr id="13249" name="Freeform 295">
          <a:extLst>
            <a:ext uri="{FF2B5EF4-FFF2-40B4-BE49-F238E27FC236}">
              <a16:creationId xmlns:a16="http://schemas.microsoft.com/office/drawing/2014/main" id="{00000000-0008-0000-0A00-0000C1330000}"/>
            </a:ext>
          </a:extLst>
        </xdr:cNvPr>
        <xdr:cNvSpPr>
          <a:spLocks noChangeAspect="1"/>
        </xdr:cNvSpPr>
      </xdr:nvSpPr>
      <xdr:spPr bwMode="auto">
        <a:xfrm>
          <a:off x="1219200" y="3562350"/>
          <a:ext cx="38100" cy="38100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w 104"/>
            <a:gd name="T31" fmla="*/ 0 h 53"/>
            <a:gd name="T32" fmla="*/ 0 w 104"/>
            <a:gd name="T33" fmla="*/ 0 h 53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3"/>
            <a:gd name="T53" fmla="*/ 104 w 104"/>
            <a:gd name="T54" fmla="*/ 53 h 53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3">
              <a:moveTo>
                <a:pt x="52" y="53"/>
              </a:moveTo>
              <a:lnTo>
                <a:pt x="0" y="53"/>
              </a:ln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19</xdr:row>
      <xdr:rowOff>19050</xdr:rowOff>
    </xdr:from>
    <xdr:to>
      <xdr:col>2</xdr:col>
      <xdr:colOff>190500</xdr:colOff>
      <xdr:row>19</xdr:row>
      <xdr:rowOff>57150</xdr:rowOff>
    </xdr:to>
    <xdr:sp macro="" textlink="">
      <xdr:nvSpPr>
        <xdr:cNvPr id="13250" name="Freeform 296">
          <a:extLst>
            <a:ext uri="{FF2B5EF4-FFF2-40B4-BE49-F238E27FC236}">
              <a16:creationId xmlns:a16="http://schemas.microsoft.com/office/drawing/2014/main" id="{00000000-0008-0000-0A00-0000C2330000}"/>
            </a:ext>
          </a:extLst>
        </xdr:cNvPr>
        <xdr:cNvSpPr>
          <a:spLocks noChangeAspect="1"/>
        </xdr:cNvSpPr>
      </xdr:nvSpPr>
      <xdr:spPr bwMode="auto">
        <a:xfrm>
          <a:off x="1219200" y="3562350"/>
          <a:ext cx="38100" cy="38100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3"/>
            <a:gd name="T47" fmla="*/ 104 w 104"/>
            <a:gd name="T48" fmla="*/ 53 h 53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3">
              <a:moveTo>
                <a:pt x="0" y="53"/>
              </a:moveTo>
              <a:lnTo>
                <a:pt x="2" y="41"/>
              </a:lnTo>
              <a:lnTo>
                <a:pt x="5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190500</xdr:colOff>
      <xdr:row>23</xdr:row>
      <xdr:rowOff>85725</xdr:rowOff>
    </xdr:from>
    <xdr:to>
      <xdr:col>18</xdr:col>
      <xdr:colOff>228600</xdr:colOff>
      <xdr:row>23</xdr:row>
      <xdr:rowOff>104775</xdr:rowOff>
    </xdr:to>
    <xdr:sp macro="" textlink="">
      <xdr:nvSpPr>
        <xdr:cNvPr id="13251" name="Freeform 297">
          <a:extLst>
            <a:ext uri="{FF2B5EF4-FFF2-40B4-BE49-F238E27FC236}">
              <a16:creationId xmlns:a16="http://schemas.microsoft.com/office/drawing/2014/main" id="{00000000-0008-0000-0A00-0000C3330000}"/>
            </a:ext>
          </a:extLst>
        </xdr:cNvPr>
        <xdr:cNvSpPr>
          <a:spLocks noChangeAspect="1"/>
        </xdr:cNvSpPr>
      </xdr:nvSpPr>
      <xdr:spPr bwMode="auto">
        <a:xfrm>
          <a:off x="9801225" y="4276725"/>
          <a:ext cx="38100" cy="19050"/>
        </a:xfrm>
        <a:custGeom>
          <a:avLst/>
          <a:gdLst>
            <a:gd name="T0" fmla="*/ 0 w 101"/>
            <a:gd name="T1" fmla="*/ 0 h 67"/>
            <a:gd name="T2" fmla="*/ 0 w 101"/>
            <a:gd name="T3" fmla="*/ 0 h 67"/>
            <a:gd name="T4" fmla="*/ 0 w 101"/>
            <a:gd name="T5" fmla="*/ 0 h 67"/>
            <a:gd name="T6" fmla="*/ 0 w 101"/>
            <a:gd name="T7" fmla="*/ 0 h 67"/>
            <a:gd name="T8" fmla="*/ 0 w 101"/>
            <a:gd name="T9" fmla="*/ 0 h 67"/>
            <a:gd name="T10" fmla="*/ 0 w 101"/>
            <a:gd name="T11" fmla="*/ 0 h 67"/>
            <a:gd name="T12" fmla="*/ 0 w 101"/>
            <a:gd name="T13" fmla="*/ 0 h 67"/>
            <a:gd name="T14" fmla="*/ 0 w 101"/>
            <a:gd name="T15" fmla="*/ 0 h 67"/>
            <a:gd name="T16" fmla="*/ 0 w 101"/>
            <a:gd name="T17" fmla="*/ 0 h 67"/>
            <a:gd name="T18" fmla="*/ 0 w 101"/>
            <a:gd name="T19" fmla="*/ 0 h 67"/>
            <a:gd name="T20" fmla="*/ 0 w 101"/>
            <a:gd name="T21" fmla="*/ 0 h 67"/>
            <a:gd name="T22" fmla="*/ 0 w 101"/>
            <a:gd name="T23" fmla="*/ 0 h 67"/>
            <a:gd name="T24" fmla="*/ 0 w 101"/>
            <a:gd name="T25" fmla="*/ 0 h 67"/>
            <a:gd name="T26" fmla="*/ 0 w 101"/>
            <a:gd name="T27" fmla="*/ 0 h 67"/>
            <a:gd name="T28" fmla="*/ 0 w 101"/>
            <a:gd name="T29" fmla="*/ 0 h 67"/>
            <a:gd name="T30" fmla="*/ 0 w 101"/>
            <a:gd name="T31" fmla="*/ 0 h 67"/>
            <a:gd name="T32" fmla="*/ 0 w 101"/>
            <a:gd name="T33" fmla="*/ 0 h 67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1"/>
            <a:gd name="T52" fmla="*/ 0 h 67"/>
            <a:gd name="T53" fmla="*/ 101 w 101"/>
            <a:gd name="T54" fmla="*/ 67 h 67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1" h="67">
              <a:moveTo>
                <a:pt x="49" y="51"/>
              </a:moveTo>
              <a:lnTo>
                <a:pt x="0" y="36"/>
              </a:lnTo>
              <a:lnTo>
                <a:pt x="4" y="25"/>
              </a:lnTo>
              <a:lnTo>
                <a:pt x="12" y="16"/>
              </a:lnTo>
              <a:lnTo>
                <a:pt x="21" y="8"/>
              </a:lnTo>
              <a:lnTo>
                <a:pt x="32" y="3"/>
              </a:lnTo>
              <a:lnTo>
                <a:pt x="42" y="0"/>
              </a:lnTo>
              <a:lnTo>
                <a:pt x="54" y="0"/>
              </a:lnTo>
              <a:lnTo>
                <a:pt x="65" y="2"/>
              </a:lnTo>
              <a:lnTo>
                <a:pt x="76" y="6"/>
              </a:lnTo>
              <a:lnTo>
                <a:pt x="85" y="14"/>
              </a:lnTo>
              <a:lnTo>
                <a:pt x="92" y="23"/>
              </a:lnTo>
              <a:lnTo>
                <a:pt x="98" y="34"/>
              </a:lnTo>
              <a:lnTo>
                <a:pt x="101" y="44"/>
              </a:lnTo>
              <a:lnTo>
                <a:pt x="101" y="56"/>
              </a:lnTo>
              <a:lnTo>
                <a:pt x="99" y="67"/>
              </a:lnTo>
              <a:lnTo>
                <a:pt x="49" y="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190500</xdr:colOff>
      <xdr:row>23</xdr:row>
      <xdr:rowOff>85725</xdr:rowOff>
    </xdr:from>
    <xdr:to>
      <xdr:col>18</xdr:col>
      <xdr:colOff>228600</xdr:colOff>
      <xdr:row>23</xdr:row>
      <xdr:rowOff>104775</xdr:rowOff>
    </xdr:to>
    <xdr:sp macro="" textlink="">
      <xdr:nvSpPr>
        <xdr:cNvPr id="13252" name="Freeform 298">
          <a:extLst>
            <a:ext uri="{FF2B5EF4-FFF2-40B4-BE49-F238E27FC236}">
              <a16:creationId xmlns:a16="http://schemas.microsoft.com/office/drawing/2014/main" id="{00000000-0008-0000-0A00-0000C4330000}"/>
            </a:ext>
          </a:extLst>
        </xdr:cNvPr>
        <xdr:cNvSpPr>
          <a:spLocks noChangeAspect="1"/>
        </xdr:cNvSpPr>
      </xdr:nvSpPr>
      <xdr:spPr bwMode="auto">
        <a:xfrm>
          <a:off x="9801225" y="4276725"/>
          <a:ext cx="38100" cy="19050"/>
        </a:xfrm>
        <a:custGeom>
          <a:avLst/>
          <a:gdLst>
            <a:gd name="T0" fmla="*/ 0 w 101"/>
            <a:gd name="T1" fmla="*/ 0 h 67"/>
            <a:gd name="T2" fmla="*/ 0 w 101"/>
            <a:gd name="T3" fmla="*/ 0 h 67"/>
            <a:gd name="T4" fmla="*/ 0 w 101"/>
            <a:gd name="T5" fmla="*/ 0 h 67"/>
            <a:gd name="T6" fmla="*/ 0 w 101"/>
            <a:gd name="T7" fmla="*/ 0 h 67"/>
            <a:gd name="T8" fmla="*/ 0 w 101"/>
            <a:gd name="T9" fmla="*/ 0 h 67"/>
            <a:gd name="T10" fmla="*/ 0 w 101"/>
            <a:gd name="T11" fmla="*/ 0 h 67"/>
            <a:gd name="T12" fmla="*/ 0 w 101"/>
            <a:gd name="T13" fmla="*/ 0 h 67"/>
            <a:gd name="T14" fmla="*/ 0 w 101"/>
            <a:gd name="T15" fmla="*/ 0 h 67"/>
            <a:gd name="T16" fmla="*/ 0 w 101"/>
            <a:gd name="T17" fmla="*/ 0 h 67"/>
            <a:gd name="T18" fmla="*/ 0 w 101"/>
            <a:gd name="T19" fmla="*/ 0 h 67"/>
            <a:gd name="T20" fmla="*/ 0 w 101"/>
            <a:gd name="T21" fmla="*/ 0 h 67"/>
            <a:gd name="T22" fmla="*/ 0 w 101"/>
            <a:gd name="T23" fmla="*/ 0 h 67"/>
            <a:gd name="T24" fmla="*/ 0 w 101"/>
            <a:gd name="T25" fmla="*/ 0 h 67"/>
            <a:gd name="T26" fmla="*/ 0 w 101"/>
            <a:gd name="T27" fmla="*/ 0 h 67"/>
            <a:gd name="T28" fmla="*/ 0 w 101"/>
            <a:gd name="T29" fmla="*/ 0 h 6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1"/>
            <a:gd name="T46" fmla="*/ 0 h 67"/>
            <a:gd name="T47" fmla="*/ 101 w 101"/>
            <a:gd name="T48" fmla="*/ 67 h 6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1" h="67">
              <a:moveTo>
                <a:pt x="0" y="36"/>
              </a:moveTo>
              <a:lnTo>
                <a:pt x="4" y="25"/>
              </a:lnTo>
              <a:lnTo>
                <a:pt x="12" y="16"/>
              </a:lnTo>
              <a:lnTo>
                <a:pt x="21" y="8"/>
              </a:lnTo>
              <a:lnTo>
                <a:pt x="32" y="3"/>
              </a:lnTo>
              <a:lnTo>
                <a:pt x="42" y="0"/>
              </a:lnTo>
              <a:lnTo>
                <a:pt x="54" y="0"/>
              </a:lnTo>
              <a:lnTo>
                <a:pt x="65" y="2"/>
              </a:lnTo>
              <a:lnTo>
                <a:pt x="76" y="6"/>
              </a:lnTo>
              <a:lnTo>
                <a:pt x="85" y="14"/>
              </a:lnTo>
              <a:lnTo>
                <a:pt x="92" y="23"/>
              </a:lnTo>
              <a:lnTo>
                <a:pt x="98" y="34"/>
              </a:lnTo>
              <a:lnTo>
                <a:pt x="101" y="44"/>
              </a:lnTo>
              <a:lnTo>
                <a:pt x="101" y="56"/>
              </a:lnTo>
              <a:lnTo>
                <a:pt x="99" y="67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66675</xdr:colOff>
      <xdr:row>23</xdr:row>
      <xdr:rowOff>104775</xdr:rowOff>
    </xdr:from>
    <xdr:to>
      <xdr:col>18</xdr:col>
      <xdr:colOff>219075</xdr:colOff>
      <xdr:row>25</xdr:row>
      <xdr:rowOff>104775</xdr:rowOff>
    </xdr:to>
    <xdr:sp macro="" textlink="">
      <xdr:nvSpPr>
        <xdr:cNvPr id="13253" name="Freeform 299">
          <a:extLst>
            <a:ext uri="{FF2B5EF4-FFF2-40B4-BE49-F238E27FC236}">
              <a16:creationId xmlns:a16="http://schemas.microsoft.com/office/drawing/2014/main" id="{00000000-0008-0000-0A00-0000C5330000}"/>
            </a:ext>
          </a:extLst>
        </xdr:cNvPr>
        <xdr:cNvSpPr>
          <a:spLocks noChangeAspect="1"/>
        </xdr:cNvSpPr>
      </xdr:nvSpPr>
      <xdr:spPr bwMode="auto">
        <a:xfrm>
          <a:off x="9677400" y="4295775"/>
          <a:ext cx="152400" cy="323850"/>
        </a:xfrm>
        <a:custGeom>
          <a:avLst/>
          <a:gdLst>
            <a:gd name="T0" fmla="*/ 2147483647 w 343"/>
            <a:gd name="T1" fmla="*/ 0 h 785"/>
            <a:gd name="T2" fmla="*/ 2147483647 w 343"/>
            <a:gd name="T3" fmla="*/ 0 h 785"/>
            <a:gd name="T4" fmla="*/ 2147483647 w 343"/>
            <a:gd name="T5" fmla="*/ 0 h 785"/>
            <a:gd name="T6" fmla="*/ 0 w 343"/>
            <a:gd name="T7" fmla="*/ 2147483647 h 785"/>
            <a:gd name="T8" fmla="*/ 0 w 343"/>
            <a:gd name="T9" fmla="*/ 2147483647 h 785"/>
            <a:gd name="T10" fmla="*/ 0 w 343"/>
            <a:gd name="T11" fmla="*/ 2147483647 h 785"/>
            <a:gd name="T12" fmla="*/ 2147483647 w 343"/>
            <a:gd name="T13" fmla="*/ 0 h 78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3"/>
            <a:gd name="T22" fmla="*/ 0 h 785"/>
            <a:gd name="T23" fmla="*/ 343 w 343"/>
            <a:gd name="T24" fmla="*/ 785 h 78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3" h="785">
              <a:moveTo>
                <a:pt x="343" y="31"/>
              </a:moveTo>
              <a:lnTo>
                <a:pt x="293" y="15"/>
              </a:lnTo>
              <a:lnTo>
                <a:pt x="244" y="0"/>
              </a:lnTo>
              <a:lnTo>
                <a:pt x="0" y="754"/>
              </a:lnTo>
              <a:lnTo>
                <a:pt x="50" y="769"/>
              </a:lnTo>
              <a:lnTo>
                <a:pt x="99" y="785"/>
              </a:lnTo>
              <a:lnTo>
                <a:pt x="343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66675</xdr:colOff>
      <xdr:row>23</xdr:row>
      <xdr:rowOff>104775</xdr:rowOff>
    </xdr:from>
    <xdr:to>
      <xdr:col>18</xdr:col>
      <xdr:colOff>219075</xdr:colOff>
      <xdr:row>25</xdr:row>
      <xdr:rowOff>104775</xdr:rowOff>
    </xdr:to>
    <xdr:sp macro="" textlink="">
      <xdr:nvSpPr>
        <xdr:cNvPr id="13254" name="Freeform 300">
          <a:extLst>
            <a:ext uri="{FF2B5EF4-FFF2-40B4-BE49-F238E27FC236}">
              <a16:creationId xmlns:a16="http://schemas.microsoft.com/office/drawing/2014/main" id="{00000000-0008-0000-0A00-0000C6330000}"/>
            </a:ext>
          </a:extLst>
        </xdr:cNvPr>
        <xdr:cNvSpPr>
          <a:spLocks noChangeAspect="1"/>
        </xdr:cNvSpPr>
      </xdr:nvSpPr>
      <xdr:spPr bwMode="auto">
        <a:xfrm>
          <a:off x="9677400" y="4295775"/>
          <a:ext cx="152400" cy="323850"/>
        </a:xfrm>
        <a:custGeom>
          <a:avLst/>
          <a:gdLst>
            <a:gd name="T0" fmla="*/ 2147483647 w 343"/>
            <a:gd name="T1" fmla="*/ 0 h 785"/>
            <a:gd name="T2" fmla="*/ 2147483647 w 343"/>
            <a:gd name="T3" fmla="*/ 0 h 785"/>
            <a:gd name="T4" fmla="*/ 2147483647 w 343"/>
            <a:gd name="T5" fmla="*/ 0 h 785"/>
            <a:gd name="T6" fmla="*/ 0 w 343"/>
            <a:gd name="T7" fmla="*/ 2147483647 h 785"/>
            <a:gd name="T8" fmla="*/ 0 w 343"/>
            <a:gd name="T9" fmla="*/ 2147483647 h 785"/>
            <a:gd name="T10" fmla="*/ 0 w 343"/>
            <a:gd name="T11" fmla="*/ 2147483647 h 785"/>
            <a:gd name="T12" fmla="*/ 2147483647 w 343"/>
            <a:gd name="T13" fmla="*/ 0 h 78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3"/>
            <a:gd name="T22" fmla="*/ 0 h 785"/>
            <a:gd name="T23" fmla="*/ 343 w 343"/>
            <a:gd name="T24" fmla="*/ 785 h 78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3" h="785">
              <a:moveTo>
                <a:pt x="343" y="31"/>
              </a:moveTo>
              <a:lnTo>
                <a:pt x="293" y="15"/>
              </a:lnTo>
              <a:lnTo>
                <a:pt x="244" y="0"/>
              </a:lnTo>
              <a:lnTo>
                <a:pt x="0" y="754"/>
              </a:lnTo>
              <a:lnTo>
                <a:pt x="50" y="769"/>
              </a:lnTo>
              <a:lnTo>
                <a:pt x="99" y="785"/>
              </a:lnTo>
              <a:lnTo>
                <a:pt x="343" y="3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66675</xdr:colOff>
      <xdr:row>25</xdr:row>
      <xdr:rowOff>76200</xdr:rowOff>
    </xdr:from>
    <xdr:to>
      <xdr:col>18</xdr:col>
      <xdr:colOff>114300</xdr:colOff>
      <xdr:row>25</xdr:row>
      <xdr:rowOff>104775</xdr:rowOff>
    </xdr:to>
    <xdr:sp macro="" textlink="">
      <xdr:nvSpPr>
        <xdr:cNvPr id="13255" name="Freeform 301">
          <a:extLst>
            <a:ext uri="{FF2B5EF4-FFF2-40B4-BE49-F238E27FC236}">
              <a16:creationId xmlns:a16="http://schemas.microsoft.com/office/drawing/2014/main" id="{00000000-0008-0000-0A00-0000C7330000}"/>
            </a:ext>
          </a:extLst>
        </xdr:cNvPr>
        <xdr:cNvSpPr>
          <a:spLocks noChangeAspect="1"/>
        </xdr:cNvSpPr>
      </xdr:nvSpPr>
      <xdr:spPr bwMode="auto">
        <a:xfrm>
          <a:off x="9677400" y="4591050"/>
          <a:ext cx="47625" cy="28575"/>
        </a:xfrm>
        <a:custGeom>
          <a:avLst/>
          <a:gdLst>
            <a:gd name="T0" fmla="*/ 0 w 101"/>
            <a:gd name="T1" fmla="*/ 0 h 67"/>
            <a:gd name="T2" fmla="*/ 0 w 101"/>
            <a:gd name="T3" fmla="*/ 0 h 67"/>
            <a:gd name="T4" fmla="*/ 0 w 101"/>
            <a:gd name="T5" fmla="*/ 0 h 67"/>
            <a:gd name="T6" fmla="*/ 0 w 101"/>
            <a:gd name="T7" fmla="*/ 0 h 67"/>
            <a:gd name="T8" fmla="*/ 0 w 101"/>
            <a:gd name="T9" fmla="*/ 0 h 67"/>
            <a:gd name="T10" fmla="*/ 0 w 101"/>
            <a:gd name="T11" fmla="*/ 0 h 67"/>
            <a:gd name="T12" fmla="*/ 0 w 101"/>
            <a:gd name="T13" fmla="*/ 0 h 67"/>
            <a:gd name="T14" fmla="*/ 0 w 101"/>
            <a:gd name="T15" fmla="*/ 0 h 67"/>
            <a:gd name="T16" fmla="*/ 0 w 101"/>
            <a:gd name="T17" fmla="*/ 0 h 67"/>
            <a:gd name="T18" fmla="*/ 0 w 101"/>
            <a:gd name="T19" fmla="*/ 0 h 67"/>
            <a:gd name="T20" fmla="*/ 0 w 101"/>
            <a:gd name="T21" fmla="*/ 0 h 67"/>
            <a:gd name="T22" fmla="*/ 0 w 101"/>
            <a:gd name="T23" fmla="*/ 0 h 67"/>
            <a:gd name="T24" fmla="*/ 0 w 101"/>
            <a:gd name="T25" fmla="*/ 0 h 67"/>
            <a:gd name="T26" fmla="*/ 0 w 101"/>
            <a:gd name="T27" fmla="*/ 0 h 67"/>
            <a:gd name="T28" fmla="*/ 0 w 101"/>
            <a:gd name="T29" fmla="*/ 0 h 67"/>
            <a:gd name="T30" fmla="*/ 0 w 101"/>
            <a:gd name="T31" fmla="*/ 0 h 67"/>
            <a:gd name="T32" fmla="*/ 0 w 101"/>
            <a:gd name="T33" fmla="*/ 0 h 67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1"/>
            <a:gd name="T52" fmla="*/ 0 h 67"/>
            <a:gd name="T53" fmla="*/ 101 w 101"/>
            <a:gd name="T54" fmla="*/ 67 h 67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1" h="67">
              <a:moveTo>
                <a:pt x="52" y="15"/>
              </a:moveTo>
              <a:lnTo>
                <a:pt x="101" y="31"/>
              </a:lnTo>
              <a:lnTo>
                <a:pt x="97" y="42"/>
              </a:lnTo>
              <a:lnTo>
                <a:pt x="90" y="51"/>
              </a:lnTo>
              <a:lnTo>
                <a:pt x="80" y="58"/>
              </a:lnTo>
              <a:lnTo>
                <a:pt x="70" y="64"/>
              </a:lnTo>
              <a:lnTo>
                <a:pt x="59" y="67"/>
              </a:lnTo>
              <a:lnTo>
                <a:pt x="48" y="67"/>
              </a:lnTo>
              <a:lnTo>
                <a:pt x="36" y="65"/>
              </a:lnTo>
              <a:lnTo>
                <a:pt x="26" y="60"/>
              </a:lnTo>
              <a:lnTo>
                <a:pt x="16" y="53"/>
              </a:lnTo>
              <a:lnTo>
                <a:pt x="9" y="44"/>
              </a:lnTo>
              <a:lnTo>
                <a:pt x="4" y="33"/>
              </a:lnTo>
              <a:lnTo>
                <a:pt x="0" y="23"/>
              </a:lnTo>
              <a:lnTo>
                <a:pt x="0" y="11"/>
              </a:lnTo>
              <a:lnTo>
                <a:pt x="2" y="0"/>
              </a:lnTo>
              <a:lnTo>
                <a:pt x="52" y="15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66675</xdr:colOff>
      <xdr:row>25</xdr:row>
      <xdr:rowOff>76200</xdr:rowOff>
    </xdr:from>
    <xdr:to>
      <xdr:col>18</xdr:col>
      <xdr:colOff>114300</xdr:colOff>
      <xdr:row>25</xdr:row>
      <xdr:rowOff>104775</xdr:rowOff>
    </xdr:to>
    <xdr:sp macro="" textlink="">
      <xdr:nvSpPr>
        <xdr:cNvPr id="13256" name="Freeform 302">
          <a:extLst>
            <a:ext uri="{FF2B5EF4-FFF2-40B4-BE49-F238E27FC236}">
              <a16:creationId xmlns:a16="http://schemas.microsoft.com/office/drawing/2014/main" id="{00000000-0008-0000-0A00-0000C8330000}"/>
            </a:ext>
          </a:extLst>
        </xdr:cNvPr>
        <xdr:cNvSpPr>
          <a:spLocks noChangeAspect="1"/>
        </xdr:cNvSpPr>
      </xdr:nvSpPr>
      <xdr:spPr bwMode="auto">
        <a:xfrm>
          <a:off x="9677400" y="4591050"/>
          <a:ext cx="47625" cy="28575"/>
        </a:xfrm>
        <a:custGeom>
          <a:avLst/>
          <a:gdLst>
            <a:gd name="T0" fmla="*/ 0 w 101"/>
            <a:gd name="T1" fmla="*/ 0 h 67"/>
            <a:gd name="T2" fmla="*/ 0 w 101"/>
            <a:gd name="T3" fmla="*/ 0 h 67"/>
            <a:gd name="T4" fmla="*/ 0 w 101"/>
            <a:gd name="T5" fmla="*/ 0 h 67"/>
            <a:gd name="T6" fmla="*/ 0 w 101"/>
            <a:gd name="T7" fmla="*/ 0 h 67"/>
            <a:gd name="T8" fmla="*/ 0 w 101"/>
            <a:gd name="T9" fmla="*/ 0 h 67"/>
            <a:gd name="T10" fmla="*/ 0 w 101"/>
            <a:gd name="T11" fmla="*/ 0 h 67"/>
            <a:gd name="T12" fmla="*/ 0 w 101"/>
            <a:gd name="T13" fmla="*/ 0 h 67"/>
            <a:gd name="T14" fmla="*/ 0 w 101"/>
            <a:gd name="T15" fmla="*/ 0 h 67"/>
            <a:gd name="T16" fmla="*/ 0 w 101"/>
            <a:gd name="T17" fmla="*/ 0 h 67"/>
            <a:gd name="T18" fmla="*/ 0 w 101"/>
            <a:gd name="T19" fmla="*/ 0 h 67"/>
            <a:gd name="T20" fmla="*/ 0 w 101"/>
            <a:gd name="T21" fmla="*/ 0 h 67"/>
            <a:gd name="T22" fmla="*/ 0 w 101"/>
            <a:gd name="T23" fmla="*/ 0 h 67"/>
            <a:gd name="T24" fmla="*/ 0 w 101"/>
            <a:gd name="T25" fmla="*/ 0 h 67"/>
            <a:gd name="T26" fmla="*/ 0 w 101"/>
            <a:gd name="T27" fmla="*/ 0 h 67"/>
            <a:gd name="T28" fmla="*/ 0 w 101"/>
            <a:gd name="T29" fmla="*/ 0 h 6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1"/>
            <a:gd name="T46" fmla="*/ 0 h 67"/>
            <a:gd name="T47" fmla="*/ 101 w 101"/>
            <a:gd name="T48" fmla="*/ 67 h 6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1" h="67">
              <a:moveTo>
                <a:pt x="101" y="31"/>
              </a:moveTo>
              <a:lnTo>
                <a:pt x="97" y="42"/>
              </a:lnTo>
              <a:lnTo>
                <a:pt x="90" y="51"/>
              </a:lnTo>
              <a:lnTo>
                <a:pt x="80" y="58"/>
              </a:lnTo>
              <a:lnTo>
                <a:pt x="70" y="64"/>
              </a:lnTo>
              <a:lnTo>
                <a:pt x="59" y="67"/>
              </a:lnTo>
              <a:lnTo>
                <a:pt x="48" y="67"/>
              </a:lnTo>
              <a:lnTo>
                <a:pt x="36" y="65"/>
              </a:lnTo>
              <a:lnTo>
                <a:pt x="26" y="60"/>
              </a:lnTo>
              <a:lnTo>
                <a:pt x="16" y="53"/>
              </a:lnTo>
              <a:lnTo>
                <a:pt x="9" y="44"/>
              </a:lnTo>
              <a:lnTo>
                <a:pt x="4" y="33"/>
              </a:lnTo>
              <a:lnTo>
                <a:pt x="0" y="23"/>
              </a:lnTo>
              <a:lnTo>
                <a:pt x="0" y="11"/>
              </a:lnTo>
              <a:lnTo>
                <a:pt x="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104775</xdr:colOff>
      <xdr:row>25</xdr:row>
      <xdr:rowOff>76200</xdr:rowOff>
    </xdr:from>
    <xdr:to>
      <xdr:col>19</xdr:col>
      <xdr:colOff>238125</xdr:colOff>
      <xdr:row>26</xdr:row>
      <xdr:rowOff>47625</xdr:rowOff>
    </xdr:to>
    <xdr:sp macro="" textlink="">
      <xdr:nvSpPr>
        <xdr:cNvPr id="13257" name="Freeform 303">
          <a:extLst>
            <a:ext uri="{FF2B5EF4-FFF2-40B4-BE49-F238E27FC236}">
              <a16:creationId xmlns:a16="http://schemas.microsoft.com/office/drawing/2014/main" id="{00000000-0008-0000-0A00-0000C9330000}"/>
            </a:ext>
          </a:extLst>
        </xdr:cNvPr>
        <xdr:cNvSpPr>
          <a:spLocks noChangeAspect="1"/>
        </xdr:cNvSpPr>
      </xdr:nvSpPr>
      <xdr:spPr bwMode="auto">
        <a:xfrm>
          <a:off x="9715500" y="4591050"/>
          <a:ext cx="438150" cy="133350"/>
        </a:xfrm>
        <a:custGeom>
          <a:avLst/>
          <a:gdLst>
            <a:gd name="T0" fmla="*/ 2147483647 w 641"/>
            <a:gd name="T1" fmla="*/ 0 h 628"/>
            <a:gd name="T2" fmla="*/ 2147483647 w 641"/>
            <a:gd name="T3" fmla="*/ 0 h 628"/>
            <a:gd name="T4" fmla="*/ 2147483647 w 641"/>
            <a:gd name="T5" fmla="*/ 0 h 628"/>
            <a:gd name="T6" fmla="*/ 0 w 641"/>
            <a:gd name="T7" fmla="*/ 0 h 628"/>
            <a:gd name="T8" fmla="*/ 0 w 641"/>
            <a:gd name="T9" fmla="*/ 0 h 628"/>
            <a:gd name="T10" fmla="*/ 0 w 641"/>
            <a:gd name="T11" fmla="*/ 0 h 628"/>
            <a:gd name="T12" fmla="*/ 2147483647 w 641"/>
            <a:gd name="T13" fmla="*/ 0 h 628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41"/>
            <a:gd name="T22" fmla="*/ 0 h 628"/>
            <a:gd name="T23" fmla="*/ 641 w 641"/>
            <a:gd name="T24" fmla="*/ 628 h 628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41" h="628">
              <a:moveTo>
                <a:pt x="567" y="628"/>
              </a:moveTo>
              <a:lnTo>
                <a:pt x="604" y="592"/>
              </a:lnTo>
              <a:lnTo>
                <a:pt x="641" y="555"/>
              </a:lnTo>
              <a:lnTo>
                <a:pt x="74" y="0"/>
              </a:lnTo>
              <a:lnTo>
                <a:pt x="37" y="36"/>
              </a:lnTo>
              <a:lnTo>
                <a:pt x="0" y="73"/>
              </a:lnTo>
              <a:lnTo>
                <a:pt x="567" y="628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66675</xdr:colOff>
      <xdr:row>25</xdr:row>
      <xdr:rowOff>76200</xdr:rowOff>
    </xdr:from>
    <xdr:to>
      <xdr:col>18</xdr:col>
      <xdr:colOff>114300</xdr:colOff>
      <xdr:row>25</xdr:row>
      <xdr:rowOff>114300</xdr:rowOff>
    </xdr:to>
    <xdr:sp macro="" textlink="">
      <xdr:nvSpPr>
        <xdr:cNvPr id="13258" name="Freeform 304">
          <a:extLst>
            <a:ext uri="{FF2B5EF4-FFF2-40B4-BE49-F238E27FC236}">
              <a16:creationId xmlns:a16="http://schemas.microsoft.com/office/drawing/2014/main" id="{00000000-0008-0000-0A00-0000CA330000}"/>
            </a:ext>
          </a:extLst>
        </xdr:cNvPr>
        <xdr:cNvSpPr>
          <a:spLocks noChangeAspect="1"/>
        </xdr:cNvSpPr>
      </xdr:nvSpPr>
      <xdr:spPr bwMode="auto">
        <a:xfrm>
          <a:off x="9677400" y="4591050"/>
          <a:ext cx="47625" cy="38100"/>
        </a:xfrm>
        <a:custGeom>
          <a:avLst/>
          <a:gdLst>
            <a:gd name="T0" fmla="*/ 0 w 89"/>
            <a:gd name="T1" fmla="*/ 0 h 88"/>
            <a:gd name="T2" fmla="*/ 0 w 89"/>
            <a:gd name="T3" fmla="*/ 0 h 88"/>
            <a:gd name="T4" fmla="*/ 0 w 89"/>
            <a:gd name="T5" fmla="*/ 0 h 88"/>
            <a:gd name="T6" fmla="*/ 0 w 89"/>
            <a:gd name="T7" fmla="*/ 0 h 88"/>
            <a:gd name="T8" fmla="*/ 0 w 89"/>
            <a:gd name="T9" fmla="*/ 0 h 88"/>
            <a:gd name="T10" fmla="*/ 0 w 89"/>
            <a:gd name="T11" fmla="*/ 0 h 88"/>
            <a:gd name="T12" fmla="*/ 0 w 89"/>
            <a:gd name="T13" fmla="*/ 0 h 88"/>
            <a:gd name="T14" fmla="*/ 0 w 89"/>
            <a:gd name="T15" fmla="*/ 0 h 88"/>
            <a:gd name="T16" fmla="*/ 0 w 89"/>
            <a:gd name="T17" fmla="*/ 0 h 88"/>
            <a:gd name="T18" fmla="*/ 0 w 89"/>
            <a:gd name="T19" fmla="*/ 0 h 88"/>
            <a:gd name="T20" fmla="*/ 0 w 89"/>
            <a:gd name="T21" fmla="*/ 0 h 88"/>
            <a:gd name="T22" fmla="*/ 0 w 89"/>
            <a:gd name="T23" fmla="*/ 0 h 88"/>
            <a:gd name="T24" fmla="*/ 0 w 89"/>
            <a:gd name="T25" fmla="*/ 0 h 88"/>
            <a:gd name="T26" fmla="*/ 0 w 89"/>
            <a:gd name="T27" fmla="*/ 0 h 88"/>
            <a:gd name="T28" fmla="*/ 0 w 89"/>
            <a:gd name="T29" fmla="*/ 0 h 88"/>
            <a:gd name="T30" fmla="*/ 0 w 89"/>
            <a:gd name="T31" fmla="*/ 0 h 88"/>
            <a:gd name="T32" fmla="*/ 0 w 89"/>
            <a:gd name="T33" fmla="*/ 0 h 88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89"/>
            <a:gd name="T52" fmla="*/ 0 h 88"/>
            <a:gd name="T53" fmla="*/ 89 w 89"/>
            <a:gd name="T54" fmla="*/ 88 h 88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89" h="88">
              <a:moveTo>
                <a:pt x="52" y="51"/>
              </a:moveTo>
              <a:lnTo>
                <a:pt x="15" y="88"/>
              </a:lnTo>
              <a:lnTo>
                <a:pt x="8" y="80"/>
              </a:lnTo>
              <a:lnTo>
                <a:pt x="2" y="69"/>
              </a:lnTo>
              <a:lnTo>
                <a:pt x="0" y="58"/>
              </a:lnTo>
              <a:lnTo>
                <a:pt x="0" y="46"/>
              </a:lnTo>
              <a:lnTo>
                <a:pt x="2" y="34"/>
              </a:lnTo>
              <a:lnTo>
                <a:pt x="8" y="24"/>
              </a:lnTo>
              <a:lnTo>
                <a:pt x="15" y="15"/>
              </a:lnTo>
              <a:lnTo>
                <a:pt x="23" y="7"/>
              </a:lnTo>
              <a:lnTo>
                <a:pt x="34" y="2"/>
              </a:lnTo>
              <a:lnTo>
                <a:pt x="46" y="0"/>
              </a:lnTo>
              <a:lnTo>
                <a:pt x="57" y="0"/>
              </a:lnTo>
              <a:lnTo>
                <a:pt x="69" y="2"/>
              </a:lnTo>
              <a:lnTo>
                <a:pt x="79" y="7"/>
              </a:lnTo>
              <a:lnTo>
                <a:pt x="89" y="15"/>
              </a:lnTo>
              <a:lnTo>
                <a:pt x="52" y="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66675</xdr:colOff>
      <xdr:row>25</xdr:row>
      <xdr:rowOff>76200</xdr:rowOff>
    </xdr:from>
    <xdr:to>
      <xdr:col>18</xdr:col>
      <xdr:colOff>114300</xdr:colOff>
      <xdr:row>25</xdr:row>
      <xdr:rowOff>114300</xdr:rowOff>
    </xdr:to>
    <xdr:sp macro="" textlink="">
      <xdr:nvSpPr>
        <xdr:cNvPr id="13259" name="Freeform 305">
          <a:extLst>
            <a:ext uri="{FF2B5EF4-FFF2-40B4-BE49-F238E27FC236}">
              <a16:creationId xmlns:a16="http://schemas.microsoft.com/office/drawing/2014/main" id="{00000000-0008-0000-0A00-0000CB330000}"/>
            </a:ext>
          </a:extLst>
        </xdr:cNvPr>
        <xdr:cNvSpPr>
          <a:spLocks noChangeAspect="1"/>
        </xdr:cNvSpPr>
      </xdr:nvSpPr>
      <xdr:spPr bwMode="auto">
        <a:xfrm>
          <a:off x="9677400" y="4591050"/>
          <a:ext cx="47625" cy="38100"/>
        </a:xfrm>
        <a:custGeom>
          <a:avLst/>
          <a:gdLst>
            <a:gd name="T0" fmla="*/ 0 w 89"/>
            <a:gd name="T1" fmla="*/ 0 h 88"/>
            <a:gd name="T2" fmla="*/ 0 w 89"/>
            <a:gd name="T3" fmla="*/ 0 h 88"/>
            <a:gd name="T4" fmla="*/ 0 w 89"/>
            <a:gd name="T5" fmla="*/ 0 h 88"/>
            <a:gd name="T6" fmla="*/ 0 w 89"/>
            <a:gd name="T7" fmla="*/ 0 h 88"/>
            <a:gd name="T8" fmla="*/ 0 w 89"/>
            <a:gd name="T9" fmla="*/ 0 h 88"/>
            <a:gd name="T10" fmla="*/ 0 w 89"/>
            <a:gd name="T11" fmla="*/ 0 h 88"/>
            <a:gd name="T12" fmla="*/ 0 w 89"/>
            <a:gd name="T13" fmla="*/ 0 h 88"/>
            <a:gd name="T14" fmla="*/ 0 w 89"/>
            <a:gd name="T15" fmla="*/ 0 h 88"/>
            <a:gd name="T16" fmla="*/ 0 w 89"/>
            <a:gd name="T17" fmla="*/ 0 h 88"/>
            <a:gd name="T18" fmla="*/ 0 w 89"/>
            <a:gd name="T19" fmla="*/ 0 h 88"/>
            <a:gd name="T20" fmla="*/ 0 w 89"/>
            <a:gd name="T21" fmla="*/ 0 h 88"/>
            <a:gd name="T22" fmla="*/ 0 w 89"/>
            <a:gd name="T23" fmla="*/ 0 h 88"/>
            <a:gd name="T24" fmla="*/ 0 w 89"/>
            <a:gd name="T25" fmla="*/ 0 h 88"/>
            <a:gd name="T26" fmla="*/ 0 w 89"/>
            <a:gd name="T27" fmla="*/ 0 h 88"/>
            <a:gd name="T28" fmla="*/ 0 w 89"/>
            <a:gd name="T29" fmla="*/ 0 h 88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89"/>
            <a:gd name="T46" fmla="*/ 0 h 88"/>
            <a:gd name="T47" fmla="*/ 89 w 89"/>
            <a:gd name="T48" fmla="*/ 88 h 88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89" h="88">
              <a:moveTo>
                <a:pt x="15" y="88"/>
              </a:moveTo>
              <a:lnTo>
                <a:pt x="8" y="80"/>
              </a:lnTo>
              <a:lnTo>
                <a:pt x="2" y="69"/>
              </a:lnTo>
              <a:lnTo>
                <a:pt x="0" y="58"/>
              </a:lnTo>
              <a:lnTo>
                <a:pt x="0" y="46"/>
              </a:lnTo>
              <a:lnTo>
                <a:pt x="2" y="34"/>
              </a:lnTo>
              <a:lnTo>
                <a:pt x="8" y="24"/>
              </a:lnTo>
              <a:lnTo>
                <a:pt x="15" y="15"/>
              </a:lnTo>
              <a:lnTo>
                <a:pt x="23" y="7"/>
              </a:lnTo>
              <a:lnTo>
                <a:pt x="34" y="2"/>
              </a:lnTo>
              <a:lnTo>
                <a:pt x="46" y="0"/>
              </a:lnTo>
              <a:lnTo>
                <a:pt x="57" y="0"/>
              </a:lnTo>
              <a:lnTo>
                <a:pt x="69" y="2"/>
              </a:lnTo>
              <a:lnTo>
                <a:pt x="79" y="7"/>
              </a:lnTo>
              <a:lnTo>
                <a:pt x="89" y="15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161925</xdr:colOff>
      <xdr:row>17</xdr:row>
      <xdr:rowOff>47625</xdr:rowOff>
    </xdr:from>
    <xdr:to>
      <xdr:col>11</xdr:col>
      <xdr:colOff>304800</xdr:colOff>
      <xdr:row>19</xdr:row>
      <xdr:rowOff>47625</xdr:rowOff>
    </xdr:to>
    <xdr:sp macro="" textlink="">
      <xdr:nvSpPr>
        <xdr:cNvPr id="13260" name="Freeform 306">
          <a:extLst>
            <a:ext uri="{FF2B5EF4-FFF2-40B4-BE49-F238E27FC236}">
              <a16:creationId xmlns:a16="http://schemas.microsoft.com/office/drawing/2014/main" id="{00000000-0008-0000-0A00-0000CC330000}"/>
            </a:ext>
          </a:extLst>
        </xdr:cNvPr>
        <xdr:cNvSpPr>
          <a:spLocks noChangeAspect="1"/>
        </xdr:cNvSpPr>
      </xdr:nvSpPr>
      <xdr:spPr bwMode="auto">
        <a:xfrm>
          <a:off x="6200775" y="3267075"/>
          <a:ext cx="142875" cy="323850"/>
        </a:xfrm>
        <a:custGeom>
          <a:avLst/>
          <a:gdLst>
            <a:gd name="T0" fmla="*/ 2147483647 w 342"/>
            <a:gd name="T1" fmla="*/ 0 h 786"/>
            <a:gd name="T2" fmla="*/ 2147483647 w 342"/>
            <a:gd name="T3" fmla="*/ 0 h 786"/>
            <a:gd name="T4" fmla="*/ 2147483647 w 342"/>
            <a:gd name="T5" fmla="*/ 0 h 786"/>
            <a:gd name="T6" fmla="*/ 0 w 342"/>
            <a:gd name="T7" fmla="*/ 2147483647 h 786"/>
            <a:gd name="T8" fmla="*/ 0 w 342"/>
            <a:gd name="T9" fmla="*/ 2147483647 h 786"/>
            <a:gd name="T10" fmla="*/ 0 w 342"/>
            <a:gd name="T11" fmla="*/ 2147483647 h 786"/>
            <a:gd name="T12" fmla="*/ 2147483647 w 342"/>
            <a:gd name="T13" fmla="*/ 0 h 78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2"/>
            <a:gd name="T22" fmla="*/ 0 h 786"/>
            <a:gd name="T23" fmla="*/ 342 w 342"/>
            <a:gd name="T24" fmla="*/ 786 h 78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2" h="786">
              <a:moveTo>
                <a:pt x="342" y="31"/>
              </a:moveTo>
              <a:lnTo>
                <a:pt x="293" y="16"/>
              </a:lnTo>
              <a:lnTo>
                <a:pt x="243" y="0"/>
              </a:lnTo>
              <a:lnTo>
                <a:pt x="0" y="755"/>
              </a:lnTo>
              <a:lnTo>
                <a:pt x="49" y="771"/>
              </a:lnTo>
              <a:lnTo>
                <a:pt x="98" y="786"/>
              </a:lnTo>
              <a:lnTo>
                <a:pt x="342" y="3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161925</xdr:colOff>
      <xdr:row>17</xdr:row>
      <xdr:rowOff>47625</xdr:rowOff>
    </xdr:from>
    <xdr:to>
      <xdr:col>11</xdr:col>
      <xdr:colOff>304800</xdr:colOff>
      <xdr:row>19</xdr:row>
      <xdr:rowOff>47625</xdr:rowOff>
    </xdr:to>
    <xdr:sp macro="" textlink="">
      <xdr:nvSpPr>
        <xdr:cNvPr id="13261" name="Freeform 307">
          <a:extLst>
            <a:ext uri="{FF2B5EF4-FFF2-40B4-BE49-F238E27FC236}">
              <a16:creationId xmlns:a16="http://schemas.microsoft.com/office/drawing/2014/main" id="{00000000-0008-0000-0A00-0000CD330000}"/>
            </a:ext>
          </a:extLst>
        </xdr:cNvPr>
        <xdr:cNvSpPr>
          <a:spLocks noChangeAspect="1"/>
        </xdr:cNvSpPr>
      </xdr:nvSpPr>
      <xdr:spPr bwMode="auto">
        <a:xfrm>
          <a:off x="6200775" y="3267075"/>
          <a:ext cx="142875" cy="323850"/>
        </a:xfrm>
        <a:custGeom>
          <a:avLst/>
          <a:gdLst>
            <a:gd name="T0" fmla="*/ 2147483647 w 342"/>
            <a:gd name="T1" fmla="*/ 0 h 786"/>
            <a:gd name="T2" fmla="*/ 2147483647 w 342"/>
            <a:gd name="T3" fmla="*/ 0 h 786"/>
            <a:gd name="T4" fmla="*/ 2147483647 w 342"/>
            <a:gd name="T5" fmla="*/ 0 h 786"/>
            <a:gd name="T6" fmla="*/ 0 w 342"/>
            <a:gd name="T7" fmla="*/ 2147483647 h 786"/>
            <a:gd name="T8" fmla="*/ 0 w 342"/>
            <a:gd name="T9" fmla="*/ 2147483647 h 786"/>
            <a:gd name="T10" fmla="*/ 0 w 342"/>
            <a:gd name="T11" fmla="*/ 2147483647 h 786"/>
            <a:gd name="T12" fmla="*/ 2147483647 w 342"/>
            <a:gd name="T13" fmla="*/ 0 h 78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42"/>
            <a:gd name="T22" fmla="*/ 0 h 786"/>
            <a:gd name="T23" fmla="*/ 342 w 342"/>
            <a:gd name="T24" fmla="*/ 786 h 78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42" h="786">
              <a:moveTo>
                <a:pt x="342" y="31"/>
              </a:moveTo>
              <a:lnTo>
                <a:pt x="293" y="16"/>
              </a:lnTo>
              <a:lnTo>
                <a:pt x="243" y="0"/>
              </a:lnTo>
              <a:lnTo>
                <a:pt x="0" y="755"/>
              </a:lnTo>
              <a:lnTo>
                <a:pt x="49" y="771"/>
              </a:lnTo>
              <a:lnTo>
                <a:pt x="98" y="786"/>
              </a:lnTo>
              <a:lnTo>
                <a:pt x="342" y="3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19</xdr:row>
      <xdr:rowOff>47625</xdr:rowOff>
    </xdr:from>
    <xdr:to>
      <xdr:col>11</xdr:col>
      <xdr:colOff>180975</xdr:colOff>
      <xdr:row>19</xdr:row>
      <xdr:rowOff>66675</xdr:rowOff>
    </xdr:to>
    <xdr:sp macro="" textlink="">
      <xdr:nvSpPr>
        <xdr:cNvPr id="13262" name="Freeform 308">
          <a:extLst>
            <a:ext uri="{FF2B5EF4-FFF2-40B4-BE49-F238E27FC236}">
              <a16:creationId xmlns:a16="http://schemas.microsoft.com/office/drawing/2014/main" id="{00000000-0008-0000-0A00-0000CE330000}"/>
            </a:ext>
          </a:extLst>
        </xdr:cNvPr>
        <xdr:cNvSpPr>
          <a:spLocks noChangeAspect="1"/>
        </xdr:cNvSpPr>
      </xdr:nvSpPr>
      <xdr:spPr bwMode="auto">
        <a:xfrm>
          <a:off x="6181725" y="3590925"/>
          <a:ext cx="38100" cy="19050"/>
        </a:xfrm>
        <a:custGeom>
          <a:avLst/>
          <a:gdLst>
            <a:gd name="T0" fmla="*/ 0 w 101"/>
            <a:gd name="T1" fmla="*/ 0 h 67"/>
            <a:gd name="T2" fmla="*/ 0 w 101"/>
            <a:gd name="T3" fmla="*/ 0 h 67"/>
            <a:gd name="T4" fmla="*/ 0 w 101"/>
            <a:gd name="T5" fmla="*/ 0 h 67"/>
            <a:gd name="T6" fmla="*/ 0 w 101"/>
            <a:gd name="T7" fmla="*/ 0 h 67"/>
            <a:gd name="T8" fmla="*/ 0 w 101"/>
            <a:gd name="T9" fmla="*/ 0 h 67"/>
            <a:gd name="T10" fmla="*/ 0 w 101"/>
            <a:gd name="T11" fmla="*/ 0 h 67"/>
            <a:gd name="T12" fmla="*/ 0 w 101"/>
            <a:gd name="T13" fmla="*/ 0 h 67"/>
            <a:gd name="T14" fmla="*/ 0 w 101"/>
            <a:gd name="T15" fmla="*/ 0 h 67"/>
            <a:gd name="T16" fmla="*/ 0 w 101"/>
            <a:gd name="T17" fmla="*/ 0 h 67"/>
            <a:gd name="T18" fmla="*/ 0 w 101"/>
            <a:gd name="T19" fmla="*/ 0 h 67"/>
            <a:gd name="T20" fmla="*/ 0 w 101"/>
            <a:gd name="T21" fmla="*/ 0 h 67"/>
            <a:gd name="T22" fmla="*/ 0 w 101"/>
            <a:gd name="T23" fmla="*/ 0 h 67"/>
            <a:gd name="T24" fmla="*/ 0 w 101"/>
            <a:gd name="T25" fmla="*/ 0 h 67"/>
            <a:gd name="T26" fmla="*/ 0 w 101"/>
            <a:gd name="T27" fmla="*/ 0 h 67"/>
            <a:gd name="T28" fmla="*/ 0 w 101"/>
            <a:gd name="T29" fmla="*/ 0 h 67"/>
            <a:gd name="T30" fmla="*/ 0 w 101"/>
            <a:gd name="T31" fmla="*/ 0 h 67"/>
            <a:gd name="T32" fmla="*/ 0 w 101"/>
            <a:gd name="T33" fmla="*/ 0 h 67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1"/>
            <a:gd name="T52" fmla="*/ 0 h 67"/>
            <a:gd name="T53" fmla="*/ 101 w 101"/>
            <a:gd name="T54" fmla="*/ 67 h 67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1" h="67">
              <a:moveTo>
                <a:pt x="52" y="16"/>
              </a:moveTo>
              <a:lnTo>
                <a:pt x="101" y="31"/>
              </a:lnTo>
              <a:lnTo>
                <a:pt x="97" y="42"/>
              </a:lnTo>
              <a:lnTo>
                <a:pt x="90" y="51"/>
              </a:lnTo>
              <a:lnTo>
                <a:pt x="80" y="59"/>
              </a:lnTo>
              <a:lnTo>
                <a:pt x="70" y="64"/>
              </a:lnTo>
              <a:lnTo>
                <a:pt x="59" y="67"/>
              </a:lnTo>
              <a:lnTo>
                <a:pt x="48" y="67"/>
              </a:lnTo>
              <a:lnTo>
                <a:pt x="36" y="65"/>
              </a:lnTo>
              <a:lnTo>
                <a:pt x="26" y="61"/>
              </a:lnTo>
              <a:lnTo>
                <a:pt x="16" y="53"/>
              </a:lnTo>
              <a:lnTo>
                <a:pt x="9" y="44"/>
              </a:lnTo>
              <a:lnTo>
                <a:pt x="4" y="33"/>
              </a:lnTo>
              <a:lnTo>
                <a:pt x="0" y="23"/>
              </a:lnTo>
              <a:lnTo>
                <a:pt x="0" y="11"/>
              </a:lnTo>
              <a:lnTo>
                <a:pt x="3" y="0"/>
              </a:lnTo>
              <a:lnTo>
                <a:pt x="52" y="16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19</xdr:row>
      <xdr:rowOff>47625</xdr:rowOff>
    </xdr:from>
    <xdr:to>
      <xdr:col>11</xdr:col>
      <xdr:colOff>180975</xdr:colOff>
      <xdr:row>19</xdr:row>
      <xdr:rowOff>66675</xdr:rowOff>
    </xdr:to>
    <xdr:sp macro="" textlink="">
      <xdr:nvSpPr>
        <xdr:cNvPr id="13263" name="Freeform 309">
          <a:extLst>
            <a:ext uri="{FF2B5EF4-FFF2-40B4-BE49-F238E27FC236}">
              <a16:creationId xmlns:a16="http://schemas.microsoft.com/office/drawing/2014/main" id="{00000000-0008-0000-0A00-0000CF330000}"/>
            </a:ext>
          </a:extLst>
        </xdr:cNvPr>
        <xdr:cNvSpPr>
          <a:spLocks noChangeAspect="1"/>
        </xdr:cNvSpPr>
      </xdr:nvSpPr>
      <xdr:spPr bwMode="auto">
        <a:xfrm>
          <a:off x="6181725" y="3590925"/>
          <a:ext cx="38100" cy="19050"/>
        </a:xfrm>
        <a:custGeom>
          <a:avLst/>
          <a:gdLst>
            <a:gd name="T0" fmla="*/ 0 w 101"/>
            <a:gd name="T1" fmla="*/ 0 h 67"/>
            <a:gd name="T2" fmla="*/ 0 w 101"/>
            <a:gd name="T3" fmla="*/ 0 h 67"/>
            <a:gd name="T4" fmla="*/ 0 w 101"/>
            <a:gd name="T5" fmla="*/ 0 h 67"/>
            <a:gd name="T6" fmla="*/ 0 w 101"/>
            <a:gd name="T7" fmla="*/ 0 h 67"/>
            <a:gd name="T8" fmla="*/ 0 w 101"/>
            <a:gd name="T9" fmla="*/ 0 h 67"/>
            <a:gd name="T10" fmla="*/ 0 w 101"/>
            <a:gd name="T11" fmla="*/ 0 h 67"/>
            <a:gd name="T12" fmla="*/ 0 w 101"/>
            <a:gd name="T13" fmla="*/ 0 h 67"/>
            <a:gd name="T14" fmla="*/ 0 w 101"/>
            <a:gd name="T15" fmla="*/ 0 h 67"/>
            <a:gd name="T16" fmla="*/ 0 w 101"/>
            <a:gd name="T17" fmla="*/ 0 h 67"/>
            <a:gd name="T18" fmla="*/ 0 w 101"/>
            <a:gd name="T19" fmla="*/ 0 h 67"/>
            <a:gd name="T20" fmla="*/ 0 w 101"/>
            <a:gd name="T21" fmla="*/ 0 h 67"/>
            <a:gd name="T22" fmla="*/ 0 w 101"/>
            <a:gd name="T23" fmla="*/ 0 h 67"/>
            <a:gd name="T24" fmla="*/ 0 w 101"/>
            <a:gd name="T25" fmla="*/ 0 h 67"/>
            <a:gd name="T26" fmla="*/ 0 w 101"/>
            <a:gd name="T27" fmla="*/ 0 h 67"/>
            <a:gd name="T28" fmla="*/ 0 w 101"/>
            <a:gd name="T29" fmla="*/ 0 h 6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1"/>
            <a:gd name="T46" fmla="*/ 0 h 67"/>
            <a:gd name="T47" fmla="*/ 101 w 101"/>
            <a:gd name="T48" fmla="*/ 67 h 6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1" h="67">
              <a:moveTo>
                <a:pt x="101" y="31"/>
              </a:moveTo>
              <a:lnTo>
                <a:pt x="97" y="42"/>
              </a:lnTo>
              <a:lnTo>
                <a:pt x="90" y="51"/>
              </a:lnTo>
              <a:lnTo>
                <a:pt x="80" y="59"/>
              </a:lnTo>
              <a:lnTo>
                <a:pt x="70" y="64"/>
              </a:lnTo>
              <a:lnTo>
                <a:pt x="59" y="67"/>
              </a:lnTo>
              <a:lnTo>
                <a:pt x="48" y="67"/>
              </a:lnTo>
              <a:lnTo>
                <a:pt x="36" y="65"/>
              </a:lnTo>
              <a:lnTo>
                <a:pt x="26" y="61"/>
              </a:lnTo>
              <a:lnTo>
                <a:pt x="16" y="53"/>
              </a:lnTo>
              <a:lnTo>
                <a:pt x="9" y="44"/>
              </a:lnTo>
              <a:lnTo>
                <a:pt x="4" y="33"/>
              </a:lnTo>
              <a:lnTo>
                <a:pt x="0" y="23"/>
              </a:lnTo>
              <a:lnTo>
                <a:pt x="0" y="11"/>
              </a:lnTo>
              <a:lnTo>
                <a:pt x="3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19</xdr:row>
      <xdr:rowOff>19050</xdr:rowOff>
    </xdr:from>
    <xdr:to>
      <xdr:col>3</xdr:col>
      <xdr:colOff>352425</xdr:colOff>
      <xdr:row>19</xdr:row>
      <xdr:rowOff>66675</xdr:rowOff>
    </xdr:to>
    <xdr:sp macro="" textlink="">
      <xdr:nvSpPr>
        <xdr:cNvPr id="13264" name="Freeform 310">
          <a:extLst>
            <a:ext uri="{FF2B5EF4-FFF2-40B4-BE49-F238E27FC236}">
              <a16:creationId xmlns:a16="http://schemas.microsoft.com/office/drawing/2014/main" id="{00000000-0008-0000-0A00-0000D0330000}"/>
            </a:ext>
          </a:extLst>
        </xdr:cNvPr>
        <xdr:cNvSpPr>
          <a:spLocks noChangeAspect="1"/>
        </xdr:cNvSpPr>
      </xdr:nvSpPr>
      <xdr:spPr bwMode="auto">
        <a:xfrm>
          <a:off x="1924050" y="3562350"/>
          <a:ext cx="2857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3"/>
              </a:moveTo>
              <a:lnTo>
                <a:pt x="52" y="104"/>
              </a:ln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19</xdr:row>
      <xdr:rowOff>19050</xdr:rowOff>
    </xdr:from>
    <xdr:to>
      <xdr:col>3</xdr:col>
      <xdr:colOff>352425</xdr:colOff>
      <xdr:row>19</xdr:row>
      <xdr:rowOff>66675</xdr:rowOff>
    </xdr:to>
    <xdr:sp macro="" textlink="">
      <xdr:nvSpPr>
        <xdr:cNvPr id="13265" name="Freeform 311">
          <a:extLst>
            <a:ext uri="{FF2B5EF4-FFF2-40B4-BE49-F238E27FC236}">
              <a16:creationId xmlns:a16="http://schemas.microsoft.com/office/drawing/2014/main" id="{00000000-0008-0000-0A00-0000D1330000}"/>
            </a:ext>
          </a:extLst>
        </xdr:cNvPr>
        <xdr:cNvSpPr>
          <a:spLocks noChangeAspect="1"/>
        </xdr:cNvSpPr>
      </xdr:nvSpPr>
      <xdr:spPr bwMode="auto">
        <a:xfrm>
          <a:off x="1924050" y="3562350"/>
          <a:ext cx="2857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100"/>
              </a:lnTo>
              <a:lnTo>
                <a:pt x="19" y="94"/>
              </a:lnTo>
              <a:lnTo>
                <a:pt x="11" y="85"/>
              </a:lnTo>
              <a:lnTo>
                <a:pt x="4" y="75"/>
              </a:lnTo>
              <a:lnTo>
                <a:pt x="1" y="64"/>
              </a:ln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352425</xdr:colOff>
      <xdr:row>19</xdr:row>
      <xdr:rowOff>19050</xdr:rowOff>
    </xdr:from>
    <xdr:to>
      <xdr:col>11</xdr:col>
      <xdr:colOff>161925</xdr:colOff>
      <xdr:row>19</xdr:row>
      <xdr:rowOff>66675</xdr:rowOff>
    </xdr:to>
    <xdr:sp macro="" textlink="">
      <xdr:nvSpPr>
        <xdr:cNvPr id="13266" name="Freeform 312">
          <a:extLst>
            <a:ext uri="{FF2B5EF4-FFF2-40B4-BE49-F238E27FC236}">
              <a16:creationId xmlns:a16="http://schemas.microsoft.com/office/drawing/2014/main" id="{00000000-0008-0000-0A00-0000D2330000}"/>
            </a:ext>
          </a:extLst>
        </xdr:cNvPr>
        <xdr:cNvSpPr>
          <a:spLocks noChangeAspect="1"/>
        </xdr:cNvSpPr>
      </xdr:nvSpPr>
      <xdr:spPr bwMode="auto">
        <a:xfrm>
          <a:off x="1952625" y="3562350"/>
          <a:ext cx="4248150" cy="47625"/>
        </a:xfrm>
        <a:custGeom>
          <a:avLst/>
          <a:gdLst>
            <a:gd name="T0" fmla="*/ 0 w 9371"/>
            <a:gd name="T1" fmla="*/ 0 h 104"/>
            <a:gd name="T2" fmla="*/ 0 w 9371"/>
            <a:gd name="T3" fmla="*/ 0 h 104"/>
            <a:gd name="T4" fmla="*/ 0 w 9371"/>
            <a:gd name="T5" fmla="*/ 0 h 104"/>
            <a:gd name="T6" fmla="*/ 2147483647 w 9371"/>
            <a:gd name="T7" fmla="*/ 0 h 104"/>
            <a:gd name="T8" fmla="*/ 2147483647 w 9371"/>
            <a:gd name="T9" fmla="*/ 0 h 104"/>
            <a:gd name="T10" fmla="*/ 2147483647 w 9371"/>
            <a:gd name="T11" fmla="*/ 0 h 104"/>
            <a:gd name="T12" fmla="*/ 0 w 9371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371"/>
            <a:gd name="T22" fmla="*/ 0 h 104"/>
            <a:gd name="T23" fmla="*/ 9371 w 9371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371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371" y="104"/>
              </a:lnTo>
              <a:lnTo>
                <a:pt x="9371" y="53"/>
              </a:lnTo>
              <a:lnTo>
                <a:pt x="9371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352425</xdr:colOff>
      <xdr:row>19</xdr:row>
      <xdr:rowOff>19050</xdr:rowOff>
    </xdr:from>
    <xdr:to>
      <xdr:col>11</xdr:col>
      <xdr:colOff>161925</xdr:colOff>
      <xdr:row>19</xdr:row>
      <xdr:rowOff>66675</xdr:rowOff>
    </xdr:to>
    <xdr:sp macro="" textlink="">
      <xdr:nvSpPr>
        <xdr:cNvPr id="13267" name="Freeform 313">
          <a:extLst>
            <a:ext uri="{FF2B5EF4-FFF2-40B4-BE49-F238E27FC236}">
              <a16:creationId xmlns:a16="http://schemas.microsoft.com/office/drawing/2014/main" id="{00000000-0008-0000-0A00-0000D3330000}"/>
            </a:ext>
          </a:extLst>
        </xdr:cNvPr>
        <xdr:cNvSpPr>
          <a:spLocks noChangeAspect="1"/>
        </xdr:cNvSpPr>
      </xdr:nvSpPr>
      <xdr:spPr bwMode="auto">
        <a:xfrm>
          <a:off x="1952625" y="3562350"/>
          <a:ext cx="4248150" cy="47625"/>
        </a:xfrm>
        <a:custGeom>
          <a:avLst/>
          <a:gdLst>
            <a:gd name="T0" fmla="*/ 0 w 9371"/>
            <a:gd name="T1" fmla="*/ 0 h 104"/>
            <a:gd name="T2" fmla="*/ 0 w 9371"/>
            <a:gd name="T3" fmla="*/ 0 h 104"/>
            <a:gd name="T4" fmla="*/ 0 w 9371"/>
            <a:gd name="T5" fmla="*/ 0 h 104"/>
            <a:gd name="T6" fmla="*/ 2147483647 w 9371"/>
            <a:gd name="T7" fmla="*/ 0 h 104"/>
            <a:gd name="T8" fmla="*/ 2147483647 w 9371"/>
            <a:gd name="T9" fmla="*/ 0 h 104"/>
            <a:gd name="T10" fmla="*/ 2147483647 w 9371"/>
            <a:gd name="T11" fmla="*/ 0 h 104"/>
            <a:gd name="T12" fmla="*/ 0 w 9371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9371"/>
            <a:gd name="T22" fmla="*/ 0 h 104"/>
            <a:gd name="T23" fmla="*/ 9371 w 9371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9371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9371" y="104"/>
              </a:lnTo>
              <a:lnTo>
                <a:pt x="9371" y="53"/>
              </a:lnTo>
              <a:lnTo>
                <a:pt x="9371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19</xdr:row>
      <xdr:rowOff>19050</xdr:rowOff>
    </xdr:from>
    <xdr:to>
      <xdr:col>11</xdr:col>
      <xdr:colOff>190500</xdr:colOff>
      <xdr:row>19</xdr:row>
      <xdr:rowOff>66675</xdr:rowOff>
    </xdr:to>
    <xdr:sp macro="" textlink="">
      <xdr:nvSpPr>
        <xdr:cNvPr id="13268" name="Freeform 314">
          <a:extLst>
            <a:ext uri="{FF2B5EF4-FFF2-40B4-BE49-F238E27FC236}">
              <a16:creationId xmlns:a16="http://schemas.microsoft.com/office/drawing/2014/main" id="{00000000-0008-0000-0A00-0000D4330000}"/>
            </a:ext>
          </a:extLst>
        </xdr:cNvPr>
        <xdr:cNvSpPr>
          <a:spLocks noChangeAspect="1"/>
        </xdr:cNvSpPr>
      </xdr:nvSpPr>
      <xdr:spPr bwMode="auto">
        <a:xfrm>
          <a:off x="6219825" y="3562350"/>
          <a:ext cx="952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3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  <a:lnTo>
                <a:pt x="0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19</xdr:row>
      <xdr:rowOff>19050</xdr:rowOff>
    </xdr:from>
    <xdr:to>
      <xdr:col>11</xdr:col>
      <xdr:colOff>190500</xdr:colOff>
      <xdr:row>19</xdr:row>
      <xdr:rowOff>66675</xdr:rowOff>
    </xdr:to>
    <xdr:sp macro="" textlink="">
      <xdr:nvSpPr>
        <xdr:cNvPr id="13269" name="Freeform 315">
          <a:extLst>
            <a:ext uri="{FF2B5EF4-FFF2-40B4-BE49-F238E27FC236}">
              <a16:creationId xmlns:a16="http://schemas.microsoft.com/office/drawing/2014/main" id="{00000000-0008-0000-0A00-0000D5330000}"/>
            </a:ext>
          </a:extLst>
        </xdr:cNvPr>
        <xdr:cNvSpPr>
          <a:spLocks noChangeAspect="1"/>
        </xdr:cNvSpPr>
      </xdr:nvSpPr>
      <xdr:spPr bwMode="auto">
        <a:xfrm>
          <a:off x="6219825" y="3562350"/>
          <a:ext cx="9525" cy="47625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2"/>
              </a:lnTo>
              <a:lnTo>
                <a:pt x="41" y="20"/>
              </a:lnTo>
              <a:lnTo>
                <a:pt x="47" y="31"/>
              </a:lnTo>
              <a:lnTo>
                <a:pt x="50" y="41"/>
              </a:lnTo>
              <a:lnTo>
                <a:pt x="52" y="53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4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342900</xdr:colOff>
      <xdr:row>37</xdr:row>
      <xdr:rowOff>133350</xdr:rowOff>
    </xdr:from>
    <xdr:to>
      <xdr:col>3</xdr:col>
      <xdr:colOff>361950</xdr:colOff>
      <xdr:row>38</xdr:row>
      <xdr:rowOff>9525</xdr:rowOff>
    </xdr:to>
    <xdr:sp macro="" textlink="">
      <xdr:nvSpPr>
        <xdr:cNvPr id="13270" name="Freeform 316">
          <a:extLst>
            <a:ext uri="{FF2B5EF4-FFF2-40B4-BE49-F238E27FC236}">
              <a16:creationId xmlns:a16="http://schemas.microsoft.com/office/drawing/2014/main" id="{00000000-0008-0000-0A00-0000D6330000}"/>
            </a:ext>
          </a:extLst>
        </xdr:cNvPr>
        <xdr:cNvSpPr>
          <a:spLocks noChangeAspect="1"/>
        </xdr:cNvSpPr>
      </xdr:nvSpPr>
      <xdr:spPr bwMode="auto">
        <a:xfrm>
          <a:off x="1943100" y="6591300"/>
          <a:ext cx="19050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2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2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3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342900</xdr:colOff>
      <xdr:row>37</xdr:row>
      <xdr:rowOff>133350</xdr:rowOff>
    </xdr:from>
    <xdr:to>
      <xdr:col>3</xdr:col>
      <xdr:colOff>361950</xdr:colOff>
      <xdr:row>38</xdr:row>
      <xdr:rowOff>9525</xdr:rowOff>
    </xdr:to>
    <xdr:sp macro="" textlink="">
      <xdr:nvSpPr>
        <xdr:cNvPr id="13271" name="Freeform 317">
          <a:extLst>
            <a:ext uri="{FF2B5EF4-FFF2-40B4-BE49-F238E27FC236}">
              <a16:creationId xmlns:a16="http://schemas.microsoft.com/office/drawing/2014/main" id="{00000000-0008-0000-0A00-0000D7330000}"/>
            </a:ext>
          </a:extLst>
        </xdr:cNvPr>
        <xdr:cNvSpPr>
          <a:spLocks noChangeAspect="1"/>
        </xdr:cNvSpPr>
      </xdr:nvSpPr>
      <xdr:spPr bwMode="auto">
        <a:xfrm>
          <a:off x="1943100" y="6591300"/>
          <a:ext cx="19050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2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3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171450</xdr:colOff>
      <xdr:row>37</xdr:row>
      <xdr:rowOff>133350</xdr:rowOff>
    </xdr:from>
    <xdr:to>
      <xdr:col>3</xdr:col>
      <xdr:colOff>9525</xdr:colOff>
      <xdr:row>38</xdr:row>
      <xdr:rowOff>9525</xdr:rowOff>
    </xdr:to>
    <xdr:sp macro="" textlink="">
      <xdr:nvSpPr>
        <xdr:cNvPr id="13272" name="Freeform 318">
          <a:extLst>
            <a:ext uri="{FF2B5EF4-FFF2-40B4-BE49-F238E27FC236}">
              <a16:creationId xmlns:a16="http://schemas.microsoft.com/office/drawing/2014/main" id="{00000000-0008-0000-0A00-0000D8330000}"/>
            </a:ext>
          </a:extLst>
        </xdr:cNvPr>
        <xdr:cNvSpPr>
          <a:spLocks noChangeAspect="1"/>
        </xdr:cNvSpPr>
      </xdr:nvSpPr>
      <xdr:spPr bwMode="auto">
        <a:xfrm>
          <a:off x="1238250" y="6591300"/>
          <a:ext cx="371475" cy="38100"/>
        </a:xfrm>
        <a:custGeom>
          <a:avLst/>
          <a:gdLst>
            <a:gd name="T0" fmla="*/ 2147483647 w 793"/>
            <a:gd name="T1" fmla="*/ 0 h 104"/>
            <a:gd name="T2" fmla="*/ 2147483647 w 793"/>
            <a:gd name="T3" fmla="*/ 0 h 104"/>
            <a:gd name="T4" fmla="*/ 2147483647 w 793"/>
            <a:gd name="T5" fmla="*/ 0 h 104"/>
            <a:gd name="T6" fmla="*/ 0 w 793"/>
            <a:gd name="T7" fmla="*/ 0 h 104"/>
            <a:gd name="T8" fmla="*/ 0 w 793"/>
            <a:gd name="T9" fmla="*/ 0 h 104"/>
            <a:gd name="T10" fmla="*/ 0 w 793"/>
            <a:gd name="T11" fmla="*/ 0 h 104"/>
            <a:gd name="T12" fmla="*/ 2147483647 w 793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93"/>
            <a:gd name="T22" fmla="*/ 0 h 104"/>
            <a:gd name="T23" fmla="*/ 793 w 793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93" h="104">
              <a:moveTo>
                <a:pt x="793" y="104"/>
              </a:moveTo>
              <a:lnTo>
                <a:pt x="793" y="52"/>
              </a:lnTo>
              <a:lnTo>
                <a:pt x="793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793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171450</xdr:colOff>
      <xdr:row>37</xdr:row>
      <xdr:rowOff>133350</xdr:rowOff>
    </xdr:from>
    <xdr:to>
      <xdr:col>3</xdr:col>
      <xdr:colOff>9525</xdr:colOff>
      <xdr:row>38</xdr:row>
      <xdr:rowOff>9525</xdr:rowOff>
    </xdr:to>
    <xdr:sp macro="" textlink="">
      <xdr:nvSpPr>
        <xdr:cNvPr id="13273" name="Freeform 319">
          <a:extLst>
            <a:ext uri="{FF2B5EF4-FFF2-40B4-BE49-F238E27FC236}">
              <a16:creationId xmlns:a16="http://schemas.microsoft.com/office/drawing/2014/main" id="{00000000-0008-0000-0A00-0000D9330000}"/>
            </a:ext>
          </a:extLst>
        </xdr:cNvPr>
        <xdr:cNvSpPr>
          <a:spLocks noChangeAspect="1"/>
        </xdr:cNvSpPr>
      </xdr:nvSpPr>
      <xdr:spPr bwMode="auto">
        <a:xfrm>
          <a:off x="1238250" y="6591300"/>
          <a:ext cx="371475" cy="38100"/>
        </a:xfrm>
        <a:custGeom>
          <a:avLst/>
          <a:gdLst>
            <a:gd name="T0" fmla="*/ 2147483647 w 793"/>
            <a:gd name="T1" fmla="*/ 0 h 104"/>
            <a:gd name="T2" fmla="*/ 2147483647 w 793"/>
            <a:gd name="T3" fmla="*/ 0 h 104"/>
            <a:gd name="T4" fmla="*/ 2147483647 w 793"/>
            <a:gd name="T5" fmla="*/ 0 h 104"/>
            <a:gd name="T6" fmla="*/ 0 w 793"/>
            <a:gd name="T7" fmla="*/ 0 h 104"/>
            <a:gd name="T8" fmla="*/ 0 w 793"/>
            <a:gd name="T9" fmla="*/ 0 h 104"/>
            <a:gd name="T10" fmla="*/ 0 w 793"/>
            <a:gd name="T11" fmla="*/ 0 h 104"/>
            <a:gd name="T12" fmla="*/ 2147483647 w 793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93"/>
            <a:gd name="T22" fmla="*/ 0 h 104"/>
            <a:gd name="T23" fmla="*/ 793 w 793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93" h="104">
              <a:moveTo>
                <a:pt x="793" y="104"/>
              </a:moveTo>
              <a:lnTo>
                <a:pt x="793" y="52"/>
              </a:lnTo>
              <a:lnTo>
                <a:pt x="793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793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37</xdr:row>
      <xdr:rowOff>133350</xdr:rowOff>
    </xdr:from>
    <xdr:to>
      <xdr:col>2</xdr:col>
      <xdr:colOff>171450</xdr:colOff>
      <xdr:row>38</xdr:row>
      <xdr:rowOff>9525</xdr:rowOff>
    </xdr:to>
    <xdr:sp macro="" textlink="">
      <xdr:nvSpPr>
        <xdr:cNvPr id="13274" name="Freeform 320">
          <a:extLst>
            <a:ext uri="{FF2B5EF4-FFF2-40B4-BE49-F238E27FC236}">
              <a16:creationId xmlns:a16="http://schemas.microsoft.com/office/drawing/2014/main" id="{00000000-0008-0000-0A00-0000DA330000}"/>
            </a:ext>
          </a:extLst>
        </xdr:cNvPr>
        <xdr:cNvSpPr>
          <a:spLocks noChangeAspect="1"/>
        </xdr:cNvSpPr>
      </xdr:nvSpPr>
      <xdr:spPr bwMode="auto">
        <a:xfrm>
          <a:off x="1219200" y="6591300"/>
          <a:ext cx="19050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52" y="52"/>
              </a:moveTo>
              <a:lnTo>
                <a:pt x="52" y="104"/>
              </a:lnTo>
              <a:lnTo>
                <a:pt x="40" y="103"/>
              </a:lnTo>
              <a:lnTo>
                <a:pt x="30" y="100"/>
              </a:lnTo>
              <a:lnTo>
                <a:pt x="19" y="93"/>
              </a:lnTo>
              <a:lnTo>
                <a:pt x="11" y="85"/>
              </a:lnTo>
              <a:lnTo>
                <a:pt x="5" y="75"/>
              </a:lnTo>
              <a:lnTo>
                <a:pt x="2" y="64"/>
              </a:lnTo>
              <a:lnTo>
                <a:pt x="0" y="52"/>
              </a:ln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152400</xdr:colOff>
      <xdr:row>37</xdr:row>
      <xdr:rowOff>133350</xdr:rowOff>
    </xdr:from>
    <xdr:to>
      <xdr:col>2</xdr:col>
      <xdr:colOff>171450</xdr:colOff>
      <xdr:row>38</xdr:row>
      <xdr:rowOff>9525</xdr:rowOff>
    </xdr:to>
    <xdr:sp macro="" textlink="">
      <xdr:nvSpPr>
        <xdr:cNvPr id="13275" name="Freeform 321">
          <a:extLst>
            <a:ext uri="{FF2B5EF4-FFF2-40B4-BE49-F238E27FC236}">
              <a16:creationId xmlns:a16="http://schemas.microsoft.com/office/drawing/2014/main" id="{00000000-0008-0000-0A00-0000DB330000}"/>
            </a:ext>
          </a:extLst>
        </xdr:cNvPr>
        <xdr:cNvSpPr>
          <a:spLocks noChangeAspect="1"/>
        </xdr:cNvSpPr>
      </xdr:nvSpPr>
      <xdr:spPr bwMode="auto">
        <a:xfrm>
          <a:off x="1219200" y="6591300"/>
          <a:ext cx="19050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52" y="104"/>
              </a:moveTo>
              <a:lnTo>
                <a:pt x="40" y="103"/>
              </a:lnTo>
              <a:lnTo>
                <a:pt x="30" y="100"/>
              </a:lnTo>
              <a:lnTo>
                <a:pt x="19" y="93"/>
              </a:lnTo>
              <a:lnTo>
                <a:pt x="11" y="85"/>
              </a:lnTo>
              <a:lnTo>
                <a:pt x="5" y="75"/>
              </a:lnTo>
              <a:lnTo>
                <a:pt x="2" y="64"/>
              </a:lnTo>
              <a:lnTo>
                <a:pt x="0" y="52"/>
              </a:ln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37</xdr:row>
      <xdr:rowOff>133350</xdr:rowOff>
    </xdr:from>
    <xdr:to>
      <xdr:col>16</xdr:col>
      <xdr:colOff>9525</xdr:colOff>
      <xdr:row>38</xdr:row>
      <xdr:rowOff>9525</xdr:rowOff>
    </xdr:to>
    <xdr:sp macro="" textlink="">
      <xdr:nvSpPr>
        <xdr:cNvPr id="13276" name="Freeform 322">
          <a:extLst>
            <a:ext uri="{FF2B5EF4-FFF2-40B4-BE49-F238E27FC236}">
              <a16:creationId xmlns:a16="http://schemas.microsoft.com/office/drawing/2014/main" id="{00000000-0008-0000-0A00-0000DC330000}"/>
            </a:ext>
          </a:extLst>
        </xdr:cNvPr>
        <xdr:cNvSpPr>
          <a:spLocks noChangeAspect="1"/>
        </xdr:cNvSpPr>
      </xdr:nvSpPr>
      <xdr:spPr bwMode="auto">
        <a:xfrm>
          <a:off x="8715375" y="6591300"/>
          <a:ext cx="0" cy="38100"/>
        </a:xfrm>
        <a:custGeom>
          <a:avLst/>
          <a:gdLst>
            <a:gd name="T0" fmla="*/ 0 w 102"/>
            <a:gd name="T1" fmla="*/ 0 h 57"/>
            <a:gd name="T2" fmla="*/ 0 w 102"/>
            <a:gd name="T3" fmla="*/ 0 h 57"/>
            <a:gd name="T4" fmla="*/ 0 w 102"/>
            <a:gd name="T5" fmla="*/ 0 h 57"/>
            <a:gd name="T6" fmla="*/ 0 w 102"/>
            <a:gd name="T7" fmla="*/ 0 h 57"/>
            <a:gd name="T8" fmla="*/ 0 w 102"/>
            <a:gd name="T9" fmla="*/ 0 h 57"/>
            <a:gd name="T10" fmla="*/ 0 w 102"/>
            <a:gd name="T11" fmla="*/ 0 h 57"/>
            <a:gd name="T12" fmla="*/ 0 w 102"/>
            <a:gd name="T13" fmla="*/ 0 h 57"/>
            <a:gd name="T14" fmla="*/ 0 w 102"/>
            <a:gd name="T15" fmla="*/ 0 h 57"/>
            <a:gd name="T16" fmla="*/ 0 w 102"/>
            <a:gd name="T17" fmla="*/ 0 h 57"/>
            <a:gd name="T18" fmla="*/ 0 w 102"/>
            <a:gd name="T19" fmla="*/ 0 h 57"/>
            <a:gd name="T20" fmla="*/ 0 w 102"/>
            <a:gd name="T21" fmla="*/ 0 h 57"/>
            <a:gd name="T22" fmla="*/ 0 w 102"/>
            <a:gd name="T23" fmla="*/ 0 h 57"/>
            <a:gd name="T24" fmla="*/ 0 w 102"/>
            <a:gd name="T25" fmla="*/ 0 h 57"/>
            <a:gd name="T26" fmla="*/ 0 w 102"/>
            <a:gd name="T27" fmla="*/ 0 h 57"/>
            <a:gd name="T28" fmla="*/ 0 w 102"/>
            <a:gd name="T29" fmla="*/ 0 h 57"/>
            <a:gd name="T30" fmla="*/ 0 w 102"/>
            <a:gd name="T31" fmla="*/ 0 h 57"/>
            <a:gd name="T32" fmla="*/ 0 w 102"/>
            <a:gd name="T33" fmla="*/ 0 h 57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2"/>
            <a:gd name="T52" fmla="*/ 0 h 57"/>
            <a:gd name="T53" fmla="*/ 0 w 102"/>
            <a:gd name="T54" fmla="*/ 57 h 57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2" h="57">
              <a:moveTo>
                <a:pt x="51" y="51"/>
              </a:moveTo>
              <a:lnTo>
                <a:pt x="0" y="46"/>
              </a:lnTo>
              <a:lnTo>
                <a:pt x="2" y="36"/>
              </a:lnTo>
              <a:lnTo>
                <a:pt x="7" y="24"/>
              </a:lnTo>
              <a:lnTo>
                <a:pt x="13" y="16"/>
              </a:lnTo>
              <a:lnTo>
                <a:pt x="23" y="8"/>
              </a:lnTo>
              <a:lnTo>
                <a:pt x="33" y="3"/>
              </a:lnTo>
              <a:lnTo>
                <a:pt x="44" y="0"/>
              </a:lnTo>
              <a:lnTo>
                <a:pt x="56" y="0"/>
              </a:lnTo>
              <a:lnTo>
                <a:pt x="67" y="2"/>
              </a:lnTo>
              <a:lnTo>
                <a:pt x="78" y="7"/>
              </a:lnTo>
              <a:lnTo>
                <a:pt x="87" y="14"/>
              </a:lnTo>
              <a:lnTo>
                <a:pt x="94" y="23"/>
              </a:lnTo>
              <a:lnTo>
                <a:pt x="99" y="34"/>
              </a:lnTo>
              <a:lnTo>
                <a:pt x="102" y="44"/>
              </a:lnTo>
              <a:lnTo>
                <a:pt x="102" y="57"/>
              </a:lnTo>
              <a:lnTo>
                <a:pt x="51" y="5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37</xdr:row>
      <xdr:rowOff>133350</xdr:rowOff>
    </xdr:from>
    <xdr:to>
      <xdr:col>16</xdr:col>
      <xdr:colOff>9525</xdr:colOff>
      <xdr:row>38</xdr:row>
      <xdr:rowOff>9525</xdr:rowOff>
    </xdr:to>
    <xdr:sp macro="" textlink="">
      <xdr:nvSpPr>
        <xdr:cNvPr id="13277" name="Freeform 323">
          <a:extLst>
            <a:ext uri="{FF2B5EF4-FFF2-40B4-BE49-F238E27FC236}">
              <a16:creationId xmlns:a16="http://schemas.microsoft.com/office/drawing/2014/main" id="{00000000-0008-0000-0A00-0000DD330000}"/>
            </a:ext>
          </a:extLst>
        </xdr:cNvPr>
        <xdr:cNvSpPr>
          <a:spLocks noChangeAspect="1"/>
        </xdr:cNvSpPr>
      </xdr:nvSpPr>
      <xdr:spPr bwMode="auto">
        <a:xfrm>
          <a:off x="8715375" y="6591300"/>
          <a:ext cx="0" cy="38100"/>
        </a:xfrm>
        <a:custGeom>
          <a:avLst/>
          <a:gdLst>
            <a:gd name="T0" fmla="*/ 0 w 102"/>
            <a:gd name="T1" fmla="*/ 0 h 57"/>
            <a:gd name="T2" fmla="*/ 0 w 102"/>
            <a:gd name="T3" fmla="*/ 0 h 57"/>
            <a:gd name="T4" fmla="*/ 0 w 102"/>
            <a:gd name="T5" fmla="*/ 0 h 57"/>
            <a:gd name="T6" fmla="*/ 0 w 102"/>
            <a:gd name="T7" fmla="*/ 0 h 57"/>
            <a:gd name="T8" fmla="*/ 0 w 102"/>
            <a:gd name="T9" fmla="*/ 0 h 57"/>
            <a:gd name="T10" fmla="*/ 0 w 102"/>
            <a:gd name="T11" fmla="*/ 0 h 57"/>
            <a:gd name="T12" fmla="*/ 0 w 102"/>
            <a:gd name="T13" fmla="*/ 0 h 57"/>
            <a:gd name="T14" fmla="*/ 0 w 102"/>
            <a:gd name="T15" fmla="*/ 0 h 57"/>
            <a:gd name="T16" fmla="*/ 0 w 102"/>
            <a:gd name="T17" fmla="*/ 0 h 57"/>
            <a:gd name="T18" fmla="*/ 0 w 102"/>
            <a:gd name="T19" fmla="*/ 0 h 57"/>
            <a:gd name="T20" fmla="*/ 0 w 102"/>
            <a:gd name="T21" fmla="*/ 0 h 57"/>
            <a:gd name="T22" fmla="*/ 0 w 102"/>
            <a:gd name="T23" fmla="*/ 0 h 57"/>
            <a:gd name="T24" fmla="*/ 0 w 102"/>
            <a:gd name="T25" fmla="*/ 0 h 57"/>
            <a:gd name="T26" fmla="*/ 0 w 102"/>
            <a:gd name="T27" fmla="*/ 0 h 57"/>
            <a:gd name="T28" fmla="*/ 0 w 102"/>
            <a:gd name="T29" fmla="*/ 0 h 5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2"/>
            <a:gd name="T46" fmla="*/ 0 h 57"/>
            <a:gd name="T47" fmla="*/ 0 w 102"/>
            <a:gd name="T48" fmla="*/ 57 h 5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2" h="57">
              <a:moveTo>
                <a:pt x="0" y="46"/>
              </a:moveTo>
              <a:lnTo>
                <a:pt x="2" y="36"/>
              </a:lnTo>
              <a:lnTo>
                <a:pt x="7" y="24"/>
              </a:lnTo>
              <a:lnTo>
                <a:pt x="13" y="16"/>
              </a:lnTo>
              <a:lnTo>
                <a:pt x="23" y="8"/>
              </a:lnTo>
              <a:lnTo>
                <a:pt x="33" y="3"/>
              </a:lnTo>
              <a:lnTo>
                <a:pt x="44" y="0"/>
              </a:lnTo>
              <a:lnTo>
                <a:pt x="56" y="0"/>
              </a:lnTo>
              <a:lnTo>
                <a:pt x="67" y="2"/>
              </a:lnTo>
              <a:lnTo>
                <a:pt x="78" y="7"/>
              </a:lnTo>
              <a:lnTo>
                <a:pt x="87" y="14"/>
              </a:lnTo>
              <a:lnTo>
                <a:pt x="94" y="23"/>
              </a:lnTo>
              <a:lnTo>
                <a:pt x="99" y="34"/>
              </a:lnTo>
              <a:lnTo>
                <a:pt x="102" y="44"/>
              </a:lnTo>
              <a:lnTo>
                <a:pt x="102" y="57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38</xdr:row>
      <xdr:rowOff>9525</xdr:rowOff>
    </xdr:from>
    <xdr:to>
      <xdr:col>16</xdr:col>
      <xdr:colOff>9525</xdr:colOff>
      <xdr:row>40</xdr:row>
      <xdr:rowOff>9525</xdr:rowOff>
    </xdr:to>
    <xdr:sp macro="" textlink="">
      <xdr:nvSpPr>
        <xdr:cNvPr id="13278" name="Freeform 324">
          <a:extLst>
            <a:ext uri="{FF2B5EF4-FFF2-40B4-BE49-F238E27FC236}">
              <a16:creationId xmlns:a16="http://schemas.microsoft.com/office/drawing/2014/main" id="{00000000-0008-0000-0A00-0000DE330000}"/>
            </a:ext>
          </a:extLst>
        </xdr:cNvPr>
        <xdr:cNvSpPr>
          <a:spLocks noChangeAspect="1"/>
        </xdr:cNvSpPr>
      </xdr:nvSpPr>
      <xdr:spPr bwMode="auto">
        <a:xfrm>
          <a:off x="8715375" y="6629400"/>
          <a:ext cx="0" cy="323850"/>
        </a:xfrm>
        <a:custGeom>
          <a:avLst/>
          <a:gdLst>
            <a:gd name="T0" fmla="*/ 0 w 176"/>
            <a:gd name="T1" fmla="*/ 0 h 803"/>
            <a:gd name="T2" fmla="*/ 0 w 176"/>
            <a:gd name="T3" fmla="*/ 0 h 803"/>
            <a:gd name="T4" fmla="*/ 0 w 176"/>
            <a:gd name="T5" fmla="*/ 0 h 803"/>
            <a:gd name="T6" fmla="*/ 0 w 176"/>
            <a:gd name="T7" fmla="*/ 2147483647 h 803"/>
            <a:gd name="T8" fmla="*/ 0 w 176"/>
            <a:gd name="T9" fmla="*/ 2147483647 h 803"/>
            <a:gd name="T10" fmla="*/ 0 w 176"/>
            <a:gd name="T11" fmla="*/ 2147483647 h 803"/>
            <a:gd name="T12" fmla="*/ 0 w 176"/>
            <a:gd name="T13" fmla="*/ 0 h 80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76"/>
            <a:gd name="T22" fmla="*/ 0 h 803"/>
            <a:gd name="T23" fmla="*/ 0 w 176"/>
            <a:gd name="T24" fmla="*/ 803 h 80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76" h="803">
              <a:moveTo>
                <a:pt x="176" y="11"/>
              </a:moveTo>
              <a:lnTo>
                <a:pt x="125" y="5"/>
              </a:lnTo>
              <a:lnTo>
                <a:pt x="74" y="0"/>
              </a:lnTo>
              <a:lnTo>
                <a:pt x="0" y="793"/>
              </a:lnTo>
              <a:lnTo>
                <a:pt x="51" y="798"/>
              </a:lnTo>
              <a:lnTo>
                <a:pt x="103" y="803"/>
              </a:lnTo>
              <a:lnTo>
                <a:pt x="176" y="1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38</xdr:row>
      <xdr:rowOff>9525</xdr:rowOff>
    </xdr:from>
    <xdr:to>
      <xdr:col>16</xdr:col>
      <xdr:colOff>9525</xdr:colOff>
      <xdr:row>40</xdr:row>
      <xdr:rowOff>9525</xdr:rowOff>
    </xdr:to>
    <xdr:sp macro="" textlink="">
      <xdr:nvSpPr>
        <xdr:cNvPr id="13279" name="Freeform 325">
          <a:extLst>
            <a:ext uri="{FF2B5EF4-FFF2-40B4-BE49-F238E27FC236}">
              <a16:creationId xmlns:a16="http://schemas.microsoft.com/office/drawing/2014/main" id="{00000000-0008-0000-0A00-0000DF330000}"/>
            </a:ext>
          </a:extLst>
        </xdr:cNvPr>
        <xdr:cNvSpPr>
          <a:spLocks noChangeAspect="1"/>
        </xdr:cNvSpPr>
      </xdr:nvSpPr>
      <xdr:spPr bwMode="auto">
        <a:xfrm>
          <a:off x="8715375" y="6629400"/>
          <a:ext cx="0" cy="323850"/>
        </a:xfrm>
        <a:custGeom>
          <a:avLst/>
          <a:gdLst>
            <a:gd name="T0" fmla="*/ 0 w 176"/>
            <a:gd name="T1" fmla="*/ 0 h 803"/>
            <a:gd name="T2" fmla="*/ 0 w 176"/>
            <a:gd name="T3" fmla="*/ 0 h 803"/>
            <a:gd name="T4" fmla="*/ 0 w 176"/>
            <a:gd name="T5" fmla="*/ 0 h 803"/>
            <a:gd name="T6" fmla="*/ 0 w 176"/>
            <a:gd name="T7" fmla="*/ 2147483647 h 803"/>
            <a:gd name="T8" fmla="*/ 0 w 176"/>
            <a:gd name="T9" fmla="*/ 2147483647 h 803"/>
            <a:gd name="T10" fmla="*/ 0 w 176"/>
            <a:gd name="T11" fmla="*/ 2147483647 h 803"/>
            <a:gd name="T12" fmla="*/ 0 w 176"/>
            <a:gd name="T13" fmla="*/ 0 h 80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76"/>
            <a:gd name="T22" fmla="*/ 0 h 803"/>
            <a:gd name="T23" fmla="*/ 0 w 176"/>
            <a:gd name="T24" fmla="*/ 803 h 80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76" h="803">
              <a:moveTo>
                <a:pt x="176" y="11"/>
              </a:moveTo>
              <a:lnTo>
                <a:pt x="125" y="5"/>
              </a:lnTo>
              <a:lnTo>
                <a:pt x="74" y="0"/>
              </a:lnTo>
              <a:lnTo>
                <a:pt x="0" y="793"/>
              </a:lnTo>
              <a:lnTo>
                <a:pt x="51" y="798"/>
              </a:lnTo>
              <a:lnTo>
                <a:pt x="103" y="803"/>
              </a:lnTo>
              <a:lnTo>
                <a:pt x="176" y="1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37</xdr:row>
      <xdr:rowOff>133350</xdr:rowOff>
    </xdr:from>
    <xdr:to>
      <xdr:col>3</xdr:col>
      <xdr:colOff>371475</xdr:colOff>
      <xdr:row>37</xdr:row>
      <xdr:rowOff>152400</xdr:rowOff>
    </xdr:to>
    <xdr:sp macro="" textlink="">
      <xdr:nvSpPr>
        <xdr:cNvPr id="13280" name="Freeform 326">
          <a:extLst>
            <a:ext uri="{FF2B5EF4-FFF2-40B4-BE49-F238E27FC236}">
              <a16:creationId xmlns:a16="http://schemas.microsoft.com/office/drawing/2014/main" id="{00000000-0008-0000-0A00-0000E0330000}"/>
            </a:ext>
          </a:extLst>
        </xdr:cNvPr>
        <xdr:cNvSpPr>
          <a:spLocks noChangeAspect="1"/>
        </xdr:cNvSpPr>
      </xdr:nvSpPr>
      <xdr:spPr bwMode="auto">
        <a:xfrm>
          <a:off x="1924050" y="6591300"/>
          <a:ext cx="47625" cy="19050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52"/>
              </a:move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37</xdr:row>
      <xdr:rowOff>133350</xdr:rowOff>
    </xdr:from>
    <xdr:to>
      <xdr:col>3</xdr:col>
      <xdr:colOff>371475</xdr:colOff>
      <xdr:row>37</xdr:row>
      <xdr:rowOff>152400</xdr:rowOff>
    </xdr:to>
    <xdr:sp macro="" textlink="">
      <xdr:nvSpPr>
        <xdr:cNvPr id="13281" name="Freeform 327">
          <a:extLst>
            <a:ext uri="{FF2B5EF4-FFF2-40B4-BE49-F238E27FC236}">
              <a16:creationId xmlns:a16="http://schemas.microsoft.com/office/drawing/2014/main" id="{00000000-0008-0000-0A00-0000E1330000}"/>
            </a:ext>
          </a:extLst>
        </xdr:cNvPr>
        <xdr:cNvSpPr>
          <a:spLocks noChangeAspect="1"/>
        </xdr:cNvSpPr>
      </xdr:nvSpPr>
      <xdr:spPr bwMode="auto">
        <a:xfrm>
          <a:off x="1924050" y="6591300"/>
          <a:ext cx="47625" cy="19050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0" y="52"/>
              </a:moveTo>
              <a:lnTo>
                <a:pt x="1" y="41"/>
              </a:lnTo>
              <a:lnTo>
                <a:pt x="4" y="30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333375</xdr:colOff>
      <xdr:row>38</xdr:row>
      <xdr:rowOff>9525</xdr:rowOff>
    </xdr:from>
    <xdr:to>
      <xdr:col>3</xdr:col>
      <xdr:colOff>381000</xdr:colOff>
      <xdr:row>40</xdr:row>
      <xdr:rowOff>9525</xdr:rowOff>
    </xdr:to>
    <xdr:sp macro="" textlink="">
      <xdr:nvSpPr>
        <xdr:cNvPr id="13282" name="Freeform 328">
          <a:extLst>
            <a:ext uri="{FF2B5EF4-FFF2-40B4-BE49-F238E27FC236}">
              <a16:creationId xmlns:a16="http://schemas.microsoft.com/office/drawing/2014/main" id="{00000000-0008-0000-0A00-0000E2330000}"/>
            </a:ext>
          </a:extLst>
        </xdr:cNvPr>
        <xdr:cNvSpPr>
          <a:spLocks noChangeAspect="1"/>
        </xdr:cNvSpPr>
      </xdr:nvSpPr>
      <xdr:spPr bwMode="auto">
        <a:xfrm>
          <a:off x="1933575" y="6629400"/>
          <a:ext cx="47625" cy="323850"/>
        </a:xfrm>
        <a:custGeom>
          <a:avLst/>
          <a:gdLst>
            <a:gd name="T0" fmla="*/ 0 w 104"/>
            <a:gd name="T1" fmla="*/ 0 h 793"/>
            <a:gd name="T2" fmla="*/ 0 w 104"/>
            <a:gd name="T3" fmla="*/ 0 h 793"/>
            <a:gd name="T4" fmla="*/ 0 w 104"/>
            <a:gd name="T5" fmla="*/ 0 h 793"/>
            <a:gd name="T6" fmla="*/ 0 w 104"/>
            <a:gd name="T7" fmla="*/ 2147483647 h 793"/>
            <a:gd name="T8" fmla="*/ 0 w 104"/>
            <a:gd name="T9" fmla="*/ 2147483647 h 793"/>
            <a:gd name="T10" fmla="*/ 0 w 104"/>
            <a:gd name="T11" fmla="*/ 2147483647 h 793"/>
            <a:gd name="T12" fmla="*/ 0 w 104"/>
            <a:gd name="T13" fmla="*/ 0 h 79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93"/>
            <a:gd name="T23" fmla="*/ 104 w 104"/>
            <a:gd name="T24" fmla="*/ 793 h 79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93">
              <a:moveTo>
                <a:pt x="104" y="0"/>
              </a:moveTo>
              <a:lnTo>
                <a:pt x="52" y="0"/>
              </a:lnTo>
              <a:lnTo>
                <a:pt x="0" y="0"/>
              </a:lnTo>
              <a:lnTo>
                <a:pt x="0" y="793"/>
              </a:lnTo>
              <a:lnTo>
                <a:pt x="52" y="793"/>
              </a:lnTo>
              <a:lnTo>
                <a:pt x="104" y="793"/>
              </a:lnTo>
              <a:lnTo>
                <a:pt x="104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333375</xdr:colOff>
      <xdr:row>38</xdr:row>
      <xdr:rowOff>9525</xdr:rowOff>
    </xdr:from>
    <xdr:to>
      <xdr:col>3</xdr:col>
      <xdr:colOff>381000</xdr:colOff>
      <xdr:row>40</xdr:row>
      <xdr:rowOff>9525</xdr:rowOff>
    </xdr:to>
    <xdr:sp macro="" textlink="">
      <xdr:nvSpPr>
        <xdr:cNvPr id="13283" name="Freeform 329">
          <a:extLst>
            <a:ext uri="{FF2B5EF4-FFF2-40B4-BE49-F238E27FC236}">
              <a16:creationId xmlns:a16="http://schemas.microsoft.com/office/drawing/2014/main" id="{00000000-0008-0000-0A00-0000E3330000}"/>
            </a:ext>
          </a:extLst>
        </xdr:cNvPr>
        <xdr:cNvSpPr>
          <a:spLocks noChangeAspect="1"/>
        </xdr:cNvSpPr>
      </xdr:nvSpPr>
      <xdr:spPr bwMode="auto">
        <a:xfrm>
          <a:off x="1933575" y="6629400"/>
          <a:ext cx="47625" cy="323850"/>
        </a:xfrm>
        <a:custGeom>
          <a:avLst/>
          <a:gdLst>
            <a:gd name="T0" fmla="*/ 0 w 104"/>
            <a:gd name="T1" fmla="*/ 0 h 793"/>
            <a:gd name="T2" fmla="*/ 0 w 104"/>
            <a:gd name="T3" fmla="*/ 0 h 793"/>
            <a:gd name="T4" fmla="*/ 0 w 104"/>
            <a:gd name="T5" fmla="*/ 0 h 793"/>
            <a:gd name="T6" fmla="*/ 0 w 104"/>
            <a:gd name="T7" fmla="*/ 2147483647 h 793"/>
            <a:gd name="T8" fmla="*/ 0 w 104"/>
            <a:gd name="T9" fmla="*/ 2147483647 h 793"/>
            <a:gd name="T10" fmla="*/ 0 w 104"/>
            <a:gd name="T11" fmla="*/ 2147483647 h 793"/>
            <a:gd name="T12" fmla="*/ 0 w 104"/>
            <a:gd name="T13" fmla="*/ 0 h 79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93"/>
            <a:gd name="T23" fmla="*/ 104 w 104"/>
            <a:gd name="T24" fmla="*/ 793 h 79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93">
              <a:moveTo>
                <a:pt x="104" y="0"/>
              </a:moveTo>
              <a:lnTo>
                <a:pt x="52" y="0"/>
              </a:lnTo>
              <a:lnTo>
                <a:pt x="0" y="0"/>
              </a:lnTo>
              <a:lnTo>
                <a:pt x="0" y="793"/>
              </a:lnTo>
              <a:lnTo>
                <a:pt x="52" y="793"/>
              </a:lnTo>
              <a:lnTo>
                <a:pt x="104" y="793"/>
              </a:lnTo>
              <a:lnTo>
                <a:pt x="104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333375</xdr:colOff>
      <xdr:row>39</xdr:row>
      <xdr:rowOff>142875</xdr:rowOff>
    </xdr:from>
    <xdr:to>
      <xdr:col>3</xdr:col>
      <xdr:colOff>381000</xdr:colOff>
      <xdr:row>40</xdr:row>
      <xdr:rowOff>9525</xdr:rowOff>
    </xdr:to>
    <xdr:sp macro="" textlink="">
      <xdr:nvSpPr>
        <xdr:cNvPr id="13284" name="Freeform 330">
          <a:extLst>
            <a:ext uri="{FF2B5EF4-FFF2-40B4-BE49-F238E27FC236}">
              <a16:creationId xmlns:a16="http://schemas.microsoft.com/office/drawing/2014/main" id="{00000000-0008-0000-0A00-0000E4330000}"/>
            </a:ext>
          </a:extLst>
        </xdr:cNvPr>
        <xdr:cNvSpPr>
          <a:spLocks noChangeAspect="1"/>
        </xdr:cNvSpPr>
      </xdr:nvSpPr>
      <xdr:spPr bwMode="auto">
        <a:xfrm>
          <a:off x="1933575" y="6924675"/>
          <a:ext cx="47625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0"/>
              </a:moveTo>
              <a:lnTo>
                <a:pt x="104" y="0"/>
              </a:lnTo>
              <a:lnTo>
                <a:pt x="102" y="12"/>
              </a:lnTo>
              <a:lnTo>
                <a:pt x="99" y="22"/>
              </a:lnTo>
              <a:lnTo>
                <a:pt x="93" y="33"/>
              </a:lnTo>
              <a:lnTo>
                <a:pt x="84" y="41"/>
              </a:lnTo>
              <a:lnTo>
                <a:pt x="74" y="47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7"/>
              </a:lnTo>
              <a:lnTo>
                <a:pt x="19" y="41"/>
              </a:lnTo>
              <a:lnTo>
                <a:pt x="11" y="33"/>
              </a:lnTo>
              <a:lnTo>
                <a:pt x="4" y="22"/>
              </a:lnTo>
              <a:lnTo>
                <a:pt x="1" y="12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333375</xdr:colOff>
      <xdr:row>39</xdr:row>
      <xdr:rowOff>142875</xdr:rowOff>
    </xdr:from>
    <xdr:to>
      <xdr:col>3</xdr:col>
      <xdr:colOff>381000</xdr:colOff>
      <xdr:row>40</xdr:row>
      <xdr:rowOff>9525</xdr:rowOff>
    </xdr:to>
    <xdr:sp macro="" textlink="">
      <xdr:nvSpPr>
        <xdr:cNvPr id="13285" name="Freeform 331">
          <a:extLst>
            <a:ext uri="{FF2B5EF4-FFF2-40B4-BE49-F238E27FC236}">
              <a16:creationId xmlns:a16="http://schemas.microsoft.com/office/drawing/2014/main" id="{00000000-0008-0000-0A00-0000E5330000}"/>
            </a:ext>
          </a:extLst>
        </xdr:cNvPr>
        <xdr:cNvSpPr>
          <a:spLocks noChangeAspect="1"/>
        </xdr:cNvSpPr>
      </xdr:nvSpPr>
      <xdr:spPr bwMode="auto">
        <a:xfrm>
          <a:off x="1933575" y="6924675"/>
          <a:ext cx="47625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104" y="0"/>
              </a:moveTo>
              <a:lnTo>
                <a:pt x="102" y="12"/>
              </a:lnTo>
              <a:lnTo>
                <a:pt x="99" y="22"/>
              </a:lnTo>
              <a:lnTo>
                <a:pt x="93" y="33"/>
              </a:lnTo>
              <a:lnTo>
                <a:pt x="84" y="41"/>
              </a:lnTo>
              <a:lnTo>
                <a:pt x="74" y="47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7"/>
              </a:lnTo>
              <a:lnTo>
                <a:pt x="19" y="41"/>
              </a:lnTo>
              <a:lnTo>
                <a:pt x="11" y="33"/>
              </a:lnTo>
              <a:lnTo>
                <a:pt x="4" y="22"/>
              </a:lnTo>
              <a:lnTo>
                <a:pt x="1" y="12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19</xdr:row>
      <xdr:rowOff>47625</xdr:rowOff>
    </xdr:from>
    <xdr:to>
      <xdr:col>3</xdr:col>
      <xdr:colOff>371475</xdr:colOff>
      <xdr:row>19</xdr:row>
      <xdr:rowOff>66675</xdr:rowOff>
    </xdr:to>
    <xdr:sp macro="" textlink="">
      <xdr:nvSpPr>
        <xdr:cNvPr id="13286" name="Freeform 332">
          <a:extLst>
            <a:ext uri="{FF2B5EF4-FFF2-40B4-BE49-F238E27FC236}">
              <a16:creationId xmlns:a16="http://schemas.microsoft.com/office/drawing/2014/main" id="{00000000-0008-0000-0A00-0000E6330000}"/>
            </a:ext>
          </a:extLst>
        </xdr:cNvPr>
        <xdr:cNvSpPr>
          <a:spLocks noChangeAspect="1"/>
        </xdr:cNvSpPr>
      </xdr:nvSpPr>
      <xdr:spPr bwMode="auto">
        <a:xfrm>
          <a:off x="1924050" y="3590925"/>
          <a:ext cx="47625" cy="19050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w 104"/>
            <a:gd name="T31" fmla="*/ 0 h 51"/>
            <a:gd name="T32" fmla="*/ 0 w 104"/>
            <a:gd name="T33" fmla="*/ 0 h 5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1"/>
            <a:gd name="T53" fmla="*/ 104 w 104"/>
            <a:gd name="T54" fmla="*/ 51 h 5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1">
              <a:moveTo>
                <a:pt x="52" y="0"/>
              </a:moveTo>
              <a:lnTo>
                <a:pt x="104" y="0"/>
              </a:ln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4" y="22"/>
              </a:lnTo>
              <a:lnTo>
                <a:pt x="1" y="11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19</xdr:row>
      <xdr:rowOff>47625</xdr:rowOff>
    </xdr:from>
    <xdr:to>
      <xdr:col>3</xdr:col>
      <xdr:colOff>371475</xdr:colOff>
      <xdr:row>19</xdr:row>
      <xdr:rowOff>66675</xdr:rowOff>
    </xdr:to>
    <xdr:sp macro="" textlink="">
      <xdr:nvSpPr>
        <xdr:cNvPr id="13287" name="Freeform 333">
          <a:extLst>
            <a:ext uri="{FF2B5EF4-FFF2-40B4-BE49-F238E27FC236}">
              <a16:creationId xmlns:a16="http://schemas.microsoft.com/office/drawing/2014/main" id="{00000000-0008-0000-0A00-0000E7330000}"/>
            </a:ext>
          </a:extLst>
        </xdr:cNvPr>
        <xdr:cNvSpPr>
          <a:spLocks noChangeAspect="1"/>
        </xdr:cNvSpPr>
      </xdr:nvSpPr>
      <xdr:spPr bwMode="auto">
        <a:xfrm>
          <a:off x="1924050" y="3590925"/>
          <a:ext cx="47625" cy="19050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1"/>
            <a:gd name="T47" fmla="*/ 104 w 104"/>
            <a:gd name="T48" fmla="*/ 51 h 5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1">
              <a:moveTo>
                <a:pt x="104" y="0"/>
              </a:move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4" y="22"/>
              </a:lnTo>
              <a:lnTo>
                <a:pt x="1" y="11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17</xdr:row>
      <xdr:rowOff>47625</xdr:rowOff>
    </xdr:from>
    <xdr:to>
      <xdr:col>3</xdr:col>
      <xdr:colOff>371475</xdr:colOff>
      <xdr:row>19</xdr:row>
      <xdr:rowOff>66675</xdr:rowOff>
    </xdr:to>
    <xdr:sp macro="" textlink="">
      <xdr:nvSpPr>
        <xdr:cNvPr id="13288" name="Freeform 334">
          <a:extLst>
            <a:ext uri="{FF2B5EF4-FFF2-40B4-BE49-F238E27FC236}">
              <a16:creationId xmlns:a16="http://schemas.microsoft.com/office/drawing/2014/main" id="{00000000-0008-0000-0A00-0000E8330000}"/>
            </a:ext>
          </a:extLst>
        </xdr:cNvPr>
        <xdr:cNvSpPr>
          <a:spLocks noChangeAspect="1"/>
        </xdr:cNvSpPr>
      </xdr:nvSpPr>
      <xdr:spPr bwMode="auto">
        <a:xfrm>
          <a:off x="1924050" y="3267075"/>
          <a:ext cx="47625" cy="342900"/>
        </a:xfrm>
        <a:custGeom>
          <a:avLst/>
          <a:gdLst>
            <a:gd name="T0" fmla="*/ 0 w 104"/>
            <a:gd name="T1" fmla="*/ 2147483647 h 794"/>
            <a:gd name="T2" fmla="*/ 0 w 104"/>
            <a:gd name="T3" fmla="*/ 2147483647 h 794"/>
            <a:gd name="T4" fmla="*/ 0 w 104"/>
            <a:gd name="T5" fmla="*/ 2147483647 h 794"/>
            <a:gd name="T6" fmla="*/ 0 w 104"/>
            <a:gd name="T7" fmla="*/ 0 h 794"/>
            <a:gd name="T8" fmla="*/ 0 w 104"/>
            <a:gd name="T9" fmla="*/ 0 h 794"/>
            <a:gd name="T10" fmla="*/ 0 w 104"/>
            <a:gd name="T11" fmla="*/ 0 h 794"/>
            <a:gd name="T12" fmla="*/ 0 w 104"/>
            <a:gd name="T13" fmla="*/ 2147483647 h 79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94"/>
            <a:gd name="T23" fmla="*/ 104 w 104"/>
            <a:gd name="T24" fmla="*/ 794 h 79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94">
              <a:moveTo>
                <a:pt x="0" y="794"/>
              </a:moveTo>
              <a:lnTo>
                <a:pt x="52" y="794"/>
              </a:lnTo>
              <a:lnTo>
                <a:pt x="104" y="794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79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17</xdr:row>
      <xdr:rowOff>47625</xdr:rowOff>
    </xdr:from>
    <xdr:to>
      <xdr:col>3</xdr:col>
      <xdr:colOff>371475</xdr:colOff>
      <xdr:row>19</xdr:row>
      <xdr:rowOff>66675</xdr:rowOff>
    </xdr:to>
    <xdr:sp macro="" textlink="">
      <xdr:nvSpPr>
        <xdr:cNvPr id="13289" name="Freeform 335">
          <a:extLst>
            <a:ext uri="{FF2B5EF4-FFF2-40B4-BE49-F238E27FC236}">
              <a16:creationId xmlns:a16="http://schemas.microsoft.com/office/drawing/2014/main" id="{00000000-0008-0000-0A00-0000E9330000}"/>
            </a:ext>
          </a:extLst>
        </xdr:cNvPr>
        <xdr:cNvSpPr>
          <a:spLocks noChangeAspect="1"/>
        </xdr:cNvSpPr>
      </xdr:nvSpPr>
      <xdr:spPr bwMode="auto">
        <a:xfrm>
          <a:off x="1924050" y="3267075"/>
          <a:ext cx="47625" cy="342900"/>
        </a:xfrm>
        <a:custGeom>
          <a:avLst/>
          <a:gdLst>
            <a:gd name="T0" fmla="*/ 0 w 104"/>
            <a:gd name="T1" fmla="*/ 2147483647 h 794"/>
            <a:gd name="T2" fmla="*/ 0 w 104"/>
            <a:gd name="T3" fmla="*/ 2147483647 h 794"/>
            <a:gd name="T4" fmla="*/ 0 w 104"/>
            <a:gd name="T5" fmla="*/ 2147483647 h 794"/>
            <a:gd name="T6" fmla="*/ 0 w 104"/>
            <a:gd name="T7" fmla="*/ 0 h 794"/>
            <a:gd name="T8" fmla="*/ 0 w 104"/>
            <a:gd name="T9" fmla="*/ 0 h 794"/>
            <a:gd name="T10" fmla="*/ 0 w 104"/>
            <a:gd name="T11" fmla="*/ 0 h 794"/>
            <a:gd name="T12" fmla="*/ 0 w 104"/>
            <a:gd name="T13" fmla="*/ 2147483647 h 79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94"/>
            <a:gd name="T23" fmla="*/ 104 w 104"/>
            <a:gd name="T24" fmla="*/ 794 h 79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94">
              <a:moveTo>
                <a:pt x="0" y="794"/>
              </a:moveTo>
              <a:lnTo>
                <a:pt x="52" y="794"/>
              </a:lnTo>
              <a:lnTo>
                <a:pt x="104" y="794"/>
              </a:lnTo>
              <a:lnTo>
                <a:pt x="104" y="0"/>
              </a:lnTo>
              <a:lnTo>
                <a:pt x="52" y="0"/>
              </a:lnTo>
              <a:lnTo>
                <a:pt x="0" y="0"/>
              </a:lnTo>
              <a:lnTo>
                <a:pt x="0" y="79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17</xdr:row>
      <xdr:rowOff>19050</xdr:rowOff>
    </xdr:from>
    <xdr:to>
      <xdr:col>3</xdr:col>
      <xdr:colOff>371475</xdr:colOff>
      <xdr:row>17</xdr:row>
      <xdr:rowOff>38100</xdr:rowOff>
    </xdr:to>
    <xdr:sp macro="" textlink="">
      <xdr:nvSpPr>
        <xdr:cNvPr id="13290" name="Freeform 336">
          <a:extLst>
            <a:ext uri="{FF2B5EF4-FFF2-40B4-BE49-F238E27FC236}">
              <a16:creationId xmlns:a16="http://schemas.microsoft.com/office/drawing/2014/main" id="{00000000-0008-0000-0A00-0000EA330000}"/>
            </a:ext>
          </a:extLst>
        </xdr:cNvPr>
        <xdr:cNvSpPr>
          <a:spLocks noChangeAspect="1"/>
        </xdr:cNvSpPr>
      </xdr:nvSpPr>
      <xdr:spPr bwMode="auto">
        <a:xfrm>
          <a:off x="1924050" y="3238500"/>
          <a:ext cx="47625" cy="19050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w 104"/>
            <a:gd name="T31" fmla="*/ 0 h 53"/>
            <a:gd name="T32" fmla="*/ 0 w 104"/>
            <a:gd name="T33" fmla="*/ 0 h 53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3"/>
            <a:gd name="T53" fmla="*/ 104 w 104"/>
            <a:gd name="T54" fmla="*/ 53 h 53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3">
              <a:moveTo>
                <a:pt x="52" y="53"/>
              </a:moveTo>
              <a:lnTo>
                <a:pt x="0" y="53"/>
              </a:ln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6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  <a:lnTo>
                <a:pt x="52" y="5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323850</xdr:colOff>
      <xdr:row>17</xdr:row>
      <xdr:rowOff>19050</xdr:rowOff>
    </xdr:from>
    <xdr:to>
      <xdr:col>3</xdr:col>
      <xdr:colOff>371475</xdr:colOff>
      <xdr:row>17</xdr:row>
      <xdr:rowOff>38100</xdr:rowOff>
    </xdr:to>
    <xdr:sp macro="" textlink="">
      <xdr:nvSpPr>
        <xdr:cNvPr id="13291" name="Freeform 337">
          <a:extLst>
            <a:ext uri="{FF2B5EF4-FFF2-40B4-BE49-F238E27FC236}">
              <a16:creationId xmlns:a16="http://schemas.microsoft.com/office/drawing/2014/main" id="{00000000-0008-0000-0A00-0000EB330000}"/>
            </a:ext>
          </a:extLst>
        </xdr:cNvPr>
        <xdr:cNvSpPr>
          <a:spLocks noChangeAspect="1"/>
        </xdr:cNvSpPr>
      </xdr:nvSpPr>
      <xdr:spPr bwMode="auto">
        <a:xfrm>
          <a:off x="1924050" y="3238500"/>
          <a:ext cx="47625" cy="19050"/>
        </a:xfrm>
        <a:custGeom>
          <a:avLst/>
          <a:gdLst>
            <a:gd name="T0" fmla="*/ 0 w 104"/>
            <a:gd name="T1" fmla="*/ 0 h 53"/>
            <a:gd name="T2" fmla="*/ 0 w 104"/>
            <a:gd name="T3" fmla="*/ 0 h 53"/>
            <a:gd name="T4" fmla="*/ 0 w 104"/>
            <a:gd name="T5" fmla="*/ 0 h 53"/>
            <a:gd name="T6" fmla="*/ 0 w 104"/>
            <a:gd name="T7" fmla="*/ 0 h 53"/>
            <a:gd name="T8" fmla="*/ 0 w 104"/>
            <a:gd name="T9" fmla="*/ 0 h 53"/>
            <a:gd name="T10" fmla="*/ 0 w 104"/>
            <a:gd name="T11" fmla="*/ 0 h 53"/>
            <a:gd name="T12" fmla="*/ 0 w 104"/>
            <a:gd name="T13" fmla="*/ 0 h 53"/>
            <a:gd name="T14" fmla="*/ 0 w 104"/>
            <a:gd name="T15" fmla="*/ 0 h 53"/>
            <a:gd name="T16" fmla="*/ 0 w 104"/>
            <a:gd name="T17" fmla="*/ 0 h 53"/>
            <a:gd name="T18" fmla="*/ 0 w 104"/>
            <a:gd name="T19" fmla="*/ 0 h 53"/>
            <a:gd name="T20" fmla="*/ 0 w 104"/>
            <a:gd name="T21" fmla="*/ 0 h 53"/>
            <a:gd name="T22" fmla="*/ 0 w 104"/>
            <a:gd name="T23" fmla="*/ 0 h 53"/>
            <a:gd name="T24" fmla="*/ 0 w 104"/>
            <a:gd name="T25" fmla="*/ 0 h 53"/>
            <a:gd name="T26" fmla="*/ 0 w 104"/>
            <a:gd name="T27" fmla="*/ 0 h 53"/>
            <a:gd name="T28" fmla="*/ 0 w 104"/>
            <a:gd name="T29" fmla="*/ 0 h 53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3"/>
            <a:gd name="T47" fmla="*/ 104 w 104"/>
            <a:gd name="T48" fmla="*/ 53 h 53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3">
              <a:moveTo>
                <a:pt x="0" y="53"/>
              </a:moveTo>
              <a:lnTo>
                <a:pt x="1" y="41"/>
              </a:lnTo>
              <a:lnTo>
                <a:pt x="4" y="31"/>
              </a:lnTo>
              <a:lnTo>
                <a:pt x="11" y="20"/>
              </a:lnTo>
              <a:lnTo>
                <a:pt x="19" y="12"/>
              </a:lnTo>
              <a:lnTo>
                <a:pt x="30" y="6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6"/>
              </a:lnTo>
              <a:lnTo>
                <a:pt x="84" y="12"/>
              </a:lnTo>
              <a:lnTo>
                <a:pt x="93" y="20"/>
              </a:lnTo>
              <a:lnTo>
                <a:pt x="99" y="31"/>
              </a:lnTo>
              <a:lnTo>
                <a:pt x="102" y="41"/>
              </a:lnTo>
              <a:lnTo>
                <a:pt x="104" y="53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17</xdr:row>
      <xdr:rowOff>47625</xdr:rowOff>
    </xdr:from>
    <xdr:to>
      <xdr:col>11</xdr:col>
      <xdr:colOff>180975</xdr:colOff>
      <xdr:row>19</xdr:row>
      <xdr:rowOff>66675</xdr:rowOff>
    </xdr:to>
    <xdr:sp macro="" textlink="">
      <xdr:nvSpPr>
        <xdr:cNvPr id="13292" name="Freeform 338">
          <a:extLst>
            <a:ext uri="{FF2B5EF4-FFF2-40B4-BE49-F238E27FC236}">
              <a16:creationId xmlns:a16="http://schemas.microsoft.com/office/drawing/2014/main" id="{00000000-0008-0000-0A00-0000EC330000}"/>
            </a:ext>
          </a:extLst>
        </xdr:cNvPr>
        <xdr:cNvSpPr>
          <a:spLocks noChangeAspect="1"/>
        </xdr:cNvSpPr>
      </xdr:nvSpPr>
      <xdr:spPr bwMode="auto">
        <a:xfrm>
          <a:off x="6181725" y="3267075"/>
          <a:ext cx="38100" cy="342900"/>
        </a:xfrm>
        <a:custGeom>
          <a:avLst/>
          <a:gdLst>
            <a:gd name="T0" fmla="*/ 0 w 104"/>
            <a:gd name="T1" fmla="*/ 0 h 794"/>
            <a:gd name="T2" fmla="*/ 0 w 104"/>
            <a:gd name="T3" fmla="*/ 0 h 794"/>
            <a:gd name="T4" fmla="*/ 0 w 104"/>
            <a:gd name="T5" fmla="*/ 0 h 794"/>
            <a:gd name="T6" fmla="*/ 0 w 104"/>
            <a:gd name="T7" fmla="*/ 2147483647 h 794"/>
            <a:gd name="T8" fmla="*/ 0 w 104"/>
            <a:gd name="T9" fmla="*/ 2147483647 h 794"/>
            <a:gd name="T10" fmla="*/ 0 w 104"/>
            <a:gd name="T11" fmla="*/ 2147483647 h 794"/>
            <a:gd name="T12" fmla="*/ 0 w 104"/>
            <a:gd name="T13" fmla="*/ 0 h 79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94"/>
            <a:gd name="T23" fmla="*/ 104 w 104"/>
            <a:gd name="T24" fmla="*/ 794 h 79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94">
              <a:moveTo>
                <a:pt x="104" y="0"/>
              </a:moveTo>
              <a:lnTo>
                <a:pt x="52" y="0"/>
              </a:lnTo>
              <a:lnTo>
                <a:pt x="0" y="0"/>
              </a:lnTo>
              <a:lnTo>
                <a:pt x="0" y="794"/>
              </a:lnTo>
              <a:lnTo>
                <a:pt x="52" y="794"/>
              </a:lnTo>
              <a:lnTo>
                <a:pt x="104" y="794"/>
              </a:lnTo>
              <a:lnTo>
                <a:pt x="104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17</xdr:row>
      <xdr:rowOff>47625</xdr:rowOff>
    </xdr:from>
    <xdr:to>
      <xdr:col>11</xdr:col>
      <xdr:colOff>180975</xdr:colOff>
      <xdr:row>19</xdr:row>
      <xdr:rowOff>66675</xdr:rowOff>
    </xdr:to>
    <xdr:sp macro="" textlink="">
      <xdr:nvSpPr>
        <xdr:cNvPr id="13293" name="Freeform 339">
          <a:extLst>
            <a:ext uri="{FF2B5EF4-FFF2-40B4-BE49-F238E27FC236}">
              <a16:creationId xmlns:a16="http://schemas.microsoft.com/office/drawing/2014/main" id="{00000000-0008-0000-0A00-0000ED330000}"/>
            </a:ext>
          </a:extLst>
        </xdr:cNvPr>
        <xdr:cNvSpPr>
          <a:spLocks noChangeAspect="1"/>
        </xdr:cNvSpPr>
      </xdr:nvSpPr>
      <xdr:spPr bwMode="auto">
        <a:xfrm>
          <a:off x="6181725" y="3267075"/>
          <a:ext cx="38100" cy="342900"/>
        </a:xfrm>
        <a:custGeom>
          <a:avLst/>
          <a:gdLst>
            <a:gd name="T0" fmla="*/ 0 w 104"/>
            <a:gd name="T1" fmla="*/ 0 h 794"/>
            <a:gd name="T2" fmla="*/ 0 w 104"/>
            <a:gd name="T3" fmla="*/ 0 h 794"/>
            <a:gd name="T4" fmla="*/ 0 w 104"/>
            <a:gd name="T5" fmla="*/ 0 h 794"/>
            <a:gd name="T6" fmla="*/ 0 w 104"/>
            <a:gd name="T7" fmla="*/ 2147483647 h 794"/>
            <a:gd name="T8" fmla="*/ 0 w 104"/>
            <a:gd name="T9" fmla="*/ 2147483647 h 794"/>
            <a:gd name="T10" fmla="*/ 0 w 104"/>
            <a:gd name="T11" fmla="*/ 2147483647 h 794"/>
            <a:gd name="T12" fmla="*/ 0 w 104"/>
            <a:gd name="T13" fmla="*/ 0 h 79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94"/>
            <a:gd name="T23" fmla="*/ 104 w 104"/>
            <a:gd name="T24" fmla="*/ 794 h 79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94">
              <a:moveTo>
                <a:pt x="104" y="0"/>
              </a:moveTo>
              <a:lnTo>
                <a:pt x="52" y="0"/>
              </a:lnTo>
              <a:lnTo>
                <a:pt x="0" y="0"/>
              </a:lnTo>
              <a:lnTo>
                <a:pt x="0" y="794"/>
              </a:lnTo>
              <a:lnTo>
                <a:pt x="52" y="794"/>
              </a:lnTo>
              <a:lnTo>
                <a:pt x="104" y="794"/>
              </a:lnTo>
              <a:lnTo>
                <a:pt x="104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19</xdr:row>
      <xdr:rowOff>47625</xdr:rowOff>
    </xdr:from>
    <xdr:to>
      <xdr:col>11</xdr:col>
      <xdr:colOff>180975</xdr:colOff>
      <xdr:row>19</xdr:row>
      <xdr:rowOff>66675</xdr:rowOff>
    </xdr:to>
    <xdr:sp macro="" textlink="">
      <xdr:nvSpPr>
        <xdr:cNvPr id="13294" name="Freeform 340">
          <a:extLst>
            <a:ext uri="{FF2B5EF4-FFF2-40B4-BE49-F238E27FC236}">
              <a16:creationId xmlns:a16="http://schemas.microsoft.com/office/drawing/2014/main" id="{00000000-0008-0000-0A00-0000EE330000}"/>
            </a:ext>
          </a:extLst>
        </xdr:cNvPr>
        <xdr:cNvSpPr>
          <a:spLocks noChangeAspect="1"/>
        </xdr:cNvSpPr>
      </xdr:nvSpPr>
      <xdr:spPr bwMode="auto">
        <a:xfrm>
          <a:off x="6181725" y="3590925"/>
          <a:ext cx="38100" cy="19050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w 104"/>
            <a:gd name="T31" fmla="*/ 0 h 51"/>
            <a:gd name="T32" fmla="*/ 0 w 104"/>
            <a:gd name="T33" fmla="*/ 0 h 51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1"/>
            <a:gd name="T53" fmla="*/ 104 w 104"/>
            <a:gd name="T54" fmla="*/ 51 h 51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1">
              <a:moveTo>
                <a:pt x="52" y="0"/>
              </a:moveTo>
              <a:lnTo>
                <a:pt x="104" y="0"/>
              </a:ln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19</xdr:row>
      <xdr:rowOff>47625</xdr:rowOff>
    </xdr:from>
    <xdr:to>
      <xdr:col>11</xdr:col>
      <xdr:colOff>180975</xdr:colOff>
      <xdr:row>19</xdr:row>
      <xdr:rowOff>66675</xdr:rowOff>
    </xdr:to>
    <xdr:sp macro="" textlink="">
      <xdr:nvSpPr>
        <xdr:cNvPr id="13295" name="Freeform 341">
          <a:extLst>
            <a:ext uri="{FF2B5EF4-FFF2-40B4-BE49-F238E27FC236}">
              <a16:creationId xmlns:a16="http://schemas.microsoft.com/office/drawing/2014/main" id="{00000000-0008-0000-0A00-0000EF330000}"/>
            </a:ext>
          </a:extLst>
        </xdr:cNvPr>
        <xdr:cNvSpPr>
          <a:spLocks noChangeAspect="1"/>
        </xdr:cNvSpPr>
      </xdr:nvSpPr>
      <xdr:spPr bwMode="auto">
        <a:xfrm>
          <a:off x="6181725" y="3590925"/>
          <a:ext cx="38100" cy="19050"/>
        </a:xfrm>
        <a:custGeom>
          <a:avLst/>
          <a:gdLst>
            <a:gd name="T0" fmla="*/ 0 w 104"/>
            <a:gd name="T1" fmla="*/ 0 h 51"/>
            <a:gd name="T2" fmla="*/ 0 w 104"/>
            <a:gd name="T3" fmla="*/ 0 h 51"/>
            <a:gd name="T4" fmla="*/ 0 w 104"/>
            <a:gd name="T5" fmla="*/ 0 h 51"/>
            <a:gd name="T6" fmla="*/ 0 w 104"/>
            <a:gd name="T7" fmla="*/ 0 h 51"/>
            <a:gd name="T8" fmla="*/ 0 w 104"/>
            <a:gd name="T9" fmla="*/ 0 h 51"/>
            <a:gd name="T10" fmla="*/ 0 w 104"/>
            <a:gd name="T11" fmla="*/ 0 h 51"/>
            <a:gd name="T12" fmla="*/ 0 w 104"/>
            <a:gd name="T13" fmla="*/ 0 h 51"/>
            <a:gd name="T14" fmla="*/ 0 w 104"/>
            <a:gd name="T15" fmla="*/ 0 h 51"/>
            <a:gd name="T16" fmla="*/ 0 w 104"/>
            <a:gd name="T17" fmla="*/ 0 h 51"/>
            <a:gd name="T18" fmla="*/ 0 w 104"/>
            <a:gd name="T19" fmla="*/ 0 h 51"/>
            <a:gd name="T20" fmla="*/ 0 w 104"/>
            <a:gd name="T21" fmla="*/ 0 h 51"/>
            <a:gd name="T22" fmla="*/ 0 w 104"/>
            <a:gd name="T23" fmla="*/ 0 h 51"/>
            <a:gd name="T24" fmla="*/ 0 w 104"/>
            <a:gd name="T25" fmla="*/ 0 h 51"/>
            <a:gd name="T26" fmla="*/ 0 w 104"/>
            <a:gd name="T27" fmla="*/ 0 h 51"/>
            <a:gd name="T28" fmla="*/ 0 w 104"/>
            <a:gd name="T29" fmla="*/ 0 h 51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1"/>
            <a:gd name="T47" fmla="*/ 104 w 104"/>
            <a:gd name="T48" fmla="*/ 51 h 51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1">
              <a:moveTo>
                <a:pt x="104" y="0"/>
              </a:moveTo>
              <a:lnTo>
                <a:pt x="102" y="11"/>
              </a:lnTo>
              <a:lnTo>
                <a:pt x="99" y="22"/>
              </a:lnTo>
              <a:lnTo>
                <a:pt x="93" y="32"/>
              </a:lnTo>
              <a:lnTo>
                <a:pt x="84" y="41"/>
              </a:lnTo>
              <a:lnTo>
                <a:pt x="74" y="47"/>
              </a:lnTo>
              <a:lnTo>
                <a:pt x="63" y="50"/>
              </a:lnTo>
              <a:lnTo>
                <a:pt x="52" y="51"/>
              </a:lnTo>
              <a:lnTo>
                <a:pt x="40" y="50"/>
              </a:lnTo>
              <a:lnTo>
                <a:pt x="30" y="47"/>
              </a:lnTo>
              <a:lnTo>
                <a:pt x="19" y="41"/>
              </a:lnTo>
              <a:lnTo>
                <a:pt x="11" y="32"/>
              </a:lnTo>
              <a:lnTo>
                <a:pt x="5" y="22"/>
              </a:lnTo>
              <a:lnTo>
                <a:pt x="2" y="11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333375</xdr:colOff>
      <xdr:row>37</xdr:row>
      <xdr:rowOff>133350</xdr:rowOff>
    </xdr:from>
    <xdr:to>
      <xdr:col>16</xdr:col>
      <xdr:colOff>342900</xdr:colOff>
      <xdr:row>38</xdr:row>
      <xdr:rowOff>9525</xdr:rowOff>
    </xdr:to>
    <xdr:sp macro="" textlink="">
      <xdr:nvSpPr>
        <xdr:cNvPr id="13296" name="Freeform 342">
          <a:extLst>
            <a:ext uri="{FF2B5EF4-FFF2-40B4-BE49-F238E27FC236}">
              <a16:creationId xmlns:a16="http://schemas.microsoft.com/office/drawing/2014/main" id="{00000000-0008-0000-0A00-0000F0330000}"/>
            </a:ext>
          </a:extLst>
        </xdr:cNvPr>
        <xdr:cNvSpPr>
          <a:spLocks noChangeAspect="1"/>
        </xdr:cNvSpPr>
      </xdr:nvSpPr>
      <xdr:spPr bwMode="auto">
        <a:xfrm>
          <a:off x="9039225" y="6591300"/>
          <a:ext cx="952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w 52"/>
            <a:gd name="T31" fmla="*/ 0 h 104"/>
            <a:gd name="T32" fmla="*/ 0 w 52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2"/>
            <a:gd name="T52" fmla="*/ 0 h 104"/>
            <a:gd name="T53" fmla="*/ 52 w 52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2" h="104">
              <a:moveTo>
                <a:pt x="0" y="52"/>
              </a:moveTo>
              <a:lnTo>
                <a:pt x="0" y="0"/>
              </a:lnTo>
              <a:lnTo>
                <a:pt x="11" y="2"/>
              </a:lnTo>
              <a:lnTo>
                <a:pt x="22" y="5"/>
              </a:lnTo>
              <a:lnTo>
                <a:pt x="32" y="12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3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  <a:lnTo>
                <a:pt x="0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333375</xdr:colOff>
      <xdr:row>37</xdr:row>
      <xdr:rowOff>133350</xdr:rowOff>
    </xdr:from>
    <xdr:to>
      <xdr:col>16</xdr:col>
      <xdr:colOff>342900</xdr:colOff>
      <xdr:row>38</xdr:row>
      <xdr:rowOff>9525</xdr:rowOff>
    </xdr:to>
    <xdr:sp macro="" textlink="">
      <xdr:nvSpPr>
        <xdr:cNvPr id="13297" name="Freeform 343">
          <a:extLst>
            <a:ext uri="{FF2B5EF4-FFF2-40B4-BE49-F238E27FC236}">
              <a16:creationId xmlns:a16="http://schemas.microsoft.com/office/drawing/2014/main" id="{00000000-0008-0000-0A00-0000F1330000}"/>
            </a:ext>
          </a:extLst>
        </xdr:cNvPr>
        <xdr:cNvSpPr>
          <a:spLocks noChangeAspect="1"/>
        </xdr:cNvSpPr>
      </xdr:nvSpPr>
      <xdr:spPr bwMode="auto">
        <a:xfrm>
          <a:off x="9039225" y="6591300"/>
          <a:ext cx="9525" cy="38100"/>
        </a:xfrm>
        <a:custGeom>
          <a:avLst/>
          <a:gdLst>
            <a:gd name="T0" fmla="*/ 0 w 52"/>
            <a:gd name="T1" fmla="*/ 0 h 104"/>
            <a:gd name="T2" fmla="*/ 0 w 52"/>
            <a:gd name="T3" fmla="*/ 0 h 104"/>
            <a:gd name="T4" fmla="*/ 0 w 52"/>
            <a:gd name="T5" fmla="*/ 0 h 104"/>
            <a:gd name="T6" fmla="*/ 0 w 52"/>
            <a:gd name="T7" fmla="*/ 0 h 104"/>
            <a:gd name="T8" fmla="*/ 0 w 52"/>
            <a:gd name="T9" fmla="*/ 0 h 104"/>
            <a:gd name="T10" fmla="*/ 0 w 52"/>
            <a:gd name="T11" fmla="*/ 0 h 104"/>
            <a:gd name="T12" fmla="*/ 0 w 52"/>
            <a:gd name="T13" fmla="*/ 0 h 104"/>
            <a:gd name="T14" fmla="*/ 0 w 52"/>
            <a:gd name="T15" fmla="*/ 0 h 104"/>
            <a:gd name="T16" fmla="*/ 0 w 52"/>
            <a:gd name="T17" fmla="*/ 0 h 104"/>
            <a:gd name="T18" fmla="*/ 0 w 52"/>
            <a:gd name="T19" fmla="*/ 0 h 104"/>
            <a:gd name="T20" fmla="*/ 0 w 52"/>
            <a:gd name="T21" fmla="*/ 0 h 104"/>
            <a:gd name="T22" fmla="*/ 0 w 52"/>
            <a:gd name="T23" fmla="*/ 0 h 104"/>
            <a:gd name="T24" fmla="*/ 0 w 52"/>
            <a:gd name="T25" fmla="*/ 0 h 104"/>
            <a:gd name="T26" fmla="*/ 0 w 52"/>
            <a:gd name="T27" fmla="*/ 0 h 104"/>
            <a:gd name="T28" fmla="*/ 0 w 52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2"/>
            <a:gd name="T46" fmla="*/ 0 h 104"/>
            <a:gd name="T47" fmla="*/ 52 w 52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2" h="104">
              <a:moveTo>
                <a:pt x="0" y="0"/>
              </a:moveTo>
              <a:lnTo>
                <a:pt x="11" y="2"/>
              </a:lnTo>
              <a:lnTo>
                <a:pt x="22" y="5"/>
              </a:lnTo>
              <a:lnTo>
                <a:pt x="32" y="12"/>
              </a:lnTo>
              <a:lnTo>
                <a:pt x="41" y="20"/>
              </a:lnTo>
              <a:lnTo>
                <a:pt x="47" y="30"/>
              </a:lnTo>
              <a:lnTo>
                <a:pt x="50" y="41"/>
              </a:lnTo>
              <a:lnTo>
                <a:pt x="52" y="52"/>
              </a:lnTo>
              <a:lnTo>
                <a:pt x="50" y="64"/>
              </a:lnTo>
              <a:lnTo>
                <a:pt x="47" y="75"/>
              </a:lnTo>
              <a:lnTo>
                <a:pt x="41" y="85"/>
              </a:lnTo>
              <a:lnTo>
                <a:pt x="32" y="93"/>
              </a:lnTo>
              <a:lnTo>
                <a:pt x="22" y="100"/>
              </a:lnTo>
              <a:lnTo>
                <a:pt x="11" y="103"/>
              </a:lnTo>
              <a:lnTo>
                <a:pt x="0" y="104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37</xdr:row>
      <xdr:rowOff>133350</xdr:rowOff>
    </xdr:from>
    <xdr:to>
      <xdr:col>16</xdr:col>
      <xdr:colOff>314325</xdr:colOff>
      <xdr:row>38</xdr:row>
      <xdr:rowOff>9525</xdr:rowOff>
    </xdr:to>
    <xdr:sp macro="" textlink="">
      <xdr:nvSpPr>
        <xdr:cNvPr id="13298" name="Freeform 344">
          <a:extLst>
            <a:ext uri="{FF2B5EF4-FFF2-40B4-BE49-F238E27FC236}">
              <a16:creationId xmlns:a16="http://schemas.microsoft.com/office/drawing/2014/main" id="{00000000-0008-0000-0A00-0000F2330000}"/>
            </a:ext>
          </a:extLst>
        </xdr:cNvPr>
        <xdr:cNvSpPr>
          <a:spLocks noChangeAspect="1"/>
        </xdr:cNvSpPr>
      </xdr:nvSpPr>
      <xdr:spPr bwMode="auto">
        <a:xfrm>
          <a:off x="8715375" y="6591300"/>
          <a:ext cx="304800" cy="38100"/>
        </a:xfrm>
        <a:custGeom>
          <a:avLst/>
          <a:gdLst>
            <a:gd name="T0" fmla="*/ 2147483647 w 797"/>
            <a:gd name="T1" fmla="*/ 0 h 104"/>
            <a:gd name="T2" fmla="*/ 2147483647 w 797"/>
            <a:gd name="T3" fmla="*/ 0 h 104"/>
            <a:gd name="T4" fmla="*/ 2147483647 w 797"/>
            <a:gd name="T5" fmla="*/ 0 h 104"/>
            <a:gd name="T6" fmla="*/ 0 w 797"/>
            <a:gd name="T7" fmla="*/ 0 h 104"/>
            <a:gd name="T8" fmla="*/ 0 w 797"/>
            <a:gd name="T9" fmla="*/ 0 h 104"/>
            <a:gd name="T10" fmla="*/ 0 w 797"/>
            <a:gd name="T11" fmla="*/ 0 h 104"/>
            <a:gd name="T12" fmla="*/ 2147483647 w 79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97"/>
            <a:gd name="T22" fmla="*/ 0 h 104"/>
            <a:gd name="T23" fmla="*/ 797 w 79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97" h="104">
              <a:moveTo>
                <a:pt x="797" y="104"/>
              </a:moveTo>
              <a:lnTo>
                <a:pt x="797" y="52"/>
              </a:lnTo>
              <a:lnTo>
                <a:pt x="797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797" y="104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37</xdr:row>
      <xdr:rowOff>133350</xdr:rowOff>
    </xdr:from>
    <xdr:to>
      <xdr:col>16</xdr:col>
      <xdr:colOff>314325</xdr:colOff>
      <xdr:row>38</xdr:row>
      <xdr:rowOff>9525</xdr:rowOff>
    </xdr:to>
    <xdr:sp macro="" textlink="">
      <xdr:nvSpPr>
        <xdr:cNvPr id="13299" name="Freeform 345">
          <a:extLst>
            <a:ext uri="{FF2B5EF4-FFF2-40B4-BE49-F238E27FC236}">
              <a16:creationId xmlns:a16="http://schemas.microsoft.com/office/drawing/2014/main" id="{00000000-0008-0000-0A00-0000F3330000}"/>
            </a:ext>
          </a:extLst>
        </xdr:cNvPr>
        <xdr:cNvSpPr>
          <a:spLocks noChangeAspect="1"/>
        </xdr:cNvSpPr>
      </xdr:nvSpPr>
      <xdr:spPr bwMode="auto">
        <a:xfrm>
          <a:off x="8715375" y="6591300"/>
          <a:ext cx="304800" cy="38100"/>
        </a:xfrm>
        <a:custGeom>
          <a:avLst/>
          <a:gdLst>
            <a:gd name="T0" fmla="*/ 2147483647 w 797"/>
            <a:gd name="T1" fmla="*/ 0 h 104"/>
            <a:gd name="T2" fmla="*/ 2147483647 w 797"/>
            <a:gd name="T3" fmla="*/ 0 h 104"/>
            <a:gd name="T4" fmla="*/ 2147483647 w 797"/>
            <a:gd name="T5" fmla="*/ 0 h 104"/>
            <a:gd name="T6" fmla="*/ 0 w 797"/>
            <a:gd name="T7" fmla="*/ 0 h 104"/>
            <a:gd name="T8" fmla="*/ 0 w 797"/>
            <a:gd name="T9" fmla="*/ 0 h 104"/>
            <a:gd name="T10" fmla="*/ 0 w 797"/>
            <a:gd name="T11" fmla="*/ 0 h 104"/>
            <a:gd name="T12" fmla="*/ 2147483647 w 797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97"/>
            <a:gd name="T22" fmla="*/ 0 h 104"/>
            <a:gd name="T23" fmla="*/ 797 w 797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97" h="104">
              <a:moveTo>
                <a:pt x="797" y="104"/>
              </a:moveTo>
              <a:lnTo>
                <a:pt x="797" y="52"/>
              </a:lnTo>
              <a:lnTo>
                <a:pt x="797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797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37</xdr:row>
      <xdr:rowOff>133350</xdr:rowOff>
    </xdr:from>
    <xdr:to>
      <xdr:col>16</xdr:col>
      <xdr:colOff>9525</xdr:colOff>
      <xdr:row>38</xdr:row>
      <xdr:rowOff>9525</xdr:rowOff>
    </xdr:to>
    <xdr:sp macro="" textlink="">
      <xdr:nvSpPr>
        <xdr:cNvPr id="13300" name="Freeform 346">
          <a:extLst>
            <a:ext uri="{FF2B5EF4-FFF2-40B4-BE49-F238E27FC236}">
              <a16:creationId xmlns:a16="http://schemas.microsoft.com/office/drawing/2014/main" id="{00000000-0008-0000-0A00-0000F4330000}"/>
            </a:ext>
          </a:extLst>
        </xdr:cNvPr>
        <xdr:cNvSpPr>
          <a:spLocks noChangeAspect="1"/>
        </xdr:cNvSpPr>
      </xdr:nvSpPr>
      <xdr:spPr bwMode="auto">
        <a:xfrm>
          <a:off x="8715375" y="6591300"/>
          <a:ext cx="0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w 51"/>
            <a:gd name="T31" fmla="*/ 0 h 104"/>
            <a:gd name="T32" fmla="*/ 0 w 5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51"/>
            <a:gd name="T52" fmla="*/ 0 h 104"/>
            <a:gd name="T53" fmla="*/ 0 w 5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51" h="104">
              <a:moveTo>
                <a:pt x="51" y="52"/>
              </a:moveTo>
              <a:lnTo>
                <a:pt x="51" y="104"/>
              </a:lnTo>
              <a:lnTo>
                <a:pt x="39" y="103"/>
              </a:lnTo>
              <a:lnTo>
                <a:pt x="29" y="100"/>
              </a:lnTo>
              <a:lnTo>
                <a:pt x="18" y="93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8" y="12"/>
              </a:lnTo>
              <a:lnTo>
                <a:pt x="29" y="5"/>
              </a:lnTo>
              <a:lnTo>
                <a:pt x="39" y="2"/>
              </a:lnTo>
              <a:lnTo>
                <a:pt x="51" y="0"/>
              </a:lnTo>
              <a:lnTo>
                <a:pt x="51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37</xdr:row>
      <xdr:rowOff>133350</xdr:rowOff>
    </xdr:from>
    <xdr:to>
      <xdr:col>16</xdr:col>
      <xdr:colOff>9525</xdr:colOff>
      <xdr:row>38</xdr:row>
      <xdr:rowOff>9525</xdr:rowOff>
    </xdr:to>
    <xdr:sp macro="" textlink="">
      <xdr:nvSpPr>
        <xdr:cNvPr id="13301" name="Freeform 347">
          <a:extLst>
            <a:ext uri="{FF2B5EF4-FFF2-40B4-BE49-F238E27FC236}">
              <a16:creationId xmlns:a16="http://schemas.microsoft.com/office/drawing/2014/main" id="{00000000-0008-0000-0A00-0000F5330000}"/>
            </a:ext>
          </a:extLst>
        </xdr:cNvPr>
        <xdr:cNvSpPr>
          <a:spLocks noChangeAspect="1"/>
        </xdr:cNvSpPr>
      </xdr:nvSpPr>
      <xdr:spPr bwMode="auto">
        <a:xfrm>
          <a:off x="8715375" y="6591300"/>
          <a:ext cx="0" cy="38100"/>
        </a:xfrm>
        <a:custGeom>
          <a:avLst/>
          <a:gdLst>
            <a:gd name="T0" fmla="*/ 0 w 51"/>
            <a:gd name="T1" fmla="*/ 0 h 104"/>
            <a:gd name="T2" fmla="*/ 0 w 51"/>
            <a:gd name="T3" fmla="*/ 0 h 104"/>
            <a:gd name="T4" fmla="*/ 0 w 51"/>
            <a:gd name="T5" fmla="*/ 0 h 104"/>
            <a:gd name="T6" fmla="*/ 0 w 51"/>
            <a:gd name="T7" fmla="*/ 0 h 104"/>
            <a:gd name="T8" fmla="*/ 0 w 51"/>
            <a:gd name="T9" fmla="*/ 0 h 104"/>
            <a:gd name="T10" fmla="*/ 0 w 51"/>
            <a:gd name="T11" fmla="*/ 0 h 104"/>
            <a:gd name="T12" fmla="*/ 0 w 51"/>
            <a:gd name="T13" fmla="*/ 0 h 104"/>
            <a:gd name="T14" fmla="*/ 0 w 51"/>
            <a:gd name="T15" fmla="*/ 0 h 104"/>
            <a:gd name="T16" fmla="*/ 0 w 51"/>
            <a:gd name="T17" fmla="*/ 0 h 104"/>
            <a:gd name="T18" fmla="*/ 0 w 51"/>
            <a:gd name="T19" fmla="*/ 0 h 104"/>
            <a:gd name="T20" fmla="*/ 0 w 51"/>
            <a:gd name="T21" fmla="*/ 0 h 104"/>
            <a:gd name="T22" fmla="*/ 0 w 51"/>
            <a:gd name="T23" fmla="*/ 0 h 104"/>
            <a:gd name="T24" fmla="*/ 0 w 51"/>
            <a:gd name="T25" fmla="*/ 0 h 104"/>
            <a:gd name="T26" fmla="*/ 0 w 51"/>
            <a:gd name="T27" fmla="*/ 0 h 104"/>
            <a:gd name="T28" fmla="*/ 0 w 51"/>
            <a:gd name="T29" fmla="*/ 0 h 10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1"/>
            <a:gd name="T46" fmla="*/ 0 h 104"/>
            <a:gd name="T47" fmla="*/ 0 w 51"/>
            <a:gd name="T48" fmla="*/ 104 h 10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1" h="104">
              <a:moveTo>
                <a:pt x="51" y="104"/>
              </a:moveTo>
              <a:lnTo>
                <a:pt x="39" y="103"/>
              </a:lnTo>
              <a:lnTo>
                <a:pt x="29" y="100"/>
              </a:lnTo>
              <a:lnTo>
                <a:pt x="18" y="93"/>
              </a:lnTo>
              <a:lnTo>
                <a:pt x="10" y="85"/>
              </a:lnTo>
              <a:lnTo>
                <a:pt x="4" y="75"/>
              </a:lnTo>
              <a:lnTo>
                <a:pt x="1" y="64"/>
              </a:lnTo>
              <a:lnTo>
                <a:pt x="0" y="52"/>
              </a:lnTo>
              <a:lnTo>
                <a:pt x="1" y="41"/>
              </a:lnTo>
              <a:lnTo>
                <a:pt x="4" y="30"/>
              </a:lnTo>
              <a:lnTo>
                <a:pt x="10" y="20"/>
              </a:lnTo>
              <a:lnTo>
                <a:pt x="18" y="12"/>
              </a:lnTo>
              <a:lnTo>
                <a:pt x="29" y="5"/>
              </a:lnTo>
              <a:lnTo>
                <a:pt x="39" y="2"/>
              </a:lnTo>
              <a:lnTo>
                <a:pt x="51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37</xdr:row>
      <xdr:rowOff>133350</xdr:rowOff>
    </xdr:from>
    <xdr:to>
      <xdr:col>11</xdr:col>
      <xdr:colOff>180975</xdr:colOff>
      <xdr:row>37</xdr:row>
      <xdr:rowOff>152400</xdr:rowOff>
    </xdr:to>
    <xdr:sp macro="" textlink="">
      <xdr:nvSpPr>
        <xdr:cNvPr id="13302" name="Freeform 348">
          <a:extLst>
            <a:ext uri="{FF2B5EF4-FFF2-40B4-BE49-F238E27FC236}">
              <a16:creationId xmlns:a16="http://schemas.microsoft.com/office/drawing/2014/main" id="{00000000-0008-0000-0A00-0000F6330000}"/>
            </a:ext>
          </a:extLst>
        </xdr:cNvPr>
        <xdr:cNvSpPr>
          <a:spLocks noChangeAspect="1"/>
        </xdr:cNvSpPr>
      </xdr:nvSpPr>
      <xdr:spPr bwMode="auto">
        <a:xfrm>
          <a:off x="6181725" y="6591300"/>
          <a:ext cx="38100" cy="19050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52"/>
              </a:moveTo>
              <a:lnTo>
                <a:pt x="0" y="52"/>
              </a:ln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  <a:lnTo>
                <a:pt x="52" y="5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37</xdr:row>
      <xdr:rowOff>133350</xdr:rowOff>
    </xdr:from>
    <xdr:to>
      <xdr:col>11</xdr:col>
      <xdr:colOff>180975</xdr:colOff>
      <xdr:row>37</xdr:row>
      <xdr:rowOff>152400</xdr:rowOff>
    </xdr:to>
    <xdr:sp macro="" textlink="">
      <xdr:nvSpPr>
        <xdr:cNvPr id="13303" name="Freeform 349">
          <a:extLst>
            <a:ext uri="{FF2B5EF4-FFF2-40B4-BE49-F238E27FC236}">
              <a16:creationId xmlns:a16="http://schemas.microsoft.com/office/drawing/2014/main" id="{00000000-0008-0000-0A00-0000F7330000}"/>
            </a:ext>
          </a:extLst>
        </xdr:cNvPr>
        <xdr:cNvSpPr>
          <a:spLocks noChangeAspect="1"/>
        </xdr:cNvSpPr>
      </xdr:nvSpPr>
      <xdr:spPr bwMode="auto">
        <a:xfrm>
          <a:off x="6181725" y="6591300"/>
          <a:ext cx="38100" cy="19050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0" y="52"/>
              </a:moveTo>
              <a:lnTo>
                <a:pt x="2" y="41"/>
              </a:lnTo>
              <a:lnTo>
                <a:pt x="5" y="30"/>
              </a:lnTo>
              <a:lnTo>
                <a:pt x="11" y="20"/>
              </a:lnTo>
              <a:lnTo>
                <a:pt x="19" y="12"/>
              </a:lnTo>
              <a:lnTo>
                <a:pt x="30" y="5"/>
              </a:lnTo>
              <a:lnTo>
                <a:pt x="40" y="2"/>
              </a:lnTo>
              <a:lnTo>
                <a:pt x="52" y="0"/>
              </a:lnTo>
              <a:lnTo>
                <a:pt x="63" y="2"/>
              </a:lnTo>
              <a:lnTo>
                <a:pt x="74" y="5"/>
              </a:lnTo>
              <a:lnTo>
                <a:pt x="84" y="12"/>
              </a:lnTo>
              <a:lnTo>
                <a:pt x="93" y="20"/>
              </a:lnTo>
              <a:lnTo>
                <a:pt x="99" y="30"/>
              </a:lnTo>
              <a:lnTo>
                <a:pt x="102" y="41"/>
              </a:lnTo>
              <a:lnTo>
                <a:pt x="104" y="52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38</xdr:row>
      <xdr:rowOff>9525</xdr:rowOff>
    </xdr:from>
    <xdr:to>
      <xdr:col>11</xdr:col>
      <xdr:colOff>180975</xdr:colOff>
      <xdr:row>40</xdr:row>
      <xdr:rowOff>9525</xdr:rowOff>
    </xdr:to>
    <xdr:sp macro="" textlink="">
      <xdr:nvSpPr>
        <xdr:cNvPr id="13304" name="Freeform 350">
          <a:extLst>
            <a:ext uri="{FF2B5EF4-FFF2-40B4-BE49-F238E27FC236}">
              <a16:creationId xmlns:a16="http://schemas.microsoft.com/office/drawing/2014/main" id="{00000000-0008-0000-0A00-0000F8330000}"/>
            </a:ext>
          </a:extLst>
        </xdr:cNvPr>
        <xdr:cNvSpPr>
          <a:spLocks noChangeAspect="1"/>
        </xdr:cNvSpPr>
      </xdr:nvSpPr>
      <xdr:spPr bwMode="auto">
        <a:xfrm>
          <a:off x="6181725" y="6629400"/>
          <a:ext cx="38100" cy="323850"/>
        </a:xfrm>
        <a:custGeom>
          <a:avLst/>
          <a:gdLst>
            <a:gd name="T0" fmla="*/ 0 w 104"/>
            <a:gd name="T1" fmla="*/ 0 h 793"/>
            <a:gd name="T2" fmla="*/ 0 w 104"/>
            <a:gd name="T3" fmla="*/ 0 h 793"/>
            <a:gd name="T4" fmla="*/ 0 w 104"/>
            <a:gd name="T5" fmla="*/ 0 h 793"/>
            <a:gd name="T6" fmla="*/ 0 w 104"/>
            <a:gd name="T7" fmla="*/ 2147483647 h 793"/>
            <a:gd name="T8" fmla="*/ 0 w 104"/>
            <a:gd name="T9" fmla="*/ 2147483647 h 793"/>
            <a:gd name="T10" fmla="*/ 0 w 104"/>
            <a:gd name="T11" fmla="*/ 2147483647 h 793"/>
            <a:gd name="T12" fmla="*/ 0 w 104"/>
            <a:gd name="T13" fmla="*/ 0 h 79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93"/>
            <a:gd name="T23" fmla="*/ 104 w 104"/>
            <a:gd name="T24" fmla="*/ 793 h 79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93">
              <a:moveTo>
                <a:pt x="104" y="0"/>
              </a:moveTo>
              <a:lnTo>
                <a:pt x="52" y="0"/>
              </a:lnTo>
              <a:lnTo>
                <a:pt x="0" y="0"/>
              </a:lnTo>
              <a:lnTo>
                <a:pt x="0" y="793"/>
              </a:lnTo>
              <a:lnTo>
                <a:pt x="52" y="793"/>
              </a:lnTo>
              <a:lnTo>
                <a:pt x="104" y="793"/>
              </a:lnTo>
              <a:lnTo>
                <a:pt x="104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38</xdr:row>
      <xdr:rowOff>9525</xdr:rowOff>
    </xdr:from>
    <xdr:to>
      <xdr:col>11</xdr:col>
      <xdr:colOff>180975</xdr:colOff>
      <xdr:row>40</xdr:row>
      <xdr:rowOff>9525</xdr:rowOff>
    </xdr:to>
    <xdr:sp macro="" textlink="">
      <xdr:nvSpPr>
        <xdr:cNvPr id="13305" name="Freeform 351">
          <a:extLst>
            <a:ext uri="{FF2B5EF4-FFF2-40B4-BE49-F238E27FC236}">
              <a16:creationId xmlns:a16="http://schemas.microsoft.com/office/drawing/2014/main" id="{00000000-0008-0000-0A00-0000F9330000}"/>
            </a:ext>
          </a:extLst>
        </xdr:cNvPr>
        <xdr:cNvSpPr>
          <a:spLocks noChangeAspect="1"/>
        </xdr:cNvSpPr>
      </xdr:nvSpPr>
      <xdr:spPr bwMode="auto">
        <a:xfrm>
          <a:off x="6181725" y="6629400"/>
          <a:ext cx="38100" cy="323850"/>
        </a:xfrm>
        <a:custGeom>
          <a:avLst/>
          <a:gdLst>
            <a:gd name="T0" fmla="*/ 0 w 104"/>
            <a:gd name="T1" fmla="*/ 0 h 793"/>
            <a:gd name="T2" fmla="*/ 0 w 104"/>
            <a:gd name="T3" fmla="*/ 0 h 793"/>
            <a:gd name="T4" fmla="*/ 0 w 104"/>
            <a:gd name="T5" fmla="*/ 0 h 793"/>
            <a:gd name="T6" fmla="*/ 0 w 104"/>
            <a:gd name="T7" fmla="*/ 2147483647 h 793"/>
            <a:gd name="T8" fmla="*/ 0 w 104"/>
            <a:gd name="T9" fmla="*/ 2147483647 h 793"/>
            <a:gd name="T10" fmla="*/ 0 w 104"/>
            <a:gd name="T11" fmla="*/ 2147483647 h 793"/>
            <a:gd name="T12" fmla="*/ 0 w 104"/>
            <a:gd name="T13" fmla="*/ 0 h 793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04"/>
            <a:gd name="T22" fmla="*/ 0 h 793"/>
            <a:gd name="T23" fmla="*/ 104 w 104"/>
            <a:gd name="T24" fmla="*/ 793 h 793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04" h="793">
              <a:moveTo>
                <a:pt x="104" y="0"/>
              </a:moveTo>
              <a:lnTo>
                <a:pt x="52" y="0"/>
              </a:lnTo>
              <a:lnTo>
                <a:pt x="0" y="0"/>
              </a:lnTo>
              <a:lnTo>
                <a:pt x="0" y="793"/>
              </a:lnTo>
              <a:lnTo>
                <a:pt x="52" y="793"/>
              </a:lnTo>
              <a:lnTo>
                <a:pt x="104" y="793"/>
              </a:lnTo>
              <a:lnTo>
                <a:pt x="104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39</xdr:row>
      <xdr:rowOff>142875</xdr:rowOff>
    </xdr:from>
    <xdr:to>
      <xdr:col>11</xdr:col>
      <xdr:colOff>180975</xdr:colOff>
      <xdr:row>40</xdr:row>
      <xdr:rowOff>9525</xdr:rowOff>
    </xdr:to>
    <xdr:sp macro="" textlink="">
      <xdr:nvSpPr>
        <xdr:cNvPr id="13306" name="Freeform 352">
          <a:extLst>
            <a:ext uri="{FF2B5EF4-FFF2-40B4-BE49-F238E27FC236}">
              <a16:creationId xmlns:a16="http://schemas.microsoft.com/office/drawing/2014/main" id="{00000000-0008-0000-0A00-0000FA330000}"/>
            </a:ext>
          </a:extLst>
        </xdr:cNvPr>
        <xdr:cNvSpPr>
          <a:spLocks noChangeAspect="1"/>
        </xdr:cNvSpPr>
      </xdr:nvSpPr>
      <xdr:spPr bwMode="auto">
        <a:xfrm>
          <a:off x="6181725" y="6924675"/>
          <a:ext cx="38100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w 104"/>
            <a:gd name="T31" fmla="*/ 0 h 52"/>
            <a:gd name="T32" fmla="*/ 0 w 104"/>
            <a:gd name="T33" fmla="*/ 0 h 5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04"/>
            <a:gd name="T52" fmla="*/ 0 h 52"/>
            <a:gd name="T53" fmla="*/ 104 w 104"/>
            <a:gd name="T54" fmla="*/ 52 h 5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04" h="52">
              <a:moveTo>
                <a:pt x="52" y="0"/>
              </a:moveTo>
              <a:lnTo>
                <a:pt x="104" y="0"/>
              </a:lnTo>
              <a:lnTo>
                <a:pt x="102" y="12"/>
              </a:lnTo>
              <a:lnTo>
                <a:pt x="99" y="22"/>
              </a:lnTo>
              <a:lnTo>
                <a:pt x="93" y="33"/>
              </a:lnTo>
              <a:lnTo>
                <a:pt x="84" y="41"/>
              </a:lnTo>
              <a:lnTo>
                <a:pt x="74" y="47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7"/>
              </a:lnTo>
              <a:lnTo>
                <a:pt x="19" y="41"/>
              </a:lnTo>
              <a:lnTo>
                <a:pt x="11" y="33"/>
              </a:lnTo>
              <a:lnTo>
                <a:pt x="5" y="22"/>
              </a:lnTo>
              <a:lnTo>
                <a:pt x="2" y="12"/>
              </a:lnTo>
              <a:lnTo>
                <a:pt x="0" y="0"/>
              </a:lnTo>
              <a:lnTo>
                <a:pt x="5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39</xdr:row>
      <xdr:rowOff>142875</xdr:rowOff>
    </xdr:from>
    <xdr:to>
      <xdr:col>11</xdr:col>
      <xdr:colOff>180975</xdr:colOff>
      <xdr:row>40</xdr:row>
      <xdr:rowOff>9525</xdr:rowOff>
    </xdr:to>
    <xdr:sp macro="" textlink="">
      <xdr:nvSpPr>
        <xdr:cNvPr id="13307" name="Freeform 353">
          <a:extLst>
            <a:ext uri="{FF2B5EF4-FFF2-40B4-BE49-F238E27FC236}">
              <a16:creationId xmlns:a16="http://schemas.microsoft.com/office/drawing/2014/main" id="{00000000-0008-0000-0A00-0000FB330000}"/>
            </a:ext>
          </a:extLst>
        </xdr:cNvPr>
        <xdr:cNvSpPr>
          <a:spLocks noChangeAspect="1"/>
        </xdr:cNvSpPr>
      </xdr:nvSpPr>
      <xdr:spPr bwMode="auto">
        <a:xfrm>
          <a:off x="6181725" y="6924675"/>
          <a:ext cx="38100" cy="28575"/>
        </a:xfrm>
        <a:custGeom>
          <a:avLst/>
          <a:gdLst>
            <a:gd name="T0" fmla="*/ 0 w 104"/>
            <a:gd name="T1" fmla="*/ 0 h 52"/>
            <a:gd name="T2" fmla="*/ 0 w 104"/>
            <a:gd name="T3" fmla="*/ 0 h 52"/>
            <a:gd name="T4" fmla="*/ 0 w 104"/>
            <a:gd name="T5" fmla="*/ 0 h 52"/>
            <a:gd name="T6" fmla="*/ 0 w 104"/>
            <a:gd name="T7" fmla="*/ 0 h 52"/>
            <a:gd name="T8" fmla="*/ 0 w 104"/>
            <a:gd name="T9" fmla="*/ 0 h 52"/>
            <a:gd name="T10" fmla="*/ 0 w 104"/>
            <a:gd name="T11" fmla="*/ 0 h 52"/>
            <a:gd name="T12" fmla="*/ 0 w 104"/>
            <a:gd name="T13" fmla="*/ 0 h 52"/>
            <a:gd name="T14" fmla="*/ 0 w 104"/>
            <a:gd name="T15" fmla="*/ 0 h 52"/>
            <a:gd name="T16" fmla="*/ 0 w 104"/>
            <a:gd name="T17" fmla="*/ 0 h 52"/>
            <a:gd name="T18" fmla="*/ 0 w 104"/>
            <a:gd name="T19" fmla="*/ 0 h 52"/>
            <a:gd name="T20" fmla="*/ 0 w 104"/>
            <a:gd name="T21" fmla="*/ 0 h 52"/>
            <a:gd name="T22" fmla="*/ 0 w 104"/>
            <a:gd name="T23" fmla="*/ 0 h 52"/>
            <a:gd name="T24" fmla="*/ 0 w 104"/>
            <a:gd name="T25" fmla="*/ 0 h 52"/>
            <a:gd name="T26" fmla="*/ 0 w 104"/>
            <a:gd name="T27" fmla="*/ 0 h 52"/>
            <a:gd name="T28" fmla="*/ 0 w 104"/>
            <a:gd name="T29" fmla="*/ 0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04"/>
            <a:gd name="T46" fmla="*/ 0 h 52"/>
            <a:gd name="T47" fmla="*/ 104 w 104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04" h="52">
              <a:moveTo>
                <a:pt x="104" y="0"/>
              </a:moveTo>
              <a:lnTo>
                <a:pt x="102" y="12"/>
              </a:lnTo>
              <a:lnTo>
                <a:pt x="99" y="22"/>
              </a:lnTo>
              <a:lnTo>
                <a:pt x="93" y="33"/>
              </a:lnTo>
              <a:lnTo>
                <a:pt x="84" y="41"/>
              </a:lnTo>
              <a:lnTo>
                <a:pt x="74" y="47"/>
              </a:lnTo>
              <a:lnTo>
                <a:pt x="63" y="51"/>
              </a:lnTo>
              <a:lnTo>
                <a:pt x="52" y="52"/>
              </a:lnTo>
              <a:lnTo>
                <a:pt x="40" y="51"/>
              </a:lnTo>
              <a:lnTo>
                <a:pt x="30" y="47"/>
              </a:lnTo>
              <a:lnTo>
                <a:pt x="19" y="41"/>
              </a:lnTo>
              <a:lnTo>
                <a:pt x="11" y="33"/>
              </a:lnTo>
              <a:lnTo>
                <a:pt x="5" y="22"/>
              </a:lnTo>
              <a:lnTo>
                <a:pt x="2" y="12"/>
              </a:lnTo>
              <a:lnTo>
                <a:pt x="0" y="0"/>
              </a:lnTo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342900</xdr:colOff>
      <xdr:row>38</xdr:row>
      <xdr:rowOff>9525</xdr:rowOff>
    </xdr:from>
    <xdr:to>
      <xdr:col>2</xdr:col>
      <xdr:colOff>180975</xdr:colOff>
      <xdr:row>38</xdr:row>
      <xdr:rowOff>9525</xdr:rowOff>
    </xdr:to>
    <xdr:sp macro="" textlink="">
      <xdr:nvSpPr>
        <xdr:cNvPr id="13308" name="Line 354">
          <a:extLst>
            <a:ext uri="{FF2B5EF4-FFF2-40B4-BE49-F238E27FC236}">
              <a16:creationId xmlns:a16="http://schemas.microsoft.com/office/drawing/2014/main" id="{00000000-0008-0000-0A00-0000FC330000}"/>
            </a:ext>
          </a:extLst>
        </xdr:cNvPr>
        <xdr:cNvSpPr>
          <a:spLocks noChangeAspect="1" noChangeShapeType="1"/>
        </xdr:cNvSpPr>
      </xdr:nvSpPr>
      <xdr:spPr bwMode="auto">
        <a:xfrm flipH="1">
          <a:off x="876300" y="6629400"/>
          <a:ext cx="37147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342900</xdr:colOff>
      <xdr:row>19</xdr:row>
      <xdr:rowOff>47625</xdr:rowOff>
    </xdr:from>
    <xdr:to>
      <xdr:col>2</xdr:col>
      <xdr:colOff>180975</xdr:colOff>
      <xdr:row>19</xdr:row>
      <xdr:rowOff>47625</xdr:rowOff>
    </xdr:to>
    <xdr:sp macro="" textlink="">
      <xdr:nvSpPr>
        <xdr:cNvPr id="13309" name="Line 355">
          <a:extLst>
            <a:ext uri="{FF2B5EF4-FFF2-40B4-BE49-F238E27FC236}">
              <a16:creationId xmlns:a16="http://schemas.microsoft.com/office/drawing/2014/main" id="{00000000-0008-0000-0A00-0000FD330000}"/>
            </a:ext>
          </a:extLst>
        </xdr:cNvPr>
        <xdr:cNvSpPr>
          <a:spLocks noChangeAspect="1" noChangeShapeType="1"/>
        </xdr:cNvSpPr>
      </xdr:nvSpPr>
      <xdr:spPr bwMode="auto">
        <a:xfrm flipH="1">
          <a:off x="876300" y="3590925"/>
          <a:ext cx="37147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352425</xdr:colOff>
      <xdr:row>20</xdr:row>
      <xdr:rowOff>47625</xdr:rowOff>
    </xdr:from>
    <xdr:to>
      <xdr:col>1</xdr:col>
      <xdr:colOff>361950</xdr:colOff>
      <xdr:row>37</xdr:row>
      <xdr:rowOff>9525</xdr:rowOff>
    </xdr:to>
    <xdr:sp macro="" textlink="">
      <xdr:nvSpPr>
        <xdr:cNvPr id="13310" name="Line 356">
          <a:extLst>
            <a:ext uri="{FF2B5EF4-FFF2-40B4-BE49-F238E27FC236}">
              <a16:creationId xmlns:a16="http://schemas.microsoft.com/office/drawing/2014/main" id="{00000000-0008-0000-0A00-0000FE33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885825" y="3752850"/>
          <a:ext cx="9525" cy="27146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333375</xdr:colOff>
      <xdr:row>36</xdr:row>
      <xdr:rowOff>142875</xdr:rowOff>
    </xdr:from>
    <xdr:to>
      <xdr:col>1</xdr:col>
      <xdr:colOff>381000</xdr:colOff>
      <xdr:row>37</xdr:row>
      <xdr:rowOff>142875</xdr:rowOff>
    </xdr:to>
    <xdr:sp macro="" textlink="">
      <xdr:nvSpPr>
        <xdr:cNvPr id="13311" name="Freeform 357">
          <a:extLst>
            <a:ext uri="{FF2B5EF4-FFF2-40B4-BE49-F238E27FC236}">
              <a16:creationId xmlns:a16="http://schemas.microsoft.com/office/drawing/2014/main" id="{00000000-0008-0000-0A00-0000FF330000}"/>
            </a:ext>
          </a:extLst>
        </xdr:cNvPr>
        <xdr:cNvSpPr>
          <a:spLocks noChangeAspect="1"/>
        </xdr:cNvSpPr>
      </xdr:nvSpPr>
      <xdr:spPr bwMode="auto">
        <a:xfrm>
          <a:off x="866775" y="6438900"/>
          <a:ext cx="47625" cy="161925"/>
        </a:xfrm>
        <a:custGeom>
          <a:avLst/>
          <a:gdLst>
            <a:gd name="T0" fmla="*/ 0 w 127"/>
            <a:gd name="T1" fmla="*/ 0 h 382"/>
            <a:gd name="T2" fmla="*/ 0 w 127"/>
            <a:gd name="T3" fmla="*/ 0 h 382"/>
            <a:gd name="T4" fmla="*/ 0 w 127"/>
            <a:gd name="T5" fmla="*/ 2147483647 h 382"/>
            <a:gd name="T6" fmla="*/ 0 w 127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0"/>
              </a:moveTo>
              <a:lnTo>
                <a:pt x="127" y="0"/>
              </a:lnTo>
              <a:lnTo>
                <a:pt x="63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333375</xdr:colOff>
      <xdr:row>36</xdr:row>
      <xdr:rowOff>142875</xdr:rowOff>
    </xdr:from>
    <xdr:to>
      <xdr:col>1</xdr:col>
      <xdr:colOff>381000</xdr:colOff>
      <xdr:row>37</xdr:row>
      <xdr:rowOff>142875</xdr:rowOff>
    </xdr:to>
    <xdr:sp macro="" textlink="">
      <xdr:nvSpPr>
        <xdr:cNvPr id="15360" name="Freeform 358">
          <a:extLst>
            <a:ext uri="{FF2B5EF4-FFF2-40B4-BE49-F238E27FC236}">
              <a16:creationId xmlns:a16="http://schemas.microsoft.com/office/drawing/2014/main" id="{00000000-0008-0000-0A00-0000003C0000}"/>
            </a:ext>
          </a:extLst>
        </xdr:cNvPr>
        <xdr:cNvSpPr>
          <a:spLocks noChangeAspect="1"/>
        </xdr:cNvSpPr>
      </xdr:nvSpPr>
      <xdr:spPr bwMode="auto">
        <a:xfrm>
          <a:off x="866775" y="6438900"/>
          <a:ext cx="47625" cy="161925"/>
        </a:xfrm>
        <a:custGeom>
          <a:avLst/>
          <a:gdLst>
            <a:gd name="T0" fmla="*/ 0 w 127"/>
            <a:gd name="T1" fmla="*/ 0 h 382"/>
            <a:gd name="T2" fmla="*/ 0 w 127"/>
            <a:gd name="T3" fmla="*/ 0 h 382"/>
            <a:gd name="T4" fmla="*/ 0 w 127"/>
            <a:gd name="T5" fmla="*/ 2147483647 h 382"/>
            <a:gd name="T6" fmla="*/ 0 w 127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0"/>
              </a:moveTo>
              <a:lnTo>
                <a:pt x="127" y="0"/>
              </a:lnTo>
              <a:lnTo>
                <a:pt x="63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333375</xdr:colOff>
      <xdr:row>19</xdr:row>
      <xdr:rowOff>47625</xdr:rowOff>
    </xdr:from>
    <xdr:to>
      <xdr:col>1</xdr:col>
      <xdr:colOff>381000</xdr:colOff>
      <xdr:row>20</xdr:row>
      <xdr:rowOff>38100</xdr:rowOff>
    </xdr:to>
    <xdr:sp macro="" textlink="">
      <xdr:nvSpPr>
        <xdr:cNvPr id="15361" name="Freeform 359">
          <a:extLst>
            <a:ext uri="{FF2B5EF4-FFF2-40B4-BE49-F238E27FC236}">
              <a16:creationId xmlns:a16="http://schemas.microsoft.com/office/drawing/2014/main" id="{00000000-0008-0000-0A00-0000013C0000}"/>
            </a:ext>
          </a:extLst>
        </xdr:cNvPr>
        <xdr:cNvSpPr>
          <a:spLocks noChangeAspect="1"/>
        </xdr:cNvSpPr>
      </xdr:nvSpPr>
      <xdr:spPr bwMode="auto">
        <a:xfrm>
          <a:off x="866775" y="3590925"/>
          <a:ext cx="47625" cy="152400"/>
        </a:xfrm>
        <a:custGeom>
          <a:avLst/>
          <a:gdLst>
            <a:gd name="T0" fmla="*/ 0 w 127"/>
            <a:gd name="T1" fmla="*/ 2147483647 h 382"/>
            <a:gd name="T2" fmla="*/ 0 w 127"/>
            <a:gd name="T3" fmla="*/ 2147483647 h 382"/>
            <a:gd name="T4" fmla="*/ 0 w 127"/>
            <a:gd name="T5" fmla="*/ 0 h 382"/>
            <a:gd name="T6" fmla="*/ 0 w 127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382"/>
              </a:moveTo>
              <a:lnTo>
                <a:pt x="127" y="382"/>
              </a:lnTo>
              <a:lnTo>
                <a:pt x="63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333375</xdr:colOff>
      <xdr:row>19</xdr:row>
      <xdr:rowOff>47625</xdr:rowOff>
    </xdr:from>
    <xdr:to>
      <xdr:col>1</xdr:col>
      <xdr:colOff>381000</xdr:colOff>
      <xdr:row>20</xdr:row>
      <xdr:rowOff>38100</xdr:rowOff>
    </xdr:to>
    <xdr:sp macro="" textlink="">
      <xdr:nvSpPr>
        <xdr:cNvPr id="15362" name="Freeform 360">
          <a:extLst>
            <a:ext uri="{FF2B5EF4-FFF2-40B4-BE49-F238E27FC236}">
              <a16:creationId xmlns:a16="http://schemas.microsoft.com/office/drawing/2014/main" id="{00000000-0008-0000-0A00-0000023C0000}"/>
            </a:ext>
          </a:extLst>
        </xdr:cNvPr>
        <xdr:cNvSpPr>
          <a:spLocks noChangeAspect="1"/>
        </xdr:cNvSpPr>
      </xdr:nvSpPr>
      <xdr:spPr bwMode="auto">
        <a:xfrm>
          <a:off x="866775" y="3590925"/>
          <a:ext cx="47625" cy="152400"/>
        </a:xfrm>
        <a:custGeom>
          <a:avLst/>
          <a:gdLst>
            <a:gd name="T0" fmla="*/ 0 w 127"/>
            <a:gd name="T1" fmla="*/ 2147483647 h 382"/>
            <a:gd name="T2" fmla="*/ 0 w 127"/>
            <a:gd name="T3" fmla="*/ 2147483647 h 382"/>
            <a:gd name="T4" fmla="*/ 0 w 127"/>
            <a:gd name="T5" fmla="*/ 0 h 382"/>
            <a:gd name="T6" fmla="*/ 0 w 127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382"/>
              </a:moveTo>
              <a:lnTo>
                <a:pt x="127" y="382"/>
              </a:lnTo>
              <a:lnTo>
                <a:pt x="63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171450</xdr:colOff>
      <xdr:row>38</xdr:row>
      <xdr:rowOff>9525</xdr:rowOff>
    </xdr:from>
    <xdr:to>
      <xdr:col>2</xdr:col>
      <xdr:colOff>180975</xdr:colOff>
      <xdr:row>38</xdr:row>
      <xdr:rowOff>9525</xdr:rowOff>
    </xdr:to>
    <xdr:sp macro="" textlink="">
      <xdr:nvSpPr>
        <xdr:cNvPr id="15363" name="Line 361">
          <a:extLst>
            <a:ext uri="{FF2B5EF4-FFF2-40B4-BE49-F238E27FC236}">
              <a16:creationId xmlns:a16="http://schemas.microsoft.com/office/drawing/2014/main" id="{00000000-0008-0000-0A00-0000033C0000}"/>
            </a:ext>
          </a:extLst>
        </xdr:cNvPr>
        <xdr:cNvSpPr>
          <a:spLocks noChangeAspect="1" noChangeShapeType="1"/>
        </xdr:cNvSpPr>
      </xdr:nvSpPr>
      <xdr:spPr bwMode="auto">
        <a:xfrm>
          <a:off x="1238250" y="6629400"/>
          <a:ext cx="95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171450</xdr:colOff>
      <xdr:row>19</xdr:row>
      <xdr:rowOff>47625</xdr:rowOff>
    </xdr:from>
    <xdr:to>
      <xdr:col>2</xdr:col>
      <xdr:colOff>180975</xdr:colOff>
      <xdr:row>19</xdr:row>
      <xdr:rowOff>57150</xdr:rowOff>
    </xdr:to>
    <xdr:sp macro="" textlink="">
      <xdr:nvSpPr>
        <xdr:cNvPr id="15364" name="Line 362">
          <a:extLst>
            <a:ext uri="{FF2B5EF4-FFF2-40B4-BE49-F238E27FC236}">
              <a16:creationId xmlns:a16="http://schemas.microsoft.com/office/drawing/2014/main" id="{00000000-0008-0000-0A00-0000043C0000}"/>
            </a:ext>
          </a:extLst>
        </xdr:cNvPr>
        <xdr:cNvSpPr>
          <a:spLocks noChangeAspect="1" noChangeShapeType="1"/>
        </xdr:cNvSpPr>
      </xdr:nvSpPr>
      <xdr:spPr bwMode="auto">
        <a:xfrm>
          <a:off x="1238250" y="3590925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352425</xdr:colOff>
      <xdr:row>19</xdr:row>
      <xdr:rowOff>47625</xdr:rowOff>
    </xdr:from>
    <xdr:to>
      <xdr:col>1</xdr:col>
      <xdr:colOff>361950</xdr:colOff>
      <xdr:row>19</xdr:row>
      <xdr:rowOff>57150</xdr:rowOff>
    </xdr:to>
    <xdr:sp macro="" textlink="">
      <xdr:nvSpPr>
        <xdr:cNvPr id="15365" name="Line 363">
          <a:extLst>
            <a:ext uri="{FF2B5EF4-FFF2-40B4-BE49-F238E27FC236}">
              <a16:creationId xmlns:a16="http://schemas.microsoft.com/office/drawing/2014/main" id="{00000000-0008-0000-0A00-0000053C0000}"/>
            </a:ext>
          </a:extLst>
        </xdr:cNvPr>
        <xdr:cNvSpPr>
          <a:spLocks noChangeAspect="1" noChangeShapeType="1"/>
        </xdr:cNvSpPr>
      </xdr:nvSpPr>
      <xdr:spPr bwMode="auto">
        <a:xfrm>
          <a:off x="885825" y="3590925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14</xdr:row>
      <xdr:rowOff>114300</xdr:rowOff>
    </xdr:from>
    <xdr:to>
      <xdr:col>11</xdr:col>
      <xdr:colOff>180975</xdr:colOff>
      <xdr:row>17</xdr:row>
      <xdr:rowOff>47625</xdr:rowOff>
    </xdr:to>
    <xdr:sp macro="" textlink="">
      <xdr:nvSpPr>
        <xdr:cNvPr id="15366" name="Line 365">
          <a:extLst>
            <a:ext uri="{FF2B5EF4-FFF2-40B4-BE49-F238E27FC236}">
              <a16:creationId xmlns:a16="http://schemas.microsoft.com/office/drawing/2014/main" id="{00000000-0008-0000-0A00-0000063C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6219825" y="2847975"/>
          <a:ext cx="0" cy="41910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352425</xdr:colOff>
      <xdr:row>46</xdr:row>
      <xdr:rowOff>38100</xdr:rowOff>
    </xdr:from>
    <xdr:to>
      <xdr:col>4</xdr:col>
      <xdr:colOff>9525</xdr:colOff>
      <xdr:row>46</xdr:row>
      <xdr:rowOff>85725</xdr:rowOff>
    </xdr:to>
    <xdr:sp macro="" textlink="">
      <xdr:nvSpPr>
        <xdr:cNvPr id="15367" name="Freeform 367">
          <a:extLst>
            <a:ext uri="{FF2B5EF4-FFF2-40B4-BE49-F238E27FC236}">
              <a16:creationId xmlns:a16="http://schemas.microsoft.com/office/drawing/2014/main" id="{00000000-0008-0000-0A00-0000073C0000}"/>
            </a:ext>
          </a:extLst>
        </xdr:cNvPr>
        <xdr:cNvSpPr>
          <a:spLocks noChangeAspect="1"/>
        </xdr:cNvSpPr>
      </xdr:nvSpPr>
      <xdr:spPr bwMode="auto">
        <a:xfrm>
          <a:off x="1952625" y="7953375"/>
          <a:ext cx="190500" cy="47625"/>
        </a:xfrm>
        <a:custGeom>
          <a:avLst/>
          <a:gdLst>
            <a:gd name="T0" fmla="*/ 2147483647 w 382"/>
            <a:gd name="T1" fmla="*/ 0 h 127"/>
            <a:gd name="T2" fmla="*/ 2147483647 w 382"/>
            <a:gd name="T3" fmla="*/ 0 h 127"/>
            <a:gd name="T4" fmla="*/ 0 w 382"/>
            <a:gd name="T5" fmla="*/ 0 h 127"/>
            <a:gd name="T6" fmla="*/ 2147483647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382" y="0"/>
              </a:moveTo>
              <a:lnTo>
                <a:pt x="382" y="127"/>
              </a:lnTo>
              <a:lnTo>
                <a:pt x="0" y="63"/>
              </a:lnTo>
              <a:lnTo>
                <a:pt x="38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352425</xdr:colOff>
      <xdr:row>46</xdr:row>
      <xdr:rowOff>38100</xdr:rowOff>
    </xdr:from>
    <xdr:to>
      <xdr:col>4</xdr:col>
      <xdr:colOff>9525</xdr:colOff>
      <xdr:row>46</xdr:row>
      <xdr:rowOff>85725</xdr:rowOff>
    </xdr:to>
    <xdr:sp macro="" textlink="">
      <xdr:nvSpPr>
        <xdr:cNvPr id="15368" name="Freeform 368">
          <a:extLst>
            <a:ext uri="{FF2B5EF4-FFF2-40B4-BE49-F238E27FC236}">
              <a16:creationId xmlns:a16="http://schemas.microsoft.com/office/drawing/2014/main" id="{00000000-0008-0000-0A00-0000083C0000}"/>
            </a:ext>
          </a:extLst>
        </xdr:cNvPr>
        <xdr:cNvSpPr>
          <a:spLocks noChangeAspect="1"/>
        </xdr:cNvSpPr>
      </xdr:nvSpPr>
      <xdr:spPr bwMode="auto">
        <a:xfrm>
          <a:off x="1952625" y="7953375"/>
          <a:ext cx="190500" cy="47625"/>
        </a:xfrm>
        <a:custGeom>
          <a:avLst/>
          <a:gdLst>
            <a:gd name="T0" fmla="*/ 2147483647 w 382"/>
            <a:gd name="T1" fmla="*/ 0 h 127"/>
            <a:gd name="T2" fmla="*/ 2147483647 w 382"/>
            <a:gd name="T3" fmla="*/ 0 h 127"/>
            <a:gd name="T4" fmla="*/ 0 w 382"/>
            <a:gd name="T5" fmla="*/ 0 h 127"/>
            <a:gd name="T6" fmla="*/ 2147483647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382" y="0"/>
              </a:moveTo>
              <a:lnTo>
                <a:pt x="382" y="127"/>
              </a:lnTo>
              <a:lnTo>
                <a:pt x="0" y="63"/>
              </a:lnTo>
              <a:lnTo>
                <a:pt x="382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9525</xdr:colOff>
      <xdr:row>46</xdr:row>
      <xdr:rowOff>47625</xdr:rowOff>
    </xdr:from>
    <xdr:to>
      <xdr:col>11</xdr:col>
      <xdr:colOff>161925</xdr:colOff>
      <xdr:row>46</xdr:row>
      <xdr:rowOff>95250</xdr:rowOff>
    </xdr:to>
    <xdr:sp macro="" textlink="">
      <xdr:nvSpPr>
        <xdr:cNvPr id="15369" name="Freeform 370">
          <a:extLst>
            <a:ext uri="{FF2B5EF4-FFF2-40B4-BE49-F238E27FC236}">
              <a16:creationId xmlns:a16="http://schemas.microsoft.com/office/drawing/2014/main" id="{00000000-0008-0000-0A00-0000093C0000}"/>
            </a:ext>
          </a:extLst>
        </xdr:cNvPr>
        <xdr:cNvSpPr>
          <a:spLocks noChangeAspect="1"/>
        </xdr:cNvSpPr>
      </xdr:nvSpPr>
      <xdr:spPr bwMode="auto">
        <a:xfrm>
          <a:off x="6048375" y="7962900"/>
          <a:ext cx="152400" cy="47625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342900</xdr:colOff>
      <xdr:row>17</xdr:row>
      <xdr:rowOff>47625</xdr:rowOff>
    </xdr:from>
    <xdr:to>
      <xdr:col>3</xdr:col>
      <xdr:colOff>352425</xdr:colOff>
      <xdr:row>17</xdr:row>
      <xdr:rowOff>66675</xdr:rowOff>
    </xdr:to>
    <xdr:sp macro="" textlink="">
      <xdr:nvSpPr>
        <xdr:cNvPr id="15370" name="Line 371">
          <a:extLst>
            <a:ext uri="{FF2B5EF4-FFF2-40B4-BE49-F238E27FC236}">
              <a16:creationId xmlns:a16="http://schemas.microsoft.com/office/drawing/2014/main" id="{00000000-0008-0000-0A00-00000A3C0000}"/>
            </a:ext>
          </a:extLst>
        </xdr:cNvPr>
        <xdr:cNvSpPr>
          <a:spLocks noChangeAspect="1" noChangeShapeType="1"/>
        </xdr:cNvSpPr>
      </xdr:nvSpPr>
      <xdr:spPr bwMode="auto">
        <a:xfrm>
          <a:off x="1943100" y="3267075"/>
          <a:ext cx="9525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10</xdr:col>
      <xdr:colOff>333375</xdr:colOff>
      <xdr:row>46</xdr:row>
      <xdr:rowOff>66675</xdr:rowOff>
    </xdr:from>
    <xdr:to>
      <xdr:col>10</xdr:col>
      <xdr:colOff>342900</xdr:colOff>
      <xdr:row>46</xdr:row>
      <xdr:rowOff>85725</xdr:rowOff>
    </xdr:to>
    <xdr:sp macro="" textlink="">
      <xdr:nvSpPr>
        <xdr:cNvPr id="15371" name="Line 372">
          <a:extLst>
            <a:ext uri="{FF2B5EF4-FFF2-40B4-BE49-F238E27FC236}">
              <a16:creationId xmlns:a16="http://schemas.microsoft.com/office/drawing/2014/main" id="{00000000-0008-0000-0A00-00000B3C0000}"/>
            </a:ext>
          </a:extLst>
        </xdr:cNvPr>
        <xdr:cNvSpPr>
          <a:spLocks noChangeAspect="1" noChangeShapeType="1"/>
        </xdr:cNvSpPr>
      </xdr:nvSpPr>
      <xdr:spPr bwMode="auto">
        <a:xfrm>
          <a:off x="5838825" y="7981950"/>
          <a:ext cx="9525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419100</xdr:colOff>
      <xdr:row>39</xdr:row>
      <xdr:rowOff>142875</xdr:rowOff>
    </xdr:from>
    <xdr:to>
      <xdr:col>3</xdr:col>
      <xdr:colOff>361950</xdr:colOff>
      <xdr:row>39</xdr:row>
      <xdr:rowOff>142875</xdr:rowOff>
    </xdr:to>
    <xdr:sp macro="" textlink="">
      <xdr:nvSpPr>
        <xdr:cNvPr id="15372" name="Line 373">
          <a:extLst>
            <a:ext uri="{FF2B5EF4-FFF2-40B4-BE49-F238E27FC236}">
              <a16:creationId xmlns:a16="http://schemas.microsoft.com/office/drawing/2014/main" id="{00000000-0008-0000-0A00-00000C3C0000}"/>
            </a:ext>
          </a:extLst>
        </xdr:cNvPr>
        <xdr:cNvSpPr>
          <a:spLocks noChangeAspect="1" noChangeShapeType="1"/>
        </xdr:cNvSpPr>
      </xdr:nvSpPr>
      <xdr:spPr bwMode="auto">
        <a:xfrm flipH="1">
          <a:off x="419100" y="6924675"/>
          <a:ext cx="154305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409575</xdr:colOff>
      <xdr:row>17</xdr:row>
      <xdr:rowOff>47625</xdr:rowOff>
    </xdr:from>
    <xdr:to>
      <xdr:col>3</xdr:col>
      <xdr:colOff>361950</xdr:colOff>
      <xdr:row>17</xdr:row>
      <xdr:rowOff>47625</xdr:rowOff>
    </xdr:to>
    <xdr:sp macro="" textlink="">
      <xdr:nvSpPr>
        <xdr:cNvPr id="15373" name="Line 374">
          <a:extLst>
            <a:ext uri="{FF2B5EF4-FFF2-40B4-BE49-F238E27FC236}">
              <a16:creationId xmlns:a16="http://schemas.microsoft.com/office/drawing/2014/main" id="{00000000-0008-0000-0A00-00000D3C0000}"/>
            </a:ext>
          </a:extLst>
        </xdr:cNvPr>
        <xdr:cNvSpPr>
          <a:spLocks noChangeAspect="1" noChangeShapeType="1"/>
        </xdr:cNvSpPr>
      </xdr:nvSpPr>
      <xdr:spPr bwMode="auto">
        <a:xfrm flipH="1">
          <a:off x="409575" y="3267075"/>
          <a:ext cx="155257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0</xdr:colOff>
      <xdr:row>18</xdr:row>
      <xdr:rowOff>47625</xdr:rowOff>
    </xdr:from>
    <xdr:to>
      <xdr:col>1</xdr:col>
      <xdr:colOff>0</xdr:colOff>
      <xdr:row>39</xdr:row>
      <xdr:rowOff>9525</xdr:rowOff>
    </xdr:to>
    <xdr:sp macro="" textlink="">
      <xdr:nvSpPr>
        <xdr:cNvPr id="15374" name="Line 375">
          <a:extLst>
            <a:ext uri="{FF2B5EF4-FFF2-40B4-BE49-F238E27FC236}">
              <a16:creationId xmlns:a16="http://schemas.microsoft.com/office/drawing/2014/main" id="{00000000-0008-0000-0A00-00000E3C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533400" y="3429000"/>
          <a:ext cx="0" cy="33623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0</xdr:colOff>
      <xdr:row>39</xdr:row>
      <xdr:rowOff>9525</xdr:rowOff>
    </xdr:from>
    <xdr:to>
      <xdr:col>1</xdr:col>
      <xdr:colOff>0</xdr:colOff>
      <xdr:row>39</xdr:row>
      <xdr:rowOff>152400</xdr:rowOff>
    </xdr:to>
    <xdr:sp macro="" textlink="">
      <xdr:nvSpPr>
        <xdr:cNvPr id="15375" name="Freeform 376">
          <a:extLst>
            <a:ext uri="{FF2B5EF4-FFF2-40B4-BE49-F238E27FC236}">
              <a16:creationId xmlns:a16="http://schemas.microsoft.com/office/drawing/2014/main" id="{00000000-0008-0000-0A00-00000F3C0000}"/>
            </a:ext>
          </a:extLst>
        </xdr:cNvPr>
        <xdr:cNvSpPr>
          <a:spLocks noChangeAspect="1"/>
        </xdr:cNvSpPr>
      </xdr:nvSpPr>
      <xdr:spPr bwMode="auto">
        <a:xfrm>
          <a:off x="533400" y="6791325"/>
          <a:ext cx="0" cy="142875"/>
        </a:xfrm>
        <a:custGeom>
          <a:avLst/>
          <a:gdLst>
            <a:gd name="T0" fmla="*/ 0 w 128"/>
            <a:gd name="T1" fmla="*/ 0 h 382"/>
            <a:gd name="T2" fmla="*/ 0 w 128"/>
            <a:gd name="T3" fmla="*/ 0 h 382"/>
            <a:gd name="T4" fmla="*/ 0 w 128"/>
            <a:gd name="T5" fmla="*/ 2147483647 h 382"/>
            <a:gd name="T6" fmla="*/ 0 w 128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8"/>
            <a:gd name="T13" fmla="*/ 0 h 382"/>
            <a:gd name="T14" fmla="*/ 0 w 128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8" h="382">
              <a:moveTo>
                <a:pt x="0" y="0"/>
              </a:moveTo>
              <a:lnTo>
                <a:pt x="128" y="0"/>
              </a:lnTo>
              <a:lnTo>
                <a:pt x="64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0</xdr:colOff>
      <xdr:row>39</xdr:row>
      <xdr:rowOff>9525</xdr:rowOff>
    </xdr:from>
    <xdr:to>
      <xdr:col>1</xdr:col>
      <xdr:colOff>0</xdr:colOff>
      <xdr:row>39</xdr:row>
      <xdr:rowOff>152400</xdr:rowOff>
    </xdr:to>
    <xdr:sp macro="" textlink="">
      <xdr:nvSpPr>
        <xdr:cNvPr id="15376" name="Freeform 377">
          <a:extLst>
            <a:ext uri="{FF2B5EF4-FFF2-40B4-BE49-F238E27FC236}">
              <a16:creationId xmlns:a16="http://schemas.microsoft.com/office/drawing/2014/main" id="{00000000-0008-0000-0A00-0000103C0000}"/>
            </a:ext>
          </a:extLst>
        </xdr:cNvPr>
        <xdr:cNvSpPr>
          <a:spLocks noChangeAspect="1"/>
        </xdr:cNvSpPr>
      </xdr:nvSpPr>
      <xdr:spPr bwMode="auto">
        <a:xfrm>
          <a:off x="533400" y="6791325"/>
          <a:ext cx="0" cy="142875"/>
        </a:xfrm>
        <a:custGeom>
          <a:avLst/>
          <a:gdLst>
            <a:gd name="T0" fmla="*/ 0 w 128"/>
            <a:gd name="T1" fmla="*/ 0 h 382"/>
            <a:gd name="T2" fmla="*/ 0 w 128"/>
            <a:gd name="T3" fmla="*/ 0 h 382"/>
            <a:gd name="T4" fmla="*/ 0 w 128"/>
            <a:gd name="T5" fmla="*/ 2147483647 h 382"/>
            <a:gd name="T6" fmla="*/ 0 w 128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8"/>
            <a:gd name="T13" fmla="*/ 0 h 382"/>
            <a:gd name="T14" fmla="*/ 0 w 128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8" h="382">
              <a:moveTo>
                <a:pt x="0" y="0"/>
              </a:moveTo>
              <a:lnTo>
                <a:pt x="128" y="0"/>
              </a:lnTo>
              <a:lnTo>
                <a:pt x="64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0</xdr:colOff>
      <xdr:row>17</xdr:row>
      <xdr:rowOff>47625</xdr:rowOff>
    </xdr:from>
    <xdr:to>
      <xdr:col>1</xdr:col>
      <xdr:colOff>0</xdr:colOff>
      <xdr:row>18</xdr:row>
      <xdr:rowOff>47625</xdr:rowOff>
    </xdr:to>
    <xdr:sp macro="" textlink="">
      <xdr:nvSpPr>
        <xdr:cNvPr id="15377" name="Freeform 378">
          <a:extLst>
            <a:ext uri="{FF2B5EF4-FFF2-40B4-BE49-F238E27FC236}">
              <a16:creationId xmlns:a16="http://schemas.microsoft.com/office/drawing/2014/main" id="{00000000-0008-0000-0A00-0000113C0000}"/>
            </a:ext>
          </a:extLst>
        </xdr:cNvPr>
        <xdr:cNvSpPr>
          <a:spLocks noChangeAspect="1"/>
        </xdr:cNvSpPr>
      </xdr:nvSpPr>
      <xdr:spPr bwMode="auto">
        <a:xfrm>
          <a:off x="533400" y="3267075"/>
          <a:ext cx="0" cy="161925"/>
        </a:xfrm>
        <a:custGeom>
          <a:avLst/>
          <a:gdLst>
            <a:gd name="T0" fmla="*/ 0 w 128"/>
            <a:gd name="T1" fmla="*/ 2147483647 h 382"/>
            <a:gd name="T2" fmla="*/ 0 w 128"/>
            <a:gd name="T3" fmla="*/ 2147483647 h 382"/>
            <a:gd name="T4" fmla="*/ 0 w 128"/>
            <a:gd name="T5" fmla="*/ 0 h 382"/>
            <a:gd name="T6" fmla="*/ 0 w 128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8"/>
            <a:gd name="T13" fmla="*/ 0 h 382"/>
            <a:gd name="T14" fmla="*/ 0 w 128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8" h="382">
              <a:moveTo>
                <a:pt x="0" y="382"/>
              </a:moveTo>
              <a:lnTo>
                <a:pt x="128" y="382"/>
              </a:lnTo>
              <a:lnTo>
                <a:pt x="64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0</xdr:colOff>
      <xdr:row>17</xdr:row>
      <xdr:rowOff>47625</xdr:rowOff>
    </xdr:from>
    <xdr:to>
      <xdr:col>1</xdr:col>
      <xdr:colOff>0</xdr:colOff>
      <xdr:row>18</xdr:row>
      <xdr:rowOff>47625</xdr:rowOff>
    </xdr:to>
    <xdr:sp macro="" textlink="">
      <xdr:nvSpPr>
        <xdr:cNvPr id="15378" name="Freeform 379">
          <a:extLst>
            <a:ext uri="{FF2B5EF4-FFF2-40B4-BE49-F238E27FC236}">
              <a16:creationId xmlns:a16="http://schemas.microsoft.com/office/drawing/2014/main" id="{00000000-0008-0000-0A00-0000123C0000}"/>
            </a:ext>
          </a:extLst>
        </xdr:cNvPr>
        <xdr:cNvSpPr>
          <a:spLocks noChangeAspect="1"/>
        </xdr:cNvSpPr>
      </xdr:nvSpPr>
      <xdr:spPr bwMode="auto">
        <a:xfrm>
          <a:off x="533400" y="3267075"/>
          <a:ext cx="0" cy="161925"/>
        </a:xfrm>
        <a:custGeom>
          <a:avLst/>
          <a:gdLst>
            <a:gd name="T0" fmla="*/ 0 w 128"/>
            <a:gd name="T1" fmla="*/ 2147483647 h 382"/>
            <a:gd name="T2" fmla="*/ 0 w 128"/>
            <a:gd name="T3" fmla="*/ 2147483647 h 382"/>
            <a:gd name="T4" fmla="*/ 0 w 128"/>
            <a:gd name="T5" fmla="*/ 0 h 382"/>
            <a:gd name="T6" fmla="*/ 0 w 128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8"/>
            <a:gd name="T13" fmla="*/ 0 h 382"/>
            <a:gd name="T14" fmla="*/ 0 w 128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8" h="382">
              <a:moveTo>
                <a:pt x="0" y="382"/>
              </a:moveTo>
              <a:lnTo>
                <a:pt x="128" y="382"/>
              </a:lnTo>
              <a:lnTo>
                <a:pt x="64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352425</xdr:colOff>
      <xdr:row>39</xdr:row>
      <xdr:rowOff>142875</xdr:rowOff>
    </xdr:from>
    <xdr:to>
      <xdr:col>3</xdr:col>
      <xdr:colOff>361950</xdr:colOff>
      <xdr:row>39</xdr:row>
      <xdr:rowOff>152400</xdr:rowOff>
    </xdr:to>
    <xdr:sp macro="" textlink="">
      <xdr:nvSpPr>
        <xdr:cNvPr id="15379" name="Line 380">
          <a:extLst>
            <a:ext uri="{FF2B5EF4-FFF2-40B4-BE49-F238E27FC236}">
              <a16:creationId xmlns:a16="http://schemas.microsoft.com/office/drawing/2014/main" id="{00000000-0008-0000-0A00-0000133C0000}"/>
            </a:ext>
          </a:extLst>
        </xdr:cNvPr>
        <xdr:cNvSpPr>
          <a:spLocks noChangeAspect="1" noChangeShapeType="1"/>
        </xdr:cNvSpPr>
      </xdr:nvSpPr>
      <xdr:spPr bwMode="auto">
        <a:xfrm>
          <a:off x="1952625" y="6924675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342900</xdr:colOff>
      <xdr:row>17</xdr:row>
      <xdr:rowOff>47625</xdr:rowOff>
    </xdr:from>
    <xdr:to>
      <xdr:col>3</xdr:col>
      <xdr:colOff>352425</xdr:colOff>
      <xdr:row>17</xdr:row>
      <xdr:rowOff>66675</xdr:rowOff>
    </xdr:to>
    <xdr:sp macro="" textlink="">
      <xdr:nvSpPr>
        <xdr:cNvPr id="15380" name="Line 381">
          <a:extLst>
            <a:ext uri="{FF2B5EF4-FFF2-40B4-BE49-F238E27FC236}">
              <a16:creationId xmlns:a16="http://schemas.microsoft.com/office/drawing/2014/main" id="{00000000-0008-0000-0A00-0000143C0000}"/>
            </a:ext>
          </a:extLst>
        </xdr:cNvPr>
        <xdr:cNvSpPr>
          <a:spLocks noChangeAspect="1" noChangeShapeType="1"/>
        </xdr:cNvSpPr>
      </xdr:nvSpPr>
      <xdr:spPr bwMode="auto">
        <a:xfrm>
          <a:off x="1943100" y="3267075"/>
          <a:ext cx="9525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0</xdr:colOff>
      <xdr:row>17</xdr:row>
      <xdr:rowOff>47625</xdr:rowOff>
    </xdr:from>
    <xdr:to>
      <xdr:col>1</xdr:col>
      <xdr:colOff>0</xdr:colOff>
      <xdr:row>17</xdr:row>
      <xdr:rowOff>66675</xdr:rowOff>
    </xdr:to>
    <xdr:sp macro="" textlink="">
      <xdr:nvSpPr>
        <xdr:cNvPr id="15381" name="Line 382">
          <a:extLst>
            <a:ext uri="{FF2B5EF4-FFF2-40B4-BE49-F238E27FC236}">
              <a16:creationId xmlns:a16="http://schemas.microsoft.com/office/drawing/2014/main" id="{00000000-0008-0000-0A00-0000153C0000}"/>
            </a:ext>
          </a:extLst>
        </xdr:cNvPr>
        <xdr:cNvSpPr>
          <a:spLocks noChangeAspect="1" noChangeShapeType="1"/>
        </xdr:cNvSpPr>
      </xdr:nvSpPr>
      <xdr:spPr bwMode="auto">
        <a:xfrm>
          <a:off x="533400" y="3267075"/>
          <a:ext cx="0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38</xdr:row>
      <xdr:rowOff>9525</xdr:rowOff>
    </xdr:from>
    <xdr:to>
      <xdr:col>16</xdr:col>
      <xdr:colOff>9525</xdr:colOff>
      <xdr:row>42</xdr:row>
      <xdr:rowOff>9525</xdr:rowOff>
    </xdr:to>
    <xdr:sp macro="" textlink="">
      <xdr:nvSpPr>
        <xdr:cNvPr id="15382" name="Line 383">
          <a:extLst>
            <a:ext uri="{FF2B5EF4-FFF2-40B4-BE49-F238E27FC236}">
              <a16:creationId xmlns:a16="http://schemas.microsoft.com/office/drawing/2014/main" id="{00000000-0008-0000-0A00-0000163C0000}"/>
            </a:ext>
          </a:extLst>
        </xdr:cNvPr>
        <xdr:cNvSpPr>
          <a:spLocks noChangeAspect="1" noChangeShapeType="1"/>
        </xdr:cNvSpPr>
      </xdr:nvSpPr>
      <xdr:spPr bwMode="auto">
        <a:xfrm>
          <a:off x="8715375" y="6629400"/>
          <a:ext cx="0" cy="64770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304800</xdr:colOff>
      <xdr:row>46</xdr:row>
      <xdr:rowOff>66675</xdr:rowOff>
    </xdr:from>
    <xdr:to>
      <xdr:col>16</xdr:col>
      <xdr:colOff>333375</xdr:colOff>
      <xdr:row>46</xdr:row>
      <xdr:rowOff>66675</xdr:rowOff>
    </xdr:to>
    <xdr:sp macro="" textlink="">
      <xdr:nvSpPr>
        <xdr:cNvPr id="15383" name="Line 384">
          <a:extLst>
            <a:ext uri="{FF2B5EF4-FFF2-40B4-BE49-F238E27FC236}">
              <a16:creationId xmlns:a16="http://schemas.microsoft.com/office/drawing/2014/main" id="{00000000-0008-0000-0A00-0000173C0000}"/>
            </a:ext>
          </a:extLst>
        </xdr:cNvPr>
        <xdr:cNvSpPr>
          <a:spLocks noChangeAspect="1" noChangeShapeType="1"/>
        </xdr:cNvSpPr>
      </xdr:nvSpPr>
      <xdr:spPr bwMode="auto">
        <a:xfrm>
          <a:off x="6343650" y="7981950"/>
          <a:ext cx="269557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152400</xdr:colOff>
      <xdr:row>46</xdr:row>
      <xdr:rowOff>47625</xdr:rowOff>
    </xdr:from>
    <xdr:to>
      <xdr:col>11</xdr:col>
      <xdr:colOff>314325</xdr:colOff>
      <xdr:row>46</xdr:row>
      <xdr:rowOff>95250</xdr:rowOff>
    </xdr:to>
    <xdr:sp macro="" textlink="">
      <xdr:nvSpPr>
        <xdr:cNvPr id="15384" name="Freeform 385">
          <a:extLst>
            <a:ext uri="{FF2B5EF4-FFF2-40B4-BE49-F238E27FC236}">
              <a16:creationId xmlns:a16="http://schemas.microsoft.com/office/drawing/2014/main" id="{00000000-0008-0000-0A00-0000183C0000}"/>
            </a:ext>
          </a:extLst>
        </xdr:cNvPr>
        <xdr:cNvSpPr>
          <a:spLocks noChangeAspect="1"/>
        </xdr:cNvSpPr>
      </xdr:nvSpPr>
      <xdr:spPr bwMode="auto">
        <a:xfrm>
          <a:off x="6191250" y="7962900"/>
          <a:ext cx="161925" cy="47625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4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333375</xdr:colOff>
      <xdr:row>46</xdr:row>
      <xdr:rowOff>28575</xdr:rowOff>
    </xdr:from>
    <xdr:to>
      <xdr:col>16</xdr:col>
      <xdr:colOff>9525</xdr:colOff>
      <xdr:row>46</xdr:row>
      <xdr:rowOff>85725</xdr:rowOff>
    </xdr:to>
    <xdr:sp macro="" textlink="">
      <xdr:nvSpPr>
        <xdr:cNvPr id="15385" name="Freeform 386">
          <a:extLst>
            <a:ext uri="{FF2B5EF4-FFF2-40B4-BE49-F238E27FC236}">
              <a16:creationId xmlns:a16="http://schemas.microsoft.com/office/drawing/2014/main" id="{00000000-0008-0000-0A00-0000193C0000}"/>
            </a:ext>
          </a:extLst>
        </xdr:cNvPr>
        <xdr:cNvSpPr>
          <a:spLocks noChangeAspect="1"/>
        </xdr:cNvSpPr>
      </xdr:nvSpPr>
      <xdr:spPr bwMode="auto">
        <a:xfrm>
          <a:off x="8505825" y="7943850"/>
          <a:ext cx="209550" cy="57150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4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38</xdr:row>
      <xdr:rowOff>9525</xdr:rowOff>
    </xdr:from>
    <xdr:to>
      <xdr:col>11</xdr:col>
      <xdr:colOff>190500</xdr:colOff>
      <xdr:row>38</xdr:row>
      <xdr:rowOff>9525</xdr:rowOff>
    </xdr:to>
    <xdr:sp macro="" textlink="">
      <xdr:nvSpPr>
        <xdr:cNvPr id="15386" name="Line 387">
          <a:extLst>
            <a:ext uri="{FF2B5EF4-FFF2-40B4-BE49-F238E27FC236}">
              <a16:creationId xmlns:a16="http://schemas.microsoft.com/office/drawing/2014/main" id="{00000000-0008-0000-0A00-00001A3C0000}"/>
            </a:ext>
          </a:extLst>
        </xdr:cNvPr>
        <xdr:cNvSpPr>
          <a:spLocks noChangeAspect="1" noChangeShapeType="1"/>
        </xdr:cNvSpPr>
      </xdr:nvSpPr>
      <xdr:spPr bwMode="auto">
        <a:xfrm>
          <a:off x="6219825" y="6629400"/>
          <a:ext cx="95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38</xdr:row>
      <xdr:rowOff>9525</xdr:rowOff>
    </xdr:from>
    <xdr:to>
      <xdr:col>16</xdr:col>
      <xdr:colOff>9525</xdr:colOff>
      <xdr:row>38</xdr:row>
      <xdr:rowOff>9525</xdr:rowOff>
    </xdr:to>
    <xdr:sp macro="" textlink="">
      <xdr:nvSpPr>
        <xdr:cNvPr id="15387" name="Line 388">
          <a:extLst>
            <a:ext uri="{FF2B5EF4-FFF2-40B4-BE49-F238E27FC236}">
              <a16:creationId xmlns:a16="http://schemas.microsoft.com/office/drawing/2014/main" id="{00000000-0008-0000-0A00-00001B3C0000}"/>
            </a:ext>
          </a:extLst>
        </xdr:cNvPr>
        <xdr:cNvSpPr>
          <a:spLocks noChangeAspect="1" noChangeShapeType="1"/>
        </xdr:cNvSpPr>
      </xdr:nvSpPr>
      <xdr:spPr bwMode="auto">
        <a:xfrm>
          <a:off x="8715375" y="6629400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46</xdr:row>
      <xdr:rowOff>66675</xdr:rowOff>
    </xdr:from>
    <xdr:to>
      <xdr:col>16</xdr:col>
      <xdr:colOff>9525</xdr:colOff>
      <xdr:row>46</xdr:row>
      <xdr:rowOff>76200</xdr:rowOff>
    </xdr:to>
    <xdr:sp macro="" textlink="">
      <xdr:nvSpPr>
        <xdr:cNvPr id="15388" name="Line 389">
          <a:extLst>
            <a:ext uri="{FF2B5EF4-FFF2-40B4-BE49-F238E27FC236}">
              <a16:creationId xmlns:a16="http://schemas.microsoft.com/office/drawing/2014/main" id="{00000000-0008-0000-0A00-00001C3C0000}"/>
            </a:ext>
          </a:extLst>
        </xdr:cNvPr>
        <xdr:cNvSpPr>
          <a:spLocks noChangeAspect="1" noChangeShapeType="1"/>
        </xdr:cNvSpPr>
      </xdr:nvSpPr>
      <xdr:spPr bwMode="auto">
        <a:xfrm>
          <a:off x="8715375" y="7981950"/>
          <a:ext cx="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47625</xdr:colOff>
      <xdr:row>33</xdr:row>
      <xdr:rowOff>142875</xdr:rowOff>
    </xdr:from>
    <xdr:to>
      <xdr:col>16</xdr:col>
      <xdr:colOff>47625</xdr:colOff>
      <xdr:row>34</xdr:row>
      <xdr:rowOff>9525</xdr:rowOff>
    </xdr:to>
    <xdr:sp macro="" textlink="">
      <xdr:nvSpPr>
        <xdr:cNvPr id="15389" name="Line 391">
          <a:extLst>
            <a:ext uri="{FF2B5EF4-FFF2-40B4-BE49-F238E27FC236}">
              <a16:creationId xmlns:a16="http://schemas.microsoft.com/office/drawing/2014/main" id="{00000000-0008-0000-0A00-00001D3C0000}"/>
            </a:ext>
          </a:extLst>
        </xdr:cNvPr>
        <xdr:cNvSpPr>
          <a:spLocks noChangeAspect="1" noChangeShapeType="1"/>
        </xdr:cNvSpPr>
      </xdr:nvSpPr>
      <xdr:spPr bwMode="auto">
        <a:xfrm>
          <a:off x="8753475" y="5953125"/>
          <a:ext cx="0" cy="285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333375</xdr:colOff>
      <xdr:row>33</xdr:row>
      <xdr:rowOff>142875</xdr:rowOff>
    </xdr:from>
    <xdr:to>
      <xdr:col>15</xdr:col>
      <xdr:colOff>400050</xdr:colOff>
      <xdr:row>34</xdr:row>
      <xdr:rowOff>9525</xdr:rowOff>
    </xdr:to>
    <xdr:sp macro="" textlink="">
      <xdr:nvSpPr>
        <xdr:cNvPr id="15390" name="Line 392">
          <a:extLst>
            <a:ext uri="{FF2B5EF4-FFF2-40B4-BE49-F238E27FC236}">
              <a16:creationId xmlns:a16="http://schemas.microsoft.com/office/drawing/2014/main" id="{00000000-0008-0000-0A00-00001E3C0000}"/>
            </a:ext>
          </a:extLst>
        </xdr:cNvPr>
        <xdr:cNvSpPr>
          <a:spLocks noChangeAspect="1" noChangeShapeType="1"/>
        </xdr:cNvSpPr>
      </xdr:nvSpPr>
      <xdr:spPr bwMode="auto">
        <a:xfrm>
          <a:off x="6372225" y="5953125"/>
          <a:ext cx="2200275" cy="285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33</xdr:row>
      <xdr:rowOff>133350</xdr:rowOff>
    </xdr:from>
    <xdr:to>
      <xdr:col>11</xdr:col>
      <xdr:colOff>333375</xdr:colOff>
      <xdr:row>34</xdr:row>
      <xdr:rowOff>19050</xdr:rowOff>
    </xdr:to>
    <xdr:sp macro="" textlink="">
      <xdr:nvSpPr>
        <xdr:cNvPr id="15391" name="Freeform 393">
          <a:extLst>
            <a:ext uri="{FF2B5EF4-FFF2-40B4-BE49-F238E27FC236}">
              <a16:creationId xmlns:a16="http://schemas.microsoft.com/office/drawing/2014/main" id="{00000000-0008-0000-0A00-00001F3C0000}"/>
            </a:ext>
          </a:extLst>
        </xdr:cNvPr>
        <xdr:cNvSpPr>
          <a:spLocks noChangeAspect="1"/>
        </xdr:cNvSpPr>
      </xdr:nvSpPr>
      <xdr:spPr bwMode="auto">
        <a:xfrm>
          <a:off x="6219825" y="5943600"/>
          <a:ext cx="152400" cy="47625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3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400050</xdr:colOff>
      <xdr:row>33</xdr:row>
      <xdr:rowOff>142875</xdr:rowOff>
    </xdr:from>
    <xdr:to>
      <xdr:col>16</xdr:col>
      <xdr:colOff>47625</xdr:colOff>
      <xdr:row>34</xdr:row>
      <xdr:rowOff>28575</xdr:rowOff>
    </xdr:to>
    <xdr:sp macro="" textlink="">
      <xdr:nvSpPr>
        <xdr:cNvPr id="15392" name="Freeform 395">
          <a:extLst>
            <a:ext uri="{FF2B5EF4-FFF2-40B4-BE49-F238E27FC236}">
              <a16:creationId xmlns:a16="http://schemas.microsoft.com/office/drawing/2014/main" id="{00000000-0008-0000-0A00-0000203C0000}"/>
            </a:ext>
          </a:extLst>
        </xdr:cNvPr>
        <xdr:cNvSpPr>
          <a:spLocks noChangeAspect="1"/>
        </xdr:cNvSpPr>
      </xdr:nvSpPr>
      <xdr:spPr bwMode="auto">
        <a:xfrm>
          <a:off x="8572500" y="5953125"/>
          <a:ext cx="180975" cy="47625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400050</xdr:colOff>
      <xdr:row>33</xdr:row>
      <xdr:rowOff>142875</xdr:rowOff>
    </xdr:from>
    <xdr:to>
      <xdr:col>16</xdr:col>
      <xdr:colOff>47625</xdr:colOff>
      <xdr:row>34</xdr:row>
      <xdr:rowOff>28575</xdr:rowOff>
    </xdr:to>
    <xdr:sp macro="" textlink="">
      <xdr:nvSpPr>
        <xdr:cNvPr id="15393" name="Freeform 396">
          <a:extLst>
            <a:ext uri="{FF2B5EF4-FFF2-40B4-BE49-F238E27FC236}">
              <a16:creationId xmlns:a16="http://schemas.microsoft.com/office/drawing/2014/main" id="{00000000-0008-0000-0A00-0000213C0000}"/>
            </a:ext>
          </a:extLst>
        </xdr:cNvPr>
        <xdr:cNvSpPr>
          <a:spLocks noChangeAspect="1"/>
        </xdr:cNvSpPr>
      </xdr:nvSpPr>
      <xdr:spPr bwMode="auto">
        <a:xfrm>
          <a:off x="8572500" y="5953125"/>
          <a:ext cx="180975" cy="47625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38</xdr:row>
      <xdr:rowOff>9525</xdr:rowOff>
    </xdr:from>
    <xdr:to>
      <xdr:col>11</xdr:col>
      <xdr:colOff>190500</xdr:colOff>
      <xdr:row>38</xdr:row>
      <xdr:rowOff>9525</xdr:rowOff>
    </xdr:to>
    <xdr:sp macro="" textlink="">
      <xdr:nvSpPr>
        <xdr:cNvPr id="15394" name="Line 397">
          <a:extLst>
            <a:ext uri="{FF2B5EF4-FFF2-40B4-BE49-F238E27FC236}">
              <a16:creationId xmlns:a16="http://schemas.microsoft.com/office/drawing/2014/main" id="{00000000-0008-0000-0A00-0000223C0000}"/>
            </a:ext>
          </a:extLst>
        </xdr:cNvPr>
        <xdr:cNvSpPr>
          <a:spLocks noChangeAspect="1" noChangeShapeType="1"/>
        </xdr:cNvSpPr>
      </xdr:nvSpPr>
      <xdr:spPr bwMode="auto">
        <a:xfrm>
          <a:off x="6219825" y="6629400"/>
          <a:ext cx="95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47625</xdr:colOff>
      <xdr:row>33</xdr:row>
      <xdr:rowOff>142875</xdr:rowOff>
    </xdr:from>
    <xdr:to>
      <xdr:col>16</xdr:col>
      <xdr:colOff>47625</xdr:colOff>
      <xdr:row>34</xdr:row>
      <xdr:rowOff>9525</xdr:rowOff>
    </xdr:to>
    <xdr:sp macro="" textlink="">
      <xdr:nvSpPr>
        <xdr:cNvPr id="15395" name="Line 398">
          <a:extLst>
            <a:ext uri="{FF2B5EF4-FFF2-40B4-BE49-F238E27FC236}">
              <a16:creationId xmlns:a16="http://schemas.microsoft.com/office/drawing/2014/main" id="{00000000-0008-0000-0A00-0000233C0000}"/>
            </a:ext>
          </a:extLst>
        </xdr:cNvPr>
        <xdr:cNvSpPr>
          <a:spLocks noChangeAspect="1" noChangeShapeType="1"/>
        </xdr:cNvSpPr>
      </xdr:nvSpPr>
      <xdr:spPr bwMode="auto">
        <a:xfrm>
          <a:off x="8753475" y="5953125"/>
          <a:ext cx="0" cy="285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47625</xdr:colOff>
      <xdr:row>33</xdr:row>
      <xdr:rowOff>142875</xdr:rowOff>
    </xdr:from>
    <xdr:to>
      <xdr:col>16</xdr:col>
      <xdr:colOff>47625</xdr:colOff>
      <xdr:row>34</xdr:row>
      <xdr:rowOff>9525</xdr:rowOff>
    </xdr:to>
    <xdr:sp macro="" textlink="">
      <xdr:nvSpPr>
        <xdr:cNvPr id="15396" name="Line 399">
          <a:extLst>
            <a:ext uri="{FF2B5EF4-FFF2-40B4-BE49-F238E27FC236}">
              <a16:creationId xmlns:a16="http://schemas.microsoft.com/office/drawing/2014/main" id="{00000000-0008-0000-0A00-0000243C0000}"/>
            </a:ext>
          </a:extLst>
        </xdr:cNvPr>
        <xdr:cNvSpPr>
          <a:spLocks noChangeAspect="1" noChangeShapeType="1"/>
        </xdr:cNvSpPr>
      </xdr:nvSpPr>
      <xdr:spPr bwMode="auto">
        <a:xfrm>
          <a:off x="8753475" y="5953125"/>
          <a:ext cx="0" cy="285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180975</xdr:colOff>
      <xdr:row>30</xdr:row>
      <xdr:rowOff>114300</xdr:rowOff>
    </xdr:from>
    <xdr:to>
      <xdr:col>16</xdr:col>
      <xdr:colOff>190500</xdr:colOff>
      <xdr:row>30</xdr:row>
      <xdr:rowOff>133350</xdr:rowOff>
    </xdr:to>
    <xdr:sp macro="" textlink="">
      <xdr:nvSpPr>
        <xdr:cNvPr id="15397" name="Line 401">
          <a:extLst>
            <a:ext uri="{FF2B5EF4-FFF2-40B4-BE49-F238E27FC236}">
              <a16:creationId xmlns:a16="http://schemas.microsoft.com/office/drawing/2014/main" id="{00000000-0008-0000-0A00-0000253C0000}"/>
            </a:ext>
          </a:extLst>
        </xdr:cNvPr>
        <xdr:cNvSpPr>
          <a:spLocks noChangeAspect="1" noChangeShapeType="1"/>
        </xdr:cNvSpPr>
      </xdr:nvSpPr>
      <xdr:spPr bwMode="auto">
        <a:xfrm>
          <a:off x="8886825" y="5438775"/>
          <a:ext cx="9525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333375</xdr:colOff>
      <xdr:row>30</xdr:row>
      <xdr:rowOff>114300</xdr:rowOff>
    </xdr:from>
    <xdr:to>
      <xdr:col>16</xdr:col>
      <xdr:colOff>47625</xdr:colOff>
      <xdr:row>30</xdr:row>
      <xdr:rowOff>133350</xdr:rowOff>
    </xdr:to>
    <xdr:sp macro="" textlink="">
      <xdr:nvSpPr>
        <xdr:cNvPr id="15398" name="Line 402">
          <a:extLst>
            <a:ext uri="{FF2B5EF4-FFF2-40B4-BE49-F238E27FC236}">
              <a16:creationId xmlns:a16="http://schemas.microsoft.com/office/drawing/2014/main" id="{00000000-0008-0000-0A00-0000263C0000}"/>
            </a:ext>
          </a:extLst>
        </xdr:cNvPr>
        <xdr:cNvSpPr>
          <a:spLocks noChangeAspect="1" noChangeShapeType="1"/>
        </xdr:cNvSpPr>
      </xdr:nvSpPr>
      <xdr:spPr bwMode="auto">
        <a:xfrm>
          <a:off x="6372225" y="5438775"/>
          <a:ext cx="2381250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30</xdr:row>
      <xdr:rowOff>85725</xdr:rowOff>
    </xdr:from>
    <xdr:to>
      <xdr:col>11</xdr:col>
      <xdr:colOff>342900</xdr:colOff>
      <xdr:row>30</xdr:row>
      <xdr:rowOff>142875</xdr:rowOff>
    </xdr:to>
    <xdr:sp macro="" textlink="">
      <xdr:nvSpPr>
        <xdr:cNvPr id="15399" name="Freeform 403">
          <a:extLst>
            <a:ext uri="{FF2B5EF4-FFF2-40B4-BE49-F238E27FC236}">
              <a16:creationId xmlns:a16="http://schemas.microsoft.com/office/drawing/2014/main" id="{00000000-0008-0000-0A00-0000273C0000}"/>
            </a:ext>
          </a:extLst>
        </xdr:cNvPr>
        <xdr:cNvSpPr>
          <a:spLocks noChangeAspect="1"/>
        </xdr:cNvSpPr>
      </xdr:nvSpPr>
      <xdr:spPr bwMode="auto">
        <a:xfrm>
          <a:off x="6219825" y="5410200"/>
          <a:ext cx="161925" cy="57150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3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30</xdr:row>
      <xdr:rowOff>85725</xdr:rowOff>
    </xdr:from>
    <xdr:to>
      <xdr:col>11</xdr:col>
      <xdr:colOff>342900</xdr:colOff>
      <xdr:row>30</xdr:row>
      <xdr:rowOff>142875</xdr:rowOff>
    </xdr:to>
    <xdr:sp macro="" textlink="">
      <xdr:nvSpPr>
        <xdr:cNvPr id="15400" name="Freeform 404">
          <a:extLst>
            <a:ext uri="{FF2B5EF4-FFF2-40B4-BE49-F238E27FC236}">
              <a16:creationId xmlns:a16="http://schemas.microsoft.com/office/drawing/2014/main" id="{00000000-0008-0000-0A00-0000283C0000}"/>
            </a:ext>
          </a:extLst>
        </xdr:cNvPr>
        <xdr:cNvSpPr>
          <a:spLocks noChangeAspect="1"/>
        </xdr:cNvSpPr>
      </xdr:nvSpPr>
      <xdr:spPr bwMode="auto">
        <a:xfrm>
          <a:off x="6219825" y="5410200"/>
          <a:ext cx="161925" cy="57150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3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47625</xdr:colOff>
      <xdr:row>30</xdr:row>
      <xdr:rowOff>85725</xdr:rowOff>
    </xdr:from>
    <xdr:to>
      <xdr:col>16</xdr:col>
      <xdr:colOff>190500</xdr:colOff>
      <xdr:row>30</xdr:row>
      <xdr:rowOff>142875</xdr:rowOff>
    </xdr:to>
    <xdr:sp macro="" textlink="">
      <xdr:nvSpPr>
        <xdr:cNvPr id="15401" name="Freeform 405">
          <a:extLst>
            <a:ext uri="{FF2B5EF4-FFF2-40B4-BE49-F238E27FC236}">
              <a16:creationId xmlns:a16="http://schemas.microsoft.com/office/drawing/2014/main" id="{00000000-0008-0000-0A00-0000293C0000}"/>
            </a:ext>
          </a:extLst>
        </xdr:cNvPr>
        <xdr:cNvSpPr>
          <a:spLocks noChangeAspect="1"/>
        </xdr:cNvSpPr>
      </xdr:nvSpPr>
      <xdr:spPr bwMode="auto">
        <a:xfrm>
          <a:off x="8753475" y="5410200"/>
          <a:ext cx="142875" cy="57150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47625</xdr:colOff>
      <xdr:row>30</xdr:row>
      <xdr:rowOff>85725</xdr:rowOff>
    </xdr:from>
    <xdr:to>
      <xdr:col>16</xdr:col>
      <xdr:colOff>190500</xdr:colOff>
      <xdr:row>30</xdr:row>
      <xdr:rowOff>142875</xdr:rowOff>
    </xdr:to>
    <xdr:sp macro="" textlink="">
      <xdr:nvSpPr>
        <xdr:cNvPr id="15402" name="Freeform 406">
          <a:extLst>
            <a:ext uri="{FF2B5EF4-FFF2-40B4-BE49-F238E27FC236}">
              <a16:creationId xmlns:a16="http://schemas.microsoft.com/office/drawing/2014/main" id="{00000000-0008-0000-0A00-00002A3C0000}"/>
            </a:ext>
          </a:extLst>
        </xdr:cNvPr>
        <xdr:cNvSpPr>
          <a:spLocks noChangeAspect="1"/>
        </xdr:cNvSpPr>
      </xdr:nvSpPr>
      <xdr:spPr bwMode="auto">
        <a:xfrm>
          <a:off x="8753475" y="5410200"/>
          <a:ext cx="142875" cy="57150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38</xdr:row>
      <xdr:rowOff>9525</xdr:rowOff>
    </xdr:from>
    <xdr:to>
      <xdr:col>11</xdr:col>
      <xdr:colOff>190500</xdr:colOff>
      <xdr:row>38</xdr:row>
      <xdr:rowOff>9525</xdr:rowOff>
    </xdr:to>
    <xdr:sp macro="" textlink="">
      <xdr:nvSpPr>
        <xdr:cNvPr id="15403" name="Line 407">
          <a:extLst>
            <a:ext uri="{FF2B5EF4-FFF2-40B4-BE49-F238E27FC236}">
              <a16:creationId xmlns:a16="http://schemas.microsoft.com/office/drawing/2014/main" id="{00000000-0008-0000-0A00-00002B3C0000}"/>
            </a:ext>
          </a:extLst>
        </xdr:cNvPr>
        <xdr:cNvSpPr>
          <a:spLocks noChangeAspect="1" noChangeShapeType="1"/>
        </xdr:cNvSpPr>
      </xdr:nvSpPr>
      <xdr:spPr bwMode="auto">
        <a:xfrm>
          <a:off x="6219825" y="6629400"/>
          <a:ext cx="95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180975</xdr:colOff>
      <xdr:row>30</xdr:row>
      <xdr:rowOff>114300</xdr:rowOff>
    </xdr:from>
    <xdr:to>
      <xdr:col>16</xdr:col>
      <xdr:colOff>190500</xdr:colOff>
      <xdr:row>30</xdr:row>
      <xdr:rowOff>133350</xdr:rowOff>
    </xdr:to>
    <xdr:sp macro="" textlink="">
      <xdr:nvSpPr>
        <xdr:cNvPr id="15404" name="Line 408">
          <a:extLst>
            <a:ext uri="{FF2B5EF4-FFF2-40B4-BE49-F238E27FC236}">
              <a16:creationId xmlns:a16="http://schemas.microsoft.com/office/drawing/2014/main" id="{00000000-0008-0000-0A00-00002C3C0000}"/>
            </a:ext>
          </a:extLst>
        </xdr:cNvPr>
        <xdr:cNvSpPr>
          <a:spLocks noChangeAspect="1" noChangeShapeType="1"/>
        </xdr:cNvSpPr>
      </xdr:nvSpPr>
      <xdr:spPr bwMode="auto">
        <a:xfrm>
          <a:off x="8886825" y="5438775"/>
          <a:ext cx="9525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180975</xdr:colOff>
      <xdr:row>30</xdr:row>
      <xdr:rowOff>114300</xdr:rowOff>
    </xdr:from>
    <xdr:to>
      <xdr:col>16</xdr:col>
      <xdr:colOff>190500</xdr:colOff>
      <xdr:row>30</xdr:row>
      <xdr:rowOff>133350</xdr:rowOff>
    </xdr:to>
    <xdr:sp macro="" textlink="">
      <xdr:nvSpPr>
        <xdr:cNvPr id="15405" name="Line 409">
          <a:extLst>
            <a:ext uri="{FF2B5EF4-FFF2-40B4-BE49-F238E27FC236}">
              <a16:creationId xmlns:a16="http://schemas.microsoft.com/office/drawing/2014/main" id="{00000000-0008-0000-0A00-00002D3C0000}"/>
            </a:ext>
          </a:extLst>
        </xdr:cNvPr>
        <xdr:cNvSpPr>
          <a:spLocks noChangeAspect="1" noChangeShapeType="1"/>
        </xdr:cNvSpPr>
      </xdr:nvSpPr>
      <xdr:spPr bwMode="auto">
        <a:xfrm>
          <a:off x="8886825" y="5438775"/>
          <a:ext cx="9525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152400</xdr:colOff>
      <xdr:row>27</xdr:row>
      <xdr:rowOff>104775</xdr:rowOff>
    </xdr:from>
    <xdr:to>
      <xdr:col>17</xdr:col>
      <xdr:colOff>161925</xdr:colOff>
      <xdr:row>27</xdr:row>
      <xdr:rowOff>114300</xdr:rowOff>
    </xdr:to>
    <xdr:sp macro="" textlink="">
      <xdr:nvSpPr>
        <xdr:cNvPr id="15406" name="Line 411">
          <a:extLst>
            <a:ext uri="{FF2B5EF4-FFF2-40B4-BE49-F238E27FC236}">
              <a16:creationId xmlns:a16="http://schemas.microsoft.com/office/drawing/2014/main" id="{00000000-0008-0000-0A00-00002E3C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9277350" y="4943475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333375</xdr:colOff>
      <xdr:row>27</xdr:row>
      <xdr:rowOff>104775</xdr:rowOff>
    </xdr:from>
    <xdr:to>
      <xdr:col>17</xdr:col>
      <xdr:colOff>0</xdr:colOff>
      <xdr:row>27</xdr:row>
      <xdr:rowOff>114300</xdr:rowOff>
    </xdr:to>
    <xdr:sp macro="" textlink="">
      <xdr:nvSpPr>
        <xdr:cNvPr id="15407" name="Line 412">
          <a:extLst>
            <a:ext uri="{FF2B5EF4-FFF2-40B4-BE49-F238E27FC236}">
              <a16:creationId xmlns:a16="http://schemas.microsoft.com/office/drawing/2014/main" id="{00000000-0008-0000-0A00-00002F3C0000}"/>
            </a:ext>
          </a:extLst>
        </xdr:cNvPr>
        <xdr:cNvSpPr>
          <a:spLocks noChangeAspect="1" noChangeShapeType="1"/>
        </xdr:cNvSpPr>
      </xdr:nvSpPr>
      <xdr:spPr bwMode="auto">
        <a:xfrm>
          <a:off x="6372225" y="4943475"/>
          <a:ext cx="27527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27</xdr:row>
      <xdr:rowOff>85725</xdr:rowOff>
    </xdr:from>
    <xdr:to>
      <xdr:col>11</xdr:col>
      <xdr:colOff>342900</xdr:colOff>
      <xdr:row>27</xdr:row>
      <xdr:rowOff>133350</xdr:rowOff>
    </xdr:to>
    <xdr:sp macro="" textlink="">
      <xdr:nvSpPr>
        <xdr:cNvPr id="15408" name="Freeform 413">
          <a:extLst>
            <a:ext uri="{FF2B5EF4-FFF2-40B4-BE49-F238E27FC236}">
              <a16:creationId xmlns:a16="http://schemas.microsoft.com/office/drawing/2014/main" id="{00000000-0008-0000-0A00-0000303C0000}"/>
            </a:ext>
          </a:extLst>
        </xdr:cNvPr>
        <xdr:cNvSpPr>
          <a:spLocks noChangeAspect="1"/>
        </xdr:cNvSpPr>
      </xdr:nvSpPr>
      <xdr:spPr bwMode="auto">
        <a:xfrm>
          <a:off x="6219825" y="4924425"/>
          <a:ext cx="161925" cy="47625"/>
        </a:xfrm>
        <a:custGeom>
          <a:avLst/>
          <a:gdLst>
            <a:gd name="T0" fmla="*/ 2147483647 w 381"/>
            <a:gd name="T1" fmla="*/ 0 h 128"/>
            <a:gd name="T2" fmla="*/ 2147483647 w 381"/>
            <a:gd name="T3" fmla="*/ 0 h 128"/>
            <a:gd name="T4" fmla="*/ 0 w 381"/>
            <a:gd name="T5" fmla="*/ 0 h 128"/>
            <a:gd name="T6" fmla="*/ 2147483647 w 381"/>
            <a:gd name="T7" fmla="*/ 0 h 128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8"/>
            <a:gd name="T14" fmla="*/ 381 w 381"/>
            <a:gd name="T15" fmla="*/ 128 h 128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8">
              <a:moveTo>
                <a:pt x="381" y="0"/>
              </a:moveTo>
              <a:lnTo>
                <a:pt x="381" y="128"/>
              </a:lnTo>
              <a:lnTo>
                <a:pt x="0" y="64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27</xdr:row>
      <xdr:rowOff>85725</xdr:rowOff>
    </xdr:from>
    <xdr:to>
      <xdr:col>11</xdr:col>
      <xdr:colOff>342900</xdr:colOff>
      <xdr:row>27</xdr:row>
      <xdr:rowOff>133350</xdr:rowOff>
    </xdr:to>
    <xdr:sp macro="" textlink="">
      <xdr:nvSpPr>
        <xdr:cNvPr id="15409" name="Freeform 414">
          <a:extLst>
            <a:ext uri="{FF2B5EF4-FFF2-40B4-BE49-F238E27FC236}">
              <a16:creationId xmlns:a16="http://schemas.microsoft.com/office/drawing/2014/main" id="{00000000-0008-0000-0A00-0000313C0000}"/>
            </a:ext>
          </a:extLst>
        </xdr:cNvPr>
        <xdr:cNvSpPr>
          <a:spLocks noChangeAspect="1"/>
        </xdr:cNvSpPr>
      </xdr:nvSpPr>
      <xdr:spPr bwMode="auto">
        <a:xfrm>
          <a:off x="6219825" y="4924425"/>
          <a:ext cx="161925" cy="47625"/>
        </a:xfrm>
        <a:custGeom>
          <a:avLst/>
          <a:gdLst>
            <a:gd name="T0" fmla="*/ 2147483647 w 381"/>
            <a:gd name="T1" fmla="*/ 0 h 128"/>
            <a:gd name="T2" fmla="*/ 2147483647 w 381"/>
            <a:gd name="T3" fmla="*/ 0 h 128"/>
            <a:gd name="T4" fmla="*/ 0 w 381"/>
            <a:gd name="T5" fmla="*/ 0 h 128"/>
            <a:gd name="T6" fmla="*/ 2147483647 w 381"/>
            <a:gd name="T7" fmla="*/ 0 h 128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8"/>
            <a:gd name="T14" fmla="*/ 381 w 381"/>
            <a:gd name="T15" fmla="*/ 128 h 128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8">
              <a:moveTo>
                <a:pt x="381" y="0"/>
              </a:moveTo>
              <a:lnTo>
                <a:pt x="381" y="128"/>
              </a:lnTo>
              <a:lnTo>
                <a:pt x="0" y="64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342900</xdr:colOff>
      <xdr:row>27</xdr:row>
      <xdr:rowOff>85725</xdr:rowOff>
    </xdr:from>
    <xdr:to>
      <xdr:col>17</xdr:col>
      <xdr:colOff>152400</xdr:colOff>
      <xdr:row>27</xdr:row>
      <xdr:rowOff>133350</xdr:rowOff>
    </xdr:to>
    <xdr:sp macro="" textlink="">
      <xdr:nvSpPr>
        <xdr:cNvPr id="15410" name="Freeform 415">
          <a:extLst>
            <a:ext uri="{FF2B5EF4-FFF2-40B4-BE49-F238E27FC236}">
              <a16:creationId xmlns:a16="http://schemas.microsoft.com/office/drawing/2014/main" id="{00000000-0008-0000-0A00-0000323C0000}"/>
            </a:ext>
          </a:extLst>
        </xdr:cNvPr>
        <xdr:cNvSpPr>
          <a:spLocks noChangeAspect="1"/>
        </xdr:cNvSpPr>
      </xdr:nvSpPr>
      <xdr:spPr bwMode="auto">
        <a:xfrm>
          <a:off x="9048750" y="4924425"/>
          <a:ext cx="228600" cy="47625"/>
        </a:xfrm>
        <a:custGeom>
          <a:avLst/>
          <a:gdLst>
            <a:gd name="T0" fmla="*/ 0 w 382"/>
            <a:gd name="T1" fmla="*/ 0 h 128"/>
            <a:gd name="T2" fmla="*/ 0 w 382"/>
            <a:gd name="T3" fmla="*/ 0 h 128"/>
            <a:gd name="T4" fmla="*/ 2147483647 w 382"/>
            <a:gd name="T5" fmla="*/ 0 h 128"/>
            <a:gd name="T6" fmla="*/ 0 w 382"/>
            <a:gd name="T7" fmla="*/ 0 h 128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8"/>
            <a:gd name="T14" fmla="*/ 382 w 382"/>
            <a:gd name="T15" fmla="*/ 128 h 128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8">
              <a:moveTo>
                <a:pt x="0" y="0"/>
              </a:moveTo>
              <a:lnTo>
                <a:pt x="0" y="128"/>
              </a:lnTo>
              <a:lnTo>
                <a:pt x="382" y="64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342900</xdr:colOff>
      <xdr:row>27</xdr:row>
      <xdr:rowOff>85725</xdr:rowOff>
    </xdr:from>
    <xdr:to>
      <xdr:col>17</xdr:col>
      <xdr:colOff>152400</xdr:colOff>
      <xdr:row>27</xdr:row>
      <xdr:rowOff>133350</xdr:rowOff>
    </xdr:to>
    <xdr:sp macro="" textlink="">
      <xdr:nvSpPr>
        <xdr:cNvPr id="15411" name="Freeform 416">
          <a:extLst>
            <a:ext uri="{FF2B5EF4-FFF2-40B4-BE49-F238E27FC236}">
              <a16:creationId xmlns:a16="http://schemas.microsoft.com/office/drawing/2014/main" id="{00000000-0008-0000-0A00-0000333C0000}"/>
            </a:ext>
          </a:extLst>
        </xdr:cNvPr>
        <xdr:cNvSpPr>
          <a:spLocks noChangeAspect="1"/>
        </xdr:cNvSpPr>
      </xdr:nvSpPr>
      <xdr:spPr bwMode="auto">
        <a:xfrm>
          <a:off x="9048750" y="4924425"/>
          <a:ext cx="228600" cy="47625"/>
        </a:xfrm>
        <a:custGeom>
          <a:avLst/>
          <a:gdLst>
            <a:gd name="T0" fmla="*/ 0 w 382"/>
            <a:gd name="T1" fmla="*/ 0 h 128"/>
            <a:gd name="T2" fmla="*/ 0 w 382"/>
            <a:gd name="T3" fmla="*/ 0 h 128"/>
            <a:gd name="T4" fmla="*/ 2147483647 w 382"/>
            <a:gd name="T5" fmla="*/ 0 h 128"/>
            <a:gd name="T6" fmla="*/ 0 w 382"/>
            <a:gd name="T7" fmla="*/ 0 h 128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8"/>
            <a:gd name="T14" fmla="*/ 382 w 382"/>
            <a:gd name="T15" fmla="*/ 128 h 128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8">
              <a:moveTo>
                <a:pt x="0" y="0"/>
              </a:moveTo>
              <a:lnTo>
                <a:pt x="0" y="128"/>
              </a:lnTo>
              <a:lnTo>
                <a:pt x="382" y="64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38</xdr:row>
      <xdr:rowOff>9525</xdr:rowOff>
    </xdr:from>
    <xdr:to>
      <xdr:col>11</xdr:col>
      <xdr:colOff>190500</xdr:colOff>
      <xdr:row>38</xdr:row>
      <xdr:rowOff>9525</xdr:rowOff>
    </xdr:to>
    <xdr:sp macro="" textlink="">
      <xdr:nvSpPr>
        <xdr:cNvPr id="15412" name="Line 417">
          <a:extLst>
            <a:ext uri="{FF2B5EF4-FFF2-40B4-BE49-F238E27FC236}">
              <a16:creationId xmlns:a16="http://schemas.microsoft.com/office/drawing/2014/main" id="{00000000-0008-0000-0A00-0000343C0000}"/>
            </a:ext>
          </a:extLst>
        </xdr:cNvPr>
        <xdr:cNvSpPr>
          <a:spLocks noChangeAspect="1" noChangeShapeType="1"/>
        </xdr:cNvSpPr>
      </xdr:nvSpPr>
      <xdr:spPr bwMode="auto">
        <a:xfrm>
          <a:off x="6219825" y="6629400"/>
          <a:ext cx="95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152400</xdr:colOff>
      <xdr:row>27</xdr:row>
      <xdr:rowOff>104775</xdr:rowOff>
    </xdr:from>
    <xdr:to>
      <xdr:col>17</xdr:col>
      <xdr:colOff>161925</xdr:colOff>
      <xdr:row>27</xdr:row>
      <xdr:rowOff>114300</xdr:rowOff>
    </xdr:to>
    <xdr:sp macro="" textlink="">
      <xdr:nvSpPr>
        <xdr:cNvPr id="15413" name="Line 418">
          <a:extLst>
            <a:ext uri="{FF2B5EF4-FFF2-40B4-BE49-F238E27FC236}">
              <a16:creationId xmlns:a16="http://schemas.microsoft.com/office/drawing/2014/main" id="{00000000-0008-0000-0A00-0000353C0000}"/>
            </a:ext>
          </a:extLst>
        </xdr:cNvPr>
        <xdr:cNvSpPr>
          <a:spLocks noChangeAspect="1" noChangeShapeType="1"/>
        </xdr:cNvSpPr>
      </xdr:nvSpPr>
      <xdr:spPr bwMode="auto">
        <a:xfrm>
          <a:off x="9277350" y="4943475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152400</xdr:colOff>
      <xdr:row>27</xdr:row>
      <xdr:rowOff>104775</xdr:rowOff>
    </xdr:from>
    <xdr:to>
      <xdr:col>17</xdr:col>
      <xdr:colOff>161925</xdr:colOff>
      <xdr:row>27</xdr:row>
      <xdr:rowOff>114300</xdr:rowOff>
    </xdr:to>
    <xdr:sp macro="" textlink="">
      <xdr:nvSpPr>
        <xdr:cNvPr id="15414" name="Line 419">
          <a:extLst>
            <a:ext uri="{FF2B5EF4-FFF2-40B4-BE49-F238E27FC236}">
              <a16:creationId xmlns:a16="http://schemas.microsoft.com/office/drawing/2014/main" id="{00000000-0008-0000-0A00-0000363C0000}"/>
            </a:ext>
          </a:extLst>
        </xdr:cNvPr>
        <xdr:cNvSpPr>
          <a:spLocks noChangeAspect="1" noChangeShapeType="1"/>
        </xdr:cNvSpPr>
      </xdr:nvSpPr>
      <xdr:spPr bwMode="auto">
        <a:xfrm>
          <a:off x="9277350" y="4943475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14</xdr:row>
      <xdr:rowOff>114300</xdr:rowOff>
    </xdr:from>
    <xdr:to>
      <xdr:col>11</xdr:col>
      <xdr:colOff>180975</xdr:colOff>
      <xdr:row>19</xdr:row>
      <xdr:rowOff>47625</xdr:rowOff>
    </xdr:to>
    <xdr:sp macro="" textlink="">
      <xdr:nvSpPr>
        <xdr:cNvPr id="15415" name="Line 420">
          <a:extLst>
            <a:ext uri="{FF2B5EF4-FFF2-40B4-BE49-F238E27FC236}">
              <a16:creationId xmlns:a16="http://schemas.microsoft.com/office/drawing/2014/main" id="{00000000-0008-0000-0A00-0000373C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6219825" y="2847975"/>
          <a:ext cx="0" cy="7429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114300</xdr:colOff>
      <xdr:row>14</xdr:row>
      <xdr:rowOff>114300</xdr:rowOff>
    </xdr:from>
    <xdr:to>
      <xdr:col>18</xdr:col>
      <xdr:colOff>123825</xdr:colOff>
      <xdr:row>25</xdr:row>
      <xdr:rowOff>85725</xdr:rowOff>
    </xdr:to>
    <xdr:sp macro="" textlink="">
      <xdr:nvSpPr>
        <xdr:cNvPr id="15416" name="Line 421">
          <a:extLst>
            <a:ext uri="{FF2B5EF4-FFF2-40B4-BE49-F238E27FC236}">
              <a16:creationId xmlns:a16="http://schemas.microsoft.com/office/drawing/2014/main" id="{00000000-0008-0000-0A00-0000383C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9725025" y="2847975"/>
          <a:ext cx="9525" cy="175260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333375</xdr:colOff>
      <xdr:row>14</xdr:row>
      <xdr:rowOff>114300</xdr:rowOff>
    </xdr:from>
    <xdr:to>
      <xdr:col>17</xdr:col>
      <xdr:colOff>361950</xdr:colOff>
      <xdr:row>14</xdr:row>
      <xdr:rowOff>133350</xdr:rowOff>
    </xdr:to>
    <xdr:sp macro="" textlink="">
      <xdr:nvSpPr>
        <xdr:cNvPr id="15417" name="Line 422">
          <a:extLst>
            <a:ext uri="{FF2B5EF4-FFF2-40B4-BE49-F238E27FC236}">
              <a16:creationId xmlns:a16="http://schemas.microsoft.com/office/drawing/2014/main" id="{00000000-0008-0000-0A00-0000393C0000}"/>
            </a:ext>
          </a:extLst>
        </xdr:cNvPr>
        <xdr:cNvSpPr>
          <a:spLocks noChangeAspect="1" noChangeShapeType="1"/>
        </xdr:cNvSpPr>
      </xdr:nvSpPr>
      <xdr:spPr bwMode="auto">
        <a:xfrm>
          <a:off x="6372225" y="2847975"/>
          <a:ext cx="3114675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14</xdr:row>
      <xdr:rowOff>104775</xdr:rowOff>
    </xdr:from>
    <xdr:to>
      <xdr:col>11</xdr:col>
      <xdr:colOff>342900</xdr:colOff>
      <xdr:row>14</xdr:row>
      <xdr:rowOff>152400</xdr:rowOff>
    </xdr:to>
    <xdr:sp macro="" textlink="">
      <xdr:nvSpPr>
        <xdr:cNvPr id="15418" name="Freeform 423">
          <a:extLst>
            <a:ext uri="{FF2B5EF4-FFF2-40B4-BE49-F238E27FC236}">
              <a16:creationId xmlns:a16="http://schemas.microsoft.com/office/drawing/2014/main" id="{00000000-0008-0000-0A00-00003A3C0000}"/>
            </a:ext>
          </a:extLst>
        </xdr:cNvPr>
        <xdr:cNvSpPr>
          <a:spLocks noChangeAspect="1"/>
        </xdr:cNvSpPr>
      </xdr:nvSpPr>
      <xdr:spPr bwMode="auto">
        <a:xfrm>
          <a:off x="6219825" y="2838450"/>
          <a:ext cx="161925" cy="47625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3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14</xdr:row>
      <xdr:rowOff>104775</xdr:rowOff>
    </xdr:from>
    <xdr:to>
      <xdr:col>11</xdr:col>
      <xdr:colOff>342900</xdr:colOff>
      <xdr:row>14</xdr:row>
      <xdr:rowOff>152400</xdr:rowOff>
    </xdr:to>
    <xdr:sp macro="" textlink="">
      <xdr:nvSpPr>
        <xdr:cNvPr id="15419" name="Freeform 424">
          <a:extLst>
            <a:ext uri="{FF2B5EF4-FFF2-40B4-BE49-F238E27FC236}">
              <a16:creationId xmlns:a16="http://schemas.microsoft.com/office/drawing/2014/main" id="{00000000-0008-0000-0A00-00003B3C0000}"/>
            </a:ext>
          </a:extLst>
        </xdr:cNvPr>
        <xdr:cNvSpPr>
          <a:spLocks noChangeAspect="1"/>
        </xdr:cNvSpPr>
      </xdr:nvSpPr>
      <xdr:spPr bwMode="auto">
        <a:xfrm>
          <a:off x="6219825" y="2838450"/>
          <a:ext cx="161925" cy="47625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3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342900</xdr:colOff>
      <xdr:row>14</xdr:row>
      <xdr:rowOff>104775</xdr:rowOff>
    </xdr:from>
    <xdr:to>
      <xdr:col>18</xdr:col>
      <xdr:colOff>104775</xdr:colOff>
      <xdr:row>14</xdr:row>
      <xdr:rowOff>142875</xdr:rowOff>
    </xdr:to>
    <xdr:sp macro="" textlink="">
      <xdr:nvSpPr>
        <xdr:cNvPr id="15420" name="Freeform 425">
          <a:extLst>
            <a:ext uri="{FF2B5EF4-FFF2-40B4-BE49-F238E27FC236}">
              <a16:creationId xmlns:a16="http://schemas.microsoft.com/office/drawing/2014/main" id="{00000000-0008-0000-0A00-00003C3C0000}"/>
            </a:ext>
          </a:extLst>
        </xdr:cNvPr>
        <xdr:cNvSpPr>
          <a:spLocks noChangeAspect="1"/>
        </xdr:cNvSpPr>
      </xdr:nvSpPr>
      <xdr:spPr bwMode="auto">
        <a:xfrm>
          <a:off x="9467850" y="2838450"/>
          <a:ext cx="247650" cy="38100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342900</xdr:colOff>
      <xdr:row>14</xdr:row>
      <xdr:rowOff>104775</xdr:rowOff>
    </xdr:from>
    <xdr:to>
      <xdr:col>18</xdr:col>
      <xdr:colOff>104775</xdr:colOff>
      <xdr:row>14</xdr:row>
      <xdr:rowOff>142875</xdr:rowOff>
    </xdr:to>
    <xdr:sp macro="" textlink="">
      <xdr:nvSpPr>
        <xdr:cNvPr id="15421" name="Freeform 426">
          <a:extLst>
            <a:ext uri="{FF2B5EF4-FFF2-40B4-BE49-F238E27FC236}">
              <a16:creationId xmlns:a16="http://schemas.microsoft.com/office/drawing/2014/main" id="{00000000-0008-0000-0A00-00003D3C0000}"/>
            </a:ext>
          </a:extLst>
        </xdr:cNvPr>
        <xdr:cNvSpPr>
          <a:spLocks noChangeAspect="1"/>
        </xdr:cNvSpPr>
      </xdr:nvSpPr>
      <xdr:spPr bwMode="auto">
        <a:xfrm>
          <a:off x="9467850" y="2838450"/>
          <a:ext cx="247650" cy="38100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180975</xdr:colOff>
      <xdr:row>19</xdr:row>
      <xdr:rowOff>47625</xdr:rowOff>
    </xdr:from>
    <xdr:to>
      <xdr:col>11</xdr:col>
      <xdr:colOff>190500</xdr:colOff>
      <xdr:row>19</xdr:row>
      <xdr:rowOff>57150</xdr:rowOff>
    </xdr:to>
    <xdr:sp macro="" textlink="">
      <xdr:nvSpPr>
        <xdr:cNvPr id="15422" name="Line 427">
          <a:extLst>
            <a:ext uri="{FF2B5EF4-FFF2-40B4-BE49-F238E27FC236}">
              <a16:creationId xmlns:a16="http://schemas.microsoft.com/office/drawing/2014/main" id="{00000000-0008-0000-0A00-00003E3C0000}"/>
            </a:ext>
          </a:extLst>
        </xdr:cNvPr>
        <xdr:cNvSpPr>
          <a:spLocks noChangeAspect="1" noChangeShapeType="1"/>
        </xdr:cNvSpPr>
      </xdr:nvSpPr>
      <xdr:spPr bwMode="auto">
        <a:xfrm>
          <a:off x="6219825" y="3590925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114300</xdr:colOff>
      <xdr:row>25</xdr:row>
      <xdr:rowOff>76200</xdr:rowOff>
    </xdr:from>
    <xdr:to>
      <xdr:col>18</xdr:col>
      <xdr:colOff>123825</xdr:colOff>
      <xdr:row>25</xdr:row>
      <xdr:rowOff>85725</xdr:rowOff>
    </xdr:to>
    <xdr:sp macro="" textlink="">
      <xdr:nvSpPr>
        <xdr:cNvPr id="15423" name="Line 428">
          <a:extLst>
            <a:ext uri="{FF2B5EF4-FFF2-40B4-BE49-F238E27FC236}">
              <a16:creationId xmlns:a16="http://schemas.microsoft.com/office/drawing/2014/main" id="{00000000-0008-0000-0A00-00003F3C0000}"/>
            </a:ext>
          </a:extLst>
        </xdr:cNvPr>
        <xdr:cNvSpPr>
          <a:spLocks noChangeAspect="1" noChangeShapeType="1"/>
        </xdr:cNvSpPr>
      </xdr:nvSpPr>
      <xdr:spPr bwMode="auto">
        <a:xfrm>
          <a:off x="9725025" y="459105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114300</xdr:colOff>
      <xdr:row>14</xdr:row>
      <xdr:rowOff>114300</xdr:rowOff>
    </xdr:from>
    <xdr:to>
      <xdr:col>18</xdr:col>
      <xdr:colOff>123825</xdr:colOff>
      <xdr:row>14</xdr:row>
      <xdr:rowOff>133350</xdr:rowOff>
    </xdr:to>
    <xdr:sp macro="" textlink="">
      <xdr:nvSpPr>
        <xdr:cNvPr id="15424" name="Line 429">
          <a:extLst>
            <a:ext uri="{FF2B5EF4-FFF2-40B4-BE49-F238E27FC236}">
              <a16:creationId xmlns:a16="http://schemas.microsoft.com/office/drawing/2014/main" id="{00000000-0008-0000-0A00-0000403C0000}"/>
            </a:ext>
          </a:extLst>
        </xdr:cNvPr>
        <xdr:cNvSpPr>
          <a:spLocks noChangeAspect="1" noChangeShapeType="1"/>
        </xdr:cNvSpPr>
      </xdr:nvSpPr>
      <xdr:spPr bwMode="auto">
        <a:xfrm>
          <a:off x="9725025" y="2847975"/>
          <a:ext cx="9525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38</xdr:row>
      <xdr:rowOff>9525</xdr:rowOff>
    </xdr:from>
    <xdr:to>
      <xdr:col>21</xdr:col>
      <xdr:colOff>133350</xdr:colOff>
      <xdr:row>38</xdr:row>
      <xdr:rowOff>19050</xdr:rowOff>
    </xdr:to>
    <xdr:sp macro="" textlink="">
      <xdr:nvSpPr>
        <xdr:cNvPr id="15425" name="Line 430">
          <a:extLst>
            <a:ext uri="{FF2B5EF4-FFF2-40B4-BE49-F238E27FC236}">
              <a16:creationId xmlns:a16="http://schemas.microsoft.com/office/drawing/2014/main" id="{00000000-0008-0000-0A00-0000413C0000}"/>
            </a:ext>
          </a:extLst>
        </xdr:cNvPr>
        <xdr:cNvSpPr>
          <a:spLocks noChangeAspect="1" noChangeShapeType="1"/>
        </xdr:cNvSpPr>
      </xdr:nvSpPr>
      <xdr:spPr bwMode="auto">
        <a:xfrm>
          <a:off x="8715375" y="6629400"/>
          <a:ext cx="240030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47625</xdr:colOff>
      <xdr:row>33</xdr:row>
      <xdr:rowOff>142875</xdr:rowOff>
    </xdr:from>
    <xdr:to>
      <xdr:col>18</xdr:col>
      <xdr:colOff>161925</xdr:colOff>
      <xdr:row>34</xdr:row>
      <xdr:rowOff>9525</xdr:rowOff>
    </xdr:to>
    <xdr:sp macro="" textlink="">
      <xdr:nvSpPr>
        <xdr:cNvPr id="15426" name="Line 431">
          <a:extLst>
            <a:ext uri="{FF2B5EF4-FFF2-40B4-BE49-F238E27FC236}">
              <a16:creationId xmlns:a16="http://schemas.microsoft.com/office/drawing/2014/main" id="{00000000-0008-0000-0A00-0000423C0000}"/>
            </a:ext>
          </a:extLst>
        </xdr:cNvPr>
        <xdr:cNvSpPr>
          <a:spLocks noChangeAspect="1" noChangeShapeType="1"/>
        </xdr:cNvSpPr>
      </xdr:nvSpPr>
      <xdr:spPr bwMode="auto">
        <a:xfrm>
          <a:off x="8753475" y="5953125"/>
          <a:ext cx="1019175" cy="285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161925</xdr:colOff>
      <xdr:row>34</xdr:row>
      <xdr:rowOff>133350</xdr:rowOff>
    </xdr:from>
    <xdr:to>
      <xdr:col>18</xdr:col>
      <xdr:colOff>161925</xdr:colOff>
      <xdr:row>36</xdr:row>
      <xdr:rowOff>142875</xdr:rowOff>
    </xdr:to>
    <xdr:sp macro="" textlink="">
      <xdr:nvSpPr>
        <xdr:cNvPr id="15427" name="Line 432">
          <a:extLst>
            <a:ext uri="{FF2B5EF4-FFF2-40B4-BE49-F238E27FC236}">
              <a16:creationId xmlns:a16="http://schemas.microsoft.com/office/drawing/2014/main" id="{00000000-0008-0000-0A00-0000433C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9772650" y="6105525"/>
          <a:ext cx="0" cy="3333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142875</xdr:colOff>
      <xdr:row>36</xdr:row>
      <xdr:rowOff>142875</xdr:rowOff>
    </xdr:from>
    <xdr:to>
      <xdr:col>18</xdr:col>
      <xdr:colOff>200025</xdr:colOff>
      <xdr:row>37</xdr:row>
      <xdr:rowOff>142875</xdr:rowOff>
    </xdr:to>
    <xdr:sp macro="" textlink="">
      <xdr:nvSpPr>
        <xdr:cNvPr id="15428" name="Freeform 433">
          <a:extLst>
            <a:ext uri="{FF2B5EF4-FFF2-40B4-BE49-F238E27FC236}">
              <a16:creationId xmlns:a16="http://schemas.microsoft.com/office/drawing/2014/main" id="{00000000-0008-0000-0A00-0000443C0000}"/>
            </a:ext>
          </a:extLst>
        </xdr:cNvPr>
        <xdr:cNvSpPr>
          <a:spLocks noChangeAspect="1"/>
        </xdr:cNvSpPr>
      </xdr:nvSpPr>
      <xdr:spPr bwMode="auto">
        <a:xfrm>
          <a:off x="9753600" y="6438900"/>
          <a:ext cx="57150" cy="161925"/>
        </a:xfrm>
        <a:custGeom>
          <a:avLst/>
          <a:gdLst>
            <a:gd name="T0" fmla="*/ 0 w 128"/>
            <a:gd name="T1" fmla="*/ 0 h 382"/>
            <a:gd name="T2" fmla="*/ 0 w 128"/>
            <a:gd name="T3" fmla="*/ 0 h 382"/>
            <a:gd name="T4" fmla="*/ 0 w 128"/>
            <a:gd name="T5" fmla="*/ 2147483647 h 382"/>
            <a:gd name="T6" fmla="*/ 0 w 128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8"/>
            <a:gd name="T13" fmla="*/ 0 h 382"/>
            <a:gd name="T14" fmla="*/ 128 w 128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8" h="382">
              <a:moveTo>
                <a:pt x="0" y="0"/>
              </a:moveTo>
              <a:lnTo>
                <a:pt x="128" y="0"/>
              </a:lnTo>
              <a:lnTo>
                <a:pt x="64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142875</xdr:colOff>
      <xdr:row>36</xdr:row>
      <xdr:rowOff>142875</xdr:rowOff>
    </xdr:from>
    <xdr:to>
      <xdr:col>18</xdr:col>
      <xdr:colOff>200025</xdr:colOff>
      <xdr:row>37</xdr:row>
      <xdr:rowOff>142875</xdr:rowOff>
    </xdr:to>
    <xdr:sp macro="" textlink="">
      <xdr:nvSpPr>
        <xdr:cNvPr id="15429" name="Freeform 434">
          <a:extLst>
            <a:ext uri="{FF2B5EF4-FFF2-40B4-BE49-F238E27FC236}">
              <a16:creationId xmlns:a16="http://schemas.microsoft.com/office/drawing/2014/main" id="{00000000-0008-0000-0A00-0000453C0000}"/>
            </a:ext>
          </a:extLst>
        </xdr:cNvPr>
        <xdr:cNvSpPr>
          <a:spLocks noChangeAspect="1"/>
        </xdr:cNvSpPr>
      </xdr:nvSpPr>
      <xdr:spPr bwMode="auto">
        <a:xfrm>
          <a:off x="9753600" y="6438900"/>
          <a:ext cx="57150" cy="161925"/>
        </a:xfrm>
        <a:custGeom>
          <a:avLst/>
          <a:gdLst>
            <a:gd name="T0" fmla="*/ 0 w 128"/>
            <a:gd name="T1" fmla="*/ 0 h 382"/>
            <a:gd name="T2" fmla="*/ 0 w 128"/>
            <a:gd name="T3" fmla="*/ 0 h 382"/>
            <a:gd name="T4" fmla="*/ 0 w 128"/>
            <a:gd name="T5" fmla="*/ 2147483647 h 382"/>
            <a:gd name="T6" fmla="*/ 0 w 128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8"/>
            <a:gd name="T13" fmla="*/ 0 h 382"/>
            <a:gd name="T14" fmla="*/ 128 w 128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8" h="382">
              <a:moveTo>
                <a:pt x="0" y="0"/>
              </a:moveTo>
              <a:lnTo>
                <a:pt x="128" y="0"/>
              </a:lnTo>
              <a:lnTo>
                <a:pt x="64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142875</xdr:colOff>
      <xdr:row>33</xdr:row>
      <xdr:rowOff>142875</xdr:rowOff>
    </xdr:from>
    <xdr:to>
      <xdr:col>18</xdr:col>
      <xdr:colOff>200025</xdr:colOff>
      <xdr:row>34</xdr:row>
      <xdr:rowOff>142875</xdr:rowOff>
    </xdr:to>
    <xdr:sp macro="" textlink="">
      <xdr:nvSpPr>
        <xdr:cNvPr id="15430" name="Freeform 435">
          <a:extLst>
            <a:ext uri="{FF2B5EF4-FFF2-40B4-BE49-F238E27FC236}">
              <a16:creationId xmlns:a16="http://schemas.microsoft.com/office/drawing/2014/main" id="{00000000-0008-0000-0A00-0000463C0000}"/>
            </a:ext>
          </a:extLst>
        </xdr:cNvPr>
        <xdr:cNvSpPr>
          <a:spLocks noChangeAspect="1"/>
        </xdr:cNvSpPr>
      </xdr:nvSpPr>
      <xdr:spPr bwMode="auto">
        <a:xfrm>
          <a:off x="9753600" y="5953125"/>
          <a:ext cx="57150" cy="161925"/>
        </a:xfrm>
        <a:custGeom>
          <a:avLst/>
          <a:gdLst>
            <a:gd name="T0" fmla="*/ 0 w 128"/>
            <a:gd name="T1" fmla="*/ 2147483647 h 382"/>
            <a:gd name="T2" fmla="*/ 0 w 128"/>
            <a:gd name="T3" fmla="*/ 2147483647 h 382"/>
            <a:gd name="T4" fmla="*/ 0 w 128"/>
            <a:gd name="T5" fmla="*/ 0 h 382"/>
            <a:gd name="T6" fmla="*/ 0 w 128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8"/>
            <a:gd name="T13" fmla="*/ 0 h 382"/>
            <a:gd name="T14" fmla="*/ 128 w 128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8" h="382">
              <a:moveTo>
                <a:pt x="0" y="382"/>
              </a:moveTo>
              <a:lnTo>
                <a:pt x="128" y="382"/>
              </a:lnTo>
              <a:lnTo>
                <a:pt x="64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142875</xdr:colOff>
      <xdr:row>33</xdr:row>
      <xdr:rowOff>142875</xdr:rowOff>
    </xdr:from>
    <xdr:to>
      <xdr:col>18</xdr:col>
      <xdr:colOff>200025</xdr:colOff>
      <xdr:row>34</xdr:row>
      <xdr:rowOff>142875</xdr:rowOff>
    </xdr:to>
    <xdr:sp macro="" textlink="">
      <xdr:nvSpPr>
        <xdr:cNvPr id="15431" name="Freeform 436">
          <a:extLst>
            <a:ext uri="{FF2B5EF4-FFF2-40B4-BE49-F238E27FC236}">
              <a16:creationId xmlns:a16="http://schemas.microsoft.com/office/drawing/2014/main" id="{00000000-0008-0000-0A00-0000473C0000}"/>
            </a:ext>
          </a:extLst>
        </xdr:cNvPr>
        <xdr:cNvSpPr>
          <a:spLocks noChangeAspect="1"/>
        </xdr:cNvSpPr>
      </xdr:nvSpPr>
      <xdr:spPr bwMode="auto">
        <a:xfrm>
          <a:off x="9753600" y="5953125"/>
          <a:ext cx="57150" cy="161925"/>
        </a:xfrm>
        <a:custGeom>
          <a:avLst/>
          <a:gdLst>
            <a:gd name="T0" fmla="*/ 0 w 128"/>
            <a:gd name="T1" fmla="*/ 2147483647 h 382"/>
            <a:gd name="T2" fmla="*/ 0 w 128"/>
            <a:gd name="T3" fmla="*/ 2147483647 h 382"/>
            <a:gd name="T4" fmla="*/ 0 w 128"/>
            <a:gd name="T5" fmla="*/ 0 h 382"/>
            <a:gd name="T6" fmla="*/ 0 w 128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8"/>
            <a:gd name="T13" fmla="*/ 0 h 382"/>
            <a:gd name="T14" fmla="*/ 128 w 128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8" h="382">
              <a:moveTo>
                <a:pt x="0" y="382"/>
              </a:moveTo>
              <a:lnTo>
                <a:pt x="128" y="382"/>
              </a:lnTo>
              <a:lnTo>
                <a:pt x="64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38</xdr:row>
      <xdr:rowOff>9525</xdr:rowOff>
    </xdr:from>
    <xdr:to>
      <xdr:col>16</xdr:col>
      <xdr:colOff>9525</xdr:colOff>
      <xdr:row>38</xdr:row>
      <xdr:rowOff>9525</xdr:rowOff>
    </xdr:to>
    <xdr:sp macro="" textlink="">
      <xdr:nvSpPr>
        <xdr:cNvPr id="15432" name="Line 437">
          <a:extLst>
            <a:ext uri="{FF2B5EF4-FFF2-40B4-BE49-F238E27FC236}">
              <a16:creationId xmlns:a16="http://schemas.microsoft.com/office/drawing/2014/main" id="{00000000-0008-0000-0A00-0000483C0000}"/>
            </a:ext>
          </a:extLst>
        </xdr:cNvPr>
        <xdr:cNvSpPr>
          <a:spLocks noChangeAspect="1" noChangeShapeType="1"/>
        </xdr:cNvSpPr>
      </xdr:nvSpPr>
      <xdr:spPr bwMode="auto">
        <a:xfrm>
          <a:off x="8715375" y="6629400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47625</xdr:colOff>
      <xdr:row>33</xdr:row>
      <xdr:rowOff>142875</xdr:rowOff>
    </xdr:from>
    <xdr:to>
      <xdr:col>16</xdr:col>
      <xdr:colOff>47625</xdr:colOff>
      <xdr:row>34</xdr:row>
      <xdr:rowOff>9525</xdr:rowOff>
    </xdr:to>
    <xdr:sp macro="" textlink="">
      <xdr:nvSpPr>
        <xdr:cNvPr id="15433" name="Line 438">
          <a:extLst>
            <a:ext uri="{FF2B5EF4-FFF2-40B4-BE49-F238E27FC236}">
              <a16:creationId xmlns:a16="http://schemas.microsoft.com/office/drawing/2014/main" id="{00000000-0008-0000-0A00-0000493C0000}"/>
            </a:ext>
          </a:extLst>
        </xdr:cNvPr>
        <xdr:cNvSpPr>
          <a:spLocks noChangeAspect="1" noChangeShapeType="1"/>
        </xdr:cNvSpPr>
      </xdr:nvSpPr>
      <xdr:spPr bwMode="auto">
        <a:xfrm>
          <a:off x="8753475" y="5953125"/>
          <a:ext cx="0" cy="285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161925</xdr:colOff>
      <xdr:row>33</xdr:row>
      <xdr:rowOff>142875</xdr:rowOff>
    </xdr:from>
    <xdr:to>
      <xdr:col>18</xdr:col>
      <xdr:colOff>161925</xdr:colOff>
      <xdr:row>34</xdr:row>
      <xdr:rowOff>9525</xdr:rowOff>
    </xdr:to>
    <xdr:sp macro="" textlink="">
      <xdr:nvSpPr>
        <xdr:cNvPr id="15434" name="Line 439">
          <a:extLst>
            <a:ext uri="{FF2B5EF4-FFF2-40B4-BE49-F238E27FC236}">
              <a16:creationId xmlns:a16="http://schemas.microsoft.com/office/drawing/2014/main" id="{00000000-0008-0000-0A00-00004A3C0000}"/>
            </a:ext>
          </a:extLst>
        </xdr:cNvPr>
        <xdr:cNvSpPr>
          <a:spLocks noChangeAspect="1" noChangeShapeType="1"/>
        </xdr:cNvSpPr>
      </xdr:nvSpPr>
      <xdr:spPr bwMode="auto">
        <a:xfrm>
          <a:off x="9772650" y="5953125"/>
          <a:ext cx="0" cy="285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180975</xdr:colOff>
      <xdr:row>30</xdr:row>
      <xdr:rowOff>114300</xdr:rowOff>
    </xdr:from>
    <xdr:to>
      <xdr:col>19</xdr:col>
      <xdr:colOff>352425</xdr:colOff>
      <xdr:row>30</xdr:row>
      <xdr:rowOff>133350</xdr:rowOff>
    </xdr:to>
    <xdr:sp macro="" textlink="">
      <xdr:nvSpPr>
        <xdr:cNvPr id="15435" name="Line 441">
          <a:extLst>
            <a:ext uri="{FF2B5EF4-FFF2-40B4-BE49-F238E27FC236}">
              <a16:creationId xmlns:a16="http://schemas.microsoft.com/office/drawing/2014/main" id="{00000000-0008-0000-0A00-00004B3C0000}"/>
            </a:ext>
          </a:extLst>
        </xdr:cNvPr>
        <xdr:cNvSpPr>
          <a:spLocks noChangeAspect="1" noChangeShapeType="1"/>
        </xdr:cNvSpPr>
      </xdr:nvSpPr>
      <xdr:spPr bwMode="auto">
        <a:xfrm>
          <a:off x="8886825" y="5438775"/>
          <a:ext cx="1381125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361950</xdr:colOff>
      <xdr:row>31</xdr:row>
      <xdr:rowOff>104775</xdr:rowOff>
    </xdr:from>
    <xdr:to>
      <xdr:col>19</xdr:col>
      <xdr:colOff>371475</xdr:colOff>
      <xdr:row>36</xdr:row>
      <xdr:rowOff>142875</xdr:rowOff>
    </xdr:to>
    <xdr:sp macro="" textlink="">
      <xdr:nvSpPr>
        <xdr:cNvPr id="15436" name="Line 442">
          <a:extLst>
            <a:ext uri="{FF2B5EF4-FFF2-40B4-BE49-F238E27FC236}">
              <a16:creationId xmlns:a16="http://schemas.microsoft.com/office/drawing/2014/main" id="{00000000-0008-0000-0A00-00004C3C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10277475" y="5591175"/>
          <a:ext cx="9525" cy="8477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333375</xdr:colOff>
      <xdr:row>36</xdr:row>
      <xdr:rowOff>142875</xdr:rowOff>
    </xdr:from>
    <xdr:to>
      <xdr:col>19</xdr:col>
      <xdr:colOff>390525</xdr:colOff>
      <xdr:row>37</xdr:row>
      <xdr:rowOff>142875</xdr:rowOff>
    </xdr:to>
    <xdr:sp macro="" textlink="">
      <xdr:nvSpPr>
        <xdr:cNvPr id="15437" name="Freeform 443">
          <a:extLst>
            <a:ext uri="{FF2B5EF4-FFF2-40B4-BE49-F238E27FC236}">
              <a16:creationId xmlns:a16="http://schemas.microsoft.com/office/drawing/2014/main" id="{00000000-0008-0000-0A00-00004D3C0000}"/>
            </a:ext>
          </a:extLst>
        </xdr:cNvPr>
        <xdr:cNvSpPr>
          <a:spLocks noChangeAspect="1"/>
        </xdr:cNvSpPr>
      </xdr:nvSpPr>
      <xdr:spPr bwMode="auto">
        <a:xfrm>
          <a:off x="10248900" y="6438900"/>
          <a:ext cx="57150" cy="161925"/>
        </a:xfrm>
        <a:custGeom>
          <a:avLst/>
          <a:gdLst>
            <a:gd name="T0" fmla="*/ 0 w 127"/>
            <a:gd name="T1" fmla="*/ 0 h 382"/>
            <a:gd name="T2" fmla="*/ 0 w 127"/>
            <a:gd name="T3" fmla="*/ 0 h 382"/>
            <a:gd name="T4" fmla="*/ 0 w 127"/>
            <a:gd name="T5" fmla="*/ 2147483647 h 382"/>
            <a:gd name="T6" fmla="*/ 0 w 127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0"/>
              </a:moveTo>
              <a:lnTo>
                <a:pt x="127" y="0"/>
              </a:lnTo>
              <a:lnTo>
                <a:pt x="64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333375</xdr:colOff>
      <xdr:row>36</xdr:row>
      <xdr:rowOff>142875</xdr:rowOff>
    </xdr:from>
    <xdr:to>
      <xdr:col>19</xdr:col>
      <xdr:colOff>390525</xdr:colOff>
      <xdr:row>37</xdr:row>
      <xdr:rowOff>142875</xdr:rowOff>
    </xdr:to>
    <xdr:sp macro="" textlink="">
      <xdr:nvSpPr>
        <xdr:cNvPr id="15438" name="Freeform 444">
          <a:extLst>
            <a:ext uri="{FF2B5EF4-FFF2-40B4-BE49-F238E27FC236}">
              <a16:creationId xmlns:a16="http://schemas.microsoft.com/office/drawing/2014/main" id="{00000000-0008-0000-0A00-00004E3C0000}"/>
            </a:ext>
          </a:extLst>
        </xdr:cNvPr>
        <xdr:cNvSpPr>
          <a:spLocks noChangeAspect="1"/>
        </xdr:cNvSpPr>
      </xdr:nvSpPr>
      <xdr:spPr bwMode="auto">
        <a:xfrm>
          <a:off x="10248900" y="6438900"/>
          <a:ext cx="57150" cy="161925"/>
        </a:xfrm>
        <a:custGeom>
          <a:avLst/>
          <a:gdLst>
            <a:gd name="T0" fmla="*/ 0 w 127"/>
            <a:gd name="T1" fmla="*/ 0 h 382"/>
            <a:gd name="T2" fmla="*/ 0 w 127"/>
            <a:gd name="T3" fmla="*/ 0 h 382"/>
            <a:gd name="T4" fmla="*/ 0 w 127"/>
            <a:gd name="T5" fmla="*/ 2147483647 h 382"/>
            <a:gd name="T6" fmla="*/ 0 w 127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0"/>
              </a:moveTo>
              <a:lnTo>
                <a:pt x="127" y="0"/>
              </a:lnTo>
              <a:lnTo>
                <a:pt x="64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333375</xdr:colOff>
      <xdr:row>30</xdr:row>
      <xdr:rowOff>114300</xdr:rowOff>
    </xdr:from>
    <xdr:to>
      <xdr:col>19</xdr:col>
      <xdr:colOff>390525</xdr:colOff>
      <xdr:row>31</xdr:row>
      <xdr:rowOff>114300</xdr:rowOff>
    </xdr:to>
    <xdr:sp macro="" textlink="">
      <xdr:nvSpPr>
        <xdr:cNvPr id="15439" name="Freeform 445">
          <a:extLst>
            <a:ext uri="{FF2B5EF4-FFF2-40B4-BE49-F238E27FC236}">
              <a16:creationId xmlns:a16="http://schemas.microsoft.com/office/drawing/2014/main" id="{00000000-0008-0000-0A00-00004F3C0000}"/>
            </a:ext>
          </a:extLst>
        </xdr:cNvPr>
        <xdr:cNvSpPr>
          <a:spLocks noChangeAspect="1"/>
        </xdr:cNvSpPr>
      </xdr:nvSpPr>
      <xdr:spPr bwMode="auto">
        <a:xfrm>
          <a:off x="10248900" y="5438775"/>
          <a:ext cx="57150" cy="161925"/>
        </a:xfrm>
        <a:custGeom>
          <a:avLst/>
          <a:gdLst>
            <a:gd name="T0" fmla="*/ 0 w 127"/>
            <a:gd name="T1" fmla="*/ 2147483647 h 381"/>
            <a:gd name="T2" fmla="*/ 0 w 127"/>
            <a:gd name="T3" fmla="*/ 2147483647 h 381"/>
            <a:gd name="T4" fmla="*/ 0 w 127"/>
            <a:gd name="T5" fmla="*/ 0 h 381"/>
            <a:gd name="T6" fmla="*/ 0 w 127"/>
            <a:gd name="T7" fmla="*/ 2147483647 h 381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1"/>
            <a:gd name="T14" fmla="*/ 127 w 127"/>
            <a:gd name="T15" fmla="*/ 381 h 38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1">
              <a:moveTo>
                <a:pt x="0" y="381"/>
              </a:moveTo>
              <a:lnTo>
                <a:pt x="127" y="381"/>
              </a:lnTo>
              <a:lnTo>
                <a:pt x="64" y="0"/>
              </a:lnTo>
              <a:lnTo>
                <a:pt x="0" y="381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333375</xdr:colOff>
      <xdr:row>30</xdr:row>
      <xdr:rowOff>114300</xdr:rowOff>
    </xdr:from>
    <xdr:to>
      <xdr:col>19</xdr:col>
      <xdr:colOff>390525</xdr:colOff>
      <xdr:row>31</xdr:row>
      <xdr:rowOff>114300</xdr:rowOff>
    </xdr:to>
    <xdr:sp macro="" textlink="">
      <xdr:nvSpPr>
        <xdr:cNvPr id="15440" name="Freeform 446">
          <a:extLst>
            <a:ext uri="{FF2B5EF4-FFF2-40B4-BE49-F238E27FC236}">
              <a16:creationId xmlns:a16="http://schemas.microsoft.com/office/drawing/2014/main" id="{00000000-0008-0000-0A00-0000503C0000}"/>
            </a:ext>
          </a:extLst>
        </xdr:cNvPr>
        <xdr:cNvSpPr>
          <a:spLocks noChangeAspect="1"/>
        </xdr:cNvSpPr>
      </xdr:nvSpPr>
      <xdr:spPr bwMode="auto">
        <a:xfrm>
          <a:off x="10248900" y="5438775"/>
          <a:ext cx="57150" cy="161925"/>
        </a:xfrm>
        <a:custGeom>
          <a:avLst/>
          <a:gdLst>
            <a:gd name="T0" fmla="*/ 0 w 127"/>
            <a:gd name="T1" fmla="*/ 2147483647 h 381"/>
            <a:gd name="T2" fmla="*/ 0 w 127"/>
            <a:gd name="T3" fmla="*/ 2147483647 h 381"/>
            <a:gd name="T4" fmla="*/ 0 w 127"/>
            <a:gd name="T5" fmla="*/ 0 h 381"/>
            <a:gd name="T6" fmla="*/ 0 w 127"/>
            <a:gd name="T7" fmla="*/ 2147483647 h 381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1"/>
            <a:gd name="T14" fmla="*/ 127 w 127"/>
            <a:gd name="T15" fmla="*/ 381 h 38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1">
              <a:moveTo>
                <a:pt x="0" y="381"/>
              </a:moveTo>
              <a:lnTo>
                <a:pt x="127" y="381"/>
              </a:lnTo>
              <a:lnTo>
                <a:pt x="64" y="0"/>
              </a:lnTo>
              <a:lnTo>
                <a:pt x="0" y="381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38</xdr:row>
      <xdr:rowOff>9525</xdr:rowOff>
    </xdr:from>
    <xdr:to>
      <xdr:col>16</xdr:col>
      <xdr:colOff>9525</xdr:colOff>
      <xdr:row>38</xdr:row>
      <xdr:rowOff>9525</xdr:rowOff>
    </xdr:to>
    <xdr:sp macro="" textlink="">
      <xdr:nvSpPr>
        <xdr:cNvPr id="15441" name="Line 447">
          <a:extLst>
            <a:ext uri="{FF2B5EF4-FFF2-40B4-BE49-F238E27FC236}">
              <a16:creationId xmlns:a16="http://schemas.microsoft.com/office/drawing/2014/main" id="{00000000-0008-0000-0A00-0000513C0000}"/>
            </a:ext>
          </a:extLst>
        </xdr:cNvPr>
        <xdr:cNvSpPr>
          <a:spLocks noChangeAspect="1" noChangeShapeType="1"/>
        </xdr:cNvSpPr>
      </xdr:nvSpPr>
      <xdr:spPr bwMode="auto">
        <a:xfrm>
          <a:off x="8715375" y="6629400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180975</xdr:colOff>
      <xdr:row>30</xdr:row>
      <xdr:rowOff>114300</xdr:rowOff>
    </xdr:from>
    <xdr:to>
      <xdr:col>16</xdr:col>
      <xdr:colOff>190500</xdr:colOff>
      <xdr:row>30</xdr:row>
      <xdr:rowOff>133350</xdr:rowOff>
    </xdr:to>
    <xdr:sp macro="" textlink="">
      <xdr:nvSpPr>
        <xdr:cNvPr id="15442" name="Line 448">
          <a:extLst>
            <a:ext uri="{FF2B5EF4-FFF2-40B4-BE49-F238E27FC236}">
              <a16:creationId xmlns:a16="http://schemas.microsoft.com/office/drawing/2014/main" id="{00000000-0008-0000-0A00-0000523C0000}"/>
            </a:ext>
          </a:extLst>
        </xdr:cNvPr>
        <xdr:cNvSpPr>
          <a:spLocks noChangeAspect="1" noChangeShapeType="1"/>
        </xdr:cNvSpPr>
      </xdr:nvSpPr>
      <xdr:spPr bwMode="auto">
        <a:xfrm>
          <a:off x="8886825" y="5438775"/>
          <a:ext cx="9525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361950</xdr:colOff>
      <xdr:row>30</xdr:row>
      <xdr:rowOff>114300</xdr:rowOff>
    </xdr:from>
    <xdr:to>
      <xdr:col>19</xdr:col>
      <xdr:colOff>371475</xdr:colOff>
      <xdr:row>30</xdr:row>
      <xdr:rowOff>133350</xdr:rowOff>
    </xdr:to>
    <xdr:sp macro="" textlink="">
      <xdr:nvSpPr>
        <xdr:cNvPr id="15443" name="Line 449">
          <a:extLst>
            <a:ext uri="{FF2B5EF4-FFF2-40B4-BE49-F238E27FC236}">
              <a16:creationId xmlns:a16="http://schemas.microsoft.com/office/drawing/2014/main" id="{00000000-0008-0000-0A00-0000533C0000}"/>
            </a:ext>
          </a:extLst>
        </xdr:cNvPr>
        <xdr:cNvSpPr>
          <a:spLocks noChangeAspect="1" noChangeShapeType="1"/>
        </xdr:cNvSpPr>
      </xdr:nvSpPr>
      <xdr:spPr bwMode="auto">
        <a:xfrm>
          <a:off x="10277475" y="5438775"/>
          <a:ext cx="9525" cy="19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152400</xdr:colOff>
      <xdr:row>27</xdr:row>
      <xdr:rowOff>104775</xdr:rowOff>
    </xdr:from>
    <xdr:to>
      <xdr:col>20</xdr:col>
      <xdr:colOff>123825</xdr:colOff>
      <xdr:row>27</xdr:row>
      <xdr:rowOff>114300</xdr:rowOff>
    </xdr:to>
    <xdr:sp macro="" textlink="">
      <xdr:nvSpPr>
        <xdr:cNvPr id="15444" name="Line 450">
          <a:extLst>
            <a:ext uri="{FF2B5EF4-FFF2-40B4-BE49-F238E27FC236}">
              <a16:creationId xmlns:a16="http://schemas.microsoft.com/office/drawing/2014/main" id="{00000000-0008-0000-0A00-0000543C0000}"/>
            </a:ext>
          </a:extLst>
        </xdr:cNvPr>
        <xdr:cNvSpPr>
          <a:spLocks noChangeAspect="1" noChangeShapeType="1"/>
        </xdr:cNvSpPr>
      </xdr:nvSpPr>
      <xdr:spPr bwMode="auto">
        <a:xfrm>
          <a:off x="9277350" y="4943475"/>
          <a:ext cx="129540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20</xdr:col>
      <xdr:colOff>123825</xdr:colOff>
      <xdr:row>28</xdr:row>
      <xdr:rowOff>114300</xdr:rowOff>
    </xdr:from>
    <xdr:to>
      <xdr:col>20</xdr:col>
      <xdr:colOff>133350</xdr:colOff>
      <xdr:row>37</xdr:row>
      <xdr:rowOff>9525</xdr:rowOff>
    </xdr:to>
    <xdr:sp macro="" textlink="">
      <xdr:nvSpPr>
        <xdr:cNvPr id="15445" name="Line 452">
          <a:extLst>
            <a:ext uri="{FF2B5EF4-FFF2-40B4-BE49-F238E27FC236}">
              <a16:creationId xmlns:a16="http://schemas.microsoft.com/office/drawing/2014/main" id="{00000000-0008-0000-0A00-0000553C0000}"/>
            </a:ext>
          </a:extLst>
        </xdr:cNvPr>
        <xdr:cNvSpPr>
          <a:spLocks noChangeAspect="1" noChangeShapeType="1"/>
        </xdr:cNvSpPr>
      </xdr:nvSpPr>
      <xdr:spPr bwMode="auto">
        <a:xfrm>
          <a:off x="10572750" y="5114925"/>
          <a:ext cx="9525" cy="13525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20</xdr:col>
      <xdr:colOff>104775</xdr:colOff>
      <xdr:row>27</xdr:row>
      <xdr:rowOff>104775</xdr:rowOff>
    </xdr:from>
    <xdr:to>
      <xdr:col>20</xdr:col>
      <xdr:colOff>142875</xdr:colOff>
      <xdr:row>28</xdr:row>
      <xdr:rowOff>85725</xdr:rowOff>
    </xdr:to>
    <xdr:sp macro="" textlink="">
      <xdr:nvSpPr>
        <xdr:cNvPr id="15446" name="Freeform 453">
          <a:extLst>
            <a:ext uri="{FF2B5EF4-FFF2-40B4-BE49-F238E27FC236}">
              <a16:creationId xmlns:a16="http://schemas.microsoft.com/office/drawing/2014/main" id="{00000000-0008-0000-0A00-0000563C0000}"/>
            </a:ext>
          </a:extLst>
        </xdr:cNvPr>
        <xdr:cNvSpPr>
          <a:spLocks noChangeAspect="1"/>
        </xdr:cNvSpPr>
      </xdr:nvSpPr>
      <xdr:spPr bwMode="auto">
        <a:xfrm>
          <a:off x="10553700" y="4943475"/>
          <a:ext cx="38100" cy="142875"/>
        </a:xfrm>
        <a:custGeom>
          <a:avLst/>
          <a:gdLst>
            <a:gd name="T0" fmla="*/ 0 w 127"/>
            <a:gd name="T1" fmla="*/ 2147483647 h 382"/>
            <a:gd name="T2" fmla="*/ 0 w 127"/>
            <a:gd name="T3" fmla="*/ 2147483647 h 382"/>
            <a:gd name="T4" fmla="*/ 0 w 127"/>
            <a:gd name="T5" fmla="*/ 0 h 382"/>
            <a:gd name="T6" fmla="*/ 0 w 127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382"/>
              </a:moveTo>
              <a:lnTo>
                <a:pt x="127" y="382"/>
              </a:lnTo>
              <a:lnTo>
                <a:pt x="64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20</xdr:col>
      <xdr:colOff>104775</xdr:colOff>
      <xdr:row>27</xdr:row>
      <xdr:rowOff>104775</xdr:rowOff>
    </xdr:from>
    <xdr:to>
      <xdr:col>20</xdr:col>
      <xdr:colOff>142875</xdr:colOff>
      <xdr:row>28</xdr:row>
      <xdr:rowOff>85725</xdr:rowOff>
    </xdr:to>
    <xdr:sp macro="" textlink="">
      <xdr:nvSpPr>
        <xdr:cNvPr id="15447" name="Freeform 454">
          <a:extLst>
            <a:ext uri="{FF2B5EF4-FFF2-40B4-BE49-F238E27FC236}">
              <a16:creationId xmlns:a16="http://schemas.microsoft.com/office/drawing/2014/main" id="{00000000-0008-0000-0A00-0000573C0000}"/>
            </a:ext>
          </a:extLst>
        </xdr:cNvPr>
        <xdr:cNvSpPr>
          <a:spLocks noChangeAspect="1"/>
        </xdr:cNvSpPr>
      </xdr:nvSpPr>
      <xdr:spPr bwMode="auto">
        <a:xfrm>
          <a:off x="10553700" y="4943475"/>
          <a:ext cx="38100" cy="142875"/>
        </a:xfrm>
        <a:custGeom>
          <a:avLst/>
          <a:gdLst>
            <a:gd name="T0" fmla="*/ 0 w 127"/>
            <a:gd name="T1" fmla="*/ 2147483647 h 382"/>
            <a:gd name="T2" fmla="*/ 0 w 127"/>
            <a:gd name="T3" fmla="*/ 2147483647 h 382"/>
            <a:gd name="T4" fmla="*/ 0 w 127"/>
            <a:gd name="T5" fmla="*/ 0 h 382"/>
            <a:gd name="T6" fmla="*/ 0 w 127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382"/>
              </a:moveTo>
              <a:lnTo>
                <a:pt x="127" y="382"/>
              </a:lnTo>
              <a:lnTo>
                <a:pt x="64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20</xdr:col>
      <xdr:colOff>104775</xdr:colOff>
      <xdr:row>36</xdr:row>
      <xdr:rowOff>142875</xdr:rowOff>
    </xdr:from>
    <xdr:to>
      <xdr:col>20</xdr:col>
      <xdr:colOff>142875</xdr:colOff>
      <xdr:row>37</xdr:row>
      <xdr:rowOff>142875</xdr:rowOff>
    </xdr:to>
    <xdr:sp macro="" textlink="">
      <xdr:nvSpPr>
        <xdr:cNvPr id="15448" name="Freeform 455">
          <a:extLst>
            <a:ext uri="{FF2B5EF4-FFF2-40B4-BE49-F238E27FC236}">
              <a16:creationId xmlns:a16="http://schemas.microsoft.com/office/drawing/2014/main" id="{00000000-0008-0000-0A00-0000583C0000}"/>
            </a:ext>
          </a:extLst>
        </xdr:cNvPr>
        <xdr:cNvSpPr>
          <a:spLocks noChangeAspect="1"/>
        </xdr:cNvSpPr>
      </xdr:nvSpPr>
      <xdr:spPr bwMode="auto">
        <a:xfrm>
          <a:off x="10553700" y="6438900"/>
          <a:ext cx="38100" cy="161925"/>
        </a:xfrm>
        <a:custGeom>
          <a:avLst/>
          <a:gdLst>
            <a:gd name="T0" fmla="*/ 0 w 127"/>
            <a:gd name="T1" fmla="*/ 0 h 382"/>
            <a:gd name="T2" fmla="*/ 0 w 127"/>
            <a:gd name="T3" fmla="*/ 0 h 382"/>
            <a:gd name="T4" fmla="*/ 0 w 127"/>
            <a:gd name="T5" fmla="*/ 2147483647 h 382"/>
            <a:gd name="T6" fmla="*/ 0 w 127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0"/>
              </a:moveTo>
              <a:lnTo>
                <a:pt x="127" y="0"/>
              </a:lnTo>
              <a:lnTo>
                <a:pt x="64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20</xdr:col>
      <xdr:colOff>104775</xdr:colOff>
      <xdr:row>36</xdr:row>
      <xdr:rowOff>142875</xdr:rowOff>
    </xdr:from>
    <xdr:to>
      <xdr:col>20</xdr:col>
      <xdr:colOff>142875</xdr:colOff>
      <xdr:row>37</xdr:row>
      <xdr:rowOff>142875</xdr:rowOff>
    </xdr:to>
    <xdr:sp macro="" textlink="">
      <xdr:nvSpPr>
        <xdr:cNvPr id="15449" name="Freeform 456">
          <a:extLst>
            <a:ext uri="{FF2B5EF4-FFF2-40B4-BE49-F238E27FC236}">
              <a16:creationId xmlns:a16="http://schemas.microsoft.com/office/drawing/2014/main" id="{00000000-0008-0000-0A00-0000593C0000}"/>
            </a:ext>
          </a:extLst>
        </xdr:cNvPr>
        <xdr:cNvSpPr>
          <a:spLocks noChangeAspect="1"/>
        </xdr:cNvSpPr>
      </xdr:nvSpPr>
      <xdr:spPr bwMode="auto">
        <a:xfrm>
          <a:off x="10553700" y="6438900"/>
          <a:ext cx="38100" cy="161925"/>
        </a:xfrm>
        <a:custGeom>
          <a:avLst/>
          <a:gdLst>
            <a:gd name="T0" fmla="*/ 0 w 127"/>
            <a:gd name="T1" fmla="*/ 0 h 382"/>
            <a:gd name="T2" fmla="*/ 0 w 127"/>
            <a:gd name="T3" fmla="*/ 0 h 382"/>
            <a:gd name="T4" fmla="*/ 0 w 127"/>
            <a:gd name="T5" fmla="*/ 2147483647 h 382"/>
            <a:gd name="T6" fmla="*/ 0 w 127"/>
            <a:gd name="T7" fmla="*/ 0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0"/>
              </a:moveTo>
              <a:lnTo>
                <a:pt x="127" y="0"/>
              </a:lnTo>
              <a:lnTo>
                <a:pt x="64" y="382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152400</xdr:colOff>
      <xdr:row>27</xdr:row>
      <xdr:rowOff>104775</xdr:rowOff>
    </xdr:from>
    <xdr:to>
      <xdr:col>17</xdr:col>
      <xdr:colOff>161925</xdr:colOff>
      <xdr:row>27</xdr:row>
      <xdr:rowOff>114300</xdr:rowOff>
    </xdr:to>
    <xdr:sp macro="" textlink="">
      <xdr:nvSpPr>
        <xdr:cNvPr id="15450" name="Line 457">
          <a:extLst>
            <a:ext uri="{FF2B5EF4-FFF2-40B4-BE49-F238E27FC236}">
              <a16:creationId xmlns:a16="http://schemas.microsoft.com/office/drawing/2014/main" id="{00000000-0008-0000-0A00-00005A3C0000}"/>
            </a:ext>
          </a:extLst>
        </xdr:cNvPr>
        <xdr:cNvSpPr>
          <a:spLocks noChangeAspect="1" noChangeShapeType="1"/>
        </xdr:cNvSpPr>
      </xdr:nvSpPr>
      <xdr:spPr bwMode="auto">
        <a:xfrm>
          <a:off x="9277350" y="4943475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38</xdr:row>
      <xdr:rowOff>9525</xdr:rowOff>
    </xdr:from>
    <xdr:to>
      <xdr:col>16</xdr:col>
      <xdr:colOff>9525</xdr:colOff>
      <xdr:row>38</xdr:row>
      <xdr:rowOff>9525</xdr:rowOff>
    </xdr:to>
    <xdr:sp macro="" textlink="">
      <xdr:nvSpPr>
        <xdr:cNvPr id="15451" name="Line 458">
          <a:extLst>
            <a:ext uri="{FF2B5EF4-FFF2-40B4-BE49-F238E27FC236}">
              <a16:creationId xmlns:a16="http://schemas.microsoft.com/office/drawing/2014/main" id="{00000000-0008-0000-0A00-00005B3C0000}"/>
            </a:ext>
          </a:extLst>
        </xdr:cNvPr>
        <xdr:cNvSpPr>
          <a:spLocks noChangeAspect="1" noChangeShapeType="1"/>
        </xdr:cNvSpPr>
      </xdr:nvSpPr>
      <xdr:spPr bwMode="auto">
        <a:xfrm>
          <a:off x="8715375" y="6629400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20</xdr:col>
      <xdr:colOff>123825</xdr:colOff>
      <xdr:row>38</xdr:row>
      <xdr:rowOff>9525</xdr:rowOff>
    </xdr:from>
    <xdr:to>
      <xdr:col>20</xdr:col>
      <xdr:colOff>133350</xdr:colOff>
      <xdr:row>38</xdr:row>
      <xdr:rowOff>9525</xdr:rowOff>
    </xdr:to>
    <xdr:sp macro="" textlink="">
      <xdr:nvSpPr>
        <xdr:cNvPr id="15452" name="Line 459">
          <a:extLst>
            <a:ext uri="{FF2B5EF4-FFF2-40B4-BE49-F238E27FC236}">
              <a16:creationId xmlns:a16="http://schemas.microsoft.com/office/drawing/2014/main" id="{00000000-0008-0000-0A00-00005C3C0000}"/>
            </a:ext>
          </a:extLst>
        </xdr:cNvPr>
        <xdr:cNvSpPr>
          <a:spLocks noChangeAspect="1" noChangeShapeType="1"/>
        </xdr:cNvSpPr>
      </xdr:nvSpPr>
      <xdr:spPr bwMode="auto">
        <a:xfrm>
          <a:off x="10572750" y="6629400"/>
          <a:ext cx="95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114300</xdr:colOff>
      <xdr:row>25</xdr:row>
      <xdr:rowOff>76200</xdr:rowOff>
    </xdr:from>
    <xdr:to>
      <xdr:col>21</xdr:col>
      <xdr:colOff>123825</xdr:colOff>
      <xdr:row>25</xdr:row>
      <xdr:rowOff>85725</xdr:rowOff>
    </xdr:to>
    <xdr:sp macro="" textlink="">
      <xdr:nvSpPr>
        <xdr:cNvPr id="15453" name="Line 460">
          <a:extLst>
            <a:ext uri="{FF2B5EF4-FFF2-40B4-BE49-F238E27FC236}">
              <a16:creationId xmlns:a16="http://schemas.microsoft.com/office/drawing/2014/main" id="{00000000-0008-0000-0A00-00005D3C0000}"/>
            </a:ext>
          </a:extLst>
        </xdr:cNvPr>
        <xdr:cNvSpPr>
          <a:spLocks noChangeAspect="1" noChangeShapeType="1"/>
        </xdr:cNvSpPr>
      </xdr:nvSpPr>
      <xdr:spPr bwMode="auto">
        <a:xfrm>
          <a:off x="9725025" y="4591050"/>
          <a:ext cx="13811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21</xdr:col>
      <xdr:colOff>28575</xdr:colOff>
      <xdr:row>26</xdr:row>
      <xdr:rowOff>76200</xdr:rowOff>
    </xdr:from>
    <xdr:to>
      <xdr:col>21</xdr:col>
      <xdr:colOff>28575</xdr:colOff>
      <xdr:row>36</xdr:row>
      <xdr:rowOff>142875</xdr:rowOff>
    </xdr:to>
    <xdr:sp macro="" textlink="">
      <xdr:nvSpPr>
        <xdr:cNvPr id="15454" name="Line 462">
          <a:extLst>
            <a:ext uri="{FF2B5EF4-FFF2-40B4-BE49-F238E27FC236}">
              <a16:creationId xmlns:a16="http://schemas.microsoft.com/office/drawing/2014/main" id="{00000000-0008-0000-0A00-00005E3C0000}"/>
            </a:ext>
          </a:extLst>
        </xdr:cNvPr>
        <xdr:cNvSpPr>
          <a:spLocks noChangeAspect="1" noChangeShapeType="1"/>
        </xdr:cNvSpPr>
      </xdr:nvSpPr>
      <xdr:spPr bwMode="auto">
        <a:xfrm>
          <a:off x="11010900" y="4752975"/>
          <a:ext cx="0" cy="16859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21</xdr:col>
      <xdr:colOff>9525</xdr:colOff>
      <xdr:row>25</xdr:row>
      <xdr:rowOff>76200</xdr:rowOff>
    </xdr:from>
    <xdr:to>
      <xdr:col>21</xdr:col>
      <xdr:colOff>57150</xdr:colOff>
      <xdr:row>26</xdr:row>
      <xdr:rowOff>66675</xdr:rowOff>
    </xdr:to>
    <xdr:sp macro="" textlink="">
      <xdr:nvSpPr>
        <xdr:cNvPr id="15455" name="Freeform 463">
          <a:extLst>
            <a:ext uri="{FF2B5EF4-FFF2-40B4-BE49-F238E27FC236}">
              <a16:creationId xmlns:a16="http://schemas.microsoft.com/office/drawing/2014/main" id="{00000000-0008-0000-0A00-00005F3C0000}"/>
            </a:ext>
          </a:extLst>
        </xdr:cNvPr>
        <xdr:cNvSpPr>
          <a:spLocks noChangeAspect="1"/>
        </xdr:cNvSpPr>
      </xdr:nvSpPr>
      <xdr:spPr bwMode="auto">
        <a:xfrm>
          <a:off x="10991850" y="4591050"/>
          <a:ext cx="47625" cy="152400"/>
        </a:xfrm>
        <a:custGeom>
          <a:avLst/>
          <a:gdLst>
            <a:gd name="T0" fmla="*/ 0 w 127"/>
            <a:gd name="T1" fmla="*/ 2147483647 h 382"/>
            <a:gd name="T2" fmla="*/ 0 w 127"/>
            <a:gd name="T3" fmla="*/ 2147483647 h 382"/>
            <a:gd name="T4" fmla="*/ 0 w 127"/>
            <a:gd name="T5" fmla="*/ 0 h 382"/>
            <a:gd name="T6" fmla="*/ 0 w 127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382"/>
              </a:moveTo>
              <a:lnTo>
                <a:pt x="127" y="382"/>
              </a:lnTo>
              <a:lnTo>
                <a:pt x="63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21</xdr:col>
      <xdr:colOff>9525</xdr:colOff>
      <xdr:row>25</xdr:row>
      <xdr:rowOff>76200</xdr:rowOff>
    </xdr:from>
    <xdr:to>
      <xdr:col>21</xdr:col>
      <xdr:colOff>57150</xdr:colOff>
      <xdr:row>26</xdr:row>
      <xdr:rowOff>66675</xdr:rowOff>
    </xdr:to>
    <xdr:sp macro="" textlink="">
      <xdr:nvSpPr>
        <xdr:cNvPr id="15456" name="Freeform 464">
          <a:extLst>
            <a:ext uri="{FF2B5EF4-FFF2-40B4-BE49-F238E27FC236}">
              <a16:creationId xmlns:a16="http://schemas.microsoft.com/office/drawing/2014/main" id="{00000000-0008-0000-0A00-0000603C0000}"/>
            </a:ext>
          </a:extLst>
        </xdr:cNvPr>
        <xdr:cNvSpPr>
          <a:spLocks noChangeAspect="1"/>
        </xdr:cNvSpPr>
      </xdr:nvSpPr>
      <xdr:spPr bwMode="auto">
        <a:xfrm>
          <a:off x="10991850" y="4591050"/>
          <a:ext cx="47625" cy="152400"/>
        </a:xfrm>
        <a:custGeom>
          <a:avLst/>
          <a:gdLst>
            <a:gd name="T0" fmla="*/ 0 w 127"/>
            <a:gd name="T1" fmla="*/ 2147483647 h 382"/>
            <a:gd name="T2" fmla="*/ 0 w 127"/>
            <a:gd name="T3" fmla="*/ 2147483647 h 382"/>
            <a:gd name="T4" fmla="*/ 0 w 127"/>
            <a:gd name="T5" fmla="*/ 0 h 382"/>
            <a:gd name="T6" fmla="*/ 0 w 127"/>
            <a:gd name="T7" fmla="*/ 2147483647 h 382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2"/>
            <a:gd name="T14" fmla="*/ 127 w 127"/>
            <a:gd name="T15" fmla="*/ 382 h 38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2">
              <a:moveTo>
                <a:pt x="0" y="382"/>
              </a:moveTo>
              <a:lnTo>
                <a:pt x="127" y="382"/>
              </a:lnTo>
              <a:lnTo>
                <a:pt x="63" y="0"/>
              </a:lnTo>
              <a:lnTo>
                <a:pt x="0" y="382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21</xdr:col>
      <xdr:colOff>9525</xdr:colOff>
      <xdr:row>36</xdr:row>
      <xdr:rowOff>142875</xdr:rowOff>
    </xdr:from>
    <xdr:to>
      <xdr:col>21</xdr:col>
      <xdr:colOff>57150</xdr:colOff>
      <xdr:row>37</xdr:row>
      <xdr:rowOff>142875</xdr:rowOff>
    </xdr:to>
    <xdr:sp macro="" textlink="">
      <xdr:nvSpPr>
        <xdr:cNvPr id="15457" name="Freeform 465">
          <a:extLst>
            <a:ext uri="{FF2B5EF4-FFF2-40B4-BE49-F238E27FC236}">
              <a16:creationId xmlns:a16="http://schemas.microsoft.com/office/drawing/2014/main" id="{00000000-0008-0000-0A00-0000613C0000}"/>
            </a:ext>
          </a:extLst>
        </xdr:cNvPr>
        <xdr:cNvSpPr>
          <a:spLocks noChangeAspect="1"/>
        </xdr:cNvSpPr>
      </xdr:nvSpPr>
      <xdr:spPr bwMode="auto">
        <a:xfrm>
          <a:off x="10991850" y="6438900"/>
          <a:ext cx="47625" cy="161925"/>
        </a:xfrm>
        <a:custGeom>
          <a:avLst/>
          <a:gdLst>
            <a:gd name="T0" fmla="*/ 0 w 127"/>
            <a:gd name="T1" fmla="*/ 0 h 383"/>
            <a:gd name="T2" fmla="*/ 0 w 127"/>
            <a:gd name="T3" fmla="*/ 0 h 383"/>
            <a:gd name="T4" fmla="*/ 0 w 127"/>
            <a:gd name="T5" fmla="*/ 2147483647 h 383"/>
            <a:gd name="T6" fmla="*/ 0 w 127"/>
            <a:gd name="T7" fmla="*/ 0 h 383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3"/>
            <a:gd name="T14" fmla="*/ 127 w 127"/>
            <a:gd name="T15" fmla="*/ 383 h 38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3">
              <a:moveTo>
                <a:pt x="0" y="0"/>
              </a:moveTo>
              <a:lnTo>
                <a:pt x="127" y="0"/>
              </a:lnTo>
              <a:lnTo>
                <a:pt x="63" y="38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21</xdr:col>
      <xdr:colOff>9525</xdr:colOff>
      <xdr:row>36</xdr:row>
      <xdr:rowOff>142875</xdr:rowOff>
    </xdr:from>
    <xdr:to>
      <xdr:col>21</xdr:col>
      <xdr:colOff>57150</xdr:colOff>
      <xdr:row>37</xdr:row>
      <xdr:rowOff>142875</xdr:rowOff>
    </xdr:to>
    <xdr:sp macro="" textlink="">
      <xdr:nvSpPr>
        <xdr:cNvPr id="15458" name="Freeform 466">
          <a:extLst>
            <a:ext uri="{FF2B5EF4-FFF2-40B4-BE49-F238E27FC236}">
              <a16:creationId xmlns:a16="http://schemas.microsoft.com/office/drawing/2014/main" id="{00000000-0008-0000-0A00-0000623C0000}"/>
            </a:ext>
          </a:extLst>
        </xdr:cNvPr>
        <xdr:cNvSpPr>
          <a:spLocks noChangeAspect="1"/>
        </xdr:cNvSpPr>
      </xdr:nvSpPr>
      <xdr:spPr bwMode="auto">
        <a:xfrm>
          <a:off x="10991850" y="6438900"/>
          <a:ext cx="47625" cy="161925"/>
        </a:xfrm>
        <a:custGeom>
          <a:avLst/>
          <a:gdLst>
            <a:gd name="T0" fmla="*/ 0 w 127"/>
            <a:gd name="T1" fmla="*/ 0 h 383"/>
            <a:gd name="T2" fmla="*/ 0 w 127"/>
            <a:gd name="T3" fmla="*/ 0 h 383"/>
            <a:gd name="T4" fmla="*/ 0 w 127"/>
            <a:gd name="T5" fmla="*/ 2147483647 h 383"/>
            <a:gd name="T6" fmla="*/ 0 w 127"/>
            <a:gd name="T7" fmla="*/ 0 h 383"/>
            <a:gd name="T8" fmla="*/ 0 60000 65536"/>
            <a:gd name="T9" fmla="*/ 0 60000 65536"/>
            <a:gd name="T10" fmla="*/ 0 60000 65536"/>
            <a:gd name="T11" fmla="*/ 0 60000 65536"/>
            <a:gd name="T12" fmla="*/ 0 w 127"/>
            <a:gd name="T13" fmla="*/ 0 h 383"/>
            <a:gd name="T14" fmla="*/ 127 w 127"/>
            <a:gd name="T15" fmla="*/ 383 h 38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7" h="383">
              <a:moveTo>
                <a:pt x="0" y="0"/>
              </a:moveTo>
              <a:lnTo>
                <a:pt x="127" y="0"/>
              </a:lnTo>
              <a:lnTo>
                <a:pt x="63" y="38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18</xdr:col>
      <xdr:colOff>114300</xdr:colOff>
      <xdr:row>25</xdr:row>
      <xdr:rowOff>76200</xdr:rowOff>
    </xdr:from>
    <xdr:to>
      <xdr:col>18</xdr:col>
      <xdr:colOff>123825</xdr:colOff>
      <xdr:row>25</xdr:row>
      <xdr:rowOff>85725</xdr:rowOff>
    </xdr:to>
    <xdr:sp macro="" textlink="">
      <xdr:nvSpPr>
        <xdr:cNvPr id="15459" name="Line 467">
          <a:extLst>
            <a:ext uri="{FF2B5EF4-FFF2-40B4-BE49-F238E27FC236}">
              <a16:creationId xmlns:a16="http://schemas.microsoft.com/office/drawing/2014/main" id="{00000000-0008-0000-0A00-0000633C0000}"/>
            </a:ext>
          </a:extLst>
        </xdr:cNvPr>
        <xdr:cNvSpPr>
          <a:spLocks noChangeAspect="1" noChangeShapeType="1"/>
        </xdr:cNvSpPr>
      </xdr:nvSpPr>
      <xdr:spPr bwMode="auto">
        <a:xfrm>
          <a:off x="9725025" y="459105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38</xdr:row>
      <xdr:rowOff>9525</xdr:rowOff>
    </xdr:from>
    <xdr:to>
      <xdr:col>16</xdr:col>
      <xdr:colOff>9525</xdr:colOff>
      <xdr:row>38</xdr:row>
      <xdr:rowOff>9525</xdr:rowOff>
    </xdr:to>
    <xdr:sp macro="" textlink="">
      <xdr:nvSpPr>
        <xdr:cNvPr id="15460" name="Line 468">
          <a:extLst>
            <a:ext uri="{FF2B5EF4-FFF2-40B4-BE49-F238E27FC236}">
              <a16:creationId xmlns:a16="http://schemas.microsoft.com/office/drawing/2014/main" id="{00000000-0008-0000-0A00-0000643C0000}"/>
            </a:ext>
          </a:extLst>
        </xdr:cNvPr>
        <xdr:cNvSpPr>
          <a:spLocks noChangeAspect="1" noChangeShapeType="1"/>
        </xdr:cNvSpPr>
      </xdr:nvSpPr>
      <xdr:spPr bwMode="auto">
        <a:xfrm>
          <a:off x="8715375" y="6629400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21</xdr:col>
      <xdr:colOff>28575</xdr:colOff>
      <xdr:row>38</xdr:row>
      <xdr:rowOff>9525</xdr:rowOff>
    </xdr:from>
    <xdr:to>
      <xdr:col>21</xdr:col>
      <xdr:colOff>38100</xdr:colOff>
      <xdr:row>38</xdr:row>
      <xdr:rowOff>9525</xdr:rowOff>
    </xdr:to>
    <xdr:sp macro="" textlink="">
      <xdr:nvSpPr>
        <xdr:cNvPr id="15461" name="Line 469">
          <a:extLst>
            <a:ext uri="{FF2B5EF4-FFF2-40B4-BE49-F238E27FC236}">
              <a16:creationId xmlns:a16="http://schemas.microsoft.com/office/drawing/2014/main" id="{00000000-0008-0000-0A00-0000653C0000}"/>
            </a:ext>
          </a:extLst>
        </xdr:cNvPr>
        <xdr:cNvSpPr>
          <a:spLocks noChangeAspect="1" noChangeShapeType="1"/>
        </xdr:cNvSpPr>
      </xdr:nvSpPr>
      <xdr:spPr bwMode="auto">
        <a:xfrm>
          <a:off x="11010900" y="6629400"/>
          <a:ext cx="95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142875</xdr:colOff>
      <xdr:row>34</xdr:row>
      <xdr:rowOff>142875</xdr:rowOff>
    </xdr:from>
    <xdr:to>
      <xdr:col>11</xdr:col>
      <xdr:colOff>161925</xdr:colOff>
      <xdr:row>47</xdr:row>
      <xdr:rowOff>9525</xdr:rowOff>
    </xdr:to>
    <xdr:sp macro="" textlink="">
      <xdr:nvSpPr>
        <xdr:cNvPr id="15462" name="Line 471">
          <a:extLst>
            <a:ext uri="{FF2B5EF4-FFF2-40B4-BE49-F238E27FC236}">
              <a16:creationId xmlns:a16="http://schemas.microsoft.com/office/drawing/2014/main" id="{00000000-0008-0000-0A00-0000663C0000}"/>
            </a:ext>
          </a:extLst>
        </xdr:cNvPr>
        <xdr:cNvSpPr>
          <a:spLocks noChangeAspect="1" noChangeShapeType="1"/>
        </xdr:cNvSpPr>
      </xdr:nvSpPr>
      <xdr:spPr bwMode="auto">
        <a:xfrm>
          <a:off x="6181725" y="6115050"/>
          <a:ext cx="19050" cy="19716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38</xdr:row>
      <xdr:rowOff>47625</xdr:rowOff>
    </xdr:from>
    <xdr:to>
      <xdr:col>16</xdr:col>
      <xdr:colOff>9525</xdr:colOff>
      <xdr:row>47</xdr:row>
      <xdr:rowOff>19050</xdr:rowOff>
    </xdr:to>
    <xdr:sp macro="" textlink="">
      <xdr:nvSpPr>
        <xdr:cNvPr id="15463" name="Line 472">
          <a:extLst>
            <a:ext uri="{FF2B5EF4-FFF2-40B4-BE49-F238E27FC236}">
              <a16:creationId xmlns:a16="http://schemas.microsoft.com/office/drawing/2014/main" id="{00000000-0008-0000-0A00-0000673C0000}"/>
            </a:ext>
          </a:extLst>
        </xdr:cNvPr>
        <xdr:cNvSpPr>
          <a:spLocks noChangeAspect="1" noChangeShapeType="1"/>
        </xdr:cNvSpPr>
      </xdr:nvSpPr>
      <xdr:spPr bwMode="auto">
        <a:xfrm>
          <a:off x="8715375" y="6667500"/>
          <a:ext cx="0" cy="14287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333375</xdr:colOff>
      <xdr:row>38</xdr:row>
      <xdr:rowOff>9525</xdr:rowOff>
    </xdr:from>
    <xdr:to>
      <xdr:col>16</xdr:col>
      <xdr:colOff>333375</xdr:colOff>
      <xdr:row>43</xdr:row>
      <xdr:rowOff>142875</xdr:rowOff>
    </xdr:to>
    <xdr:sp macro="" textlink="">
      <xdr:nvSpPr>
        <xdr:cNvPr id="15464" name="Line 473">
          <a:extLst>
            <a:ext uri="{FF2B5EF4-FFF2-40B4-BE49-F238E27FC236}">
              <a16:creationId xmlns:a16="http://schemas.microsoft.com/office/drawing/2014/main" id="{00000000-0008-0000-0A00-0000683C0000}"/>
            </a:ext>
          </a:extLst>
        </xdr:cNvPr>
        <xdr:cNvSpPr>
          <a:spLocks noChangeAspect="1" noChangeShapeType="1"/>
        </xdr:cNvSpPr>
      </xdr:nvSpPr>
      <xdr:spPr bwMode="auto">
        <a:xfrm>
          <a:off x="9039225" y="6629400"/>
          <a:ext cx="0" cy="9429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142875</xdr:colOff>
      <xdr:row>46</xdr:row>
      <xdr:rowOff>66675</xdr:rowOff>
    </xdr:from>
    <xdr:to>
      <xdr:col>16</xdr:col>
      <xdr:colOff>152400</xdr:colOff>
      <xdr:row>46</xdr:row>
      <xdr:rowOff>76200</xdr:rowOff>
    </xdr:to>
    <xdr:sp macro="" textlink="">
      <xdr:nvSpPr>
        <xdr:cNvPr id="15465" name="Line 474">
          <a:extLst>
            <a:ext uri="{FF2B5EF4-FFF2-40B4-BE49-F238E27FC236}">
              <a16:creationId xmlns:a16="http://schemas.microsoft.com/office/drawing/2014/main" id="{00000000-0008-0000-0A00-0000693C0000}"/>
            </a:ext>
          </a:extLst>
        </xdr:cNvPr>
        <xdr:cNvSpPr>
          <a:spLocks noChangeAspect="1" noChangeShapeType="1"/>
        </xdr:cNvSpPr>
      </xdr:nvSpPr>
      <xdr:spPr bwMode="auto">
        <a:xfrm>
          <a:off x="8848725" y="798195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46</xdr:row>
      <xdr:rowOff>47625</xdr:rowOff>
    </xdr:from>
    <xdr:to>
      <xdr:col>16</xdr:col>
      <xdr:colOff>142875</xdr:colOff>
      <xdr:row>46</xdr:row>
      <xdr:rowOff>95250</xdr:rowOff>
    </xdr:to>
    <xdr:sp macro="" textlink="">
      <xdr:nvSpPr>
        <xdr:cNvPr id="15466" name="Freeform 475">
          <a:extLst>
            <a:ext uri="{FF2B5EF4-FFF2-40B4-BE49-F238E27FC236}">
              <a16:creationId xmlns:a16="http://schemas.microsoft.com/office/drawing/2014/main" id="{00000000-0008-0000-0A00-00006A3C0000}"/>
            </a:ext>
          </a:extLst>
        </xdr:cNvPr>
        <xdr:cNvSpPr>
          <a:spLocks noChangeAspect="1"/>
        </xdr:cNvSpPr>
      </xdr:nvSpPr>
      <xdr:spPr bwMode="auto">
        <a:xfrm>
          <a:off x="8715375" y="7962900"/>
          <a:ext cx="133350" cy="47625"/>
        </a:xfrm>
        <a:custGeom>
          <a:avLst/>
          <a:gdLst>
            <a:gd name="T0" fmla="*/ 2147483647 w 382"/>
            <a:gd name="T1" fmla="*/ 0 h 127"/>
            <a:gd name="T2" fmla="*/ 2147483647 w 382"/>
            <a:gd name="T3" fmla="*/ 0 h 127"/>
            <a:gd name="T4" fmla="*/ 0 w 382"/>
            <a:gd name="T5" fmla="*/ 0 h 127"/>
            <a:gd name="T6" fmla="*/ 2147483647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382" y="0"/>
              </a:moveTo>
              <a:lnTo>
                <a:pt x="382" y="127"/>
              </a:lnTo>
              <a:lnTo>
                <a:pt x="0" y="64"/>
              </a:lnTo>
              <a:lnTo>
                <a:pt x="38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9525</xdr:colOff>
      <xdr:row>38</xdr:row>
      <xdr:rowOff>9525</xdr:rowOff>
    </xdr:from>
    <xdr:to>
      <xdr:col>16</xdr:col>
      <xdr:colOff>9525</xdr:colOff>
      <xdr:row>38</xdr:row>
      <xdr:rowOff>9525</xdr:rowOff>
    </xdr:to>
    <xdr:sp macro="" textlink="">
      <xdr:nvSpPr>
        <xdr:cNvPr id="15467" name="Line 476">
          <a:extLst>
            <a:ext uri="{FF2B5EF4-FFF2-40B4-BE49-F238E27FC236}">
              <a16:creationId xmlns:a16="http://schemas.microsoft.com/office/drawing/2014/main" id="{00000000-0008-0000-0A00-00006B3C0000}"/>
            </a:ext>
          </a:extLst>
        </xdr:cNvPr>
        <xdr:cNvSpPr>
          <a:spLocks noChangeAspect="1" noChangeShapeType="1"/>
        </xdr:cNvSpPr>
      </xdr:nvSpPr>
      <xdr:spPr bwMode="auto">
        <a:xfrm>
          <a:off x="8715375" y="6629400"/>
          <a:ext cx="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333375</xdr:colOff>
      <xdr:row>38</xdr:row>
      <xdr:rowOff>9525</xdr:rowOff>
    </xdr:from>
    <xdr:to>
      <xdr:col>16</xdr:col>
      <xdr:colOff>342900</xdr:colOff>
      <xdr:row>38</xdr:row>
      <xdr:rowOff>9525</xdr:rowOff>
    </xdr:to>
    <xdr:sp macro="" textlink="">
      <xdr:nvSpPr>
        <xdr:cNvPr id="15468" name="Line 477">
          <a:extLst>
            <a:ext uri="{FF2B5EF4-FFF2-40B4-BE49-F238E27FC236}">
              <a16:creationId xmlns:a16="http://schemas.microsoft.com/office/drawing/2014/main" id="{00000000-0008-0000-0A00-00006C3C0000}"/>
            </a:ext>
          </a:extLst>
        </xdr:cNvPr>
        <xdr:cNvSpPr>
          <a:spLocks noChangeAspect="1" noChangeShapeType="1"/>
        </xdr:cNvSpPr>
      </xdr:nvSpPr>
      <xdr:spPr bwMode="auto">
        <a:xfrm>
          <a:off x="9039225" y="6629400"/>
          <a:ext cx="95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333375</xdr:colOff>
      <xdr:row>46</xdr:row>
      <xdr:rowOff>66675</xdr:rowOff>
    </xdr:from>
    <xdr:to>
      <xdr:col>16</xdr:col>
      <xdr:colOff>342900</xdr:colOff>
      <xdr:row>46</xdr:row>
      <xdr:rowOff>76200</xdr:rowOff>
    </xdr:to>
    <xdr:sp macro="" textlink="">
      <xdr:nvSpPr>
        <xdr:cNvPr id="15469" name="Line 478">
          <a:extLst>
            <a:ext uri="{FF2B5EF4-FFF2-40B4-BE49-F238E27FC236}">
              <a16:creationId xmlns:a16="http://schemas.microsoft.com/office/drawing/2014/main" id="{00000000-0008-0000-0A00-00006D3C0000}"/>
            </a:ext>
          </a:extLst>
        </xdr:cNvPr>
        <xdr:cNvSpPr>
          <a:spLocks noChangeAspect="1" noChangeShapeType="1"/>
        </xdr:cNvSpPr>
      </xdr:nvSpPr>
      <xdr:spPr bwMode="auto">
        <a:xfrm>
          <a:off x="9039225" y="7981950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171450</xdr:colOff>
      <xdr:row>19</xdr:row>
      <xdr:rowOff>47625</xdr:rowOff>
    </xdr:from>
    <xdr:to>
      <xdr:col>2</xdr:col>
      <xdr:colOff>180975</xdr:colOff>
      <xdr:row>19</xdr:row>
      <xdr:rowOff>57150</xdr:rowOff>
    </xdr:to>
    <xdr:sp macro="" textlink="">
      <xdr:nvSpPr>
        <xdr:cNvPr id="15470" name="Line 485">
          <a:extLst>
            <a:ext uri="{FF2B5EF4-FFF2-40B4-BE49-F238E27FC236}">
              <a16:creationId xmlns:a16="http://schemas.microsoft.com/office/drawing/2014/main" id="{00000000-0008-0000-0A00-00006E3C0000}"/>
            </a:ext>
          </a:extLst>
        </xdr:cNvPr>
        <xdr:cNvSpPr>
          <a:spLocks noChangeAspect="1" noChangeShapeType="1"/>
        </xdr:cNvSpPr>
      </xdr:nvSpPr>
      <xdr:spPr bwMode="auto">
        <a:xfrm>
          <a:off x="1238250" y="3590925"/>
          <a:ext cx="9525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76200</xdr:colOff>
      <xdr:row>27</xdr:row>
      <xdr:rowOff>9525</xdr:rowOff>
    </xdr:from>
    <xdr:to>
      <xdr:col>19</xdr:col>
      <xdr:colOff>85725</xdr:colOff>
      <xdr:row>27</xdr:row>
      <xdr:rowOff>9525</xdr:rowOff>
    </xdr:to>
    <xdr:sp macro="" textlink="">
      <xdr:nvSpPr>
        <xdr:cNvPr id="15471" name="Line 486">
          <a:extLst>
            <a:ext uri="{FF2B5EF4-FFF2-40B4-BE49-F238E27FC236}">
              <a16:creationId xmlns:a16="http://schemas.microsoft.com/office/drawing/2014/main" id="{00000000-0008-0000-0A00-00006F3C0000}"/>
            </a:ext>
          </a:extLst>
        </xdr:cNvPr>
        <xdr:cNvSpPr>
          <a:spLocks noChangeAspect="1" noChangeShapeType="1"/>
        </xdr:cNvSpPr>
      </xdr:nvSpPr>
      <xdr:spPr bwMode="auto">
        <a:xfrm>
          <a:off x="9991725" y="4848225"/>
          <a:ext cx="95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342900</xdr:colOff>
      <xdr:row>46</xdr:row>
      <xdr:rowOff>38100</xdr:rowOff>
    </xdr:from>
    <xdr:to>
      <xdr:col>17</xdr:col>
      <xdr:colOff>152400</xdr:colOff>
      <xdr:row>46</xdr:row>
      <xdr:rowOff>85725</xdr:rowOff>
    </xdr:to>
    <xdr:sp macro="" textlink="">
      <xdr:nvSpPr>
        <xdr:cNvPr id="15472" name="Freeform 488">
          <a:extLst>
            <a:ext uri="{FF2B5EF4-FFF2-40B4-BE49-F238E27FC236}">
              <a16:creationId xmlns:a16="http://schemas.microsoft.com/office/drawing/2014/main" id="{00000000-0008-0000-0A00-0000703C0000}"/>
            </a:ext>
          </a:extLst>
        </xdr:cNvPr>
        <xdr:cNvSpPr>
          <a:spLocks noChangeAspect="1"/>
        </xdr:cNvSpPr>
      </xdr:nvSpPr>
      <xdr:spPr bwMode="auto">
        <a:xfrm>
          <a:off x="9048750" y="7953375"/>
          <a:ext cx="228600" cy="47625"/>
        </a:xfrm>
        <a:custGeom>
          <a:avLst/>
          <a:gdLst>
            <a:gd name="T0" fmla="*/ 2147483647 w 382"/>
            <a:gd name="T1" fmla="*/ 0 h 127"/>
            <a:gd name="T2" fmla="*/ 2147483647 w 382"/>
            <a:gd name="T3" fmla="*/ 0 h 127"/>
            <a:gd name="T4" fmla="*/ 0 w 382"/>
            <a:gd name="T5" fmla="*/ 0 h 127"/>
            <a:gd name="T6" fmla="*/ 2147483647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382" y="0"/>
              </a:moveTo>
              <a:lnTo>
                <a:pt x="382" y="127"/>
              </a:lnTo>
              <a:lnTo>
                <a:pt x="0" y="64"/>
              </a:lnTo>
              <a:lnTo>
                <a:pt x="38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6</xdr:col>
      <xdr:colOff>422057</xdr:colOff>
      <xdr:row>45</xdr:row>
      <xdr:rowOff>28573</xdr:rowOff>
    </xdr:from>
    <xdr:to>
      <xdr:col>8</xdr:col>
      <xdr:colOff>326743</xdr:colOff>
      <xdr:row>47</xdr:row>
      <xdr:rowOff>38232</xdr:rowOff>
    </xdr:to>
    <xdr:sp macro="" textlink="$U$6">
      <xdr:nvSpPr>
        <xdr:cNvPr id="470" name="Text Box 495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4260632" y="7781923"/>
          <a:ext cx="1114367" cy="33350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C27E30F6-3C4B-4405-999C-63E2ABC194FF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#VALORE!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12</xdr:col>
      <xdr:colOff>421864</xdr:colOff>
      <xdr:row>13</xdr:row>
      <xdr:rowOff>85725</xdr:rowOff>
    </xdr:from>
    <xdr:to>
      <xdr:col>14</xdr:col>
      <xdr:colOff>355392</xdr:colOff>
      <xdr:row>15</xdr:row>
      <xdr:rowOff>95384</xdr:rowOff>
    </xdr:to>
    <xdr:sp macro="" textlink="Calcolo1!I34">
      <xdr:nvSpPr>
        <xdr:cNvPr id="471" name="Text Box 496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7927564" y="2657475"/>
          <a:ext cx="1123891" cy="33350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BD8EBA0E-2F59-4117-8D93-C411675EF0EC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13</xdr:col>
      <xdr:colOff>107528</xdr:colOff>
      <xdr:row>26</xdr:row>
      <xdr:rowOff>75680</xdr:rowOff>
    </xdr:from>
    <xdr:to>
      <xdr:col>15</xdr:col>
      <xdr:colOff>21733</xdr:colOff>
      <xdr:row>28</xdr:row>
      <xdr:rowOff>85339</xdr:rowOff>
    </xdr:to>
    <xdr:sp macro="" textlink="Calcolo1!I31">
      <xdr:nvSpPr>
        <xdr:cNvPr id="472" name="Text Box 497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8146628" y="4752455"/>
          <a:ext cx="1114367" cy="33350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E2789158-B77D-4E65-AE2C-3C5116D08D5D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13</xdr:col>
      <xdr:colOff>12284</xdr:colOff>
      <xdr:row>29</xdr:row>
      <xdr:rowOff>75603</xdr:rowOff>
    </xdr:from>
    <xdr:to>
      <xdr:col>14</xdr:col>
      <xdr:colOff>422265</xdr:colOff>
      <xdr:row>31</xdr:row>
      <xdr:rowOff>75552</xdr:rowOff>
    </xdr:to>
    <xdr:sp macro="" textlink="Calcolo1!I28">
      <xdr:nvSpPr>
        <xdr:cNvPr id="473" name="Text Box 498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8032334" y="5238153"/>
          <a:ext cx="1114367" cy="3237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7A3C8EAA-40E5-49BC-A751-1820B5E4CF48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12</xdr:col>
      <xdr:colOff>412340</xdr:colOff>
      <xdr:row>32</xdr:row>
      <xdr:rowOff>133787</xdr:rowOff>
    </xdr:from>
    <xdr:to>
      <xdr:col>14</xdr:col>
      <xdr:colOff>326458</xdr:colOff>
      <xdr:row>34</xdr:row>
      <xdr:rowOff>143446</xdr:rowOff>
    </xdr:to>
    <xdr:sp macro="" textlink="Calcolo1!I25">
      <xdr:nvSpPr>
        <xdr:cNvPr id="474" name="Text Box 499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7908515" y="5782112"/>
          <a:ext cx="1123891" cy="33350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81849685-32F0-4EE4-93C1-464E815B997E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17</xdr:col>
      <xdr:colOff>221703</xdr:colOff>
      <xdr:row>35</xdr:row>
      <xdr:rowOff>65738</xdr:rowOff>
    </xdr:from>
    <xdr:to>
      <xdr:col>19</xdr:col>
      <xdr:colOff>444032</xdr:colOff>
      <xdr:row>37</xdr:row>
      <xdr:rowOff>65687</xdr:rowOff>
    </xdr:to>
    <xdr:sp macro="" textlink="Calcolo1!H25">
      <xdr:nvSpPr>
        <xdr:cNvPr id="475" name="Text Box 500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10527753" y="6199838"/>
          <a:ext cx="1117542" cy="3237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DFDC9DB3-6053-43FE-AC6E-3F0D4804B8E3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18</xdr:col>
      <xdr:colOff>234376</xdr:colOff>
      <xdr:row>32</xdr:row>
      <xdr:rowOff>36685</xdr:rowOff>
    </xdr:from>
    <xdr:to>
      <xdr:col>20</xdr:col>
      <xdr:colOff>405708</xdr:colOff>
      <xdr:row>34</xdr:row>
      <xdr:rowOff>56145</xdr:rowOff>
    </xdr:to>
    <xdr:sp macro="" textlink="Calcolo1!H28">
      <xdr:nvSpPr>
        <xdr:cNvPr id="476" name="Text Box 501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11035726" y="5685010"/>
          <a:ext cx="1114367" cy="33350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50987DF7-39EC-4063-A683-6033937E2400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19</xdr:col>
      <xdr:colOff>281982</xdr:colOff>
      <xdr:row>29</xdr:row>
      <xdr:rowOff>7631</xdr:rowOff>
    </xdr:from>
    <xdr:to>
      <xdr:col>21</xdr:col>
      <xdr:colOff>196187</xdr:colOff>
      <xdr:row>31</xdr:row>
      <xdr:rowOff>17290</xdr:rowOff>
    </xdr:to>
    <xdr:sp macro="" textlink="Calcolo1!H31">
      <xdr:nvSpPr>
        <xdr:cNvPr id="477" name="Text Box 502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11397657" y="5170181"/>
          <a:ext cx="1114367" cy="33350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67885F93-F8CF-46AC-B523-2086C608BBD3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13</xdr:col>
      <xdr:colOff>298016</xdr:colOff>
      <xdr:row>44</xdr:row>
      <xdr:rowOff>143307</xdr:rowOff>
    </xdr:from>
    <xdr:to>
      <xdr:col>15</xdr:col>
      <xdr:colOff>212221</xdr:colOff>
      <xdr:row>46</xdr:row>
      <xdr:rowOff>143257</xdr:rowOff>
    </xdr:to>
    <xdr:sp macro="" textlink="calcoloPunti!K13">
      <xdr:nvSpPr>
        <xdr:cNvPr id="478" name="Text Box 504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8375216" y="7734732"/>
          <a:ext cx="1114367" cy="323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25A6157A-AC61-4020-AC5E-CC7AA876745C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17</xdr:col>
      <xdr:colOff>145508</xdr:colOff>
      <xdr:row>45</xdr:row>
      <xdr:rowOff>26471</xdr:rowOff>
    </xdr:from>
    <xdr:to>
      <xdr:col>19</xdr:col>
      <xdr:colOff>405982</xdr:colOff>
      <xdr:row>47</xdr:row>
      <xdr:rowOff>26420</xdr:rowOff>
    </xdr:to>
    <xdr:sp macro="" textlink="$F$6">
      <xdr:nvSpPr>
        <xdr:cNvPr id="479" name="Text Box 505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10432508" y="7770296"/>
          <a:ext cx="1117542" cy="3237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AEBDEBAF-E275-4A0E-B97A-0D16C40C88B5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40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85725</xdr:colOff>
      <xdr:row>28</xdr:row>
      <xdr:rowOff>114655</xdr:rowOff>
    </xdr:from>
    <xdr:to>
      <xdr:col>2</xdr:col>
      <xdr:colOff>4315</xdr:colOff>
      <xdr:row>30</xdr:row>
      <xdr:rowOff>133826</xdr:rowOff>
    </xdr:to>
    <xdr:sp macro="" textlink="$U$4">
      <xdr:nvSpPr>
        <xdr:cNvPr id="480" name="Text Box 507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104775" y="5124805"/>
          <a:ext cx="1118850" cy="33350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5385E716-7DE2-4A36-9D4B-401724DC028C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80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14</xdr:col>
      <xdr:colOff>9525</xdr:colOff>
      <xdr:row>18</xdr:row>
      <xdr:rowOff>28575</xdr:rowOff>
    </xdr:from>
    <xdr:to>
      <xdr:col>14</xdr:col>
      <xdr:colOff>238125</xdr:colOff>
      <xdr:row>21</xdr:row>
      <xdr:rowOff>133350</xdr:rowOff>
    </xdr:to>
    <xdr:sp macro="" textlink="">
      <xdr:nvSpPr>
        <xdr:cNvPr id="15484" name="Line 508">
          <a:extLst>
            <a:ext uri="{FF2B5EF4-FFF2-40B4-BE49-F238E27FC236}">
              <a16:creationId xmlns:a16="http://schemas.microsoft.com/office/drawing/2014/main" id="{00000000-0008-0000-0A00-00007C3C0000}"/>
            </a:ext>
          </a:extLst>
        </xdr:cNvPr>
        <xdr:cNvSpPr>
          <a:spLocks noChangeAspect="1" noChangeShapeType="1"/>
        </xdr:cNvSpPr>
      </xdr:nvSpPr>
      <xdr:spPr bwMode="auto">
        <a:xfrm flipH="1">
          <a:off x="7648575" y="3409950"/>
          <a:ext cx="228600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absolute">
    <xdr:from>
      <xdr:col>14</xdr:col>
      <xdr:colOff>123825</xdr:colOff>
      <xdr:row>18</xdr:row>
      <xdr:rowOff>19050</xdr:rowOff>
    </xdr:from>
    <xdr:to>
      <xdr:col>14</xdr:col>
      <xdr:colOff>247650</xdr:colOff>
      <xdr:row>19</xdr:row>
      <xdr:rowOff>142875</xdr:rowOff>
    </xdr:to>
    <xdr:sp macro="" textlink="">
      <xdr:nvSpPr>
        <xdr:cNvPr id="15485" name="Line 509">
          <a:extLst>
            <a:ext uri="{FF2B5EF4-FFF2-40B4-BE49-F238E27FC236}">
              <a16:creationId xmlns:a16="http://schemas.microsoft.com/office/drawing/2014/main" id="{00000000-0008-0000-0A00-00007D3C0000}"/>
            </a:ext>
          </a:extLst>
        </xdr:cNvPr>
        <xdr:cNvSpPr>
          <a:spLocks noChangeAspect="1" noChangeShapeType="1"/>
        </xdr:cNvSpPr>
      </xdr:nvSpPr>
      <xdr:spPr bwMode="auto">
        <a:xfrm flipH="1">
          <a:off x="7762875" y="3400425"/>
          <a:ext cx="123825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absolute">
    <xdr:from>
      <xdr:col>14</xdr:col>
      <xdr:colOff>345606</xdr:colOff>
      <xdr:row>18</xdr:row>
      <xdr:rowOff>17625</xdr:rowOff>
    </xdr:from>
    <xdr:to>
      <xdr:col>16</xdr:col>
      <xdr:colOff>259811</xdr:colOff>
      <xdr:row>20</xdr:row>
      <xdr:rowOff>27284</xdr:rowOff>
    </xdr:to>
    <xdr:sp macro="" textlink="$F$6">
      <xdr:nvSpPr>
        <xdr:cNvPr id="483" name="Text Box 510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9041931" y="3399000"/>
          <a:ext cx="1114367" cy="33350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C4FBA184-6B1A-4C98-A0F4-3A0584AD9D38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40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18</xdr:col>
      <xdr:colOff>104775</xdr:colOff>
      <xdr:row>27</xdr:row>
      <xdr:rowOff>47625</xdr:rowOff>
    </xdr:from>
    <xdr:to>
      <xdr:col>19</xdr:col>
      <xdr:colOff>9525</xdr:colOff>
      <xdr:row>28</xdr:row>
      <xdr:rowOff>66675</xdr:rowOff>
    </xdr:to>
    <xdr:sp macro="" textlink="">
      <xdr:nvSpPr>
        <xdr:cNvPr id="15487" name="Line 511">
          <a:extLst>
            <a:ext uri="{FF2B5EF4-FFF2-40B4-BE49-F238E27FC236}">
              <a16:creationId xmlns:a16="http://schemas.microsoft.com/office/drawing/2014/main" id="{00000000-0008-0000-0A00-00007F3C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9715500" y="4886325"/>
          <a:ext cx="209550" cy="180975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95250</xdr:colOff>
      <xdr:row>26</xdr:row>
      <xdr:rowOff>47625</xdr:rowOff>
    </xdr:from>
    <xdr:to>
      <xdr:col>19</xdr:col>
      <xdr:colOff>219075</xdr:colOff>
      <xdr:row>26</xdr:row>
      <xdr:rowOff>142875</xdr:rowOff>
    </xdr:to>
    <xdr:sp macro="" textlink="">
      <xdr:nvSpPr>
        <xdr:cNvPr id="15488" name="Line 512">
          <a:extLst>
            <a:ext uri="{FF2B5EF4-FFF2-40B4-BE49-F238E27FC236}">
              <a16:creationId xmlns:a16="http://schemas.microsoft.com/office/drawing/2014/main" id="{00000000-0008-0000-0A00-0000803C0000}"/>
            </a:ext>
          </a:extLst>
        </xdr:cNvPr>
        <xdr:cNvSpPr>
          <a:spLocks noChangeAspect="1" noChangeShapeType="1"/>
        </xdr:cNvSpPr>
      </xdr:nvSpPr>
      <xdr:spPr bwMode="auto">
        <a:xfrm flipH="1">
          <a:off x="10010775" y="4724400"/>
          <a:ext cx="123825" cy="9525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76200</xdr:colOff>
      <xdr:row>19</xdr:row>
      <xdr:rowOff>19050</xdr:rowOff>
    </xdr:from>
    <xdr:to>
      <xdr:col>3</xdr:col>
      <xdr:colOff>419100</xdr:colOff>
      <xdr:row>19</xdr:row>
      <xdr:rowOff>66675</xdr:rowOff>
    </xdr:to>
    <xdr:sp macro="" textlink="">
      <xdr:nvSpPr>
        <xdr:cNvPr id="15489" name="Freeform 513">
          <a:extLst>
            <a:ext uri="{FF2B5EF4-FFF2-40B4-BE49-F238E27FC236}">
              <a16:creationId xmlns:a16="http://schemas.microsoft.com/office/drawing/2014/main" id="{00000000-0008-0000-0A00-0000813C0000}"/>
            </a:ext>
          </a:extLst>
        </xdr:cNvPr>
        <xdr:cNvSpPr>
          <a:spLocks noChangeAspect="1"/>
        </xdr:cNvSpPr>
      </xdr:nvSpPr>
      <xdr:spPr bwMode="auto">
        <a:xfrm>
          <a:off x="1676400" y="3562350"/>
          <a:ext cx="342900" cy="47625"/>
        </a:xfrm>
        <a:custGeom>
          <a:avLst/>
          <a:gdLst>
            <a:gd name="T0" fmla="*/ 0 w 793"/>
            <a:gd name="T1" fmla="*/ 0 h 104"/>
            <a:gd name="T2" fmla="*/ 0 w 793"/>
            <a:gd name="T3" fmla="*/ 0 h 104"/>
            <a:gd name="T4" fmla="*/ 0 w 793"/>
            <a:gd name="T5" fmla="*/ 0 h 104"/>
            <a:gd name="T6" fmla="*/ 2147483647 w 793"/>
            <a:gd name="T7" fmla="*/ 0 h 104"/>
            <a:gd name="T8" fmla="*/ 2147483647 w 793"/>
            <a:gd name="T9" fmla="*/ 0 h 104"/>
            <a:gd name="T10" fmla="*/ 2147483647 w 793"/>
            <a:gd name="T11" fmla="*/ 0 h 104"/>
            <a:gd name="T12" fmla="*/ 0 w 793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93"/>
            <a:gd name="T22" fmla="*/ 0 h 104"/>
            <a:gd name="T23" fmla="*/ 793 w 793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93" h="104">
              <a:moveTo>
                <a:pt x="0" y="0"/>
              </a:moveTo>
              <a:lnTo>
                <a:pt x="0" y="53"/>
              </a:lnTo>
              <a:lnTo>
                <a:pt x="0" y="104"/>
              </a:lnTo>
              <a:lnTo>
                <a:pt x="793" y="104"/>
              </a:lnTo>
              <a:lnTo>
                <a:pt x="793" y="53"/>
              </a:lnTo>
              <a:lnTo>
                <a:pt x="793" y="0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76200</xdr:colOff>
      <xdr:row>37</xdr:row>
      <xdr:rowOff>133350</xdr:rowOff>
    </xdr:from>
    <xdr:to>
      <xdr:col>3</xdr:col>
      <xdr:colOff>419100</xdr:colOff>
      <xdr:row>38</xdr:row>
      <xdr:rowOff>9525</xdr:rowOff>
    </xdr:to>
    <xdr:sp macro="" textlink="">
      <xdr:nvSpPr>
        <xdr:cNvPr id="15490" name="Freeform 514">
          <a:extLst>
            <a:ext uri="{FF2B5EF4-FFF2-40B4-BE49-F238E27FC236}">
              <a16:creationId xmlns:a16="http://schemas.microsoft.com/office/drawing/2014/main" id="{00000000-0008-0000-0A00-0000823C0000}"/>
            </a:ext>
          </a:extLst>
        </xdr:cNvPr>
        <xdr:cNvSpPr>
          <a:spLocks noChangeAspect="1"/>
        </xdr:cNvSpPr>
      </xdr:nvSpPr>
      <xdr:spPr bwMode="auto">
        <a:xfrm>
          <a:off x="1676400" y="6591300"/>
          <a:ext cx="342900" cy="38100"/>
        </a:xfrm>
        <a:custGeom>
          <a:avLst/>
          <a:gdLst>
            <a:gd name="T0" fmla="*/ 2147483647 w 793"/>
            <a:gd name="T1" fmla="*/ 0 h 104"/>
            <a:gd name="T2" fmla="*/ 2147483647 w 793"/>
            <a:gd name="T3" fmla="*/ 0 h 104"/>
            <a:gd name="T4" fmla="*/ 2147483647 w 793"/>
            <a:gd name="T5" fmla="*/ 0 h 104"/>
            <a:gd name="T6" fmla="*/ 0 w 793"/>
            <a:gd name="T7" fmla="*/ 0 h 104"/>
            <a:gd name="T8" fmla="*/ 0 w 793"/>
            <a:gd name="T9" fmla="*/ 0 h 104"/>
            <a:gd name="T10" fmla="*/ 0 w 793"/>
            <a:gd name="T11" fmla="*/ 0 h 104"/>
            <a:gd name="T12" fmla="*/ 2147483647 w 793"/>
            <a:gd name="T13" fmla="*/ 0 h 10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793"/>
            <a:gd name="T22" fmla="*/ 0 h 104"/>
            <a:gd name="T23" fmla="*/ 793 w 793"/>
            <a:gd name="T24" fmla="*/ 104 h 10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793" h="104">
              <a:moveTo>
                <a:pt x="793" y="104"/>
              </a:moveTo>
              <a:lnTo>
                <a:pt x="793" y="52"/>
              </a:lnTo>
              <a:lnTo>
                <a:pt x="793" y="0"/>
              </a:lnTo>
              <a:lnTo>
                <a:pt x="0" y="0"/>
              </a:lnTo>
              <a:lnTo>
                <a:pt x="0" y="52"/>
              </a:lnTo>
              <a:lnTo>
                <a:pt x="0" y="104"/>
              </a:lnTo>
              <a:lnTo>
                <a:pt x="793" y="104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171450</xdr:colOff>
      <xdr:row>36</xdr:row>
      <xdr:rowOff>142875</xdr:rowOff>
    </xdr:from>
    <xdr:to>
      <xdr:col>2</xdr:col>
      <xdr:colOff>171450</xdr:colOff>
      <xdr:row>50</xdr:row>
      <xdr:rowOff>19050</xdr:rowOff>
    </xdr:to>
    <xdr:sp macro="" textlink="">
      <xdr:nvSpPr>
        <xdr:cNvPr id="15491" name="Line 515">
          <a:extLst>
            <a:ext uri="{FF2B5EF4-FFF2-40B4-BE49-F238E27FC236}">
              <a16:creationId xmlns:a16="http://schemas.microsoft.com/office/drawing/2014/main" id="{00000000-0008-0000-0A00-0000833C0000}"/>
            </a:ext>
          </a:extLst>
        </xdr:cNvPr>
        <xdr:cNvSpPr>
          <a:spLocks noChangeAspect="1" noChangeShapeType="1"/>
        </xdr:cNvSpPr>
      </xdr:nvSpPr>
      <xdr:spPr bwMode="auto">
        <a:xfrm>
          <a:off x="1238250" y="6438900"/>
          <a:ext cx="0" cy="2143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352425</xdr:colOff>
      <xdr:row>38</xdr:row>
      <xdr:rowOff>9525</xdr:rowOff>
    </xdr:from>
    <xdr:to>
      <xdr:col>3</xdr:col>
      <xdr:colOff>352425</xdr:colOff>
      <xdr:row>47</xdr:row>
      <xdr:rowOff>142875</xdr:rowOff>
    </xdr:to>
    <xdr:sp macro="" textlink="">
      <xdr:nvSpPr>
        <xdr:cNvPr id="15492" name="Line 516">
          <a:extLst>
            <a:ext uri="{FF2B5EF4-FFF2-40B4-BE49-F238E27FC236}">
              <a16:creationId xmlns:a16="http://schemas.microsoft.com/office/drawing/2014/main" id="{00000000-0008-0000-0A00-0000843C0000}"/>
            </a:ext>
          </a:extLst>
        </xdr:cNvPr>
        <xdr:cNvSpPr>
          <a:spLocks noChangeAspect="1" noChangeShapeType="1"/>
        </xdr:cNvSpPr>
      </xdr:nvSpPr>
      <xdr:spPr bwMode="auto">
        <a:xfrm>
          <a:off x="1952625" y="6629400"/>
          <a:ext cx="0" cy="1590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180975</xdr:colOff>
      <xdr:row>46</xdr:row>
      <xdr:rowOff>76200</xdr:rowOff>
    </xdr:from>
    <xdr:to>
      <xdr:col>3</xdr:col>
      <xdr:colOff>342900</xdr:colOff>
      <xdr:row>46</xdr:row>
      <xdr:rowOff>76200</xdr:rowOff>
    </xdr:to>
    <xdr:sp macro="" textlink="">
      <xdr:nvSpPr>
        <xdr:cNvPr id="15493" name="Line 517">
          <a:extLst>
            <a:ext uri="{FF2B5EF4-FFF2-40B4-BE49-F238E27FC236}">
              <a16:creationId xmlns:a16="http://schemas.microsoft.com/office/drawing/2014/main" id="{00000000-0008-0000-0A00-0000853C0000}"/>
            </a:ext>
          </a:extLst>
        </xdr:cNvPr>
        <xdr:cNvSpPr>
          <a:spLocks noChangeAspect="1" noChangeShapeType="1"/>
        </xdr:cNvSpPr>
      </xdr:nvSpPr>
      <xdr:spPr bwMode="auto">
        <a:xfrm>
          <a:off x="1247775" y="7991475"/>
          <a:ext cx="695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161925</xdr:colOff>
      <xdr:row>46</xdr:row>
      <xdr:rowOff>47625</xdr:rowOff>
    </xdr:from>
    <xdr:to>
      <xdr:col>2</xdr:col>
      <xdr:colOff>323850</xdr:colOff>
      <xdr:row>46</xdr:row>
      <xdr:rowOff>95250</xdr:rowOff>
    </xdr:to>
    <xdr:sp macro="" textlink="">
      <xdr:nvSpPr>
        <xdr:cNvPr id="15494" name="Freeform 518">
          <a:extLst>
            <a:ext uri="{FF2B5EF4-FFF2-40B4-BE49-F238E27FC236}">
              <a16:creationId xmlns:a16="http://schemas.microsoft.com/office/drawing/2014/main" id="{00000000-0008-0000-0A00-0000863C0000}"/>
            </a:ext>
          </a:extLst>
        </xdr:cNvPr>
        <xdr:cNvSpPr>
          <a:spLocks noChangeAspect="1"/>
        </xdr:cNvSpPr>
      </xdr:nvSpPr>
      <xdr:spPr bwMode="auto">
        <a:xfrm>
          <a:off x="1228725" y="7962900"/>
          <a:ext cx="161925" cy="47625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4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200025</xdr:colOff>
      <xdr:row>46</xdr:row>
      <xdr:rowOff>47625</xdr:rowOff>
    </xdr:from>
    <xdr:to>
      <xdr:col>3</xdr:col>
      <xdr:colOff>361950</xdr:colOff>
      <xdr:row>46</xdr:row>
      <xdr:rowOff>95250</xdr:rowOff>
    </xdr:to>
    <xdr:sp macro="" textlink="">
      <xdr:nvSpPr>
        <xdr:cNvPr id="15495" name="Freeform 519">
          <a:extLst>
            <a:ext uri="{FF2B5EF4-FFF2-40B4-BE49-F238E27FC236}">
              <a16:creationId xmlns:a16="http://schemas.microsoft.com/office/drawing/2014/main" id="{00000000-0008-0000-0A00-0000873C0000}"/>
            </a:ext>
          </a:extLst>
        </xdr:cNvPr>
        <xdr:cNvSpPr>
          <a:spLocks noChangeAspect="1"/>
        </xdr:cNvSpPr>
      </xdr:nvSpPr>
      <xdr:spPr bwMode="auto">
        <a:xfrm>
          <a:off x="1800225" y="7962900"/>
          <a:ext cx="161925" cy="47625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4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4456</xdr:colOff>
      <xdr:row>31</xdr:row>
      <xdr:rowOff>75552</xdr:rowOff>
    </xdr:from>
    <xdr:to>
      <xdr:col>2</xdr:col>
      <xdr:colOff>419021</xdr:colOff>
      <xdr:row>33</xdr:row>
      <xdr:rowOff>85211</xdr:rowOff>
    </xdr:to>
    <xdr:sp macro="" textlink="calcoloPunti!K7">
      <xdr:nvSpPr>
        <xdr:cNvPr id="493" name="Text Box 523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614056" y="5561952"/>
          <a:ext cx="1109885" cy="33350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F98FF5DF-6F0A-4E00-8813-C8F11E3C70CA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0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145590</xdr:colOff>
      <xdr:row>44</xdr:row>
      <xdr:rowOff>92945</xdr:rowOff>
    </xdr:from>
    <xdr:to>
      <xdr:col>7</xdr:col>
      <xdr:colOff>281867</xdr:colOff>
      <xdr:row>48</xdr:row>
      <xdr:rowOff>44068</xdr:rowOff>
    </xdr:to>
    <xdr:sp macro="" textlink="">
      <xdr:nvSpPr>
        <xdr:cNvPr id="494" name="Text Box 526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SpPr txBox="1">
          <a:spLocks noChangeAspect="1" noChangeArrowheads="1"/>
        </xdr:cNvSpPr>
      </xdr:nvSpPr>
      <xdr:spPr bwMode="auto">
        <a:xfrm>
          <a:off x="174165" y="7693895"/>
          <a:ext cx="4517788" cy="5893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it-IT" sz="1600" b="1" i="0" u="sng" strike="noStrike">
              <a:solidFill>
                <a:srgbClr val="000000"/>
              </a:solidFill>
              <a:latin typeface="Arial"/>
              <a:cs typeface="Arial"/>
            </a:rPr>
            <a:t>H Parte</a:t>
          </a:r>
        </a:p>
        <a:p>
          <a:pPr algn="l" rtl="0">
            <a:defRPr sz="1000"/>
          </a:pPr>
          <a:r>
            <a:rPr lang="it-IT" sz="1600" b="1" i="0" u="sng" strike="noStrike">
              <a:solidFill>
                <a:srgbClr val="000000"/>
              </a:solidFill>
              <a:latin typeface="Arial"/>
              <a:cs typeface="Arial"/>
            </a:rPr>
            <a:t>superiore =</a:t>
          </a: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2</xdr:col>
      <xdr:colOff>409491</xdr:colOff>
      <xdr:row>44</xdr:row>
      <xdr:rowOff>114176</xdr:rowOff>
    </xdr:from>
    <xdr:to>
      <xdr:col>4</xdr:col>
      <xdr:colOff>314165</xdr:colOff>
      <xdr:row>47</xdr:row>
      <xdr:rowOff>28522</xdr:rowOff>
    </xdr:to>
    <xdr:sp macro="" textlink="$T$10">
      <xdr:nvSpPr>
        <xdr:cNvPr id="495" name="Text Box 527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1714416" y="7705601"/>
          <a:ext cx="1095318" cy="40012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83668A7D-DBC5-427A-B035-8F430418585D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295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11</xdr:col>
      <xdr:colOff>9525</xdr:colOff>
      <xdr:row>19</xdr:row>
      <xdr:rowOff>47625</xdr:rowOff>
    </xdr:from>
    <xdr:to>
      <xdr:col>11</xdr:col>
      <xdr:colOff>171450</xdr:colOff>
      <xdr:row>21</xdr:row>
      <xdr:rowOff>114300</xdr:rowOff>
    </xdr:to>
    <xdr:sp macro="" textlink="">
      <xdr:nvSpPr>
        <xdr:cNvPr id="15499" name="Line 533">
          <a:extLst>
            <a:ext uri="{FF2B5EF4-FFF2-40B4-BE49-F238E27FC236}">
              <a16:creationId xmlns:a16="http://schemas.microsoft.com/office/drawing/2014/main" id="{00000000-0008-0000-0A00-00008B3C0000}"/>
            </a:ext>
          </a:extLst>
        </xdr:cNvPr>
        <xdr:cNvSpPr>
          <a:spLocks noChangeShapeType="1"/>
        </xdr:cNvSpPr>
      </xdr:nvSpPr>
      <xdr:spPr bwMode="auto">
        <a:xfrm flipH="1">
          <a:off x="6048375" y="3590925"/>
          <a:ext cx="161925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17</xdr:col>
      <xdr:colOff>352425</xdr:colOff>
      <xdr:row>25</xdr:row>
      <xdr:rowOff>133350</xdr:rowOff>
    </xdr:from>
    <xdr:to>
      <xdr:col>18</xdr:col>
      <xdr:colOff>95250</xdr:colOff>
      <xdr:row>27</xdr:row>
      <xdr:rowOff>114300</xdr:rowOff>
    </xdr:to>
    <xdr:sp macro="" textlink="">
      <xdr:nvSpPr>
        <xdr:cNvPr id="15500" name="Line 534">
          <a:extLst>
            <a:ext uri="{FF2B5EF4-FFF2-40B4-BE49-F238E27FC236}">
              <a16:creationId xmlns:a16="http://schemas.microsoft.com/office/drawing/2014/main" id="{00000000-0008-0000-0A00-00008C3C0000}"/>
            </a:ext>
          </a:extLst>
        </xdr:cNvPr>
        <xdr:cNvSpPr>
          <a:spLocks noChangeShapeType="1"/>
        </xdr:cNvSpPr>
      </xdr:nvSpPr>
      <xdr:spPr bwMode="auto">
        <a:xfrm flipH="1">
          <a:off x="9477375" y="4648200"/>
          <a:ext cx="228600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47625</xdr:colOff>
      <xdr:row>21</xdr:row>
      <xdr:rowOff>76200</xdr:rowOff>
    </xdr:from>
    <xdr:to>
      <xdr:col>17</xdr:col>
      <xdr:colOff>180975</xdr:colOff>
      <xdr:row>27</xdr:row>
      <xdr:rowOff>19050</xdr:rowOff>
    </xdr:to>
    <xdr:sp macro="" textlink="">
      <xdr:nvSpPr>
        <xdr:cNvPr id="15501" name="Line 535">
          <a:extLst>
            <a:ext uri="{FF2B5EF4-FFF2-40B4-BE49-F238E27FC236}">
              <a16:creationId xmlns:a16="http://schemas.microsoft.com/office/drawing/2014/main" id="{00000000-0008-0000-0A00-00008D3C0000}"/>
            </a:ext>
          </a:extLst>
        </xdr:cNvPr>
        <xdr:cNvSpPr>
          <a:spLocks noChangeShapeType="1"/>
        </xdr:cNvSpPr>
      </xdr:nvSpPr>
      <xdr:spPr bwMode="auto">
        <a:xfrm flipH="1" flipV="1">
          <a:off x="6086475" y="3943350"/>
          <a:ext cx="3219450" cy="914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440914</xdr:colOff>
      <xdr:row>22</xdr:row>
      <xdr:rowOff>17522</xdr:rowOff>
    </xdr:from>
    <xdr:to>
      <xdr:col>14</xdr:col>
      <xdr:colOff>297775</xdr:colOff>
      <xdr:row>24</xdr:row>
      <xdr:rowOff>75732</xdr:rowOff>
    </xdr:to>
    <xdr:sp macro="" textlink="calcoloPunti!K35">
      <xdr:nvSpPr>
        <xdr:cNvPr id="499" name="Text Box 536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7937089" y="4046597"/>
          <a:ext cx="1057220" cy="382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7DB91BF7-1180-44B6-935C-A6C92879E185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10</xdr:col>
      <xdr:colOff>219075</xdr:colOff>
      <xdr:row>20</xdr:row>
      <xdr:rowOff>114300</xdr:rowOff>
    </xdr:from>
    <xdr:to>
      <xdr:col>11</xdr:col>
      <xdr:colOff>9525</xdr:colOff>
      <xdr:row>21</xdr:row>
      <xdr:rowOff>66675</xdr:rowOff>
    </xdr:to>
    <xdr:sp macro="" textlink="">
      <xdr:nvSpPr>
        <xdr:cNvPr id="15503" name="Line 537">
          <a:extLst>
            <a:ext uri="{FF2B5EF4-FFF2-40B4-BE49-F238E27FC236}">
              <a16:creationId xmlns:a16="http://schemas.microsoft.com/office/drawing/2014/main" id="{00000000-0008-0000-0A00-00008F3C0000}"/>
            </a:ext>
          </a:extLst>
        </xdr:cNvPr>
        <xdr:cNvSpPr>
          <a:spLocks noChangeShapeType="1"/>
        </xdr:cNvSpPr>
      </xdr:nvSpPr>
      <xdr:spPr bwMode="auto">
        <a:xfrm>
          <a:off x="5724525" y="3819525"/>
          <a:ext cx="32385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absolute">
    <xdr:from>
      <xdr:col>17</xdr:col>
      <xdr:colOff>114300</xdr:colOff>
      <xdr:row>26</xdr:row>
      <xdr:rowOff>142875</xdr:rowOff>
    </xdr:from>
    <xdr:to>
      <xdr:col>17</xdr:col>
      <xdr:colOff>361950</xdr:colOff>
      <xdr:row>27</xdr:row>
      <xdr:rowOff>85725</xdr:rowOff>
    </xdr:to>
    <xdr:sp macro="" textlink="">
      <xdr:nvSpPr>
        <xdr:cNvPr id="15504" name="Line 539">
          <a:extLst>
            <a:ext uri="{FF2B5EF4-FFF2-40B4-BE49-F238E27FC236}">
              <a16:creationId xmlns:a16="http://schemas.microsoft.com/office/drawing/2014/main" id="{00000000-0008-0000-0A00-0000903C0000}"/>
            </a:ext>
          </a:extLst>
        </xdr:cNvPr>
        <xdr:cNvSpPr>
          <a:spLocks noChangeShapeType="1"/>
        </xdr:cNvSpPr>
      </xdr:nvSpPr>
      <xdr:spPr bwMode="auto">
        <a:xfrm>
          <a:off x="9239250" y="4819650"/>
          <a:ext cx="24765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absolute">
    <xdr:from>
      <xdr:col>16</xdr:col>
      <xdr:colOff>333375</xdr:colOff>
      <xdr:row>38</xdr:row>
      <xdr:rowOff>9525</xdr:rowOff>
    </xdr:from>
    <xdr:to>
      <xdr:col>16</xdr:col>
      <xdr:colOff>342900</xdr:colOff>
      <xdr:row>50</xdr:row>
      <xdr:rowOff>28575</xdr:rowOff>
    </xdr:to>
    <xdr:sp macro="" textlink="">
      <xdr:nvSpPr>
        <xdr:cNvPr id="15505" name="Line 540">
          <a:extLst>
            <a:ext uri="{FF2B5EF4-FFF2-40B4-BE49-F238E27FC236}">
              <a16:creationId xmlns:a16="http://schemas.microsoft.com/office/drawing/2014/main" id="{00000000-0008-0000-0A00-0000913C0000}"/>
            </a:ext>
          </a:extLst>
        </xdr:cNvPr>
        <xdr:cNvSpPr>
          <a:spLocks noChangeAspect="1" noChangeShapeType="1"/>
        </xdr:cNvSpPr>
      </xdr:nvSpPr>
      <xdr:spPr bwMode="auto">
        <a:xfrm>
          <a:off x="9039225" y="6629400"/>
          <a:ext cx="9525" cy="19621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200025</xdr:colOff>
      <xdr:row>49</xdr:row>
      <xdr:rowOff>85725</xdr:rowOff>
    </xdr:from>
    <xdr:to>
      <xdr:col>16</xdr:col>
      <xdr:colOff>200025</xdr:colOff>
      <xdr:row>49</xdr:row>
      <xdr:rowOff>95250</xdr:rowOff>
    </xdr:to>
    <xdr:sp macro="" textlink="">
      <xdr:nvSpPr>
        <xdr:cNvPr id="15506" name="Line 541">
          <a:extLst>
            <a:ext uri="{FF2B5EF4-FFF2-40B4-BE49-F238E27FC236}">
              <a16:creationId xmlns:a16="http://schemas.microsoft.com/office/drawing/2014/main" id="{00000000-0008-0000-0A00-0000923C0000}"/>
            </a:ext>
          </a:extLst>
        </xdr:cNvPr>
        <xdr:cNvSpPr>
          <a:spLocks noChangeAspect="1" noChangeShapeType="1"/>
        </xdr:cNvSpPr>
      </xdr:nvSpPr>
      <xdr:spPr bwMode="auto">
        <a:xfrm>
          <a:off x="1266825" y="8486775"/>
          <a:ext cx="7639050" cy="95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161925</xdr:colOff>
      <xdr:row>49</xdr:row>
      <xdr:rowOff>47625</xdr:rowOff>
    </xdr:from>
    <xdr:to>
      <xdr:col>2</xdr:col>
      <xdr:colOff>323850</xdr:colOff>
      <xdr:row>49</xdr:row>
      <xdr:rowOff>114300</xdr:rowOff>
    </xdr:to>
    <xdr:sp macro="" textlink="">
      <xdr:nvSpPr>
        <xdr:cNvPr id="15507" name="Freeform 542">
          <a:extLst>
            <a:ext uri="{FF2B5EF4-FFF2-40B4-BE49-F238E27FC236}">
              <a16:creationId xmlns:a16="http://schemas.microsoft.com/office/drawing/2014/main" id="{00000000-0008-0000-0A00-0000933C0000}"/>
            </a:ext>
          </a:extLst>
        </xdr:cNvPr>
        <xdr:cNvSpPr>
          <a:spLocks noChangeAspect="1"/>
        </xdr:cNvSpPr>
      </xdr:nvSpPr>
      <xdr:spPr bwMode="auto">
        <a:xfrm>
          <a:off x="1228725" y="8448675"/>
          <a:ext cx="161925" cy="66675"/>
        </a:xfrm>
        <a:custGeom>
          <a:avLst/>
          <a:gdLst>
            <a:gd name="T0" fmla="*/ 2147483647 w 382"/>
            <a:gd name="T1" fmla="*/ 0 h 127"/>
            <a:gd name="T2" fmla="*/ 2147483647 w 382"/>
            <a:gd name="T3" fmla="*/ 0 h 127"/>
            <a:gd name="T4" fmla="*/ 0 w 382"/>
            <a:gd name="T5" fmla="*/ 0 h 127"/>
            <a:gd name="T6" fmla="*/ 2147483647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382" y="0"/>
              </a:moveTo>
              <a:lnTo>
                <a:pt x="382" y="127"/>
              </a:lnTo>
              <a:lnTo>
                <a:pt x="0" y="64"/>
              </a:lnTo>
              <a:lnTo>
                <a:pt x="382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16</xdr:col>
      <xdr:colOff>180975</xdr:colOff>
      <xdr:row>49</xdr:row>
      <xdr:rowOff>66675</xdr:rowOff>
    </xdr:from>
    <xdr:to>
      <xdr:col>16</xdr:col>
      <xdr:colOff>342900</xdr:colOff>
      <xdr:row>49</xdr:row>
      <xdr:rowOff>133350</xdr:rowOff>
    </xdr:to>
    <xdr:sp macro="" textlink="">
      <xdr:nvSpPr>
        <xdr:cNvPr id="15508" name="Freeform 543">
          <a:extLst>
            <a:ext uri="{FF2B5EF4-FFF2-40B4-BE49-F238E27FC236}">
              <a16:creationId xmlns:a16="http://schemas.microsoft.com/office/drawing/2014/main" id="{00000000-0008-0000-0A00-0000943C0000}"/>
            </a:ext>
          </a:extLst>
        </xdr:cNvPr>
        <xdr:cNvSpPr>
          <a:spLocks noChangeAspect="1"/>
        </xdr:cNvSpPr>
      </xdr:nvSpPr>
      <xdr:spPr bwMode="auto">
        <a:xfrm>
          <a:off x="8886825" y="8467725"/>
          <a:ext cx="161925" cy="66675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4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9</xdr:col>
      <xdr:colOff>240997</xdr:colOff>
      <xdr:row>48</xdr:row>
      <xdr:rowOff>34325</xdr:rowOff>
    </xdr:from>
    <xdr:to>
      <xdr:col>11</xdr:col>
      <xdr:colOff>183781</xdr:colOff>
      <xdr:row>50</xdr:row>
      <xdr:rowOff>82996</xdr:rowOff>
    </xdr:to>
    <xdr:sp macro="" textlink="$Y$5">
      <xdr:nvSpPr>
        <xdr:cNvPr id="506" name="Text Box 544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5870272" y="8273450"/>
          <a:ext cx="1152465" cy="3820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7C26810D-991F-4935-AB8F-8DF9FEF9FCFE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2</xdr:col>
      <xdr:colOff>171450</xdr:colOff>
      <xdr:row>42</xdr:row>
      <xdr:rowOff>95250</xdr:rowOff>
    </xdr:from>
    <xdr:to>
      <xdr:col>2</xdr:col>
      <xdr:colOff>171450</xdr:colOff>
      <xdr:row>50</xdr:row>
      <xdr:rowOff>47625</xdr:rowOff>
    </xdr:to>
    <xdr:sp macro="" textlink="">
      <xdr:nvSpPr>
        <xdr:cNvPr id="15510" name="Line 545">
          <a:extLst>
            <a:ext uri="{FF2B5EF4-FFF2-40B4-BE49-F238E27FC236}">
              <a16:creationId xmlns:a16="http://schemas.microsoft.com/office/drawing/2014/main" id="{00000000-0008-0000-0A00-0000963C0000}"/>
            </a:ext>
          </a:extLst>
        </xdr:cNvPr>
        <xdr:cNvSpPr>
          <a:spLocks noChangeAspect="1" noChangeShapeType="1"/>
        </xdr:cNvSpPr>
      </xdr:nvSpPr>
      <xdr:spPr bwMode="auto">
        <a:xfrm>
          <a:off x="1238250" y="7362825"/>
          <a:ext cx="0" cy="1247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66581</xdr:colOff>
      <xdr:row>20</xdr:row>
      <xdr:rowOff>7863</xdr:rowOff>
    </xdr:from>
    <xdr:to>
      <xdr:col>3</xdr:col>
      <xdr:colOff>401671</xdr:colOff>
      <xdr:row>35</xdr:row>
      <xdr:rowOff>143421</xdr:rowOff>
    </xdr:to>
    <xdr:sp macro="" textlink="">
      <xdr:nvSpPr>
        <xdr:cNvPr id="508" name="Text Box 551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SpPr txBox="1">
          <a:spLocks noChangeArrowheads="1"/>
        </xdr:cNvSpPr>
      </xdr:nvSpPr>
      <xdr:spPr bwMode="auto">
        <a:xfrm>
          <a:off x="1904906" y="3713088"/>
          <a:ext cx="409554" cy="25644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wordArtVert" wrap="square" lIns="36576" tIns="0" rIns="0" bIns="0" anchor="t" upright="1"/>
        <a:lstStyle/>
        <a:p>
          <a:pPr algn="l" rtl="0">
            <a:defRPr sz="1000"/>
          </a:pPr>
          <a:r>
            <a:rPr lang="it-IT" sz="1600" b="1" i="0" strike="noStrike">
              <a:solidFill>
                <a:srgbClr val="000000"/>
              </a:solidFill>
              <a:latin typeface="Arial"/>
              <a:cs typeface="Arial"/>
            </a:rPr>
            <a:t>BRETELLA</a:t>
          </a:r>
        </a:p>
        <a:p>
          <a:pPr algn="l" rtl="0">
            <a:defRPr sz="1000"/>
          </a:pP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219075</xdr:colOff>
      <xdr:row>0</xdr:row>
      <xdr:rowOff>104775</xdr:rowOff>
    </xdr:from>
    <xdr:to>
      <xdr:col>7</xdr:col>
      <xdr:colOff>352429</xdr:colOff>
      <xdr:row>3</xdr:row>
      <xdr:rowOff>57272</xdr:rowOff>
    </xdr:to>
    <xdr:sp macro="" textlink="">
      <xdr:nvSpPr>
        <xdr:cNvPr id="509" name="Text Box 1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SpPr txBox="1">
          <a:spLocks noChangeArrowheads="1"/>
        </xdr:cNvSpPr>
      </xdr:nvSpPr>
      <xdr:spPr bwMode="auto">
        <a:xfrm>
          <a:off x="257175" y="104775"/>
          <a:ext cx="4524375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it-IT" sz="1600" b="1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it-IT" sz="1800" b="1" i="0" u="sng" strike="noStrike">
              <a:solidFill>
                <a:srgbClr val="000000"/>
              </a:solidFill>
              <a:latin typeface="Arial"/>
              <a:cs typeface="Arial"/>
            </a:rPr>
            <a:t>SVILUPPO DELL'OTTAVO DEL SILOS</a:t>
          </a:r>
        </a:p>
      </xdr:txBody>
    </xdr:sp>
    <xdr:clientData/>
  </xdr:twoCellAnchor>
  <xdr:twoCellAnchor>
    <xdr:from>
      <xdr:col>7</xdr:col>
      <xdr:colOff>304800</xdr:colOff>
      <xdr:row>4</xdr:row>
      <xdr:rowOff>95250</xdr:rowOff>
    </xdr:from>
    <xdr:to>
      <xdr:col>15</xdr:col>
      <xdr:colOff>9493</xdr:colOff>
      <xdr:row>7</xdr:row>
      <xdr:rowOff>85725</xdr:rowOff>
    </xdr:to>
    <xdr:sp macro="" textlink="">
      <xdr:nvSpPr>
        <xdr:cNvPr id="510" name="Text Box 2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SpPr txBox="1">
          <a:spLocks noChangeArrowheads="1"/>
        </xdr:cNvSpPr>
      </xdr:nvSpPr>
      <xdr:spPr bwMode="auto">
        <a:xfrm>
          <a:off x="4724400" y="742950"/>
          <a:ext cx="4524375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it-IT" sz="1600" b="1" i="0" u="sng" strike="noStrike">
              <a:solidFill>
                <a:srgbClr val="000000"/>
              </a:solidFill>
              <a:latin typeface="Arial"/>
              <a:cs typeface="Arial"/>
            </a:rPr>
            <a:t>Lato corto del silos</a:t>
          </a: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17</xdr:col>
      <xdr:colOff>161925</xdr:colOff>
      <xdr:row>1</xdr:row>
      <xdr:rowOff>38100</xdr:rowOff>
    </xdr:from>
    <xdr:to>
      <xdr:col>19</xdr:col>
      <xdr:colOff>381000</xdr:colOff>
      <xdr:row>5</xdr:row>
      <xdr:rowOff>219075</xdr:rowOff>
    </xdr:to>
    <xdr:grpSp>
      <xdr:nvGrpSpPr>
        <xdr:cNvPr id="15514" name="Group 489">
          <a:extLst>
            <a:ext uri="{FF2B5EF4-FFF2-40B4-BE49-F238E27FC236}">
              <a16:creationId xmlns:a16="http://schemas.microsoft.com/office/drawing/2014/main" id="{00000000-0008-0000-0A00-00009A3C0000}"/>
            </a:ext>
          </a:extLst>
        </xdr:cNvPr>
        <xdr:cNvGrpSpPr>
          <a:grpSpLocks/>
        </xdr:cNvGrpSpPr>
      </xdr:nvGrpSpPr>
      <xdr:grpSpPr bwMode="auto">
        <a:xfrm>
          <a:off x="9350749" y="194982"/>
          <a:ext cx="1003486" cy="819711"/>
          <a:chOff x="68" y="130"/>
          <a:chExt cx="124" cy="88"/>
        </a:xfrm>
      </xdr:grpSpPr>
      <xdr:sp macro="" textlink="">
        <xdr:nvSpPr>
          <xdr:cNvPr id="512" name="Text Box 490">
            <a:extLst>
              <a:ext uri="{FF2B5EF4-FFF2-40B4-BE49-F238E27FC236}">
                <a16:creationId xmlns:a16="http://schemas.microsoft.com/office/drawing/2014/main" id="{00000000-0008-0000-0A00-00000002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6" y="188"/>
            <a:ext cx="28" cy="2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it-IT" sz="1000" b="1" i="0" strike="noStrike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15566" name="Line 491">
            <a:extLst>
              <a:ext uri="{FF2B5EF4-FFF2-40B4-BE49-F238E27FC236}">
                <a16:creationId xmlns:a16="http://schemas.microsoft.com/office/drawing/2014/main" id="{00000000-0008-0000-0A00-0000CE3C0000}"/>
              </a:ext>
            </a:extLst>
          </xdr:cNvPr>
          <xdr:cNvSpPr>
            <a:spLocks noChangeShapeType="1"/>
          </xdr:cNvSpPr>
        </xdr:nvSpPr>
        <xdr:spPr bwMode="auto">
          <a:xfrm>
            <a:off x="68" y="144"/>
            <a:ext cx="8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15567" name="Line 492">
            <a:extLst>
              <a:ext uri="{FF2B5EF4-FFF2-40B4-BE49-F238E27FC236}">
                <a16:creationId xmlns:a16="http://schemas.microsoft.com/office/drawing/2014/main" id="{00000000-0008-0000-0A00-0000CF3C0000}"/>
              </a:ext>
            </a:extLst>
          </xdr:cNvPr>
          <xdr:cNvSpPr>
            <a:spLocks noChangeShapeType="1"/>
          </xdr:cNvSpPr>
        </xdr:nvSpPr>
        <xdr:spPr bwMode="auto">
          <a:xfrm>
            <a:off x="69" y="144"/>
            <a:ext cx="0" cy="7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515" name="Text Box 493">
            <a:extLst>
              <a:ext uri="{FF2B5EF4-FFF2-40B4-BE49-F238E27FC236}">
                <a16:creationId xmlns:a16="http://schemas.microsoft.com/office/drawing/2014/main" id="{00000000-0008-0000-0A00-00000302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3" y="130"/>
            <a:ext cx="29" cy="2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it-IT" sz="1000" b="1" i="0" strike="noStrike">
                <a:solidFill>
                  <a:srgbClr val="000000"/>
                </a:solidFill>
                <a:latin typeface="Arial"/>
                <a:cs typeface="Arial"/>
              </a:rPr>
              <a:t>Y</a:t>
            </a:r>
          </a:p>
        </xdr:txBody>
      </xdr:sp>
    </xdr:grpSp>
    <xdr:clientData/>
  </xdr:twoCellAnchor>
  <xdr:twoCellAnchor>
    <xdr:from>
      <xdr:col>2</xdr:col>
      <xdr:colOff>409726</xdr:colOff>
      <xdr:row>19</xdr:row>
      <xdr:rowOff>133685</xdr:rowOff>
    </xdr:from>
    <xdr:to>
      <xdr:col>2</xdr:col>
      <xdr:colOff>410521</xdr:colOff>
      <xdr:row>21</xdr:row>
      <xdr:rowOff>147548</xdr:rowOff>
    </xdr:to>
    <xdr:cxnSp macro="">
      <xdr:nvCxnSpPr>
        <xdr:cNvPr id="516" name="Connettore 1 515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CxnSpPr/>
      </xdr:nvCxnSpPr>
      <xdr:spPr bwMode="auto">
        <a:xfrm rot="5400000">
          <a:off x="1531849" y="3850262"/>
          <a:ext cx="347349" cy="795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418130</xdr:colOff>
      <xdr:row>22</xdr:row>
      <xdr:rowOff>144906</xdr:rowOff>
    </xdr:from>
    <xdr:to>
      <xdr:col>2</xdr:col>
      <xdr:colOff>418925</xdr:colOff>
      <xdr:row>25</xdr:row>
      <xdr:rowOff>14571</xdr:rowOff>
    </xdr:to>
    <xdr:cxnSp macro="">
      <xdr:nvCxnSpPr>
        <xdr:cNvPr id="517" name="Connettore 1 516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CxnSpPr/>
      </xdr:nvCxnSpPr>
      <xdr:spPr bwMode="auto">
        <a:xfrm rot="5400000">
          <a:off x="1550459" y="4356102"/>
          <a:ext cx="345987" cy="795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411407</xdr:colOff>
      <xdr:row>26</xdr:row>
      <xdr:rowOff>43265</xdr:rowOff>
    </xdr:from>
    <xdr:to>
      <xdr:col>2</xdr:col>
      <xdr:colOff>412202</xdr:colOff>
      <xdr:row>28</xdr:row>
      <xdr:rowOff>66763</xdr:rowOff>
    </xdr:to>
    <xdr:cxnSp macro="">
      <xdr:nvCxnSpPr>
        <xdr:cNvPr id="518" name="Connettore 1 517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CxnSpPr/>
      </xdr:nvCxnSpPr>
      <xdr:spPr bwMode="auto">
        <a:xfrm rot="5400000">
          <a:off x="1543056" y="4893316"/>
          <a:ext cx="347348" cy="795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406924</xdr:colOff>
      <xdr:row>29</xdr:row>
      <xdr:rowOff>54487</xdr:rowOff>
    </xdr:from>
    <xdr:to>
      <xdr:col>2</xdr:col>
      <xdr:colOff>407719</xdr:colOff>
      <xdr:row>31</xdr:row>
      <xdr:rowOff>87621</xdr:rowOff>
    </xdr:to>
    <xdr:cxnSp macro="">
      <xdr:nvCxnSpPr>
        <xdr:cNvPr id="519" name="Connettore 1 518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CxnSpPr/>
      </xdr:nvCxnSpPr>
      <xdr:spPr bwMode="auto">
        <a:xfrm rot="5400000">
          <a:off x="1538573" y="5399838"/>
          <a:ext cx="347348" cy="795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411966</xdr:colOff>
      <xdr:row>32</xdr:row>
      <xdr:rowOff>94282</xdr:rowOff>
    </xdr:from>
    <xdr:to>
      <xdr:col>2</xdr:col>
      <xdr:colOff>412761</xdr:colOff>
      <xdr:row>34</xdr:row>
      <xdr:rowOff>108412</xdr:rowOff>
    </xdr:to>
    <xdr:cxnSp macro="">
      <xdr:nvCxnSpPr>
        <xdr:cNvPr id="520" name="Connettore 1 519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CxnSpPr/>
      </xdr:nvCxnSpPr>
      <xdr:spPr bwMode="auto">
        <a:xfrm rot="5400000">
          <a:off x="1534090" y="5906358"/>
          <a:ext cx="347348" cy="795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409165</xdr:colOff>
      <xdr:row>35</xdr:row>
      <xdr:rowOff>116709</xdr:rowOff>
    </xdr:from>
    <xdr:to>
      <xdr:col>2</xdr:col>
      <xdr:colOff>409960</xdr:colOff>
      <xdr:row>37</xdr:row>
      <xdr:rowOff>147549</xdr:rowOff>
    </xdr:to>
    <xdr:cxnSp macro="">
      <xdr:nvCxnSpPr>
        <xdr:cNvPr id="521" name="Connettore 1 520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CxnSpPr/>
      </xdr:nvCxnSpPr>
      <xdr:spPr bwMode="auto">
        <a:xfrm rot="5400000">
          <a:off x="1537143" y="6427756"/>
          <a:ext cx="354690" cy="795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36</xdr:row>
      <xdr:rowOff>19050</xdr:rowOff>
    </xdr:from>
    <xdr:to>
      <xdr:col>2</xdr:col>
      <xdr:colOff>142875</xdr:colOff>
      <xdr:row>36</xdr:row>
      <xdr:rowOff>19050</xdr:rowOff>
    </xdr:to>
    <xdr:sp macro="" textlink="">
      <xdr:nvSpPr>
        <xdr:cNvPr id="15521" name="Line 607">
          <a:extLst>
            <a:ext uri="{FF2B5EF4-FFF2-40B4-BE49-F238E27FC236}">
              <a16:creationId xmlns:a16="http://schemas.microsoft.com/office/drawing/2014/main" id="{00000000-0008-0000-0A00-0000A13C0000}"/>
            </a:ext>
          </a:extLst>
        </xdr:cNvPr>
        <xdr:cNvSpPr>
          <a:spLocks noChangeShapeType="1"/>
        </xdr:cNvSpPr>
      </xdr:nvSpPr>
      <xdr:spPr bwMode="auto">
        <a:xfrm>
          <a:off x="847725" y="6315075"/>
          <a:ext cx="361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485775</xdr:colOff>
      <xdr:row>36</xdr:row>
      <xdr:rowOff>19050</xdr:rowOff>
    </xdr:from>
    <xdr:to>
      <xdr:col>3</xdr:col>
      <xdr:colOff>9525</xdr:colOff>
      <xdr:row>36</xdr:row>
      <xdr:rowOff>19050</xdr:rowOff>
    </xdr:to>
    <xdr:sp macro="" textlink="">
      <xdr:nvSpPr>
        <xdr:cNvPr id="15522" name="Line 608">
          <a:extLst>
            <a:ext uri="{FF2B5EF4-FFF2-40B4-BE49-F238E27FC236}">
              <a16:creationId xmlns:a16="http://schemas.microsoft.com/office/drawing/2014/main" id="{00000000-0008-0000-0A00-0000A23C0000}"/>
            </a:ext>
          </a:extLst>
        </xdr:cNvPr>
        <xdr:cNvSpPr>
          <a:spLocks noChangeShapeType="1"/>
        </xdr:cNvSpPr>
      </xdr:nvSpPr>
      <xdr:spPr bwMode="auto">
        <a:xfrm>
          <a:off x="1019175" y="6315075"/>
          <a:ext cx="590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400050</xdr:colOff>
      <xdr:row>36</xdr:row>
      <xdr:rowOff>19050</xdr:rowOff>
    </xdr:from>
    <xdr:to>
      <xdr:col>3</xdr:col>
      <xdr:colOff>104775</xdr:colOff>
      <xdr:row>36</xdr:row>
      <xdr:rowOff>19050</xdr:rowOff>
    </xdr:to>
    <xdr:sp macro="" textlink="">
      <xdr:nvSpPr>
        <xdr:cNvPr id="15523" name="Line 609">
          <a:extLst>
            <a:ext uri="{FF2B5EF4-FFF2-40B4-BE49-F238E27FC236}">
              <a16:creationId xmlns:a16="http://schemas.microsoft.com/office/drawing/2014/main" id="{00000000-0008-0000-0A00-0000A33C0000}"/>
            </a:ext>
          </a:extLst>
        </xdr:cNvPr>
        <xdr:cNvSpPr>
          <a:spLocks noChangeShapeType="1"/>
        </xdr:cNvSpPr>
      </xdr:nvSpPr>
      <xdr:spPr bwMode="auto">
        <a:xfrm flipH="1">
          <a:off x="1466850" y="6315075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446097</xdr:colOff>
      <xdr:row>33</xdr:row>
      <xdr:rowOff>86871</xdr:rowOff>
    </xdr:from>
    <xdr:to>
      <xdr:col>3</xdr:col>
      <xdr:colOff>234610</xdr:colOff>
      <xdr:row>35</xdr:row>
      <xdr:rowOff>145638</xdr:rowOff>
    </xdr:to>
    <xdr:sp macro="" textlink="Calcolo1!D18">
      <xdr:nvSpPr>
        <xdr:cNvPr id="525" name="Text Box 561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1751022" y="5906646"/>
          <a:ext cx="359714" cy="3826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B7E5B2D1-3390-419F-85D4-4765D709E07E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30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</xdr:col>
      <xdr:colOff>6569</xdr:colOff>
      <xdr:row>34</xdr:row>
      <xdr:rowOff>105104</xdr:rowOff>
    </xdr:from>
    <xdr:to>
      <xdr:col>3</xdr:col>
      <xdr:colOff>334821</xdr:colOff>
      <xdr:row>36</xdr:row>
      <xdr:rowOff>95953</xdr:rowOff>
    </xdr:to>
    <xdr:sp macro="" textlink="">
      <xdr:nvSpPr>
        <xdr:cNvPr id="526" name="Text Box 582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SpPr txBox="1">
          <a:spLocks noChangeAspect="1" noChangeArrowheads="1"/>
        </xdr:cNvSpPr>
      </xdr:nvSpPr>
      <xdr:spPr bwMode="auto">
        <a:xfrm>
          <a:off x="1835369" y="6077279"/>
          <a:ext cx="403281" cy="3146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t>orlo</a:t>
          </a: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62593</xdr:colOff>
      <xdr:row>8</xdr:row>
      <xdr:rowOff>163286</xdr:rowOff>
    </xdr:from>
    <xdr:to>
      <xdr:col>15</xdr:col>
      <xdr:colOff>413556</xdr:colOff>
      <xdr:row>12</xdr:row>
      <xdr:rowOff>81642</xdr:rowOff>
    </xdr:to>
    <xdr:sp macro="" textlink="">
      <xdr:nvSpPr>
        <xdr:cNvPr id="527" name="CasellaDiTesto 526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SpPr txBox="1"/>
      </xdr:nvSpPr>
      <xdr:spPr>
        <a:xfrm>
          <a:off x="5663293" y="1582511"/>
          <a:ext cx="4065815" cy="8327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it-IT" sz="1400"/>
            <a:t>FARE RIENTRANZA DI 1-2 CM IN QUESTA ZONA PER LIMITARE LO SPANCIAMENTO DEL CONO</a:t>
          </a:r>
        </a:p>
      </xdr:txBody>
    </xdr:sp>
    <xdr:clientData/>
  </xdr:twoCellAnchor>
  <xdr:twoCellAnchor>
    <xdr:from>
      <xdr:col>15</xdr:col>
      <xdr:colOff>114300</xdr:colOff>
      <xdr:row>12</xdr:row>
      <xdr:rowOff>114300</xdr:rowOff>
    </xdr:from>
    <xdr:to>
      <xdr:col>15</xdr:col>
      <xdr:colOff>485775</xdr:colOff>
      <xdr:row>23</xdr:row>
      <xdr:rowOff>114300</xdr:rowOff>
    </xdr:to>
    <xdr:cxnSp macro="">
      <xdr:nvCxnSpPr>
        <xdr:cNvPr id="15527" name="Connettore 2 527">
          <a:extLst>
            <a:ext uri="{FF2B5EF4-FFF2-40B4-BE49-F238E27FC236}">
              <a16:creationId xmlns:a16="http://schemas.microsoft.com/office/drawing/2014/main" id="{00000000-0008-0000-0A00-0000A73C0000}"/>
            </a:ext>
          </a:extLst>
        </xdr:cNvPr>
        <xdr:cNvCxnSpPr>
          <a:cxnSpLocks noChangeShapeType="1"/>
        </xdr:cNvCxnSpPr>
      </xdr:nvCxnSpPr>
      <xdr:spPr bwMode="auto">
        <a:xfrm rot="16200000" flipH="1">
          <a:off x="7543800" y="3190875"/>
          <a:ext cx="1857375" cy="37147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  <xdr:twoCellAnchor>
    <xdr:from>
      <xdr:col>13</xdr:col>
      <xdr:colOff>361950</xdr:colOff>
      <xdr:row>12</xdr:row>
      <xdr:rowOff>114300</xdr:rowOff>
    </xdr:from>
    <xdr:to>
      <xdr:col>15</xdr:col>
      <xdr:colOff>114300</xdr:colOff>
      <xdr:row>21</xdr:row>
      <xdr:rowOff>85725</xdr:rowOff>
    </xdr:to>
    <xdr:cxnSp macro="">
      <xdr:nvCxnSpPr>
        <xdr:cNvPr id="15528" name="Connettore 2 528">
          <a:extLst>
            <a:ext uri="{FF2B5EF4-FFF2-40B4-BE49-F238E27FC236}">
              <a16:creationId xmlns:a16="http://schemas.microsoft.com/office/drawing/2014/main" id="{00000000-0008-0000-0A00-0000A83C0000}"/>
            </a:ext>
          </a:extLst>
        </xdr:cNvPr>
        <xdr:cNvCxnSpPr>
          <a:cxnSpLocks noChangeShapeType="1"/>
        </xdr:cNvCxnSpPr>
      </xdr:nvCxnSpPr>
      <xdr:spPr bwMode="auto">
        <a:xfrm rot="5400000">
          <a:off x="7124700" y="2790825"/>
          <a:ext cx="1504950" cy="819150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  <xdr:twoCellAnchor>
    <xdr:from>
      <xdr:col>4</xdr:col>
      <xdr:colOff>9525</xdr:colOff>
      <xdr:row>46</xdr:row>
      <xdr:rowOff>66675</xdr:rowOff>
    </xdr:from>
    <xdr:to>
      <xdr:col>11</xdr:col>
      <xdr:colOff>400050</xdr:colOff>
      <xdr:row>46</xdr:row>
      <xdr:rowOff>66675</xdr:rowOff>
    </xdr:to>
    <xdr:cxnSp macro="">
      <xdr:nvCxnSpPr>
        <xdr:cNvPr id="15529" name="Connettore 1 529">
          <a:extLst>
            <a:ext uri="{FF2B5EF4-FFF2-40B4-BE49-F238E27FC236}">
              <a16:creationId xmlns:a16="http://schemas.microsoft.com/office/drawing/2014/main" id="{00000000-0008-0000-0A00-0000A93C0000}"/>
            </a:ext>
          </a:extLst>
        </xdr:cNvPr>
        <xdr:cNvCxnSpPr>
          <a:cxnSpLocks noChangeShapeType="1"/>
        </xdr:cNvCxnSpPr>
      </xdr:nvCxnSpPr>
      <xdr:spPr bwMode="auto">
        <a:xfrm>
          <a:off x="2143125" y="7981950"/>
          <a:ext cx="429577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 editAs="absolute">
    <xdr:from>
      <xdr:col>8</xdr:col>
      <xdr:colOff>330380</xdr:colOff>
      <xdr:row>20</xdr:row>
      <xdr:rowOff>115586</xdr:rowOff>
    </xdr:from>
    <xdr:to>
      <xdr:col>10</xdr:col>
      <xdr:colOff>31632</xdr:colOff>
      <xdr:row>36</xdr:row>
      <xdr:rowOff>103929</xdr:rowOff>
    </xdr:to>
    <xdr:sp macro="" textlink="">
      <xdr:nvSpPr>
        <xdr:cNvPr id="531" name="Text Box 597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SpPr txBox="1">
          <a:spLocks noChangeArrowheads="1"/>
        </xdr:cNvSpPr>
      </xdr:nvSpPr>
      <xdr:spPr bwMode="auto">
        <a:xfrm>
          <a:off x="5369105" y="3830336"/>
          <a:ext cx="862895" cy="2569643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</xdr:spPr>
      <xdr:txBody>
        <a:bodyPr vertOverflow="clip" vert="wordArtVert" wrap="square" lIns="36576" tIns="0" rIns="0" bIns="0" anchor="t" upright="1"/>
        <a:lstStyle/>
        <a:p>
          <a:pPr algn="l" rtl="0">
            <a:defRPr sz="1000"/>
          </a:pPr>
          <a:r>
            <a:rPr lang="it-IT" sz="1600" b="1" i="0" strike="noStrike">
              <a:solidFill>
                <a:srgbClr val="000000"/>
              </a:solidFill>
              <a:latin typeface="Arial"/>
              <a:cs typeface="Arial"/>
            </a:rPr>
            <a:t>Cucitura</a:t>
          </a:r>
        </a:p>
        <a:p>
          <a:pPr algn="l" rtl="0">
            <a:defRPr sz="1000"/>
          </a:pPr>
          <a:r>
            <a:rPr lang="it-IT" sz="1600" b="1" i="0" strike="noStrike">
              <a:solidFill>
                <a:srgbClr val="000000"/>
              </a:solidFill>
              <a:latin typeface="Arial"/>
              <a:cs typeface="Arial"/>
            </a:rPr>
            <a:t>bretella inferiore</a:t>
          </a:r>
        </a:p>
        <a:p>
          <a:pPr algn="l" rtl="0">
            <a:defRPr sz="1000"/>
          </a:pP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10</xdr:col>
      <xdr:colOff>114300</xdr:colOff>
      <xdr:row>23</xdr:row>
      <xdr:rowOff>0</xdr:rowOff>
    </xdr:from>
    <xdr:to>
      <xdr:col>11</xdr:col>
      <xdr:colOff>142875</xdr:colOff>
      <xdr:row>24</xdr:row>
      <xdr:rowOff>57150</xdr:rowOff>
    </xdr:to>
    <xdr:sp macro="" textlink="">
      <xdr:nvSpPr>
        <xdr:cNvPr id="15531" name="Line 604">
          <a:extLst>
            <a:ext uri="{FF2B5EF4-FFF2-40B4-BE49-F238E27FC236}">
              <a16:creationId xmlns:a16="http://schemas.microsoft.com/office/drawing/2014/main" id="{00000000-0008-0000-0A00-0000AB3C0000}"/>
            </a:ext>
          </a:extLst>
        </xdr:cNvPr>
        <xdr:cNvSpPr>
          <a:spLocks noChangeShapeType="1"/>
        </xdr:cNvSpPr>
      </xdr:nvSpPr>
      <xdr:spPr bwMode="auto">
        <a:xfrm>
          <a:off x="5619750" y="4191000"/>
          <a:ext cx="561975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absolute">
    <xdr:from>
      <xdr:col>4</xdr:col>
      <xdr:colOff>294162</xdr:colOff>
      <xdr:row>20</xdr:row>
      <xdr:rowOff>19589</xdr:rowOff>
    </xdr:from>
    <xdr:to>
      <xdr:col>5</xdr:col>
      <xdr:colOff>414082</xdr:colOff>
      <xdr:row>36</xdr:row>
      <xdr:rowOff>14359</xdr:rowOff>
    </xdr:to>
    <xdr:sp macro="" textlink="">
      <xdr:nvSpPr>
        <xdr:cNvPr id="533" name="Text Box 597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SpPr txBox="1">
          <a:spLocks noChangeArrowheads="1"/>
        </xdr:cNvSpPr>
      </xdr:nvSpPr>
      <xdr:spPr bwMode="auto">
        <a:xfrm>
          <a:off x="2789712" y="3724814"/>
          <a:ext cx="853249" cy="2576046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</xdr:spPr>
      <xdr:txBody>
        <a:bodyPr vertOverflow="clip" vert="wordArtVert" wrap="square" lIns="36576" tIns="0" rIns="0" bIns="0" anchor="t" upright="1"/>
        <a:lstStyle/>
        <a:p>
          <a:pPr algn="l" rtl="0">
            <a:defRPr sz="1000"/>
          </a:pPr>
          <a:r>
            <a:rPr lang="it-IT" sz="1600" b="1" i="0" strike="noStrike">
              <a:solidFill>
                <a:srgbClr val="000000"/>
              </a:solidFill>
              <a:latin typeface="Arial"/>
              <a:cs typeface="Arial"/>
            </a:rPr>
            <a:t>Cucitura</a:t>
          </a:r>
        </a:p>
        <a:p>
          <a:pPr algn="l" rtl="0">
            <a:defRPr sz="1000"/>
          </a:pPr>
          <a:r>
            <a:rPr lang="it-IT" sz="1600" b="1" i="0" strike="noStrike">
              <a:solidFill>
                <a:srgbClr val="000000"/>
              </a:solidFill>
              <a:latin typeface="Arial"/>
              <a:cs typeface="Arial"/>
            </a:rPr>
            <a:t>bretella superiore</a:t>
          </a:r>
        </a:p>
        <a:p>
          <a:pPr algn="l" rtl="0">
            <a:defRPr sz="1000"/>
          </a:pP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it-IT" sz="16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3</xdr:col>
      <xdr:colOff>371475</xdr:colOff>
      <xdr:row>23</xdr:row>
      <xdr:rowOff>19050</xdr:rowOff>
    </xdr:from>
    <xdr:to>
      <xdr:col>4</xdr:col>
      <xdr:colOff>276225</xdr:colOff>
      <xdr:row>25</xdr:row>
      <xdr:rowOff>9525</xdr:rowOff>
    </xdr:to>
    <xdr:sp macro="" textlink="">
      <xdr:nvSpPr>
        <xdr:cNvPr id="15533" name="Line 604">
          <a:extLst>
            <a:ext uri="{FF2B5EF4-FFF2-40B4-BE49-F238E27FC236}">
              <a16:creationId xmlns:a16="http://schemas.microsoft.com/office/drawing/2014/main" id="{00000000-0008-0000-0A00-0000AD3C0000}"/>
            </a:ext>
          </a:extLst>
        </xdr:cNvPr>
        <xdr:cNvSpPr>
          <a:spLocks noChangeShapeType="1"/>
        </xdr:cNvSpPr>
      </xdr:nvSpPr>
      <xdr:spPr bwMode="auto">
        <a:xfrm flipH="1">
          <a:off x="1971675" y="4210050"/>
          <a:ext cx="43815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123825</xdr:colOff>
      <xdr:row>44</xdr:row>
      <xdr:rowOff>47625</xdr:rowOff>
    </xdr:from>
    <xdr:to>
      <xdr:col>15</xdr:col>
      <xdr:colOff>476250</xdr:colOff>
      <xdr:row>44</xdr:row>
      <xdr:rowOff>47625</xdr:rowOff>
    </xdr:to>
    <xdr:cxnSp macro="">
      <xdr:nvCxnSpPr>
        <xdr:cNvPr id="15534" name="Connettore 1 534">
          <a:extLst>
            <a:ext uri="{FF2B5EF4-FFF2-40B4-BE49-F238E27FC236}">
              <a16:creationId xmlns:a16="http://schemas.microsoft.com/office/drawing/2014/main" id="{00000000-0008-0000-0A00-0000AE3C0000}"/>
            </a:ext>
          </a:extLst>
        </xdr:cNvPr>
        <xdr:cNvCxnSpPr>
          <a:cxnSpLocks noChangeShapeType="1"/>
        </xdr:cNvCxnSpPr>
      </xdr:nvCxnSpPr>
      <xdr:spPr bwMode="auto">
        <a:xfrm>
          <a:off x="6162675" y="7639050"/>
          <a:ext cx="2486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 editAs="absolute">
    <xdr:from>
      <xdr:col>11</xdr:col>
      <xdr:colOff>171450</xdr:colOff>
      <xdr:row>44</xdr:row>
      <xdr:rowOff>19050</xdr:rowOff>
    </xdr:from>
    <xdr:to>
      <xdr:col>11</xdr:col>
      <xdr:colOff>342900</xdr:colOff>
      <xdr:row>44</xdr:row>
      <xdr:rowOff>85725</xdr:rowOff>
    </xdr:to>
    <xdr:sp macro="" textlink="">
      <xdr:nvSpPr>
        <xdr:cNvPr id="15535" name="Freeform 437">
          <a:extLst>
            <a:ext uri="{FF2B5EF4-FFF2-40B4-BE49-F238E27FC236}">
              <a16:creationId xmlns:a16="http://schemas.microsoft.com/office/drawing/2014/main" id="{00000000-0008-0000-0A00-0000AF3C0000}"/>
            </a:ext>
          </a:extLst>
        </xdr:cNvPr>
        <xdr:cNvSpPr>
          <a:spLocks noChangeAspect="1"/>
        </xdr:cNvSpPr>
      </xdr:nvSpPr>
      <xdr:spPr bwMode="auto">
        <a:xfrm>
          <a:off x="6210300" y="7610475"/>
          <a:ext cx="171450" cy="66675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4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11</xdr:col>
      <xdr:colOff>438150</xdr:colOff>
      <xdr:row>44</xdr:row>
      <xdr:rowOff>28575</xdr:rowOff>
    </xdr:from>
    <xdr:to>
      <xdr:col>12</xdr:col>
      <xdr:colOff>104775</xdr:colOff>
      <xdr:row>44</xdr:row>
      <xdr:rowOff>85725</xdr:rowOff>
    </xdr:to>
    <xdr:sp macro="" textlink="">
      <xdr:nvSpPr>
        <xdr:cNvPr id="15536" name="Freeform 419">
          <a:extLst>
            <a:ext uri="{FF2B5EF4-FFF2-40B4-BE49-F238E27FC236}">
              <a16:creationId xmlns:a16="http://schemas.microsoft.com/office/drawing/2014/main" id="{00000000-0008-0000-0A00-0000B03C0000}"/>
            </a:ext>
          </a:extLst>
        </xdr:cNvPr>
        <xdr:cNvSpPr>
          <a:spLocks noChangeAspect="1"/>
        </xdr:cNvSpPr>
      </xdr:nvSpPr>
      <xdr:spPr bwMode="auto">
        <a:xfrm>
          <a:off x="6477000" y="7620000"/>
          <a:ext cx="200025" cy="57150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123825</xdr:colOff>
      <xdr:row>44</xdr:row>
      <xdr:rowOff>19050</xdr:rowOff>
    </xdr:from>
    <xdr:to>
      <xdr:col>12</xdr:col>
      <xdr:colOff>285750</xdr:colOff>
      <xdr:row>44</xdr:row>
      <xdr:rowOff>76200</xdr:rowOff>
    </xdr:to>
    <xdr:sp macro="" textlink="">
      <xdr:nvSpPr>
        <xdr:cNvPr id="15537" name="Freeform 437">
          <a:extLst>
            <a:ext uri="{FF2B5EF4-FFF2-40B4-BE49-F238E27FC236}">
              <a16:creationId xmlns:a16="http://schemas.microsoft.com/office/drawing/2014/main" id="{00000000-0008-0000-0A00-0000B13C0000}"/>
            </a:ext>
          </a:extLst>
        </xdr:cNvPr>
        <xdr:cNvSpPr>
          <a:spLocks noChangeAspect="1"/>
        </xdr:cNvSpPr>
      </xdr:nvSpPr>
      <xdr:spPr bwMode="auto">
        <a:xfrm>
          <a:off x="6696075" y="7610475"/>
          <a:ext cx="161925" cy="57150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4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57150</xdr:colOff>
      <xdr:row>44</xdr:row>
      <xdr:rowOff>19050</xdr:rowOff>
    </xdr:from>
    <xdr:to>
      <xdr:col>13</xdr:col>
      <xdr:colOff>228600</xdr:colOff>
      <xdr:row>44</xdr:row>
      <xdr:rowOff>66675</xdr:rowOff>
    </xdr:to>
    <xdr:sp macro="" textlink="">
      <xdr:nvSpPr>
        <xdr:cNvPr id="15538" name="Freeform 419">
          <a:extLst>
            <a:ext uri="{FF2B5EF4-FFF2-40B4-BE49-F238E27FC236}">
              <a16:creationId xmlns:a16="http://schemas.microsoft.com/office/drawing/2014/main" id="{00000000-0008-0000-0A00-0000B23C0000}"/>
            </a:ext>
          </a:extLst>
        </xdr:cNvPr>
        <xdr:cNvSpPr>
          <a:spLocks noChangeAspect="1"/>
        </xdr:cNvSpPr>
      </xdr:nvSpPr>
      <xdr:spPr bwMode="auto">
        <a:xfrm>
          <a:off x="7162800" y="7610475"/>
          <a:ext cx="171450" cy="47625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238125</xdr:colOff>
      <xdr:row>44</xdr:row>
      <xdr:rowOff>19050</xdr:rowOff>
    </xdr:from>
    <xdr:to>
      <xdr:col>13</xdr:col>
      <xdr:colOff>409575</xdr:colOff>
      <xdr:row>44</xdr:row>
      <xdr:rowOff>85725</xdr:rowOff>
    </xdr:to>
    <xdr:sp macro="" textlink="">
      <xdr:nvSpPr>
        <xdr:cNvPr id="15539" name="Freeform 437">
          <a:extLst>
            <a:ext uri="{FF2B5EF4-FFF2-40B4-BE49-F238E27FC236}">
              <a16:creationId xmlns:a16="http://schemas.microsoft.com/office/drawing/2014/main" id="{00000000-0008-0000-0A00-0000B33C0000}"/>
            </a:ext>
          </a:extLst>
        </xdr:cNvPr>
        <xdr:cNvSpPr>
          <a:spLocks noChangeAspect="1"/>
        </xdr:cNvSpPr>
      </xdr:nvSpPr>
      <xdr:spPr bwMode="auto">
        <a:xfrm>
          <a:off x="7343775" y="7610475"/>
          <a:ext cx="171450" cy="66675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4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14</xdr:col>
      <xdr:colOff>276225</xdr:colOff>
      <xdr:row>44</xdr:row>
      <xdr:rowOff>19050</xdr:rowOff>
    </xdr:from>
    <xdr:to>
      <xdr:col>15</xdr:col>
      <xdr:colOff>9525</xdr:colOff>
      <xdr:row>44</xdr:row>
      <xdr:rowOff>76200</xdr:rowOff>
    </xdr:to>
    <xdr:sp macro="" textlink="">
      <xdr:nvSpPr>
        <xdr:cNvPr id="15540" name="Freeform 419">
          <a:extLst>
            <a:ext uri="{FF2B5EF4-FFF2-40B4-BE49-F238E27FC236}">
              <a16:creationId xmlns:a16="http://schemas.microsoft.com/office/drawing/2014/main" id="{00000000-0008-0000-0A00-0000B43C0000}"/>
            </a:ext>
          </a:extLst>
        </xdr:cNvPr>
        <xdr:cNvSpPr>
          <a:spLocks noChangeAspect="1"/>
        </xdr:cNvSpPr>
      </xdr:nvSpPr>
      <xdr:spPr bwMode="auto">
        <a:xfrm>
          <a:off x="7915275" y="7610475"/>
          <a:ext cx="266700" cy="57150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9525</xdr:colOff>
      <xdr:row>44</xdr:row>
      <xdr:rowOff>19050</xdr:rowOff>
    </xdr:from>
    <xdr:to>
      <xdr:col>15</xdr:col>
      <xdr:colOff>133350</xdr:colOff>
      <xdr:row>44</xdr:row>
      <xdr:rowOff>76200</xdr:rowOff>
    </xdr:to>
    <xdr:sp macro="" textlink="">
      <xdr:nvSpPr>
        <xdr:cNvPr id="15541" name="Freeform 437">
          <a:extLst>
            <a:ext uri="{FF2B5EF4-FFF2-40B4-BE49-F238E27FC236}">
              <a16:creationId xmlns:a16="http://schemas.microsoft.com/office/drawing/2014/main" id="{00000000-0008-0000-0A00-0000B53C0000}"/>
            </a:ext>
          </a:extLst>
        </xdr:cNvPr>
        <xdr:cNvSpPr>
          <a:spLocks noChangeAspect="1"/>
        </xdr:cNvSpPr>
      </xdr:nvSpPr>
      <xdr:spPr bwMode="auto">
        <a:xfrm>
          <a:off x="8181975" y="7610475"/>
          <a:ext cx="123825" cy="57150"/>
        </a:xfrm>
        <a:custGeom>
          <a:avLst/>
          <a:gdLst>
            <a:gd name="T0" fmla="*/ 2147483647 w 381"/>
            <a:gd name="T1" fmla="*/ 0 h 127"/>
            <a:gd name="T2" fmla="*/ 2147483647 w 381"/>
            <a:gd name="T3" fmla="*/ 0 h 127"/>
            <a:gd name="T4" fmla="*/ 0 w 381"/>
            <a:gd name="T5" fmla="*/ 0 h 127"/>
            <a:gd name="T6" fmla="*/ 2147483647 w 381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1"/>
            <a:gd name="T13" fmla="*/ 0 h 127"/>
            <a:gd name="T14" fmla="*/ 381 w 381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1" h="127">
              <a:moveTo>
                <a:pt x="381" y="0"/>
              </a:moveTo>
              <a:lnTo>
                <a:pt x="381" y="127"/>
              </a:lnTo>
              <a:lnTo>
                <a:pt x="0" y="64"/>
              </a:lnTo>
              <a:lnTo>
                <a:pt x="381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15</xdr:col>
      <xdr:colOff>304800</xdr:colOff>
      <xdr:row>44</xdr:row>
      <xdr:rowOff>28575</xdr:rowOff>
    </xdr:from>
    <xdr:to>
      <xdr:col>16</xdr:col>
      <xdr:colOff>9525</xdr:colOff>
      <xdr:row>44</xdr:row>
      <xdr:rowOff>85725</xdr:rowOff>
    </xdr:to>
    <xdr:sp macro="" textlink="">
      <xdr:nvSpPr>
        <xdr:cNvPr id="15542" name="Freeform 419">
          <a:extLst>
            <a:ext uri="{FF2B5EF4-FFF2-40B4-BE49-F238E27FC236}">
              <a16:creationId xmlns:a16="http://schemas.microsoft.com/office/drawing/2014/main" id="{00000000-0008-0000-0A00-0000B63C0000}"/>
            </a:ext>
          </a:extLst>
        </xdr:cNvPr>
        <xdr:cNvSpPr>
          <a:spLocks noChangeAspect="1"/>
        </xdr:cNvSpPr>
      </xdr:nvSpPr>
      <xdr:spPr bwMode="auto">
        <a:xfrm>
          <a:off x="8477250" y="7620000"/>
          <a:ext cx="238125" cy="57150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2147483647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133350</xdr:colOff>
      <xdr:row>20</xdr:row>
      <xdr:rowOff>142875</xdr:rowOff>
    </xdr:from>
    <xdr:to>
      <xdr:col>19</xdr:col>
      <xdr:colOff>371475</xdr:colOff>
      <xdr:row>25</xdr:row>
      <xdr:rowOff>66675</xdr:rowOff>
    </xdr:to>
    <xdr:cxnSp macro="">
      <xdr:nvCxnSpPr>
        <xdr:cNvPr id="15543" name="Connettore 1 543">
          <a:extLst>
            <a:ext uri="{FF2B5EF4-FFF2-40B4-BE49-F238E27FC236}">
              <a16:creationId xmlns:a16="http://schemas.microsoft.com/office/drawing/2014/main" id="{00000000-0008-0000-0A00-0000B73C0000}"/>
            </a:ext>
          </a:extLst>
        </xdr:cNvPr>
        <xdr:cNvCxnSpPr>
          <a:cxnSpLocks noChangeShapeType="1"/>
        </xdr:cNvCxnSpPr>
      </xdr:nvCxnSpPr>
      <xdr:spPr bwMode="auto">
        <a:xfrm rot="5400000" flipH="1" flipV="1">
          <a:off x="9648825" y="3943350"/>
          <a:ext cx="733425" cy="542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16</xdr:col>
      <xdr:colOff>104775</xdr:colOff>
      <xdr:row>19</xdr:row>
      <xdr:rowOff>47625</xdr:rowOff>
    </xdr:from>
    <xdr:to>
      <xdr:col>17</xdr:col>
      <xdr:colOff>238125</xdr:colOff>
      <xdr:row>23</xdr:row>
      <xdr:rowOff>114300</xdr:rowOff>
    </xdr:to>
    <xdr:cxnSp macro="">
      <xdr:nvCxnSpPr>
        <xdr:cNvPr id="15544" name="Connettore 1 544">
          <a:extLst>
            <a:ext uri="{FF2B5EF4-FFF2-40B4-BE49-F238E27FC236}">
              <a16:creationId xmlns:a16="http://schemas.microsoft.com/office/drawing/2014/main" id="{00000000-0008-0000-0A00-0000B83C0000}"/>
            </a:ext>
          </a:extLst>
        </xdr:cNvPr>
        <xdr:cNvCxnSpPr>
          <a:cxnSpLocks noChangeShapeType="1"/>
        </xdr:cNvCxnSpPr>
      </xdr:nvCxnSpPr>
      <xdr:spPr bwMode="auto">
        <a:xfrm rot="5400000" flipH="1" flipV="1">
          <a:off x="8729662" y="3671888"/>
          <a:ext cx="714375" cy="5524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17</xdr:col>
      <xdr:colOff>209550</xdr:colOff>
      <xdr:row>19</xdr:row>
      <xdr:rowOff>133350</xdr:rowOff>
    </xdr:from>
    <xdr:to>
      <xdr:col>19</xdr:col>
      <xdr:colOff>295275</xdr:colOff>
      <xdr:row>21</xdr:row>
      <xdr:rowOff>85725</xdr:rowOff>
    </xdr:to>
    <xdr:cxnSp macro="">
      <xdr:nvCxnSpPr>
        <xdr:cNvPr id="15545" name="Connettore 1 545">
          <a:extLst>
            <a:ext uri="{FF2B5EF4-FFF2-40B4-BE49-F238E27FC236}">
              <a16:creationId xmlns:a16="http://schemas.microsoft.com/office/drawing/2014/main" id="{00000000-0008-0000-0A00-0000B93C0000}"/>
            </a:ext>
          </a:extLst>
        </xdr:cNvPr>
        <xdr:cNvCxnSpPr>
          <a:cxnSpLocks noChangeShapeType="1"/>
        </xdr:cNvCxnSpPr>
      </xdr:nvCxnSpPr>
      <xdr:spPr bwMode="auto">
        <a:xfrm>
          <a:off x="9334500" y="3676650"/>
          <a:ext cx="876300" cy="276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 editAs="absolute">
    <xdr:from>
      <xdr:col>19</xdr:col>
      <xdr:colOff>139834</xdr:colOff>
      <xdr:row>21</xdr:row>
      <xdr:rowOff>35377</xdr:rowOff>
    </xdr:from>
    <xdr:to>
      <xdr:col>19</xdr:col>
      <xdr:colOff>323694</xdr:colOff>
      <xdr:row>21</xdr:row>
      <xdr:rowOff>91176</xdr:rowOff>
    </xdr:to>
    <xdr:sp macro="" textlink="">
      <xdr:nvSpPr>
        <xdr:cNvPr id="547" name="Freeform 419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SpPr>
          <a:spLocks noChangeAspect="1"/>
        </xdr:cNvSpPr>
      </xdr:nvSpPr>
      <xdr:spPr bwMode="auto">
        <a:xfrm>
          <a:off x="11226934" y="3902527"/>
          <a:ext cx="212890" cy="65099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1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  <a:scene3d>
          <a:camera prst="orthographicFront">
            <a:rot lat="0" lon="0" rev="20699999"/>
          </a:camera>
          <a:lightRig rig="threePt" dir="t"/>
        </a:scene3d>
      </xdr:spPr>
      <xdr:txBody>
        <a:bodyPr/>
        <a:lstStyle/>
        <a:p>
          <a:endParaRPr lang="it-IT"/>
        </a:p>
      </xdr:txBody>
    </xdr:sp>
    <xdr:clientData/>
  </xdr:twoCellAnchor>
  <xdr:twoCellAnchor editAs="absolute">
    <xdr:from>
      <xdr:col>17</xdr:col>
      <xdr:colOff>206510</xdr:colOff>
      <xdr:row>19</xdr:row>
      <xdr:rowOff>128154</xdr:rowOff>
    </xdr:from>
    <xdr:to>
      <xdr:col>17</xdr:col>
      <xdr:colOff>382376</xdr:colOff>
      <xdr:row>20</xdr:row>
      <xdr:rowOff>43792</xdr:rowOff>
    </xdr:to>
    <xdr:sp macro="" textlink="">
      <xdr:nvSpPr>
        <xdr:cNvPr id="548" name="Freeform 419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SpPr>
          <a:spLocks noChangeAspect="1"/>
        </xdr:cNvSpPr>
      </xdr:nvSpPr>
      <xdr:spPr bwMode="auto">
        <a:xfrm>
          <a:off x="10512560" y="3671454"/>
          <a:ext cx="212890" cy="77563"/>
        </a:xfrm>
        <a:custGeom>
          <a:avLst/>
          <a:gdLst>
            <a:gd name="T0" fmla="*/ 0 w 382"/>
            <a:gd name="T1" fmla="*/ 0 h 127"/>
            <a:gd name="T2" fmla="*/ 0 w 382"/>
            <a:gd name="T3" fmla="*/ 0 h 127"/>
            <a:gd name="T4" fmla="*/ 1 w 382"/>
            <a:gd name="T5" fmla="*/ 0 h 127"/>
            <a:gd name="T6" fmla="*/ 0 w 382"/>
            <a:gd name="T7" fmla="*/ 0 h 127"/>
            <a:gd name="T8" fmla="*/ 0 60000 65536"/>
            <a:gd name="T9" fmla="*/ 0 60000 65536"/>
            <a:gd name="T10" fmla="*/ 0 60000 65536"/>
            <a:gd name="T11" fmla="*/ 0 60000 65536"/>
            <a:gd name="T12" fmla="*/ 0 w 382"/>
            <a:gd name="T13" fmla="*/ 0 h 127"/>
            <a:gd name="T14" fmla="*/ 382 w 382"/>
            <a:gd name="T15" fmla="*/ 127 h 12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82" h="127">
              <a:moveTo>
                <a:pt x="0" y="0"/>
              </a:moveTo>
              <a:lnTo>
                <a:pt x="0" y="127"/>
              </a:lnTo>
              <a:lnTo>
                <a:pt x="382" y="63"/>
              </a:lnTo>
              <a:lnTo>
                <a:pt x="0" y="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  <a:scene3d>
          <a:camera prst="orthographicFront">
            <a:rot lat="0" lon="0" rev="9900000"/>
          </a:camera>
          <a:lightRig rig="threePt" dir="t"/>
        </a:scene3d>
      </xdr:spPr>
      <xdr:txBody>
        <a:bodyPr/>
        <a:lstStyle/>
        <a:p>
          <a:endParaRPr lang="it-IT"/>
        </a:p>
      </xdr:txBody>
    </xdr:sp>
    <xdr:clientData/>
  </xdr:twoCellAnchor>
  <xdr:twoCellAnchor editAs="absolute">
    <xdr:from>
      <xdr:col>11</xdr:col>
      <xdr:colOff>253764</xdr:colOff>
      <xdr:row>41</xdr:row>
      <xdr:rowOff>141761</xdr:rowOff>
    </xdr:from>
    <xdr:to>
      <xdr:col>13</xdr:col>
      <xdr:colOff>189403</xdr:colOff>
      <xdr:row>44</xdr:row>
      <xdr:rowOff>41337</xdr:rowOff>
    </xdr:to>
    <xdr:sp macro="" textlink="$Z$6">
      <xdr:nvSpPr>
        <xdr:cNvPr id="549" name="Text Box 561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7102239" y="7247411"/>
          <a:ext cx="1145297" cy="38535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C5188A91-1653-4531-BDED-F1E457893D49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=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36</xdr:col>
      <xdr:colOff>97899</xdr:colOff>
      <xdr:row>62</xdr:row>
      <xdr:rowOff>116649</xdr:rowOff>
    </xdr:from>
    <xdr:to>
      <xdr:col>38</xdr:col>
      <xdr:colOff>28043</xdr:colOff>
      <xdr:row>65</xdr:row>
      <xdr:rowOff>13213</xdr:rowOff>
    </xdr:to>
    <xdr:sp macro="" textlink="$X$7">
      <xdr:nvSpPr>
        <xdr:cNvPr id="550" name="Text Box 561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21538674" y="10622724"/>
          <a:ext cx="1139854" cy="3917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A0AFCBA1-0410-467A-8751-D2315FAED0F3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12</xdr:col>
      <xdr:colOff>329964</xdr:colOff>
      <xdr:row>42</xdr:row>
      <xdr:rowOff>4947</xdr:rowOff>
    </xdr:from>
    <xdr:to>
      <xdr:col>14</xdr:col>
      <xdr:colOff>265602</xdr:colOff>
      <xdr:row>44</xdr:row>
      <xdr:rowOff>44769</xdr:rowOff>
    </xdr:to>
    <xdr:sp macro="" textlink="$Z$6">
      <xdr:nvSpPr>
        <xdr:cNvPr id="551" name="Text Box 561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7807089" y="7272522"/>
          <a:ext cx="1145296" cy="37322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027D5ECF-BF7F-4B5C-8256-273715DDD476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=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14</xdr:col>
      <xdr:colOff>9578</xdr:colOff>
      <xdr:row>41</xdr:row>
      <xdr:rowOff>132236</xdr:rowOff>
    </xdr:from>
    <xdr:to>
      <xdr:col>16</xdr:col>
      <xdr:colOff>1606</xdr:colOff>
      <xdr:row>44</xdr:row>
      <xdr:rowOff>31812</xdr:rowOff>
    </xdr:to>
    <xdr:sp macro="" textlink="$Z$6">
      <xdr:nvSpPr>
        <xdr:cNvPr id="552" name="Text Box 561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8639228" y="7237886"/>
          <a:ext cx="1141832" cy="38535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F4075893-F67A-42E7-958A-D55D4C493A6E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=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14</xdr:col>
      <xdr:colOff>447675</xdr:colOff>
      <xdr:row>38</xdr:row>
      <xdr:rowOff>19050</xdr:rowOff>
    </xdr:from>
    <xdr:to>
      <xdr:col>15</xdr:col>
      <xdr:colOff>0</xdr:colOff>
      <xdr:row>44</xdr:row>
      <xdr:rowOff>95250</xdr:rowOff>
    </xdr:to>
    <xdr:sp macro="" textlink="">
      <xdr:nvSpPr>
        <xdr:cNvPr id="15552" name="Line 472">
          <a:extLst>
            <a:ext uri="{FF2B5EF4-FFF2-40B4-BE49-F238E27FC236}">
              <a16:creationId xmlns:a16="http://schemas.microsoft.com/office/drawing/2014/main" id="{00000000-0008-0000-0A00-0000C03C0000}"/>
            </a:ext>
          </a:extLst>
        </xdr:cNvPr>
        <xdr:cNvSpPr>
          <a:spLocks noChangeAspect="1" noChangeShapeType="1"/>
        </xdr:cNvSpPr>
      </xdr:nvSpPr>
      <xdr:spPr bwMode="auto">
        <a:xfrm>
          <a:off x="8086725" y="6638925"/>
          <a:ext cx="85725" cy="10477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13</xdr:col>
      <xdr:colOff>219075</xdr:colOff>
      <xdr:row>37</xdr:row>
      <xdr:rowOff>142875</xdr:rowOff>
    </xdr:from>
    <xdr:to>
      <xdr:col>13</xdr:col>
      <xdr:colOff>238125</xdr:colOff>
      <xdr:row>44</xdr:row>
      <xdr:rowOff>66675</xdr:rowOff>
    </xdr:to>
    <xdr:sp macro="" textlink="">
      <xdr:nvSpPr>
        <xdr:cNvPr id="15553" name="Line 472">
          <a:extLst>
            <a:ext uri="{FF2B5EF4-FFF2-40B4-BE49-F238E27FC236}">
              <a16:creationId xmlns:a16="http://schemas.microsoft.com/office/drawing/2014/main" id="{00000000-0008-0000-0A00-0000C13C0000}"/>
            </a:ext>
          </a:extLst>
        </xdr:cNvPr>
        <xdr:cNvSpPr>
          <a:spLocks noChangeAspect="1" noChangeShapeType="1"/>
        </xdr:cNvSpPr>
      </xdr:nvSpPr>
      <xdr:spPr bwMode="auto">
        <a:xfrm>
          <a:off x="7324725" y="6600825"/>
          <a:ext cx="19050" cy="10572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104775</xdr:colOff>
      <xdr:row>37</xdr:row>
      <xdr:rowOff>142875</xdr:rowOff>
    </xdr:from>
    <xdr:to>
      <xdr:col>12</xdr:col>
      <xdr:colOff>114300</xdr:colOff>
      <xdr:row>44</xdr:row>
      <xdr:rowOff>66675</xdr:rowOff>
    </xdr:to>
    <xdr:sp macro="" textlink="">
      <xdr:nvSpPr>
        <xdr:cNvPr id="15554" name="Line 472">
          <a:extLst>
            <a:ext uri="{FF2B5EF4-FFF2-40B4-BE49-F238E27FC236}">
              <a16:creationId xmlns:a16="http://schemas.microsoft.com/office/drawing/2014/main" id="{00000000-0008-0000-0A00-0000C23C0000}"/>
            </a:ext>
          </a:extLst>
        </xdr:cNvPr>
        <xdr:cNvSpPr>
          <a:spLocks noChangeAspect="1" noChangeShapeType="1"/>
        </xdr:cNvSpPr>
      </xdr:nvSpPr>
      <xdr:spPr bwMode="auto">
        <a:xfrm>
          <a:off x="6677025" y="6600825"/>
          <a:ext cx="9525" cy="10572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447675</xdr:colOff>
      <xdr:row>23</xdr:row>
      <xdr:rowOff>152400</xdr:rowOff>
    </xdr:from>
    <xdr:to>
      <xdr:col>16</xdr:col>
      <xdr:colOff>104775</xdr:colOff>
      <xdr:row>37</xdr:row>
      <xdr:rowOff>142875</xdr:rowOff>
    </xdr:to>
    <xdr:sp macro="" textlink="">
      <xdr:nvSpPr>
        <xdr:cNvPr id="15555" name="Figura a mano libera 555">
          <a:extLst>
            <a:ext uri="{FF2B5EF4-FFF2-40B4-BE49-F238E27FC236}">
              <a16:creationId xmlns:a16="http://schemas.microsoft.com/office/drawing/2014/main" id="{00000000-0008-0000-0A00-0000C33C0000}"/>
            </a:ext>
          </a:extLst>
        </xdr:cNvPr>
        <xdr:cNvSpPr>
          <a:spLocks/>
        </xdr:cNvSpPr>
      </xdr:nvSpPr>
      <xdr:spPr bwMode="auto">
        <a:xfrm>
          <a:off x="8086725" y="4343400"/>
          <a:ext cx="723900" cy="2257425"/>
        </a:xfrm>
        <a:custGeom>
          <a:avLst/>
          <a:gdLst>
            <a:gd name="T0" fmla="*/ 0 w 1061357"/>
            <a:gd name="T1" fmla="*/ 1211514 h 2585357"/>
            <a:gd name="T2" fmla="*/ 43689 w 1061357"/>
            <a:gd name="T3" fmla="*/ 765167 h 2585357"/>
            <a:gd name="T4" fmla="*/ 143550 w 1061357"/>
            <a:gd name="T5" fmla="*/ 299691 h 2585357"/>
            <a:gd name="T6" fmla="*/ 243410 w 1061357"/>
            <a:gd name="T7" fmla="*/ 0 h 2585357"/>
            <a:gd name="T8" fmla="*/ 0 60000 65536"/>
            <a:gd name="T9" fmla="*/ 0 60000 65536"/>
            <a:gd name="T10" fmla="*/ 0 60000 65536"/>
            <a:gd name="T11" fmla="*/ 0 60000 65536"/>
            <a:gd name="T12" fmla="*/ 0 w 1061357"/>
            <a:gd name="T13" fmla="*/ 0 h 2585357"/>
            <a:gd name="T14" fmla="*/ 1061357 w 1061357"/>
            <a:gd name="T15" fmla="*/ 2585357 h 258535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061357" h="2585357">
              <a:moveTo>
                <a:pt x="0" y="2585357"/>
              </a:moveTo>
              <a:cubicBezTo>
                <a:pt x="43089" y="2271259"/>
                <a:pt x="86179" y="1957161"/>
                <a:pt x="190500" y="1632857"/>
              </a:cubicBezTo>
              <a:cubicBezTo>
                <a:pt x="294821" y="1308553"/>
                <a:pt x="480786" y="911678"/>
                <a:pt x="625929" y="639535"/>
              </a:cubicBezTo>
              <a:cubicBezTo>
                <a:pt x="771072" y="367392"/>
                <a:pt x="916214" y="183696"/>
                <a:pt x="1061357" y="0"/>
              </a:cubicBezTo>
            </a:path>
          </a:pathLst>
        </a:custGeom>
        <a:solidFill>
          <a:srgbClr val="FFFFFF"/>
        </a:solidFill>
        <a:ln w="508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</xdr:spPr>
    </xdr:sp>
    <xdr:clientData/>
  </xdr:twoCellAnchor>
  <xdr:twoCellAnchor>
    <xdr:from>
      <xdr:col>13</xdr:col>
      <xdr:colOff>238125</xdr:colOff>
      <xdr:row>22</xdr:row>
      <xdr:rowOff>85725</xdr:rowOff>
    </xdr:from>
    <xdr:to>
      <xdr:col>14</xdr:col>
      <xdr:colOff>276225</xdr:colOff>
      <xdr:row>37</xdr:row>
      <xdr:rowOff>85725</xdr:rowOff>
    </xdr:to>
    <xdr:sp macro="" textlink="">
      <xdr:nvSpPr>
        <xdr:cNvPr id="15556" name="Figura a mano libera 556">
          <a:extLst>
            <a:ext uri="{FF2B5EF4-FFF2-40B4-BE49-F238E27FC236}">
              <a16:creationId xmlns:a16="http://schemas.microsoft.com/office/drawing/2014/main" id="{00000000-0008-0000-0A00-0000C43C0000}"/>
            </a:ext>
          </a:extLst>
        </xdr:cNvPr>
        <xdr:cNvSpPr>
          <a:spLocks/>
        </xdr:cNvSpPr>
      </xdr:nvSpPr>
      <xdr:spPr bwMode="auto">
        <a:xfrm>
          <a:off x="7343775" y="4114800"/>
          <a:ext cx="571500" cy="2428875"/>
        </a:xfrm>
        <a:custGeom>
          <a:avLst/>
          <a:gdLst>
            <a:gd name="T0" fmla="*/ 0 w 1061357"/>
            <a:gd name="T1" fmla="*/ 2016702 h 2585357"/>
            <a:gd name="T2" fmla="*/ 7865 w 1061357"/>
            <a:gd name="T3" fmla="*/ 1273706 h 2585357"/>
            <a:gd name="T4" fmla="*/ 25844 w 1061357"/>
            <a:gd name="T5" fmla="*/ 498868 h 2585357"/>
            <a:gd name="T6" fmla="*/ 43823 w 1061357"/>
            <a:gd name="T7" fmla="*/ 0 h 2585357"/>
            <a:gd name="T8" fmla="*/ 0 60000 65536"/>
            <a:gd name="T9" fmla="*/ 0 60000 65536"/>
            <a:gd name="T10" fmla="*/ 0 60000 65536"/>
            <a:gd name="T11" fmla="*/ 0 60000 65536"/>
            <a:gd name="T12" fmla="*/ 0 w 1061357"/>
            <a:gd name="T13" fmla="*/ 0 h 2585357"/>
            <a:gd name="T14" fmla="*/ 1061357 w 1061357"/>
            <a:gd name="T15" fmla="*/ 2585357 h 258535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061357" h="2585357">
              <a:moveTo>
                <a:pt x="0" y="2585357"/>
              </a:moveTo>
              <a:cubicBezTo>
                <a:pt x="43089" y="2271259"/>
                <a:pt x="86179" y="1957161"/>
                <a:pt x="190500" y="1632857"/>
              </a:cubicBezTo>
              <a:cubicBezTo>
                <a:pt x="294821" y="1308553"/>
                <a:pt x="480786" y="911678"/>
                <a:pt x="625929" y="639535"/>
              </a:cubicBezTo>
              <a:cubicBezTo>
                <a:pt x="771072" y="367392"/>
                <a:pt x="916214" y="183696"/>
                <a:pt x="1061357" y="0"/>
              </a:cubicBezTo>
            </a:path>
          </a:pathLst>
        </a:custGeom>
        <a:solidFill>
          <a:srgbClr val="FFFFFF"/>
        </a:solidFill>
        <a:ln w="508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</xdr:spPr>
    </xdr:sp>
    <xdr:clientData/>
  </xdr:twoCellAnchor>
  <xdr:twoCellAnchor>
    <xdr:from>
      <xdr:col>12</xdr:col>
      <xdr:colOff>104775</xdr:colOff>
      <xdr:row>20</xdr:row>
      <xdr:rowOff>85725</xdr:rowOff>
    </xdr:from>
    <xdr:to>
      <xdr:col>12</xdr:col>
      <xdr:colOff>419100</xdr:colOff>
      <xdr:row>37</xdr:row>
      <xdr:rowOff>142875</xdr:rowOff>
    </xdr:to>
    <xdr:sp macro="" textlink="">
      <xdr:nvSpPr>
        <xdr:cNvPr id="15557" name="Figura a mano libera 557">
          <a:extLst>
            <a:ext uri="{FF2B5EF4-FFF2-40B4-BE49-F238E27FC236}">
              <a16:creationId xmlns:a16="http://schemas.microsoft.com/office/drawing/2014/main" id="{00000000-0008-0000-0A00-0000C53C0000}"/>
            </a:ext>
          </a:extLst>
        </xdr:cNvPr>
        <xdr:cNvSpPr>
          <a:spLocks/>
        </xdr:cNvSpPr>
      </xdr:nvSpPr>
      <xdr:spPr bwMode="auto">
        <a:xfrm>
          <a:off x="6677025" y="3790950"/>
          <a:ext cx="314325" cy="2809875"/>
        </a:xfrm>
        <a:custGeom>
          <a:avLst/>
          <a:gdLst>
            <a:gd name="T0" fmla="*/ 0 w 1061357"/>
            <a:gd name="T1" fmla="*/ 5622766 h 2585357"/>
            <a:gd name="T2" fmla="*/ 147 w 1061357"/>
            <a:gd name="T3" fmla="*/ 3551221 h 2585357"/>
            <a:gd name="T4" fmla="*/ 484 w 1061357"/>
            <a:gd name="T5" fmla="*/ 1390897 h 2585357"/>
            <a:gd name="T6" fmla="*/ 820 w 1061357"/>
            <a:gd name="T7" fmla="*/ 0 h 2585357"/>
            <a:gd name="T8" fmla="*/ 0 60000 65536"/>
            <a:gd name="T9" fmla="*/ 0 60000 65536"/>
            <a:gd name="T10" fmla="*/ 0 60000 65536"/>
            <a:gd name="T11" fmla="*/ 0 60000 65536"/>
            <a:gd name="T12" fmla="*/ 0 w 1061357"/>
            <a:gd name="T13" fmla="*/ 0 h 2585357"/>
            <a:gd name="T14" fmla="*/ 1061357 w 1061357"/>
            <a:gd name="T15" fmla="*/ 2585357 h 2585357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061357" h="2585357">
              <a:moveTo>
                <a:pt x="0" y="2585357"/>
              </a:moveTo>
              <a:cubicBezTo>
                <a:pt x="43089" y="2271259"/>
                <a:pt x="86179" y="1957161"/>
                <a:pt x="190500" y="1632857"/>
              </a:cubicBezTo>
              <a:cubicBezTo>
                <a:pt x="294821" y="1308553"/>
                <a:pt x="480786" y="911678"/>
                <a:pt x="625929" y="639535"/>
              </a:cubicBezTo>
              <a:cubicBezTo>
                <a:pt x="771072" y="367392"/>
                <a:pt x="916214" y="183696"/>
                <a:pt x="1061357" y="0"/>
              </a:cubicBezTo>
            </a:path>
          </a:pathLst>
        </a:custGeom>
        <a:solidFill>
          <a:srgbClr val="FFFFFF"/>
        </a:solidFill>
        <a:ln w="508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</xdr:spPr>
    </xdr:sp>
    <xdr:clientData/>
  </xdr:twoCellAnchor>
  <xdr:twoCellAnchor editAs="absolute">
    <xdr:from>
      <xdr:col>15</xdr:col>
      <xdr:colOff>103415</xdr:colOff>
      <xdr:row>42</xdr:row>
      <xdr:rowOff>13606</xdr:rowOff>
    </xdr:from>
    <xdr:to>
      <xdr:col>17</xdr:col>
      <xdr:colOff>195575</xdr:colOff>
      <xdr:row>44</xdr:row>
      <xdr:rowOff>75449</xdr:rowOff>
    </xdr:to>
    <xdr:sp macro="" textlink="$X$7">
      <xdr:nvSpPr>
        <xdr:cNvPr id="559" name="Text Box 561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9361715" y="7281181"/>
          <a:ext cx="1139854" cy="385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D8CEB93E-3660-4FE7-839A-68963707EE87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18</xdr:col>
      <xdr:colOff>231323</xdr:colOff>
      <xdr:row>18</xdr:row>
      <xdr:rowOff>136072</xdr:rowOff>
    </xdr:from>
    <xdr:to>
      <xdr:col>20</xdr:col>
      <xdr:colOff>432171</xdr:colOff>
      <xdr:row>21</xdr:row>
      <xdr:rowOff>34628</xdr:rowOff>
    </xdr:to>
    <xdr:sp macro="" textlink="$Y$7">
      <xdr:nvSpPr>
        <xdr:cNvPr id="560" name="Text Box 561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SpPr txBox="1">
          <a:spLocks noChangeAspect="1" noChangeArrowheads="1" noTextEdit="1"/>
        </xdr:cNvSpPr>
      </xdr:nvSpPr>
      <xdr:spPr bwMode="auto">
        <a:xfrm>
          <a:off x="11032673" y="3517447"/>
          <a:ext cx="1153460" cy="3843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fld id="{BBA8C2D6-DEB3-44BA-AD36-E4B140C8D381}" type="TxLink">
            <a:rPr lang="it-IT" sz="1200" b="1" i="0" u="none" strike="noStrike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#DIV/0!</a:t>
          </a:fld>
          <a:endParaRPr lang="it-IT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85725</xdr:colOff>
      <xdr:row>13</xdr:row>
      <xdr:rowOff>5522</xdr:rowOff>
    </xdr:from>
    <xdr:to>
      <xdr:col>11</xdr:col>
      <xdr:colOff>68116</xdr:colOff>
      <xdr:row>16</xdr:row>
      <xdr:rowOff>2381</xdr:rowOff>
    </xdr:to>
    <xdr:sp macro="" textlink="">
      <xdr:nvSpPr>
        <xdr:cNvPr id="561" name="CasellaDiTesto 560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SpPr txBox="1"/>
      </xdr:nvSpPr>
      <xdr:spPr>
        <a:xfrm>
          <a:off x="4457700" y="2564946"/>
          <a:ext cx="2420791" cy="4899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it-IT" sz="1400"/>
            <a:t>CUCITURE</a:t>
          </a:r>
          <a:r>
            <a:rPr lang="it-IT" sz="1400" baseline="0"/>
            <a:t> FASCE DI RINFORZO CONO</a:t>
          </a:r>
          <a:endParaRPr lang="it-IT" sz="1400"/>
        </a:p>
      </xdr:txBody>
    </xdr:sp>
    <xdr:clientData/>
  </xdr:twoCellAnchor>
  <xdr:twoCellAnchor>
    <xdr:from>
      <xdr:col>10</xdr:col>
      <xdr:colOff>257175</xdr:colOff>
      <xdr:row>16</xdr:row>
      <xdr:rowOff>0</xdr:rowOff>
    </xdr:from>
    <xdr:to>
      <xdr:col>12</xdr:col>
      <xdr:colOff>238125</xdr:colOff>
      <xdr:row>25</xdr:row>
      <xdr:rowOff>19050</xdr:rowOff>
    </xdr:to>
    <xdr:cxnSp macro="">
      <xdr:nvCxnSpPr>
        <xdr:cNvPr id="15561" name="Connettore 2 561">
          <a:extLst>
            <a:ext uri="{FF2B5EF4-FFF2-40B4-BE49-F238E27FC236}">
              <a16:creationId xmlns:a16="http://schemas.microsoft.com/office/drawing/2014/main" id="{00000000-0008-0000-0A00-0000C93C0000}"/>
            </a:ext>
          </a:extLst>
        </xdr:cNvPr>
        <xdr:cNvCxnSpPr>
          <a:cxnSpLocks noChangeShapeType="1"/>
        </xdr:cNvCxnSpPr>
      </xdr:nvCxnSpPr>
      <xdr:spPr bwMode="auto">
        <a:xfrm rot="16200000" flipH="1">
          <a:off x="5548312" y="3271838"/>
          <a:ext cx="1476375" cy="1047750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  <xdr:twoCellAnchor>
    <xdr:from>
      <xdr:col>21</xdr:col>
      <xdr:colOff>287830</xdr:colOff>
      <xdr:row>24</xdr:row>
      <xdr:rowOff>52027</xdr:rowOff>
    </xdr:from>
    <xdr:to>
      <xdr:col>26</xdr:col>
      <xdr:colOff>269421</xdr:colOff>
      <xdr:row>47</xdr:row>
      <xdr:rowOff>112958</xdr:rowOff>
    </xdr:to>
    <xdr:sp macro="" textlink="">
      <xdr:nvSpPr>
        <xdr:cNvPr id="563" name="CasellaDiTesto 562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SpPr txBox="1"/>
      </xdr:nvSpPr>
      <xdr:spPr>
        <a:xfrm>
          <a:off x="11285123" y="4460741"/>
          <a:ext cx="2634984" cy="3826009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it-IT" sz="1400" b="1" u="sng"/>
            <a:t>NOTA PER LA CUCITURA</a:t>
          </a:r>
          <a:r>
            <a:rPr lang="it-IT" sz="1400" b="1" u="sng" baseline="0"/>
            <a:t> DELLE FASCE DI RINFORZO CONO</a:t>
          </a:r>
        </a:p>
        <a:p>
          <a:endParaRPr lang="it-IT" sz="1400" b="1" u="sng" baseline="0"/>
        </a:p>
        <a:p>
          <a:r>
            <a:rPr lang="it-IT" sz="1400" baseline="0"/>
            <a:t>CONSIDERARE IL NUMERO DI FASCE NECESSARIE CALCOLATE </a:t>
          </a:r>
        </a:p>
        <a:p>
          <a:r>
            <a:rPr lang="it-IT" sz="1400" baseline="0"/>
            <a:t>E DIVIDERE IL LATO DEL CONO SECONDO LA QUOTA INDICATA</a:t>
          </a:r>
        </a:p>
        <a:p>
          <a:r>
            <a:rPr lang="it-IT" sz="1400" baseline="0"/>
            <a:t>(CON UNA FASCIA NECESSARIA LA QUOTA SARA' LA META' DEL LATO, CON DUE FASCE LA QUOTA INDICATA SARA' 1/3 , E COSI' VIA)</a:t>
          </a:r>
        </a:p>
        <a:p>
          <a:pPr fontAlgn="base"/>
          <a:endParaRPr lang="it-IT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it-IT" sz="1400" baseline="0">
              <a:solidFill>
                <a:schemeClr val="dk1"/>
              </a:solidFill>
              <a:latin typeface="+mn-lt"/>
              <a:ea typeface="+mn-ea"/>
              <a:cs typeface="+mn-cs"/>
            </a:rPr>
            <a:t>NEL DISEGNO VIENE INDICATO COME ESEMPIO UN N° DI 3 FASCE  MENTRE IL N° EFFETTIVO VIENE CALCOLATO IN BASE ALLE DIMENSIONI E FORMA DEL SILO</a:t>
          </a:r>
          <a:endParaRPr lang="it-IT" sz="1400"/>
        </a:p>
        <a:p>
          <a:endParaRPr lang="it-IT" sz="1400"/>
        </a:p>
        <a:p>
          <a:endParaRPr lang="it-IT" sz="1400"/>
        </a:p>
      </xdr:txBody>
    </xdr:sp>
    <xdr:clientData/>
  </xdr:twoCellAnchor>
  <xdr:twoCellAnchor>
    <xdr:from>
      <xdr:col>19</xdr:col>
      <xdr:colOff>219075</xdr:colOff>
      <xdr:row>20</xdr:row>
      <xdr:rowOff>47625</xdr:rowOff>
    </xdr:from>
    <xdr:to>
      <xdr:col>21</xdr:col>
      <xdr:colOff>257175</xdr:colOff>
      <xdr:row>24</xdr:row>
      <xdr:rowOff>114300</xdr:rowOff>
    </xdr:to>
    <xdr:cxnSp macro="">
      <xdr:nvCxnSpPr>
        <xdr:cNvPr id="15563" name="Connettore 2 563">
          <a:extLst>
            <a:ext uri="{FF2B5EF4-FFF2-40B4-BE49-F238E27FC236}">
              <a16:creationId xmlns:a16="http://schemas.microsoft.com/office/drawing/2014/main" id="{00000000-0008-0000-0A00-0000CB3C0000}"/>
            </a:ext>
          </a:extLst>
        </xdr:cNvPr>
        <xdr:cNvCxnSpPr>
          <a:cxnSpLocks noChangeShapeType="1"/>
        </xdr:cNvCxnSpPr>
      </xdr:nvCxnSpPr>
      <xdr:spPr bwMode="auto">
        <a:xfrm rot="10800000">
          <a:off x="10134600" y="3752850"/>
          <a:ext cx="1104900" cy="71437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  <xdr:twoCellAnchor>
    <xdr:from>
      <xdr:col>15</xdr:col>
      <xdr:colOff>361950</xdr:colOff>
      <xdr:row>42</xdr:row>
      <xdr:rowOff>142875</xdr:rowOff>
    </xdr:from>
    <xdr:to>
      <xdr:col>21</xdr:col>
      <xdr:colOff>276225</xdr:colOff>
      <xdr:row>45</xdr:row>
      <xdr:rowOff>142875</xdr:rowOff>
    </xdr:to>
    <xdr:cxnSp macro="">
      <xdr:nvCxnSpPr>
        <xdr:cNvPr id="15564" name="Connettore 2 564">
          <a:extLst>
            <a:ext uri="{FF2B5EF4-FFF2-40B4-BE49-F238E27FC236}">
              <a16:creationId xmlns:a16="http://schemas.microsoft.com/office/drawing/2014/main" id="{00000000-0008-0000-0A00-0000CC3C0000}"/>
            </a:ext>
          </a:extLst>
        </xdr:cNvPr>
        <xdr:cNvCxnSpPr>
          <a:cxnSpLocks noChangeShapeType="1"/>
        </xdr:cNvCxnSpPr>
      </xdr:nvCxnSpPr>
      <xdr:spPr bwMode="auto">
        <a:xfrm rot="10800000">
          <a:off x="8534400" y="7410450"/>
          <a:ext cx="2724150" cy="48577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47625</xdr:rowOff>
        </xdr:from>
        <xdr:to>
          <xdr:col>2</xdr:col>
          <xdr:colOff>180975</xdr:colOff>
          <xdr:row>5</xdr:row>
          <xdr:rowOff>19050</xdr:rowOff>
        </xdr:to>
        <xdr:sp macro="" textlink="">
          <xdr:nvSpPr>
            <xdr:cNvPr id="2049" name="Immagine 2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28575</xdr:rowOff>
        </xdr:from>
        <xdr:to>
          <xdr:col>13</xdr:col>
          <xdr:colOff>0</xdr:colOff>
          <xdr:row>28</xdr:row>
          <xdr:rowOff>19050</xdr:rowOff>
        </xdr:to>
        <xdr:sp macro="" textlink="">
          <xdr:nvSpPr>
            <xdr:cNvPr id="2050" name="Immagine 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B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28575</xdr:rowOff>
        </xdr:from>
        <xdr:to>
          <xdr:col>13</xdr:col>
          <xdr:colOff>0</xdr:colOff>
          <xdr:row>28</xdr:row>
          <xdr:rowOff>19050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B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8</xdr:row>
          <xdr:rowOff>19050</xdr:rowOff>
        </xdr:from>
        <xdr:to>
          <xdr:col>7</xdr:col>
          <xdr:colOff>323850</xdr:colOff>
          <xdr:row>28</xdr:row>
          <xdr:rowOff>19050</xdr:rowOff>
        </xdr:to>
        <xdr:sp macro="" textlink="">
          <xdr:nvSpPr>
            <xdr:cNvPr id="2052" name="Object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B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oleObject" Target="../embeddings/oleObject3.bin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1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5.bin"/><Relationship Id="rId5" Type="http://schemas.openxmlformats.org/officeDocument/2006/relationships/image" Target="../media/image5.emf"/><Relationship Id="rId10" Type="http://schemas.openxmlformats.org/officeDocument/2006/relationships/image" Target="../media/image6.emf"/><Relationship Id="rId4" Type="http://schemas.openxmlformats.org/officeDocument/2006/relationships/oleObject" Target="../embeddings/oleObject4.bin"/><Relationship Id="rId9" Type="http://schemas.openxmlformats.org/officeDocument/2006/relationships/oleObject" Target="../embeddings/oleObject7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oleObject" Target="../embeddings/oleObject8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11.bin"/><Relationship Id="rId3" Type="http://schemas.openxmlformats.org/officeDocument/2006/relationships/vmlDrawing" Target="../drawings/vmlDrawing4.vml"/><Relationship Id="rId7" Type="http://schemas.openxmlformats.org/officeDocument/2006/relationships/image" Target="../media/image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oleObject" Target="../embeddings/oleObject10.bin"/><Relationship Id="rId5" Type="http://schemas.openxmlformats.org/officeDocument/2006/relationships/image" Target="../media/image5.emf"/><Relationship Id="rId10" Type="http://schemas.openxmlformats.org/officeDocument/2006/relationships/image" Target="../media/image6.emf"/><Relationship Id="rId4" Type="http://schemas.openxmlformats.org/officeDocument/2006/relationships/oleObject" Target="../embeddings/oleObject9.bin"/><Relationship Id="rId9" Type="http://schemas.openxmlformats.org/officeDocument/2006/relationships/oleObject" Target="../embeddings/oleObject1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15.bin"/><Relationship Id="rId3" Type="http://schemas.openxmlformats.org/officeDocument/2006/relationships/vmlDrawing" Target="../drawings/vmlDrawing5.vml"/><Relationship Id="rId7" Type="http://schemas.openxmlformats.org/officeDocument/2006/relationships/image" Target="../media/image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oleObject" Target="../embeddings/oleObject14.bin"/><Relationship Id="rId5" Type="http://schemas.openxmlformats.org/officeDocument/2006/relationships/image" Target="../media/image5.emf"/><Relationship Id="rId10" Type="http://schemas.openxmlformats.org/officeDocument/2006/relationships/image" Target="../media/image6.emf"/><Relationship Id="rId4" Type="http://schemas.openxmlformats.org/officeDocument/2006/relationships/oleObject" Target="../embeddings/oleObject13.bin"/><Relationship Id="rId9" Type="http://schemas.openxmlformats.org/officeDocument/2006/relationships/oleObject" Target="../embeddings/oleObject1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CL164"/>
  <sheetViews>
    <sheetView showGridLines="0" showZeros="0" tabSelected="1" defaultGridColor="0" topLeftCell="A8" colorId="8" zoomScale="70" zoomScaleNormal="70" zoomScaleSheetLayoutView="100" workbookViewId="0">
      <selection activeCell="BB25" sqref="BB25"/>
    </sheetView>
  </sheetViews>
  <sheetFormatPr defaultColWidth="9.33203125" defaultRowHeight="15" x14ac:dyDescent="0.25"/>
  <cols>
    <col min="1" max="1" width="0.6640625" style="306" customWidth="1"/>
    <col min="2" max="2" width="16.83203125" style="306" customWidth="1"/>
    <col min="3" max="3" width="16.1640625" style="306" customWidth="1"/>
    <col min="4" max="4" width="18.6640625" style="306" customWidth="1"/>
    <col min="5" max="5" width="9.83203125" style="306" customWidth="1"/>
    <col min="6" max="7" width="9.33203125" style="306" hidden="1" customWidth="1"/>
    <col min="8" max="8" width="15.6640625" style="306" customWidth="1"/>
    <col min="9" max="9" width="16.1640625" style="306" customWidth="1"/>
    <col min="10" max="10" width="6.6640625" style="306" customWidth="1"/>
    <col min="11" max="11" width="1.6640625" style="306" customWidth="1"/>
    <col min="12" max="12" width="21.5" style="306" customWidth="1"/>
    <col min="13" max="13" width="20.1640625" style="306" customWidth="1"/>
    <col min="14" max="14" width="21.5" style="314" customWidth="1"/>
    <col min="15" max="15" width="9.1640625" style="306" customWidth="1"/>
    <col min="16" max="16" width="40" style="313" hidden="1" customWidth="1"/>
    <col min="17" max="17" width="38.1640625" style="306" hidden="1" customWidth="1"/>
    <col min="18" max="18" width="49.6640625" style="306" hidden="1" customWidth="1"/>
    <col min="19" max="19" width="44.6640625" style="306" hidden="1" customWidth="1"/>
    <col min="20" max="21" width="32.5" style="306" hidden="1" customWidth="1"/>
    <col min="22" max="23" width="10.83203125" style="306" hidden="1" customWidth="1"/>
    <col min="24" max="24" width="12.1640625" style="306" hidden="1" customWidth="1"/>
    <col min="25" max="25" width="9.33203125" style="306" hidden="1" customWidth="1"/>
    <col min="26" max="26" width="11.1640625" style="306" hidden="1" customWidth="1"/>
    <col min="27" max="31" width="9.33203125" style="306" hidden="1" customWidth="1"/>
    <col min="32" max="32" width="10" style="306" hidden="1" customWidth="1"/>
    <col min="33" max="33" width="7.33203125" style="306" hidden="1" customWidth="1"/>
    <col min="34" max="34" width="14.83203125" style="306" hidden="1" customWidth="1"/>
    <col min="35" max="35" width="15.1640625" style="306" hidden="1" customWidth="1"/>
    <col min="36" max="36" width="13" style="314" hidden="1" customWidth="1"/>
    <col min="37" max="37" width="14.83203125" style="306" hidden="1" customWidth="1"/>
    <col min="38" max="39" width="9.33203125" style="306" hidden="1" customWidth="1"/>
    <col min="40" max="40" width="10.1640625" style="306" hidden="1" customWidth="1"/>
    <col min="41" max="41" width="4.5" style="306" hidden="1" customWidth="1"/>
    <col min="42" max="45" width="9.33203125" style="306" hidden="1" customWidth="1"/>
    <col min="46" max="46" width="10" style="306" hidden="1" customWidth="1"/>
    <col min="47" max="47" width="7.33203125" style="306" hidden="1" customWidth="1"/>
    <col min="48" max="48" width="14.83203125" style="306" hidden="1" customWidth="1"/>
    <col min="49" max="49" width="13.5" style="306" hidden="1" customWidth="1"/>
    <col min="50" max="50" width="13" style="314" hidden="1" customWidth="1"/>
    <col min="51" max="51" width="14.83203125" style="306" customWidth="1"/>
    <col min="52" max="53" width="9.33203125" style="306" customWidth="1"/>
    <col min="54" max="54" width="10.1640625" style="306" customWidth="1"/>
    <col min="55" max="59" width="9.33203125" style="306" customWidth="1"/>
    <col min="60" max="60" width="10" style="306" customWidth="1"/>
    <col min="61" max="61" width="7.33203125" style="306" customWidth="1"/>
    <col min="62" max="62" width="14.83203125" style="306" customWidth="1"/>
    <col min="63" max="63" width="13.5" style="306" customWidth="1"/>
    <col min="64" max="64" width="13" style="314" customWidth="1"/>
    <col min="65" max="65" width="14.83203125" style="306" customWidth="1"/>
    <col min="66" max="66" width="9.33203125" style="306" customWidth="1"/>
    <col min="67" max="67" width="10.1640625" style="306" customWidth="1"/>
    <col min="68" max="72" width="9.33203125" style="306" customWidth="1"/>
    <col min="73" max="73" width="10" style="306" customWidth="1"/>
    <col min="74" max="74" width="7.33203125" style="306" customWidth="1"/>
    <col min="75" max="75" width="14.83203125" style="306" customWidth="1"/>
    <col min="76" max="76" width="13.5" style="306" customWidth="1"/>
    <col min="77" max="77" width="13" style="314" customWidth="1"/>
    <col min="78" max="78" width="14.83203125" style="306" customWidth="1"/>
    <col min="79" max="79" width="9.33203125" style="306" customWidth="1"/>
    <col min="80" max="80" width="10.1640625" style="306" customWidth="1"/>
    <col min="81" max="85" width="9.33203125" style="306" customWidth="1"/>
    <col min="86" max="86" width="10" style="306" customWidth="1"/>
    <col min="87" max="87" width="7.33203125" style="306" customWidth="1"/>
    <col min="88" max="88" width="14.83203125" style="306" customWidth="1"/>
    <col min="89" max="89" width="15.1640625" style="306" customWidth="1"/>
    <col min="90" max="90" width="13" style="314" customWidth="1"/>
    <col min="91" max="91" width="14.83203125" style="306" customWidth="1"/>
    <col min="92" max="109" width="9.33203125" style="306" customWidth="1"/>
    <col min="110" max="112" width="9.33203125" style="306"/>
    <col min="113" max="116" width="24" style="306" customWidth="1"/>
    <col min="117" max="16384" width="9.33203125" style="306"/>
  </cols>
  <sheetData>
    <row r="1" spans="2:90" hidden="1" x14ac:dyDescent="0.25">
      <c r="H1" s="307" t="s">
        <v>701</v>
      </c>
      <c r="I1" s="308">
        <f>IF(D21="LATERALE",0,ROUNDUP(AVERAGE(M80:N80),1))</f>
        <v>0</v>
      </c>
      <c r="J1" s="309" t="s">
        <v>306</v>
      </c>
      <c r="K1" s="310"/>
      <c r="L1" s="310"/>
      <c r="M1" s="311"/>
      <c r="N1" s="312">
        <f>IF(D21="","",IF(D21="LATERALE",ROUNDUP(H80,1),ROUNDUP(I79,1)))</f>
        <v>-0.1</v>
      </c>
    </row>
    <row r="2" spans="2:90" hidden="1" x14ac:dyDescent="0.25">
      <c r="H2" s="306" t="s">
        <v>702</v>
      </c>
      <c r="I2" s="499">
        <f>IF(D21="LATERALE",ROUNDUP(AVERAGE(H80:I80),1),0)</f>
        <v>-0.1</v>
      </c>
      <c r="J2" s="315"/>
      <c r="K2" s="316"/>
      <c r="L2" s="316"/>
      <c r="M2" s="317"/>
      <c r="N2" s="318"/>
    </row>
    <row r="3" spans="2:90" ht="15.75" hidden="1" thickBot="1" x14ac:dyDescent="0.3">
      <c r="J3" s="319"/>
      <c r="K3" s="320"/>
      <c r="L3" s="320"/>
      <c r="M3" s="321"/>
      <c r="N3" s="322"/>
    </row>
    <row r="4" spans="2:90" hidden="1" x14ac:dyDescent="0.25">
      <c r="H4" s="306" t="s">
        <v>850</v>
      </c>
      <c r="I4" s="497">
        <f>SUM(I1:I3)</f>
        <v>-0.1</v>
      </c>
    </row>
    <row r="5" spans="2:90" hidden="1" x14ac:dyDescent="0.25">
      <c r="M5" s="306" t="s">
        <v>849</v>
      </c>
      <c r="N5" s="497">
        <f>I$4*D82</f>
        <v>-72</v>
      </c>
    </row>
    <row r="6" spans="2:90" hidden="1" x14ac:dyDescent="0.25">
      <c r="M6" s="306" t="s">
        <v>299</v>
      </c>
      <c r="N6" s="497">
        <f>I$4*D83</f>
        <v>-95</v>
      </c>
    </row>
    <row r="7" spans="2:90" hidden="1" x14ac:dyDescent="0.25">
      <c r="M7" s="306" t="s">
        <v>848</v>
      </c>
      <c r="N7" s="314">
        <f>I4*1000</f>
        <v>-100</v>
      </c>
    </row>
    <row r="8" spans="2:90" ht="18" customHeight="1" x14ac:dyDescent="0.25">
      <c r="P8" s="323" t="str">
        <f>N9</f>
        <v>I</v>
      </c>
      <c r="Q8" s="306" t="s">
        <v>11</v>
      </c>
      <c r="R8" s="306" t="s">
        <v>16</v>
      </c>
      <c r="S8" s="306" t="s">
        <v>298</v>
      </c>
      <c r="T8" s="135" t="s">
        <v>10</v>
      </c>
      <c r="U8" s="135" t="s">
        <v>789</v>
      </c>
    </row>
    <row r="9" spans="2:90" ht="18" customHeight="1" x14ac:dyDescent="0.25">
      <c r="E9" s="546" t="str">
        <f>P9</f>
        <v>CLIENTE</v>
      </c>
      <c r="F9" s="547"/>
      <c r="G9" s="547"/>
      <c r="H9" s="548"/>
      <c r="I9" s="549"/>
      <c r="J9" s="550"/>
      <c r="K9" s="550"/>
      <c r="L9" s="551"/>
      <c r="M9" s="516" t="s">
        <v>783</v>
      </c>
      <c r="N9" s="496" t="s">
        <v>11</v>
      </c>
      <c r="P9" s="324" t="str">
        <f>HLOOKUP($P$8,$Q$8:$U$47,2,0)</f>
        <v>CLIENTE</v>
      </c>
      <c r="Q9" s="306" t="s">
        <v>92</v>
      </c>
      <c r="R9" s="306" t="s">
        <v>662</v>
      </c>
      <c r="S9" s="306" t="s">
        <v>662</v>
      </c>
      <c r="T9" s="135" t="s">
        <v>790</v>
      </c>
      <c r="U9" t="s">
        <v>92</v>
      </c>
      <c r="V9" s="325"/>
      <c r="W9" s="325"/>
      <c r="AB9" s="316" t="s">
        <v>92</v>
      </c>
      <c r="AF9" s="540"/>
      <c r="AG9" s="541"/>
      <c r="AH9" s="542"/>
      <c r="AI9" s="307" t="s">
        <v>83</v>
      </c>
      <c r="AJ9" s="326">
        <v>0</v>
      </c>
      <c r="AK9" s="327" t="s">
        <v>70</v>
      </c>
      <c r="AX9" s="306"/>
      <c r="BL9" s="306"/>
      <c r="BY9" s="306"/>
      <c r="CL9" s="306"/>
    </row>
    <row r="10" spans="2:90" x14ac:dyDescent="0.25">
      <c r="E10" s="552" t="str">
        <f>P10</f>
        <v>OFFERTA/COMMESSA</v>
      </c>
      <c r="F10" s="553"/>
      <c r="G10" s="553"/>
      <c r="H10" s="554"/>
      <c r="I10" s="549"/>
      <c r="J10" s="550"/>
      <c r="K10" s="550"/>
      <c r="L10" s="551"/>
      <c r="M10" s="517" t="s">
        <v>899</v>
      </c>
      <c r="P10" s="324" t="str">
        <f>HLOOKUP($P$8,$Q$8:$U$47,3,0)</f>
        <v>OFFERTA/COMMESSA</v>
      </c>
      <c r="Q10" s="306" t="s">
        <v>753</v>
      </c>
      <c r="R10" s="306" t="s">
        <v>720</v>
      </c>
      <c r="S10" s="306" t="s">
        <v>752</v>
      </c>
      <c r="T10" s="135" t="s">
        <v>791</v>
      </c>
      <c r="U10" t="s">
        <v>792</v>
      </c>
      <c r="V10" s="328"/>
      <c r="W10" s="328"/>
      <c r="AB10" s="329" t="s">
        <v>71</v>
      </c>
      <c r="AF10" s="330"/>
      <c r="AG10" s="329" t="s">
        <v>0</v>
      </c>
      <c r="AH10" s="330"/>
      <c r="AI10" s="307" t="s">
        <v>85</v>
      </c>
      <c r="AJ10" s="331">
        <v>0</v>
      </c>
      <c r="AK10" s="332">
        <v>0</v>
      </c>
      <c r="AX10" s="306"/>
      <c r="BL10" s="306"/>
      <c r="BY10" s="306"/>
      <c r="CL10" s="306"/>
    </row>
    <row r="11" spans="2:90" ht="18.75" x14ac:dyDescent="0.3">
      <c r="E11"/>
      <c r="F11"/>
      <c r="G11"/>
      <c r="H11"/>
      <c r="I11"/>
      <c r="J11"/>
      <c r="K11"/>
      <c r="L11"/>
      <c r="M11" s="518">
        <v>0.67</v>
      </c>
      <c r="P11" s="324" t="str">
        <f>HLOOKUP($P$8,$Q$8:$U$47,4,0)</f>
        <v>VOLIME MEDIO STX</v>
      </c>
      <c r="Q11" s="306" t="s">
        <v>706</v>
      </c>
      <c r="T11" s="305"/>
      <c r="U11" t="s">
        <v>793</v>
      </c>
      <c r="V11" s="328"/>
      <c r="W11" s="328"/>
      <c r="AB11" s="329"/>
      <c r="AF11" s="330"/>
      <c r="AG11" s="333"/>
      <c r="AH11" s="334"/>
      <c r="AI11" s="307"/>
      <c r="AJ11" s="331"/>
      <c r="AK11" s="332"/>
      <c r="AX11" s="306"/>
      <c r="BL11" s="306"/>
      <c r="BY11" s="306"/>
      <c r="CL11" s="306"/>
    </row>
    <row r="12" spans="2:90" x14ac:dyDescent="0.25">
      <c r="E12" s="546" t="str">
        <f>P14</f>
        <v>PRODOTTO</v>
      </c>
      <c r="F12" s="547"/>
      <c r="G12" s="547"/>
      <c r="H12" s="548"/>
      <c r="I12" s="555" t="s">
        <v>297</v>
      </c>
      <c r="J12" s="556"/>
      <c r="K12" s="556"/>
      <c r="L12" s="557"/>
      <c r="M12" s="337"/>
      <c r="N12" s="502" t="b">
        <f>AND(D22="CUSTOM",M12=0)</f>
        <v>0</v>
      </c>
      <c r="O12" s="335"/>
      <c r="P12" s="324" t="str">
        <f>HLOOKUP($P$8,$Q$8:$U$47,5,0)</f>
        <v>VOLUME MEDIO STL</v>
      </c>
      <c r="Q12" s="306" t="s">
        <v>702</v>
      </c>
      <c r="T12" s="1"/>
      <c r="U12" t="s">
        <v>794</v>
      </c>
      <c r="V12" s="335"/>
      <c r="W12" s="335"/>
      <c r="AB12" s="316" t="s">
        <v>82</v>
      </c>
      <c r="AF12" s="336"/>
      <c r="AI12" s="307" t="s">
        <v>86</v>
      </c>
      <c r="AJ12" s="331">
        <v>0</v>
      </c>
      <c r="AK12" s="332">
        <v>0</v>
      </c>
      <c r="AX12" s="306"/>
      <c r="BL12" s="306"/>
      <c r="BY12" s="306"/>
      <c r="CL12" s="306"/>
    </row>
    <row r="13" spans="2:90" x14ac:dyDescent="0.25">
      <c r="I13" s="344"/>
      <c r="J13" s="344"/>
      <c r="K13" s="344"/>
      <c r="L13" s="344"/>
      <c r="N13" s="313" t="str">
        <f>IF(M12&lt;&gt;"","kg/m3","")</f>
        <v/>
      </c>
      <c r="P13" s="324" t="str">
        <f>HLOOKUP($P$8,$Q$8:$U$47,6,0)</f>
        <v>VOLUME UTILE</v>
      </c>
      <c r="Q13" s="306" t="s">
        <v>721</v>
      </c>
      <c r="R13" s="306" t="s">
        <v>722</v>
      </c>
      <c r="S13" s="306" t="s">
        <v>721</v>
      </c>
      <c r="T13" s="135" t="s">
        <v>795</v>
      </c>
      <c r="U13" t="s">
        <v>796</v>
      </c>
      <c r="AJ13" s="306"/>
      <c r="AX13" s="306"/>
      <c r="BL13" s="306"/>
      <c r="BY13" s="306"/>
      <c r="CL13" s="306"/>
    </row>
    <row r="14" spans="2:90" ht="15.95" customHeight="1" x14ac:dyDescent="0.25">
      <c r="B14" s="338" t="str">
        <f>"H "&amp;P27</f>
        <v>H SILO</v>
      </c>
      <c r="C14" s="337"/>
      <c r="D14" s="339" t="str">
        <f>P19</f>
        <v>ESTRAZIONE</v>
      </c>
      <c r="E14" s="340" t="s">
        <v>54</v>
      </c>
      <c r="H14" s="341" t="str">
        <f>IF(E15&lt;=C15,"","ALLARME: Inserire L corrette (Lcorto&lt;Llungo)")</f>
        <v/>
      </c>
      <c r="I14" s="564" t="str">
        <f>P24</f>
        <v>TIPO CARICO</v>
      </c>
      <c r="J14" s="565"/>
      <c r="K14" s="565"/>
      <c r="L14" s="566"/>
      <c r="M14" s="485" t="s">
        <v>303</v>
      </c>
      <c r="N14" s="342"/>
      <c r="P14" s="324" t="str">
        <f>HLOOKUP($P$8,$Q$8:$U$47,7,0)</f>
        <v>PRODOTTO</v>
      </c>
      <c r="Q14" s="306" t="s">
        <v>296</v>
      </c>
      <c r="R14" s="306" t="s">
        <v>723</v>
      </c>
      <c r="S14" s="306" t="s">
        <v>754</v>
      </c>
      <c r="T14" s="135" t="s">
        <v>797</v>
      </c>
      <c r="U14" t="s">
        <v>798</v>
      </c>
      <c r="Y14" s="306" t="s">
        <v>119</v>
      </c>
      <c r="AA14" s="306" t="s">
        <v>50</v>
      </c>
      <c r="AJ14" s="306"/>
      <c r="AX14" s="306"/>
      <c r="BL14" s="306"/>
      <c r="BY14" s="306"/>
      <c r="CL14" s="306"/>
    </row>
    <row r="15" spans="2:90" ht="15.95" customHeight="1" x14ac:dyDescent="0.25">
      <c r="B15" s="339" t="str">
        <f>P20</f>
        <v>LATO LUNGO</v>
      </c>
      <c r="C15" s="337"/>
      <c r="D15" s="339" t="str">
        <f>P21</f>
        <v>LATO CORTO</v>
      </c>
      <c r="E15" s="337"/>
      <c r="P15" s="324" t="str">
        <f>HLOOKUP($P$8,$Q$8:$U$47,8,0)</f>
        <v>FARINA</v>
      </c>
      <c r="Q15" s="306" t="s">
        <v>297</v>
      </c>
      <c r="R15" s="306" t="s">
        <v>724</v>
      </c>
      <c r="S15" s="306" t="s">
        <v>755</v>
      </c>
      <c r="T15" s="135" t="s">
        <v>799</v>
      </c>
      <c r="U15" t="s">
        <v>800</v>
      </c>
      <c r="Y15" s="316" t="s">
        <v>5</v>
      </c>
      <c r="AA15" s="316" t="s">
        <v>6</v>
      </c>
      <c r="AX15" s="306"/>
      <c r="BL15" s="306"/>
      <c r="BY15" s="306"/>
      <c r="CL15" s="306"/>
    </row>
    <row r="16" spans="2:90" ht="26.25" customHeight="1" x14ac:dyDescent="0.25">
      <c r="B16" s="558" t="str">
        <f>P22</f>
        <v>Extra altezza sotto cono</v>
      </c>
      <c r="C16" s="559"/>
      <c r="D16" s="560"/>
      <c r="E16" s="346"/>
      <c r="H16" s="341" t="str">
        <f>IF(H74/H73&lt;=0.5,"ALLARME: LATI TROPPO DIVERSI","")</f>
        <v/>
      </c>
      <c r="P16" s="324" t="str">
        <f>HLOOKUP($P$8,$Q$8:$U$47,9,0)</f>
        <v>ZUCCHERO</v>
      </c>
      <c r="Q16" s="306" t="s">
        <v>299</v>
      </c>
      <c r="R16" s="306" t="s">
        <v>725</v>
      </c>
      <c r="S16" s="306" t="s">
        <v>756</v>
      </c>
      <c r="T16" s="135" t="s">
        <v>801</v>
      </c>
      <c r="U16" t="s">
        <v>802</v>
      </c>
      <c r="Y16" s="317" t="s">
        <v>120</v>
      </c>
      <c r="AX16" s="306"/>
      <c r="BL16" s="306"/>
      <c r="BY16" s="306"/>
      <c r="CL16" s="306"/>
    </row>
    <row r="17" spans="2:90" ht="26.25" customHeight="1" x14ac:dyDescent="0.35">
      <c r="B17" s="563" t="str">
        <f>P40</f>
        <v>Forzare H cono - C (cfr angolo)</v>
      </c>
      <c r="C17" s="563"/>
      <c r="D17" s="563"/>
      <c r="E17" s="563"/>
      <c r="M17" s="493" t="str">
        <f>P13</f>
        <v>VOLUME UTILE</v>
      </c>
      <c r="N17" s="494">
        <f>IF(C14=0,0,IF(D22="CUSTOM",IF(M12=0,"ERRORE",N1),N1))</f>
        <v>0</v>
      </c>
      <c r="P17" s="324" t="str">
        <f>HLOOKUP($P$8,$Q$8:$U$47,10,0)</f>
        <v>SEMOLA</v>
      </c>
      <c r="Q17" s="306" t="s">
        <v>300</v>
      </c>
      <c r="R17" s="306" t="s">
        <v>726</v>
      </c>
      <c r="S17" s="306" t="s">
        <v>757</v>
      </c>
      <c r="T17" s="135" t="s">
        <v>803</v>
      </c>
      <c r="U17" t="s">
        <v>300</v>
      </c>
      <c r="Y17" s="317" t="s">
        <v>302</v>
      </c>
      <c r="AX17" s="306"/>
      <c r="BL17" s="306"/>
      <c r="BY17" s="306"/>
      <c r="CL17" s="306"/>
    </row>
    <row r="18" spans="2:90" ht="27" customHeight="1" x14ac:dyDescent="0.25">
      <c r="B18" s="543" t="str">
        <f>P23</f>
        <v>Valvola di sovrapressione su tetto  (S)</v>
      </c>
      <c r="C18" s="544"/>
      <c r="D18" s="545"/>
      <c r="E18" s="348" t="s">
        <v>332</v>
      </c>
      <c r="N18" s="306"/>
      <c r="P18" s="324" t="str">
        <f>HLOOKUP($P$8,$Q$8:$U$47,11,0)</f>
        <v>CUSTOM</v>
      </c>
      <c r="Q18" s="306" t="s">
        <v>316</v>
      </c>
      <c r="R18" s="306" t="s">
        <v>316</v>
      </c>
      <c r="S18" s="306" t="s">
        <v>758</v>
      </c>
      <c r="T18" s="135" t="s">
        <v>804</v>
      </c>
      <c r="U18" t="s">
        <v>805</v>
      </c>
      <c r="AJ18" s="306"/>
      <c r="AX18" s="306"/>
      <c r="BL18" s="306"/>
      <c r="BY18" s="306"/>
      <c r="CL18" s="306"/>
    </row>
    <row r="19" spans="2:90" ht="27" customHeight="1" x14ac:dyDescent="0.35">
      <c r="B19" s="349"/>
      <c r="C19" s="333"/>
      <c r="D19" s="500"/>
      <c r="E19" s="501"/>
      <c r="F19" s="501"/>
      <c r="G19" s="501"/>
      <c r="M19" s="492" t="s">
        <v>690</v>
      </c>
      <c r="N19" s="495">
        <f>IF(D22="","",IF(D22="FARINA",ROUNDUP($N$17*$D$81,-2),IF(D22="ZUCCHERO",ROUNDUP($N$17*$D$83,-2),IF(D22="SEMOLA",ROUNDUP($N$17*$D$82,-2),ROUNDUP($N$17*$D$84,-2)))))</f>
        <v>0</v>
      </c>
      <c r="P19" s="324" t="str">
        <f>HLOOKUP($P$8,$Q$8:$U$47,12,0)</f>
        <v>ESTRAZIONE</v>
      </c>
      <c r="Q19" s="306" t="s">
        <v>23</v>
      </c>
      <c r="R19" s="306" t="s">
        <v>727</v>
      </c>
      <c r="S19" s="306" t="s">
        <v>727</v>
      </c>
      <c r="T19" s="135" t="s">
        <v>806</v>
      </c>
      <c r="U19" t="s">
        <v>807</v>
      </c>
      <c r="AJ19" s="306"/>
      <c r="AX19" s="306"/>
      <c r="BL19" s="306"/>
      <c r="BY19" s="306"/>
      <c r="CL19" s="306"/>
    </row>
    <row r="20" spans="2:90" ht="15.95" customHeight="1" x14ac:dyDescent="0.25">
      <c r="B20" s="349"/>
      <c r="C20" s="333"/>
      <c r="D20" s="500"/>
      <c r="E20" s="501"/>
      <c r="F20" s="501"/>
      <c r="G20" s="501"/>
      <c r="P20" s="324" t="str">
        <f>HLOOKUP($P$8,$Q$8:$U$47,13,0)</f>
        <v>LATO LUNGO</v>
      </c>
      <c r="Q20" s="306" t="s">
        <v>282</v>
      </c>
      <c r="R20" s="313" t="s">
        <v>728</v>
      </c>
      <c r="S20" s="313" t="s">
        <v>759</v>
      </c>
      <c r="T20" s="135" t="s">
        <v>613</v>
      </c>
      <c r="U20" t="s">
        <v>808</v>
      </c>
      <c r="AJ20" s="306"/>
      <c r="AX20" s="306"/>
      <c r="BL20" s="306"/>
      <c r="BY20" s="306"/>
      <c r="CL20" s="306"/>
    </row>
    <row r="21" spans="2:90" ht="15.95" customHeight="1" x14ac:dyDescent="0.25">
      <c r="B21" s="349"/>
      <c r="C21" s="514" t="str">
        <f>IF(D21="centrale","STX","STL")</f>
        <v>STL</v>
      </c>
      <c r="D21" s="568" t="str">
        <f>VLOOKUP(M14,P25:Q26,2,0)</f>
        <v>LATERALE</v>
      </c>
      <c r="E21" s="568" t="str">
        <f t="shared" ref="E21:G22" si="0">HLOOKUP($P$8,$Q$8:$S$47,8,0)</f>
        <v>FARINA</v>
      </c>
      <c r="F21" s="568" t="str">
        <f t="shared" si="0"/>
        <v>FARINA</v>
      </c>
      <c r="G21" s="568" t="str">
        <f t="shared" si="0"/>
        <v>FARINA</v>
      </c>
      <c r="P21" s="324" t="str">
        <f>HLOOKUP($P$8,$Q$8:$U$47,14,0)</f>
        <v>LATO CORTO</v>
      </c>
      <c r="Q21" s="306" t="s">
        <v>283</v>
      </c>
      <c r="R21" s="306" t="s">
        <v>729</v>
      </c>
      <c r="S21" s="306" t="s">
        <v>760</v>
      </c>
      <c r="T21" s="135" t="s">
        <v>610</v>
      </c>
      <c r="U21" t="s">
        <v>809</v>
      </c>
      <c r="AJ21" s="306"/>
      <c r="AX21" s="306"/>
      <c r="BL21" s="306"/>
      <c r="BY21" s="306"/>
      <c r="CL21" s="306"/>
    </row>
    <row r="22" spans="2:90" ht="15.95" customHeight="1" x14ac:dyDescent="0.25">
      <c r="B22" s="349"/>
      <c r="C22" s="513"/>
      <c r="D22" s="568" t="str">
        <f>VLOOKUP(I12,P15:Q18,2,0)</f>
        <v>FARINA</v>
      </c>
      <c r="E22" s="568" t="str">
        <f t="shared" si="0"/>
        <v>FARINA</v>
      </c>
      <c r="F22" s="568" t="str">
        <f t="shared" si="0"/>
        <v>FARINA</v>
      </c>
      <c r="G22" s="568" t="str">
        <f t="shared" si="0"/>
        <v>FARINA</v>
      </c>
      <c r="P22" s="324" t="str">
        <f>HLOOKUP($P$8,$Q$8:$U$47,15,0)</f>
        <v>Extra altezza sotto cono</v>
      </c>
      <c r="Q22" s="306" t="s">
        <v>707</v>
      </c>
      <c r="R22" s="306" t="s">
        <v>730</v>
      </c>
      <c r="S22" s="306" t="s">
        <v>761</v>
      </c>
      <c r="T22" s="135" t="s">
        <v>810</v>
      </c>
      <c r="U22" t="s">
        <v>811</v>
      </c>
      <c r="AJ22" s="306"/>
      <c r="AX22" s="306"/>
      <c r="BL22" s="306"/>
      <c r="BY22" s="306"/>
      <c r="CL22" s="306"/>
    </row>
    <row r="23" spans="2:90" ht="15.95" customHeight="1" thickBot="1" x14ac:dyDescent="0.3">
      <c r="B23" s="349"/>
      <c r="C23" s="333"/>
      <c r="D23" s="333"/>
      <c r="N23" s="347"/>
      <c r="P23" s="324" t="str">
        <f>HLOOKUP($P$8,$Q$8:$U$47,16,0)</f>
        <v>Valvola di sovrapressione su tetto  (S)</v>
      </c>
      <c r="Q23" s="306" t="s">
        <v>121</v>
      </c>
      <c r="R23" s="306" t="s">
        <v>731</v>
      </c>
      <c r="S23" s="306" t="s">
        <v>762</v>
      </c>
      <c r="T23" s="135" t="s">
        <v>812</v>
      </c>
      <c r="U23" t="s">
        <v>813</v>
      </c>
      <c r="AJ23" s="306"/>
      <c r="AX23" s="306"/>
      <c r="BL23" s="306"/>
      <c r="BY23" s="306"/>
      <c r="CL23" s="306"/>
    </row>
    <row r="24" spans="2:90" ht="15.95" customHeight="1" thickBot="1" x14ac:dyDescent="0.3">
      <c r="B24" s="350"/>
      <c r="C24" s="475" t="str">
        <f>P27</f>
        <v>SILO</v>
      </c>
      <c r="D24" s="476" t="str">
        <f>P28</f>
        <v>SACCO</v>
      </c>
      <c r="N24" s="347"/>
      <c r="P24" s="324" t="str">
        <f>HLOOKUP($P$8,$Q$8:$U$47,17,0)</f>
        <v>TIPO CARICO</v>
      </c>
      <c r="Q24" s="306" t="s">
        <v>708</v>
      </c>
      <c r="R24" s="306" t="s">
        <v>732</v>
      </c>
      <c r="S24" s="306" t="s">
        <v>763</v>
      </c>
      <c r="T24" s="135" t="s">
        <v>814</v>
      </c>
      <c r="U24" t="s">
        <v>815</v>
      </c>
      <c r="AJ24" s="306"/>
      <c r="AX24" s="306"/>
      <c r="BL24" s="306"/>
      <c r="BY24" s="306"/>
      <c r="CL24" s="306"/>
    </row>
    <row r="25" spans="2:90" ht="15.95" customHeight="1" x14ac:dyDescent="0.25">
      <c r="B25" s="481" t="str">
        <f>P33</f>
        <v>FAR/SEM</v>
      </c>
      <c r="C25" s="489">
        <f>IFERROR((IF(N17=0,0,IF($D$22="zucchero","",IF(C21="STX",('STXVOLUME (2)'!M2+PREZZI!M74)*'STXVOLUME (2)'!CT1,'STXVOLUME (2)'!M2*'STXVOLUME (2)'!CT1)))),0)</f>
        <v>0</v>
      </c>
      <c r="D25" s="491">
        <f>IFERROR((IF($D$22="zucchero","",'STXVOLUME (2)'!N2*'STXVOLUME (2)'!CT1)),0)</f>
        <v>0</v>
      </c>
      <c r="H25" s="569" t="str">
        <f>P29</f>
        <v>TC</v>
      </c>
      <c r="I25" s="570"/>
      <c r="L25" s="561" t="str">
        <f>P31</f>
        <v>SACCO+TC STL</v>
      </c>
      <c r="M25" s="562"/>
      <c r="N25" s="306"/>
      <c r="P25" s="324" t="str">
        <f>HLOOKUP($P$8,$Q$8:$U$47,18,0)</f>
        <v>LATERALE</v>
      </c>
      <c r="Q25" s="306" t="s">
        <v>303</v>
      </c>
      <c r="R25" s="306" t="s">
        <v>733</v>
      </c>
      <c r="S25" s="306" t="s">
        <v>733</v>
      </c>
      <c r="T25" s="135" t="s">
        <v>816</v>
      </c>
      <c r="U25" t="s">
        <v>733</v>
      </c>
      <c r="AJ25" s="306"/>
      <c r="AX25" s="306"/>
      <c r="BL25" s="306"/>
      <c r="BY25" s="306"/>
      <c r="CL25" s="306"/>
    </row>
    <row r="26" spans="2:90" ht="15.95" customHeight="1" thickBot="1" x14ac:dyDescent="0.3">
      <c r="B26" s="478" t="str">
        <f>P34</f>
        <v>ZUCCHERO</v>
      </c>
      <c r="C26" s="490">
        <f>IFERROR((IF(N17=0,0,IF($D$22="farina","",IF(C21="stx",('STXVOLUME (2)'!M3+PREZZI!M74)*'STXVOLUME (2)'!CT1,'STXVOLUME (2)'!M3*'STXVOLUME (2)'!CT1)))),0)</f>
        <v>0</v>
      </c>
      <c r="D26" s="490" t="str">
        <f>IFERROR((IF($D$22="farina","",('STXVOLUME (2)'!N3*'STXVOLUME (2)'!CT1))),0)</f>
        <v/>
      </c>
      <c r="H26" s="482" t="str">
        <f>P35</f>
        <v>VERN</v>
      </c>
      <c r="I26" s="491">
        <f>('STXVOLUME (2)'!N14*'STXVOLUME (2)'!CT1)</f>
        <v>0</v>
      </c>
      <c r="L26" s="483" t="str">
        <f>P37</f>
        <v>TC VERN</v>
      </c>
      <c r="M26" s="491">
        <f>('STXVOLUME (2)'!N18*'STXVOLUME (2)'!CT1)</f>
        <v>0</v>
      </c>
      <c r="N26" s="306"/>
      <c r="P26" s="324" t="str">
        <f>HLOOKUP($P$8,$Q$8:$U$47,19,0)</f>
        <v>CENTRALE</v>
      </c>
      <c r="Q26" s="306" t="s">
        <v>304</v>
      </c>
      <c r="R26" s="306" t="s">
        <v>734</v>
      </c>
      <c r="S26" s="306" t="s">
        <v>734</v>
      </c>
      <c r="T26" s="135" t="s">
        <v>817</v>
      </c>
      <c r="U26" t="s">
        <v>734</v>
      </c>
      <c r="AJ26" s="306"/>
      <c r="AX26" s="306"/>
      <c r="BL26" s="306"/>
      <c r="BY26" s="306"/>
      <c r="CL26" s="306"/>
    </row>
    <row r="27" spans="2:90" ht="15.95" customHeight="1" thickBot="1" x14ac:dyDescent="0.3">
      <c r="B27" s="498" t="s">
        <v>316</v>
      </c>
      <c r="C27" s="498" t="str">
        <f>IFERROR(IF(N$19&gt;N$7,"ERRORE",IF(N$19&lt;N$5,C25,C26)),0)</f>
        <v>ERRORE</v>
      </c>
      <c r="D27" s="498" t="str">
        <f>IFERROR(IF(N$19&gt;N$7,"ERRORE",IF(N$19&lt;N$5,D25,D26)),0)</f>
        <v>ERRORE</v>
      </c>
      <c r="H27" s="352" t="str">
        <f>P36</f>
        <v>INOX</v>
      </c>
      <c r="I27" s="490">
        <f>('STXVOLUME (2)'!N15*'STXVOLUME (2)'!CT1)</f>
        <v>0</v>
      </c>
      <c r="L27" s="352" t="str">
        <f>P38</f>
        <v>TC INOX</v>
      </c>
      <c r="M27" s="490">
        <f>('STXVOLUME (2)'!N19*'STXVOLUME (2)'!CT1)</f>
        <v>0</v>
      </c>
      <c r="N27" s="487"/>
      <c r="P27" s="324" t="str">
        <f>HLOOKUP($P$8,$Q$8:$U$47,20,0)</f>
        <v>SILO</v>
      </c>
      <c r="Q27" s="306" t="s">
        <v>709</v>
      </c>
      <c r="R27" s="306" t="s">
        <v>709</v>
      </c>
      <c r="S27" s="306" t="s">
        <v>709</v>
      </c>
      <c r="T27" t="s">
        <v>709</v>
      </c>
      <c r="U27" t="s">
        <v>709</v>
      </c>
      <c r="AJ27" s="306"/>
      <c r="AX27" s="306"/>
      <c r="BL27" s="306"/>
      <c r="BY27" s="306"/>
      <c r="CL27" s="306"/>
    </row>
    <row r="28" spans="2:90" ht="15.95" customHeight="1" x14ac:dyDescent="0.25">
      <c r="N28" s="347"/>
      <c r="P28" s="324" t="str">
        <f>HLOOKUP($P$8,$Q$8:$U$47,21,0)</f>
        <v>SACCO</v>
      </c>
      <c r="Q28" s="306" t="s">
        <v>710</v>
      </c>
      <c r="R28" s="306" t="s">
        <v>735</v>
      </c>
      <c r="S28" s="306" t="s">
        <v>764</v>
      </c>
      <c r="T28" t="s">
        <v>735</v>
      </c>
      <c r="U28" t="s">
        <v>818</v>
      </c>
      <c r="AJ28" s="306"/>
      <c r="AX28" s="306"/>
      <c r="BL28" s="306"/>
      <c r="BY28" s="306"/>
      <c r="CL28" s="306"/>
    </row>
    <row r="29" spans="2:90" ht="15.95" customHeight="1" x14ac:dyDescent="0.25">
      <c r="B29" s="353"/>
      <c r="C29" s="477" t="str">
        <f>P30</f>
        <v>STRUTTURA</v>
      </c>
      <c r="D29" s="354"/>
      <c r="H29" s="488"/>
      <c r="I29" s="306">
        <v>0</v>
      </c>
      <c r="L29" s="561" t="str">
        <f>P32</f>
        <v>SACCO TC STX</v>
      </c>
      <c r="M29" s="562"/>
      <c r="N29" s="347"/>
      <c r="P29" s="324" t="str">
        <f>HLOOKUP($P$8,$Q$8:$U$47,22,0)</f>
        <v>TC</v>
      </c>
      <c r="Q29" s="306" t="s">
        <v>364</v>
      </c>
      <c r="R29" s="306" t="s">
        <v>736</v>
      </c>
      <c r="S29" s="306" t="s">
        <v>765</v>
      </c>
      <c r="T29" t="s">
        <v>819</v>
      </c>
      <c r="U29" t="s">
        <v>364</v>
      </c>
      <c r="AJ29" s="306"/>
      <c r="AX29" s="306"/>
      <c r="BL29" s="306"/>
      <c r="BY29" s="306"/>
      <c r="CL29" s="306"/>
    </row>
    <row r="30" spans="2:90" ht="18.75" customHeight="1" thickBot="1" x14ac:dyDescent="0.3">
      <c r="B30" s="355" t="str">
        <f>B25</f>
        <v>FAR/SEM</v>
      </c>
      <c r="C30" s="491">
        <f>(IF($D$22="zucchero","",'STXVOLUME (2)'!N7*'STXVOLUME (2)'!CT1))</f>
        <v>0</v>
      </c>
      <c r="L30" s="352" t="str">
        <f>P38</f>
        <v>TC INOX</v>
      </c>
      <c r="M30" s="490">
        <f>('STXVOLUME (2)'!N22*'STXVOLUME (2)'!CT1)</f>
        <v>0</v>
      </c>
      <c r="N30" s="347"/>
      <c r="P30" s="324" t="str">
        <f>HLOOKUP($P$8,$Q$8:$U$47,23,0)</f>
        <v>STRUTTURA</v>
      </c>
      <c r="Q30" s="306" t="s">
        <v>711</v>
      </c>
      <c r="R30" s="306" t="s">
        <v>737</v>
      </c>
      <c r="S30" s="306" t="s">
        <v>737</v>
      </c>
      <c r="T30" t="s">
        <v>820</v>
      </c>
      <c r="U30" t="s">
        <v>821</v>
      </c>
      <c r="AJ30" s="306"/>
      <c r="AN30" s="306" t="s">
        <v>55</v>
      </c>
      <c r="AX30" s="306"/>
      <c r="BL30" s="306"/>
      <c r="BY30" s="306"/>
      <c r="CL30" s="306"/>
    </row>
    <row r="31" spans="2:90" ht="18.75" customHeight="1" thickBot="1" x14ac:dyDescent="0.3">
      <c r="B31" s="351" t="str">
        <f>B26</f>
        <v>ZUCCHERO</v>
      </c>
      <c r="C31" s="490">
        <f>('STXVOLUME (2)'!N8*'STXVOLUME (2)'!CT1)</f>
        <v>0</v>
      </c>
      <c r="N31" s="342"/>
      <c r="O31" s="342"/>
      <c r="P31" s="324" t="str">
        <f>HLOOKUP($P$8,$Q$8:$U$47,24,0)</f>
        <v>SACCO+TC STL</v>
      </c>
      <c r="Q31" s="306" t="s">
        <v>712</v>
      </c>
      <c r="R31" s="306" t="s">
        <v>738</v>
      </c>
      <c r="S31" s="306" t="s">
        <v>766</v>
      </c>
      <c r="T31" s="135" t="s">
        <v>822</v>
      </c>
      <c r="U31" t="s">
        <v>823</v>
      </c>
      <c r="V31" s="342"/>
      <c r="W31" s="342"/>
      <c r="AJ31" s="306"/>
      <c r="AN31" s="306" t="s">
        <v>59</v>
      </c>
      <c r="AX31" s="306"/>
      <c r="BL31" s="306"/>
      <c r="BY31" s="306"/>
      <c r="CL31" s="306"/>
    </row>
    <row r="32" spans="2:90" ht="18.75" customHeight="1" x14ac:dyDescent="0.25">
      <c r="N32" s="347"/>
      <c r="P32" s="324" t="str">
        <f>HLOOKUP($P$8,$Q$8:$U$47,25,0)</f>
        <v>SACCO TC STX</v>
      </c>
      <c r="Q32" s="306" t="s">
        <v>713</v>
      </c>
      <c r="R32" s="306" t="s">
        <v>739</v>
      </c>
      <c r="S32" s="306" t="s">
        <v>767</v>
      </c>
      <c r="T32" s="135" t="s">
        <v>824</v>
      </c>
      <c r="U32" t="s">
        <v>825</v>
      </c>
      <c r="AJ32" s="306"/>
      <c r="AN32" s="306" t="s">
        <v>62</v>
      </c>
      <c r="AX32" s="306"/>
      <c r="BL32" s="306"/>
      <c r="BY32" s="306"/>
      <c r="CL32" s="306"/>
    </row>
    <row r="33" spans="9:90" ht="18.75" customHeight="1" thickBot="1" x14ac:dyDescent="0.3">
      <c r="N33" s="347"/>
      <c r="P33" s="324" t="str">
        <f>HLOOKUP($P$8,$Q$8:$U$47,26,0)</f>
        <v>FAR/SEM</v>
      </c>
      <c r="Q33" s="306" t="s">
        <v>714</v>
      </c>
      <c r="R33" s="306" t="s">
        <v>740</v>
      </c>
      <c r="S33" s="306" t="s">
        <v>768</v>
      </c>
      <c r="T33" s="135" t="s">
        <v>826</v>
      </c>
      <c r="U33" t="s">
        <v>827</v>
      </c>
      <c r="AJ33" s="306"/>
      <c r="AN33" s="306" t="s">
        <v>65</v>
      </c>
      <c r="AX33" s="306"/>
      <c r="BL33" s="306"/>
      <c r="BY33" s="306"/>
      <c r="CL33" s="306"/>
    </row>
    <row r="34" spans="9:90" x14ac:dyDescent="0.25">
      <c r="I34" s="356">
        <f>IF(N34&lt;&gt;"",N34,VLOOKUP(I80/2,AI72:AJ75,2,1))</f>
        <v>70</v>
      </c>
      <c r="J34" s="567" t="str">
        <f>P39</f>
        <v xml:space="preserve">  Dimensione tubolare struttura verificato con calcolo</v>
      </c>
      <c r="K34" s="544"/>
      <c r="L34" s="544"/>
      <c r="M34" s="545"/>
      <c r="N34" s="337"/>
      <c r="P34" s="324" t="str">
        <f>HLOOKUP($P$8,$Q$8:$U$47,27,0)</f>
        <v>ZUCCHERO</v>
      </c>
      <c r="Q34" s="306" t="s">
        <v>299</v>
      </c>
      <c r="R34" s="306" t="s">
        <v>725</v>
      </c>
      <c r="S34" s="306" t="s">
        <v>756</v>
      </c>
      <c r="T34" s="135" t="s">
        <v>801</v>
      </c>
      <c r="U34" t="s">
        <v>802</v>
      </c>
      <c r="Y34" s="306" t="s">
        <v>308</v>
      </c>
      <c r="AJ34" s="306"/>
      <c r="AX34" s="306"/>
      <c r="BL34" s="306"/>
      <c r="BY34" s="306"/>
      <c r="CL34" s="306"/>
    </row>
    <row r="35" spans="9:90" x14ac:dyDescent="0.25">
      <c r="P35" s="324" t="str">
        <f>HLOOKUP($P$8,$Q$8:$U$47,28,0)</f>
        <v>VERN</v>
      </c>
      <c r="Q35" s="306" t="s">
        <v>715</v>
      </c>
      <c r="R35" s="306" t="s">
        <v>741</v>
      </c>
      <c r="S35" s="306" t="s">
        <v>769</v>
      </c>
      <c r="T35" s="135" t="s">
        <v>828</v>
      </c>
      <c r="U35" t="s">
        <v>829</v>
      </c>
      <c r="Y35" s="306" t="s">
        <v>309</v>
      </c>
      <c r="Z35" s="306" t="s">
        <v>310</v>
      </c>
      <c r="AA35" s="306" t="s">
        <v>307</v>
      </c>
      <c r="AG35" s="316" t="s">
        <v>1</v>
      </c>
      <c r="AH35" s="344" t="s">
        <v>2</v>
      </c>
      <c r="AI35" s="344"/>
      <c r="AJ35" s="357" t="s">
        <v>3</v>
      </c>
      <c r="AN35" s="306" t="s">
        <v>128</v>
      </c>
      <c r="AX35" s="306"/>
      <c r="BL35" s="306"/>
      <c r="BY35" s="306"/>
      <c r="CL35" s="306"/>
    </row>
    <row r="36" spans="9:90" x14ac:dyDescent="0.25">
      <c r="N36" s="306"/>
      <c r="P36" s="324" t="str">
        <f>HLOOKUP($P$8,$Q$8:$U$47,29,0)</f>
        <v>INOX</v>
      </c>
      <c r="Q36" s="306" t="s">
        <v>716</v>
      </c>
      <c r="R36" s="306" t="s">
        <v>716</v>
      </c>
      <c r="S36" s="306" t="s">
        <v>716</v>
      </c>
      <c r="T36" s="135" t="s">
        <v>830</v>
      </c>
      <c r="U36" t="s">
        <v>716</v>
      </c>
      <c r="Y36" s="306" t="s">
        <v>297</v>
      </c>
      <c r="Z36" s="306">
        <v>42</v>
      </c>
      <c r="AA36" s="306">
        <f>Z36-15</f>
        <v>27</v>
      </c>
      <c r="AG36" s="316" t="s">
        <v>4</v>
      </c>
      <c r="AH36" s="358" t="s">
        <v>5</v>
      </c>
      <c r="AI36" s="358"/>
      <c r="AJ36" s="359">
        <v>0</v>
      </c>
      <c r="AN36" s="306" t="s">
        <v>124</v>
      </c>
      <c r="AX36" s="306"/>
      <c r="BL36" s="306"/>
      <c r="BY36" s="306"/>
      <c r="CL36" s="306"/>
    </row>
    <row r="37" spans="9:90" x14ac:dyDescent="0.25">
      <c r="N37" s="306"/>
      <c r="P37" s="324" t="str">
        <f>HLOOKUP($P$8,$Q$8:$U$47,30,0)</f>
        <v>TC VERN</v>
      </c>
      <c r="Q37" s="306" t="s">
        <v>717</v>
      </c>
      <c r="R37" s="306" t="s">
        <v>742</v>
      </c>
      <c r="S37" s="306" t="s">
        <v>770</v>
      </c>
      <c r="T37" s="135" t="s">
        <v>831</v>
      </c>
      <c r="U37" t="s">
        <v>832</v>
      </c>
      <c r="Y37" s="306" t="s">
        <v>299</v>
      </c>
      <c r="Z37" s="306">
        <v>38</v>
      </c>
      <c r="AA37" s="306">
        <f>Z37-15</f>
        <v>23</v>
      </c>
      <c r="AG37" s="316"/>
      <c r="AH37" s="314" t="s">
        <v>6</v>
      </c>
      <c r="AJ37" s="359">
        <v>0</v>
      </c>
      <c r="AN37" s="306" t="s">
        <v>122</v>
      </c>
      <c r="AX37" s="306"/>
      <c r="BL37" s="306"/>
      <c r="BY37" s="306"/>
      <c r="CL37" s="306"/>
    </row>
    <row r="38" spans="9:90" x14ac:dyDescent="0.25">
      <c r="N38" s="306"/>
      <c r="P38" s="324" t="str">
        <f>HLOOKUP($P$8,$Q$8:$U$47,31,0)</f>
        <v>TC INOX</v>
      </c>
      <c r="Q38" s="306" t="s">
        <v>718</v>
      </c>
      <c r="R38" s="360" t="s">
        <v>743</v>
      </c>
      <c r="S38" s="360" t="s">
        <v>771</v>
      </c>
      <c r="T38" s="135" t="s">
        <v>833</v>
      </c>
      <c r="U38" t="s">
        <v>718</v>
      </c>
      <c r="Y38" s="306" t="s">
        <v>300</v>
      </c>
      <c r="Z38" s="306">
        <v>40</v>
      </c>
      <c r="AA38" s="306">
        <f>Z38-15</f>
        <v>25</v>
      </c>
      <c r="AG38" s="316" t="s">
        <v>7</v>
      </c>
      <c r="AH38" s="316" t="s">
        <v>8</v>
      </c>
      <c r="AI38" s="316"/>
      <c r="AJ38" s="361">
        <v>0</v>
      </c>
      <c r="AN38" s="306" t="s">
        <v>123</v>
      </c>
      <c r="AX38" s="306"/>
      <c r="BL38" s="306"/>
      <c r="BY38" s="306"/>
      <c r="CL38" s="306"/>
    </row>
    <row r="39" spans="9:90" x14ac:dyDescent="0.25">
      <c r="P39" s="324" t="str">
        <f>HLOOKUP($P$8,$Q$8:$U$47,32,0)</f>
        <v xml:space="preserve">  Dimensione tubolare struttura verificato con calcolo</v>
      </c>
      <c r="Q39" s="306" t="s">
        <v>313</v>
      </c>
      <c r="R39" s="306" t="s">
        <v>786</v>
      </c>
      <c r="S39" s="306" t="s">
        <v>772</v>
      </c>
      <c r="T39" t="s">
        <v>834</v>
      </c>
      <c r="U39" t="s">
        <v>835</v>
      </c>
      <c r="Y39" s="306" t="s">
        <v>316</v>
      </c>
      <c r="Z39" s="306">
        <v>40</v>
      </c>
      <c r="AA39" s="306">
        <v>25</v>
      </c>
      <c r="AG39" s="316" t="s">
        <v>9</v>
      </c>
      <c r="AH39" s="316" t="s">
        <v>127</v>
      </c>
      <c r="AI39" s="316"/>
      <c r="AJ39" s="361">
        <v>0</v>
      </c>
      <c r="AN39" s="306" t="s">
        <v>125</v>
      </c>
      <c r="AX39" s="306"/>
      <c r="BL39" s="306"/>
      <c r="BY39" s="306"/>
      <c r="CL39" s="306"/>
    </row>
    <row r="40" spans="9:90" x14ac:dyDescent="0.25">
      <c r="J40" s="362" t="s">
        <v>1</v>
      </c>
      <c r="K40" s="363"/>
      <c r="L40" s="343" t="str">
        <f t="shared" ref="L40:L50" si="1">P41</f>
        <v>Descrizione</v>
      </c>
      <c r="M40" s="344"/>
      <c r="N40" s="365" t="s">
        <v>3</v>
      </c>
      <c r="P40" s="324" t="str">
        <f>HLOOKUP($P$8,$Q$8:$U$47,33,0)</f>
        <v>Forzare H cono - C (cfr angolo)</v>
      </c>
      <c r="Q40" s="306" t="s">
        <v>784</v>
      </c>
      <c r="R40" s="484" t="s">
        <v>787</v>
      </c>
      <c r="S40" s="484" t="s">
        <v>788</v>
      </c>
      <c r="T40" s="306" t="s">
        <v>785</v>
      </c>
      <c r="U40" s="306" t="s">
        <v>785</v>
      </c>
      <c r="Y40" s="306" t="s">
        <v>303</v>
      </c>
      <c r="AG40" s="316" t="s">
        <v>10</v>
      </c>
      <c r="AH40" s="358" t="s">
        <v>126</v>
      </c>
      <c r="AI40" s="316"/>
      <c r="AJ40" s="361">
        <v>0</v>
      </c>
      <c r="AN40" s="306" t="s">
        <v>97</v>
      </c>
      <c r="AX40" s="306"/>
      <c r="BL40" s="306"/>
      <c r="BY40" s="306"/>
      <c r="CL40" s="306"/>
    </row>
    <row r="41" spans="9:90" x14ac:dyDescent="0.25">
      <c r="J41" s="366" t="s">
        <v>4</v>
      </c>
      <c r="K41" s="367"/>
      <c r="L41" s="343" t="str">
        <f t="shared" si="1"/>
        <v>Lato lungo</v>
      </c>
      <c r="M41" s="358"/>
      <c r="N41" s="368">
        <f>C15</f>
        <v>0</v>
      </c>
      <c r="P41" s="324" t="str">
        <f>HLOOKUP($P$8,$Q$8:$U$47,34,0)</f>
        <v>Descrizione</v>
      </c>
      <c r="Q41" s="306" t="s">
        <v>2</v>
      </c>
      <c r="R41" s="306" t="s">
        <v>616</v>
      </c>
      <c r="S41" s="306" t="s">
        <v>616</v>
      </c>
      <c r="T41" s="306" t="s">
        <v>836</v>
      </c>
      <c r="U41" t="s">
        <v>837</v>
      </c>
      <c r="Y41" s="306" t="s">
        <v>304</v>
      </c>
      <c r="AG41" s="316" t="s">
        <v>11</v>
      </c>
      <c r="AH41" s="358" t="s">
        <v>96</v>
      </c>
      <c r="AI41" s="316"/>
      <c r="AJ41" s="361">
        <v>0</v>
      </c>
      <c r="AX41" s="306"/>
      <c r="BL41" s="306"/>
      <c r="BY41" s="306"/>
      <c r="CL41" s="306"/>
    </row>
    <row r="42" spans="9:90" x14ac:dyDescent="0.25">
      <c r="J42" s="362"/>
      <c r="K42" s="363"/>
      <c r="L42" s="343" t="str">
        <f t="shared" si="1"/>
        <v>Lato corto</v>
      </c>
      <c r="N42" s="368">
        <f>E15</f>
        <v>0</v>
      </c>
      <c r="P42" s="324" t="str">
        <f>HLOOKUP($P$8,$Q$8:$U$47,35,0)</f>
        <v>Lato lungo</v>
      </c>
      <c r="Q42" s="306" t="s">
        <v>5</v>
      </c>
      <c r="R42" s="313" t="s">
        <v>515</v>
      </c>
      <c r="S42" s="313" t="s">
        <v>516</v>
      </c>
      <c r="T42" s="306" t="s">
        <v>613</v>
      </c>
      <c r="U42" t="s">
        <v>838</v>
      </c>
      <c r="AG42" s="369" t="s">
        <v>12</v>
      </c>
      <c r="AH42" s="306" t="s">
        <v>13</v>
      </c>
      <c r="AJ42" s="370"/>
      <c r="AN42" s="306" t="s">
        <v>54</v>
      </c>
      <c r="AX42" s="306"/>
      <c r="BL42" s="306"/>
      <c r="BY42" s="306"/>
      <c r="CL42" s="306"/>
    </row>
    <row r="43" spans="9:90" x14ac:dyDescent="0.25">
      <c r="J43" s="366" t="s">
        <v>7</v>
      </c>
      <c r="K43" s="367"/>
      <c r="L43" s="343" t="str">
        <f t="shared" si="1"/>
        <v>Altezza corpo</v>
      </c>
      <c r="M43" s="316"/>
      <c r="N43" s="368">
        <f>H72+H66</f>
        <v>-725</v>
      </c>
      <c r="P43" s="324" t="str">
        <f>HLOOKUP($P$8,$Q$8:$U$47,36,0)</f>
        <v>Lato corto</v>
      </c>
      <c r="Q43" s="306" t="s">
        <v>6</v>
      </c>
      <c r="R43" s="313" t="s">
        <v>511</v>
      </c>
      <c r="S43" s="313" t="s">
        <v>512</v>
      </c>
      <c r="T43" s="306" t="s">
        <v>610</v>
      </c>
      <c r="U43" t="s">
        <v>839</v>
      </c>
      <c r="AG43" s="369"/>
      <c r="AH43" s="306" t="s">
        <v>94</v>
      </c>
      <c r="AJ43" s="371">
        <v>0</v>
      </c>
      <c r="AN43" s="306" t="s">
        <v>51</v>
      </c>
      <c r="AX43" s="306"/>
      <c r="BL43" s="306"/>
      <c r="BY43" s="306"/>
      <c r="CL43" s="306"/>
    </row>
    <row r="44" spans="9:90" x14ac:dyDescent="0.25">
      <c r="J44" s="366" t="s">
        <v>9</v>
      </c>
      <c r="K44" s="367"/>
      <c r="L44" s="343" t="str">
        <f t="shared" si="1"/>
        <v>Altezza cono trevira rilassato</v>
      </c>
      <c r="M44" s="316"/>
      <c r="N44" s="372">
        <f>H71</f>
        <v>0</v>
      </c>
      <c r="P44" s="324" t="str">
        <f>HLOOKUP($P$8,$Q$8:$U$47,37,0)</f>
        <v>Altezza corpo</v>
      </c>
      <c r="Q44" s="306" t="s">
        <v>8</v>
      </c>
      <c r="R44" s="306" t="s">
        <v>518</v>
      </c>
      <c r="S44" s="306" t="s">
        <v>608</v>
      </c>
      <c r="T44" s="306" t="s">
        <v>606</v>
      </c>
      <c r="U44" t="s">
        <v>840</v>
      </c>
      <c r="AG44" s="316" t="s">
        <v>14</v>
      </c>
      <c r="AH44" s="316" t="s">
        <v>15</v>
      </c>
      <c r="AI44" s="316"/>
      <c r="AJ44" s="361">
        <v>0</v>
      </c>
      <c r="AN44" s="306" t="s">
        <v>55</v>
      </c>
      <c r="AX44" s="306"/>
      <c r="BL44" s="306"/>
      <c r="BY44" s="306"/>
      <c r="CL44" s="306"/>
    </row>
    <row r="45" spans="9:90" x14ac:dyDescent="0.25">
      <c r="J45" s="366" t="s">
        <v>10</v>
      </c>
      <c r="K45" s="367"/>
      <c r="L45" s="343" t="str">
        <f t="shared" si="1"/>
        <v>Ht cono trevira a terra a silo vuoto</v>
      </c>
      <c r="M45" s="316"/>
      <c r="N45" s="372">
        <f>IF($E$14="ASP",H67+H69+E16,H67+H68+E16)</f>
        <v>725</v>
      </c>
      <c r="P45" s="324" t="str">
        <f>HLOOKUP($P$8,$Q$8:$U$47,38,0)</f>
        <v>Altezza cono trevira rilassato</v>
      </c>
      <c r="Q45" s="306" t="s">
        <v>604</v>
      </c>
      <c r="R45" s="306" t="s">
        <v>522</v>
      </c>
      <c r="S45" s="306" t="s">
        <v>603</v>
      </c>
      <c r="T45" s="306" t="s">
        <v>601</v>
      </c>
      <c r="U45" t="s">
        <v>841</v>
      </c>
      <c r="AG45" s="316" t="s">
        <v>16</v>
      </c>
      <c r="AH45" s="316" t="s">
        <v>17</v>
      </c>
      <c r="AI45" s="316"/>
      <c r="AJ45" s="361">
        <v>0</v>
      </c>
      <c r="AN45" s="306" t="s">
        <v>59</v>
      </c>
      <c r="AX45" s="306"/>
      <c r="BL45" s="306"/>
      <c r="BY45" s="306"/>
      <c r="CL45" s="306"/>
    </row>
    <row r="46" spans="9:90" x14ac:dyDescent="0.25">
      <c r="J46" s="366" t="s">
        <v>11</v>
      </c>
      <c r="K46" s="367"/>
      <c r="L46" s="343" t="str">
        <f t="shared" si="1"/>
        <v>Ht per sfiato silo</v>
      </c>
      <c r="M46" s="373"/>
      <c r="N46" s="374">
        <f>IF($E$18="S",250,150)</f>
        <v>250</v>
      </c>
      <c r="P46" s="324" t="str">
        <f>HLOOKUP($P$8,$Q$8:$U$47,39,0)</f>
        <v>Ht cono trevira a terra a silo vuoto</v>
      </c>
      <c r="Q46" s="306" t="s">
        <v>600</v>
      </c>
      <c r="R46" s="385" t="s">
        <v>598</v>
      </c>
      <c r="S46" s="385" t="s">
        <v>599</v>
      </c>
      <c r="T46" s="306" t="s">
        <v>596</v>
      </c>
      <c r="U46" t="s">
        <v>842</v>
      </c>
      <c r="AG46" s="316"/>
      <c r="AH46" s="316"/>
      <c r="AI46" s="316"/>
      <c r="AJ46" s="361"/>
      <c r="AN46" s="306" t="s">
        <v>62</v>
      </c>
      <c r="AX46" s="306"/>
      <c r="BL46" s="306"/>
      <c r="BY46" s="306"/>
      <c r="CL46" s="306"/>
    </row>
    <row r="47" spans="9:90" x14ac:dyDescent="0.25">
      <c r="J47" s="375" t="s">
        <v>12</v>
      </c>
      <c r="K47" s="376"/>
      <c r="L47" s="479" t="str">
        <f t="shared" si="1"/>
        <v>Ingombro totale silo altezza</v>
      </c>
      <c r="M47" s="378"/>
      <c r="N47" s="374"/>
      <c r="P47" s="324" t="str">
        <f>HLOOKUP($P$8,$Q$8:$U$47,40,0)</f>
        <v>Ht per sfiato silo</v>
      </c>
      <c r="Q47" s="306" t="s">
        <v>96</v>
      </c>
      <c r="R47" s="313" t="s">
        <v>593</v>
      </c>
      <c r="S47" s="313" t="s">
        <v>594</v>
      </c>
      <c r="T47" s="306" t="s">
        <v>591</v>
      </c>
      <c r="U47" t="s">
        <v>843</v>
      </c>
      <c r="AG47" s="316"/>
      <c r="AH47" s="306">
        <v>0</v>
      </c>
      <c r="AJ47" s="361"/>
      <c r="AN47" s="306" t="s">
        <v>65</v>
      </c>
      <c r="AX47" s="306"/>
      <c r="BL47" s="306"/>
      <c r="BY47" s="306"/>
      <c r="CL47" s="306"/>
    </row>
    <row r="48" spans="9:90" x14ac:dyDescent="0.25">
      <c r="J48" s="375" t="s">
        <v>301</v>
      </c>
      <c r="K48" s="376"/>
      <c r="L48" s="480" t="str">
        <f t="shared" si="1"/>
        <v>incluso spazio per sfiato silo</v>
      </c>
      <c r="M48" s="358"/>
      <c r="N48" s="380">
        <f>SUM(N43:N47)</f>
        <v>250</v>
      </c>
      <c r="P48" s="324" t="str">
        <f>HLOOKUP($P$8,$Q$8:$U$55,41,0)</f>
        <v>Ingombro totale silo altezza</v>
      </c>
      <c r="Q48" s="306" t="s">
        <v>13</v>
      </c>
      <c r="R48" s="313" t="s">
        <v>541</v>
      </c>
      <c r="S48" s="313" t="s">
        <v>542</v>
      </c>
      <c r="T48" s="306" t="s">
        <v>589</v>
      </c>
      <c r="U48" t="s">
        <v>844</v>
      </c>
      <c r="AG48" s="316" t="s">
        <v>18</v>
      </c>
      <c r="AH48" s="316" t="s">
        <v>19</v>
      </c>
      <c r="AI48" s="316"/>
      <c r="AJ48" s="381">
        <v>0</v>
      </c>
      <c r="AX48" s="306"/>
      <c r="BL48" s="306"/>
      <c r="BY48" s="306"/>
      <c r="CL48" s="306"/>
    </row>
    <row r="49" spans="2:90" x14ac:dyDescent="0.25">
      <c r="J49" s="366" t="s">
        <v>14</v>
      </c>
      <c r="K49" s="367"/>
      <c r="L49" s="343" t="str">
        <f t="shared" si="1"/>
        <v>Lunghezza tubo di carico</v>
      </c>
      <c r="M49" s="316"/>
      <c r="N49" s="380">
        <f>IF(N41=0,0,C14-(I34*2+105)-1500)</f>
        <v>0</v>
      </c>
      <c r="P49" s="324" t="str">
        <f>HLOOKUP($P$8,$Q$8:$U$55,42,0)</f>
        <v>incluso spazio per sfiato silo</v>
      </c>
      <c r="Q49" s="306" t="s">
        <v>94</v>
      </c>
      <c r="R49" s="313" t="s">
        <v>587</v>
      </c>
      <c r="S49" s="313" t="s">
        <v>588</v>
      </c>
      <c r="T49" s="306" t="s">
        <v>585</v>
      </c>
      <c r="U49" t="s">
        <v>845</v>
      </c>
      <c r="AC49" s="314"/>
      <c r="AG49" s="316"/>
      <c r="AH49" s="306">
        <v>0</v>
      </c>
      <c r="AJ49" s="316"/>
      <c r="AX49" s="306"/>
      <c r="BL49" s="306"/>
      <c r="BY49" s="306"/>
      <c r="CL49" s="306"/>
    </row>
    <row r="50" spans="2:90" x14ac:dyDescent="0.25">
      <c r="J50" s="366" t="s">
        <v>16</v>
      </c>
      <c r="K50" s="367"/>
      <c r="L50" s="364" t="str">
        <f t="shared" si="1"/>
        <v>Diametro cono</v>
      </c>
      <c r="M50" s="316"/>
      <c r="N50" s="372">
        <f>IF(N41=0,0,J124)</f>
        <v>0</v>
      </c>
      <c r="P50" s="324" t="str">
        <f>HLOOKUP($P$8,$Q$8:$U$55,43,0)</f>
        <v>Lunghezza tubo di carico</v>
      </c>
      <c r="Q50" s="306" t="s">
        <v>15</v>
      </c>
      <c r="R50" s="313" t="s">
        <v>583</v>
      </c>
      <c r="S50" s="313" t="s">
        <v>584</v>
      </c>
      <c r="T50" s="306" t="s">
        <v>581</v>
      </c>
      <c r="U50" t="s">
        <v>846</v>
      </c>
      <c r="AG50" s="316"/>
      <c r="AH50" s="316" t="s">
        <v>20</v>
      </c>
      <c r="AI50" s="365"/>
      <c r="AJ50" s="382">
        <v>0</v>
      </c>
      <c r="AX50" s="306"/>
      <c r="BL50" s="306"/>
      <c r="BY50" s="306"/>
      <c r="CL50" s="306"/>
    </row>
    <row r="51" spans="2:90" x14ac:dyDescent="0.25">
      <c r="N51" s="306"/>
      <c r="P51" s="324" t="str">
        <f>HLOOKUP($P$8,$Q$8:$U$55,44,0)</f>
        <v>Diametro cono</v>
      </c>
      <c r="Q51" s="149" t="s">
        <v>17</v>
      </c>
      <c r="R51" s="306" t="s">
        <v>578</v>
      </c>
      <c r="S51" s="306" t="s">
        <v>579</v>
      </c>
      <c r="T51" s="306" t="s">
        <v>576</v>
      </c>
      <c r="U51" t="s">
        <v>847</v>
      </c>
      <c r="AG51" s="316"/>
      <c r="AH51" s="316" t="s">
        <v>21</v>
      </c>
      <c r="AI51" s="316"/>
      <c r="AJ51" s="383">
        <v>0</v>
      </c>
      <c r="AX51" s="306"/>
      <c r="BL51" s="306"/>
      <c r="BY51" s="306"/>
      <c r="CL51" s="306"/>
    </row>
    <row r="52" spans="2:90" x14ac:dyDescent="0.25">
      <c r="N52" s="306"/>
      <c r="P52" s="324"/>
      <c r="R52" s="324"/>
      <c r="S52" s="324"/>
      <c r="AG52" s="316"/>
      <c r="AH52" s="306" t="s">
        <v>22</v>
      </c>
      <c r="AI52" s="384"/>
      <c r="AJ52" s="383">
        <v>0</v>
      </c>
      <c r="AX52" s="306"/>
      <c r="BL52" s="306"/>
      <c r="BY52" s="306"/>
      <c r="CL52" s="306"/>
    </row>
    <row r="53" spans="2:90" x14ac:dyDescent="0.25">
      <c r="N53" s="306"/>
      <c r="P53" s="385"/>
      <c r="U53" s="360"/>
      <c r="V53" s="360"/>
      <c r="W53" s="360"/>
      <c r="AG53" s="316"/>
      <c r="AH53" s="344"/>
      <c r="AI53" s="344"/>
      <c r="AJ53" s="357"/>
      <c r="AX53" s="306"/>
      <c r="BL53" s="306"/>
      <c r="BY53" s="306"/>
      <c r="CL53" s="306"/>
    </row>
    <row r="54" spans="2:90" x14ac:dyDescent="0.25">
      <c r="N54" s="306"/>
      <c r="AG54" s="316"/>
      <c r="AH54" s="358"/>
      <c r="AI54" s="358"/>
      <c r="AJ54" s="357"/>
      <c r="AX54" s="306"/>
      <c r="BL54" s="306"/>
      <c r="BY54" s="306"/>
      <c r="CL54" s="306"/>
    </row>
    <row r="55" spans="2:90" x14ac:dyDescent="0.25">
      <c r="AX55" s="306"/>
      <c r="BL55" s="306"/>
      <c r="BY55" s="306"/>
      <c r="CL55" s="306"/>
    </row>
    <row r="56" spans="2:90" x14ac:dyDescent="0.25">
      <c r="AX56" s="306"/>
      <c r="BL56" s="306"/>
      <c r="BY56" s="306"/>
      <c r="CL56" s="306"/>
    </row>
    <row r="57" spans="2:90" x14ac:dyDescent="0.25">
      <c r="AX57" s="306"/>
      <c r="BL57" s="306"/>
      <c r="BY57" s="306"/>
      <c r="CL57" s="306"/>
    </row>
    <row r="58" spans="2:90" x14ac:dyDescent="0.25">
      <c r="J58" s="386"/>
      <c r="K58" s="384"/>
      <c r="L58" s="387" t="s">
        <v>329</v>
      </c>
      <c r="M58" s="345"/>
      <c r="N58" s="357" t="str">
        <f>L83</f>
        <v/>
      </c>
      <c r="AX58" s="306"/>
      <c r="BL58" s="306"/>
      <c r="BY58" s="306"/>
      <c r="CL58" s="306"/>
    </row>
    <row r="59" spans="2:90" x14ac:dyDescent="0.25">
      <c r="J59" s="388"/>
      <c r="K59" s="389"/>
      <c r="L59" s="390" t="s">
        <v>103</v>
      </c>
      <c r="M59" s="344"/>
      <c r="N59" s="391" t="e">
        <f>IF(D63=0,0,H71-L92)</f>
        <v>#DIV/0!</v>
      </c>
      <c r="AX59" s="306"/>
      <c r="BL59" s="306"/>
      <c r="BY59" s="306"/>
      <c r="CL59" s="306"/>
    </row>
    <row r="60" spans="2:90" x14ac:dyDescent="0.25">
      <c r="J60" s="392" t="str">
        <f>"b"</f>
        <v>b</v>
      </c>
      <c r="K60" s="358"/>
      <c r="L60" s="393" t="s">
        <v>278</v>
      </c>
      <c r="M60" s="345"/>
      <c r="N60" s="394">
        <f>C163</f>
        <v>0</v>
      </c>
      <c r="O60" s="360" t="str">
        <f>IF(N60&gt;=45,"","ALLARME: imporre altezza cono per avere beta &gt; 45°")</f>
        <v>ALLARME: imporre altezza cono per avere beta &gt; 45°</v>
      </c>
      <c r="AX60" s="306"/>
      <c r="BL60" s="306"/>
      <c r="BY60" s="306"/>
      <c r="CL60" s="306"/>
    </row>
    <row r="61" spans="2:90" x14ac:dyDescent="0.25">
      <c r="L61" s="393" t="s">
        <v>279</v>
      </c>
      <c r="M61" s="345"/>
      <c r="N61" s="394">
        <f>C164</f>
        <v>0</v>
      </c>
      <c r="AX61" s="306"/>
      <c r="BL61" s="306"/>
      <c r="BY61" s="306"/>
      <c r="CL61" s="306"/>
    </row>
    <row r="62" spans="2:90" ht="15.75" thickBot="1" x14ac:dyDescent="0.3">
      <c r="AX62" s="306"/>
      <c r="BL62" s="306"/>
      <c r="BY62" s="306"/>
      <c r="CL62" s="306"/>
    </row>
    <row r="63" spans="2:90" ht="15.75" thickBot="1" x14ac:dyDescent="0.3">
      <c r="B63" s="395" t="str">
        <f t="shared" ref="B63:B69" si="2">IF($D$12=0,Y63,IF($D$12="F",AM63,IF($D$12="e",BA63,IF($D$12="a",BN63,IF($D$12="p",CA63)))))</f>
        <v>ESTRAZIONE</v>
      </c>
      <c r="C63" s="396"/>
      <c r="D63" s="397" t="str">
        <f>E14</f>
        <v>VS</v>
      </c>
      <c r="E63" s="398"/>
      <c r="J63" s="313"/>
      <c r="K63" s="313"/>
      <c r="L63" s="313"/>
      <c r="M63" s="313"/>
      <c r="N63" s="313"/>
      <c r="Q63" s="344" t="s">
        <v>2</v>
      </c>
      <c r="R63" s="306" t="s">
        <v>616</v>
      </c>
      <c r="S63" s="306" t="s">
        <v>616</v>
      </c>
      <c r="Y63" s="306" t="s">
        <v>23</v>
      </c>
      <c r="AA63" s="399"/>
      <c r="AX63" s="306"/>
      <c r="BL63" s="306"/>
      <c r="BY63" s="306"/>
      <c r="CL63" s="306"/>
    </row>
    <row r="64" spans="2:90" x14ac:dyDescent="0.25">
      <c r="B64" s="364" t="str">
        <f t="shared" si="2"/>
        <v>DATI</v>
      </c>
      <c r="C64" s="342"/>
      <c r="D64" s="400"/>
      <c r="E64" s="342"/>
      <c r="F64" s="335" t="str">
        <f>IF($D$12=0,AC64,IF($D$12="F",AQ64,IF($D$12="e",BE64)))</f>
        <v>Piedi</v>
      </c>
      <c r="G64" s="400" t="str">
        <f>IF($D$12=0,AD64,IF($D$12="F",AR64,IF($D$12="e",BF64)))</f>
        <v>Inches</v>
      </c>
      <c r="H64" s="401" t="s">
        <v>305</v>
      </c>
      <c r="I64" s="307" t="s">
        <v>312</v>
      </c>
      <c r="J64" s="313"/>
      <c r="K64" s="313"/>
      <c r="L64" s="313"/>
      <c r="M64" s="313"/>
      <c r="N64" s="313"/>
      <c r="Q64" s="358" t="s">
        <v>5</v>
      </c>
      <c r="R64" s="306" t="s">
        <v>515</v>
      </c>
      <c r="S64" s="306" t="s">
        <v>773</v>
      </c>
      <c r="X64" s="306">
        <f>IF($D$12=0,AL64,IF($D$12="F",AZ64,IF($D$12="e",BN64,IF($D$12="a",CA64,IF($D$12="p",CN64)))))</f>
        <v>0</v>
      </c>
      <c r="Y64" s="402" t="s">
        <v>27</v>
      </c>
      <c r="Z64" s="342"/>
      <c r="AA64" s="400"/>
      <c r="AB64" s="342"/>
      <c r="AC64" s="335" t="s">
        <v>73</v>
      </c>
      <c r="AD64" s="400" t="s">
        <v>29</v>
      </c>
      <c r="AE64" s="335" t="s">
        <v>74</v>
      </c>
      <c r="AF64" s="401" t="s">
        <v>28</v>
      </c>
      <c r="AG64" s="342"/>
      <c r="AH64" s="335" t="s">
        <v>84</v>
      </c>
      <c r="AI64" s="335"/>
      <c r="AJ64" s="335"/>
      <c r="AK64" s="335"/>
      <c r="AX64" s="306"/>
      <c r="BL64" s="306"/>
      <c r="BY64" s="306"/>
      <c r="CL64" s="306"/>
    </row>
    <row r="65" spans="2:90" x14ac:dyDescent="0.25">
      <c r="B65" s="364" t="str">
        <f t="shared" si="2"/>
        <v>Ingombro totale silo in altezza</v>
      </c>
      <c r="C65" s="344"/>
      <c r="D65" s="403"/>
      <c r="E65" s="404" t="s">
        <v>129</v>
      </c>
      <c r="F65" s="405">
        <v>0</v>
      </c>
      <c r="G65" s="406">
        <v>0</v>
      </c>
      <c r="H65" s="407">
        <f>C14</f>
        <v>0</v>
      </c>
      <c r="I65" s="407"/>
      <c r="J65" s="313"/>
      <c r="K65" s="313"/>
      <c r="L65" s="313"/>
      <c r="M65" s="313"/>
      <c r="N65" s="313"/>
      <c r="Q65" s="314" t="s">
        <v>6</v>
      </c>
      <c r="R65" s="306" t="s">
        <v>511</v>
      </c>
      <c r="S65" s="306" t="s">
        <v>774</v>
      </c>
      <c r="Y65" s="317" t="s">
        <v>31</v>
      </c>
      <c r="Z65" s="344"/>
      <c r="AA65" s="403"/>
      <c r="AB65" s="404" t="s">
        <v>75</v>
      </c>
      <c r="AC65" s="405">
        <v>0</v>
      </c>
      <c r="AD65" s="408">
        <v>0</v>
      </c>
      <c r="AE65" s="316">
        <v>0</v>
      </c>
      <c r="AF65" s="409"/>
      <c r="AH65" s="306">
        <v>0</v>
      </c>
      <c r="AI65" s="410"/>
      <c r="AJ65" s="306"/>
      <c r="AX65" s="306"/>
      <c r="BL65" s="306"/>
      <c r="BY65" s="306"/>
      <c r="CL65" s="306"/>
    </row>
    <row r="66" spans="2:90" x14ac:dyDescent="0.25">
      <c r="B66" s="364" t="str">
        <f t="shared" si="2"/>
        <v>Ht corpo non utilizzabile (carico)</v>
      </c>
      <c r="C66" s="344"/>
      <c r="D66" s="403"/>
      <c r="E66" s="404" t="s">
        <v>129</v>
      </c>
      <c r="F66" s="405">
        <v>0</v>
      </c>
      <c r="G66" s="406">
        <v>0</v>
      </c>
      <c r="H66" s="307">
        <f>IF(M14="CENTRALE",200,100)</f>
        <v>100</v>
      </c>
      <c r="I66" s="362"/>
      <c r="J66" s="313"/>
      <c r="K66" s="313"/>
      <c r="L66" s="313"/>
      <c r="M66" s="313"/>
      <c r="N66" s="313"/>
      <c r="Q66" s="316" t="s">
        <v>8</v>
      </c>
      <c r="R66" s="306" t="s">
        <v>746</v>
      </c>
      <c r="S66" s="306" t="s">
        <v>775</v>
      </c>
      <c r="Y66" s="317" t="s">
        <v>95</v>
      </c>
      <c r="Z66" s="344"/>
      <c r="AA66" s="403"/>
      <c r="AB66" s="404" t="s">
        <v>75</v>
      </c>
      <c r="AC66" s="405">
        <v>0</v>
      </c>
      <c r="AD66" s="408">
        <v>0</v>
      </c>
      <c r="AE66" s="316">
        <v>0</v>
      </c>
      <c r="AF66" s="316">
        <v>0</v>
      </c>
      <c r="AH66" s="306">
        <v>0</v>
      </c>
      <c r="AI66" s="410">
        <v>0</v>
      </c>
      <c r="AJ66" s="306">
        <v>0</v>
      </c>
      <c r="AK66" s="306">
        <v>0</v>
      </c>
      <c r="AX66" s="306"/>
      <c r="BL66" s="306"/>
      <c r="BY66" s="306"/>
      <c r="CL66" s="306"/>
    </row>
    <row r="67" spans="2:90" x14ac:dyDescent="0.25">
      <c r="B67" s="364" t="str">
        <f t="shared" si="2"/>
        <v>Ht cono vibrante</v>
      </c>
      <c r="C67" s="344"/>
      <c r="D67" s="403"/>
      <c r="E67" s="404" t="s">
        <v>129</v>
      </c>
      <c r="F67" s="405">
        <v>0</v>
      </c>
      <c r="G67" s="406">
        <v>0</v>
      </c>
      <c r="H67" s="307">
        <f>IF(D63=0,0,D121)</f>
        <v>435</v>
      </c>
      <c r="I67" s="307"/>
      <c r="J67" s="313"/>
      <c r="K67" s="313"/>
      <c r="L67" s="313"/>
      <c r="M67" s="313"/>
      <c r="N67" s="313"/>
      <c r="Q67" s="316" t="s">
        <v>127</v>
      </c>
      <c r="R67" s="306" t="s">
        <v>744</v>
      </c>
      <c r="S67" s="306" t="s">
        <v>776</v>
      </c>
      <c r="Y67" s="317" t="s">
        <v>32</v>
      </c>
      <c r="Z67" s="344"/>
      <c r="AA67" s="403"/>
      <c r="AB67" s="404" t="s">
        <v>75</v>
      </c>
      <c r="AC67" s="405">
        <v>0</v>
      </c>
      <c r="AD67" s="408">
        <v>0</v>
      </c>
      <c r="AE67" s="316">
        <v>0</v>
      </c>
      <c r="AF67" s="316">
        <v>0</v>
      </c>
      <c r="AH67" s="306">
        <v>0</v>
      </c>
      <c r="AI67" s="410">
        <v>0</v>
      </c>
      <c r="AJ67" s="306">
        <v>0</v>
      </c>
      <c r="AK67" s="306">
        <v>0</v>
      </c>
      <c r="AX67" s="306"/>
      <c r="BL67" s="306"/>
      <c r="BY67" s="306"/>
      <c r="CL67" s="306"/>
    </row>
    <row r="68" spans="2:90" x14ac:dyDescent="0.25">
      <c r="B68" s="364" t="str">
        <f t="shared" si="2"/>
        <v>Ht valvola stellare</v>
      </c>
      <c r="C68" s="344"/>
      <c r="D68" s="403"/>
      <c r="E68" s="404" t="s">
        <v>129</v>
      </c>
      <c r="F68" s="405">
        <v>0</v>
      </c>
      <c r="G68" s="406">
        <v>0</v>
      </c>
      <c r="H68" s="307">
        <f>IF(D63=0,0,IF(LEFT(D63,2)="VS",IF(D136=0,"ALLARME",D136),0))</f>
        <v>290</v>
      </c>
      <c r="I68" s="307"/>
      <c r="J68" s="313"/>
      <c r="K68" s="313"/>
      <c r="L68" s="313"/>
      <c r="M68" s="313"/>
      <c r="N68" s="313"/>
      <c r="Q68" s="358" t="s">
        <v>126</v>
      </c>
      <c r="R68" s="306" t="s">
        <v>745</v>
      </c>
      <c r="S68" s="306" t="s">
        <v>777</v>
      </c>
      <c r="Y68" s="317" t="s">
        <v>33</v>
      </c>
      <c r="Z68" s="344"/>
      <c r="AA68" s="403"/>
      <c r="AB68" s="404" t="s">
        <v>75</v>
      </c>
      <c r="AC68" s="405">
        <v>0</v>
      </c>
      <c r="AD68" s="408">
        <v>0</v>
      </c>
      <c r="AE68" s="316">
        <v>0</v>
      </c>
      <c r="AF68" s="316">
        <v>0</v>
      </c>
      <c r="AI68" s="410"/>
      <c r="AJ68" s="306"/>
      <c r="AX68" s="306"/>
      <c r="BL68" s="306"/>
      <c r="BY68" s="306"/>
      <c r="CL68" s="306"/>
    </row>
    <row r="69" spans="2:90" ht="12.75" customHeight="1" x14ac:dyDescent="0.25">
      <c r="B69" s="364" t="str">
        <f t="shared" si="2"/>
        <v xml:space="preserve">Luce da cono vib a terra </v>
      </c>
      <c r="C69" s="344"/>
      <c r="D69" s="403"/>
      <c r="E69" s="404" t="s">
        <v>129</v>
      </c>
      <c r="F69" s="405">
        <v>0</v>
      </c>
      <c r="G69" s="406">
        <v>0</v>
      </c>
      <c r="H69" s="307">
        <f>IF(D63=0,0,IF(E16=0,B107,B107))</f>
        <v>120</v>
      </c>
      <c r="I69" s="307"/>
      <c r="J69" s="313"/>
      <c r="K69" s="313"/>
      <c r="L69" s="313"/>
      <c r="M69" s="313"/>
      <c r="N69" s="313"/>
      <c r="Q69" s="358" t="s">
        <v>96</v>
      </c>
      <c r="R69" s="306" t="s">
        <v>747</v>
      </c>
      <c r="S69" s="306" t="s">
        <v>778</v>
      </c>
      <c r="Y69" s="317" t="s">
        <v>34</v>
      </c>
      <c r="Z69" s="344"/>
      <c r="AA69" s="403"/>
      <c r="AB69" s="404" t="s">
        <v>75</v>
      </c>
      <c r="AC69" s="405">
        <v>0</v>
      </c>
      <c r="AD69" s="408">
        <v>0</v>
      </c>
      <c r="AE69" s="316">
        <v>0</v>
      </c>
      <c r="AF69" s="316">
        <v>0</v>
      </c>
      <c r="AI69" s="410"/>
      <c r="AJ69" s="306"/>
      <c r="AX69" s="306"/>
      <c r="BL69" s="306"/>
      <c r="BY69" s="306"/>
      <c r="CL69" s="306"/>
    </row>
    <row r="70" spans="2:90" x14ac:dyDescent="0.25">
      <c r="B70" s="364" t="s">
        <v>120</v>
      </c>
      <c r="C70" s="344"/>
      <c r="D70" s="403"/>
      <c r="E70" s="404" t="s">
        <v>129</v>
      </c>
      <c r="F70" s="405"/>
      <c r="G70" s="406"/>
      <c r="H70" s="307">
        <f>E16</f>
        <v>0</v>
      </c>
      <c r="I70" s="307"/>
      <c r="J70" s="313"/>
      <c r="K70" s="313"/>
      <c r="L70" s="313"/>
      <c r="M70" s="313"/>
      <c r="N70" s="313"/>
      <c r="Q70" s="306" t="s">
        <v>13</v>
      </c>
      <c r="R70" s="306" t="s">
        <v>748</v>
      </c>
      <c r="S70" s="306" t="s">
        <v>779</v>
      </c>
      <c r="Y70" s="364" t="s">
        <v>99</v>
      </c>
      <c r="Z70" s="344"/>
      <c r="AA70" s="403"/>
      <c r="AB70" s="404"/>
      <c r="AC70" s="405"/>
      <c r="AD70" s="408"/>
      <c r="AE70" s="316"/>
      <c r="AI70" s="410"/>
      <c r="AJ70" s="306"/>
      <c r="AX70" s="306"/>
      <c r="BL70" s="306"/>
      <c r="BY70" s="306"/>
      <c r="CL70" s="306"/>
    </row>
    <row r="71" spans="2:90" ht="15.75" thickBot="1" x14ac:dyDescent="0.3">
      <c r="B71" s="364" t="str">
        <f t="shared" ref="B71:B82" si="3">IF($D$12=0,Y71,IF($D$12="F",AM71,IF($D$12="e",BA71,IF($D$12="a",BN71,IF($D$12="p",CA71)))))</f>
        <v xml:space="preserve">Ht cono Trevira </v>
      </c>
      <c r="C71" s="344"/>
      <c r="D71" s="344"/>
      <c r="E71" s="404" t="s">
        <v>129</v>
      </c>
      <c r="F71" s="405">
        <v>0</v>
      </c>
      <c r="G71" s="406">
        <v>0</v>
      </c>
      <c r="H71" s="307">
        <f>IF(H73=0,0,IF(H73&lt;B110,D110,IF(H73&gt;4101,"allarme",IF(E17&gt;0,E17,D109))))</f>
        <v>0</v>
      </c>
      <c r="I71" s="307"/>
      <c r="J71" s="313"/>
      <c r="K71" s="313"/>
      <c r="L71" s="313"/>
      <c r="M71" s="313"/>
      <c r="N71" s="313"/>
      <c r="Q71" s="306" t="s">
        <v>94</v>
      </c>
      <c r="R71" s="306" t="s">
        <v>749</v>
      </c>
      <c r="S71" s="306" t="s">
        <v>780</v>
      </c>
      <c r="Y71" s="317" t="s">
        <v>100</v>
      </c>
      <c r="Z71" s="344"/>
      <c r="AA71" s="344"/>
      <c r="AB71" s="404" t="s">
        <v>75</v>
      </c>
      <c r="AC71" s="405">
        <v>0</v>
      </c>
      <c r="AD71" s="408">
        <v>0</v>
      </c>
      <c r="AE71" s="316">
        <v>0</v>
      </c>
      <c r="AF71" s="413">
        <v>0</v>
      </c>
      <c r="AH71" s="306">
        <v>0</v>
      </c>
      <c r="AI71" s="410" t="s">
        <v>314</v>
      </c>
      <c r="AJ71" s="306" t="s">
        <v>315</v>
      </c>
      <c r="AK71" s="306">
        <v>0</v>
      </c>
      <c r="AX71" s="306"/>
      <c r="BL71" s="306"/>
      <c r="BY71" s="306"/>
      <c r="CL71" s="306"/>
    </row>
    <row r="72" spans="2:90" ht="11.25" customHeight="1" thickBot="1" x14ac:dyDescent="0.3">
      <c r="B72" s="414" t="str">
        <f t="shared" si="3"/>
        <v>Ht corpo Trevira</v>
      </c>
      <c r="C72" s="378"/>
      <c r="D72" s="415"/>
      <c r="E72" s="416" t="s">
        <v>129</v>
      </c>
      <c r="F72" s="405">
        <v>0</v>
      </c>
      <c r="G72" s="406">
        <v>0</v>
      </c>
      <c r="H72" s="307">
        <f>IF(D63=0,0,IF(D63="ASP",H65-SUM(H66:H71),H65-H66-H67-H68-H70-H71))</f>
        <v>-825</v>
      </c>
      <c r="I72" s="362"/>
      <c r="J72" s="313"/>
      <c r="K72" s="313"/>
      <c r="L72" s="313"/>
      <c r="M72" s="313"/>
      <c r="N72" s="313"/>
      <c r="Q72" s="316" t="s">
        <v>15</v>
      </c>
      <c r="R72" s="306" t="s">
        <v>750</v>
      </c>
      <c r="S72" s="306" t="s">
        <v>781</v>
      </c>
      <c r="Y72" s="317" t="s">
        <v>35</v>
      </c>
      <c r="Z72" s="344"/>
      <c r="AA72" s="403"/>
      <c r="AB72" s="404" t="s">
        <v>75</v>
      </c>
      <c r="AC72" s="405">
        <v>0</v>
      </c>
      <c r="AD72" s="408">
        <v>0</v>
      </c>
      <c r="AE72" s="316">
        <v>0</v>
      </c>
      <c r="AF72" s="417">
        <v>0</v>
      </c>
      <c r="AH72" s="306">
        <v>0</v>
      </c>
      <c r="AI72" s="410">
        <v>0</v>
      </c>
      <c r="AJ72" s="306">
        <v>70</v>
      </c>
      <c r="AK72" s="306">
        <v>0</v>
      </c>
      <c r="AX72" s="306"/>
      <c r="BL72" s="306"/>
      <c r="BY72" s="306"/>
      <c r="CL72" s="306"/>
    </row>
    <row r="73" spans="2:90" x14ac:dyDescent="0.25">
      <c r="B73" s="377" t="str">
        <f t="shared" si="3"/>
        <v>Lato lungo</v>
      </c>
      <c r="C73" s="378"/>
      <c r="D73" s="415"/>
      <c r="E73" s="416" t="s">
        <v>129</v>
      </c>
      <c r="F73" s="418">
        <v>0</v>
      </c>
      <c r="G73" s="406">
        <v>0</v>
      </c>
      <c r="H73" s="419">
        <f>IF(C15=0,0.001,C15-(I34*2))</f>
        <v>1E-3</v>
      </c>
      <c r="I73" s="419">
        <f>C15</f>
        <v>0</v>
      </c>
      <c r="J73" s="313"/>
      <c r="K73" s="313"/>
      <c r="L73" s="313"/>
      <c r="M73" s="313"/>
      <c r="N73" s="313"/>
      <c r="Q73" s="316" t="s">
        <v>17</v>
      </c>
      <c r="R73" s="306" t="s">
        <v>751</v>
      </c>
      <c r="S73" s="306" t="s">
        <v>782</v>
      </c>
      <c r="Y73" s="317" t="s">
        <v>5</v>
      </c>
      <c r="Z73" s="344"/>
      <c r="AA73" s="403"/>
      <c r="AB73" s="404" t="s">
        <v>75</v>
      </c>
      <c r="AC73" s="405">
        <v>0</v>
      </c>
      <c r="AD73" s="408">
        <v>0</v>
      </c>
      <c r="AE73" s="316">
        <v>0</v>
      </c>
      <c r="AF73" s="409"/>
      <c r="AH73" s="306">
        <v>0</v>
      </c>
      <c r="AI73" s="410">
        <v>10</v>
      </c>
      <c r="AJ73" s="306">
        <v>100</v>
      </c>
      <c r="AK73" s="306">
        <v>0</v>
      </c>
      <c r="AX73" s="306"/>
      <c r="BL73" s="306"/>
      <c r="BY73" s="306"/>
      <c r="CL73" s="306"/>
    </row>
    <row r="74" spans="2:90" x14ac:dyDescent="0.25">
      <c r="B74" s="393" t="str">
        <f t="shared" si="3"/>
        <v>Lato corto</v>
      </c>
      <c r="C74" s="344"/>
      <c r="D74" s="403"/>
      <c r="E74" s="404" t="s">
        <v>129</v>
      </c>
      <c r="F74" s="418">
        <v>0</v>
      </c>
      <c r="G74" s="406">
        <v>0</v>
      </c>
      <c r="H74" s="419">
        <f>IF(E15=0,0.001,E15-(I34*2))</f>
        <v>1E-3</v>
      </c>
      <c r="I74" s="419">
        <f>E15</f>
        <v>0</v>
      </c>
      <c r="J74" s="313"/>
      <c r="K74" s="313"/>
      <c r="L74" s="313"/>
      <c r="M74" s="313"/>
      <c r="N74" s="313"/>
      <c r="Q74" s="387" t="s">
        <v>329</v>
      </c>
      <c r="Y74" s="317" t="s">
        <v>6</v>
      </c>
      <c r="Z74" s="344"/>
      <c r="AA74" s="403"/>
      <c r="AB74" s="404" t="s">
        <v>75</v>
      </c>
      <c r="AC74" s="405">
        <v>0</v>
      </c>
      <c r="AD74" s="408">
        <v>0</v>
      </c>
      <c r="AE74" s="316">
        <v>0</v>
      </c>
      <c r="AF74" s="409"/>
      <c r="AH74" s="306">
        <v>0</v>
      </c>
      <c r="AI74" s="410">
        <v>30</v>
      </c>
      <c r="AJ74" s="306">
        <v>120</v>
      </c>
      <c r="AK74" s="306">
        <v>0</v>
      </c>
      <c r="AX74" s="306"/>
      <c r="BL74" s="306"/>
      <c r="BY74" s="306"/>
      <c r="CL74" s="306"/>
    </row>
    <row r="75" spans="2:90" x14ac:dyDescent="0.25">
      <c r="B75" s="379" t="str">
        <f t="shared" si="3"/>
        <v xml:space="preserve">AREA BASE </v>
      </c>
      <c r="C75" s="358"/>
      <c r="D75" s="420">
        <v>0</v>
      </c>
      <c r="E75" s="421" t="s">
        <v>76</v>
      </c>
      <c r="H75" s="412">
        <f>H73*H74/1000000</f>
        <v>9.9999999999999998E-13</v>
      </c>
      <c r="I75" s="412">
        <f>I73*I74/1000000</f>
        <v>0</v>
      </c>
      <c r="J75" s="313"/>
      <c r="K75" s="313"/>
      <c r="L75" s="313"/>
      <c r="M75" s="313"/>
      <c r="N75" s="313"/>
      <c r="Q75" s="390" t="s">
        <v>103</v>
      </c>
      <c r="Y75" s="317" t="s">
        <v>36</v>
      </c>
      <c r="Z75" s="344"/>
      <c r="AA75" s="403">
        <v>0</v>
      </c>
      <c r="AB75" s="404" t="s">
        <v>76</v>
      </c>
      <c r="AF75" s="382">
        <v>0</v>
      </c>
      <c r="AH75" s="402">
        <v>0</v>
      </c>
      <c r="AI75" s="314">
        <v>55</v>
      </c>
      <c r="AJ75" s="410">
        <v>150</v>
      </c>
      <c r="AX75" s="306"/>
      <c r="BL75" s="306"/>
      <c r="BY75" s="306"/>
      <c r="CL75" s="306"/>
    </row>
    <row r="76" spans="2:90" x14ac:dyDescent="0.25">
      <c r="B76" s="364" t="str">
        <f t="shared" si="3"/>
        <v>VOLUME CORPO TREVIRA</v>
      </c>
      <c r="C76" s="344"/>
      <c r="D76" s="403"/>
      <c r="E76" s="423" t="s">
        <v>77</v>
      </c>
      <c r="H76" s="412">
        <f>H72*H75/1000</f>
        <v>-8.2499999999999992E-13</v>
      </c>
      <c r="I76" s="412"/>
      <c r="J76" s="313"/>
      <c r="K76" s="313"/>
      <c r="L76" s="313"/>
      <c r="M76" s="313"/>
      <c r="N76" s="313"/>
      <c r="Q76" s="393" t="s">
        <v>278</v>
      </c>
      <c r="Y76" s="317" t="s">
        <v>39</v>
      </c>
      <c r="Z76" s="344"/>
      <c r="AA76" s="403"/>
      <c r="AB76" s="423" t="s">
        <v>77</v>
      </c>
      <c r="AF76" s="382">
        <v>0</v>
      </c>
      <c r="AH76" s="402">
        <v>0</v>
      </c>
      <c r="AI76" s="314">
        <v>0</v>
      </c>
      <c r="AJ76" s="402"/>
      <c r="AX76" s="306"/>
      <c r="BL76" s="306"/>
      <c r="BY76" s="306"/>
      <c r="CL76" s="306"/>
    </row>
    <row r="77" spans="2:90" x14ac:dyDescent="0.25">
      <c r="B77" s="364" t="str">
        <f t="shared" si="3"/>
        <v>AREA INFER CONO TREVIRA</v>
      </c>
      <c r="C77" s="344"/>
      <c r="D77" s="403"/>
      <c r="E77" s="404" t="s">
        <v>76</v>
      </c>
      <c r="H77" s="307">
        <f>IF(H73=0,0,IF(C15&lt;J121,0.81,1.44))</f>
        <v>0.81</v>
      </c>
      <c r="I77" s="307"/>
      <c r="J77" s="313"/>
      <c r="K77" s="313"/>
      <c r="L77" s="313"/>
      <c r="M77" s="313"/>
      <c r="N77" s="313"/>
      <c r="Q77" s="393" t="s">
        <v>279</v>
      </c>
      <c r="Y77" s="317" t="s">
        <v>78</v>
      </c>
      <c r="Z77" s="344"/>
      <c r="AA77" s="403"/>
      <c r="AB77" s="404" t="s">
        <v>76</v>
      </c>
      <c r="AF77" s="316">
        <v>0</v>
      </c>
      <c r="AH77" s="306">
        <v>0</v>
      </c>
      <c r="AI77" s="314">
        <v>0</v>
      </c>
      <c r="AJ77" s="402"/>
      <c r="AX77" s="306"/>
      <c r="BL77" s="306"/>
      <c r="BY77" s="306"/>
      <c r="CL77" s="306"/>
    </row>
    <row r="78" spans="2:90" x14ac:dyDescent="0.25">
      <c r="B78" s="414" t="str">
        <f t="shared" si="3"/>
        <v>VOLUME CONO TREVIRA</v>
      </c>
      <c r="C78" s="424"/>
      <c r="D78" s="415"/>
      <c r="E78" s="425" t="s">
        <v>77</v>
      </c>
      <c r="F78" s="402"/>
      <c r="G78" s="402"/>
      <c r="H78" s="412">
        <f>H71/3/1000*(H75+H77+SQRT(H75*H77))</f>
        <v>0</v>
      </c>
      <c r="I78" s="412"/>
      <c r="J78" s="313"/>
      <c r="K78" s="313"/>
      <c r="L78" s="313"/>
      <c r="M78" s="313"/>
      <c r="N78" s="313"/>
      <c r="Y78" s="317" t="s">
        <v>42</v>
      </c>
      <c r="Z78" s="426"/>
      <c r="AA78" s="403"/>
      <c r="AB78" s="423" t="s">
        <v>77</v>
      </c>
      <c r="AC78" s="402"/>
      <c r="AD78" s="402"/>
      <c r="AE78" s="402"/>
      <c r="AF78" s="382">
        <v>0</v>
      </c>
      <c r="AH78" s="402">
        <v>0</v>
      </c>
      <c r="AI78" s="314">
        <v>0</v>
      </c>
      <c r="AJ78" s="402"/>
      <c r="AX78" s="306"/>
      <c r="BL78" s="306"/>
      <c r="BY78" s="306"/>
      <c r="CL78" s="306"/>
    </row>
    <row r="79" spans="2:90" x14ac:dyDescent="0.25">
      <c r="B79" s="393">
        <f t="shared" si="3"/>
        <v>0</v>
      </c>
      <c r="C79" s="344"/>
      <c r="D79" s="426"/>
      <c r="E79" s="404" t="s">
        <v>311</v>
      </c>
      <c r="F79" s="427"/>
      <c r="G79" s="427"/>
      <c r="H79" s="412">
        <f>H66*H75/1000</f>
        <v>1E-13</v>
      </c>
      <c r="I79" s="412">
        <f>H80-H79</f>
        <v>-9.25E-13</v>
      </c>
      <c r="J79" s="313"/>
      <c r="K79" s="313"/>
      <c r="L79" s="313"/>
      <c r="M79" s="313"/>
      <c r="N79" s="313"/>
      <c r="O79" s="342"/>
      <c r="Q79" s="313" t="s">
        <v>719</v>
      </c>
      <c r="R79" s="342"/>
      <c r="S79" s="342"/>
      <c r="T79" s="342"/>
      <c r="U79" s="342"/>
      <c r="V79" s="342"/>
      <c r="W79" s="342"/>
      <c r="Y79" s="306">
        <v>0</v>
      </c>
      <c r="AA79" s="428"/>
      <c r="AB79" s="420"/>
      <c r="AC79" s="427"/>
      <c r="AD79" s="427"/>
      <c r="AE79" s="427"/>
      <c r="AF79" s="429"/>
      <c r="AH79" s="402"/>
      <c r="AI79" s="314"/>
      <c r="AJ79" s="402"/>
      <c r="AX79" s="306"/>
      <c r="BL79" s="306"/>
      <c r="BY79" s="306"/>
      <c r="CL79" s="306"/>
    </row>
    <row r="80" spans="2:90" x14ac:dyDescent="0.25">
      <c r="B80" s="379" t="str">
        <f t="shared" si="3"/>
        <v>VOLUME TOTALE</v>
      </c>
      <c r="C80" s="428"/>
      <c r="D80" s="358"/>
      <c r="E80" s="430" t="s">
        <v>77</v>
      </c>
      <c r="F80" s="431"/>
      <c r="G80" s="431"/>
      <c r="H80" s="412">
        <f>IF(D63=0,0,IF(D121="ALLARME","ALLARME",IF(H68="allarme","allarme",H76+H78)))</f>
        <v>-8.2499999999999992E-13</v>
      </c>
      <c r="I80" s="412">
        <f>C14*C15*E15/1000000000</f>
        <v>0</v>
      </c>
      <c r="J80" s="313"/>
      <c r="K80" s="313"/>
      <c r="L80" s="313"/>
      <c r="M80" s="313"/>
      <c r="N80" s="313"/>
      <c r="O80" s="422"/>
      <c r="P80" s="432"/>
      <c r="Q80" s="422"/>
      <c r="R80" s="422"/>
      <c r="S80" s="422"/>
      <c r="T80" s="422"/>
      <c r="U80" s="422"/>
      <c r="V80" s="422"/>
      <c r="W80" s="422"/>
      <c r="Y80" s="317" t="s">
        <v>45</v>
      </c>
      <c r="Z80" s="426"/>
      <c r="AA80" s="358"/>
      <c r="AB80" s="423" t="s">
        <v>77</v>
      </c>
      <c r="AC80" s="431"/>
      <c r="AD80" s="431"/>
      <c r="AE80" s="431"/>
      <c r="AF80" s="382">
        <v>0</v>
      </c>
      <c r="AH80" s="402">
        <v>0</v>
      </c>
      <c r="AI80" s="314">
        <v>0</v>
      </c>
      <c r="AJ80" s="410"/>
      <c r="AX80" s="306"/>
      <c r="BL80" s="306"/>
      <c r="BY80" s="306"/>
      <c r="CL80" s="306"/>
    </row>
    <row r="81" spans="2:90" x14ac:dyDescent="0.25">
      <c r="B81" s="364" t="str">
        <f t="shared" si="3"/>
        <v xml:space="preserve">Farina Kg/M³ </v>
      </c>
      <c r="C81" s="433"/>
      <c r="D81" s="434">
        <v>600</v>
      </c>
      <c r="E81" s="435" t="s">
        <v>79</v>
      </c>
      <c r="F81" s="433"/>
      <c r="G81" s="433"/>
      <c r="H81" s="436">
        <f>ROUND(H80*D81,-2)</f>
        <v>0</v>
      </c>
      <c r="I81" s="314"/>
      <c r="J81" s="314"/>
      <c r="K81" s="314"/>
      <c r="L81" s="314"/>
      <c r="M81" s="314"/>
      <c r="Y81" s="388" t="s">
        <v>91</v>
      </c>
      <c r="Z81" s="433"/>
      <c r="AA81" s="358">
        <v>600</v>
      </c>
      <c r="AB81" s="435" t="s">
        <v>79</v>
      </c>
      <c r="AC81" s="433"/>
      <c r="AD81" s="433"/>
      <c r="AE81" s="433"/>
      <c r="AF81" s="437">
        <v>0</v>
      </c>
      <c r="AH81" s="410"/>
      <c r="AI81" s="410"/>
      <c r="AJ81" s="402"/>
      <c r="AX81" s="306"/>
      <c r="BL81" s="306"/>
      <c r="BY81" s="306"/>
      <c r="CL81" s="306"/>
    </row>
    <row r="82" spans="2:90" x14ac:dyDescent="0.25">
      <c r="B82" s="364" t="str">
        <f t="shared" si="3"/>
        <v xml:space="preserve">Semola Kg/M³ </v>
      </c>
      <c r="C82" s="438"/>
      <c r="D82" s="439">
        <v>720</v>
      </c>
      <c r="E82" s="440" t="s">
        <v>79</v>
      </c>
      <c r="F82" s="410"/>
      <c r="G82" s="410"/>
      <c r="H82" s="411">
        <f>ROUND(H80*D82,-2)</f>
        <v>0</v>
      </c>
      <c r="I82" s="314"/>
      <c r="J82" s="314"/>
      <c r="K82" s="314"/>
      <c r="M82" s="314"/>
      <c r="Y82" s="386" t="s">
        <v>90</v>
      </c>
      <c r="Z82" s="441"/>
      <c r="AA82" s="378">
        <v>720</v>
      </c>
      <c r="AB82" s="442" t="s">
        <v>79</v>
      </c>
      <c r="AC82" s="410"/>
      <c r="AD82" s="410"/>
      <c r="AE82" s="410"/>
      <c r="AF82" s="443">
        <v>0</v>
      </c>
      <c r="AG82" s="410">
        <v>0</v>
      </c>
      <c r="AH82" s="410"/>
      <c r="AI82" s="410"/>
      <c r="AJ82" s="402"/>
      <c r="AX82" s="306"/>
      <c r="BL82" s="306"/>
      <c r="BY82" s="306"/>
      <c r="CL82" s="306"/>
    </row>
    <row r="83" spans="2:90" x14ac:dyDescent="0.25">
      <c r="B83" s="364" t="str">
        <f>IF($D$12=0,Y84,IF($D$12="F",AM84,IF($D$12="e",BA84,IF($D$12="a",BN84,IF($D$12="p",CA84)))))</f>
        <v>Zucchero Kg/M³</v>
      </c>
      <c r="C83" s="438"/>
      <c r="D83" s="439">
        <v>950</v>
      </c>
      <c r="E83" s="440" t="s">
        <v>79</v>
      </c>
      <c r="F83" s="410"/>
      <c r="G83" s="410"/>
      <c r="H83" s="411">
        <f>ROUND(H80*D83,-2)</f>
        <v>0</v>
      </c>
      <c r="I83" s="314"/>
      <c r="J83" s="314"/>
      <c r="K83" s="314"/>
      <c r="L83" s="444" t="str">
        <f>IF(E15="","",(L87+L89+L92))</f>
        <v/>
      </c>
      <c r="M83" s="313" t="s">
        <v>333</v>
      </c>
      <c r="N83" s="306"/>
      <c r="Y83" s="306" t="s">
        <v>89</v>
      </c>
      <c r="Z83" s="410"/>
      <c r="AA83" s="306">
        <v>40</v>
      </c>
      <c r="AB83" s="335" t="s">
        <v>80</v>
      </c>
      <c r="AF83" s="410">
        <v>0</v>
      </c>
      <c r="AG83" s="410"/>
      <c r="AH83" s="410"/>
      <c r="AJ83" s="402"/>
      <c r="AX83" s="306"/>
      <c r="BL83" s="306"/>
      <c r="BY83" s="306"/>
      <c r="CL83" s="306"/>
    </row>
    <row r="84" spans="2:90" x14ac:dyDescent="0.25">
      <c r="B84" s="364" t="s">
        <v>317</v>
      </c>
      <c r="C84" s="438"/>
      <c r="D84" s="439">
        <f>M12</f>
        <v>0</v>
      </c>
      <c r="E84" s="440" t="s">
        <v>79</v>
      </c>
      <c r="F84" s="410"/>
      <c r="G84" s="410"/>
      <c r="H84" s="411">
        <f>ROUND(H80*D84,-2)</f>
        <v>0</v>
      </c>
      <c r="I84" s="410"/>
      <c r="J84" s="410"/>
      <c r="M84" s="314" t="s">
        <v>334</v>
      </c>
      <c r="N84" s="306"/>
      <c r="Y84" s="388" t="s">
        <v>88</v>
      </c>
      <c r="Z84" s="433"/>
      <c r="AA84" s="358">
        <v>950</v>
      </c>
      <c r="AB84" s="445" t="s">
        <v>79</v>
      </c>
      <c r="AC84" s="410"/>
      <c r="AD84" s="410"/>
      <c r="AE84" s="410"/>
      <c r="AF84" s="437">
        <v>0</v>
      </c>
      <c r="AG84" s="410">
        <v>0</v>
      </c>
      <c r="AH84" s="410"/>
      <c r="AI84" s="410"/>
      <c r="AJ84" s="402"/>
      <c r="AX84" s="306"/>
      <c r="BL84" s="306"/>
      <c r="BY84" s="306"/>
      <c r="CL84" s="306"/>
    </row>
    <row r="85" spans="2:90" x14ac:dyDescent="0.25">
      <c r="B85" s="410"/>
      <c r="C85" s="378"/>
      <c r="D85" s="378"/>
      <c r="E85" s="441"/>
      <c r="F85" s="378"/>
      <c r="G85" s="384"/>
      <c r="H85" s="441"/>
      <c r="I85" s="410"/>
      <c r="J85" s="410"/>
      <c r="K85" s="410"/>
      <c r="M85" s="314"/>
      <c r="N85" s="306"/>
      <c r="Y85" s="317" t="s">
        <v>87</v>
      </c>
      <c r="Z85" s="438"/>
      <c r="AA85" s="344">
        <v>52</v>
      </c>
      <c r="AB85" s="404" t="s">
        <v>80</v>
      </c>
      <c r="AF85" s="446">
        <v>0</v>
      </c>
      <c r="AG85" s="410"/>
      <c r="AH85" s="410"/>
      <c r="AI85" s="410">
        <v>0</v>
      </c>
      <c r="AJ85" s="402"/>
      <c r="AX85" s="306"/>
      <c r="BL85" s="306"/>
      <c r="BY85" s="306"/>
      <c r="CL85" s="306"/>
    </row>
    <row r="86" spans="2:90" x14ac:dyDescent="0.25">
      <c r="B86" s="410"/>
      <c r="C86" s="386"/>
      <c r="D86" s="378"/>
      <c r="E86" s="378"/>
      <c r="F86" s="384"/>
      <c r="G86" s="441"/>
      <c r="H86" s="441"/>
      <c r="I86" s="441"/>
      <c r="J86" s="447"/>
      <c r="L86" s="411">
        <f>(H73*2+H74*2)</f>
        <v>4.0000000000000001E-3</v>
      </c>
      <c r="M86" s="306" t="s">
        <v>320</v>
      </c>
      <c r="Z86" s="410"/>
      <c r="AB86" s="335"/>
      <c r="AF86" s="410"/>
      <c r="AG86" s="410"/>
      <c r="AH86" s="410"/>
      <c r="AI86" s="410"/>
      <c r="AJ86" s="402"/>
      <c r="AX86" s="306"/>
      <c r="BL86" s="306"/>
      <c r="BY86" s="306"/>
      <c r="CL86" s="306"/>
    </row>
    <row r="87" spans="2:90" x14ac:dyDescent="0.25">
      <c r="B87" s="410"/>
      <c r="C87" s="448">
        <v>2100</v>
      </c>
      <c r="D87" s="313" t="s">
        <v>324</v>
      </c>
      <c r="F87" s="449"/>
      <c r="G87" s="410"/>
      <c r="H87" s="410"/>
      <c r="I87" s="410"/>
      <c r="J87" s="450"/>
      <c r="L87" s="444" t="str">
        <f>IF(E15="","",ROUND(N19*9.81/C96*N43/L86*10/10,0)*10)</f>
        <v/>
      </c>
      <c r="M87" s="313" t="s">
        <v>321</v>
      </c>
      <c r="Z87" s="410"/>
      <c r="AB87" s="335"/>
      <c r="AF87" s="410"/>
      <c r="AG87" s="410"/>
      <c r="AH87" s="410"/>
      <c r="AI87" s="410"/>
      <c r="AJ87" s="402"/>
      <c r="AX87" s="306"/>
      <c r="BL87" s="306"/>
      <c r="BY87" s="306"/>
      <c r="CL87" s="306"/>
    </row>
    <row r="88" spans="2:90" x14ac:dyDescent="0.25">
      <c r="B88" s="410"/>
      <c r="C88" s="451">
        <v>23.5</v>
      </c>
      <c r="D88" s="306" t="s">
        <v>130</v>
      </c>
      <c r="F88" s="449"/>
      <c r="G88" s="410"/>
      <c r="H88" s="410"/>
      <c r="I88" s="410"/>
      <c r="J88" s="450"/>
      <c r="L88" s="402"/>
      <c r="Z88" s="410"/>
      <c r="AB88" s="335"/>
      <c r="AF88" s="410"/>
      <c r="AG88" s="410"/>
      <c r="AH88" s="410"/>
      <c r="AI88" s="410"/>
      <c r="AJ88" s="402"/>
      <c r="AX88" s="306"/>
      <c r="BL88" s="306"/>
      <c r="BY88" s="306"/>
      <c r="CL88" s="306"/>
    </row>
    <row r="89" spans="2:90" x14ac:dyDescent="0.25">
      <c r="B89" s="410"/>
      <c r="C89" s="452">
        <v>3</v>
      </c>
      <c r="D89" s="402" t="s">
        <v>132</v>
      </c>
      <c r="F89" s="449"/>
      <c r="G89" s="410"/>
      <c r="H89" s="410"/>
      <c r="I89" s="410"/>
      <c r="J89" s="450"/>
      <c r="L89" s="444">
        <f>ROUND((N19*9.81*C94/10/C96/C92)/2*10/10,0)*10</f>
        <v>0</v>
      </c>
      <c r="M89" s="313" t="s">
        <v>322</v>
      </c>
      <c r="Z89" s="410"/>
      <c r="AB89" s="335"/>
      <c r="AF89" s="410"/>
      <c r="AG89" s="410"/>
      <c r="AH89" s="410"/>
      <c r="AI89" s="410"/>
      <c r="AJ89" s="402"/>
      <c r="AX89" s="306"/>
      <c r="BL89" s="306"/>
      <c r="BY89" s="306"/>
      <c r="CL89" s="306"/>
    </row>
    <row r="90" spans="2:90" x14ac:dyDescent="0.25">
      <c r="B90" s="410"/>
      <c r="C90" s="411">
        <f>C87/C89</f>
        <v>700</v>
      </c>
      <c r="D90" s="313" t="s">
        <v>325</v>
      </c>
      <c r="F90" s="449"/>
      <c r="G90" s="410"/>
      <c r="H90" s="410"/>
      <c r="I90" s="410"/>
      <c r="J90" s="450"/>
      <c r="L90" s="402"/>
      <c r="Z90" s="410"/>
      <c r="AB90" s="335"/>
      <c r="AF90" s="410"/>
      <c r="AG90" s="410"/>
      <c r="AH90" s="410"/>
      <c r="AI90" s="410"/>
      <c r="AJ90" s="402"/>
      <c r="AX90" s="306"/>
      <c r="BL90" s="306"/>
      <c r="BY90" s="306"/>
      <c r="CL90" s="306"/>
    </row>
    <row r="91" spans="2:90" x14ac:dyDescent="0.25">
      <c r="B91" s="410"/>
      <c r="C91" s="448">
        <v>700</v>
      </c>
      <c r="D91" s="313" t="s">
        <v>326</v>
      </c>
      <c r="E91" s="402"/>
      <c r="F91" s="449"/>
      <c r="G91" s="410"/>
      <c r="H91" s="410"/>
      <c r="I91" s="410"/>
      <c r="J91" s="450"/>
      <c r="L91" s="411" t="str">
        <f>IF(E15="","",N44/10/SIN(RADIANS(N61))*10)</f>
        <v/>
      </c>
      <c r="M91" s="313" t="s">
        <v>323</v>
      </c>
      <c r="Z91" s="410"/>
      <c r="AB91" s="335"/>
      <c r="AF91" s="410"/>
      <c r="AG91" s="410"/>
      <c r="AH91" s="410"/>
      <c r="AI91" s="410"/>
      <c r="AJ91" s="402"/>
      <c r="AX91" s="306"/>
      <c r="BL91" s="306"/>
      <c r="BY91" s="306"/>
      <c r="CL91" s="306"/>
    </row>
    <row r="92" spans="2:90" x14ac:dyDescent="0.25">
      <c r="B92" s="410"/>
      <c r="C92" s="411">
        <f>((IF(AND((I34/100)&gt;=0.5,(I34/100)&lt;=1),(H73-500)/2,IF(AND((I34/100)&gt;=1.1,(I34/100)&lt;=1.5),(H73-650)/2,"Errore "))*4)+(IF(AND((I34/100)&gt;=0.5,(I34/100)&lt;=1),(H74-500)/2,IF(AND((I34/100)&gt;=1.1,(I34/100)&lt;=1.5),(H74-650)/2,"Errore "))*4))/10</f>
        <v>-199.99960000000002</v>
      </c>
      <c r="D92" s="313" t="s">
        <v>327</v>
      </c>
      <c r="F92" s="449"/>
      <c r="G92" s="410"/>
      <c r="H92" s="410"/>
      <c r="I92" s="410"/>
      <c r="J92" s="450"/>
      <c r="L92" s="444" t="e">
        <f>N19*9.81*SQRT(POWER((H74*10+N50*10)/2,2)+(N44*10)*(N44*10))/(PI()*(H74*10+N50*10)/2*C87/(C88/100)*SIN(ATAN(N44/((H74-N50)/2))))*10+(140/0.35*(1-(H74/H73)))</f>
        <v>#DIV/0!</v>
      </c>
      <c r="M92" s="313" t="s">
        <v>331</v>
      </c>
      <c r="Z92" s="410"/>
      <c r="AA92" s="306">
        <f>140/0.35*(1-(H74/H73))/10</f>
        <v>0</v>
      </c>
      <c r="AB92" s="335"/>
      <c r="AF92" s="410"/>
      <c r="AG92" s="410"/>
      <c r="AH92" s="410"/>
      <c r="AI92" s="410"/>
      <c r="AJ92" s="402"/>
      <c r="AX92" s="306"/>
      <c r="BL92" s="306"/>
      <c r="BY92" s="306"/>
      <c r="CL92" s="306"/>
    </row>
    <row r="93" spans="2:90" x14ac:dyDescent="0.25">
      <c r="B93" s="410"/>
      <c r="C93" s="411">
        <f>C92*C91</f>
        <v>-139999.72</v>
      </c>
      <c r="D93" s="313" t="s">
        <v>330</v>
      </c>
      <c r="F93" s="449"/>
      <c r="G93" s="410"/>
      <c r="H93" s="410"/>
      <c r="I93" s="410"/>
      <c r="J93" s="450"/>
      <c r="L93" s="402"/>
      <c r="M93" s="313" t="s">
        <v>318</v>
      </c>
      <c r="Z93" s="410"/>
      <c r="AB93" s="335"/>
      <c r="AF93" s="410"/>
      <c r="AG93" s="410"/>
      <c r="AH93" s="410"/>
      <c r="AI93" s="410"/>
      <c r="AJ93" s="402"/>
      <c r="AX93" s="306"/>
      <c r="BL93" s="306"/>
      <c r="BY93" s="306"/>
      <c r="CL93" s="306"/>
    </row>
    <row r="94" spans="2:90" x14ac:dyDescent="0.25">
      <c r="B94" s="410"/>
      <c r="C94" s="411">
        <f>ROUND((6*I34*1.1+40)/10,0)*10</f>
        <v>500</v>
      </c>
      <c r="D94" s="313" t="s">
        <v>328</v>
      </c>
      <c r="E94" s="402"/>
      <c r="F94" s="449"/>
      <c r="G94" s="410"/>
      <c r="H94" s="410"/>
      <c r="I94" s="410"/>
      <c r="J94" s="453" t="str">
        <f>IF(C93/10&lt;N19,"ERRORE PESO","")</f>
        <v>ERRORE PESO</v>
      </c>
      <c r="M94" s="410"/>
      <c r="N94" s="402"/>
      <c r="Z94" s="410"/>
      <c r="AB94" s="335"/>
      <c r="AF94" s="410"/>
      <c r="AG94" s="410"/>
      <c r="AH94" s="410"/>
      <c r="AI94" s="410"/>
      <c r="AJ94" s="402"/>
      <c r="AX94" s="306"/>
      <c r="BL94" s="306"/>
      <c r="BY94" s="306"/>
      <c r="CL94" s="306"/>
    </row>
    <row r="95" spans="2:90" x14ac:dyDescent="0.25">
      <c r="B95" s="410"/>
      <c r="C95" s="411">
        <f>C94*(1+C88/100*C91/C87)</f>
        <v>539.16666666666663</v>
      </c>
      <c r="D95" s="313" t="s">
        <v>131</v>
      </c>
      <c r="E95" s="402"/>
      <c r="F95" s="449"/>
      <c r="G95" s="410"/>
      <c r="H95" s="410"/>
      <c r="I95" s="410"/>
      <c r="J95" s="453"/>
      <c r="M95" s="410"/>
      <c r="N95" s="402"/>
      <c r="Z95" s="410"/>
      <c r="AB95" s="335"/>
      <c r="AF95" s="410"/>
      <c r="AG95" s="410"/>
      <c r="AH95" s="410"/>
      <c r="AI95" s="410"/>
      <c r="AJ95" s="402"/>
      <c r="AX95" s="306"/>
      <c r="BL95" s="306"/>
      <c r="BY95" s="306"/>
      <c r="CL95" s="306"/>
    </row>
    <row r="96" spans="2:90" x14ac:dyDescent="0.25">
      <c r="B96" s="410"/>
      <c r="C96" s="411">
        <f>C87/C88*100</f>
        <v>8936.1702127659573</v>
      </c>
      <c r="D96" s="454" t="s">
        <v>319</v>
      </c>
      <c r="E96" s="402"/>
      <c r="F96" s="449"/>
      <c r="G96" s="410"/>
      <c r="H96" s="410"/>
      <c r="I96" s="410"/>
      <c r="J96" s="450"/>
      <c r="M96" s="410"/>
      <c r="N96" s="402"/>
      <c r="Z96" s="410"/>
      <c r="AB96" s="335"/>
      <c r="AF96" s="410"/>
      <c r="AG96" s="410"/>
      <c r="AH96" s="410"/>
      <c r="AI96" s="410"/>
      <c r="AJ96" s="402"/>
      <c r="AX96" s="306"/>
      <c r="BL96" s="306"/>
      <c r="BY96" s="306"/>
      <c r="CL96" s="306"/>
    </row>
    <row r="97" spans="2:90" x14ac:dyDescent="0.25">
      <c r="B97" s="410"/>
      <c r="C97" s="388"/>
      <c r="D97" s="358"/>
      <c r="E97" s="358"/>
      <c r="F97" s="358"/>
      <c r="G97" s="358"/>
      <c r="H97" s="433"/>
      <c r="I97" s="433"/>
      <c r="J97" s="455"/>
      <c r="M97" s="410"/>
      <c r="N97" s="402"/>
      <c r="Z97" s="410"/>
      <c r="AB97" s="335"/>
      <c r="AF97" s="410"/>
      <c r="AG97" s="410"/>
      <c r="AH97" s="410"/>
      <c r="AI97" s="410"/>
      <c r="AJ97" s="402"/>
      <c r="AX97" s="306"/>
      <c r="BL97" s="306"/>
      <c r="BY97" s="306"/>
      <c r="CL97" s="306"/>
    </row>
    <row r="98" spans="2:90" x14ac:dyDescent="0.25">
      <c r="C98" s="410"/>
      <c r="I98" s="410"/>
      <c r="J98" s="410"/>
      <c r="K98" s="410"/>
      <c r="L98" s="410"/>
      <c r="M98" s="410"/>
      <c r="N98" s="402"/>
      <c r="Z98" s="410"/>
      <c r="AF98" s="410"/>
      <c r="AG98" s="410"/>
      <c r="AH98" s="410"/>
      <c r="AI98" s="410"/>
      <c r="AJ98" s="402"/>
      <c r="AX98" s="306"/>
      <c r="BL98" s="306"/>
      <c r="BY98" s="306"/>
      <c r="CL98" s="306"/>
    </row>
    <row r="99" spans="2:90" x14ac:dyDescent="0.25">
      <c r="C99" s="402"/>
      <c r="D99" s="427"/>
      <c r="E99" s="402"/>
      <c r="F99" s="402"/>
      <c r="G99" s="402"/>
      <c r="H99" s="402"/>
      <c r="I99" s="402"/>
      <c r="J99" s="402"/>
      <c r="K99" s="402"/>
      <c r="L99" s="402"/>
      <c r="M99" s="410"/>
      <c r="N99" s="402"/>
      <c r="Z99" s="402"/>
      <c r="AA99" s="427"/>
      <c r="AB99" s="402"/>
      <c r="AC99" s="402"/>
      <c r="AD99" s="402"/>
      <c r="AE99" s="402"/>
      <c r="AF99" s="402"/>
      <c r="AG99" s="402"/>
      <c r="AH99" s="402"/>
      <c r="AI99" s="410"/>
      <c r="AJ99" s="402"/>
      <c r="AX99" s="306"/>
      <c r="BL99" s="306"/>
      <c r="BY99" s="306"/>
      <c r="CL99" s="306"/>
    </row>
    <row r="100" spans="2:90" x14ac:dyDescent="0.25">
      <c r="D100" s="306" t="str">
        <f>IF($D$12=0,AA100,IF($D$12="F",AO100,IF($D$12="e",BC100,IF($D$12="a",BP100,IF($D$12="p",CC100)))))</f>
        <v>Estrazione</v>
      </c>
      <c r="L100" s="306" t="str">
        <f t="shared" ref="L100:L105" si="4">IF($D$12=0,AH100,IF($D$12="F",AV100,IF($D$12="e",BJ100,IF($D$12="a",BW100,IF($D$12="p",CJ100)))))</f>
        <v>Estrazione</v>
      </c>
      <c r="M100" s="410"/>
      <c r="N100" s="402"/>
      <c r="Y100" s="306" t="s">
        <v>49</v>
      </c>
      <c r="AA100" s="306" t="s">
        <v>50</v>
      </c>
      <c r="AF100" s="306" t="s">
        <v>49</v>
      </c>
      <c r="AH100" s="306" t="s">
        <v>50</v>
      </c>
      <c r="AI100" s="410"/>
      <c r="AJ100" s="402"/>
      <c r="AX100" s="306"/>
      <c r="BL100" s="306"/>
      <c r="BY100" s="306"/>
      <c r="CL100" s="306"/>
    </row>
    <row r="101" spans="2:90" x14ac:dyDescent="0.25">
      <c r="B101" s="306" t="str">
        <f>IF($D$12=0,Y101,IF($D$12="F",AM101,IF($D$12="e",BA101,IF($D$12="a",BN101,IF($D$12="p",CA101)))))</f>
        <v>ASP</v>
      </c>
      <c r="D101" s="306" t="str">
        <f>IF($D$12=0,AA101,IF($D$12="F",AO101,IF($D$12="e",BC101,IF($D$12="a",BP101,IF($D$12="p",CC101)))))</f>
        <v>Aspirazione</v>
      </c>
      <c r="I101" s="306" t="str">
        <f>IF($D$12=0,AF101,IF($D$12="F",AT101,IF($D$12="e",BH101,IF($D$12="a",BU101,IF($D$12="p",CH101)))))</f>
        <v>VS</v>
      </c>
      <c r="L101" s="306" t="str">
        <f t="shared" si="4"/>
        <v>Valvola stellare ALLUMINIO</v>
      </c>
      <c r="M101" s="410"/>
      <c r="N101" s="402"/>
      <c r="Y101" s="306" t="s">
        <v>41</v>
      </c>
      <c r="AA101" s="306" t="s">
        <v>53</v>
      </c>
      <c r="AF101" s="306" t="s">
        <v>54</v>
      </c>
      <c r="AH101" s="306" t="s">
        <v>72</v>
      </c>
      <c r="AI101" s="410"/>
      <c r="AJ101" s="402"/>
      <c r="AX101" s="306"/>
      <c r="BL101" s="306"/>
      <c r="BY101" s="306"/>
      <c r="CL101" s="306"/>
    </row>
    <row r="102" spans="2:90" x14ac:dyDescent="0.25">
      <c r="B102" s="306" t="s">
        <v>97</v>
      </c>
      <c r="D102" s="306" t="s">
        <v>102</v>
      </c>
      <c r="I102" s="306" t="str">
        <f>IF($D$12=0,AF102,IF($D$12="F",AT102,IF($D$12="e",BH102,IF($D$12="a",BU102,IF($D$12="p",CH102)))))</f>
        <v>VS180</v>
      </c>
      <c r="J102" s="402"/>
      <c r="K102" s="402"/>
      <c r="L102" s="306" t="str">
        <f t="shared" si="4"/>
        <v>Valvola stellare DSF 180</v>
      </c>
      <c r="M102" s="410"/>
      <c r="N102" s="402"/>
      <c r="Y102" s="306" t="s">
        <v>43</v>
      </c>
      <c r="AA102" s="306" t="s">
        <v>57</v>
      </c>
      <c r="AF102" s="306" t="s">
        <v>51</v>
      </c>
      <c r="AG102" s="402"/>
      <c r="AH102" s="306" t="s">
        <v>58</v>
      </c>
      <c r="AI102" s="410"/>
      <c r="AJ102" s="402"/>
      <c r="AX102" s="306"/>
      <c r="BL102" s="306"/>
      <c r="BY102" s="306"/>
      <c r="CL102" s="306"/>
    </row>
    <row r="103" spans="2:90" x14ac:dyDescent="0.25">
      <c r="I103" s="306" t="str">
        <f>IF($D$12=0,AF103,IF($D$12="F",AT103,IF($D$12="e",BH103,IF($D$12="a",BU103,IF($D$12="p",CH103)))))</f>
        <v>VS230</v>
      </c>
      <c r="J103" s="402"/>
      <c r="K103" s="402"/>
      <c r="L103" s="306" t="str">
        <f t="shared" si="4"/>
        <v>Valvola stellare DSF 230</v>
      </c>
      <c r="M103" s="410"/>
      <c r="N103" s="402"/>
      <c r="Y103" s="306" t="s">
        <v>44</v>
      </c>
      <c r="AA103" s="306" t="s">
        <v>60</v>
      </c>
      <c r="AF103" s="306" t="s">
        <v>55</v>
      </c>
      <c r="AG103" s="402"/>
      <c r="AH103" s="306" t="s">
        <v>61</v>
      </c>
      <c r="AI103" s="410"/>
      <c r="AJ103" s="402"/>
      <c r="AX103" s="306"/>
      <c r="BL103" s="306"/>
      <c r="BY103" s="306"/>
      <c r="CL103" s="306"/>
    </row>
    <row r="104" spans="2:90" x14ac:dyDescent="0.25">
      <c r="I104" s="306" t="str">
        <f>IF($D$12=0,AF104,IF($D$12="F",AT104,IF($D$12="e",BH104,IF($D$12="a",BU104,IF($D$12="p",CH104)))))</f>
        <v>VS270</v>
      </c>
      <c r="J104" s="402"/>
      <c r="K104" s="402"/>
      <c r="L104" s="306" t="str">
        <f t="shared" si="4"/>
        <v>Valvola stellare DSF 270</v>
      </c>
      <c r="M104" s="456"/>
      <c r="N104" s="402"/>
      <c r="Y104" s="306" t="s">
        <v>46</v>
      </c>
      <c r="AA104" s="306" t="s">
        <v>63</v>
      </c>
      <c r="AF104" s="306" t="s">
        <v>59</v>
      </c>
      <c r="AG104" s="402"/>
      <c r="AH104" s="306" t="s">
        <v>64</v>
      </c>
      <c r="AI104" s="456"/>
      <c r="AJ104" s="402"/>
      <c r="AX104" s="306"/>
      <c r="BL104" s="306"/>
      <c r="BY104" s="306"/>
      <c r="CL104" s="306"/>
    </row>
    <row r="105" spans="2:90" ht="15.75" thickBot="1" x14ac:dyDescent="0.3">
      <c r="B105" s="306">
        <f>IF($D$12=0,Y105,IF($D$12="F",AM105,IF($D$12="e",BA105,IF($D$12="a",BN105,IF($D$12="p",CA105)))))</f>
        <v>0</v>
      </c>
      <c r="C105" s="306">
        <f>IF($D$12=0,Z105,IF($D$12="F",AN105,IF($D$12="e",BB105,IF($D$12="a",BO105,IF($D$12="p",CB105)))))</f>
        <v>0</v>
      </c>
      <c r="D105" s="306">
        <f>IF($D$12=0,AA105,IF($D$12="F",AO105,IF($D$12="e",BC105,IF($D$12="a",BP105,IF($D$12="p",CC105)))))</f>
        <v>0</v>
      </c>
      <c r="I105" s="306" t="str">
        <f>IF($D$12=0,AF105,IF($D$12="F",AT105,IF($D$12="e",BH105,IF($D$12="a",BU105,IF($D$12="p",CH105)))))</f>
        <v>VS300</v>
      </c>
      <c r="J105" s="402"/>
      <c r="K105" s="402"/>
      <c r="L105" s="306" t="str">
        <f t="shared" si="4"/>
        <v>Valvola stellare DSF 300</v>
      </c>
      <c r="M105" s="410"/>
      <c r="N105" s="402"/>
      <c r="AF105" s="306" t="s">
        <v>62</v>
      </c>
      <c r="AG105" s="402"/>
      <c r="AH105" s="306" t="s">
        <v>66</v>
      </c>
      <c r="AI105" s="410"/>
      <c r="AJ105" s="402"/>
      <c r="AX105" s="306"/>
      <c r="BL105" s="306"/>
      <c r="BY105" s="306"/>
      <c r="CL105" s="306"/>
    </row>
    <row r="106" spans="2:90" ht="15.75" thickBot="1" x14ac:dyDescent="0.3">
      <c r="B106" s="457" t="s">
        <v>25</v>
      </c>
      <c r="D106" s="317" t="s">
        <v>101</v>
      </c>
      <c r="E106" s="345"/>
      <c r="AJ106" s="306"/>
      <c r="AX106" s="306"/>
      <c r="BL106" s="306"/>
      <c r="BY106" s="306"/>
      <c r="CL106" s="306"/>
    </row>
    <row r="107" spans="2:90" ht="15.75" thickBot="1" x14ac:dyDescent="0.3">
      <c r="B107" s="458">
        <v>120</v>
      </c>
      <c r="D107" s="459">
        <v>100</v>
      </c>
      <c r="E107" s="460"/>
      <c r="J107" s="402"/>
      <c r="K107" s="402"/>
      <c r="L107" s="342"/>
      <c r="M107" s="402"/>
      <c r="Y107" s="306" t="s">
        <v>24</v>
      </c>
      <c r="AA107" s="306">
        <v>100</v>
      </c>
      <c r="AB107" s="335" t="s">
        <v>25</v>
      </c>
      <c r="AJ107" s="402"/>
      <c r="AX107" s="306"/>
      <c r="BL107" s="306"/>
      <c r="BY107" s="306"/>
      <c r="CL107" s="306"/>
    </row>
    <row r="108" spans="2:90" x14ac:dyDescent="0.25">
      <c r="Y108" s="306" t="s">
        <v>26</v>
      </c>
      <c r="AA108" s="306">
        <v>0</v>
      </c>
      <c r="AB108" s="306">
        <v>50</v>
      </c>
      <c r="AJ108" s="402"/>
      <c r="AX108" s="306"/>
      <c r="BL108" s="306"/>
      <c r="BY108" s="306"/>
      <c r="CL108" s="306"/>
    </row>
    <row r="109" spans="2:90" x14ac:dyDescent="0.25">
      <c r="B109" s="306" t="s">
        <v>30</v>
      </c>
      <c r="D109" s="461">
        <f>SUM(D110:D118)</f>
        <v>0</v>
      </c>
      <c r="Y109" s="306" t="s">
        <v>30</v>
      </c>
      <c r="AJ109" s="402"/>
      <c r="AX109" s="306"/>
      <c r="BL109" s="306"/>
      <c r="BY109" s="306"/>
      <c r="CL109" s="306"/>
    </row>
    <row r="110" spans="2:90" x14ac:dyDescent="0.25">
      <c r="B110" s="342">
        <v>0</v>
      </c>
      <c r="C110" s="342">
        <v>1749</v>
      </c>
      <c r="D110" s="306">
        <f>IF(C15=0,0,IF(C15&lt;B110,E110,0))</f>
        <v>0</v>
      </c>
      <c r="E110" s="306">
        <v>500</v>
      </c>
      <c r="Y110" s="342">
        <v>1749</v>
      </c>
      <c r="Z110" s="342"/>
      <c r="AA110" s="306">
        <v>0</v>
      </c>
      <c r="AB110" s="306">
        <v>400</v>
      </c>
      <c r="AJ110" s="402"/>
      <c r="AX110" s="306"/>
      <c r="BL110" s="306"/>
      <c r="BY110" s="306"/>
      <c r="CL110" s="306"/>
    </row>
    <row r="111" spans="2:90" x14ac:dyDescent="0.25">
      <c r="B111" s="342">
        <v>1748</v>
      </c>
      <c r="C111" s="342">
        <v>2349</v>
      </c>
      <c r="D111" s="306">
        <f t="shared" ref="D111:D118" si="5">IF($C$15=0,0,IF(AND(B111&lt;$C$15,$C$15&lt;C111),E111,0))</f>
        <v>0</v>
      </c>
      <c r="E111" s="306">
        <v>800</v>
      </c>
      <c r="Y111" s="342">
        <v>1748</v>
      </c>
      <c r="Z111" s="342">
        <v>2349</v>
      </c>
      <c r="AA111" s="306">
        <v>0</v>
      </c>
      <c r="AB111" s="306">
        <v>700</v>
      </c>
      <c r="AJ111" s="402"/>
      <c r="AX111" s="306"/>
      <c r="BL111" s="306"/>
      <c r="BY111" s="306"/>
      <c r="CL111" s="306"/>
    </row>
    <row r="112" spans="2:90" x14ac:dyDescent="0.25">
      <c r="B112" s="342">
        <v>2348</v>
      </c>
      <c r="C112" s="342">
        <v>2599</v>
      </c>
      <c r="D112" s="306">
        <f t="shared" si="5"/>
        <v>0</v>
      </c>
      <c r="E112" s="306">
        <v>1000</v>
      </c>
      <c r="Y112" s="342">
        <v>2348</v>
      </c>
      <c r="Z112" s="342">
        <v>2599</v>
      </c>
      <c r="AA112" s="306">
        <v>0</v>
      </c>
      <c r="AB112" s="306">
        <v>900</v>
      </c>
      <c r="AX112" s="306"/>
      <c r="BL112" s="306"/>
      <c r="BY112" s="306"/>
      <c r="CL112" s="306"/>
    </row>
    <row r="113" spans="2:90" x14ac:dyDescent="0.25">
      <c r="B113" s="342">
        <v>2598</v>
      </c>
      <c r="C113" s="342">
        <v>3049</v>
      </c>
      <c r="D113" s="306">
        <f t="shared" si="5"/>
        <v>0</v>
      </c>
      <c r="E113" s="306">
        <v>1100</v>
      </c>
      <c r="Y113" s="342">
        <v>2598</v>
      </c>
      <c r="Z113" s="342">
        <v>3049</v>
      </c>
      <c r="AA113" s="306">
        <v>0</v>
      </c>
      <c r="AB113" s="306">
        <v>1000</v>
      </c>
      <c r="AX113" s="306"/>
      <c r="BL113" s="306"/>
      <c r="BY113" s="306"/>
      <c r="CL113" s="306"/>
    </row>
    <row r="114" spans="2:90" x14ac:dyDescent="0.25">
      <c r="B114" s="342">
        <v>3048</v>
      </c>
      <c r="C114" s="342">
        <v>3149</v>
      </c>
      <c r="D114" s="306">
        <f t="shared" si="5"/>
        <v>0</v>
      </c>
      <c r="E114" s="306">
        <v>1200</v>
      </c>
      <c r="Y114" s="342">
        <v>3048</v>
      </c>
      <c r="Z114" s="342">
        <v>3149</v>
      </c>
      <c r="AA114" s="306">
        <v>0</v>
      </c>
      <c r="AB114" s="306">
        <v>1100</v>
      </c>
      <c r="AX114" s="306"/>
      <c r="BL114" s="306"/>
      <c r="BY114" s="306"/>
      <c r="CL114" s="306"/>
    </row>
    <row r="115" spans="2:90" x14ac:dyDescent="0.25">
      <c r="B115" s="342">
        <v>3148</v>
      </c>
      <c r="C115" s="342">
        <v>3439</v>
      </c>
      <c r="D115" s="306">
        <f t="shared" si="5"/>
        <v>0</v>
      </c>
      <c r="E115" s="306">
        <v>1300</v>
      </c>
      <c r="Y115" s="342">
        <v>3148</v>
      </c>
      <c r="Z115" s="342">
        <v>3439</v>
      </c>
      <c r="AA115" s="306">
        <v>0</v>
      </c>
      <c r="AB115" s="306">
        <v>1200</v>
      </c>
      <c r="AX115" s="306"/>
      <c r="BL115" s="306"/>
      <c r="BY115" s="306"/>
      <c r="CL115" s="306"/>
    </row>
    <row r="116" spans="2:90" x14ac:dyDescent="0.25">
      <c r="B116" s="342">
        <v>3438</v>
      </c>
      <c r="C116" s="342">
        <v>3699</v>
      </c>
      <c r="D116" s="306">
        <f t="shared" si="5"/>
        <v>0</v>
      </c>
      <c r="E116" s="306">
        <v>1450</v>
      </c>
      <c r="Y116" s="342">
        <v>3438</v>
      </c>
      <c r="Z116" s="342">
        <v>3699</v>
      </c>
      <c r="AA116" s="306">
        <v>0</v>
      </c>
      <c r="AB116" s="306">
        <v>1350</v>
      </c>
      <c r="AX116" s="306"/>
      <c r="BL116" s="306"/>
      <c r="BY116" s="306"/>
      <c r="CL116" s="306"/>
    </row>
    <row r="117" spans="2:90" x14ac:dyDescent="0.25">
      <c r="B117" s="342">
        <v>3698</v>
      </c>
      <c r="C117" s="342">
        <v>3899</v>
      </c>
      <c r="D117" s="306">
        <f t="shared" si="5"/>
        <v>0</v>
      </c>
      <c r="E117" s="306">
        <v>1600</v>
      </c>
      <c r="L117" s="342"/>
      <c r="M117" s="402"/>
      <c r="Y117" s="342">
        <v>3698</v>
      </c>
      <c r="Z117" s="342">
        <v>3899</v>
      </c>
      <c r="AA117" s="306">
        <v>0</v>
      </c>
      <c r="AB117" s="306">
        <v>1500</v>
      </c>
      <c r="AX117" s="306"/>
      <c r="BL117" s="306"/>
      <c r="BY117" s="306"/>
      <c r="CL117" s="306"/>
    </row>
    <row r="118" spans="2:90" x14ac:dyDescent="0.25">
      <c r="B118" s="342">
        <v>3898</v>
      </c>
      <c r="C118" s="342">
        <v>4101</v>
      </c>
      <c r="D118" s="306">
        <f t="shared" si="5"/>
        <v>0</v>
      </c>
      <c r="E118" s="306">
        <v>1650</v>
      </c>
      <c r="L118" s="342"/>
      <c r="M118" s="402"/>
      <c r="N118" s="347"/>
      <c r="Y118" s="342">
        <v>3898</v>
      </c>
      <c r="Z118" s="342">
        <v>4101</v>
      </c>
      <c r="AA118" s="306">
        <v>0</v>
      </c>
      <c r="AB118" s="306">
        <v>1550</v>
      </c>
      <c r="AX118" s="306"/>
      <c r="BL118" s="306"/>
      <c r="BY118" s="306"/>
      <c r="CL118" s="306"/>
    </row>
    <row r="119" spans="2:90" x14ac:dyDescent="0.25">
      <c r="AX119" s="306"/>
      <c r="BL119" s="306"/>
      <c r="BY119" s="306"/>
      <c r="CL119" s="306"/>
    </row>
    <row r="120" spans="2:90" ht="15.75" thickBot="1" x14ac:dyDescent="0.3">
      <c r="G120" s="342" t="s">
        <v>37</v>
      </c>
      <c r="I120" s="342" t="s">
        <v>37</v>
      </c>
      <c r="J120" s="386" t="s">
        <v>38</v>
      </c>
      <c r="K120" s="378"/>
      <c r="L120" s="378"/>
      <c r="M120" s="378"/>
      <c r="N120" s="378"/>
      <c r="O120" s="462"/>
      <c r="P120" s="323"/>
      <c r="Q120" s="314"/>
      <c r="R120" s="314"/>
      <c r="S120" s="314"/>
      <c r="T120" s="314"/>
      <c r="U120" s="314"/>
      <c r="V120" s="314"/>
      <c r="W120" s="314"/>
      <c r="AG120" s="306" t="s">
        <v>38</v>
      </c>
      <c r="AX120" s="306"/>
      <c r="BL120" s="306"/>
      <c r="BY120" s="306"/>
      <c r="CL120" s="306"/>
    </row>
    <row r="121" spans="2:90" ht="15.75" thickBot="1" x14ac:dyDescent="0.3">
      <c r="B121" s="306" t="s">
        <v>40</v>
      </c>
      <c r="C121" s="335" t="s">
        <v>69</v>
      </c>
      <c r="D121" s="463">
        <f>VLOOKUP(D63,B122:C134,2,FALSE)</f>
        <v>435</v>
      </c>
      <c r="E121" s="335"/>
      <c r="F121" s="463"/>
      <c r="G121" s="342">
        <v>900</v>
      </c>
      <c r="I121" s="342">
        <v>1200</v>
      </c>
      <c r="J121" s="464">
        <v>2700</v>
      </c>
      <c r="M121" s="306" t="s">
        <v>129</v>
      </c>
      <c r="N121" s="306">
        <v>900</v>
      </c>
      <c r="O121" s="465">
        <v>1200</v>
      </c>
      <c r="P121" s="323"/>
      <c r="Q121" s="314"/>
      <c r="R121" s="314"/>
      <c r="S121" s="314"/>
      <c r="T121" s="314"/>
      <c r="U121" s="314"/>
      <c r="V121" s="314"/>
      <c r="W121" s="314"/>
      <c r="AG121" s="306">
        <v>2900</v>
      </c>
      <c r="AX121" s="306"/>
      <c r="BL121" s="306"/>
      <c r="BY121" s="306"/>
      <c r="CL121" s="306"/>
    </row>
    <row r="122" spans="2:90" x14ac:dyDescent="0.25">
      <c r="B122" s="306" t="s">
        <v>128</v>
      </c>
      <c r="C122" s="306">
        <f t="shared" ref="C122:C127" si="6">IF($I$73&lt;$J$121,G122,I122)</f>
        <v>630</v>
      </c>
      <c r="G122" s="342">
        <v>630</v>
      </c>
      <c r="I122" s="342">
        <v>720</v>
      </c>
      <c r="J122" s="464"/>
      <c r="O122" s="449"/>
      <c r="AX122" s="306"/>
      <c r="BL122" s="306"/>
      <c r="BY122" s="306"/>
      <c r="CL122" s="306"/>
    </row>
    <row r="123" spans="2:90" x14ac:dyDescent="0.25">
      <c r="B123" s="306" t="s">
        <v>124</v>
      </c>
      <c r="C123" s="306">
        <f t="shared" si="6"/>
        <v>725</v>
      </c>
      <c r="G123" s="342">
        <v>725</v>
      </c>
      <c r="I123" s="342">
        <v>815</v>
      </c>
      <c r="J123" s="464"/>
      <c r="O123" s="449"/>
      <c r="AX123" s="306"/>
      <c r="BL123" s="306"/>
      <c r="BY123" s="306"/>
      <c r="CL123" s="306"/>
    </row>
    <row r="124" spans="2:90" x14ac:dyDescent="0.25">
      <c r="B124" s="306" t="s">
        <v>122</v>
      </c>
      <c r="C124" s="306">
        <f t="shared" si="6"/>
        <v>975</v>
      </c>
      <c r="G124" s="342">
        <v>975</v>
      </c>
      <c r="I124" s="342">
        <v>1065</v>
      </c>
      <c r="J124" s="466">
        <f>IF(C15&lt;J121,N121,O121)</f>
        <v>900</v>
      </c>
      <c r="K124" s="467"/>
      <c r="O124" s="449"/>
      <c r="AG124" s="306">
        <v>0</v>
      </c>
      <c r="AX124" s="306"/>
      <c r="BL124" s="306"/>
      <c r="BY124" s="306"/>
      <c r="CL124" s="306"/>
    </row>
    <row r="125" spans="2:90" x14ac:dyDescent="0.25">
      <c r="B125" s="306" t="s">
        <v>123</v>
      </c>
      <c r="C125" s="306">
        <f t="shared" si="6"/>
        <v>925</v>
      </c>
      <c r="G125" s="342">
        <v>925</v>
      </c>
      <c r="I125" s="342">
        <v>1015</v>
      </c>
      <c r="J125" s="468"/>
      <c r="K125" s="469"/>
      <c r="L125" s="358"/>
      <c r="M125" s="358"/>
      <c r="N125" s="470"/>
      <c r="O125" s="389"/>
      <c r="AX125" s="306"/>
      <c r="BL125" s="306"/>
      <c r="BY125" s="306"/>
      <c r="CL125" s="306"/>
    </row>
    <row r="126" spans="2:90" x14ac:dyDescent="0.25">
      <c r="B126" s="306" t="s">
        <v>125</v>
      </c>
      <c r="C126" s="306">
        <f t="shared" si="6"/>
        <v>835</v>
      </c>
      <c r="G126" s="342">
        <v>835</v>
      </c>
      <c r="I126" s="342">
        <v>925</v>
      </c>
      <c r="J126" s="467"/>
      <c r="K126" s="467"/>
      <c r="AX126" s="306"/>
      <c r="BL126" s="306"/>
      <c r="BY126" s="306"/>
      <c r="CL126" s="306"/>
    </row>
    <row r="127" spans="2:90" x14ac:dyDescent="0.25">
      <c r="B127" s="306" t="s">
        <v>97</v>
      </c>
      <c r="C127" s="306">
        <f t="shared" si="6"/>
        <v>725</v>
      </c>
      <c r="G127" s="342">
        <v>725</v>
      </c>
      <c r="I127" s="342">
        <v>825</v>
      </c>
      <c r="AX127" s="306"/>
      <c r="BL127" s="306"/>
      <c r="BY127" s="306"/>
      <c r="CL127" s="306"/>
    </row>
    <row r="128" spans="2:90" x14ac:dyDescent="0.25">
      <c r="B128" s="306" t="s">
        <v>98</v>
      </c>
      <c r="G128" s="342"/>
      <c r="I128" s="342"/>
      <c r="AX128" s="306"/>
      <c r="BL128" s="306"/>
      <c r="BY128" s="306"/>
      <c r="CL128" s="306"/>
    </row>
    <row r="129" spans="2:90" x14ac:dyDescent="0.25">
      <c r="B129" s="306" t="s">
        <v>54</v>
      </c>
      <c r="C129" s="306">
        <f t="shared" ref="C129:C134" si="7">IF($I$73&lt;$J$121,G129,I129)</f>
        <v>435</v>
      </c>
      <c r="G129" s="342">
        <v>435</v>
      </c>
      <c r="I129" s="342">
        <v>525</v>
      </c>
      <c r="AX129" s="306"/>
      <c r="BL129" s="306"/>
      <c r="BY129" s="306"/>
      <c r="CL129" s="306"/>
    </row>
    <row r="130" spans="2:90" x14ac:dyDescent="0.25">
      <c r="B130" s="306" t="s">
        <v>51</v>
      </c>
      <c r="C130" s="306">
        <f t="shared" si="7"/>
        <v>480</v>
      </c>
      <c r="G130" s="342">
        <v>480</v>
      </c>
      <c r="I130" s="342">
        <v>570</v>
      </c>
      <c r="AX130" s="306"/>
      <c r="BL130" s="306"/>
      <c r="BY130" s="306"/>
      <c r="CL130" s="306"/>
    </row>
    <row r="131" spans="2:90" x14ac:dyDescent="0.25">
      <c r="B131" s="306" t="s">
        <v>55</v>
      </c>
      <c r="C131" s="306">
        <f t="shared" si="7"/>
        <v>480</v>
      </c>
      <c r="G131" s="342">
        <v>480</v>
      </c>
      <c r="I131" s="342">
        <v>570</v>
      </c>
      <c r="Y131" s="402"/>
      <c r="AD131" s="342"/>
      <c r="AE131" s="342"/>
      <c r="AX131" s="306"/>
      <c r="BL131" s="306"/>
      <c r="BY131" s="306"/>
      <c r="CL131" s="306"/>
    </row>
    <row r="132" spans="2:90" x14ac:dyDescent="0.25">
      <c r="B132" s="306" t="s">
        <v>59</v>
      </c>
      <c r="C132" s="306">
        <f t="shared" si="7"/>
        <v>490</v>
      </c>
      <c r="G132" s="342">
        <v>490</v>
      </c>
      <c r="I132" s="342">
        <v>580</v>
      </c>
      <c r="J132" s="314"/>
      <c r="K132" s="314"/>
      <c r="L132" s="342"/>
      <c r="Y132" s="402"/>
      <c r="AD132" s="342"/>
      <c r="AE132" s="342"/>
      <c r="AX132" s="306"/>
      <c r="BL132" s="306"/>
      <c r="BY132" s="306"/>
      <c r="CL132" s="306"/>
    </row>
    <row r="133" spans="2:90" x14ac:dyDescent="0.25">
      <c r="B133" s="306" t="s">
        <v>62</v>
      </c>
      <c r="C133" s="306">
        <f t="shared" si="7"/>
        <v>490</v>
      </c>
      <c r="G133" s="342">
        <v>490</v>
      </c>
      <c r="I133" s="342">
        <v>580</v>
      </c>
      <c r="J133" s="314"/>
      <c r="K133" s="314"/>
      <c r="L133" s="342"/>
      <c r="Y133" s="402"/>
      <c r="AD133" s="342"/>
      <c r="AE133" s="342"/>
      <c r="AX133" s="306"/>
      <c r="BL133" s="306"/>
      <c r="BY133" s="306"/>
      <c r="CL133" s="306"/>
    </row>
    <row r="134" spans="2:90" x14ac:dyDescent="0.25">
      <c r="B134" s="306" t="s">
        <v>65</v>
      </c>
      <c r="C134" s="306">
        <f t="shared" si="7"/>
        <v>510</v>
      </c>
      <c r="G134" s="342">
        <v>510</v>
      </c>
      <c r="I134" s="342">
        <v>600</v>
      </c>
      <c r="J134" s="314"/>
      <c r="K134" s="314"/>
      <c r="L134" s="342"/>
      <c r="Y134" s="402"/>
      <c r="AD134" s="342"/>
      <c r="AE134" s="342"/>
      <c r="AX134" s="306"/>
      <c r="BL134" s="306"/>
      <c r="BY134" s="306"/>
      <c r="CL134" s="306"/>
    </row>
    <row r="135" spans="2:90" ht="15.75" thickBot="1" x14ac:dyDescent="0.3">
      <c r="G135" s="342"/>
      <c r="H135" s="342"/>
      <c r="I135" s="342"/>
      <c r="J135" s="314"/>
      <c r="K135" s="314"/>
      <c r="L135" s="342"/>
      <c r="Y135" s="402"/>
      <c r="AD135" s="342"/>
      <c r="AE135" s="342"/>
      <c r="AX135" s="306"/>
      <c r="BL135" s="306"/>
      <c r="BY135" s="306"/>
      <c r="CL135" s="306"/>
    </row>
    <row r="136" spans="2:90" ht="15.75" thickBot="1" x14ac:dyDescent="0.3">
      <c r="B136" s="402" t="s">
        <v>93</v>
      </c>
      <c r="D136" s="463">
        <f>VLOOKUP(D63,B137:C143,2,FALSE)</f>
        <v>290</v>
      </c>
      <c r="G136" s="342"/>
      <c r="H136" s="342"/>
      <c r="I136" s="342"/>
      <c r="J136" s="314"/>
      <c r="K136" s="314"/>
      <c r="L136" s="342"/>
      <c r="Y136" s="402"/>
      <c r="AD136" s="342"/>
      <c r="AE136" s="342"/>
      <c r="AX136" s="306"/>
      <c r="BL136" s="306"/>
      <c r="BY136" s="306"/>
      <c r="CL136" s="306"/>
    </row>
    <row r="137" spans="2:90" x14ac:dyDescent="0.25">
      <c r="B137" s="306" t="s">
        <v>54</v>
      </c>
      <c r="C137" s="306">
        <v>290</v>
      </c>
      <c r="D137" s="306">
        <f t="shared" ref="D137:D142" si="8">IF($D$63=B137,C137,IF(LEFT($D$63,2)="VS",0,0))</f>
        <v>290</v>
      </c>
      <c r="F137" s="313" t="s">
        <v>48</v>
      </c>
      <c r="I137" s="342"/>
      <c r="J137" s="314"/>
      <c r="K137" s="314"/>
      <c r="L137" s="342"/>
      <c r="Y137" s="306" t="s">
        <v>47</v>
      </c>
      <c r="Z137" s="306">
        <v>325</v>
      </c>
      <c r="AB137" s="313" t="s">
        <v>48</v>
      </c>
      <c r="AX137" s="306"/>
      <c r="BL137" s="306"/>
      <c r="BY137" s="306"/>
      <c r="CL137" s="306"/>
    </row>
    <row r="138" spans="2:90" x14ac:dyDescent="0.25">
      <c r="B138" s="306" t="s">
        <v>51</v>
      </c>
      <c r="C138" s="306">
        <v>350</v>
      </c>
      <c r="D138" s="306">
        <f t="shared" si="8"/>
        <v>0</v>
      </c>
      <c r="E138" s="335"/>
      <c r="F138" s="313"/>
      <c r="I138" s="342"/>
      <c r="J138" s="314"/>
      <c r="K138" s="314"/>
      <c r="L138" s="342"/>
      <c r="Y138" s="306" t="s">
        <v>51</v>
      </c>
      <c r="Z138" s="306">
        <v>400</v>
      </c>
      <c r="AA138" s="335" t="s">
        <v>52</v>
      </c>
      <c r="AB138" s="313">
        <v>33</v>
      </c>
      <c r="AC138" s="306">
        <v>100</v>
      </c>
      <c r="AX138" s="306"/>
      <c r="BL138" s="306"/>
      <c r="BY138" s="306"/>
      <c r="CL138" s="306"/>
    </row>
    <row r="139" spans="2:90" x14ac:dyDescent="0.25">
      <c r="B139" s="306" t="s">
        <v>55</v>
      </c>
      <c r="C139" s="306">
        <v>410</v>
      </c>
      <c r="D139" s="306">
        <f t="shared" si="8"/>
        <v>0</v>
      </c>
      <c r="E139" s="335"/>
      <c r="F139" s="313"/>
      <c r="I139" s="342"/>
      <c r="J139" s="314"/>
      <c r="K139" s="314"/>
      <c r="L139" s="342"/>
      <c r="Y139" s="306" t="s">
        <v>55</v>
      </c>
      <c r="Z139" s="306">
        <v>460</v>
      </c>
      <c r="AA139" s="335" t="s">
        <v>56</v>
      </c>
      <c r="AB139" s="313">
        <v>33</v>
      </c>
      <c r="AC139" s="306">
        <v>0</v>
      </c>
      <c r="AX139" s="306"/>
      <c r="BL139" s="306"/>
      <c r="BY139" s="306"/>
      <c r="CL139" s="306"/>
    </row>
    <row r="140" spans="2:90" x14ac:dyDescent="0.25">
      <c r="B140" s="306" t="s">
        <v>59</v>
      </c>
      <c r="C140" s="306">
        <v>470</v>
      </c>
      <c r="D140" s="306">
        <f t="shared" si="8"/>
        <v>0</v>
      </c>
      <c r="I140" s="342"/>
      <c r="J140" s="347"/>
      <c r="K140" s="347"/>
      <c r="L140" s="342"/>
      <c r="Y140" s="306" t="s">
        <v>59</v>
      </c>
      <c r="Z140" s="306">
        <v>520</v>
      </c>
      <c r="AX140" s="306"/>
      <c r="BL140" s="306"/>
      <c r="BY140" s="306"/>
      <c r="CL140" s="306"/>
    </row>
    <row r="141" spans="2:90" x14ac:dyDescent="0.25">
      <c r="B141" s="306" t="s">
        <v>62</v>
      </c>
      <c r="C141" s="306">
        <v>530</v>
      </c>
      <c r="D141" s="306">
        <f t="shared" si="8"/>
        <v>0</v>
      </c>
      <c r="Y141" s="306" t="s">
        <v>62</v>
      </c>
      <c r="Z141" s="306">
        <v>580</v>
      </c>
      <c r="AX141" s="306"/>
      <c r="BL141" s="306"/>
      <c r="BY141" s="306"/>
      <c r="CL141" s="306"/>
    </row>
    <row r="142" spans="2:90" x14ac:dyDescent="0.25">
      <c r="B142" s="306" t="s">
        <v>65</v>
      </c>
      <c r="C142" s="306">
        <v>610</v>
      </c>
      <c r="D142" s="306">
        <f t="shared" si="8"/>
        <v>0</v>
      </c>
      <c r="Y142" s="306" t="s">
        <v>65</v>
      </c>
      <c r="Z142" s="306">
        <v>660</v>
      </c>
      <c r="AX142" s="306"/>
      <c r="BL142" s="306"/>
      <c r="BY142" s="306"/>
      <c r="CL142" s="306"/>
    </row>
    <row r="143" spans="2:90" x14ac:dyDescent="0.25">
      <c r="Y143" s="306" t="s">
        <v>67</v>
      </c>
      <c r="AX143" s="306"/>
      <c r="BL143" s="306"/>
      <c r="BY143" s="306"/>
      <c r="CL143" s="306"/>
    </row>
    <row r="144" spans="2:90" x14ac:dyDescent="0.25">
      <c r="D144" s="471" t="s">
        <v>117</v>
      </c>
      <c r="AX144" s="306"/>
      <c r="BL144" s="306"/>
      <c r="BY144" s="306"/>
      <c r="CL144" s="306"/>
    </row>
    <row r="145" spans="2:90" x14ac:dyDescent="0.25">
      <c r="B145" s="335"/>
      <c r="F145" s="471" t="s">
        <v>104</v>
      </c>
      <c r="N145" s="306"/>
      <c r="Y145" s="306" t="s">
        <v>68</v>
      </c>
      <c r="AX145" s="306"/>
      <c r="BL145" s="306"/>
      <c r="BY145" s="306"/>
      <c r="CL145" s="306"/>
    </row>
    <row r="146" spans="2:90" x14ac:dyDescent="0.25">
      <c r="B146" s="335" t="s">
        <v>12</v>
      </c>
      <c r="C146" s="472" t="e">
        <f>N59</f>
        <v>#DIV/0!</v>
      </c>
      <c r="G146" s="335" t="s">
        <v>105</v>
      </c>
      <c r="H146" s="342" t="e">
        <f>C146/1000</f>
        <v>#DIV/0!</v>
      </c>
      <c r="I146" s="306" t="s">
        <v>106</v>
      </c>
      <c r="L146" s="402">
        <f>SQRT((POWER(H147,2)+POWER(H148,2)))</f>
        <v>1.4142135623730949E-6</v>
      </c>
      <c r="N146" s="306"/>
      <c r="AX146" s="306"/>
      <c r="BL146" s="306"/>
      <c r="BY146" s="306"/>
      <c r="CL146" s="306"/>
    </row>
    <row r="147" spans="2:90" x14ac:dyDescent="0.25">
      <c r="B147" s="335" t="s">
        <v>107</v>
      </c>
      <c r="C147" s="472">
        <f>H73</f>
        <v>1E-3</v>
      </c>
      <c r="D147" s="306" t="s">
        <v>74</v>
      </c>
      <c r="E147" s="306" t="s">
        <v>108</v>
      </c>
      <c r="G147" s="335" t="s">
        <v>105</v>
      </c>
      <c r="H147" s="342">
        <f>C147/1000</f>
        <v>9.9999999999999995E-7</v>
      </c>
      <c r="I147" s="306" t="s">
        <v>109</v>
      </c>
      <c r="L147" s="306" t="e">
        <f>IF(C146=0,0,ATAN(H146/((L146-H149)/2)))</f>
        <v>#DIV/0!</v>
      </c>
      <c r="N147" s="306"/>
      <c r="AX147" s="306"/>
      <c r="BL147" s="306"/>
      <c r="BY147" s="306"/>
      <c r="CL147" s="306"/>
    </row>
    <row r="148" spans="2:90" x14ac:dyDescent="0.25">
      <c r="B148" s="335" t="s">
        <v>110</v>
      </c>
      <c r="C148" s="472">
        <f>H74</f>
        <v>1E-3</v>
      </c>
      <c r="D148" s="306" t="s">
        <v>74</v>
      </c>
      <c r="E148" s="306" t="s">
        <v>111</v>
      </c>
      <c r="G148" s="335" t="s">
        <v>105</v>
      </c>
      <c r="H148" s="342">
        <f>C148/1000</f>
        <v>9.9999999999999995E-7</v>
      </c>
      <c r="N148" s="306"/>
      <c r="AX148" s="306"/>
      <c r="BL148" s="306"/>
      <c r="BY148" s="306"/>
      <c r="CL148" s="306"/>
    </row>
    <row r="149" spans="2:90" x14ac:dyDescent="0.25">
      <c r="B149" s="335" t="s">
        <v>112</v>
      </c>
      <c r="C149" s="472">
        <f>N50</f>
        <v>0</v>
      </c>
      <c r="D149" s="306" t="s">
        <v>74</v>
      </c>
      <c r="E149" s="306" t="s">
        <v>113</v>
      </c>
      <c r="G149" s="335" t="s">
        <v>105</v>
      </c>
      <c r="H149" s="422">
        <f>C149/1000</f>
        <v>0</v>
      </c>
      <c r="L149" s="473" t="e">
        <f>H146/6*(((2*H147+H149)*H148)+((2*H149+H147)*H149))*1000</f>
        <v>#DIV/0!</v>
      </c>
      <c r="M149" s="306" t="s">
        <v>273</v>
      </c>
      <c r="N149" s="306"/>
      <c r="AX149" s="306"/>
      <c r="BL149" s="306"/>
      <c r="BY149" s="306"/>
      <c r="CL149" s="306"/>
    </row>
    <row r="150" spans="2:90" x14ac:dyDescent="0.25">
      <c r="B150" s="335"/>
      <c r="G150" s="335"/>
      <c r="H150" s="422"/>
      <c r="L150" s="473" t="e">
        <f>CalcoloVolume!J21/1000000</f>
        <v>#DIV/0!</v>
      </c>
      <c r="M150" s="306" t="s">
        <v>274</v>
      </c>
      <c r="N150" s="306"/>
      <c r="AX150" s="306"/>
      <c r="BL150" s="306"/>
      <c r="BY150" s="306"/>
      <c r="CL150" s="306"/>
    </row>
    <row r="151" spans="2:90" x14ac:dyDescent="0.25">
      <c r="B151" s="335" t="s">
        <v>115</v>
      </c>
      <c r="C151" s="474" t="e">
        <f>DEGREES(L147)</f>
        <v>#DIV/0!</v>
      </c>
      <c r="D151" s="306" t="s">
        <v>116</v>
      </c>
      <c r="E151" s="306" t="s">
        <v>275</v>
      </c>
      <c r="N151" s="306"/>
      <c r="AX151" s="306"/>
      <c r="BL151" s="306"/>
      <c r="BY151" s="306"/>
      <c r="CL151" s="306"/>
    </row>
    <row r="152" spans="2:90" x14ac:dyDescent="0.25">
      <c r="B152" s="335" t="s">
        <v>115</v>
      </c>
      <c r="C152" s="474" t="e">
        <f>DEGREES(ATAN(C146/(C147/2-C149/2)))</f>
        <v>#DIV/0!</v>
      </c>
      <c r="D152" s="306" t="s">
        <v>116</v>
      </c>
      <c r="E152" s="306" t="s">
        <v>276</v>
      </c>
      <c r="AX152" s="306"/>
      <c r="BL152" s="306"/>
      <c r="BY152" s="306"/>
      <c r="CL152" s="306"/>
    </row>
    <row r="153" spans="2:90" x14ac:dyDescent="0.25">
      <c r="B153" s="335" t="s">
        <v>115</v>
      </c>
      <c r="C153" s="474" t="e">
        <f>DEGREES(ATAN(C146/(C148/2-C149/2)))</f>
        <v>#DIV/0!</v>
      </c>
      <c r="D153" s="306" t="s">
        <v>116</v>
      </c>
      <c r="E153" s="306" t="s">
        <v>277</v>
      </c>
      <c r="BC153" s="314"/>
      <c r="BL153" s="306"/>
      <c r="BY153" s="306"/>
      <c r="CL153" s="306"/>
    </row>
    <row r="154" spans="2:90" x14ac:dyDescent="0.25">
      <c r="BL154" s="306"/>
      <c r="BY154" s="306"/>
      <c r="CL154" s="306"/>
    </row>
    <row r="155" spans="2:90" x14ac:dyDescent="0.25">
      <c r="D155" s="471" t="s">
        <v>118</v>
      </c>
      <c r="I155" s="471"/>
      <c r="BL155" s="306"/>
      <c r="BY155" s="306"/>
      <c r="CL155" s="306"/>
    </row>
    <row r="156" spans="2:90" x14ac:dyDescent="0.25">
      <c r="B156" s="335"/>
      <c r="F156" s="471" t="s">
        <v>104</v>
      </c>
      <c r="BL156" s="306"/>
      <c r="BY156" s="306"/>
      <c r="CL156" s="306"/>
    </row>
    <row r="157" spans="2:90" x14ac:dyDescent="0.25">
      <c r="B157" s="335" t="s">
        <v>12</v>
      </c>
      <c r="C157" s="472">
        <f>H71</f>
        <v>0</v>
      </c>
      <c r="G157" s="335" t="s">
        <v>105</v>
      </c>
      <c r="H157" s="342">
        <f>C157/1000</f>
        <v>0</v>
      </c>
      <c r="I157" s="306" t="s">
        <v>106</v>
      </c>
      <c r="L157" s="402">
        <f>SQRT((POWER(H158,2)+POWER(H159,2)))</f>
        <v>1.4142135623730949E-6</v>
      </c>
    </row>
    <row r="158" spans="2:90" x14ac:dyDescent="0.25">
      <c r="B158" s="335" t="s">
        <v>107</v>
      </c>
      <c r="C158" s="472">
        <f>C147</f>
        <v>1E-3</v>
      </c>
      <c r="D158" s="306" t="s">
        <v>74</v>
      </c>
      <c r="E158" s="306" t="s">
        <v>108</v>
      </c>
      <c r="G158" s="335" t="s">
        <v>105</v>
      </c>
      <c r="H158" s="342">
        <f>C158/1000</f>
        <v>9.9999999999999995E-7</v>
      </c>
      <c r="I158" s="306" t="s">
        <v>109</v>
      </c>
      <c r="L158" s="306">
        <f>IF(C157=0,0,ATAN(H157/((L157-H160)/2)))</f>
        <v>0</v>
      </c>
    </row>
    <row r="159" spans="2:90" x14ac:dyDescent="0.25">
      <c r="B159" s="335" t="s">
        <v>110</v>
      </c>
      <c r="C159" s="472">
        <f>C148</f>
        <v>1E-3</v>
      </c>
      <c r="D159" s="306" t="s">
        <v>74</v>
      </c>
      <c r="E159" s="306" t="s">
        <v>111</v>
      </c>
      <c r="G159" s="335" t="s">
        <v>105</v>
      </c>
      <c r="H159" s="342">
        <f>C159/1000</f>
        <v>9.9999999999999995E-7</v>
      </c>
    </row>
    <row r="160" spans="2:90" x14ac:dyDescent="0.25">
      <c r="B160" s="335" t="s">
        <v>112</v>
      </c>
      <c r="C160" s="472">
        <f>C149</f>
        <v>0</v>
      </c>
      <c r="D160" s="306" t="s">
        <v>74</v>
      </c>
      <c r="E160" s="306" t="s">
        <v>113</v>
      </c>
      <c r="G160" s="335" t="s">
        <v>105</v>
      </c>
      <c r="H160" s="422">
        <f>C160/1000</f>
        <v>0</v>
      </c>
      <c r="I160" s="306" t="s">
        <v>114</v>
      </c>
      <c r="L160" s="473">
        <f>H157/6*(((2*H158+H160)*H159)+((2*H160+H158)*H160))*1000</f>
        <v>0</v>
      </c>
      <c r="M160" s="306" t="s">
        <v>81</v>
      </c>
    </row>
    <row r="161" spans="2:8" x14ac:dyDescent="0.25">
      <c r="B161" s="335"/>
      <c r="G161" s="335"/>
      <c r="H161" s="422"/>
    </row>
    <row r="162" spans="2:8" x14ac:dyDescent="0.25">
      <c r="B162" s="335" t="s">
        <v>115</v>
      </c>
      <c r="C162" s="474">
        <f>DEGREES(L158)</f>
        <v>0</v>
      </c>
      <c r="D162" s="306" t="s">
        <v>116</v>
      </c>
      <c r="E162" s="306" t="s">
        <v>275</v>
      </c>
    </row>
    <row r="163" spans="2:8" x14ac:dyDescent="0.25">
      <c r="C163" s="474">
        <f>DEGREES(ATAN(C157/(C158/2-C160/2)))</f>
        <v>0</v>
      </c>
      <c r="D163" s="306" t="s">
        <v>116</v>
      </c>
      <c r="E163" s="306" t="s">
        <v>276</v>
      </c>
    </row>
    <row r="164" spans="2:8" x14ac:dyDescent="0.25">
      <c r="C164" s="474">
        <f>DEGREES(ATAN(C157/(C159/2-C160/2)))</f>
        <v>0</v>
      </c>
      <c r="D164" s="306" t="s">
        <v>116</v>
      </c>
      <c r="E164" s="306" t="s">
        <v>277</v>
      </c>
    </row>
  </sheetData>
  <sheetProtection algorithmName="SHA-512" hashValue="8XsOolZ0kMqSzH+m1rsKil1ENUeG25RQHFIsRWvk8Hwh+hDZZ35rcyMdc6IgBvqaQduaInSswf4QuZlTrtO+jw==" saltValue="MCTB3eXvNCGImRFs0LH9ng==" spinCount="100000" sheet="1" objects="1" scenarios="1"/>
  <dataConsolidate/>
  <mergeCells count="17">
    <mergeCell ref="L25:M25"/>
    <mergeCell ref="B17:E17"/>
    <mergeCell ref="I14:L14"/>
    <mergeCell ref="J34:M34"/>
    <mergeCell ref="I9:L9"/>
    <mergeCell ref="D22:G22"/>
    <mergeCell ref="D21:G21"/>
    <mergeCell ref="L29:M29"/>
    <mergeCell ref="H25:I25"/>
    <mergeCell ref="AF9:AH9"/>
    <mergeCell ref="B18:D18"/>
    <mergeCell ref="E9:H9"/>
    <mergeCell ref="I10:L10"/>
    <mergeCell ref="E10:H10"/>
    <mergeCell ref="E12:H12"/>
    <mergeCell ref="I12:L12"/>
    <mergeCell ref="B16:D16"/>
  </mergeCells>
  <phoneticPr fontId="0" type="noConversion"/>
  <conditionalFormatting sqref="M12">
    <cfRule type="expression" dxfId="0" priority="1" stopIfTrue="1">
      <formula>$N$12</formula>
    </cfRule>
  </conditionalFormatting>
  <dataValidations count="4">
    <dataValidation type="list" allowBlank="1" showInputMessage="1" showErrorMessage="1" sqref="M14" xr:uid="{00000000-0002-0000-0000-000000000000}">
      <formula1>$P$25:$P$26</formula1>
    </dataValidation>
    <dataValidation type="list" showInputMessage="1" showErrorMessage="1" sqref="E14" xr:uid="{00000000-0002-0000-0000-000001000000}">
      <formula1>$AN$35:$AN$47</formula1>
    </dataValidation>
    <dataValidation type="list" allowBlank="1" showErrorMessage="1" sqref="N9" xr:uid="{00000000-0002-0000-0000-000002000000}">
      <formula1>$Q$8:$W$8</formula1>
    </dataValidation>
    <dataValidation type="list" allowBlank="1" showInputMessage="1" showErrorMessage="1" sqref="I12" xr:uid="{00000000-0002-0000-0000-000003000000}">
      <formula1>$P$15:$P$18</formula1>
    </dataValidation>
  </dataValidations>
  <printOptions gridLinesSet="0"/>
  <pageMargins left="0.25" right="0.25" top="0.75" bottom="0.75" header="0.3" footer="0.3"/>
  <pageSetup paperSize="9" scale="63" fitToHeight="0" orientation="portrait" horizontalDpi="300" verticalDpi="300" r:id="rId1"/>
  <headerFooter alignWithMargins="0">
    <oddFooter>&amp;R&amp;D &amp;T</oddFooter>
  </headerFooter>
  <colBreaks count="1" manualBreakCount="1">
    <brk id="14" min="7" max="54" man="1"/>
  </colBreaks>
  <cellWatches>
    <cellWatch r="M12"/>
  </cellWatches>
  <ignoredErrors>
    <ignoredError sqref="D21" evalError="1"/>
  </ignoredErrors>
  <drawing r:id="rId2"/>
  <legacyDrawing r:id="rId3"/>
  <oleObjects>
    <mc:AlternateContent xmlns:mc="http://schemas.openxmlformats.org/markup-compatibility/2006">
      <mc:Choice Requires="x14">
        <oleObject progId="MSDraw" shapeId="1054" r:id="rId4">
          <objectPr defaultSize="0" autoPict="0" dde="1" r:id="rId5">
            <anchor moveWithCells="1" sizeWithCells="1">
              <from>
                <xdr:col>24</xdr:col>
                <xdr:colOff>0</xdr:colOff>
                <xdr:row>35</xdr:row>
                <xdr:rowOff>38100</xdr:rowOff>
              </from>
              <to>
                <xdr:col>24</xdr:col>
                <xdr:colOff>0</xdr:colOff>
                <xdr:row>54</xdr:row>
                <xdr:rowOff>28575</xdr:rowOff>
              </to>
            </anchor>
          </objectPr>
        </oleObject>
      </mc:Choice>
      <mc:Fallback>
        <oleObject progId="MSDraw" shapeId="1054" r:id="rId4"/>
      </mc:Fallback>
    </mc:AlternateContent>
    <mc:AlternateContent xmlns:mc="http://schemas.openxmlformats.org/markup-compatibility/2006">
      <mc:Choice Requires="x14">
        <oleObject progId="MSDraw" shapeId="1056" r:id="rId6">
          <objectPr defaultSize="0" autoPict="0" dde="1" r:id="rId5">
            <anchor moveWithCells="1" sizeWithCells="1">
              <from>
                <xdr:col>24</xdr:col>
                <xdr:colOff>0</xdr:colOff>
                <xdr:row>35</xdr:row>
                <xdr:rowOff>38100</xdr:rowOff>
              </from>
              <to>
                <xdr:col>24</xdr:col>
                <xdr:colOff>0</xdr:colOff>
                <xdr:row>54</xdr:row>
                <xdr:rowOff>28575</xdr:rowOff>
              </to>
            </anchor>
          </objectPr>
        </oleObject>
      </mc:Choice>
      <mc:Fallback>
        <oleObject progId="MSDraw" shapeId="1056" r:id="rId6"/>
      </mc:Fallback>
    </mc:AlternateContent>
    <mc:AlternateContent xmlns:mc="http://schemas.openxmlformats.org/markup-compatibility/2006">
      <mc:Choice Requires="x14">
        <oleObject progId="PBrush" shapeId="1084" r:id="rId7">
          <objectPr defaultSize="0" autoPict="0" r:id="rId8">
            <anchor moveWithCells="1" sizeWithCells="1">
              <from>
                <xdr:col>1</xdr:col>
                <xdr:colOff>123825</xdr:colOff>
                <xdr:row>8</xdr:row>
                <xdr:rowOff>47625</xdr:rowOff>
              </from>
              <to>
                <xdr:col>3</xdr:col>
                <xdr:colOff>352425</xdr:colOff>
                <xdr:row>12</xdr:row>
                <xdr:rowOff>152400</xdr:rowOff>
              </to>
            </anchor>
          </objectPr>
        </oleObject>
      </mc:Choice>
      <mc:Fallback>
        <oleObject progId="PBrush" shapeId="1084" r:id="rId7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0000"/>
    <pageSetUpPr fitToPage="1"/>
  </sheetPr>
  <dimension ref="A1:DB122"/>
  <sheetViews>
    <sheetView showGridLines="0" showZeros="0" defaultGridColor="0" colorId="8" zoomScaleNormal="75" workbookViewId="0">
      <selection activeCell="L24" sqref="L24"/>
    </sheetView>
  </sheetViews>
  <sheetFormatPr defaultColWidth="9.33203125" defaultRowHeight="12.75" x14ac:dyDescent="0.2"/>
  <cols>
    <col min="1" max="1" width="10.6640625" style="144" customWidth="1"/>
    <col min="2" max="2" width="10.1640625" style="144" customWidth="1"/>
    <col min="3" max="3" width="13.83203125" style="144" customWidth="1"/>
    <col min="4" max="4" width="9.33203125" style="144"/>
    <col min="5" max="7" width="9.33203125" style="144" hidden="1" customWidth="1"/>
    <col min="8" max="8" width="10" style="144" customWidth="1"/>
    <col min="9" max="9" width="7.33203125" style="144" customWidth="1"/>
    <col min="10" max="10" width="14.33203125" style="144" customWidth="1"/>
    <col min="11" max="11" width="19.1640625" style="144" customWidth="1"/>
    <col min="12" max="12" width="13.6640625" style="146" customWidth="1"/>
    <col min="13" max="13" width="13" style="144" customWidth="1"/>
    <col min="14" max="14" width="14.33203125" style="144" customWidth="1"/>
    <col min="15" max="15" width="9.33203125" style="144" customWidth="1"/>
    <col min="16" max="16" width="10.1640625" style="144" customWidth="1"/>
    <col min="17" max="21" width="9.33203125" style="144" customWidth="1"/>
    <col min="22" max="22" width="10" style="144" customWidth="1"/>
    <col min="23" max="23" width="7.33203125" style="144" customWidth="1"/>
    <col min="24" max="24" width="14.83203125" style="144" customWidth="1"/>
    <col min="25" max="25" width="15.1640625" style="144" customWidth="1"/>
    <col min="26" max="26" width="13" style="146" customWidth="1"/>
    <col min="27" max="27" width="14.83203125" style="144" customWidth="1"/>
    <col min="28" max="29" width="9.33203125" style="144" customWidth="1"/>
    <col min="30" max="30" width="10.1640625" style="144" customWidth="1"/>
    <col min="31" max="35" width="9.33203125" style="144" customWidth="1"/>
    <col min="36" max="36" width="10" style="144" customWidth="1"/>
    <col min="37" max="37" width="7.33203125" style="144" customWidth="1"/>
    <col min="38" max="38" width="14.83203125" style="144" customWidth="1"/>
    <col min="39" max="39" width="13.5" style="144" customWidth="1"/>
    <col min="40" max="40" width="13" style="146" customWidth="1"/>
    <col min="41" max="41" width="14.83203125" style="144" customWidth="1"/>
    <col min="42" max="43" width="9.33203125" style="144" customWidth="1"/>
    <col min="44" max="44" width="10.1640625" style="144" customWidth="1"/>
    <col min="45" max="49" width="9.33203125" style="144" customWidth="1"/>
    <col min="50" max="50" width="10" style="144" customWidth="1"/>
    <col min="51" max="51" width="7.33203125" style="144" customWidth="1"/>
    <col min="52" max="52" width="14.83203125" style="144" customWidth="1"/>
    <col min="53" max="53" width="13.5" style="144" customWidth="1"/>
    <col min="54" max="54" width="13" style="146" customWidth="1"/>
    <col min="55" max="55" width="14.83203125" style="144" customWidth="1"/>
    <col min="56" max="56" width="9.33203125" style="144" customWidth="1"/>
    <col min="57" max="57" width="10.1640625" style="144" customWidth="1"/>
    <col min="58" max="62" width="9.33203125" style="144" customWidth="1"/>
    <col min="63" max="63" width="10" style="144" customWidth="1"/>
    <col min="64" max="64" width="7.33203125" style="144" customWidth="1"/>
    <col min="65" max="65" width="14.83203125" style="144" customWidth="1"/>
    <col min="66" max="66" width="13.5" style="144" customWidth="1"/>
    <col min="67" max="67" width="13" style="146" customWidth="1"/>
    <col min="68" max="68" width="14.83203125" style="144" customWidth="1"/>
    <col min="69" max="69" width="9.33203125" style="144" customWidth="1"/>
    <col min="70" max="70" width="10.1640625" style="144" customWidth="1"/>
    <col min="71" max="75" width="9.33203125" style="144" customWidth="1"/>
    <col min="76" max="76" width="10" style="144" customWidth="1"/>
    <col min="77" max="77" width="7.33203125" style="144" customWidth="1"/>
    <col min="78" max="78" width="14.83203125" style="144" customWidth="1"/>
    <col min="79" max="79" width="15.1640625" style="144" customWidth="1"/>
    <col min="80" max="80" width="13" style="146" customWidth="1"/>
    <col min="81" max="81" width="14.83203125" style="144" customWidth="1"/>
    <col min="82" max="83" width="9.33203125" style="144" customWidth="1"/>
    <col min="84" max="84" width="10.1640625" style="144" customWidth="1"/>
    <col min="85" max="89" width="9.33203125" style="144" customWidth="1"/>
    <col min="90" max="90" width="10" style="144" customWidth="1"/>
    <col min="91" max="91" width="7.33203125" style="144" customWidth="1"/>
    <col min="92" max="92" width="14.83203125" style="144" customWidth="1"/>
    <col min="93" max="93" width="15.1640625" style="144" customWidth="1"/>
    <col min="94" max="94" width="13" style="146" customWidth="1"/>
    <col min="95" max="95" width="14.83203125" style="144" customWidth="1"/>
    <col min="96" max="99" width="9.33203125" style="144" customWidth="1"/>
    <col min="100" max="16384" width="9.33203125" style="144"/>
  </cols>
  <sheetData>
    <row r="1" spans="1:106" ht="19.5" x14ac:dyDescent="0.35">
      <c r="D1" s="145" t="str">
        <f>IF($H$3=0,R1,IF($H$3="F",AF1,IF($H$3="e",AT1,IF($H$3="a",BG1,IF($H$3="p",BT1,IF($H$3="D",CH1))))))</f>
        <v>CLIENTE</v>
      </c>
      <c r="H1" s="575"/>
      <c r="I1" s="576"/>
      <c r="J1" s="577"/>
      <c r="K1" s="145" t="str">
        <f>IF($H$3=0,Y1,IF($H$3="F",AM1,IF($H$3="e",BA1,IF($H$3="a",BN1,IF($H$3="p",CA1,IF($H$3="D",CO1))))))</f>
        <v>MC RIF</v>
      </c>
      <c r="L1" s="276">
        <f>IF(H51=0,0,ROUNDUP(((L9+L10)/2),1))</f>
        <v>0</v>
      </c>
      <c r="M1" s="145" t="str">
        <f>IF($H$3=0,AA1,IF($H$3="F",AO1,IF($H$3="e",BC1,IF($H$3="a",BP1,IF($H$3="p",CC1,IF($H$3="D",CQ1))))))</f>
        <v>PREZZO SILO</v>
      </c>
      <c r="N1" s="145" t="str">
        <f>IF($H$3=0,AB1,IF($H$3="F",AP1,IF($H$3="e",BD1,IF($H$3="a",BQ1,IF($H$3="p",CD1,IF($H$3="D",CR1))))))</f>
        <v>PREZZO SACCO</v>
      </c>
      <c r="R1" s="147" t="s">
        <v>92</v>
      </c>
      <c r="V1" s="571"/>
      <c r="W1" s="572"/>
      <c r="X1" s="573"/>
      <c r="Y1" s="145" t="s">
        <v>83</v>
      </c>
      <c r="Z1" s="289">
        <v>0</v>
      </c>
      <c r="AA1" s="145" t="s">
        <v>668</v>
      </c>
      <c r="AB1" s="145" t="s">
        <v>667</v>
      </c>
      <c r="AF1" s="147" t="s">
        <v>662</v>
      </c>
      <c r="AJ1" s="571"/>
      <c r="AK1" s="572"/>
      <c r="AL1" s="573"/>
      <c r="AM1" s="145" t="s">
        <v>666</v>
      </c>
      <c r="AN1" s="289">
        <v>0</v>
      </c>
      <c r="AO1" s="288" t="s">
        <v>665</v>
      </c>
      <c r="AP1" s="144" t="s">
        <v>664</v>
      </c>
      <c r="AT1" s="147" t="s">
        <v>662</v>
      </c>
      <c r="AX1" s="571"/>
      <c r="AY1" s="572"/>
      <c r="AZ1" s="573"/>
      <c r="BA1" s="145" t="s">
        <v>663</v>
      </c>
      <c r="BB1" s="289">
        <v>0</v>
      </c>
      <c r="BC1" s="288" t="s">
        <v>660</v>
      </c>
      <c r="BD1" s="144" t="s">
        <v>659</v>
      </c>
      <c r="BG1" s="147" t="s">
        <v>662</v>
      </c>
      <c r="BK1" s="571"/>
      <c r="BL1" s="572"/>
      <c r="BM1" s="573"/>
      <c r="BN1" s="145" t="s">
        <v>661</v>
      </c>
      <c r="BO1" s="289">
        <v>0</v>
      </c>
      <c r="BP1" s="288" t="s">
        <v>660</v>
      </c>
      <c r="BQ1" s="144" t="s">
        <v>659</v>
      </c>
      <c r="BT1" s="147" t="s">
        <v>92</v>
      </c>
      <c r="BX1" s="571"/>
      <c r="BY1" s="572"/>
      <c r="BZ1" s="573"/>
      <c r="CA1" s="145" t="s">
        <v>658</v>
      </c>
      <c r="CB1" s="289">
        <v>0</v>
      </c>
      <c r="CC1" s="288" t="s">
        <v>657</v>
      </c>
      <c r="CD1" s="288" t="s">
        <v>656</v>
      </c>
      <c r="CH1" s="147" t="s">
        <v>655</v>
      </c>
      <c r="CL1" s="571"/>
      <c r="CM1" s="572"/>
      <c r="CN1" s="573"/>
      <c r="CO1" s="145" t="s">
        <v>654</v>
      </c>
      <c r="CP1" s="289">
        <v>0</v>
      </c>
      <c r="CQ1" s="288" t="s">
        <v>653</v>
      </c>
      <c r="CR1" s="288" t="s">
        <v>652</v>
      </c>
      <c r="CT1" s="534">
        <v>1</v>
      </c>
      <c r="DB1" s="486">
        <v>0</v>
      </c>
    </row>
    <row r="2" spans="1:106" ht="18.75" x14ac:dyDescent="0.3">
      <c r="D2" s="145" t="str">
        <f>IF($H$3=0,R2,IF($H$3="F",AF2,IF($H$3="e",AT2,IF($H$3="a",BG2,IF($H$3="p",BT2,IF($H$3="D",CH2))))))</f>
        <v>Offerta</v>
      </c>
      <c r="H2" s="278"/>
      <c r="I2" s="287" t="s">
        <v>0</v>
      </c>
      <c r="J2" s="278"/>
      <c r="K2" s="145" t="str">
        <f>IF($H$3=0,Y2,IF($H$3="F",AM2,IF($H$3="e",BA2,IF($H$3="a",BN2,IF($H$3="p",CA2,IF($H$3="D",CO2))))))</f>
        <v>KG FARINA</v>
      </c>
      <c r="L2" s="282">
        <f>IF($H$3="A",L1*35.31*C61,ROUNDUP($L$1*$C$59,-2))</f>
        <v>0</v>
      </c>
      <c r="M2" s="281">
        <f>IF(D7=0,ROUNDUP(PREZZI!S32,-1)+ROUNDUP(PREZZI!S32,-1)*DB1,ROUNDUP(PREZZI!S41,-1)+ROUNDUP(PREZZI!S41,-1)*DB1)</f>
        <v>0</v>
      </c>
      <c r="N2" s="267">
        <f>IF(L1=0,0,ROUNDUP((PREZZI!G55+PREZZI!G55*DB1),0))</f>
        <v>0</v>
      </c>
      <c r="R2" s="287" t="s">
        <v>71</v>
      </c>
      <c r="V2" s="286"/>
      <c r="W2" s="287" t="s">
        <v>0</v>
      </c>
      <c r="X2" s="286"/>
      <c r="Y2" s="145" t="s">
        <v>85</v>
      </c>
      <c r="Z2" s="283">
        <v>0</v>
      </c>
      <c r="AA2" s="6">
        <v>0</v>
      </c>
      <c r="AF2" s="287" t="s">
        <v>651</v>
      </c>
      <c r="AJ2" s="286"/>
      <c r="AK2" s="287" t="s">
        <v>0</v>
      </c>
      <c r="AL2" s="286"/>
      <c r="AM2" s="145" t="s">
        <v>650</v>
      </c>
      <c r="AN2" s="283">
        <v>0</v>
      </c>
      <c r="AO2" s="6">
        <v>0</v>
      </c>
      <c r="AT2" s="287" t="s">
        <v>648</v>
      </c>
      <c r="AX2" s="286"/>
      <c r="AY2" s="287" t="s">
        <v>0</v>
      </c>
      <c r="AZ2" s="286"/>
      <c r="BA2" s="145" t="s">
        <v>649</v>
      </c>
      <c r="BB2" s="283">
        <v>0</v>
      </c>
      <c r="BC2" s="6">
        <v>0</v>
      </c>
      <c r="BG2" s="287" t="s">
        <v>648</v>
      </c>
      <c r="BK2" s="286"/>
      <c r="BL2" s="287" t="s">
        <v>0</v>
      </c>
      <c r="BM2" s="286"/>
      <c r="BN2" s="145" t="s">
        <v>647</v>
      </c>
      <c r="BO2" s="283">
        <v>0</v>
      </c>
      <c r="BP2" s="6">
        <v>0</v>
      </c>
      <c r="BT2" s="287" t="s">
        <v>646</v>
      </c>
      <c r="BX2" s="286"/>
      <c r="BY2" s="287" t="s">
        <v>0</v>
      </c>
      <c r="BZ2" s="286"/>
      <c r="CA2" s="145" t="s">
        <v>645</v>
      </c>
      <c r="CB2" s="283">
        <v>0</v>
      </c>
      <c r="CC2" s="6">
        <v>0</v>
      </c>
      <c r="CH2" s="287" t="s">
        <v>644</v>
      </c>
      <c r="CL2" s="286"/>
      <c r="CM2" s="287" t="s">
        <v>0</v>
      </c>
      <c r="CN2" s="286"/>
      <c r="CO2" s="145" t="s">
        <v>643</v>
      </c>
      <c r="CP2" s="283">
        <v>0</v>
      </c>
      <c r="CQ2" s="6">
        <v>0</v>
      </c>
      <c r="CV2" s="279"/>
      <c r="CW2" s="279"/>
    </row>
    <row r="3" spans="1:106" ht="18.75" x14ac:dyDescent="0.3">
      <c r="D3" s="145" t="str">
        <f>IF($H$3=0,R3,IF($H$3="F",AF3,IF($H$3="e",AT3,IF($H$3="a",BG3,IF($H$3="p",BT3,IF($H$3="D",CH3))))))</f>
        <v>LINGUA</v>
      </c>
      <c r="H3" s="285"/>
      <c r="K3" s="145" t="str">
        <f>IF($H$3=0,Y3,IF($H$3="F",AM3,IF($H$3="e",BA3,IF($H$3="a",BN3,IF($H$3="p",CA3,IF($H$3="D",CO3))))))</f>
        <v>KG ZUCCHERO</v>
      </c>
      <c r="L3" s="282">
        <f>IF($H$3="A",L1*35.31*C63,ROUNDUP($L$1*$C$62,-2))</f>
        <v>0</v>
      </c>
      <c r="M3" s="281">
        <f>IF(D7=0,ROUNDUP(PREZZI!S33,-1)+ROUNDUP(PREZZI!S33,-1)*DB1,ROUNDUP(PREZZI!S42,-1)+ROUNDUP(PREZZI!S42,-1)*DB1)</f>
        <v>0</v>
      </c>
      <c r="N3" s="267">
        <f>IF(L1=0,0,PREZZI!H55+PREZZI!H55*DB1)</f>
        <v>0</v>
      </c>
      <c r="R3" s="147" t="s">
        <v>82</v>
      </c>
      <c r="V3" s="284"/>
      <c r="Y3" s="145" t="s">
        <v>86</v>
      </c>
      <c r="Z3" s="283">
        <v>0</v>
      </c>
      <c r="AA3" s="6">
        <v>0</v>
      </c>
      <c r="AF3" s="147" t="s">
        <v>82</v>
      </c>
      <c r="AJ3" s="284"/>
      <c r="AM3" s="145" t="s">
        <v>642</v>
      </c>
      <c r="AN3" s="283">
        <v>0</v>
      </c>
      <c r="AO3" s="6">
        <v>0</v>
      </c>
      <c r="AT3" s="147" t="s">
        <v>82</v>
      </c>
      <c r="AX3" s="284"/>
      <c r="BA3" s="145" t="s">
        <v>641</v>
      </c>
      <c r="BB3" s="283">
        <v>0</v>
      </c>
      <c r="BC3" s="6">
        <v>0</v>
      </c>
      <c r="BG3" s="147" t="s">
        <v>82</v>
      </c>
      <c r="BK3" s="284"/>
      <c r="BN3" s="145" t="s">
        <v>640</v>
      </c>
      <c r="BO3" s="283">
        <v>0</v>
      </c>
      <c r="BP3" s="6">
        <v>0</v>
      </c>
      <c r="BT3" s="147" t="s">
        <v>82</v>
      </c>
      <c r="BX3" s="284"/>
      <c r="CA3" s="145" t="s">
        <v>639</v>
      </c>
      <c r="CB3" s="283">
        <v>0</v>
      </c>
      <c r="CC3" s="6">
        <v>0</v>
      </c>
      <c r="CH3" s="147" t="s">
        <v>638</v>
      </c>
      <c r="CL3" s="284"/>
      <c r="CO3" s="145" t="s">
        <v>637</v>
      </c>
      <c r="CP3" s="283">
        <v>0</v>
      </c>
      <c r="CQ3" s="6">
        <v>0</v>
      </c>
      <c r="CV3" s="279"/>
      <c r="CW3" s="279"/>
    </row>
    <row r="4" spans="1:106" ht="18.75" x14ac:dyDescent="0.3">
      <c r="K4" s="145" t="str">
        <f>IF($H$3=0,Y4,IF($H$3="F",AM4,IF($H$3="e",BA4,IF($H$3="a",BN4,IF($H$3="p",CA4,IF($H$3="D",CO4))))))</f>
        <v>KG SEMOLA</v>
      </c>
      <c r="L4" s="282">
        <f>IF($H$3="A",L1*35.31*C61,ROUNDUP($L$1*$C$60,-2))</f>
        <v>0</v>
      </c>
      <c r="M4" s="281">
        <f>M2</f>
        <v>0</v>
      </c>
      <c r="N4" s="267">
        <f>IF(L1=0,0,PREZZI!G55+PREZZI!G55*DB1)</f>
        <v>0</v>
      </c>
      <c r="Y4" s="144" t="s">
        <v>636</v>
      </c>
      <c r="Z4" s="144"/>
      <c r="AM4" s="280" t="s">
        <v>635</v>
      </c>
      <c r="AN4" s="144"/>
      <c r="BA4" s="280" t="s">
        <v>634</v>
      </c>
      <c r="BB4" s="144"/>
      <c r="BN4" s="280" t="s">
        <v>634</v>
      </c>
      <c r="BO4" s="144"/>
      <c r="CA4" s="280" t="s">
        <v>633</v>
      </c>
      <c r="CB4" s="144"/>
      <c r="CO4" s="204" t="s">
        <v>632</v>
      </c>
      <c r="CP4" s="144"/>
      <c r="CV4" s="279"/>
      <c r="CW4" s="279"/>
    </row>
    <row r="5" spans="1:106" ht="15.75" x14ac:dyDescent="0.25">
      <c r="A5" s="145" t="str">
        <f>IF($H$3=0,O5,IF($H$3="F",AC5,IF($H$3="e",AQ5,IF($H$3="a",BD5,IF($H$3="p",BQ5,IF($H$3="D",CE5))))))</f>
        <v>H SILO</v>
      </c>
      <c r="B5" s="278">
        <f>STXVOLUME!C14</f>
        <v>0</v>
      </c>
      <c r="C5" s="145" t="str">
        <f>IF($H$3=0,Q5,IF($H$3="F",AE5,IF($H$3="e",AS5,IF($H$3="a",BF5,IF($H$3="p",BS5,IF($H$3="D",CG5))))))</f>
        <v>Estrazione</v>
      </c>
      <c r="D5" s="278" t="s">
        <v>54</v>
      </c>
      <c r="O5" s="144" t="s">
        <v>119</v>
      </c>
      <c r="Q5" s="144" t="s">
        <v>50</v>
      </c>
      <c r="Z5" s="144"/>
      <c r="AC5" s="144" t="s">
        <v>119</v>
      </c>
      <c r="AE5" s="144" t="s">
        <v>472</v>
      </c>
      <c r="AN5" s="144"/>
      <c r="AQ5" s="144" t="s">
        <v>119</v>
      </c>
      <c r="AS5" s="144" t="s">
        <v>631</v>
      </c>
      <c r="BB5" s="144"/>
      <c r="BD5" s="144" t="s">
        <v>119</v>
      </c>
      <c r="BF5" s="144" t="s">
        <v>631</v>
      </c>
      <c r="BO5" s="144"/>
      <c r="BQ5" s="144" t="s">
        <v>119</v>
      </c>
      <c r="BS5" s="144" t="s">
        <v>568</v>
      </c>
      <c r="CB5" s="144"/>
      <c r="CE5" s="144" t="s">
        <v>119</v>
      </c>
      <c r="CG5" s="144" t="s">
        <v>630</v>
      </c>
      <c r="CP5" s="144"/>
    </row>
    <row r="6" spans="1:106" ht="15.75" x14ac:dyDescent="0.25">
      <c r="A6" s="145" t="str">
        <f>IF($H$3=0,O6,IF($H$3="F",AC6,IF($H$3="e",AQ6,IF($H$3="a",BD6,IF($H$3="p",BQ6,IF($H$3="D",CE6))))))</f>
        <v>Lato lungo</v>
      </c>
      <c r="B6" s="278">
        <f>STXVOLUME!C15</f>
        <v>0</v>
      </c>
      <c r="C6" s="145" t="str">
        <f>IF($H$3=0,Q6,IF($H$3="F",AE6,IF($H$3="e",AS6,IF($H$3="a",BF6,IF($H$3="p",BS6,IF($H$3="D",CG6))))))</f>
        <v>Lato corto</v>
      </c>
      <c r="D6" s="278">
        <f>STXVOLUME!E15</f>
        <v>0</v>
      </c>
      <c r="I6" s="202"/>
      <c r="M6" s="218"/>
      <c r="N6" s="264" t="s">
        <v>629</v>
      </c>
      <c r="O6" s="147" t="s">
        <v>5</v>
      </c>
      <c r="Q6" s="147" t="s">
        <v>6</v>
      </c>
      <c r="AC6" s="218" t="s">
        <v>516</v>
      </c>
      <c r="AE6" s="218" t="s">
        <v>512</v>
      </c>
      <c r="AQ6" s="147" t="s">
        <v>515</v>
      </c>
      <c r="AS6" s="147" t="s">
        <v>511</v>
      </c>
      <c r="BD6" s="147" t="s">
        <v>515</v>
      </c>
      <c r="BF6" s="147" t="s">
        <v>511</v>
      </c>
      <c r="BQ6" s="247" t="s">
        <v>514</v>
      </c>
      <c r="BS6" s="218" t="s">
        <v>510</v>
      </c>
      <c r="CE6" s="147" t="s">
        <v>513</v>
      </c>
      <c r="CG6" s="147" t="s">
        <v>509</v>
      </c>
    </row>
    <row r="7" spans="1:106" ht="15.75" customHeight="1" x14ac:dyDescent="0.3">
      <c r="A7" s="149" t="str">
        <f>IF($H$3=0,O7,IF($H$3="F",AC7,IF($H$3="e",AQ7,IF($H$3="a",BD7,IF($H$3="p",BQ7,IF($H$3="D",CE7))))))</f>
        <v>Eventuale luce extra sotto cono</v>
      </c>
      <c r="B7" s="224"/>
      <c r="C7" s="217"/>
      <c r="D7" s="277">
        <f>STXVOLUME!E16</f>
        <v>0</v>
      </c>
      <c r="I7" s="202"/>
      <c r="M7" s="145" t="s">
        <v>628</v>
      </c>
      <c r="N7" s="263">
        <f>IF(L1=0,0,M2-N2-N14)</f>
        <v>0</v>
      </c>
      <c r="O7" s="218" t="s">
        <v>120</v>
      </c>
      <c r="Y7" s="145" t="s">
        <v>83</v>
      </c>
      <c r="AC7" s="218" t="s">
        <v>627</v>
      </c>
      <c r="AM7" s="145" t="str">
        <f>IF($H$3=0,BA1,IF($H$3="F",BO1,IF($H$3="e",CC1,IF($H$3="a",CP1,IF($H$3="p",DC1)))))</f>
        <v>CM REF</v>
      </c>
      <c r="AQ7" s="218" t="s">
        <v>626</v>
      </c>
      <c r="BA7" s="145">
        <f>IF($H$3=0,BO1,IF($H$3="F",CC1,IF($H$3="e",CQ1,IF($H$3="a",DD1,IF($H$3="p",DQ1)))))</f>
        <v>0</v>
      </c>
      <c r="BD7" s="218" t="s">
        <v>626</v>
      </c>
      <c r="BN7" s="145">
        <f>IF($H$3=0,CB1,IF($H$3="F",CP1,IF($H$3="e",DD1,IF($H$3="a",DQ1,IF($H$3="p",ED1)))))</f>
        <v>0</v>
      </c>
      <c r="BQ7" s="218" t="s">
        <v>625</v>
      </c>
      <c r="CA7" s="145" t="str">
        <f>IF($H$3=0,CO1,IF($H$3="F",DC1,IF($H$3="e",DQ1,IF($H$3="a",ED1,IF($H$3="p",EQ1)))))</f>
        <v>KM REF</v>
      </c>
      <c r="CE7" s="218" t="s">
        <v>624</v>
      </c>
      <c r="CO7" s="145" t="s">
        <v>83</v>
      </c>
    </row>
    <row r="8" spans="1:106" ht="15.75" customHeight="1" x14ac:dyDescent="0.3">
      <c r="A8" s="149" t="str">
        <f>IF($H$3=0,O8,IF($H$3="F",AC8,IF($H$3="e",AQ8,IF($H$3="a",BD8,IF($H$3="p",BQ8,IF($H$3="D",CE8))))))</f>
        <v>Forzare H cono cfr angolo</v>
      </c>
      <c r="B8" s="224"/>
      <c r="C8" s="217"/>
      <c r="D8" s="277">
        <f>STXVOLUME!E17</f>
        <v>0</v>
      </c>
      <c r="M8" s="145" t="s">
        <v>623</v>
      </c>
      <c r="N8" s="267">
        <f>IF(L1=0,0,M3-N3-N14)</f>
        <v>0</v>
      </c>
      <c r="O8" s="218" t="s">
        <v>622</v>
      </c>
      <c r="Y8" s="145" t="s">
        <v>617</v>
      </c>
      <c r="AC8" s="218" t="s">
        <v>621</v>
      </c>
      <c r="AM8" s="145" t="s">
        <v>617</v>
      </c>
      <c r="AQ8" s="218" t="s">
        <v>620</v>
      </c>
      <c r="BA8" s="145" t="s">
        <v>617</v>
      </c>
      <c r="BD8" s="218" t="s">
        <v>620</v>
      </c>
      <c r="BN8" s="145" t="s">
        <v>617</v>
      </c>
      <c r="BQ8" s="218" t="s">
        <v>619</v>
      </c>
      <c r="CA8" s="145" t="s">
        <v>617</v>
      </c>
      <c r="CE8" s="218" t="s">
        <v>618</v>
      </c>
      <c r="CO8" s="145" t="s">
        <v>617</v>
      </c>
    </row>
    <row r="9" spans="1:106" ht="19.5" customHeight="1" x14ac:dyDescent="0.3">
      <c r="K9" s="145" t="str">
        <f>IF($H$3=0,Y1,IF($H$3="F",AM1,IF($H$3="e",BA1,IF($H$3="a",BN1,IF($H$3="p",CA1)))))</f>
        <v>MC RIF</v>
      </c>
      <c r="L9" s="276">
        <f>IF(H51=0,0,IF(H58="ALLARME","ALLARME",IF(H52/H51&lt;STXVOLUME!M11,"allarme",ROUNDUP(H58,1))))</f>
        <v>0</v>
      </c>
      <c r="Z9" s="144"/>
      <c r="AN9" s="144"/>
      <c r="BB9" s="144"/>
      <c r="BO9" s="144"/>
      <c r="CB9" s="144"/>
      <c r="CP9" s="144"/>
    </row>
    <row r="10" spans="1:106" ht="15.75" customHeight="1" x14ac:dyDescent="0.3">
      <c r="K10" s="145" t="s">
        <v>617</v>
      </c>
      <c r="L10" s="276">
        <f>IF(H51=0,0,IF(I58="ALLARME","ALLARME",IF(I52/I51&lt;STXVOLUME!M11,"allarme",ROUNDUP(I58,1))))</f>
        <v>0</v>
      </c>
      <c r="M10" s="204"/>
      <c r="Z10" s="144"/>
      <c r="AN10" s="144"/>
      <c r="BB10" s="144"/>
      <c r="BO10" s="144"/>
      <c r="CB10" s="144"/>
      <c r="CP10" s="144"/>
    </row>
    <row r="11" spans="1:106" x14ac:dyDescent="0.2">
      <c r="I11" s="147" t="s">
        <v>1</v>
      </c>
      <c r="J11" s="145" t="str">
        <f t="shared" ref="J11:J21" si="0">IF($H$3=0,X11,IF($H$3="F",AL11,IF($H$3="e",AZ11,IF($H$3="a",BM11,IF($H$3="p",BZ11,IF($H$3="D",CN11))))))</f>
        <v>Descrizione</v>
      </c>
      <c r="K11" s="224"/>
      <c r="L11" s="148" t="s">
        <v>3</v>
      </c>
      <c r="W11" s="147" t="s">
        <v>1</v>
      </c>
      <c r="X11" s="275" t="s">
        <v>2</v>
      </c>
      <c r="Y11" s="224"/>
      <c r="Z11" s="148" t="s">
        <v>3</v>
      </c>
      <c r="AK11" s="147" t="s">
        <v>1</v>
      </c>
      <c r="AL11" s="275" t="s">
        <v>2</v>
      </c>
      <c r="AM11" s="224"/>
      <c r="AN11" s="148" t="s">
        <v>3</v>
      </c>
      <c r="AY11" s="147" t="s">
        <v>1</v>
      </c>
      <c r="AZ11" s="275" t="s">
        <v>616</v>
      </c>
      <c r="BA11" s="224"/>
      <c r="BB11" s="148" t="s">
        <v>3</v>
      </c>
      <c r="BL11" s="147" t="s">
        <v>1</v>
      </c>
      <c r="BM11" s="275" t="s">
        <v>616</v>
      </c>
      <c r="BN11" s="224"/>
      <c r="BO11" s="148" t="s">
        <v>3</v>
      </c>
      <c r="BY11" s="147" t="s">
        <v>1</v>
      </c>
      <c r="BZ11" s="275" t="s">
        <v>615</v>
      </c>
      <c r="CA11" s="224"/>
      <c r="CB11" s="148" t="s">
        <v>3</v>
      </c>
      <c r="CM11" s="147" t="s">
        <v>1</v>
      </c>
      <c r="CN11" s="275" t="s">
        <v>614</v>
      </c>
      <c r="CO11" s="224"/>
      <c r="CP11" s="148" t="s">
        <v>3</v>
      </c>
    </row>
    <row r="12" spans="1:106" x14ac:dyDescent="0.2">
      <c r="I12" s="147" t="s">
        <v>4</v>
      </c>
      <c r="J12" s="149" t="str">
        <f t="shared" si="0"/>
        <v>Lato lungo</v>
      </c>
      <c r="K12" s="231"/>
      <c r="L12" s="273">
        <f>B6</f>
        <v>0</v>
      </c>
      <c r="W12" s="147" t="s">
        <v>4</v>
      </c>
      <c r="X12" s="266" t="s">
        <v>5</v>
      </c>
      <c r="Y12" s="231"/>
      <c r="Z12" s="3">
        <v>0</v>
      </c>
      <c r="AK12" s="147" t="s">
        <v>4</v>
      </c>
      <c r="AL12" s="266" t="s">
        <v>516</v>
      </c>
      <c r="AM12" s="231"/>
      <c r="AN12" s="3">
        <v>0</v>
      </c>
      <c r="AY12" s="147" t="s">
        <v>4</v>
      </c>
      <c r="AZ12" s="266" t="s">
        <v>515</v>
      </c>
      <c r="BA12" s="231"/>
      <c r="BB12" s="3">
        <v>0</v>
      </c>
      <c r="BL12" s="147" t="s">
        <v>4</v>
      </c>
      <c r="BM12" s="266" t="s">
        <v>515</v>
      </c>
      <c r="BN12" s="231"/>
      <c r="BO12" s="3">
        <v>0</v>
      </c>
      <c r="BY12" s="147" t="s">
        <v>4</v>
      </c>
      <c r="BZ12" s="266" t="s">
        <v>514</v>
      </c>
      <c r="CA12" s="231"/>
      <c r="CB12" s="3">
        <v>0</v>
      </c>
      <c r="CM12" s="147" t="s">
        <v>4</v>
      </c>
      <c r="CN12" s="266" t="s">
        <v>613</v>
      </c>
      <c r="CO12" s="231"/>
      <c r="CP12" s="3">
        <v>0</v>
      </c>
    </row>
    <row r="13" spans="1:106" x14ac:dyDescent="0.2">
      <c r="I13" s="147"/>
      <c r="J13" s="149" t="str">
        <f t="shared" si="0"/>
        <v>Lato corto</v>
      </c>
      <c r="L13" s="273">
        <f>D6</f>
        <v>0</v>
      </c>
      <c r="N13" s="264" t="s">
        <v>612</v>
      </c>
      <c r="W13" s="147"/>
      <c r="X13" s="274" t="s">
        <v>6</v>
      </c>
      <c r="Z13" s="3">
        <v>0</v>
      </c>
      <c r="AK13" s="147"/>
      <c r="AL13" s="274" t="s">
        <v>512</v>
      </c>
      <c r="AN13" s="3">
        <v>0</v>
      </c>
      <c r="AY13" s="147"/>
      <c r="AZ13" s="274" t="s">
        <v>511</v>
      </c>
      <c r="BB13" s="3">
        <v>0</v>
      </c>
      <c r="BL13" s="147"/>
      <c r="BM13" s="274" t="s">
        <v>511</v>
      </c>
      <c r="BO13" s="3">
        <v>0</v>
      </c>
      <c r="BY13" s="147"/>
      <c r="BZ13" s="274" t="s">
        <v>611</v>
      </c>
      <c r="CB13" s="3">
        <v>0</v>
      </c>
      <c r="CM13" s="147"/>
      <c r="CN13" s="274" t="s">
        <v>610</v>
      </c>
      <c r="CP13" s="3">
        <v>0</v>
      </c>
    </row>
    <row r="14" spans="1:106" ht="18.75" x14ac:dyDescent="0.3">
      <c r="I14" s="147" t="s">
        <v>7</v>
      </c>
      <c r="J14" s="149" t="str">
        <f t="shared" si="0"/>
        <v>Altezza corpo</v>
      </c>
      <c r="K14" s="147"/>
      <c r="L14" s="273">
        <f>IF($H$3="A",M50+M44,H50+H44)</f>
        <v>-705</v>
      </c>
      <c r="M14" s="145" t="s">
        <v>609</v>
      </c>
      <c r="N14" s="263">
        <f>IF(L1=0,0,PREZZI!G84+PREZZI!G84*DB1)</f>
        <v>0</v>
      </c>
      <c r="W14" s="147" t="s">
        <v>7</v>
      </c>
      <c r="X14" s="262" t="s">
        <v>8</v>
      </c>
      <c r="Y14" s="147"/>
      <c r="Z14" s="4">
        <v>0</v>
      </c>
      <c r="AK14" s="147" t="s">
        <v>7</v>
      </c>
      <c r="AL14" s="262" t="s">
        <v>608</v>
      </c>
      <c r="AM14" s="147"/>
      <c r="AN14" s="4">
        <v>0</v>
      </c>
      <c r="AY14" s="147" t="s">
        <v>7</v>
      </c>
      <c r="AZ14" s="262" t="s">
        <v>518</v>
      </c>
      <c r="BA14" s="147"/>
      <c r="BB14" s="4">
        <v>0</v>
      </c>
      <c r="BL14" s="147" t="s">
        <v>7</v>
      </c>
      <c r="BM14" s="262" t="s">
        <v>518</v>
      </c>
      <c r="BN14" s="147"/>
      <c r="BO14" s="4">
        <v>0</v>
      </c>
      <c r="BY14" s="147" t="s">
        <v>7</v>
      </c>
      <c r="BZ14" s="262" t="s">
        <v>607</v>
      </c>
      <c r="CA14" s="147"/>
      <c r="CB14" s="4">
        <v>0</v>
      </c>
      <c r="CM14" s="147" t="s">
        <v>7</v>
      </c>
      <c r="CN14" s="262" t="s">
        <v>606</v>
      </c>
      <c r="CO14" s="147"/>
      <c r="CP14" s="4">
        <v>0</v>
      </c>
    </row>
    <row r="15" spans="1:106" ht="18.75" x14ac:dyDescent="0.3">
      <c r="I15" s="147" t="s">
        <v>9</v>
      </c>
      <c r="J15" s="149" t="str">
        <f t="shared" si="0"/>
        <v>Altezza cono trevira rilassato</v>
      </c>
      <c r="K15" s="147"/>
      <c r="L15" s="265">
        <f>IF($H$3="A",M49,H49)</f>
        <v>0</v>
      </c>
      <c r="M15" s="145" t="s">
        <v>605</v>
      </c>
      <c r="N15" s="263">
        <f>IF(L1=0,0,PREZZI!H84+PREZZI!H84*DB1)</f>
        <v>0</v>
      </c>
      <c r="W15" s="147" t="s">
        <v>9</v>
      </c>
      <c r="X15" s="262" t="s">
        <v>604</v>
      </c>
      <c r="Y15" s="147"/>
      <c r="Z15" s="4">
        <v>0</v>
      </c>
      <c r="AK15" s="147" t="s">
        <v>9</v>
      </c>
      <c r="AL15" s="262" t="s">
        <v>603</v>
      </c>
      <c r="AM15" s="147"/>
      <c r="AN15" s="4">
        <v>0</v>
      </c>
      <c r="AY15" s="147" t="s">
        <v>9</v>
      </c>
      <c r="AZ15" s="262" t="s">
        <v>522</v>
      </c>
      <c r="BA15" s="147"/>
      <c r="BB15" s="4">
        <v>0</v>
      </c>
      <c r="BL15" s="147" t="s">
        <v>9</v>
      </c>
      <c r="BM15" s="262" t="s">
        <v>522</v>
      </c>
      <c r="BN15" s="147"/>
      <c r="BO15" s="4">
        <v>0</v>
      </c>
      <c r="BY15" s="147" t="s">
        <v>9</v>
      </c>
      <c r="BZ15" s="262" t="s">
        <v>602</v>
      </c>
      <c r="CA15" s="147"/>
      <c r="CB15" s="4">
        <v>0</v>
      </c>
      <c r="CM15" s="147" t="s">
        <v>9</v>
      </c>
      <c r="CN15" s="262" t="s">
        <v>601</v>
      </c>
      <c r="CO15" s="147"/>
      <c r="CP15" s="4">
        <v>0</v>
      </c>
    </row>
    <row r="16" spans="1:106" x14ac:dyDescent="0.2">
      <c r="I16" s="147" t="s">
        <v>10</v>
      </c>
      <c r="J16" s="149" t="str">
        <f t="shared" si="0"/>
        <v>Ht cono trevira a terra a silo vuoto</v>
      </c>
      <c r="K16" s="147"/>
      <c r="L16" s="265">
        <f>IF($H$3="A",M45+M46+M47,H45+H46+H47)</f>
        <v>705</v>
      </c>
      <c r="W16" s="147" t="s">
        <v>10</v>
      </c>
      <c r="X16" s="266" t="s">
        <v>600</v>
      </c>
      <c r="Y16" s="147"/>
      <c r="Z16" s="4">
        <v>0</v>
      </c>
      <c r="AK16" s="147" t="s">
        <v>10</v>
      </c>
      <c r="AL16" s="266" t="s">
        <v>599</v>
      </c>
      <c r="AM16" s="147"/>
      <c r="AN16" s="4">
        <v>0</v>
      </c>
      <c r="AY16" s="147" t="s">
        <v>10</v>
      </c>
      <c r="AZ16" s="266" t="s">
        <v>598</v>
      </c>
      <c r="BA16" s="147"/>
      <c r="BB16" s="4">
        <v>0</v>
      </c>
      <c r="BL16" s="147" t="s">
        <v>10</v>
      </c>
      <c r="BM16" s="266" t="s">
        <v>598</v>
      </c>
      <c r="BN16" s="147"/>
      <c r="BO16" s="4">
        <v>0</v>
      </c>
      <c r="BY16" s="147" t="s">
        <v>10</v>
      </c>
      <c r="BZ16" s="266" t="s">
        <v>597</v>
      </c>
      <c r="CA16" s="147"/>
      <c r="CB16" s="4">
        <v>0</v>
      </c>
      <c r="CM16" s="147" t="s">
        <v>10</v>
      </c>
      <c r="CN16" s="266" t="s">
        <v>596</v>
      </c>
      <c r="CO16" s="147"/>
      <c r="CP16" s="4">
        <v>0</v>
      </c>
    </row>
    <row r="17" spans="9:95" x14ac:dyDescent="0.2">
      <c r="I17" s="147" t="s">
        <v>11</v>
      </c>
      <c r="J17" s="149" t="str">
        <f t="shared" si="0"/>
        <v>Ht per sfiato silo</v>
      </c>
      <c r="K17" s="272"/>
      <c r="L17" s="265">
        <f>IF($H$3="A",6,150)</f>
        <v>150</v>
      </c>
      <c r="M17" s="218"/>
      <c r="N17" s="264" t="s">
        <v>595</v>
      </c>
      <c r="W17" s="147" t="s">
        <v>11</v>
      </c>
      <c r="X17" s="266" t="s">
        <v>96</v>
      </c>
      <c r="Y17" s="147"/>
      <c r="Z17" s="4">
        <v>0</v>
      </c>
      <c r="AK17" s="147" t="s">
        <v>11</v>
      </c>
      <c r="AL17" s="266" t="s">
        <v>594</v>
      </c>
      <c r="AM17" s="147"/>
      <c r="AN17" s="4">
        <v>0</v>
      </c>
      <c r="AY17" s="147" t="s">
        <v>11</v>
      </c>
      <c r="AZ17" s="266" t="s">
        <v>593</v>
      </c>
      <c r="BA17" s="147"/>
      <c r="BB17" s="4">
        <v>0</v>
      </c>
      <c r="BL17" s="147" t="s">
        <v>11</v>
      </c>
      <c r="BM17" s="266" t="s">
        <v>593</v>
      </c>
      <c r="BN17" s="147"/>
      <c r="BO17" s="4">
        <v>0</v>
      </c>
      <c r="BY17" s="147" t="s">
        <v>11</v>
      </c>
      <c r="BZ17" s="247" t="s">
        <v>592</v>
      </c>
      <c r="CA17" s="147"/>
      <c r="CB17" s="4">
        <v>0</v>
      </c>
      <c r="CM17" s="147" t="s">
        <v>11</v>
      </c>
      <c r="CN17" s="266" t="s">
        <v>591</v>
      </c>
      <c r="CO17" s="147"/>
      <c r="CP17" s="4">
        <v>0</v>
      </c>
    </row>
    <row r="18" spans="9:95" ht="18.75" x14ac:dyDescent="0.3">
      <c r="I18" s="270" t="s">
        <v>12</v>
      </c>
      <c r="J18" s="149" t="str">
        <f t="shared" si="0"/>
        <v>Ingombro totale silo altezza</v>
      </c>
      <c r="K18" s="271"/>
      <c r="L18" s="268"/>
      <c r="M18" s="144" t="s">
        <v>590</v>
      </c>
      <c r="N18" s="263">
        <f>IF(L1=0,0,N2+N14)</f>
        <v>0</v>
      </c>
      <c r="W18" s="254" t="s">
        <v>12</v>
      </c>
      <c r="X18" s="261" t="s">
        <v>13</v>
      </c>
      <c r="Z18" s="5"/>
      <c r="AK18" s="254" t="s">
        <v>12</v>
      </c>
      <c r="AL18" s="261" t="s">
        <v>542</v>
      </c>
      <c r="AN18" s="5"/>
      <c r="AY18" s="254" t="s">
        <v>12</v>
      </c>
      <c r="AZ18" s="261" t="s">
        <v>541</v>
      </c>
      <c r="BB18" s="5"/>
      <c r="BL18" s="254" t="s">
        <v>12</v>
      </c>
      <c r="BM18" s="261" t="s">
        <v>541</v>
      </c>
      <c r="BO18" s="5"/>
      <c r="BY18" s="254" t="s">
        <v>12</v>
      </c>
      <c r="BZ18" s="261" t="s">
        <v>540</v>
      </c>
      <c r="CB18" s="5"/>
      <c r="CM18" s="254" t="s">
        <v>12</v>
      </c>
      <c r="CN18" s="261" t="s">
        <v>589</v>
      </c>
      <c r="CP18" s="5"/>
    </row>
    <row r="19" spans="9:95" ht="18.75" x14ac:dyDescent="0.3">
      <c r="I19" s="270"/>
      <c r="J19" s="149" t="str">
        <f t="shared" si="0"/>
        <v>incluso spazio per sfiato silo</v>
      </c>
      <c r="K19" s="269"/>
      <c r="L19" s="268">
        <f>SUM(L14:L18)</f>
        <v>150</v>
      </c>
      <c r="M19" s="144" t="s">
        <v>575</v>
      </c>
      <c r="N19" s="267">
        <f>IF(L1=0,0,N2+N15)</f>
        <v>0</v>
      </c>
      <c r="W19" s="254"/>
      <c r="X19" s="261" t="s">
        <v>94</v>
      </c>
      <c r="Z19" s="2">
        <v>0</v>
      </c>
      <c r="AK19" s="254"/>
      <c r="AL19" s="261" t="s">
        <v>588</v>
      </c>
      <c r="AN19" s="2">
        <v>0</v>
      </c>
      <c r="AY19" s="254"/>
      <c r="AZ19" s="261" t="s">
        <v>587</v>
      </c>
      <c r="BB19" s="2">
        <v>0</v>
      </c>
      <c r="BL19" s="254"/>
      <c r="BM19" s="261" t="s">
        <v>587</v>
      </c>
      <c r="BO19" s="2">
        <v>0</v>
      </c>
      <c r="BY19" s="254"/>
      <c r="BZ19" s="261" t="s">
        <v>586</v>
      </c>
      <c r="CB19" s="2">
        <v>0</v>
      </c>
      <c r="CM19" s="254"/>
      <c r="CN19" s="261" t="s">
        <v>585</v>
      </c>
      <c r="CP19" s="2">
        <v>0</v>
      </c>
    </row>
    <row r="20" spans="9:95" x14ac:dyDescent="0.2">
      <c r="I20" s="147" t="s">
        <v>14</v>
      </c>
      <c r="J20" s="149" t="str">
        <f t="shared" si="0"/>
        <v>Lunghezza tubo di carico</v>
      </c>
      <c r="K20" s="147"/>
      <c r="L20" s="265">
        <f>IF(L12=0,0,IF($H$3="A",L19-73,L19-1500-300))</f>
        <v>0</v>
      </c>
      <c r="W20" s="147" t="s">
        <v>14</v>
      </c>
      <c r="X20" s="262" t="s">
        <v>15</v>
      </c>
      <c r="Y20" s="147"/>
      <c r="Z20" s="4">
        <v>0</v>
      </c>
      <c r="AK20" s="147" t="s">
        <v>14</v>
      </c>
      <c r="AL20" s="262" t="s">
        <v>584</v>
      </c>
      <c r="AM20" s="147"/>
      <c r="AN20" s="4">
        <v>0</v>
      </c>
      <c r="AY20" s="147" t="s">
        <v>14</v>
      </c>
      <c r="AZ20" s="262" t="s">
        <v>583</v>
      </c>
      <c r="BA20" s="147"/>
      <c r="BB20" s="4">
        <v>0</v>
      </c>
      <c r="BL20" s="147" t="s">
        <v>14</v>
      </c>
      <c r="BM20" s="262" t="s">
        <v>583</v>
      </c>
      <c r="BN20" s="147"/>
      <c r="BO20" s="4">
        <v>0</v>
      </c>
      <c r="BY20" s="147" t="s">
        <v>14</v>
      </c>
      <c r="BZ20" s="262" t="s">
        <v>582</v>
      </c>
      <c r="CA20" s="147"/>
      <c r="CB20" s="4">
        <v>0</v>
      </c>
      <c r="CM20" s="147" t="s">
        <v>14</v>
      </c>
      <c r="CN20" s="266" t="s">
        <v>581</v>
      </c>
      <c r="CO20" s="147"/>
      <c r="CP20" s="4">
        <v>0</v>
      </c>
    </row>
    <row r="21" spans="9:95" x14ac:dyDescent="0.2">
      <c r="I21" s="147" t="s">
        <v>16</v>
      </c>
      <c r="J21" s="149" t="str">
        <f t="shared" si="0"/>
        <v>Diametro cono</v>
      </c>
      <c r="K21" s="147"/>
      <c r="L21" s="265">
        <f>IF(L12=0,0,I89)</f>
        <v>0</v>
      </c>
      <c r="M21" s="218"/>
      <c r="N21" s="264" t="s">
        <v>580</v>
      </c>
      <c r="W21" s="147" t="s">
        <v>16</v>
      </c>
      <c r="X21" s="262" t="s">
        <v>17</v>
      </c>
      <c r="Y21" s="147"/>
      <c r="Z21" s="4">
        <v>0</v>
      </c>
      <c r="AK21" s="147" t="s">
        <v>16</v>
      </c>
      <c r="AL21" s="262" t="s">
        <v>579</v>
      </c>
      <c r="AM21" s="147"/>
      <c r="AN21" s="4">
        <v>0</v>
      </c>
      <c r="AY21" s="147" t="s">
        <v>16</v>
      </c>
      <c r="AZ21" s="262" t="s">
        <v>578</v>
      </c>
      <c r="BA21" s="147"/>
      <c r="BB21" s="4">
        <v>0</v>
      </c>
      <c r="BL21" s="147" t="s">
        <v>16</v>
      </c>
      <c r="BM21" s="262" t="s">
        <v>578</v>
      </c>
      <c r="BN21" s="147"/>
      <c r="BO21" s="4">
        <v>0</v>
      </c>
      <c r="BY21" s="147" t="s">
        <v>16</v>
      </c>
      <c r="BZ21" s="262" t="s">
        <v>577</v>
      </c>
      <c r="CA21" s="147"/>
      <c r="CB21" s="4">
        <v>0</v>
      </c>
      <c r="CM21" s="147" t="s">
        <v>16</v>
      </c>
      <c r="CN21" s="262" t="s">
        <v>576</v>
      </c>
      <c r="CO21" s="147"/>
      <c r="CP21" s="4">
        <v>0</v>
      </c>
    </row>
    <row r="22" spans="9:95" ht="18.75" x14ac:dyDescent="0.3">
      <c r="L22" s="144"/>
      <c r="M22" s="144" t="s">
        <v>575</v>
      </c>
      <c r="N22" s="263">
        <f>IF(L1=0,0,N3+N15)</f>
        <v>0</v>
      </c>
      <c r="W22" s="147"/>
      <c r="X22" s="262"/>
      <c r="Y22" s="147"/>
      <c r="Z22" s="4"/>
      <c r="AK22" s="147"/>
      <c r="AL22" s="262"/>
      <c r="AM22" s="147"/>
      <c r="AN22" s="4"/>
      <c r="AY22" s="147"/>
      <c r="AZ22" s="262"/>
      <c r="BA22" s="147"/>
      <c r="BB22" s="4"/>
      <c r="BL22" s="147"/>
      <c r="BM22" s="262"/>
      <c r="BN22" s="147"/>
      <c r="BO22" s="4"/>
      <c r="BY22" s="147"/>
      <c r="BZ22" s="262"/>
      <c r="CA22" s="147"/>
      <c r="CB22" s="4"/>
      <c r="CM22" s="147"/>
      <c r="CN22" s="262"/>
      <c r="CO22" s="147"/>
      <c r="CP22" s="4"/>
    </row>
    <row r="23" spans="9:95" x14ac:dyDescent="0.2">
      <c r="L23" s="144"/>
      <c r="W23" s="147"/>
      <c r="X23" s="261">
        <v>0</v>
      </c>
      <c r="Z23" s="4"/>
      <c r="AK23" s="147"/>
      <c r="AL23" s="261">
        <v>0</v>
      </c>
      <c r="AN23" s="4"/>
      <c r="AY23" s="147"/>
      <c r="AZ23" s="261"/>
      <c r="BB23" s="4"/>
      <c r="BL23" s="147"/>
      <c r="BM23" s="261"/>
      <c r="BO23" s="4"/>
      <c r="BY23" s="147"/>
      <c r="BZ23" s="261">
        <v>0</v>
      </c>
      <c r="CB23" s="4"/>
      <c r="CM23" s="147"/>
      <c r="CN23" s="261">
        <v>0</v>
      </c>
      <c r="CP23" s="4"/>
    </row>
    <row r="24" spans="9:95" x14ac:dyDescent="0.2">
      <c r="L24" s="144"/>
      <c r="Z24" s="144"/>
      <c r="AN24" s="144"/>
      <c r="BB24" s="144"/>
      <c r="BO24" s="144"/>
      <c r="CB24" s="144"/>
      <c r="CP24" s="144"/>
    </row>
    <row r="25" spans="9:95" ht="18.75" x14ac:dyDescent="0.3">
      <c r="L25" s="144"/>
      <c r="M25" s="144" t="s">
        <v>897</v>
      </c>
      <c r="N25" s="263">
        <f>IF(L1=0,0,PREZZI!M74+PREZZI!M74*DB1)</f>
        <v>0</v>
      </c>
      <c r="Z25" s="144"/>
      <c r="AN25" s="144"/>
      <c r="BB25" s="144"/>
      <c r="BO25" s="144"/>
      <c r="CB25" s="144"/>
      <c r="CP25" s="144"/>
    </row>
    <row r="26" spans="9:95" x14ac:dyDescent="0.2">
      <c r="W26" s="148">
        <f>W92</f>
        <v>0</v>
      </c>
      <c r="X26" s="147" t="s">
        <v>288</v>
      </c>
      <c r="Y26" s="147"/>
      <c r="Z26" s="148">
        <f>IF(R41=0,0,W92)</f>
        <v>0</v>
      </c>
      <c r="AK26" s="148">
        <f>AK92</f>
        <v>0</v>
      </c>
      <c r="AL26" s="147" t="s">
        <v>288</v>
      </c>
      <c r="AM26" s="147"/>
      <c r="AN26" s="148">
        <f>IF(AF41=0,0,AK92)</f>
        <v>0</v>
      </c>
      <c r="AY26" s="148">
        <f>AY92</f>
        <v>0</v>
      </c>
      <c r="AZ26" s="147" t="s">
        <v>288</v>
      </c>
      <c r="BA26" s="147"/>
      <c r="BB26" s="148">
        <f>IF(AT41=0,0,AY92)</f>
        <v>0</v>
      </c>
      <c r="BL26" s="148">
        <f>BL92</f>
        <v>0</v>
      </c>
      <c r="BM26" s="147" t="s">
        <v>288</v>
      </c>
      <c r="BN26" s="147"/>
      <c r="BO26" s="148">
        <f>IF(BG41=0,0,BL92)</f>
        <v>0</v>
      </c>
      <c r="BY26" s="148">
        <f>BY92</f>
        <v>0</v>
      </c>
      <c r="BZ26" s="147" t="s">
        <v>288</v>
      </c>
      <c r="CA26" s="147"/>
      <c r="CB26" s="148">
        <f>IF(BT41=0,0,BY92)</f>
        <v>0</v>
      </c>
      <c r="CM26" s="148">
        <f>CM92</f>
        <v>0</v>
      </c>
      <c r="CN26" s="147" t="s">
        <v>574</v>
      </c>
      <c r="CO26" s="147"/>
      <c r="CP26" s="148">
        <f>IF(CH41=0,0,CM92)</f>
        <v>0</v>
      </c>
    </row>
    <row r="27" spans="9:95" x14ac:dyDescent="0.2">
      <c r="W27" s="147"/>
      <c r="X27" s="149" t="s">
        <v>572</v>
      </c>
      <c r="Y27" s="224"/>
      <c r="Z27" s="148">
        <f>IF(R41=0,0,Z72)</f>
        <v>0</v>
      </c>
      <c r="AK27" s="147"/>
      <c r="AL27" s="149" t="s">
        <v>572</v>
      </c>
      <c r="AM27" s="224"/>
      <c r="AN27" s="148">
        <f>IF(AF41=0,0,AN72)</f>
        <v>0</v>
      </c>
      <c r="AY27" s="147"/>
      <c r="AZ27" s="149" t="s">
        <v>572</v>
      </c>
      <c r="BA27" s="224"/>
      <c r="BB27" s="148">
        <f>IF(AT41=0,0,BB72)</f>
        <v>0</v>
      </c>
      <c r="BL27" s="147"/>
      <c r="BM27" s="149" t="s">
        <v>572</v>
      </c>
      <c r="BN27" s="224"/>
      <c r="BO27" s="148">
        <f>IF(BG41=0,0,BO72)</f>
        <v>0</v>
      </c>
      <c r="BY27" s="147"/>
      <c r="BZ27" s="149" t="s">
        <v>572</v>
      </c>
      <c r="CA27" s="224"/>
      <c r="CB27" s="148">
        <f>IF(BT41=0,0,CB72)</f>
        <v>0</v>
      </c>
      <c r="CM27" s="147"/>
      <c r="CN27" s="149" t="s">
        <v>573</v>
      </c>
      <c r="CO27" s="224"/>
      <c r="CP27" s="148">
        <f>IF(CH41=0,0,CP72)</f>
        <v>0</v>
      </c>
    </row>
    <row r="28" spans="9:95" x14ac:dyDescent="0.2">
      <c r="W28" s="147"/>
      <c r="X28" s="149" t="s">
        <v>103</v>
      </c>
      <c r="Y28" s="224"/>
      <c r="Z28" s="148">
        <f>IF(R41=0,0,V49-Z27)</f>
        <v>0</v>
      </c>
      <c r="AK28" s="147"/>
      <c r="AL28" s="149" t="s">
        <v>103</v>
      </c>
      <c r="AM28" s="224"/>
      <c r="AN28" s="148">
        <f>IF(AF41=0,0,AJ49-AN27)</f>
        <v>0</v>
      </c>
      <c r="AY28" s="147"/>
      <c r="AZ28" s="149" t="s">
        <v>103</v>
      </c>
      <c r="BA28" s="224"/>
      <c r="BB28" s="148">
        <f>IF(AT41=0,0,AX49-BB27)</f>
        <v>0</v>
      </c>
      <c r="BL28" s="147"/>
      <c r="BM28" s="149" t="s">
        <v>103</v>
      </c>
      <c r="BN28" s="224"/>
      <c r="BO28" s="148">
        <f>IF(BG41=0,0,BK49-BO27)</f>
        <v>0</v>
      </c>
      <c r="BY28" s="147"/>
      <c r="BZ28" s="149" t="s">
        <v>103</v>
      </c>
      <c r="CA28" s="224"/>
      <c r="CB28" s="148">
        <f>IF(BT41=0,0,BX49-CB27)</f>
        <v>0</v>
      </c>
      <c r="CM28" s="147"/>
      <c r="CN28" s="149" t="s">
        <v>103</v>
      </c>
      <c r="CO28" s="224"/>
      <c r="CP28" s="148">
        <f>IF(CH41=0,0,CL49-CP27)</f>
        <v>0</v>
      </c>
    </row>
    <row r="29" spans="9:95" x14ac:dyDescent="0.2">
      <c r="W29" s="147"/>
      <c r="X29" s="149" t="s">
        <v>571</v>
      </c>
      <c r="Z29" s="148">
        <f>P122</f>
        <v>0</v>
      </c>
      <c r="AA29" s="144" t="s">
        <v>293</v>
      </c>
      <c r="AK29" s="147"/>
      <c r="AL29" s="149" t="s">
        <v>571</v>
      </c>
      <c r="AN29" s="148">
        <f>AD122</f>
        <v>0</v>
      </c>
      <c r="AO29" s="144" t="s">
        <v>293</v>
      </c>
      <c r="AY29" s="147"/>
      <c r="AZ29" s="149" t="s">
        <v>571</v>
      </c>
      <c r="BB29" s="148">
        <f>AR122</f>
        <v>0</v>
      </c>
      <c r="BC29" s="144" t="s">
        <v>293</v>
      </c>
      <c r="BL29" s="147"/>
      <c r="BM29" s="149" t="s">
        <v>571</v>
      </c>
      <c r="BO29" s="148">
        <f>BE122</f>
        <v>0</v>
      </c>
      <c r="BP29" s="144" t="s">
        <v>293</v>
      </c>
      <c r="BY29" s="147"/>
      <c r="BZ29" s="149" t="s">
        <v>571</v>
      </c>
      <c r="CB29" s="148">
        <f>BR122</f>
        <v>0</v>
      </c>
      <c r="CC29" s="144" t="s">
        <v>293</v>
      </c>
      <c r="CM29" s="147"/>
      <c r="CN29" s="149" t="s">
        <v>571</v>
      </c>
      <c r="CP29" s="148">
        <f>CF122</f>
        <v>0</v>
      </c>
      <c r="CQ29" s="144" t="s">
        <v>293</v>
      </c>
    </row>
    <row r="30" spans="9:95" x14ac:dyDescent="0.2">
      <c r="L30" s="144"/>
      <c r="W30" s="147"/>
      <c r="X30" s="149" t="s">
        <v>570</v>
      </c>
      <c r="Y30" s="224"/>
      <c r="Z30" s="148">
        <f>P113</f>
        <v>0</v>
      </c>
      <c r="AA30" s="144" t="s">
        <v>293</v>
      </c>
      <c r="AK30" s="147"/>
      <c r="AL30" s="149" t="s">
        <v>570</v>
      </c>
      <c r="AM30" s="224"/>
      <c r="AN30" s="148">
        <f>AD113</f>
        <v>0</v>
      </c>
      <c r="AO30" s="144" t="s">
        <v>293</v>
      </c>
      <c r="AY30" s="147"/>
      <c r="AZ30" s="149" t="s">
        <v>570</v>
      </c>
      <c r="BA30" s="224"/>
      <c r="BB30" s="148">
        <f>AR113</f>
        <v>0</v>
      </c>
      <c r="BC30" s="144" t="s">
        <v>293</v>
      </c>
      <c r="BL30" s="147"/>
      <c r="BM30" s="149" t="s">
        <v>570</v>
      </c>
      <c r="BN30" s="224"/>
      <c r="BO30" s="148">
        <f>BE113</f>
        <v>0</v>
      </c>
      <c r="BP30" s="144" t="s">
        <v>293</v>
      </c>
      <c r="BY30" s="147"/>
      <c r="BZ30" s="149" t="s">
        <v>570</v>
      </c>
      <c r="CA30" s="224"/>
      <c r="CB30" s="148">
        <f>BR113</f>
        <v>0</v>
      </c>
      <c r="CC30" s="144" t="s">
        <v>293</v>
      </c>
      <c r="CM30" s="147"/>
      <c r="CN30" s="149" t="s">
        <v>570</v>
      </c>
      <c r="CO30" s="224"/>
      <c r="CP30" s="148">
        <f>CF113</f>
        <v>0</v>
      </c>
      <c r="CQ30" s="144" t="s">
        <v>293</v>
      </c>
    </row>
    <row r="31" spans="9:95" x14ac:dyDescent="0.2">
      <c r="J31" s="152"/>
      <c r="X31" s="152"/>
      <c r="AL31" s="152"/>
      <c r="AZ31" s="152"/>
      <c r="BM31" s="152"/>
      <c r="BZ31" s="152"/>
      <c r="CN31" s="152"/>
    </row>
    <row r="32" spans="9:95" x14ac:dyDescent="0.2">
      <c r="Z32" s="144"/>
      <c r="AN32" s="144"/>
      <c r="BB32" s="144"/>
      <c r="BO32" s="144"/>
      <c r="CB32" s="144"/>
      <c r="CP32" s="144"/>
    </row>
    <row r="33" spans="1:95" x14ac:dyDescent="0.2">
      <c r="I33" s="148">
        <f>I92</f>
        <v>70</v>
      </c>
      <c r="J33" s="147" t="s">
        <v>288</v>
      </c>
      <c r="K33" s="147"/>
      <c r="L33" s="148">
        <f>IF(D41=0,0,I92)</f>
        <v>70</v>
      </c>
      <c r="Z33" s="144"/>
      <c r="AN33" s="144"/>
      <c r="BB33" s="144"/>
      <c r="BO33" s="144"/>
      <c r="CB33" s="144"/>
      <c r="CP33" s="144"/>
    </row>
    <row r="34" spans="1:95" x14ac:dyDescent="0.2">
      <c r="I34" s="147"/>
      <c r="J34" s="149" t="s">
        <v>572</v>
      </c>
      <c r="K34" s="224"/>
      <c r="L34" s="148">
        <f>IF(D41=0,0,L72)</f>
        <v>100</v>
      </c>
      <c r="Z34" s="144"/>
      <c r="AN34" s="144"/>
      <c r="BB34" s="144"/>
      <c r="BO34" s="144"/>
      <c r="CB34" s="144"/>
      <c r="CP34" s="144"/>
    </row>
    <row r="35" spans="1:95" x14ac:dyDescent="0.2">
      <c r="I35" s="147"/>
      <c r="J35" s="149" t="s">
        <v>103</v>
      </c>
      <c r="K35" s="224"/>
      <c r="L35" s="148">
        <f>IF(D41=0,0,H49-L34)</f>
        <v>-100</v>
      </c>
      <c r="Z35" s="144"/>
      <c r="AN35" s="144"/>
      <c r="BB35" s="144"/>
      <c r="BO35" s="144"/>
      <c r="CB35" s="144"/>
      <c r="CP35" s="144"/>
    </row>
    <row r="36" spans="1:95" x14ac:dyDescent="0.2">
      <c r="I36" s="147"/>
      <c r="J36" s="149" t="s">
        <v>571</v>
      </c>
      <c r="L36" s="148">
        <f>B122</f>
        <v>0</v>
      </c>
      <c r="M36" s="144" t="s">
        <v>293</v>
      </c>
      <c r="Z36" s="144"/>
      <c r="AN36" s="144"/>
      <c r="BB36" s="144"/>
      <c r="BO36" s="144"/>
      <c r="CB36" s="144"/>
      <c r="CP36" s="144"/>
    </row>
    <row r="37" spans="1:95" x14ac:dyDescent="0.2">
      <c r="I37" s="147"/>
      <c r="J37" s="149" t="s">
        <v>570</v>
      </c>
      <c r="K37" s="224"/>
      <c r="L37" s="148" t="e">
        <f>B113</f>
        <v>#DIV/0!</v>
      </c>
      <c r="M37" s="144" t="s">
        <v>293</v>
      </c>
      <c r="Z37" s="144"/>
      <c r="AN37" s="144"/>
      <c r="BB37" s="144"/>
      <c r="BO37" s="144"/>
      <c r="CB37" s="144"/>
      <c r="CP37" s="144"/>
    </row>
    <row r="38" spans="1:95" x14ac:dyDescent="0.2">
      <c r="Z38" s="144"/>
      <c r="AN38" s="144"/>
      <c r="BB38" s="144"/>
      <c r="BO38" s="144"/>
      <c r="CB38" s="144"/>
      <c r="CP38" s="144"/>
    </row>
    <row r="39" spans="1:95" x14ac:dyDescent="0.2">
      <c r="Z39" s="144"/>
      <c r="AN39" s="144"/>
      <c r="BB39" s="144"/>
      <c r="BO39" s="144"/>
      <c r="CB39" s="144"/>
      <c r="CP39" s="144"/>
    </row>
    <row r="40" spans="1:95" ht="13.5" thickBot="1" x14ac:dyDescent="0.25"/>
    <row r="41" spans="1:95" ht="13.5" thickBot="1" x14ac:dyDescent="0.25">
      <c r="A41" s="149" t="str">
        <f t="shared" ref="A41:A47" si="1">IF($H$3=0,O41,IF($H$3="F",AC41,IF($H$3="e",AQ41,IF($H$3="a",BD41,IF($H$3="p",BQ41)))))</f>
        <v>ESTRAZIONE</v>
      </c>
      <c r="B41" s="217"/>
      <c r="D41" s="260" t="str">
        <f>D5</f>
        <v>VS</v>
      </c>
      <c r="O41" s="144" t="s">
        <v>23</v>
      </c>
      <c r="Q41" s="260"/>
      <c r="AC41" s="144" t="s">
        <v>472</v>
      </c>
      <c r="AE41" s="260"/>
      <c r="AQ41" s="144" t="s">
        <v>569</v>
      </c>
      <c r="AS41" s="260"/>
      <c r="BD41" s="144" t="s">
        <v>569</v>
      </c>
      <c r="BF41" s="260"/>
      <c r="BQ41" s="144" t="s">
        <v>568</v>
      </c>
      <c r="BS41" s="260"/>
      <c r="CE41" s="144" t="s">
        <v>23</v>
      </c>
      <c r="CG41" s="260"/>
    </row>
    <row r="42" spans="1:95" x14ac:dyDescent="0.2">
      <c r="A42" s="149" t="str">
        <f t="shared" si="1"/>
        <v>DATI</v>
      </c>
      <c r="B42" s="259"/>
      <c r="C42" s="258"/>
      <c r="D42" s="204"/>
      <c r="E42" s="202" t="str">
        <f>IF($H$3=0,S42,IF($H$3="F",AG42,IF($H$3="e",AU42)))</f>
        <v>Piedi</v>
      </c>
      <c r="F42" s="257" t="str">
        <f>IF($H$3=0,T42,IF($H$3="F",AH42,IF($H$3="e",AV42)))</f>
        <v>Inches</v>
      </c>
      <c r="G42" s="202" t="str">
        <f>IF($H$3=0,U42,IF($H$3="F",AI42,IF($H$3="e",AW42)))</f>
        <v>MM</v>
      </c>
      <c r="H42" s="256" t="s">
        <v>28</v>
      </c>
      <c r="I42" s="204">
        <v>1</v>
      </c>
      <c r="J42" s="201" t="str">
        <f>IF($H$3=0,X42,IF($H$3="F",AL42,IF($H$3="e",AZ42,IF($H$3="a",BM42,IF($H$3="p",BZ42)))))</f>
        <v>METRI</v>
      </c>
      <c r="K42" s="201" t="str">
        <f>IF($H$3=0,Y42,IF($H$3="F",AM42,IF($H$3="e",BA42,IF($H$3="a",BN42,IF($H$3="p",CA42)))))</f>
        <v>US PIEDI</v>
      </c>
      <c r="L42" s="201" t="str">
        <f>IF($H$3=0,Z42,IF($H$3="F",AN42,IF($H$3="e",BB42,IF($H$3="a",BO42,IF($H$3="p",CB42)))))</f>
        <v>US Inches</v>
      </c>
      <c r="M42" s="201" t="str">
        <f>IF($H$3=0,AA42,IF($H$3="F",AO42,IF($H$3="e",BC42,IF($H$3="a",BP42,IF($H$3="p",CC42)))))</f>
        <v xml:space="preserve"> Inches</v>
      </c>
      <c r="N42" s="144">
        <f>IF($H$3=0,AB42,IF($H$3="F",AP42,IF($H$3="e",BD42,IF($H$3="a",BQ42,IF($H$3="p",CD42)))))</f>
        <v>0</v>
      </c>
      <c r="O42" s="205" t="s">
        <v>27</v>
      </c>
      <c r="P42" s="259"/>
      <c r="Q42" s="258"/>
      <c r="R42" s="204"/>
      <c r="S42" s="202" t="s">
        <v>73</v>
      </c>
      <c r="T42" s="257" t="s">
        <v>29</v>
      </c>
      <c r="U42" s="202" t="s">
        <v>74</v>
      </c>
      <c r="V42" s="256" t="s">
        <v>28</v>
      </c>
      <c r="W42" s="204"/>
      <c r="X42" s="255" t="s">
        <v>84</v>
      </c>
      <c r="Y42" s="255" t="s">
        <v>567</v>
      </c>
      <c r="Z42" s="255" t="s">
        <v>566</v>
      </c>
      <c r="AA42" s="255" t="s">
        <v>543</v>
      </c>
      <c r="AC42" s="205" t="s">
        <v>565</v>
      </c>
      <c r="AD42" s="259"/>
      <c r="AE42" s="258"/>
      <c r="AF42" s="204"/>
      <c r="AG42" s="202" t="s">
        <v>564</v>
      </c>
      <c r="AH42" s="257" t="s">
        <v>29</v>
      </c>
      <c r="AI42" s="202" t="s">
        <v>74</v>
      </c>
      <c r="AJ42" s="256" t="s">
        <v>28</v>
      </c>
      <c r="AK42" s="204"/>
      <c r="AL42" s="255" t="s">
        <v>563</v>
      </c>
      <c r="AM42" s="255" t="s">
        <v>562</v>
      </c>
      <c r="AN42" s="255" t="s">
        <v>561</v>
      </c>
      <c r="AO42" s="255" t="s">
        <v>560</v>
      </c>
      <c r="AQ42" s="205" t="s">
        <v>559</v>
      </c>
      <c r="AR42" s="259"/>
      <c r="AS42" s="258"/>
      <c r="AT42" s="204"/>
      <c r="AU42" s="202" t="s">
        <v>558</v>
      </c>
      <c r="AV42" s="257" t="s">
        <v>29</v>
      </c>
      <c r="AW42" s="202" t="s">
        <v>74</v>
      </c>
      <c r="AX42" s="256" t="s">
        <v>28</v>
      </c>
      <c r="AY42" s="204"/>
      <c r="AZ42" s="255" t="s">
        <v>557</v>
      </c>
      <c r="BA42" s="255" t="s">
        <v>556</v>
      </c>
      <c r="BB42" s="255" t="s">
        <v>555</v>
      </c>
      <c r="BC42" s="255" t="s">
        <v>554</v>
      </c>
      <c r="BD42" s="205" t="s">
        <v>559</v>
      </c>
      <c r="BE42" s="259"/>
      <c r="BF42" s="258"/>
      <c r="BG42" s="204"/>
      <c r="BH42" s="202" t="s">
        <v>558</v>
      </c>
      <c r="BI42" s="257" t="s">
        <v>29</v>
      </c>
      <c r="BJ42" s="202" t="s">
        <v>74</v>
      </c>
      <c r="BK42" s="256" t="s">
        <v>28</v>
      </c>
      <c r="BL42" s="204"/>
      <c r="BM42" s="255" t="s">
        <v>557</v>
      </c>
      <c r="BN42" s="255" t="s">
        <v>556</v>
      </c>
      <c r="BO42" s="255" t="s">
        <v>555</v>
      </c>
      <c r="BP42" s="255" t="s">
        <v>554</v>
      </c>
      <c r="BQ42" s="205" t="s">
        <v>553</v>
      </c>
      <c r="BR42" s="259"/>
      <c r="BS42" s="258"/>
      <c r="BT42" s="204"/>
      <c r="BU42" s="202" t="s">
        <v>552</v>
      </c>
      <c r="BV42" s="257" t="s">
        <v>551</v>
      </c>
      <c r="BW42" s="202" t="s">
        <v>74</v>
      </c>
      <c r="BX42" s="256" t="s">
        <v>28</v>
      </c>
      <c r="BY42" s="204"/>
      <c r="BZ42" s="255" t="s">
        <v>550</v>
      </c>
      <c r="CA42" s="255" t="s">
        <v>549</v>
      </c>
      <c r="CB42" s="255" t="s">
        <v>548</v>
      </c>
      <c r="CC42" s="255" t="s">
        <v>547</v>
      </c>
      <c r="CE42" s="205" t="s">
        <v>27</v>
      </c>
      <c r="CF42" s="259"/>
      <c r="CG42" s="258"/>
      <c r="CH42" s="204"/>
      <c r="CI42" s="202" t="s">
        <v>73</v>
      </c>
      <c r="CJ42" s="257" t="s">
        <v>29</v>
      </c>
      <c r="CK42" s="202" t="s">
        <v>74</v>
      </c>
      <c r="CL42" s="256" t="s">
        <v>28</v>
      </c>
      <c r="CM42" s="204"/>
      <c r="CN42" s="255" t="s">
        <v>546</v>
      </c>
      <c r="CO42" s="255" t="s">
        <v>545</v>
      </c>
      <c r="CP42" s="255" t="s">
        <v>544</v>
      </c>
      <c r="CQ42" s="255" t="s">
        <v>543</v>
      </c>
    </row>
    <row r="43" spans="1:95" x14ac:dyDescent="0.2">
      <c r="A43" s="149" t="str">
        <f t="shared" si="1"/>
        <v>Ingombro totale silo in altezza</v>
      </c>
      <c r="B43" s="224"/>
      <c r="C43" s="241"/>
      <c r="D43" s="223" t="s">
        <v>75</v>
      </c>
      <c r="E43" s="244">
        <v>0</v>
      </c>
      <c r="F43" s="243">
        <v>0</v>
      </c>
      <c r="G43" s="147">
        <f t="shared" ref="G43:G52" si="2">(E43*304.8)+(F43*25.4)</f>
        <v>0</v>
      </c>
      <c r="H43" s="246">
        <f>B5</f>
        <v>0</v>
      </c>
      <c r="I43" s="211">
        <f>B5</f>
        <v>0</v>
      </c>
      <c r="J43" s="144">
        <f>H43/1000</f>
        <v>0</v>
      </c>
      <c r="K43" s="219">
        <f>TRUNC(H43/304.8)</f>
        <v>0</v>
      </c>
      <c r="L43" s="144">
        <f>ROUND( (MOD(H43,304.8)/25.4),0)</f>
        <v>0</v>
      </c>
      <c r="M43" s="144">
        <f>K43*12+L43</f>
        <v>0</v>
      </c>
      <c r="O43" s="218" t="s">
        <v>31</v>
      </c>
      <c r="P43" s="224"/>
      <c r="Q43" s="241"/>
      <c r="R43" s="223" t="s">
        <v>75</v>
      </c>
      <c r="S43" s="244">
        <v>0</v>
      </c>
      <c r="T43" s="243">
        <v>0</v>
      </c>
      <c r="U43" s="147">
        <v>0</v>
      </c>
      <c r="V43" s="211"/>
      <c r="X43" s="144">
        <v>0</v>
      </c>
      <c r="Y43" s="219">
        <v>0</v>
      </c>
      <c r="Z43" s="144">
        <v>0</v>
      </c>
      <c r="AA43" s="144">
        <v>0</v>
      </c>
      <c r="AC43" s="218" t="s">
        <v>542</v>
      </c>
      <c r="AD43" s="224"/>
      <c r="AE43" s="241"/>
      <c r="AF43" s="223" t="s">
        <v>75</v>
      </c>
      <c r="AG43" s="244">
        <v>0</v>
      </c>
      <c r="AH43" s="243">
        <v>0</v>
      </c>
      <c r="AI43" s="147">
        <v>0</v>
      </c>
      <c r="AJ43" s="211"/>
      <c r="AL43" s="144">
        <v>0</v>
      </c>
      <c r="AM43" s="219">
        <v>0</v>
      </c>
      <c r="AN43" s="144">
        <v>0</v>
      </c>
      <c r="AO43" s="144">
        <v>0</v>
      </c>
      <c r="AQ43" s="218" t="s">
        <v>541</v>
      </c>
      <c r="AR43" s="224"/>
      <c r="AS43" s="241"/>
      <c r="AT43" s="223" t="s">
        <v>75</v>
      </c>
      <c r="AU43" s="244">
        <v>0</v>
      </c>
      <c r="AV43" s="243">
        <v>0</v>
      </c>
      <c r="AW43" s="147">
        <v>0</v>
      </c>
      <c r="AX43" s="211"/>
      <c r="AZ43" s="144">
        <v>0</v>
      </c>
      <c r="BA43" s="219">
        <v>0</v>
      </c>
      <c r="BB43" s="144">
        <v>0</v>
      </c>
      <c r="BC43" s="144">
        <v>0</v>
      </c>
      <c r="BD43" s="218" t="s">
        <v>541</v>
      </c>
      <c r="BE43" s="224"/>
      <c r="BF43" s="241"/>
      <c r="BG43" s="223" t="s">
        <v>75</v>
      </c>
      <c r="BH43" s="244">
        <v>0</v>
      </c>
      <c r="BI43" s="243">
        <v>0</v>
      </c>
      <c r="BJ43" s="147">
        <v>0</v>
      </c>
      <c r="BK43" s="211"/>
      <c r="BM43" s="144">
        <v>0</v>
      </c>
      <c r="BN43" s="219">
        <v>0</v>
      </c>
      <c r="BO43" s="144">
        <v>0</v>
      </c>
      <c r="BP43" s="144">
        <v>0</v>
      </c>
      <c r="BQ43" s="218" t="s">
        <v>540</v>
      </c>
      <c r="BR43" s="224"/>
      <c r="BS43" s="241"/>
      <c r="BT43" s="223" t="s">
        <v>75</v>
      </c>
      <c r="BU43" s="244">
        <v>0</v>
      </c>
      <c r="BV43" s="243">
        <v>0</v>
      </c>
      <c r="BW43" s="147">
        <v>0</v>
      </c>
      <c r="BX43" s="211"/>
      <c r="BZ43" s="144">
        <v>0</v>
      </c>
      <c r="CA43" s="219">
        <v>0</v>
      </c>
      <c r="CB43" s="144">
        <v>0</v>
      </c>
      <c r="CC43" s="144">
        <v>0</v>
      </c>
      <c r="CE43" s="218" t="str">
        <f>CN18</f>
        <v>GESAMT HÖHE SILO</v>
      </c>
      <c r="CF43" s="224"/>
      <c r="CG43" s="241"/>
      <c r="CH43" s="223" t="s">
        <v>75</v>
      </c>
      <c r="CI43" s="244">
        <v>0</v>
      </c>
      <c r="CJ43" s="243">
        <v>0</v>
      </c>
      <c r="CK43" s="147">
        <v>0</v>
      </c>
      <c r="CL43" s="211"/>
      <c r="CN43" s="144">
        <v>0</v>
      </c>
      <c r="CO43" s="219">
        <v>0</v>
      </c>
      <c r="CP43" s="144">
        <v>0</v>
      </c>
      <c r="CQ43" s="144">
        <v>0</v>
      </c>
    </row>
    <row r="44" spans="1:95" x14ac:dyDescent="0.2">
      <c r="A44" s="149" t="str">
        <f t="shared" si="1"/>
        <v>Ht corpo non utilizzabile (carico)</v>
      </c>
      <c r="B44" s="224"/>
      <c r="C44" s="241"/>
      <c r="D44" s="223" t="s">
        <v>75</v>
      </c>
      <c r="E44" s="244">
        <v>0</v>
      </c>
      <c r="F44" s="243">
        <v>0</v>
      </c>
      <c r="G44" s="147">
        <f t="shared" si="2"/>
        <v>0</v>
      </c>
      <c r="H44" s="218">
        <v>100</v>
      </c>
      <c r="I44" s="254">
        <v>100</v>
      </c>
      <c r="J44" s="144">
        <f>H44/1000</f>
        <v>0.1</v>
      </c>
      <c r="K44" s="219">
        <f>TRUNC(H44/304.8)</f>
        <v>0</v>
      </c>
      <c r="L44" s="144">
        <f>ROUND( (MOD(H44,304.8)/25.4),0)</f>
        <v>4</v>
      </c>
      <c r="M44" s="144">
        <f>K44*12+L44</f>
        <v>4</v>
      </c>
      <c r="O44" s="218" t="s">
        <v>95</v>
      </c>
      <c r="P44" s="224"/>
      <c r="Q44" s="241"/>
      <c r="R44" s="223" t="s">
        <v>75</v>
      </c>
      <c r="S44" s="244">
        <v>0</v>
      </c>
      <c r="T44" s="243">
        <v>0</v>
      </c>
      <c r="U44" s="147">
        <v>0</v>
      </c>
      <c r="V44" s="147">
        <v>0</v>
      </c>
      <c r="X44" s="144">
        <v>0</v>
      </c>
      <c r="Y44" s="219">
        <v>0</v>
      </c>
      <c r="Z44" s="144">
        <v>0</v>
      </c>
      <c r="AA44" s="144">
        <v>0</v>
      </c>
      <c r="AC44" s="218" t="s">
        <v>539</v>
      </c>
      <c r="AD44" s="224"/>
      <c r="AE44" s="241"/>
      <c r="AF44" s="223" t="s">
        <v>75</v>
      </c>
      <c r="AG44" s="244">
        <v>0</v>
      </c>
      <c r="AH44" s="243">
        <v>0</v>
      </c>
      <c r="AI44" s="147">
        <v>0</v>
      </c>
      <c r="AJ44" s="147">
        <v>0</v>
      </c>
      <c r="AL44" s="144">
        <v>0</v>
      </c>
      <c r="AM44" s="219">
        <v>0</v>
      </c>
      <c r="AN44" s="144">
        <v>0</v>
      </c>
      <c r="AO44" s="144">
        <v>0</v>
      </c>
      <c r="AQ44" s="218" t="s">
        <v>538</v>
      </c>
      <c r="AR44" s="224"/>
      <c r="AS44" s="241"/>
      <c r="AT44" s="223" t="s">
        <v>75</v>
      </c>
      <c r="AU44" s="244">
        <v>0</v>
      </c>
      <c r="AV44" s="243">
        <v>0</v>
      </c>
      <c r="AW44" s="147">
        <v>0</v>
      </c>
      <c r="AX44" s="147">
        <v>0</v>
      </c>
      <c r="AZ44" s="144">
        <v>0</v>
      </c>
      <c r="BA44" s="219">
        <v>0</v>
      </c>
      <c r="BB44" s="144">
        <v>0</v>
      </c>
      <c r="BC44" s="144">
        <v>0</v>
      </c>
      <c r="BD44" s="218" t="s">
        <v>538</v>
      </c>
      <c r="BE44" s="224"/>
      <c r="BF44" s="241"/>
      <c r="BG44" s="223" t="s">
        <v>75</v>
      </c>
      <c r="BH44" s="244">
        <v>0</v>
      </c>
      <c r="BI44" s="243">
        <v>0</v>
      </c>
      <c r="BJ44" s="147">
        <v>0</v>
      </c>
      <c r="BK44" s="147">
        <v>0</v>
      </c>
      <c r="BM44" s="144">
        <v>0</v>
      </c>
      <c r="BN44" s="219">
        <v>0</v>
      </c>
      <c r="BO44" s="144">
        <v>0</v>
      </c>
      <c r="BP44" s="144">
        <v>0</v>
      </c>
      <c r="BQ44" s="247" t="s">
        <v>537</v>
      </c>
      <c r="BR44" s="224"/>
      <c r="BS44" s="241"/>
      <c r="BT44" s="223" t="s">
        <v>75</v>
      </c>
      <c r="BU44" s="244">
        <v>0</v>
      </c>
      <c r="BV44" s="243">
        <v>0</v>
      </c>
      <c r="BW44" s="147">
        <v>0</v>
      </c>
      <c r="BX44" s="147">
        <v>0</v>
      </c>
      <c r="BZ44" s="144">
        <v>0</v>
      </c>
      <c r="CA44" s="219">
        <v>0</v>
      </c>
      <c r="CB44" s="144">
        <v>0</v>
      </c>
      <c r="CC44" s="144">
        <v>0</v>
      </c>
      <c r="CE44" s="218" t="s">
        <v>536</v>
      </c>
      <c r="CF44" s="224"/>
      <c r="CG44" s="241"/>
      <c r="CH44" s="223" t="s">
        <v>75</v>
      </c>
      <c r="CI44" s="244">
        <v>0</v>
      </c>
      <c r="CJ44" s="243">
        <v>0</v>
      </c>
      <c r="CK44" s="147">
        <v>0</v>
      </c>
      <c r="CL44" s="147">
        <v>0</v>
      </c>
      <c r="CN44" s="144">
        <v>0</v>
      </c>
      <c r="CO44" s="219">
        <v>0</v>
      </c>
      <c r="CP44" s="144">
        <v>0</v>
      </c>
      <c r="CQ44" s="144">
        <v>0</v>
      </c>
    </row>
    <row r="45" spans="1:95" x14ac:dyDescent="0.2">
      <c r="A45" s="149" t="str">
        <f t="shared" si="1"/>
        <v>Ht cono vibrante</v>
      </c>
      <c r="B45" s="224"/>
      <c r="C45" s="241"/>
      <c r="D45" s="223" t="s">
        <v>75</v>
      </c>
      <c r="E45" s="244">
        <v>0</v>
      </c>
      <c r="F45" s="243">
        <v>0</v>
      </c>
      <c r="G45" s="147">
        <f t="shared" si="2"/>
        <v>0</v>
      </c>
      <c r="H45" s="218">
        <f>IF(D41=0,0,C87)</f>
        <v>330</v>
      </c>
      <c r="I45" s="147">
        <f>IF(D41=0,0,C87)</f>
        <v>330</v>
      </c>
      <c r="J45" s="144">
        <f>H45/1000</f>
        <v>0.33</v>
      </c>
      <c r="K45" s="219">
        <f>TRUNC(H45/304.8)</f>
        <v>1</v>
      </c>
      <c r="L45" s="144">
        <f>ROUND((MOD(H45,304.8)/25.4),0)</f>
        <v>1</v>
      </c>
      <c r="M45" s="144">
        <f>K45*12+L45</f>
        <v>13</v>
      </c>
      <c r="O45" s="218" t="s">
        <v>32</v>
      </c>
      <c r="P45" s="224"/>
      <c r="Q45" s="241"/>
      <c r="R45" s="223" t="s">
        <v>75</v>
      </c>
      <c r="S45" s="244">
        <v>0</v>
      </c>
      <c r="T45" s="243">
        <v>0</v>
      </c>
      <c r="U45" s="147">
        <v>0</v>
      </c>
      <c r="V45" s="147">
        <v>0</v>
      </c>
      <c r="X45" s="144">
        <v>0</v>
      </c>
      <c r="Y45" s="219">
        <v>0</v>
      </c>
      <c r="Z45" s="144">
        <v>0</v>
      </c>
      <c r="AA45" s="144">
        <v>0</v>
      </c>
      <c r="AC45" s="218" t="s">
        <v>535</v>
      </c>
      <c r="AD45" s="224"/>
      <c r="AE45" s="241"/>
      <c r="AF45" s="223" t="s">
        <v>75</v>
      </c>
      <c r="AG45" s="244">
        <v>0</v>
      </c>
      <c r="AH45" s="243">
        <v>0</v>
      </c>
      <c r="AI45" s="147">
        <v>0</v>
      </c>
      <c r="AJ45" s="147">
        <v>0</v>
      </c>
      <c r="AL45" s="144">
        <v>0</v>
      </c>
      <c r="AM45" s="219">
        <v>0</v>
      </c>
      <c r="AN45" s="144">
        <v>0</v>
      </c>
      <c r="AO45" s="144">
        <v>0</v>
      </c>
      <c r="AQ45" s="218" t="s">
        <v>534</v>
      </c>
      <c r="AR45" s="224"/>
      <c r="AS45" s="241"/>
      <c r="AT45" s="223" t="s">
        <v>75</v>
      </c>
      <c r="AU45" s="244">
        <v>0</v>
      </c>
      <c r="AV45" s="243">
        <v>0</v>
      </c>
      <c r="AW45" s="147">
        <v>0</v>
      </c>
      <c r="AX45" s="147">
        <v>0</v>
      </c>
      <c r="AZ45" s="144">
        <v>0</v>
      </c>
      <c r="BA45" s="219">
        <v>0</v>
      </c>
      <c r="BB45" s="144">
        <v>0</v>
      </c>
      <c r="BC45" s="144">
        <v>0</v>
      </c>
      <c r="BD45" s="218" t="s">
        <v>534</v>
      </c>
      <c r="BE45" s="224"/>
      <c r="BF45" s="241"/>
      <c r="BG45" s="223" t="s">
        <v>75</v>
      </c>
      <c r="BH45" s="244">
        <v>0</v>
      </c>
      <c r="BI45" s="243">
        <v>0</v>
      </c>
      <c r="BJ45" s="147">
        <v>0</v>
      </c>
      <c r="BK45" s="147">
        <v>0</v>
      </c>
      <c r="BM45" s="144">
        <v>0</v>
      </c>
      <c r="BN45" s="219">
        <v>0</v>
      </c>
      <c r="BO45" s="144">
        <v>0</v>
      </c>
      <c r="BP45" s="144">
        <v>0</v>
      </c>
      <c r="BQ45" s="218" t="s">
        <v>533</v>
      </c>
      <c r="BR45" s="224"/>
      <c r="BS45" s="241"/>
      <c r="BT45" s="223" t="s">
        <v>75</v>
      </c>
      <c r="BU45" s="244">
        <v>0</v>
      </c>
      <c r="BV45" s="243">
        <v>0</v>
      </c>
      <c r="BW45" s="147">
        <v>0</v>
      </c>
      <c r="BX45" s="147">
        <v>0</v>
      </c>
      <c r="BZ45" s="144">
        <v>0</v>
      </c>
      <c r="CA45" s="219">
        <v>0</v>
      </c>
      <c r="CB45" s="144">
        <v>0</v>
      </c>
      <c r="CC45" s="144">
        <v>0</v>
      </c>
      <c r="CE45" s="218" t="s">
        <v>532</v>
      </c>
      <c r="CF45" s="224"/>
      <c r="CG45" s="241"/>
      <c r="CH45" s="223" t="s">
        <v>75</v>
      </c>
      <c r="CI45" s="244">
        <v>0</v>
      </c>
      <c r="CJ45" s="243">
        <v>0</v>
      </c>
      <c r="CK45" s="147">
        <v>0</v>
      </c>
      <c r="CL45" s="147">
        <v>0</v>
      </c>
      <c r="CN45" s="144">
        <v>0</v>
      </c>
      <c r="CO45" s="219">
        <v>0</v>
      </c>
      <c r="CP45" s="144">
        <v>0</v>
      </c>
      <c r="CQ45" s="144">
        <v>0</v>
      </c>
    </row>
    <row r="46" spans="1:95" x14ac:dyDescent="0.2">
      <c r="A46" s="149" t="str">
        <f t="shared" si="1"/>
        <v>Ht valvola stellare</v>
      </c>
      <c r="B46" s="224"/>
      <c r="C46" s="241"/>
      <c r="D46" s="223" t="s">
        <v>75</v>
      </c>
      <c r="E46" s="244">
        <v>0</v>
      </c>
      <c r="F46" s="243">
        <v>0</v>
      </c>
      <c r="G46" s="147">
        <f t="shared" si="2"/>
        <v>0</v>
      </c>
      <c r="H46" s="218">
        <f>IF(D41=0,0,IF(LEFT(D41,2)="VS",IF(C98=0,"ALLARME",C98),0))</f>
        <v>325</v>
      </c>
      <c r="I46" s="147">
        <f>IF(D41=0,0,IF(LEFT(D41,2)="VS",IF(C98=0,"ALLARME",C98),0))</f>
        <v>325</v>
      </c>
      <c r="J46" s="144">
        <f>H46/1000</f>
        <v>0.32500000000000001</v>
      </c>
      <c r="K46" s="219">
        <f>TRUNC(H46/304.8)</f>
        <v>1</v>
      </c>
      <c r="L46" s="144">
        <f>ROUND((MOD(H46,304.8)/25.4),0)</f>
        <v>1</v>
      </c>
      <c r="M46" s="144">
        <f>K46*12+L46</f>
        <v>13</v>
      </c>
      <c r="O46" s="218" t="s">
        <v>33</v>
      </c>
      <c r="P46" s="224"/>
      <c r="Q46" s="241"/>
      <c r="R46" s="223" t="s">
        <v>75</v>
      </c>
      <c r="S46" s="244">
        <v>0</v>
      </c>
      <c r="T46" s="243">
        <v>0</v>
      </c>
      <c r="U46" s="147">
        <v>0</v>
      </c>
      <c r="V46" s="147">
        <v>0</v>
      </c>
      <c r="Y46" s="219"/>
      <c r="Z46" s="144"/>
      <c r="AC46" s="218" t="s">
        <v>531</v>
      </c>
      <c r="AD46" s="224"/>
      <c r="AE46" s="241"/>
      <c r="AF46" s="223" t="s">
        <v>75</v>
      </c>
      <c r="AG46" s="244">
        <v>0</v>
      </c>
      <c r="AH46" s="243">
        <v>0</v>
      </c>
      <c r="AI46" s="147">
        <v>0</v>
      </c>
      <c r="AJ46" s="147">
        <v>0</v>
      </c>
      <c r="AM46" s="219"/>
      <c r="AN46" s="144"/>
      <c r="AQ46" s="218" t="s">
        <v>530</v>
      </c>
      <c r="AR46" s="224"/>
      <c r="AS46" s="241"/>
      <c r="AT46" s="223" t="s">
        <v>75</v>
      </c>
      <c r="AU46" s="244">
        <v>0</v>
      </c>
      <c r="AV46" s="243">
        <v>0</v>
      </c>
      <c r="AW46" s="147">
        <v>0</v>
      </c>
      <c r="AX46" s="147">
        <v>0</v>
      </c>
      <c r="BA46" s="219"/>
      <c r="BB46" s="144"/>
      <c r="BD46" s="218" t="s">
        <v>530</v>
      </c>
      <c r="BE46" s="224"/>
      <c r="BF46" s="241"/>
      <c r="BG46" s="223" t="s">
        <v>75</v>
      </c>
      <c r="BH46" s="244">
        <v>0</v>
      </c>
      <c r="BI46" s="243">
        <v>0</v>
      </c>
      <c r="BJ46" s="147">
        <v>0</v>
      </c>
      <c r="BK46" s="147">
        <v>0</v>
      </c>
      <c r="BN46" s="219"/>
      <c r="BO46" s="144"/>
      <c r="BQ46" s="218" t="s">
        <v>529</v>
      </c>
      <c r="BR46" s="224"/>
      <c r="BS46" s="241"/>
      <c r="BT46" s="223" t="s">
        <v>75</v>
      </c>
      <c r="BU46" s="244">
        <v>0</v>
      </c>
      <c r="BV46" s="243">
        <v>0</v>
      </c>
      <c r="BW46" s="147">
        <v>0</v>
      </c>
      <c r="BX46" s="147">
        <v>0</v>
      </c>
      <c r="CA46" s="219"/>
      <c r="CB46" s="144"/>
      <c r="CE46" s="218" t="s">
        <v>528</v>
      </c>
      <c r="CF46" s="224"/>
      <c r="CG46" s="241"/>
      <c r="CH46" s="223" t="s">
        <v>75</v>
      </c>
      <c r="CI46" s="244">
        <v>0</v>
      </c>
      <c r="CJ46" s="243">
        <v>0</v>
      </c>
      <c r="CK46" s="147">
        <v>0</v>
      </c>
      <c r="CL46" s="147">
        <v>0</v>
      </c>
      <c r="CO46" s="219"/>
      <c r="CP46" s="144"/>
    </row>
    <row r="47" spans="1:95" x14ac:dyDescent="0.2">
      <c r="A47" s="149" t="str">
        <f t="shared" si="1"/>
        <v xml:space="preserve">Luce da cono vib a terra </v>
      </c>
      <c r="B47" s="224"/>
      <c r="C47" s="241"/>
      <c r="D47" s="223" t="s">
        <v>75</v>
      </c>
      <c r="E47" s="244">
        <v>0</v>
      </c>
      <c r="F47" s="243">
        <v>0</v>
      </c>
      <c r="G47" s="147">
        <f t="shared" si="2"/>
        <v>0</v>
      </c>
      <c r="H47" s="218">
        <f>IF(D41=0,0,IF(D7=0,A73,A73+D7))</f>
        <v>50</v>
      </c>
      <c r="I47" s="147">
        <f>IF(D41=0,0,IF(D7=0,A73,A73+D7))</f>
        <v>50</v>
      </c>
      <c r="J47" s="144">
        <f>H47/1000</f>
        <v>0.05</v>
      </c>
      <c r="K47" s="219">
        <f>TRUNC(H47/304.8)</f>
        <v>0</v>
      </c>
      <c r="L47" s="144">
        <f>ROUND((MOD(H47,304.8)/25.4),0)</f>
        <v>2</v>
      </c>
      <c r="M47" s="144">
        <f>K47*12+L47</f>
        <v>2</v>
      </c>
      <c r="O47" s="218" t="s">
        <v>34</v>
      </c>
      <c r="P47" s="224"/>
      <c r="Q47" s="241"/>
      <c r="R47" s="223" t="s">
        <v>75</v>
      </c>
      <c r="S47" s="244">
        <v>0</v>
      </c>
      <c r="T47" s="243">
        <v>0</v>
      </c>
      <c r="U47" s="147">
        <v>0</v>
      </c>
      <c r="V47" s="147">
        <v>0</v>
      </c>
      <c r="Y47" s="219"/>
      <c r="Z47" s="144"/>
      <c r="AC47" s="218" t="s">
        <v>527</v>
      </c>
      <c r="AD47" s="224"/>
      <c r="AE47" s="241"/>
      <c r="AF47" s="223" t="s">
        <v>75</v>
      </c>
      <c r="AG47" s="244">
        <v>0</v>
      </c>
      <c r="AH47" s="243">
        <v>0</v>
      </c>
      <c r="AI47" s="147">
        <v>0</v>
      </c>
      <c r="AJ47" s="147">
        <v>0</v>
      </c>
      <c r="AM47" s="219"/>
      <c r="AN47" s="144"/>
      <c r="AQ47" s="218" t="s">
        <v>526</v>
      </c>
      <c r="AR47" s="224"/>
      <c r="AS47" s="241"/>
      <c r="AT47" s="223" t="s">
        <v>75</v>
      </c>
      <c r="AU47" s="244">
        <v>0</v>
      </c>
      <c r="AV47" s="243">
        <v>0</v>
      </c>
      <c r="AW47" s="147">
        <v>0</v>
      </c>
      <c r="AX47" s="147">
        <v>0</v>
      </c>
      <c r="BA47" s="219"/>
      <c r="BB47" s="144"/>
      <c r="BD47" s="218" t="s">
        <v>526</v>
      </c>
      <c r="BE47" s="224"/>
      <c r="BF47" s="241"/>
      <c r="BG47" s="223" t="s">
        <v>75</v>
      </c>
      <c r="BH47" s="244">
        <v>0</v>
      </c>
      <c r="BI47" s="243">
        <v>0</v>
      </c>
      <c r="BJ47" s="147">
        <v>0</v>
      </c>
      <c r="BK47" s="147">
        <v>0</v>
      </c>
      <c r="BN47" s="219"/>
      <c r="BO47" s="144"/>
      <c r="BQ47" s="218" t="s">
        <v>525</v>
      </c>
      <c r="BR47" s="224"/>
      <c r="BS47" s="241"/>
      <c r="BT47" s="223" t="s">
        <v>75</v>
      </c>
      <c r="BU47" s="244">
        <v>0</v>
      </c>
      <c r="BV47" s="243">
        <v>0</v>
      </c>
      <c r="BW47" s="147">
        <v>0</v>
      </c>
      <c r="BX47" s="147">
        <v>0</v>
      </c>
      <c r="CA47" s="219"/>
      <c r="CB47" s="144"/>
      <c r="CE47" s="218" t="s">
        <v>524</v>
      </c>
      <c r="CF47" s="224"/>
      <c r="CG47" s="241"/>
      <c r="CH47" s="223" t="s">
        <v>75</v>
      </c>
      <c r="CI47" s="244">
        <v>0</v>
      </c>
      <c r="CJ47" s="243">
        <v>0</v>
      </c>
      <c r="CK47" s="147">
        <v>0</v>
      </c>
      <c r="CL47" s="147">
        <v>0</v>
      </c>
      <c r="CO47" s="219"/>
      <c r="CP47" s="144"/>
    </row>
    <row r="48" spans="1:95" x14ac:dyDescent="0.2">
      <c r="A48" s="149" t="s">
        <v>99</v>
      </c>
      <c r="B48" s="224"/>
      <c r="C48" s="241"/>
      <c r="D48" s="223" t="s">
        <v>75</v>
      </c>
      <c r="E48" s="244"/>
      <c r="F48" s="243"/>
      <c r="G48" s="147">
        <f t="shared" si="2"/>
        <v>0</v>
      </c>
      <c r="H48" s="218">
        <f>IF(D41=0,0,0)</f>
        <v>0</v>
      </c>
      <c r="I48" s="254"/>
      <c r="K48" s="219"/>
      <c r="L48" s="144"/>
      <c r="O48" s="149" t="s">
        <v>99</v>
      </c>
      <c r="P48" s="224"/>
      <c r="Q48" s="241"/>
      <c r="R48" s="223"/>
      <c r="S48" s="244"/>
      <c r="T48" s="243"/>
      <c r="U48" s="147"/>
      <c r="Y48" s="219"/>
      <c r="Z48" s="144"/>
      <c r="AC48" s="218"/>
      <c r="AD48" s="224"/>
      <c r="AE48" s="241"/>
      <c r="AF48" s="223"/>
      <c r="AG48" s="244"/>
      <c r="AH48" s="243"/>
      <c r="AI48" s="147"/>
      <c r="AM48" s="219"/>
      <c r="AN48" s="144"/>
      <c r="AQ48" s="218"/>
      <c r="AR48" s="224"/>
      <c r="AS48" s="241"/>
      <c r="AT48" s="223"/>
      <c r="AU48" s="244"/>
      <c r="AV48" s="243"/>
      <c r="AW48" s="147"/>
      <c r="BA48" s="219"/>
      <c r="BB48" s="144"/>
      <c r="BD48" s="218"/>
      <c r="BE48" s="224"/>
      <c r="BF48" s="241"/>
      <c r="BG48" s="223"/>
      <c r="BH48" s="244"/>
      <c r="BI48" s="243"/>
      <c r="BJ48" s="147"/>
      <c r="BN48" s="219"/>
      <c r="BO48" s="144"/>
      <c r="BQ48" s="218"/>
      <c r="BR48" s="224"/>
      <c r="BS48" s="241"/>
      <c r="BT48" s="223"/>
      <c r="BU48" s="244"/>
      <c r="BV48" s="243"/>
      <c r="BW48" s="147"/>
      <c r="CA48" s="219"/>
      <c r="CB48" s="144"/>
      <c r="CE48" s="149" t="s">
        <v>99</v>
      </c>
      <c r="CF48" s="224"/>
      <c r="CG48" s="241"/>
      <c r="CH48" s="223"/>
      <c r="CI48" s="244"/>
      <c r="CJ48" s="243"/>
      <c r="CK48" s="147"/>
      <c r="CO48" s="219"/>
      <c r="CP48" s="144"/>
    </row>
    <row r="49" spans="1:95" ht="13.5" thickBot="1" x14ac:dyDescent="0.25">
      <c r="A49" s="149" t="str">
        <f t="shared" ref="A49:A63" si="3">IF($H$3=0,O49,IF($H$3="F",AC49,IF($H$3="e",AQ49,IF($H$3="a",BD49,IF($H$3="p",BQ49)))))</f>
        <v xml:space="preserve">Ht cono Trevira </v>
      </c>
      <c r="B49" s="224"/>
      <c r="C49" s="224"/>
      <c r="D49" s="223" t="s">
        <v>75</v>
      </c>
      <c r="E49" s="244">
        <v>0</v>
      </c>
      <c r="F49" s="243">
        <v>0</v>
      </c>
      <c r="G49" s="147">
        <f t="shared" si="2"/>
        <v>0</v>
      </c>
      <c r="H49" s="253">
        <f>IF(H51=0,0,IF(H51&lt;A76,C76,IF(H51&gt;4099,"allarme",IF(D8&gt;0,D8,C75))))</f>
        <v>0</v>
      </c>
      <c r="I49" s="252">
        <f>IF(I51=0,0,IF(I51&lt;A76,C76,IF(I51&gt;4099,"allarme",IF(D8&gt;0,D8,C75))))</f>
        <v>0</v>
      </c>
      <c r="J49" s="144">
        <f>H49/1000</f>
        <v>0</v>
      </c>
      <c r="K49" s="219">
        <f>TRUNC(H49/304.8)</f>
        <v>0</v>
      </c>
      <c r="L49" s="144">
        <f>ROUND((MOD(H49,304.8)/25.4),0)</f>
        <v>0</v>
      </c>
      <c r="M49" s="144">
        <f>K49*12+L49</f>
        <v>0</v>
      </c>
      <c r="O49" s="218" t="s">
        <v>100</v>
      </c>
      <c r="P49" s="224"/>
      <c r="Q49" s="224"/>
      <c r="R49" s="223" t="s">
        <v>75</v>
      </c>
      <c r="S49" s="244">
        <v>0</v>
      </c>
      <c r="T49" s="243">
        <v>0</v>
      </c>
      <c r="U49" s="147">
        <v>0</v>
      </c>
      <c r="V49" s="251">
        <v>0</v>
      </c>
      <c r="X49" s="144">
        <v>0</v>
      </c>
      <c r="Y49" s="219">
        <v>0</v>
      </c>
      <c r="Z49" s="144">
        <v>0</v>
      </c>
      <c r="AA49" s="144">
        <v>0</v>
      </c>
      <c r="AC49" s="218" t="s">
        <v>523</v>
      </c>
      <c r="AD49" s="224"/>
      <c r="AE49" s="224"/>
      <c r="AF49" s="223" t="s">
        <v>75</v>
      </c>
      <c r="AG49" s="244">
        <v>0</v>
      </c>
      <c r="AH49" s="243">
        <v>0</v>
      </c>
      <c r="AI49" s="147">
        <v>0</v>
      </c>
      <c r="AJ49" s="251">
        <v>0</v>
      </c>
      <c r="AL49" s="144">
        <v>0</v>
      </c>
      <c r="AM49" s="219">
        <v>0</v>
      </c>
      <c r="AN49" s="144">
        <v>0</v>
      </c>
      <c r="AO49" s="144">
        <v>0</v>
      </c>
      <c r="AQ49" s="218" t="s">
        <v>522</v>
      </c>
      <c r="AR49" s="224"/>
      <c r="AS49" s="224"/>
      <c r="AT49" s="223" t="s">
        <v>75</v>
      </c>
      <c r="AU49" s="244">
        <v>0</v>
      </c>
      <c r="AV49" s="243">
        <v>0</v>
      </c>
      <c r="AW49" s="147">
        <v>0</v>
      </c>
      <c r="AX49" s="251">
        <v>0</v>
      </c>
      <c r="AZ49" s="144">
        <v>0</v>
      </c>
      <c r="BA49" s="219">
        <v>0</v>
      </c>
      <c r="BB49" s="144">
        <v>0</v>
      </c>
      <c r="BC49" s="144">
        <v>0</v>
      </c>
      <c r="BD49" s="218" t="s">
        <v>522</v>
      </c>
      <c r="BE49" s="224"/>
      <c r="BF49" s="224"/>
      <c r="BG49" s="223" t="s">
        <v>75</v>
      </c>
      <c r="BH49" s="244">
        <v>0</v>
      </c>
      <c r="BI49" s="243">
        <v>0</v>
      </c>
      <c r="BJ49" s="147">
        <v>0</v>
      </c>
      <c r="BK49" s="251">
        <v>0</v>
      </c>
      <c r="BM49" s="144">
        <v>0</v>
      </c>
      <c r="BN49" s="219">
        <v>0</v>
      </c>
      <c r="BO49" s="144">
        <v>0</v>
      </c>
      <c r="BP49" s="144">
        <v>0</v>
      </c>
      <c r="BQ49" s="218" t="s">
        <v>521</v>
      </c>
      <c r="BR49" s="224"/>
      <c r="BS49" s="224"/>
      <c r="BT49" s="223" t="s">
        <v>75</v>
      </c>
      <c r="BU49" s="244">
        <v>0</v>
      </c>
      <c r="BV49" s="243">
        <v>0</v>
      </c>
      <c r="BW49" s="147">
        <v>0</v>
      </c>
      <c r="BX49" s="251">
        <v>0</v>
      </c>
      <c r="BZ49" s="144">
        <v>0</v>
      </c>
      <c r="CA49" s="219">
        <v>0</v>
      </c>
      <c r="CB49" s="144">
        <v>0</v>
      </c>
      <c r="CC49" s="144">
        <v>0</v>
      </c>
      <c r="CE49" s="218" t="s">
        <v>520</v>
      </c>
      <c r="CF49" s="224"/>
      <c r="CG49" s="224"/>
      <c r="CH49" s="223" t="s">
        <v>75</v>
      </c>
      <c r="CI49" s="244">
        <v>0</v>
      </c>
      <c r="CJ49" s="243">
        <v>0</v>
      </c>
      <c r="CK49" s="147">
        <v>0</v>
      </c>
      <c r="CL49" s="251">
        <v>0</v>
      </c>
      <c r="CN49" s="144">
        <v>0</v>
      </c>
      <c r="CO49" s="219">
        <v>0</v>
      </c>
      <c r="CP49" s="144">
        <v>0</v>
      </c>
      <c r="CQ49" s="144">
        <v>0</v>
      </c>
    </row>
    <row r="50" spans="1:95" ht="13.5" thickBot="1" x14ac:dyDescent="0.25">
      <c r="A50" s="149" t="str">
        <f t="shared" si="3"/>
        <v>Ht corpo Trevira</v>
      </c>
      <c r="B50" s="224"/>
      <c r="C50" s="241"/>
      <c r="D50" s="223" t="s">
        <v>75</v>
      </c>
      <c r="E50" s="244">
        <v>0</v>
      </c>
      <c r="F50" s="243">
        <v>0</v>
      </c>
      <c r="G50" s="147">
        <f t="shared" si="2"/>
        <v>0</v>
      </c>
      <c r="H50" s="250">
        <f>IF(D41=0,0,H43-SUM(H44:H49))</f>
        <v>-805</v>
      </c>
      <c r="I50" s="249">
        <f>IF(D41=0,0,I43-SUM(I44:I49))</f>
        <v>-805</v>
      </c>
      <c r="J50" s="144">
        <f>H50/1000</f>
        <v>-0.80500000000000005</v>
      </c>
      <c r="K50" s="219">
        <f>TRUNC(H50/304.8)</f>
        <v>-2</v>
      </c>
      <c r="L50" s="144">
        <f>ROUND( (MOD(H50,304.8)/25.4),0)</f>
        <v>4</v>
      </c>
      <c r="M50" s="144">
        <f>M43-SUM(M44:M49)</f>
        <v>-32</v>
      </c>
      <c r="O50" s="218" t="s">
        <v>35</v>
      </c>
      <c r="P50" s="224"/>
      <c r="Q50" s="241"/>
      <c r="R50" s="223" t="s">
        <v>75</v>
      </c>
      <c r="S50" s="244">
        <v>0</v>
      </c>
      <c r="T50" s="243">
        <v>0</v>
      </c>
      <c r="U50" s="147">
        <v>0</v>
      </c>
      <c r="V50" s="248">
        <v>0</v>
      </c>
      <c r="X50" s="144">
        <v>0</v>
      </c>
      <c r="Y50" s="219">
        <v>0</v>
      </c>
      <c r="Z50" s="144">
        <v>0</v>
      </c>
      <c r="AA50" s="144">
        <v>0</v>
      </c>
      <c r="AC50" s="218" t="s">
        <v>519</v>
      </c>
      <c r="AD50" s="224"/>
      <c r="AE50" s="241"/>
      <c r="AF50" s="223" t="s">
        <v>75</v>
      </c>
      <c r="AG50" s="244">
        <v>0</v>
      </c>
      <c r="AH50" s="243">
        <v>0</v>
      </c>
      <c r="AI50" s="147">
        <v>0</v>
      </c>
      <c r="AJ50" s="248">
        <v>0</v>
      </c>
      <c r="AL50" s="144">
        <v>0</v>
      </c>
      <c r="AM50" s="219">
        <v>0</v>
      </c>
      <c r="AN50" s="144">
        <v>0</v>
      </c>
      <c r="AO50" s="144">
        <v>0</v>
      </c>
      <c r="AQ50" s="218" t="s">
        <v>518</v>
      </c>
      <c r="AR50" s="224"/>
      <c r="AS50" s="241"/>
      <c r="AT50" s="223" t="s">
        <v>75</v>
      </c>
      <c r="AU50" s="244">
        <v>0</v>
      </c>
      <c r="AV50" s="243">
        <v>0</v>
      </c>
      <c r="AW50" s="147">
        <v>0</v>
      </c>
      <c r="AX50" s="248">
        <v>0</v>
      </c>
      <c r="AZ50" s="144">
        <v>0</v>
      </c>
      <c r="BA50" s="219">
        <v>0</v>
      </c>
      <c r="BB50" s="144">
        <v>0</v>
      </c>
      <c r="BC50" s="144">
        <v>0</v>
      </c>
      <c r="BD50" s="218" t="s">
        <v>518</v>
      </c>
      <c r="BE50" s="224"/>
      <c r="BF50" s="241"/>
      <c r="BG50" s="223" t="s">
        <v>75</v>
      </c>
      <c r="BH50" s="244">
        <v>0</v>
      </c>
      <c r="BI50" s="243">
        <v>0</v>
      </c>
      <c r="BJ50" s="147">
        <v>0</v>
      </c>
      <c r="BK50" s="248">
        <v>0</v>
      </c>
      <c r="BM50" s="144">
        <v>0</v>
      </c>
      <c r="BN50" s="219">
        <v>0</v>
      </c>
      <c r="BO50" s="144">
        <v>0</v>
      </c>
      <c r="BP50" s="144">
        <v>0</v>
      </c>
      <c r="BQ50" s="218" t="s">
        <v>35</v>
      </c>
      <c r="BR50" s="224"/>
      <c r="BS50" s="241"/>
      <c r="BT50" s="223" t="s">
        <v>75</v>
      </c>
      <c r="BU50" s="244">
        <v>0</v>
      </c>
      <c r="BV50" s="243">
        <v>0</v>
      </c>
      <c r="BW50" s="147">
        <v>0</v>
      </c>
      <c r="BX50" s="248">
        <v>0</v>
      </c>
      <c r="BZ50" s="144">
        <v>0</v>
      </c>
      <c r="CA50" s="219">
        <v>0</v>
      </c>
      <c r="CB50" s="144">
        <v>0</v>
      </c>
      <c r="CC50" s="144">
        <v>0</v>
      </c>
      <c r="CE50" s="218" t="s">
        <v>517</v>
      </c>
      <c r="CF50" s="224"/>
      <c r="CG50" s="241"/>
      <c r="CH50" s="223" t="s">
        <v>75</v>
      </c>
      <c r="CI50" s="244">
        <v>0</v>
      </c>
      <c r="CJ50" s="243">
        <v>0</v>
      </c>
      <c r="CK50" s="147">
        <v>0</v>
      </c>
      <c r="CL50" s="248">
        <v>0</v>
      </c>
      <c r="CN50" s="144">
        <v>0</v>
      </c>
      <c r="CO50" s="219">
        <v>0</v>
      </c>
      <c r="CP50" s="144">
        <v>0</v>
      </c>
      <c r="CQ50" s="144">
        <v>0</v>
      </c>
    </row>
    <row r="51" spans="1:95" x14ac:dyDescent="0.2">
      <c r="A51" s="149" t="str">
        <f t="shared" si="3"/>
        <v>Lato lungo</v>
      </c>
      <c r="B51" s="224"/>
      <c r="C51" s="241"/>
      <c r="D51" s="223" t="s">
        <v>75</v>
      </c>
      <c r="E51" s="244">
        <v>0</v>
      </c>
      <c r="F51" s="243">
        <v>0</v>
      </c>
      <c r="G51" s="147">
        <f t="shared" si="2"/>
        <v>0</v>
      </c>
      <c r="H51" s="246">
        <f>IF(B6=0,0,B6-(L33*2))</f>
        <v>0</v>
      </c>
      <c r="I51" s="211">
        <f>B6</f>
        <v>0</v>
      </c>
      <c r="J51" s="144">
        <f>H51/1000</f>
        <v>0</v>
      </c>
      <c r="K51" s="219">
        <f>TRUNC(H51/304.8)</f>
        <v>0</v>
      </c>
      <c r="L51" s="144">
        <f>ROUND( (MOD(H51,304.8)/25.4),0)</f>
        <v>0</v>
      </c>
      <c r="M51" s="144">
        <f>K51*12+L51</f>
        <v>0</v>
      </c>
      <c r="O51" s="218" t="s">
        <v>5</v>
      </c>
      <c r="P51" s="224"/>
      <c r="Q51" s="241"/>
      <c r="R51" s="223" t="s">
        <v>75</v>
      </c>
      <c r="S51" s="244">
        <v>0</v>
      </c>
      <c r="T51" s="243">
        <v>0</v>
      </c>
      <c r="U51" s="147">
        <v>0</v>
      </c>
      <c r="V51" s="211"/>
      <c r="X51" s="144">
        <v>0</v>
      </c>
      <c r="Y51" s="219">
        <v>0</v>
      </c>
      <c r="Z51" s="144">
        <v>0</v>
      </c>
      <c r="AA51" s="144">
        <v>0</v>
      </c>
      <c r="AC51" s="218" t="s">
        <v>516</v>
      </c>
      <c r="AD51" s="224"/>
      <c r="AE51" s="241"/>
      <c r="AF51" s="223" t="s">
        <v>75</v>
      </c>
      <c r="AG51" s="244">
        <v>0</v>
      </c>
      <c r="AH51" s="243">
        <v>0</v>
      </c>
      <c r="AI51" s="147">
        <v>0</v>
      </c>
      <c r="AJ51" s="211"/>
      <c r="AL51" s="144">
        <v>0</v>
      </c>
      <c r="AM51" s="219">
        <v>0</v>
      </c>
      <c r="AN51" s="144">
        <v>0</v>
      </c>
      <c r="AO51" s="144">
        <v>0</v>
      </c>
      <c r="AQ51" s="218" t="s">
        <v>515</v>
      </c>
      <c r="AR51" s="224"/>
      <c r="AS51" s="241"/>
      <c r="AT51" s="223" t="s">
        <v>75</v>
      </c>
      <c r="AU51" s="244">
        <v>0</v>
      </c>
      <c r="AV51" s="243">
        <v>0</v>
      </c>
      <c r="AW51" s="147">
        <v>0</v>
      </c>
      <c r="AX51" s="211"/>
      <c r="AZ51" s="144">
        <v>0</v>
      </c>
      <c r="BA51" s="219">
        <v>0</v>
      </c>
      <c r="BB51" s="144">
        <v>0</v>
      </c>
      <c r="BC51" s="144">
        <v>0</v>
      </c>
      <c r="BD51" s="218" t="s">
        <v>515</v>
      </c>
      <c r="BE51" s="224"/>
      <c r="BF51" s="241"/>
      <c r="BG51" s="223" t="s">
        <v>75</v>
      </c>
      <c r="BH51" s="244">
        <v>0</v>
      </c>
      <c r="BI51" s="243">
        <v>0</v>
      </c>
      <c r="BJ51" s="147">
        <v>0</v>
      </c>
      <c r="BK51" s="211"/>
      <c r="BM51" s="144">
        <v>0</v>
      </c>
      <c r="BN51" s="219">
        <v>0</v>
      </c>
      <c r="BO51" s="144">
        <v>0</v>
      </c>
      <c r="BP51" s="144">
        <v>0</v>
      </c>
      <c r="BQ51" s="247" t="s">
        <v>514</v>
      </c>
      <c r="BR51" s="224"/>
      <c r="BS51" s="241"/>
      <c r="BT51" s="223" t="s">
        <v>75</v>
      </c>
      <c r="BU51" s="244">
        <v>0</v>
      </c>
      <c r="BV51" s="243">
        <v>0</v>
      </c>
      <c r="BW51" s="147">
        <v>0</v>
      </c>
      <c r="BX51" s="211"/>
      <c r="BZ51" s="144">
        <v>0</v>
      </c>
      <c r="CA51" s="219">
        <v>0</v>
      </c>
      <c r="CB51" s="144">
        <v>0</v>
      </c>
      <c r="CC51" s="144">
        <v>0</v>
      </c>
      <c r="CE51" s="245" t="s">
        <v>513</v>
      </c>
      <c r="CF51" s="224"/>
      <c r="CG51" s="241"/>
      <c r="CH51" s="223" t="s">
        <v>75</v>
      </c>
      <c r="CI51" s="244">
        <v>0</v>
      </c>
      <c r="CJ51" s="243">
        <v>0</v>
      </c>
      <c r="CK51" s="147">
        <v>0</v>
      </c>
      <c r="CL51" s="211"/>
      <c r="CN51" s="144">
        <v>0</v>
      </c>
      <c r="CO51" s="219">
        <v>0</v>
      </c>
      <c r="CP51" s="144">
        <v>0</v>
      </c>
      <c r="CQ51" s="144">
        <v>0</v>
      </c>
    </row>
    <row r="52" spans="1:95" x14ac:dyDescent="0.2">
      <c r="A52" s="149" t="str">
        <f t="shared" si="3"/>
        <v>Lato corto</v>
      </c>
      <c r="B52" s="224"/>
      <c r="C52" s="241"/>
      <c r="D52" s="223" t="s">
        <v>75</v>
      </c>
      <c r="E52" s="244">
        <v>0</v>
      </c>
      <c r="F52" s="243">
        <v>0</v>
      </c>
      <c r="G52" s="147">
        <f t="shared" si="2"/>
        <v>0</v>
      </c>
      <c r="H52" s="246">
        <f>IF(D6=0,0,D6-(L33*2))</f>
        <v>0</v>
      </c>
      <c r="I52" s="211">
        <f>D6</f>
        <v>0</v>
      </c>
      <c r="J52" s="144">
        <f>H52/1000</f>
        <v>0</v>
      </c>
      <c r="K52" s="219">
        <f>TRUNC(H52/304.8)</f>
        <v>0</v>
      </c>
      <c r="L52" s="144">
        <f>ROUND( (MOD(H52,304.8)/25.4),0)</f>
        <v>0</v>
      </c>
      <c r="M52" s="144">
        <f>K52*12+L52</f>
        <v>0</v>
      </c>
      <c r="O52" s="218" t="s">
        <v>6</v>
      </c>
      <c r="P52" s="224"/>
      <c r="Q52" s="241"/>
      <c r="R52" s="223" t="s">
        <v>75</v>
      </c>
      <c r="S52" s="244">
        <v>0</v>
      </c>
      <c r="T52" s="243">
        <v>0</v>
      </c>
      <c r="U52" s="147">
        <v>0</v>
      </c>
      <c r="V52" s="211"/>
      <c r="X52" s="144">
        <v>0</v>
      </c>
      <c r="Y52" s="219">
        <v>0</v>
      </c>
      <c r="Z52" s="144">
        <v>0</v>
      </c>
      <c r="AA52" s="144">
        <v>0</v>
      </c>
      <c r="AC52" s="218" t="s">
        <v>512</v>
      </c>
      <c r="AD52" s="224"/>
      <c r="AE52" s="241"/>
      <c r="AF52" s="223" t="s">
        <v>75</v>
      </c>
      <c r="AG52" s="244">
        <v>0</v>
      </c>
      <c r="AH52" s="243">
        <v>0</v>
      </c>
      <c r="AI52" s="147">
        <v>0</v>
      </c>
      <c r="AJ52" s="211"/>
      <c r="AL52" s="144">
        <v>0</v>
      </c>
      <c r="AM52" s="219">
        <v>0</v>
      </c>
      <c r="AN52" s="144">
        <v>0</v>
      </c>
      <c r="AO52" s="144">
        <v>0</v>
      </c>
      <c r="AQ52" s="218" t="s">
        <v>511</v>
      </c>
      <c r="AR52" s="224"/>
      <c r="AS52" s="241"/>
      <c r="AT52" s="223" t="s">
        <v>75</v>
      </c>
      <c r="AU52" s="244">
        <v>0</v>
      </c>
      <c r="AV52" s="243">
        <v>0</v>
      </c>
      <c r="AW52" s="147">
        <v>0</v>
      </c>
      <c r="AX52" s="211"/>
      <c r="AZ52" s="144">
        <v>0</v>
      </c>
      <c r="BA52" s="219">
        <v>0</v>
      </c>
      <c r="BB52" s="144">
        <v>0</v>
      </c>
      <c r="BC52" s="144">
        <v>0</v>
      </c>
      <c r="BD52" s="218" t="s">
        <v>511</v>
      </c>
      <c r="BE52" s="224"/>
      <c r="BF52" s="241"/>
      <c r="BG52" s="223" t="s">
        <v>75</v>
      </c>
      <c r="BH52" s="244">
        <v>0</v>
      </c>
      <c r="BI52" s="243">
        <v>0</v>
      </c>
      <c r="BJ52" s="147">
        <v>0</v>
      </c>
      <c r="BK52" s="211"/>
      <c r="BM52" s="144">
        <v>0</v>
      </c>
      <c r="BN52" s="219">
        <v>0</v>
      </c>
      <c r="BO52" s="144">
        <v>0</v>
      </c>
      <c r="BP52" s="144">
        <v>0</v>
      </c>
      <c r="BQ52" s="218" t="s">
        <v>510</v>
      </c>
      <c r="BR52" s="224"/>
      <c r="BS52" s="241"/>
      <c r="BT52" s="223" t="s">
        <v>75</v>
      </c>
      <c r="BU52" s="244">
        <v>0</v>
      </c>
      <c r="BV52" s="243">
        <v>0</v>
      </c>
      <c r="BW52" s="147">
        <v>0</v>
      </c>
      <c r="BX52" s="211"/>
      <c r="BZ52" s="144">
        <v>0</v>
      </c>
      <c r="CA52" s="219">
        <v>0</v>
      </c>
      <c r="CB52" s="144">
        <v>0</v>
      </c>
      <c r="CC52" s="144">
        <v>0</v>
      </c>
      <c r="CE52" s="245" t="s">
        <v>509</v>
      </c>
      <c r="CF52" s="224"/>
      <c r="CG52" s="241"/>
      <c r="CH52" s="223" t="s">
        <v>75</v>
      </c>
      <c r="CI52" s="244">
        <v>0</v>
      </c>
      <c r="CJ52" s="243">
        <v>0</v>
      </c>
      <c r="CK52" s="147">
        <v>0</v>
      </c>
      <c r="CL52" s="211"/>
      <c r="CN52" s="144">
        <v>0</v>
      </c>
      <c r="CO52" s="219">
        <v>0</v>
      </c>
      <c r="CP52" s="144">
        <v>0</v>
      </c>
      <c r="CQ52" s="144">
        <v>0</v>
      </c>
    </row>
    <row r="53" spans="1:95" x14ac:dyDescent="0.2">
      <c r="A53" s="149" t="str">
        <f t="shared" si="3"/>
        <v xml:space="preserve">AREA BASE </v>
      </c>
      <c r="B53" s="224"/>
      <c r="C53" s="241">
        <v>0</v>
      </c>
      <c r="D53" s="223" t="s">
        <v>76</v>
      </c>
      <c r="H53" s="242">
        <f>H51*H52/1000000</f>
        <v>0</v>
      </c>
      <c r="I53" s="234">
        <f>I51*I52/1000000</f>
        <v>0</v>
      </c>
      <c r="J53" s="205">
        <f>J51*J52</f>
        <v>0</v>
      </c>
      <c r="K53" s="146">
        <f>J53*10.76</f>
        <v>0</v>
      </c>
      <c r="L53" s="205"/>
      <c r="O53" s="218" t="s">
        <v>36</v>
      </c>
      <c r="P53" s="224"/>
      <c r="Q53" s="241">
        <v>0</v>
      </c>
      <c r="R53" s="223" t="s">
        <v>76</v>
      </c>
      <c r="V53" s="234">
        <v>0</v>
      </c>
      <c r="X53" s="205">
        <v>0</v>
      </c>
      <c r="Y53" s="146">
        <v>0</v>
      </c>
      <c r="Z53" s="205"/>
      <c r="AC53" s="218" t="s">
        <v>508</v>
      </c>
      <c r="AD53" s="224"/>
      <c r="AE53" s="241">
        <v>0</v>
      </c>
      <c r="AF53" s="223" t="s">
        <v>76</v>
      </c>
      <c r="AJ53" s="234">
        <v>0</v>
      </c>
      <c r="AL53" s="205">
        <v>0</v>
      </c>
      <c r="AM53" s="146">
        <v>0</v>
      </c>
      <c r="AN53" s="205"/>
      <c r="AQ53" s="218" t="s">
        <v>507</v>
      </c>
      <c r="AR53" s="224"/>
      <c r="AS53" s="241">
        <v>0</v>
      </c>
      <c r="AT53" s="223" t="s">
        <v>76</v>
      </c>
      <c r="AX53" s="234">
        <v>0</v>
      </c>
      <c r="AZ53" s="205">
        <v>0</v>
      </c>
      <c r="BA53" s="146">
        <v>0</v>
      </c>
      <c r="BB53" s="205"/>
      <c r="BD53" s="218" t="s">
        <v>507</v>
      </c>
      <c r="BE53" s="224"/>
      <c r="BF53" s="241">
        <v>0</v>
      </c>
      <c r="BG53" s="223" t="s">
        <v>76</v>
      </c>
      <c r="BK53" s="234">
        <v>0</v>
      </c>
      <c r="BM53" s="205">
        <v>0</v>
      </c>
      <c r="BN53" s="146">
        <v>0</v>
      </c>
      <c r="BO53" s="205"/>
      <c r="BQ53" s="218" t="s">
        <v>36</v>
      </c>
      <c r="BR53" s="224"/>
      <c r="BS53" s="241">
        <v>0</v>
      </c>
      <c r="BT53" s="223" t="s">
        <v>76</v>
      </c>
      <c r="BX53" s="234">
        <v>0</v>
      </c>
      <c r="BZ53" s="205">
        <v>0</v>
      </c>
      <c r="CA53" s="146">
        <v>0</v>
      </c>
      <c r="CB53" s="205"/>
      <c r="CE53" s="218" t="s">
        <v>506</v>
      </c>
      <c r="CF53" s="224"/>
      <c r="CG53" s="241">
        <v>0</v>
      </c>
      <c r="CH53" s="223" t="s">
        <v>76</v>
      </c>
      <c r="CL53" s="234">
        <v>0</v>
      </c>
      <c r="CN53" s="205">
        <v>0</v>
      </c>
      <c r="CO53" s="146">
        <v>0</v>
      </c>
      <c r="CP53" s="205"/>
    </row>
    <row r="54" spans="1:95" x14ac:dyDescent="0.2">
      <c r="A54" s="149" t="str">
        <f t="shared" si="3"/>
        <v>VOLUME CORPO TREVIRA</v>
      </c>
      <c r="B54" s="224"/>
      <c r="C54" s="241"/>
      <c r="D54" s="236" t="s">
        <v>77</v>
      </c>
      <c r="H54" s="242">
        <f>H50*H53/1000</f>
        <v>0</v>
      </c>
      <c r="I54" s="234">
        <f>I50*I53/1000</f>
        <v>0</v>
      </c>
      <c r="J54" s="205">
        <f>J50*J53</f>
        <v>0</v>
      </c>
      <c r="K54" s="146">
        <f>J54*35.31</f>
        <v>0</v>
      </c>
      <c r="L54" s="205"/>
      <c r="O54" s="218" t="s">
        <v>39</v>
      </c>
      <c r="P54" s="224"/>
      <c r="Q54" s="241"/>
      <c r="R54" s="236" t="s">
        <v>77</v>
      </c>
      <c r="V54" s="234">
        <v>0</v>
      </c>
      <c r="X54" s="205">
        <v>0</v>
      </c>
      <c r="Y54" s="146">
        <v>0</v>
      </c>
      <c r="Z54" s="205"/>
      <c r="AC54" s="218" t="s">
        <v>505</v>
      </c>
      <c r="AD54" s="224"/>
      <c r="AE54" s="241"/>
      <c r="AF54" s="236" t="s">
        <v>77</v>
      </c>
      <c r="AJ54" s="234">
        <v>0</v>
      </c>
      <c r="AL54" s="205">
        <v>0</v>
      </c>
      <c r="AM54" s="146">
        <v>0</v>
      </c>
      <c r="AN54" s="205"/>
      <c r="AQ54" s="218" t="s">
        <v>504</v>
      </c>
      <c r="AR54" s="224"/>
      <c r="AS54" s="241"/>
      <c r="AT54" s="236" t="s">
        <v>77</v>
      </c>
      <c r="AX54" s="234">
        <v>0</v>
      </c>
      <c r="AZ54" s="205">
        <v>0</v>
      </c>
      <c r="BA54" s="146">
        <v>0</v>
      </c>
      <c r="BB54" s="205"/>
      <c r="BD54" s="218" t="s">
        <v>504</v>
      </c>
      <c r="BE54" s="224"/>
      <c r="BF54" s="241"/>
      <c r="BG54" s="236" t="s">
        <v>77</v>
      </c>
      <c r="BK54" s="234">
        <v>0</v>
      </c>
      <c r="BM54" s="205">
        <v>0</v>
      </c>
      <c r="BN54" s="146">
        <v>0</v>
      </c>
      <c r="BO54" s="205"/>
      <c r="BQ54" s="218" t="s">
        <v>39</v>
      </c>
      <c r="BR54" s="224"/>
      <c r="BS54" s="241"/>
      <c r="BT54" s="236" t="s">
        <v>77</v>
      </c>
      <c r="BX54" s="234">
        <v>0</v>
      </c>
      <c r="BZ54" s="205">
        <v>0</v>
      </c>
      <c r="CA54" s="146">
        <v>0</v>
      </c>
      <c r="CB54" s="205"/>
      <c r="CE54" s="218" t="s">
        <v>503</v>
      </c>
      <c r="CF54" s="224"/>
      <c r="CG54" s="241"/>
      <c r="CH54" s="236" t="s">
        <v>77</v>
      </c>
      <c r="CL54" s="234">
        <v>0</v>
      </c>
      <c r="CN54" s="205">
        <v>0</v>
      </c>
      <c r="CO54" s="146">
        <v>0</v>
      </c>
      <c r="CP54" s="205"/>
    </row>
    <row r="55" spans="1:95" x14ac:dyDescent="0.2">
      <c r="A55" s="149" t="str">
        <f t="shared" si="3"/>
        <v>AREA INFER CONO TREVIRA</v>
      </c>
      <c r="B55" s="224"/>
      <c r="C55" s="241"/>
      <c r="D55" s="223" t="s">
        <v>76</v>
      </c>
      <c r="H55" s="218">
        <f>IF(H51=0,0,IF(B6&lt;I87,0.81,1.44))</f>
        <v>0</v>
      </c>
      <c r="I55" s="147">
        <f>IF(I51=0,0,IF(B6&lt;I87,0.81,1.44))</f>
        <v>0</v>
      </c>
      <c r="J55" s="144">
        <f>H55</f>
        <v>0</v>
      </c>
      <c r="K55" s="146">
        <f>J55*10.76</f>
        <v>0</v>
      </c>
      <c r="L55" s="205"/>
      <c r="O55" s="218" t="s">
        <v>78</v>
      </c>
      <c r="P55" s="224"/>
      <c r="Q55" s="241"/>
      <c r="R55" s="223" t="s">
        <v>76</v>
      </c>
      <c r="V55" s="147">
        <v>0</v>
      </c>
      <c r="X55" s="144">
        <v>0</v>
      </c>
      <c r="Y55" s="146">
        <v>0</v>
      </c>
      <c r="Z55" s="205"/>
      <c r="AC55" s="218" t="s">
        <v>502</v>
      </c>
      <c r="AD55" s="224"/>
      <c r="AE55" s="241"/>
      <c r="AF55" s="223" t="s">
        <v>76</v>
      </c>
      <c r="AJ55" s="147">
        <v>0</v>
      </c>
      <c r="AL55" s="144">
        <v>0</v>
      </c>
      <c r="AM55" s="146">
        <v>0</v>
      </c>
      <c r="AN55" s="205"/>
      <c r="AQ55" s="218" t="s">
        <v>501</v>
      </c>
      <c r="AR55" s="224"/>
      <c r="AS55" s="241"/>
      <c r="AT55" s="223" t="s">
        <v>76</v>
      </c>
      <c r="AX55" s="147">
        <v>0</v>
      </c>
      <c r="AZ55" s="144">
        <v>0</v>
      </c>
      <c r="BA55" s="146">
        <v>0</v>
      </c>
      <c r="BB55" s="205"/>
      <c r="BD55" s="218" t="s">
        <v>501</v>
      </c>
      <c r="BE55" s="224"/>
      <c r="BF55" s="241"/>
      <c r="BG55" s="223" t="s">
        <v>76</v>
      </c>
      <c r="BK55" s="147">
        <v>0</v>
      </c>
      <c r="BM55" s="144">
        <v>0</v>
      </c>
      <c r="BN55" s="146">
        <v>0</v>
      </c>
      <c r="BO55" s="205"/>
      <c r="BQ55" s="218" t="s">
        <v>500</v>
      </c>
      <c r="BR55" s="224"/>
      <c r="BS55" s="241"/>
      <c r="BT55" s="223" t="s">
        <v>76</v>
      </c>
      <c r="BX55" s="147">
        <v>0</v>
      </c>
      <c r="BZ55" s="144">
        <v>0</v>
      </c>
      <c r="CA55" s="146">
        <v>0</v>
      </c>
      <c r="CB55" s="205"/>
      <c r="CE55" s="218" t="s">
        <v>499</v>
      </c>
      <c r="CF55" s="224"/>
      <c r="CG55" s="241"/>
      <c r="CH55" s="223" t="s">
        <v>76</v>
      </c>
      <c r="CL55" s="147">
        <v>0</v>
      </c>
      <c r="CN55" s="144">
        <v>0</v>
      </c>
      <c r="CO55" s="146">
        <v>0</v>
      </c>
      <c r="CP55" s="205"/>
    </row>
    <row r="56" spans="1:95" x14ac:dyDescent="0.2">
      <c r="A56" s="149" t="str">
        <f t="shared" si="3"/>
        <v>VOLUME CONO TREVIRA</v>
      </c>
      <c r="B56" s="237"/>
      <c r="C56" s="241"/>
      <c r="D56" s="236" t="s">
        <v>77</v>
      </c>
      <c r="E56" s="205"/>
      <c r="F56" s="205"/>
      <c r="G56" s="205"/>
      <c r="H56" s="242">
        <f>H49/3/1000*(H53+H55+SQRT(H53*H55))</f>
        <v>0</v>
      </c>
      <c r="I56" s="234">
        <f>I49/3/1000*(I53+I55+SQRT(I53*I55))</f>
        <v>0</v>
      </c>
      <c r="J56" s="205">
        <f>H56</f>
        <v>0</v>
      </c>
      <c r="K56" s="146">
        <f>J56*35.31</f>
        <v>0</v>
      </c>
      <c r="L56" s="205"/>
      <c r="O56" s="218" t="s">
        <v>42</v>
      </c>
      <c r="P56" s="237"/>
      <c r="Q56" s="241"/>
      <c r="R56" s="236" t="s">
        <v>77</v>
      </c>
      <c r="S56" s="205"/>
      <c r="T56" s="205"/>
      <c r="U56" s="205"/>
      <c r="V56" s="234">
        <v>0</v>
      </c>
      <c r="X56" s="205">
        <v>0</v>
      </c>
      <c r="Y56" s="146">
        <v>0</v>
      </c>
      <c r="Z56" s="205"/>
      <c r="AC56" s="218" t="s">
        <v>498</v>
      </c>
      <c r="AD56" s="237"/>
      <c r="AE56" s="241"/>
      <c r="AF56" s="236" t="s">
        <v>77</v>
      </c>
      <c r="AG56" s="205"/>
      <c r="AH56" s="205"/>
      <c r="AI56" s="205"/>
      <c r="AJ56" s="234">
        <v>0</v>
      </c>
      <c r="AL56" s="205">
        <v>0</v>
      </c>
      <c r="AM56" s="146">
        <v>0</v>
      </c>
      <c r="AN56" s="205"/>
      <c r="AQ56" s="218" t="s">
        <v>497</v>
      </c>
      <c r="AR56" s="237"/>
      <c r="AS56" s="241"/>
      <c r="AT56" s="236" t="s">
        <v>77</v>
      </c>
      <c r="AU56" s="205"/>
      <c r="AV56" s="205"/>
      <c r="AW56" s="205"/>
      <c r="AX56" s="234">
        <v>0</v>
      </c>
      <c r="AZ56" s="205">
        <v>0</v>
      </c>
      <c r="BA56" s="146">
        <v>0</v>
      </c>
      <c r="BB56" s="205"/>
      <c r="BD56" s="218" t="s">
        <v>497</v>
      </c>
      <c r="BE56" s="237"/>
      <c r="BF56" s="241"/>
      <c r="BG56" s="236" t="s">
        <v>77</v>
      </c>
      <c r="BH56" s="205"/>
      <c r="BI56" s="205"/>
      <c r="BJ56" s="205"/>
      <c r="BK56" s="234">
        <v>0</v>
      </c>
      <c r="BM56" s="205">
        <v>0</v>
      </c>
      <c r="BN56" s="146">
        <v>0</v>
      </c>
      <c r="BO56" s="205"/>
      <c r="BQ56" s="218" t="s">
        <v>496</v>
      </c>
      <c r="BR56" s="237"/>
      <c r="BS56" s="241"/>
      <c r="BT56" s="236" t="s">
        <v>77</v>
      </c>
      <c r="BU56" s="205"/>
      <c r="BV56" s="205"/>
      <c r="BW56" s="205"/>
      <c r="BX56" s="234">
        <v>0</v>
      </c>
      <c r="BZ56" s="205">
        <v>0</v>
      </c>
      <c r="CA56" s="146">
        <v>0</v>
      </c>
      <c r="CB56" s="205"/>
      <c r="CE56" s="218" t="s">
        <v>495</v>
      </c>
      <c r="CF56" s="237"/>
      <c r="CG56" s="241"/>
      <c r="CH56" s="236" t="s">
        <v>77</v>
      </c>
      <c r="CI56" s="205"/>
      <c r="CJ56" s="205"/>
      <c r="CK56" s="205"/>
      <c r="CL56" s="234">
        <v>0</v>
      </c>
      <c r="CN56" s="205">
        <v>0</v>
      </c>
      <c r="CO56" s="146">
        <v>0</v>
      </c>
      <c r="CP56" s="205"/>
    </row>
    <row r="57" spans="1:95" x14ac:dyDescent="0.2">
      <c r="A57" s="149">
        <f t="shared" si="3"/>
        <v>0</v>
      </c>
      <c r="C57" s="240"/>
      <c r="D57" s="239"/>
      <c r="E57" s="221"/>
      <c r="F57" s="221"/>
      <c r="G57" s="221"/>
      <c r="H57" s="238"/>
      <c r="J57" s="205"/>
      <c r="K57" s="146"/>
      <c r="L57" s="205"/>
      <c r="O57" s="144">
        <v>0</v>
      </c>
      <c r="Q57" s="240"/>
      <c r="R57" s="239"/>
      <c r="S57" s="221"/>
      <c r="T57" s="221"/>
      <c r="U57" s="221"/>
      <c r="V57" s="238"/>
      <c r="X57" s="205"/>
      <c r="Y57" s="146"/>
      <c r="Z57" s="205"/>
      <c r="AC57" s="144">
        <v>0</v>
      </c>
      <c r="AE57" s="240"/>
      <c r="AF57" s="239"/>
      <c r="AG57" s="221"/>
      <c r="AH57" s="221"/>
      <c r="AI57" s="221"/>
      <c r="AJ57" s="238"/>
      <c r="AL57" s="205"/>
      <c r="AM57" s="146"/>
      <c r="AN57" s="205"/>
      <c r="AS57" s="240"/>
      <c r="AT57" s="239"/>
      <c r="AU57" s="221"/>
      <c r="AV57" s="221"/>
      <c r="AW57" s="221"/>
      <c r="AX57" s="238"/>
      <c r="AZ57" s="205"/>
      <c r="BA57" s="146"/>
      <c r="BB57" s="205"/>
      <c r="BF57" s="240"/>
      <c r="BG57" s="239"/>
      <c r="BH57" s="221"/>
      <c r="BI57" s="221"/>
      <c r="BJ57" s="221"/>
      <c r="BK57" s="238"/>
      <c r="BM57" s="205"/>
      <c r="BN57" s="146"/>
      <c r="BO57" s="205"/>
      <c r="BQ57" s="144">
        <v>0</v>
      </c>
      <c r="BS57" s="240"/>
      <c r="BT57" s="239"/>
      <c r="BU57" s="221"/>
      <c r="BV57" s="221"/>
      <c r="BW57" s="221"/>
      <c r="BX57" s="238"/>
      <c r="BZ57" s="205"/>
      <c r="CA57" s="146"/>
      <c r="CB57" s="205"/>
      <c r="CE57" s="144">
        <v>0</v>
      </c>
      <c r="CG57" s="240"/>
      <c r="CH57" s="239"/>
      <c r="CI57" s="221"/>
      <c r="CJ57" s="221"/>
      <c r="CK57" s="221"/>
      <c r="CL57" s="238"/>
      <c r="CN57" s="205"/>
      <c r="CO57" s="146"/>
      <c r="CP57" s="205"/>
    </row>
    <row r="58" spans="1:95" x14ac:dyDescent="0.2">
      <c r="A58" s="149" t="str">
        <f t="shared" si="3"/>
        <v>VOLUME TOTALE</v>
      </c>
      <c r="B58" s="237"/>
      <c r="C58" s="231"/>
      <c r="D58" s="236" t="s">
        <v>77</v>
      </c>
      <c r="E58" s="235"/>
      <c r="F58" s="235"/>
      <c r="G58" s="235"/>
      <c r="H58" s="234">
        <f>IF(D41=0,0,IF(C87="ALLARME","ALLARME",IF(H46="allarme","allarme",H54+H56)))</f>
        <v>0</v>
      </c>
      <c r="I58" s="234">
        <f>IF(D41=0,0,IF(C87="ALLARME","ALLARME",IF(H46="allarme","allarme",I54+I56)))</f>
        <v>0</v>
      </c>
      <c r="J58" s="205">
        <f>J54+J56</f>
        <v>0</v>
      </c>
      <c r="K58" s="146">
        <f>IF(H45="ALLARME","ALLARME",J58*35.31)</f>
        <v>0</v>
      </c>
      <c r="L58" s="219"/>
      <c r="O58" s="218" t="s">
        <v>45</v>
      </c>
      <c r="P58" s="237"/>
      <c r="Q58" s="231"/>
      <c r="R58" s="236" t="s">
        <v>77</v>
      </c>
      <c r="S58" s="235"/>
      <c r="T58" s="235"/>
      <c r="U58" s="235"/>
      <c r="V58" s="234">
        <v>0</v>
      </c>
      <c r="X58" s="205">
        <v>0</v>
      </c>
      <c r="Y58" s="146">
        <v>0</v>
      </c>
      <c r="Z58" s="219"/>
      <c r="AC58" s="218" t="s">
        <v>493</v>
      </c>
      <c r="AD58" s="237"/>
      <c r="AE58" s="231"/>
      <c r="AF58" s="236" t="s">
        <v>77</v>
      </c>
      <c r="AG58" s="235"/>
      <c r="AH58" s="235"/>
      <c r="AI58" s="235"/>
      <c r="AJ58" s="234">
        <v>0</v>
      </c>
      <c r="AL58" s="205">
        <v>0</v>
      </c>
      <c r="AM58" s="146">
        <v>0</v>
      </c>
      <c r="AN58" s="219"/>
      <c r="AQ58" s="218" t="s">
        <v>494</v>
      </c>
      <c r="AR58" s="237"/>
      <c r="AS58" s="231"/>
      <c r="AT58" s="236" t="s">
        <v>77</v>
      </c>
      <c r="AU58" s="235"/>
      <c r="AV58" s="235"/>
      <c r="AW58" s="235"/>
      <c r="AX58" s="234">
        <v>0</v>
      </c>
      <c r="AZ58" s="205">
        <v>0</v>
      </c>
      <c r="BA58" s="146">
        <v>0</v>
      </c>
      <c r="BB58" s="219"/>
      <c r="BD58" s="218" t="s">
        <v>494</v>
      </c>
      <c r="BE58" s="237"/>
      <c r="BF58" s="231"/>
      <c r="BG58" s="236" t="s">
        <v>77</v>
      </c>
      <c r="BH58" s="235"/>
      <c r="BI58" s="235"/>
      <c r="BJ58" s="235"/>
      <c r="BK58" s="234">
        <v>0</v>
      </c>
      <c r="BM58" s="205">
        <v>0</v>
      </c>
      <c r="BN58" s="146">
        <v>0</v>
      </c>
      <c r="BO58" s="219"/>
      <c r="BQ58" s="218" t="s">
        <v>493</v>
      </c>
      <c r="BR58" s="237"/>
      <c r="BS58" s="231"/>
      <c r="BT58" s="236" t="s">
        <v>77</v>
      </c>
      <c r="BU58" s="235"/>
      <c r="BV58" s="235"/>
      <c r="BW58" s="235"/>
      <c r="BX58" s="234">
        <v>0</v>
      </c>
      <c r="BZ58" s="205">
        <v>0</v>
      </c>
      <c r="CA58" s="146">
        <v>0</v>
      </c>
      <c r="CB58" s="219"/>
      <c r="CE58" s="218" t="s">
        <v>45</v>
      </c>
      <c r="CF58" s="237"/>
      <c r="CG58" s="231"/>
      <c r="CH58" s="236" t="s">
        <v>77</v>
      </c>
      <c r="CI58" s="235"/>
      <c r="CJ58" s="235"/>
      <c r="CK58" s="235"/>
      <c r="CL58" s="234">
        <v>0</v>
      </c>
      <c r="CN58" s="205">
        <v>0</v>
      </c>
      <c r="CO58" s="146">
        <v>0</v>
      </c>
      <c r="CP58" s="219"/>
    </row>
    <row r="59" spans="1:95" x14ac:dyDescent="0.2">
      <c r="A59" s="149" t="str">
        <f t="shared" si="3"/>
        <v xml:space="preserve">Farina Kg/M³ </v>
      </c>
      <c r="B59" s="229"/>
      <c r="C59" s="233">
        <v>600</v>
      </c>
      <c r="D59" s="230" t="s">
        <v>79</v>
      </c>
      <c r="E59" s="229"/>
      <c r="F59" s="229"/>
      <c r="G59" s="229"/>
      <c r="H59" s="228">
        <f>ROUND(H58*600,-2)</f>
        <v>0</v>
      </c>
      <c r="I59" s="228">
        <f>ROUND(I58*600,-2)</f>
        <v>0</v>
      </c>
      <c r="J59" s="219"/>
      <c r="K59" s="219"/>
      <c r="L59" s="205"/>
      <c r="O59" s="232" t="s">
        <v>91</v>
      </c>
      <c r="P59" s="229"/>
      <c r="Q59" s="231">
        <v>600</v>
      </c>
      <c r="R59" s="230" t="s">
        <v>79</v>
      </c>
      <c r="S59" s="229"/>
      <c r="T59" s="229"/>
      <c r="U59" s="229"/>
      <c r="V59" s="228">
        <v>0</v>
      </c>
      <c r="X59" s="219"/>
      <c r="Y59" s="219"/>
      <c r="Z59" s="205"/>
      <c r="AC59" s="232" t="s">
        <v>492</v>
      </c>
      <c r="AD59" s="229"/>
      <c r="AE59" s="231">
        <v>600</v>
      </c>
      <c r="AF59" s="230" t="s">
        <v>79</v>
      </c>
      <c r="AG59" s="229"/>
      <c r="AH59" s="229"/>
      <c r="AI59" s="229"/>
      <c r="AJ59" s="228">
        <v>0</v>
      </c>
      <c r="AL59" s="219"/>
      <c r="AM59" s="219"/>
      <c r="AN59" s="205"/>
      <c r="AQ59" s="232" t="s">
        <v>491</v>
      </c>
      <c r="AR59" s="229"/>
      <c r="AS59" s="231">
        <v>600</v>
      </c>
      <c r="AT59" s="230" t="s">
        <v>79</v>
      </c>
      <c r="AU59" s="229"/>
      <c r="AV59" s="229"/>
      <c r="AW59" s="229"/>
      <c r="AX59" s="228">
        <v>0</v>
      </c>
      <c r="AZ59" s="219"/>
      <c r="BA59" s="219"/>
      <c r="BB59" s="205"/>
      <c r="BD59" s="232" t="s">
        <v>491</v>
      </c>
      <c r="BE59" s="229"/>
      <c r="BF59" s="231">
        <v>600</v>
      </c>
      <c r="BG59" s="230" t="s">
        <v>79</v>
      </c>
      <c r="BH59" s="229"/>
      <c r="BI59" s="229"/>
      <c r="BJ59" s="229"/>
      <c r="BK59" s="228">
        <v>0</v>
      </c>
      <c r="BM59" s="219"/>
      <c r="BN59" s="219"/>
      <c r="BO59" s="205"/>
      <c r="BQ59" s="232" t="s">
        <v>490</v>
      </c>
      <c r="BR59" s="229"/>
      <c r="BS59" s="231">
        <v>600</v>
      </c>
      <c r="BT59" s="230" t="s">
        <v>79</v>
      </c>
      <c r="BU59" s="229"/>
      <c r="BV59" s="229"/>
      <c r="BW59" s="229"/>
      <c r="BX59" s="228">
        <v>0</v>
      </c>
      <c r="BZ59" s="219"/>
      <c r="CA59" s="219"/>
      <c r="CB59" s="205"/>
      <c r="CE59" s="232" t="s">
        <v>489</v>
      </c>
      <c r="CF59" s="229"/>
      <c r="CG59" s="231">
        <v>600</v>
      </c>
      <c r="CH59" s="230" t="s">
        <v>79</v>
      </c>
      <c r="CI59" s="229"/>
      <c r="CJ59" s="229"/>
      <c r="CK59" s="229"/>
      <c r="CL59" s="228">
        <v>0</v>
      </c>
      <c r="CN59" s="219"/>
      <c r="CO59" s="219"/>
      <c r="CP59" s="205"/>
    </row>
    <row r="60" spans="1:95" x14ac:dyDescent="0.2">
      <c r="A60" s="149" t="str">
        <f t="shared" si="3"/>
        <v xml:space="preserve">Semola Kg/M³ </v>
      </c>
      <c r="B60" s="225"/>
      <c r="C60" s="226">
        <v>720</v>
      </c>
      <c r="D60" s="227" t="s">
        <v>79</v>
      </c>
      <c r="E60" s="219"/>
      <c r="F60" s="219"/>
      <c r="G60" s="219"/>
      <c r="H60" s="222">
        <f>ROUND(H58*C60,-2)</f>
        <v>0</v>
      </c>
      <c r="I60" s="222">
        <f>ROUND(I58*C60,-2)</f>
        <v>0</v>
      </c>
      <c r="J60" s="219"/>
      <c r="K60" s="219"/>
      <c r="L60" s="205"/>
      <c r="O60" s="218" t="s">
        <v>90</v>
      </c>
      <c r="P60" s="225"/>
      <c r="Q60" s="224">
        <v>720</v>
      </c>
      <c r="R60" s="227" t="s">
        <v>79</v>
      </c>
      <c r="S60" s="219"/>
      <c r="T60" s="219"/>
      <c r="U60" s="219"/>
      <c r="V60" s="222">
        <v>0</v>
      </c>
      <c r="W60" s="219">
        <v>0</v>
      </c>
      <c r="X60" s="219"/>
      <c r="Y60" s="219"/>
      <c r="Z60" s="205"/>
      <c r="AC60" s="218" t="s">
        <v>488</v>
      </c>
      <c r="AD60" s="225"/>
      <c r="AE60" s="224">
        <v>720</v>
      </c>
      <c r="AF60" s="227" t="s">
        <v>79</v>
      </c>
      <c r="AG60" s="219"/>
      <c r="AH60" s="219"/>
      <c r="AI60" s="219"/>
      <c r="AJ60" s="222">
        <v>0</v>
      </c>
      <c r="AK60" s="219">
        <v>0</v>
      </c>
      <c r="AL60" s="219"/>
      <c r="AM60" s="219"/>
      <c r="AN60" s="205"/>
      <c r="AQ60" s="218" t="s">
        <v>487</v>
      </c>
      <c r="AR60" s="225"/>
      <c r="AS60" s="224">
        <v>720</v>
      </c>
      <c r="AT60" s="227" t="s">
        <v>79</v>
      </c>
      <c r="AU60" s="219"/>
      <c r="AV60" s="219"/>
      <c r="AW60" s="219"/>
      <c r="AX60" s="222">
        <v>0</v>
      </c>
      <c r="AY60" s="219">
        <v>0</v>
      </c>
      <c r="AZ60" s="219"/>
      <c r="BA60" s="219"/>
      <c r="BB60" s="205"/>
      <c r="BD60" s="218" t="s">
        <v>487</v>
      </c>
      <c r="BE60" s="225"/>
      <c r="BF60" s="224">
        <v>720</v>
      </c>
      <c r="BG60" s="227" t="s">
        <v>79</v>
      </c>
      <c r="BH60" s="219"/>
      <c r="BI60" s="219"/>
      <c r="BJ60" s="219"/>
      <c r="BK60" s="222">
        <v>0</v>
      </c>
      <c r="BL60" s="219">
        <v>0</v>
      </c>
      <c r="BM60" s="219"/>
      <c r="BN60" s="219"/>
      <c r="BO60" s="205"/>
      <c r="BQ60" s="218" t="s">
        <v>90</v>
      </c>
      <c r="BR60" s="225"/>
      <c r="BS60" s="224">
        <v>720</v>
      </c>
      <c r="BT60" s="227" t="s">
        <v>79</v>
      </c>
      <c r="BU60" s="219"/>
      <c r="BV60" s="219"/>
      <c r="BW60" s="219"/>
      <c r="BX60" s="222">
        <v>0</v>
      </c>
      <c r="BY60" s="219">
        <v>0</v>
      </c>
      <c r="BZ60" s="219"/>
      <c r="CA60" s="219"/>
      <c r="CB60" s="205"/>
      <c r="CE60" s="218" t="s">
        <v>486</v>
      </c>
      <c r="CF60" s="225"/>
      <c r="CG60" s="224">
        <v>720</v>
      </c>
      <c r="CH60" s="227" t="s">
        <v>79</v>
      </c>
      <c r="CI60" s="219"/>
      <c r="CJ60" s="219"/>
      <c r="CK60" s="219"/>
      <c r="CL60" s="222">
        <v>0</v>
      </c>
      <c r="CM60" s="219">
        <v>0</v>
      </c>
      <c r="CN60" s="219"/>
      <c r="CO60" s="219"/>
      <c r="CP60" s="205"/>
    </row>
    <row r="61" spans="1:95" x14ac:dyDescent="0.2">
      <c r="A61" s="149" t="str">
        <f t="shared" si="3"/>
        <v>Farina Lbs /Ft³</v>
      </c>
      <c r="B61" s="225"/>
      <c r="C61" s="226">
        <v>40</v>
      </c>
      <c r="D61" s="223" t="s">
        <v>80</v>
      </c>
      <c r="H61" s="222">
        <f>IF(H58="ALLARME","ALLARME",ROUND(K58*C61,-2))</f>
        <v>0</v>
      </c>
      <c r="I61" s="222">
        <f>IF(I58="ALLARME","ALLARME",ROUND(I58*35.31*C61,-2))</f>
        <v>0</v>
      </c>
      <c r="J61" s="219"/>
      <c r="L61" s="205"/>
      <c r="O61" s="218" t="s">
        <v>89</v>
      </c>
      <c r="P61" s="225"/>
      <c r="Q61" s="224">
        <v>40</v>
      </c>
      <c r="R61" s="223" t="s">
        <v>80</v>
      </c>
      <c r="V61" s="222">
        <v>0</v>
      </c>
      <c r="W61" s="219"/>
      <c r="X61" s="219"/>
      <c r="Z61" s="205"/>
      <c r="AC61" s="218" t="s">
        <v>485</v>
      </c>
      <c r="AD61" s="225"/>
      <c r="AE61" s="224">
        <v>40</v>
      </c>
      <c r="AF61" s="223" t="s">
        <v>80</v>
      </c>
      <c r="AJ61" s="222">
        <v>0</v>
      </c>
      <c r="AK61" s="219"/>
      <c r="AL61" s="219"/>
      <c r="AN61" s="205"/>
      <c r="AQ61" s="218" t="s">
        <v>484</v>
      </c>
      <c r="AR61" s="225"/>
      <c r="AS61" s="224">
        <v>40</v>
      </c>
      <c r="AT61" s="223" t="s">
        <v>80</v>
      </c>
      <c r="AX61" s="222">
        <v>0</v>
      </c>
      <c r="AY61" s="219"/>
      <c r="AZ61" s="219"/>
      <c r="BB61" s="205"/>
      <c r="BD61" s="218" t="s">
        <v>484</v>
      </c>
      <c r="BE61" s="225"/>
      <c r="BF61" s="224">
        <v>40</v>
      </c>
      <c r="BG61" s="223" t="s">
        <v>80</v>
      </c>
      <c r="BK61" s="222">
        <v>0</v>
      </c>
      <c r="BL61" s="219"/>
      <c r="BM61" s="219"/>
      <c r="BO61" s="205"/>
      <c r="BQ61" s="218" t="s">
        <v>483</v>
      </c>
      <c r="BR61" s="225"/>
      <c r="BS61" s="224">
        <v>40</v>
      </c>
      <c r="BT61" s="223" t="s">
        <v>80</v>
      </c>
      <c r="BX61" s="222">
        <v>0</v>
      </c>
      <c r="BY61" s="219"/>
      <c r="BZ61" s="219"/>
      <c r="CB61" s="205"/>
      <c r="CE61" s="218" t="s">
        <v>482</v>
      </c>
      <c r="CF61" s="225"/>
      <c r="CG61" s="224">
        <v>40</v>
      </c>
      <c r="CH61" s="223" t="s">
        <v>80</v>
      </c>
      <c r="CL61" s="222">
        <v>0</v>
      </c>
      <c r="CM61" s="219"/>
      <c r="CN61" s="219"/>
      <c r="CP61" s="205"/>
    </row>
    <row r="62" spans="1:95" x14ac:dyDescent="0.2">
      <c r="A62" s="149" t="str">
        <f t="shared" si="3"/>
        <v>Zucchero Kg/M³</v>
      </c>
      <c r="B62" s="225"/>
      <c r="C62" s="226">
        <v>950</v>
      </c>
      <c r="D62" s="227" t="s">
        <v>79</v>
      </c>
      <c r="E62" s="219"/>
      <c r="F62" s="219"/>
      <c r="G62" s="219"/>
      <c r="H62" s="222">
        <f>ROUND(H58*C62,-2)</f>
        <v>0</v>
      </c>
      <c r="I62" s="222">
        <f>ROUND(I58*C62,-2)</f>
        <v>0</v>
      </c>
      <c r="J62" s="219"/>
      <c r="K62" s="219"/>
      <c r="L62" s="205"/>
      <c r="O62" s="218" t="s">
        <v>88</v>
      </c>
      <c r="P62" s="225"/>
      <c r="Q62" s="224">
        <v>950</v>
      </c>
      <c r="R62" s="227" t="s">
        <v>79</v>
      </c>
      <c r="S62" s="219"/>
      <c r="T62" s="219"/>
      <c r="U62" s="219"/>
      <c r="V62" s="222">
        <v>0</v>
      </c>
      <c r="W62" s="219">
        <v>0</v>
      </c>
      <c r="X62" s="219"/>
      <c r="Y62" s="219"/>
      <c r="Z62" s="205"/>
      <c r="AC62" s="218" t="s">
        <v>481</v>
      </c>
      <c r="AD62" s="225"/>
      <c r="AE62" s="224">
        <v>950</v>
      </c>
      <c r="AF62" s="227" t="s">
        <v>79</v>
      </c>
      <c r="AG62" s="219"/>
      <c r="AH62" s="219"/>
      <c r="AI62" s="219"/>
      <c r="AJ62" s="222">
        <v>0</v>
      </c>
      <c r="AK62" s="219">
        <v>0</v>
      </c>
      <c r="AL62" s="219"/>
      <c r="AM62" s="219"/>
      <c r="AN62" s="205"/>
      <c r="AQ62" s="218" t="s">
        <v>480</v>
      </c>
      <c r="AR62" s="225"/>
      <c r="AS62" s="224">
        <v>950</v>
      </c>
      <c r="AT62" s="227" t="s">
        <v>79</v>
      </c>
      <c r="AU62" s="219"/>
      <c r="AV62" s="219"/>
      <c r="AW62" s="219"/>
      <c r="AX62" s="222">
        <v>0</v>
      </c>
      <c r="AY62" s="219">
        <v>0</v>
      </c>
      <c r="AZ62" s="219"/>
      <c r="BA62" s="219"/>
      <c r="BB62" s="205"/>
      <c r="BD62" s="218" t="s">
        <v>480</v>
      </c>
      <c r="BE62" s="225"/>
      <c r="BF62" s="224">
        <v>950</v>
      </c>
      <c r="BG62" s="227" t="s">
        <v>79</v>
      </c>
      <c r="BH62" s="219"/>
      <c r="BI62" s="219"/>
      <c r="BJ62" s="219"/>
      <c r="BK62" s="222">
        <v>0</v>
      </c>
      <c r="BL62" s="219">
        <v>0</v>
      </c>
      <c r="BM62" s="219"/>
      <c r="BN62" s="219"/>
      <c r="BO62" s="205"/>
      <c r="BQ62" s="218" t="s">
        <v>479</v>
      </c>
      <c r="BR62" s="225"/>
      <c r="BS62" s="224">
        <v>950</v>
      </c>
      <c r="BT62" s="227" t="s">
        <v>79</v>
      </c>
      <c r="BU62" s="219"/>
      <c r="BV62" s="219"/>
      <c r="BW62" s="219"/>
      <c r="BX62" s="222">
        <v>0</v>
      </c>
      <c r="BY62" s="219">
        <v>0</v>
      </c>
      <c r="BZ62" s="219"/>
      <c r="CA62" s="219"/>
      <c r="CB62" s="205"/>
      <c r="CE62" s="218" t="s">
        <v>478</v>
      </c>
      <c r="CF62" s="225"/>
      <c r="CG62" s="224">
        <v>950</v>
      </c>
      <c r="CH62" s="227" t="s">
        <v>79</v>
      </c>
      <c r="CI62" s="219"/>
      <c r="CJ62" s="219"/>
      <c r="CK62" s="219"/>
      <c r="CL62" s="222">
        <v>0</v>
      </c>
      <c r="CM62" s="219">
        <v>0</v>
      </c>
      <c r="CN62" s="219"/>
      <c r="CO62" s="219"/>
      <c r="CP62" s="205"/>
    </row>
    <row r="63" spans="1:95" x14ac:dyDescent="0.2">
      <c r="A63" s="149" t="str">
        <f t="shared" si="3"/>
        <v>Zucchero Lbs /FT³</v>
      </c>
      <c r="B63" s="225"/>
      <c r="C63" s="226">
        <v>52</v>
      </c>
      <c r="D63" s="223" t="s">
        <v>80</v>
      </c>
      <c r="H63" s="222">
        <f>IF(H58="ALLARME","ALLARME",ROUND(K58*C63,-2))</f>
        <v>0</v>
      </c>
      <c r="I63" s="222">
        <f>IF(I58="ALLARME","ALLARME",ROUND(I58*35.31*C63,-2))</f>
        <v>0</v>
      </c>
      <c r="J63" s="219"/>
      <c r="K63" s="219">
        <f>K58*52</f>
        <v>0</v>
      </c>
      <c r="L63" s="205"/>
      <c r="O63" s="218" t="s">
        <v>87</v>
      </c>
      <c r="P63" s="225"/>
      <c r="Q63" s="224">
        <v>52</v>
      </c>
      <c r="R63" s="223" t="s">
        <v>80</v>
      </c>
      <c r="V63" s="222">
        <v>0</v>
      </c>
      <c r="W63" s="219"/>
      <c r="X63" s="219"/>
      <c r="Y63" s="219">
        <v>0</v>
      </c>
      <c r="Z63" s="205"/>
      <c r="AC63" s="218" t="s">
        <v>477</v>
      </c>
      <c r="AD63" s="225"/>
      <c r="AE63" s="224">
        <v>52</v>
      </c>
      <c r="AF63" s="223" t="s">
        <v>80</v>
      </c>
      <c r="AJ63" s="222">
        <v>0</v>
      </c>
      <c r="AK63" s="219"/>
      <c r="AL63" s="219"/>
      <c r="AM63" s="219">
        <v>0</v>
      </c>
      <c r="AN63" s="205"/>
      <c r="AQ63" s="218" t="s">
        <v>476</v>
      </c>
      <c r="AR63" s="225"/>
      <c r="AS63" s="224">
        <v>52</v>
      </c>
      <c r="AT63" s="223" t="s">
        <v>80</v>
      </c>
      <c r="AX63" s="222">
        <v>0</v>
      </c>
      <c r="AY63" s="219"/>
      <c r="AZ63" s="219"/>
      <c r="BA63" s="219">
        <v>0</v>
      </c>
      <c r="BB63" s="205"/>
      <c r="BD63" s="218" t="s">
        <v>476</v>
      </c>
      <c r="BE63" s="225"/>
      <c r="BF63" s="224">
        <v>52</v>
      </c>
      <c r="BG63" s="223" t="s">
        <v>80</v>
      </c>
      <c r="BK63" s="222">
        <v>0</v>
      </c>
      <c r="BL63" s="219"/>
      <c r="BM63" s="219"/>
      <c r="BN63" s="219">
        <v>0</v>
      </c>
      <c r="BO63" s="205"/>
      <c r="BQ63" s="218" t="s">
        <v>475</v>
      </c>
      <c r="BR63" s="225"/>
      <c r="BS63" s="224">
        <v>52</v>
      </c>
      <c r="BT63" s="223" t="s">
        <v>80</v>
      </c>
      <c r="BX63" s="222">
        <v>0</v>
      </c>
      <c r="BY63" s="219"/>
      <c r="BZ63" s="219"/>
      <c r="CA63" s="219">
        <v>0</v>
      </c>
      <c r="CB63" s="205"/>
      <c r="CE63" s="218" t="s">
        <v>474</v>
      </c>
      <c r="CF63" s="225"/>
      <c r="CG63" s="224">
        <v>52</v>
      </c>
      <c r="CH63" s="223" t="s">
        <v>80</v>
      </c>
      <c r="CL63" s="222">
        <v>0</v>
      </c>
      <c r="CM63" s="219"/>
      <c r="CN63" s="219"/>
      <c r="CO63" s="219">
        <v>0</v>
      </c>
      <c r="CP63" s="205"/>
    </row>
    <row r="64" spans="1:95" x14ac:dyDescent="0.2">
      <c r="B64" s="219"/>
      <c r="H64" s="219"/>
      <c r="I64" s="219"/>
      <c r="J64" s="219"/>
      <c r="K64" s="219"/>
      <c r="L64" s="205"/>
      <c r="P64" s="219"/>
      <c r="V64" s="219"/>
      <c r="W64" s="219"/>
      <c r="X64" s="219"/>
      <c r="Y64" s="219"/>
      <c r="Z64" s="205"/>
      <c r="AD64" s="219"/>
      <c r="AJ64" s="219"/>
      <c r="AK64" s="219"/>
      <c r="AL64" s="219"/>
      <c r="AM64" s="219"/>
      <c r="AN64" s="205"/>
      <c r="AR64" s="219"/>
      <c r="AX64" s="219"/>
      <c r="AY64" s="219"/>
      <c r="AZ64" s="219"/>
      <c r="BA64" s="219"/>
      <c r="BB64" s="205"/>
      <c r="BE64" s="219"/>
      <c r="BK64" s="219"/>
      <c r="BL64" s="219"/>
      <c r="BM64" s="219"/>
      <c r="BN64" s="219"/>
      <c r="BO64" s="205"/>
      <c r="BR64" s="219"/>
      <c r="BX64" s="219"/>
      <c r="BY64" s="219"/>
      <c r="BZ64" s="219"/>
      <c r="CA64" s="219"/>
      <c r="CB64" s="205"/>
      <c r="CF64" s="219"/>
      <c r="CL64" s="219"/>
      <c r="CM64" s="219"/>
      <c r="CN64" s="219"/>
      <c r="CO64" s="219"/>
      <c r="CP64" s="205"/>
    </row>
    <row r="65" spans="1:94" x14ac:dyDescent="0.2">
      <c r="B65" s="205"/>
      <c r="C65" s="221"/>
      <c r="D65" s="205"/>
      <c r="E65" s="205"/>
      <c r="F65" s="205"/>
      <c r="G65" s="205"/>
      <c r="H65" s="205"/>
      <c r="I65" s="205"/>
      <c r="J65" s="205"/>
      <c r="K65" s="219"/>
      <c r="L65" s="205"/>
      <c r="P65" s="205"/>
      <c r="Q65" s="221"/>
      <c r="R65" s="205"/>
      <c r="S65" s="205"/>
      <c r="T65" s="205"/>
      <c r="U65" s="205"/>
      <c r="V65" s="205"/>
      <c r="W65" s="205"/>
      <c r="X65" s="205"/>
      <c r="Y65" s="219"/>
      <c r="Z65" s="205"/>
      <c r="AD65" s="205"/>
      <c r="AE65" s="221"/>
      <c r="AF65" s="205"/>
      <c r="AG65" s="205"/>
      <c r="AH65" s="205"/>
      <c r="AI65" s="205"/>
      <c r="AJ65" s="205"/>
      <c r="AK65" s="205"/>
      <c r="AL65" s="205"/>
      <c r="AM65" s="219"/>
      <c r="AN65" s="205"/>
      <c r="AR65" s="205"/>
      <c r="AS65" s="221"/>
      <c r="AT65" s="205"/>
      <c r="AU65" s="205"/>
      <c r="AV65" s="205"/>
      <c r="AW65" s="205"/>
      <c r="AX65" s="205"/>
      <c r="AY65" s="205"/>
      <c r="AZ65" s="205"/>
      <c r="BA65" s="219"/>
      <c r="BB65" s="205"/>
      <c r="BE65" s="205"/>
      <c r="BF65" s="221"/>
      <c r="BG65" s="205"/>
      <c r="BH65" s="205"/>
      <c r="BI65" s="205"/>
      <c r="BJ65" s="205"/>
      <c r="BK65" s="205"/>
      <c r="BL65" s="205"/>
      <c r="BM65" s="205"/>
      <c r="BN65" s="219"/>
      <c r="BO65" s="205"/>
      <c r="BR65" s="205"/>
      <c r="BS65" s="221"/>
      <c r="BT65" s="205"/>
      <c r="BU65" s="205"/>
      <c r="BV65" s="205"/>
      <c r="BW65" s="205"/>
      <c r="BX65" s="205"/>
      <c r="BY65" s="205"/>
      <c r="BZ65" s="205"/>
      <c r="CA65" s="219"/>
      <c r="CB65" s="205"/>
      <c r="CF65" s="205"/>
      <c r="CG65" s="221"/>
      <c r="CH65" s="205"/>
      <c r="CI65" s="205"/>
      <c r="CJ65" s="205"/>
      <c r="CK65" s="205"/>
      <c r="CL65" s="205"/>
      <c r="CM65" s="205"/>
      <c r="CN65" s="205"/>
      <c r="CO65" s="219"/>
      <c r="CP65" s="205"/>
    </row>
    <row r="66" spans="1:94" x14ac:dyDescent="0.2">
      <c r="A66" s="144" t="str">
        <f>IF($H$3=0,O66,IF($H$3="F",AC66,IF($H$3="e",AQ66,IF($H$3="a",BD66,IF($H$3="p",BQ66)))))</f>
        <v>CODE IN C29</v>
      </c>
      <c r="C66" s="144" t="str">
        <f>IF($H$3=0,Q66,IF($H$3="F",AE66,IF($H$3="e",AS66,IF($H$3="a",BF66,IF($H$3="p",BS66)))))</f>
        <v>Estrazione</v>
      </c>
      <c r="H66" s="144" t="str">
        <f t="shared" ref="H66:H71" si="4">IF($H$3=0,V66,IF($H$3="F",AJ66,IF($H$3="e",AX66,IF($H$3="a",BK66,IF($H$3="p",BX66)))))</f>
        <v>CODE IN C29</v>
      </c>
      <c r="J66" s="144" t="str">
        <f t="shared" ref="J66:J71" si="5">IF($H$3=0,X66,IF($H$3="F",AL66,IF($H$3="e",AZ66,IF($H$3="a",BM66,IF($H$3="p",BZ66)))))</f>
        <v>Estrazione</v>
      </c>
      <c r="K66" s="219"/>
      <c r="L66" s="205"/>
      <c r="O66" s="144" t="s">
        <v>49</v>
      </c>
      <c r="Q66" s="144" t="s">
        <v>50</v>
      </c>
      <c r="V66" s="144" t="s">
        <v>49</v>
      </c>
      <c r="X66" s="144" t="s">
        <v>50</v>
      </c>
      <c r="Y66" s="219"/>
      <c r="Z66" s="205"/>
      <c r="AC66" s="144" t="s">
        <v>473</v>
      </c>
      <c r="AE66" s="144" t="s">
        <v>472</v>
      </c>
      <c r="AJ66" s="144" t="s">
        <v>473</v>
      </c>
      <c r="AL66" s="144" t="s">
        <v>472</v>
      </c>
      <c r="AM66" s="219"/>
      <c r="AN66" s="205"/>
      <c r="AQ66" s="144" t="s">
        <v>49</v>
      </c>
      <c r="AS66" s="144" t="s">
        <v>471</v>
      </c>
      <c r="AX66" s="144" t="s">
        <v>49</v>
      </c>
      <c r="AZ66" s="144" t="s">
        <v>471</v>
      </c>
      <c r="BA66" s="219"/>
      <c r="BB66" s="205"/>
      <c r="BD66" s="144" t="s">
        <v>49</v>
      </c>
      <c r="BF66" s="144" t="s">
        <v>471</v>
      </c>
      <c r="BK66" s="144" t="s">
        <v>49</v>
      </c>
      <c r="BM66" s="144" t="s">
        <v>471</v>
      </c>
      <c r="BN66" s="219"/>
      <c r="BO66" s="205"/>
      <c r="BQ66" s="144" t="s">
        <v>49</v>
      </c>
      <c r="BS66" s="144" t="s">
        <v>470</v>
      </c>
      <c r="BX66" s="144" t="s">
        <v>49</v>
      </c>
      <c r="BZ66" s="144" t="s">
        <v>470</v>
      </c>
      <c r="CA66" s="219"/>
      <c r="CB66" s="205"/>
      <c r="CE66" s="144" t="s">
        <v>49</v>
      </c>
      <c r="CG66" s="144" t="s">
        <v>50</v>
      </c>
      <c r="CL66" s="144" t="s">
        <v>49</v>
      </c>
      <c r="CN66" s="144" t="s">
        <v>50</v>
      </c>
      <c r="CO66" s="219"/>
      <c r="CP66" s="205"/>
    </row>
    <row r="67" spans="1:94" x14ac:dyDescent="0.2">
      <c r="A67" s="144" t="str">
        <f>IF($H$3=0,O67,IF($H$3="F",AC67,IF($H$3="e",AQ67,IF($H$3="a",BD67,IF($H$3="p",BQ67)))))</f>
        <v>ASP</v>
      </c>
      <c r="C67" s="144" t="str">
        <f>IF($H$3=0,Q67,IF($H$3="F",AE67,IF($H$3="e",AS67,IF($H$3="a",BF67,IF($H$3="p",BS67)))))</f>
        <v>Aspirazione</v>
      </c>
      <c r="H67" s="144" t="str">
        <f t="shared" si="4"/>
        <v>VS</v>
      </c>
      <c r="J67" s="144" t="str">
        <f t="shared" si="5"/>
        <v>Valvola stellare ALLUMINIO</v>
      </c>
      <c r="K67" s="219"/>
      <c r="L67" s="205"/>
      <c r="O67" s="144" t="s">
        <v>41</v>
      </c>
      <c r="Q67" s="144" t="s">
        <v>53</v>
      </c>
      <c r="V67" s="144" t="s">
        <v>54</v>
      </c>
      <c r="X67" s="144" t="s">
        <v>72</v>
      </c>
      <c r="Y67" s="219"/>
      <c r="Z67" s="205"/>
      <c r="AC67" s="144" t="s">
        <v>41</v>
      </c>
      <c r="AE67" s="144" t="s">
        <v>469</v>
      </c>
      <c r="AJ67" s="144" t="s">
        <v>54</v>
      </c>
      <c r="AL67" s="144" t="s">
        <v>468</v>
      </c>
      <c r="AM67" s="219"/>
      <c r="AN67" s="205"/>
      <c r="AQ67" s="144" t="s">
        <v>41</v>
      </c>
      <c r="AS67" s="144" t="s">
        <v>467</v>
      </c>
      <c r="AX67" s="144" t="s">
        <v>54</v>
      </c>
      <c r="AZ67" s="144" t="s">
        <v>466</v>
      </c>
      <c r="BA67" s="219"/>
      <c r="BB67" s="205"/>
      <c r="BD67" s="144" t="s">
        <v>41</v>
      </c>
      <c r="BF67" s="144" t="s">
        <v>467</v>
      </c>
      <c r="BK67" s="144" t="s">
        <v>54</v>
      </c>
      <c r="BM67" s="144" t="s">
        <v>466</v>
      </c>
      <c r="BN67" s="219"/>
      <c r="BO67" s="205"/>
      <c r="BQ67" s="144" t="s">
        <v>41</v>
      </c>
      <c r="BS67" s="144" t="s">
        <v>465</v>
      </c>
      <c r="BX67" s="144" t="s">
        <v>54</v>
      </c>
      <c r="BZ67" s="144" t="s">
        <v>464</v>
      </c>
      <c r="CA67" s="219"/>
      <c r="CB67" s="205"/>
      <c r="CE67" s="144" t="s">
        <v>41</v>
      </c>
      <c r="CG67" s="144" t="s">
        <v>53</v>
      </c>
      <c r="CL67" s="144" t="s">
        <v>54</v>
      </c>
      <c r="CN67" s="144" t="s">
        <v>72</v>
      </c>
      <c r="CO67" s="219"/>
      <c r="CP67" s="205"/>
    </row>
    <row r="68" spans="1:94" x14ac:dyDescent="0.2">
      <c r="A68" s="144" t="s">
        <v>97</v>
      </c>
      <c r="C68" s="144" t="s">
        <v>102</v>
      </c>
      <c r="H68" s="144" t="str">
        <f t="shared" si="4"/>
        <v>VS180</v>
      </c>
      <c r="I68" s="205"/>
      <c r="J68" s="144" t="str">
        <f t="shared" si="5"/>
        <v>Valvola stellare DSF 180</v>
      </c>
      <c r="K68" s="219"/>
      <c r="L68" s="205"/>
      <c r="O68" s="144" t="s">
        <v>43</v>
      </c>
      <c r="Q68" s="144" t="s">
        <v>57</v>
      </c>
      <c r="V68" s="144" t="s">
        <v>51</v>
      </c>
      <c r="W68" s="205"/>
      <c r="X68" s="144" t="s">
        <v>58</v>
      </c>
      <c r="Y68" s="219"/>
      <c r="Z68" s="205"/>
      <c r="AC68" s="144" t="s">
        <v>43</v>
      </c>
      <c r="AE68" s="144" t="s">
        <v>463</v>
      </c>
      <c r="AJ68" s="144" t="s">
        <v>51</v>
      </c>
      <c r="AK68" s="205"/>
      <c r="AL68" s="144" t="s">
        <v>462</v>
      </c>
      <c r="AM68" s="219"/>
      <c r="AN68" s="205"/>
      <c r="AQ68" s="144" t="s">
        <v>43</v>
      </c>
      <c r="AS68" s="144" t="s">
        <v>461</v>
      </c>
      <c r="AX68" s="144" t="s">
        <v>51</v>
      </c>
      <c r="AY68" s="205"/>
      <c r="AZ68" s="144" t="s">
        <v>460</v>
      </c>
      <c r="BA68" s="219"/>
      <c r="BB68" s="205"/>
      <c r="BD68" s="144" t="s">
        <v>43</v>
      </c>
      <c r="BF68" s="144" t="s">
        <v>461</v>
      </c>
      <c r="BK68" s="144" t="s">
        <v>51</v>
      </c>
      <c r="BL68" s="205"/>
      <c r="BM68" s="144" t="s">
        <v>460</v>
      </c>
      <c r="BN68" s="219"/>
      <c r="BO68" s="205"/>
      <c r="BQ68" s="144" t="s">
        <v>43</v>
      </c>
      <c r="BS68" s="144" t="s">
        <v>459</v>
      </c>
      <c r="BX68" s="144" t="s">
        <v>51</v>
      </c>
      <c r="BY68" s="205"/>
      <c r="BZ68" s="144" t="s">
        <v>458</v>
      </c>
      <c r="CA68" s="219"/>
      <c r="CB68" s="205"/>
      <c r="CE68" s="144" t="s">
        <v>43</v>
      </c>
      <c r="CG68" s="144" t="s">
        <v>57</v>
      </c>
      <c r="CL68" s="144" t="s">
        <v>51</v>
      </c>
      <c r="CM68" s="205"/>
      <c r="CN68" s="144" t="s">
        <v>58</v>
      </c>
      <c r="CO68" s="219"/>
      <c r="CP68" s="205"/>
    </row>
    <row r="69" spans="1:94" x14ac:dyDescent="0.2">
      <c r="H69" s="144" t="str">
        <f t="shared" si="4"/>
        <v>VS230</v>
      </c>
      <c r="I69" s="205"/>
      <c r="J69" s="144" t="str">
        <f t="shared" si="5"/>
        <v>Valvola stellare DSF 230</v>
      </c>
      <c r="K69" s="219"/>
      <c r="L69" s="205"/>
      <c r="O69" s="144" t="s">
        <v>44</v>
      </c>
      <c r="Q69" s="144" t="s">
        <v>60</v>
      </c>
      <c r="V69" s="144" t="s">
        <v>55</v>
      </c>
      <c r="W69" s="205"/>
      <c r="X69" s="144" t="s">
        <v>61</v>
      </c>
      <c r="Y69" s="219"/>
      <c r="Z69" s="205"/>
      <c r="AC69" s="144" t="s">
        <v>44</v>
      </c>
      <c r="AE69" s="144" t="s">
        <v>457</v>
      </c>
      <c r="AJ69" s="144" t="s">
        <v>55</v>
      </c>
      <c r="AK69" s="205"/>
      <c r="AL69" s="144" t="s">
        <v>456</v>
      </c>
      <c r="AM69" s="219"/>
      <c r="AN69" s="205"/>
      <c r="AQ69" s="144" t="s">
        <v>44</v>
      </c>
      <c r="AS69" s="144" t="s">
        <v>455</v>
      </c>
      <c r="AX69" s="144" t="s">
        <v>55</v>
      </c>
      <c r="AY69" s="205"/>
      <c r="AZ69" s="144" t="s">
        <v>454</v>
      </c>
      <c r="BA69" s="219"/>
      <c r="BB69" s="205"/>
      <c r="BD69" s="144" t="s">
        <v>44</v>
      </c>
      <c r="BF69" s="144" t="s">
        <v>455</v>
      </c>
      <c r="BK69" s="144" t="s">
        <v>55</v>
      </c>
      <c r="BL69" s="205"/>
      <c r="BM69" s="144" t="s">
        <v>454</v>
      </c>
      <c r="BN69" s="219"/>
      <c r="BO69" s="205"/>
      <c r="BQ69" s="144" t="s">
        <v>44</v>
      </c>
      <c r="BS69" s="144" t="s">
        <v>453</v>
      </c>
      <c r="BX69" s="144" t="s">
        <v>55</v>
      </c>
      <c r="BY69" s="205"/>
      <c r="BZ69" s="144" t="s">
        <v>452</v>
      </c>
      <c r="CA69" s="219"/>
      <c r="CB69" s="205"/>
      <c r="CE69" s="144" t="s">
        <v>44</v>
      </c>
      <c r="CG69" s="144" t="s">
        <v>60</v>
      </c>
      <c r="CL69" s="144" t="s">
        <v>55</v>
      </c>
      <c r="CM69" s="205"/>
      <c r="CN69" s="144" t="s">
        <v>61</v>
      </c>
      <c r="CO69" s="219"/>
      <c r="CP69" s="205"/>
    </row>
    <row r="70" spans="1:94" x14ac:dyDescent="0.2">
      <c r="H70" s="144" t="str">
        <f t="shared" si="4"/>
        <v>VS270</v>
      </c>
      <c r="I70" s="205"/>
      <c r="J70" s="144" t="str">
        <f t="shared" si="5"/>
        <v>Valvola stellare DSF 270</v>
      </c>
      <c r="K70" s="220"/>
      <c r="L70" s="205"/>
      <c r="O70" s="144" t="s">
        <v>46</v>
      </c>
      <c r="Q70" s="144" t="s">
        <v>63</v>
      </c>
      <c r="V70" s="144" t="s">
        <v>59</v>
      </c>
      <c r="W70" s="205"/>
      <c r="X70" s="144" t="s">
        <v>64</v>
      </c>
      <c r="Y70" s="220"/>
      <c r="Z70" s="205"/>
      <c r="AC70" s="144" t="s">
        <v>46</v>
      </c>
      <c r="AE70" s="144" t="s">
        <v>451</v>
      </c>
      <c r="AJ70" s="144" t="s">
        <v>59</v>
      </c>
      <c r="AK70" s="205"/>
      <c r="AL70" s="144" t="s">
        <v>450</v>
      </c>
      <c r="AM70" s="220"/>
      <c r="AN70" s="205"/>
      <c r="AQ70" s="144" t="s">
        <v>46</v>
      </c>
      <c r="AS70" s="144" t="s">
        <v>449</v>
      </c>
      <c r="AX70" s="144" t="s">
        <v>59</v>
      </c>
      <c r="AY70" s="205"/>
      <c r="AZ70" s="144" t="s">
        <v>448</v>
      </c>
      <c r="BA70" s="220"/>
      <c r="BB70" s="205"/>
      <c r="BD70" s="144" t="s">
        <v>46</v>
      </c>
      <c r="BF70" s="144" t="s">
        <v>449</v>
      </c>
      <c r="BK70" s="144" t="s">
        <v>59</v>
      </c>
      <c r="BL70" s="205"/>
      <c r="BM70" s="144" t="s">
        <v>448</v>
      </c>
      <c r="BN70" s="220"/>
      <c r="BO70" s="205"/>
      <c r="BQ70" s="144" t="s">
        <v>46</v>
      </c>
      <c r="BS70" s="144" t="s">
        <v>447</v>
      </c>
      <c r="BX70" s="144" t="s">
        <v>59</v>
      </c>
      <c r="BY70" s="205"/>
      <c r="BZ70" s="144" t="s">
        <v>446</v>
      </c>
      <c r="CA70" s="220"/>
      <c r="CB70" s="205"/>
      <c r="CE70" s="144" t="s">
        <v>46</v>
      </c>
      <c r="CG70" s="144" t="s">
        <v>63</v>
      </c>
      <c r="CL70" s="144" t="s">
        <v>59</v>
      </c>
      <c r="CM70" s="205"/>
      <c r="CN70" s="144" t="s">
        <v>64</v>
      </c>
      <c r="CO70" s="220"/>
      <c r="CP70" s="205"/>
    </row>
    <row r="71" spans="1:94" ht="13.5" thickBot="1" x14ac:dyDescent="0.25">
      <c r="A71" s="144">
        <f>IF($H$3=0,O71,IF($H$3="F",AC71,IF($H$3="e",AQ71,IF($H$3="a",BD71,IF($H$3="p",BQ71)))))</f>
        <v>0</v>
      </c>
      <c r="B71" s="144">
        <f>IF($H$3=0,P71,IF($H$3="F",AD71,IF($H$3="e",AR71,IF($H$3="a",BE71,IF($H$3="p",BR71)))))</f>
        <v>0</v>
      </c>
      <c r="C71" s="144">
        <f>IF($H$3=0,Q71,IF($H$3="F",AE71,IF($H$3="e",AS71,IF($H$3="a",BF71,IF($H$3="p",BS71)))))</f>
        <v>0</v>
      </c>
      <c r="H71" s="144" t="str">
        <f t="shared" si="4"/>
        <v>VS300</v>
      </c>
      <c r="I71" s="205"/>
      <c r="J71" s="144" t="str">
        <f t="shared" si="5"/>
        <v>Valvola stellare DSF 300</v>
      </c>
      <c r="K71" s="219"/>
      <c r="L71" s="205"/>
      <c r="V71" s="144" t="s">
        <v>62</v>
      </c>
      <c r="W71" s="205"/>
      <c r="X71" s="144" t="s">
        <v>66</v>
      </c>
      <c r="Y71" s="219"/>
      <c r="Z71" s="205"/>
      <c r="AJ71" s="144" t="s">
        <v>62</v>
      </c>
      <c r="AK71" s="205"/>
      <c r="AL71" s="144" t="s">
        <v>445</v>
      </c>
      <c r="AM71" s="219"/>
      <c r="AN71" s="205"/>
      <c r="AX71" s="144" t="s">
        <v>62</v>
      </c>
      <c r="AY71" s="205"/>
      <c r="AZ71" s="144" t="s">
        <v>444</v>
      </c>
      <c r="BA71" s="219"/>
      <c r="BB71" s="205"/>
      <c r="BK71" s="144" t="s">
        <v>62</v>
      </c>
      <c r="BL71" s="205"/>
      <c r="BM71" s="144" t="s">
        <v>444</v>
      </c>
      <c r="BN71" s="219"/>
      <c r="BO71" s="205"/>
      <c r="BX71" s="144" t="s">
        <v>62</v>
      </c>
      <c r="BY71" s="205"/>
      <c r="BZ71" s="144" t="s">
        <v>443</v>
      </c>
      <c r="CA71" s="219"/>
      <c r="CB71" s="205"/>
      <c r="CL71" s="144" t="s">
        <v>62</v>
      </c>
      <c r="CM71" s="205"/>
      <c r="CN71" s="144" t="s">
        <v>66</v>
      </c>
      <c r="CO71" s="219"/>
      <c r="CP71" s="205"/>
    </row>
    <row r="72" spans="1:94" ht="13.5" thickBot="1" x14ac:dyDescent="0.25">
      <c r="A72" s="213" t="s">
        <v>25</v>
      </c>
      <c r="C72" s="218" t="s">
        <v>101</v>
      </c>
      <c r="D72" s="217"/>
      <c r="L72" s="209">
        <f>SUM(L73:L81)</f>
        <v>100</v>
      </c>
      <c r="M72" s="152" t="s">
        <v>442</v>
      </c>
      <c r="Z72" s="144"/>
      <c r="AN72" s="144"/>
      <c r="BB72" s="144"/>
      <c r="BO72" s="144"/>
      <c r="CB72" s="144"/>
      <c r="CP72" s="144"/>
    </row>
    <row r="73" spans="1:94" ht="13.5" thickBot="1" x14ac:dyDescent="0.25">
      <c r="A73" s="216">
        <v>50</v>
      </c>
      <c r="C73" s="215">
        <v>100</v>
      </c>
      <c r="D73" s="214"/>
      <c r="I73" s="205"/>
      <c r="J73" s="204">
        <v>5.1109999999999998</v>
      </c>
      <c r="K73" s="205">
        <f t="shared" ref="K73:K81" si="6">J73-I73</f>
        <v>5.1109999999999998</v>
      </c>
      <c r="L73" s="146">
        <f>IF($H$58&lt;J73,M73,0)</f>
        <v>100</v>
      </c>
      <c r="M73" s="144">
        <v>100</v>
      </c>
      <c r="O73" s="144" t="s">
        <v>24</v>
      </c>
      <c r="Q73" s="212">
        <v>100</v>
      </c>
      <c r="R73" s="213" t="s">
        <v>25</v>
      </c>
      <c r="Z73" s="205"/>
      <c r="AC73" s="144" t="s">
        <v>24</v>
      </c>
      <c r="AE73" s="212">
        <v>100</v>
      </c>
      <c r="AF73" s="213" t="s">
        <v>25</v>
      </c>
      <c r="AN73" s="205"/>
      <c r="AQ73" s="144" t="s">
        <v>24</v>
      </c>
      <c r="AS73" s="212">
        <v>100</v>
      </c>
      <c r="AT73" s="213" t="s">
        <v>25</v>
      </c>
      <c r="BB73" s="205"/>
      <c r="BD73" s="144" t="s">
        <v>24</v>
      </c>
      <c r="BF73" s="212">
        <v>100</v>
      </c>
      <c r="BG73" s="213" t="s">
        <v>25</v>
      </c>
      <c r="BO73" s="205"/>
      <c r="BQ73" s="144" t="s">
        <v>24</v>
      </c>
      <c r="BS73" s="212">
        <v>100</v>
      </c>
      <c r="BT73" s="213" t="s">
        <v>25</v>
      </c>
      <c r="CB73" s="205"/>
      <c r="CE73" s="144" t="s">
        <v>24</v>
      </c>
      <c r="CG73" s="212">
        <v>100</v>
      </c>
      <c r="CH73" s="213" t="s">
        <v>25</v>
      </c>
      <c r="CP73" s="205"/>
    </row>
    <row r="74" spans="1:94" ht="13.5" thickBot="1" x14ac:dyDescent="0.25">
      <c r="I74" s="205"/>
      <c r="J74" s="204">
        <v>8</v>
      </c>
      <c r="K74" s="205">
        <f t="shared" si="6"/>
        <v>8</v>
      </c>
      <c r="L74" s="146">
        <f t="shared" ref="L74:L80" si="7">IF(AND(J73&lt;$H$58,$H$58&lt;J74),M74,0)</f>
        <v>0</v>
      </c>
      <c r="M74" s="144">
        <f t="shared" ref="M74:M80" si="8">ROUND(((J74-J$73)/(J$81-J$73))*(M$81-M$73),-1)+M$73</f>
        <v>110</v>
      </c>
      <c r="O74" s="144" t="s">
        <v>26</v>
      </c>
      <c r="Q74" s="212">
        <v>0</v>
      </c>
      <c r="R74" s="212">
        <v>50</v>
      </c>
      <c r="Z74" s="205"/>
      <c r="AC74" s="144" t="s">
        <v>26</v>
      </c>
      <c r="AE74" s="212">
        <v>0</v>
      </c>
      <c r="AF74" s="212">
        <v>50</v>
      </c>
      <c r="AN74" s="205"/>
      <c r="AQ74" s="144" t="s">
        <v>26</v>
      </c>
      <c r="AS74" s="212">
        <v>0</v>
      </c>
      <c r="AT74" s="212">
        <v>50</v>
      </c>
      <c r="BB74" s="205"/>
      <c r="BD74" s="144" t="s">
        <v>26</v>
      </c>
      <c r="BF74" s="212">
        <v>0</v>
      </c>
      <c r="BG74" s="212">
        <v>50</v>
      </c>
      <c r="BO74" s="205"/>
      <c r="BQ74" s="144" t="s">
        <v>26</v>
      </c>
      <c r="BS74" s="212">
        <v>0</v>
      </c>
      <c r="BT74" s="212">
        <v>50</v>
      </c>
      <c r="CB74" s="205"/>
      <c r="CE74" s="144" t="s">
        <v>26</v>
      </c>
      <c r="CG74" s="212">
        <v>0</v>
      </c>
      <c r="CH74" s="212">
        <v>50</v>
      </c>
      <c r="CP74" s="205"/>
    </row>
    <row r="75" spans="1:94" x14ac:dyDescent="0.2">
      <c r="A75" s="144" t="s">
        <v>30</v>
      </c>
      <c r="C75" s="211">
        <f>SUM(C76:C84)</f>
        <v>0</v>
      </c>
      <c r="I75" s="205"/>
      <c r="J75" s="204">
        <v>12</v>
      </c>
      <c r="K75" s="205">
        <f t="shared" si="6"/>
        <v>12</v>
      </c>
      <c r="L75" s="146">
        <f t="shared" si="7"/>
        <v>0</v>
      </c>
      <c r="M75" s="144">
        <f t="shared" si="8"/>
        <v>120</v>
      </c>
      <c r="O75" s="144" t="s">
        <v>30</v>
      </c>
      <c r="Z75" s="205"/>
      <c r="AC75" s="144" t="s">
        <v>30</v>
      </c>
      <c r="AN75" s="205"/>
      <c r="AQ75" s="144" t="s">
        <v>30</v>
      </c>
      <c r="BB75" s="205"/>
      <c r="BD75" s="144" t="s">
        <v>30</v>
      </c>
      <c r="BO75" s="205"/>
      <c r="BQ75" s="144" t="s">
        <v>30</v>
      </c>
      <c r="CB75" s="205"/>
      <c r="CE75" s="144" t="s">
        <v>30</v>
      </c>
      <c r="CP75" s="205"/>
    </row>
    <row r="76" spans="1:94" x14ac:dyDescent="0.2">
      <c r="A76" s="204">
        <v>1749</v>
      </c>
      <c r="B76" s="204"/>
      <c r="C76" s="144">
        <f>IF(B6=0,0,IF(B6&lt;A76,D76,0))</f>
        <v>0</v>
      </c>
      <c r="D76" s="144">
        <v>400</v>
      </c>
      <c r="I76" s="205"/>
      <c r="J76" s="204">
        <v>16</v>
      </c>
      <c r="K76" s="205">
        <f t="shared" si="6"/>
        <v>16</v>
      </c>
      <c r="L76" s="146">
        <f t="shared" si="7"/>
        <v>0</v>
      </c>
      <c r="M76" s="144">
        <f t="shared" si="8"/>
        <v>120</v>
      </c>
      <c r="O76" s="204">
        <v>1749</v>
      </c>
      <c r="P76" s="204"/>
      <c r="Q76" s="144">
        <v>0</v>
      </c>
      <c r="R76" s="144">
        <v>400</v>
      </c>
      <c r="Z76" s="205"/>
      <c r="AC76" s="204">
        <v>1749</v>
      </c>
      <c r="AD76" s="204"/>
      <c r="AE76" s="144">
        <v>0</v>
      </c>
      <c r="AF76" s="144">
        <v>400</v>
      </c>
      <c r="AN76" s="205"/>
      <c r="AQ76" s="204">
        <v>1749</v>
      </c>
      <c r="AR76" s="204"/>
      <c r="AS76" s="144">
        <v>0</v>
      </c>
      <c r="AT76" s="144">
        <v>400</v>
      </c>
      <c r="BB76" s="205"/>
      <c r="BD76" s="204">
        <v>1749</v>
      </c>
      <c r="BE76" s="204"/>
      <c r="BF76" s="144">
        <v>0</v>
      </c>
      <c r="BG76" s="144">
        <v>400</v>
      </c>
      <c r="BO76" s="205"/>
      <c r="BQ76" s="204">
        <v>1749</v>
      </c>
      <c r="BR76" s="204"/>
      <c r="BS76" s="144">
        <v>0</v>
      </c>
      <c r="BT76" s="144">
        <v>400</v>
      </c>
      <c r="CB76" s="205"/>
      <c r="CE76" s="204">
        <v>1749</v>
      </c>
      <c r="CF76" s="204"/>
      <c r="CG76" s="144">
        <v>0</v>
      </c>
      <c r="CH76" s="144">
        <v>400</v>
      </c>
      <c r="CP76" s="205"/>
    </row>
    <row r="77" spans="1:94" x14ac:dyDescent="0.2">
      <c r="A77" s="204">
        <v>1748</v>
      </c>
      <c r="B77" s="204">
        <v>2349</v>
      </c>
      <c r="C77" s="144">
        <f t="shared" ref="C77:C84" si="9">IF($B$6=0,0,IF(AND(A77&lt;$B$6,$B$6&lt;B77),D77,0))</f>
        <v>0</v>
      </c>
      <c r="D77" s="144">
        <v>700</v>
      </c>
      <c r="I77" s="205"/>
      <c r="J77" s="204">
        <v>20</v>
      </c>
      <c r="K77" s="205">
        <f t="shared" si="6"/>
        <v>20</v>
      </c>
      <c r="L77" s="146">
        <f t="shared" si="7"/>
        <v>0</v>
      </c>
      <c r="M77" s="144">
        <f t="shared" si="8"/>
        <v>130</v>
      </c>
      <c r="O77" s="204">
        <v>1748</v>
      </c>
      <c r="P77" s="204">
        <v>2349</v>
      </c>
      <c r="Q77" s="144">
        <v>0</v>
      </c>
      <c r="R77" s="144">
        <v>700</v>
      </c>
      <c r="Z77" s="205"/>
      <c r="AC77" s="204">
        <v>1748</v>
      </c>
      <c r="AD77" s="204">
        <v>2349</v>
      </c>
      <c r="AE77" s="144">
        <v>0</v>
      </c>
      <c r="AF77" s="144">
        <v>700</v>
      </c>
      <c r="AN77" s="205"/>
      <c r="AQ77" s="204">
        <v>1748</v>
      </c>
      <c r="AR77" s="204">
        <v>2349</v>
      </c>
      <c r="AS77" s="144">
        <v>0</v>
      </c>
      <c r="AT77" s="144">
        <v>700</v>
      </c>
      <c r="BB77" s="205"/>
      <c r="BD77" s="204">
        <v>1748</v>
      </c>
      <c r="BE77" s="204">
        <v>2349</v>
      </c>
      <c r="BF77" s="144">
        <v>0</v>
      </c>
      <c r="BG77" s="144">
        <v>700</v>
      </c>
      <c r="BO77" s="205"/>
      <c r="BQ77" s="204">
        <v>1748</v>
      </c>
      <c r="BR77" s="204">
        <v>2349</v>
      </c>
      <c r="BS77" s="144">
        <v>0</v>
      </c>
      <c r="BT77" s="144">
        <v>700</v>
      </c>
      <c r="CB77" s="205"/>
      <c r="CE77" s="204">
        <v>1748</v>
      </c>
      <c r="CF77" s="204">
        <v>2349</v>
      </c>
      <c r="CG77" s="144">
        <v>0</v>
      </c>
      <c r="CH77" s="144">
        <v>700</v>
      </c>
      <c r="CP77" s="205"/>
    </row>
    <row r="78" spans="1:94" x14ac:dyDescent="0.2">
      <c r="A78" s="204">
        <v>2348</v>
      </c>
      <c r="B78" s="204">
        <v>2599</v>
      </c>
      <c r="C78" s="144">
        <f t="shared" si="9"/>
        <v>0</v>
      </c>
      <c r="D78" s="144">
        <v>900</v>
      </c>
      <c r="I78" s="205"/>
      <c r="J78" s="204">
        <v>27</v>
      </c>
      <c r="K78" s="205">
        <f t="shared" si="6"/>
        <v>27</v>
      </c>
      <c r="L78" s="146">
        <f t="shared" si="7"/>
        <v>0</v>
      </c>
      <c r="M78" s="144">
        <f t="shared" si="8"/>
        <v>150</v>
      </c>
      <c r="O78" s="204">
        <v>2348</v>
      </c>
      <c r="P78" s="204">
        <v>2599</v>
      </c>
      <c r="Q78" s="144">
        <v>0</v>
      </c>
      <c r="R78" s="144">
        <v>900</v>
      </c>
      <c r="AC78" s="204">
        <v>2348</v>
      </c>
      <c r="AD78" s="204">
        <v>2599</v>
      </c>
      <c r="AE78" s="144">
        <v>0</v>
      </c>
      <c r="AF78" s="144">
        <v>900</v>
      </c>
      <c r="AQ78" s="204">
        <v>2348</v>
      </c>
      <c r="AR78" s="204">
        <v>2599</v>
      </c>
      <c r="AS78" s="144">
        <v>0</v>
      </c>
      <c r="AT78" s="144">
        <v>900</v>
      </c>
      <c r="BD78" s="204">
        <v>2348</v>
      </c>
      <c r="BE78" s="204">
        <v>2599</v>
      </c>
      <c r="BF78" s="144">
        <v>0</v>
      </c>
      <c r="BG78" s="144">
        <v>900</v>
      </c>
      <c r="BQ78" s="204">
        <v>2348</v>
      </c>
      <c r="BR78" s="204">
        <v>2599</v>
      </c>
      <c r="BS78" s="144">
        <v>0</v>
      </c>
      <c r="BT78" s="144">
        <v>900</v>
      </c>
      <c r="CE78" s="204">
        <v>2348</v>
      </c>
      <c r="CF78" s="204">
        <v>2599</v>
      </c>
      <c r="CG78" s="144">
        <v>0</v>
      </c>
      <c r="CH78" s="144">
        <v>900</v>
      </c>
    </row>
    <row r="79" spans="1:94" x14ac:dyDescent="0.2">
      <c r="A79" s="204">
        <v>2598</v>
      </c>
      <c r="B79" s="204">
        <v>3049</v>
      </c>
      <c r="C79" s="144">
        <f t="shared" si="9"/>
        <v>0</v>
      </c>
      <c r="D79" s="144">
        <v>1000</v>
      </c>
      <c r="I79" s="205"/>
      <c r="J79" s="204">
        <v>33</v>
      </c>
      <c r="K79" s="205">
        <f t="shared" si="6"/>
        <v>33</v>
      </c>
      <c r="L79" s="146">
        <f t="shared" si="7"/>
        <v>0</v>
      </c>
      <c r="M79" s="144">
        <f t="shared" si="8"/>
        <v>160</v>
      </c>
      <c r="O79" s="204">
        <v>2598</v>
      </c>
      <c r="P79" s="204">
        <v>3049</v>
      </c>
      <c r="Q79" s="144">
        <v>0</v>
      </c>
      <c r="R79" s="144">
        <v>1000</v>
      </c>
      <c r="AC79" s="204">
        <v>2598</v>
      </c>
      <c r="AD79" s="204">
        <v>3049</v>
      </c>
      <c r="AE79" s="144">
        <v>0</v>
      </c>
      <c r="AF79" s="144">
        <v>1000</v>
      </c>
      <c r="AQ79" s="204">
        <v>2598</v>
      </c>
      <c r="AR79" s="204">
        <v>3049</v>
      </c>
      <c r="AS79" s="144">
        <v>0</v>
      </c>
      <c r="AT79" s="144">
        <v>1000</v>
      </c>
      <c r="BD79" s="204">
        <v>2598</v>
      </c>
      <c r="BE79" s="204">
        <v>3049</v>
      </c>
      <c r="BF79" s="144">
        <v>0</v>
      </c>
      <c r="BG79" s="144">
        <v>1000</v>
      </c>
      <c r="BQ79" s="204">
        <v>2598</v>
      </c>
      <c r="BR79" s="204">
        <v>3049</v>
      </c>
      <c r="BS79" s="144">
        <v>0</v>
      </c>
      <c r="BT79" s="144">
        <v>1000</v>
      </c>
      <c r="CE79" s="204">
        <v>2598</v>
      </c>
      <c r="CF79" s="204">
        <v>3049</v>
      </c>
      <c r="CG79" s="144">
        <v>0</v>
      </c>
      <c r="CH79" s="144">
        <v>1000</v>
      </c>
    </row>
    <row r="80" spans="1:94" x14ac:dyDescent="0.2">
      <c r="A80" s="204">
        <v>3048</v>
      </c>
      <c r="B80" s="204">
        <v>3149</v>
      </c>
      <c r="C80" s="144">
        <f t="shared" si="9"/>
        <v>0</v>
      </c>
      <c r="D80" s="144">
        <v>1100</v>
      </c>
      <c r="I80" s="205"/>
      <c r="J80" s="204">
        <v>44</v>
      </c>
      <c r="K80" s="205">
        <f t="shared" si="6"/>
        <v>44</v>
      </c>
      <c r="L80" s="146">
        <f t="shared" si="7"/>
        <v>0</v>
      </c>
      <c r="M80" s="144">
        <f t="shared" si="8"/>
        <v>190</v>
      </c>
      <c r="O80" s="204">
        <v>3048</v>
      </c>
      <c r="P80" s="204">
        <v>3149</v>
      </c>
      <c r="Q80" s="144">
        <v>0</v>
      </c>
      <c r="R80" s="144">
        <v>1100</v>
      </c>
      <c r="AC80" s="204">
        <v>3048</v>
      </c>
      <c r="AD80" s="204">
        <v>3149</v>
      </c>
      <c r="AE80" s="144">
        <v>0</v>
      </c>
      <c r="AF80" s="144">
        <v>1100</v>
      </c>
      <c r="AQ80" s="204">
        <v>3048</v>
      </c>
      <c r="AR80" s="204">
        <v>3149</v>
      </c>
      <c r="AS80" s="144">
        <v>0</v>
      </c>
      <c r="AT80" s="144">
        <v>1100</v>
      </c>
      <c r="BD80" s="204">
        <v>3048</v>
      </c>
      <c r="BE80" s="204">
        <v>3149</v>
      </c>
      <c r="BF80" s="144">
        <v>0</v>
      </c>
      <c r="BG80" s="144">
        <v>1100</v>
      </c>
      <c r="BQ80" s="204">
        <v>3048</v>
      </c>
      <c r="BR80" s="204">
        <v>3149</v>
      </c>
      <c r="BS80" s="144">
        <v>0</v>
      </c>
      <c r="BT80" s="144">
        <v>1100</v>
      </c>
      <c r="CE80" s="204">
        <v>3048</v>
      </c>
      <c r="CF80" s="204">
        <v>3149</v>
      </c>
      <c r="CG80" s="144">
        <v>0</v>
      </c>
      <c r="CH80" s="144">
        <v>1100</v>
      </c>
    </row>
    <row r="81" spans="1:91" s="144" customFormat="1" x14ac:dyDescent="0.2">
      <c r="A81" s="204">
        <v>3148</v>
      </c>
      <c r="B81" s="204">
        <v>3439</v>
      </c>
      <c r="C81" s="144">
        <f t="shared" si="9"/>
        <v>0</v>
      </c>
      <c r="D81" s="144">
        <v>1200</v>
      </c>
      <c r="I81" s="205"/>
      <c r="J81" s="204">
        <v>50</v>
      </c>
      <c r="K81" s="205">
        <f t="shared" si="6"/>
        <v>50</v>
      </c>
      <c r="L81" s="207">
        <f>IF($H$58&gt;J80,M81,0)</f>
        <v>0</v>
      </c>
      <c r="M81" s="144">
        <v>200</v>
      </c>
      <c r="O81" s="204">
        <v>3148</v>
      </c>
      <c r="P81" s="204">
        <v>3439</v>
      </c>
      <c r="Q81" s="144">
        <v>0</v>
      </c>
      <c r="R81" s="144">
        <v>1200</v>
      </c>
      <c r="Z81" s="146"/>
      <c r="AC81" s="204">
        <v>3148</v>
      </c>
      <c r="AD81" s="204">
        <v>3439</v>
      </c>
      <c r="AE81" s="144">
        <v>0</v>
      </c>
      <c r="AF81" s="144">
        <v>1200</v>
      </c>
      <c r="AN81" s="146"/>
      <c r="AQ81" s="204">
        <v>3148</v>
      </c>
      <c r="AR81" s="204">
        <v>3439</v>
      </c>
      <c r="AS81" s="144">
        <v>0</v>
      </c>
      <c r="AT81" s="144">
        <v>1200</v>
      </c>
      <c r="BB81" s="146"/>
      <c r="BD81" s="204">
        <v>3148</v>
      </c>
      <c r="BE81" s="204">
        <v>3439</v>
      </c>
      <c r="BF81" s="144">
        <v>0</v>
      </c>
      <c r="BG81" s="144">
        <v>1200</v>
      </c>
      <c r="BO81" s="146"/>
      <c r="BQ81" s="204">
        <v>3148</v>
      </c>
      <c r="BR81" s="204">
        <v>3439</v>
      </c>
      <c r="BS81" s="144">
        <v>0</v>
      </c>
      <c r="BT81" s="144">
        <v>1200</v>
      </c>
      <c r="CB81" s="146"/>
      <c r="CE81" s="204">
        <v>3148</v>
      </c>
      <c r="CF81" s="204">
        <v>3439</v>
      </c>
      <c r="CG81" s="144">
        <v>0</v>
      </c>
      <c r="CH81" s="144">
        <v>1200</v>
      </c>
    </row>
    <row r="82" spans="1:91" s="144" customFormat="1" x14ac:dyDescent="0.2">
      <c r="A82" s="204">
        <v>3438</v>
      </c>
      <c r="B82" s="204">
        <v>3699</v>
      </c>
      <c r="C82" s="144">
        <f t="shared" si="9"/>
        <v>0</v>
      </c>
      <c r="D82" s="144">
        <v>1350</v>
      </c>
      <c r="L82" s="146"/>
      <c r="O82" s="204">
        <v>3438</v>
      </c>
      <c r="P82" s="204">
        <v>3699</v>
      </c>
      <c r="Q82" s="144">
        <v>0</v>
      </c>
      <c r="R82" s="144">
        <v>1350</v>
      </c>
      <c r="Z82" s="146"/>
      <c r="AC82" s="204">
        <v>3438</v>
      </c>
      <c r="AD82" s="204">
        <v>3699</v>
      </c>
      <c r="AE82" s="144">
        <v>0</v>
      </c>
      <c r="AF82" s="144">
        <v>1350</v>
      </c>
      <c r="AN82" s="146"/>
      <c r="AQ82" s="204">
        <v>3438</v>
      </c>
      <c r="AR82" s="204">
        <v>3699</v>
      </c>
      <c r="AS82" s="144">
        <v>0</v>
      </c>
      <c r="AT82" s="144">
        <v>1350</v>
      </c>
      <c r="BB82" s="146"/>
      <c r="BD82" s="204">
        <v>3438</v>
      </c>
      <c r="BE82" s="204">
        <v>3699</v>
      </c>
      <c r="BF82" s="144">
        <v>0</v>
      </c>
      <c r="BG82" s="144">
        <v>1350</v>
      </c>
      <c r="BO82" s="146"/>
      <c r="BQ82" s="204">
        <v>3438</v>
      </c>
      <c r="BR82" s="204">
        <v>3699</v>
      </c>
      <c r="BS82" s="144">
        <v>0</v>
      </c>
      <c r="BT82" s="144">
        <v>1350</v>
      </c>
      <c r="CB82" s="146"/>
      <c r="CE82" s="204">
        <v>3438</v>
      </c>
      <c r="CF82" s="204">
        <v>3699</v>
      </c>
      <c r="CG82" s="144">
        <v>0</v>
      </c>
      <c r="CH82" s="144">
        <v>1350</v>
      </c>
    </row>
    <row r="83" spans="1:91" s="144" customFormat="1" x14ac:dyDescent="0.2">
      <c r="A83" s="204">
        <v>3698</v>
      </c>
      <c r="B83" s="204">
        <v>3899</v>
      </c>
      <c r="C83" s="144">
        <f t="shared" si="9"/>
        <v>0</v>
      </c>
      <c r="D83" s="144">
        <v>1500</v>
      </c>
      <c r="L83" s="146"/>
      <c r="O83" s="204">
        <v>3698</v>
      </c>
      <c r="P83" s="204">
        <v>3899</v>
      </c>
      <c r="Q83" s="144">
        <v>0</v>
      </c>
      <c r="R83" s="144">
        <v>1500</v>
      </c>
      <c r="Z83" s="146"/>
      <c r="AC83" s="204">
        <v>3698</v>
      </c>
      <c r="AD83" s="204">
        <v>3899</v>
      </c>
      <c r="AE83" s="144">
        <v>0</v>
      </c>
      <c r="AF83" s="144">
        <v>1500</v>
      </c>
      <c r="AN83" s="146"/>
      <c r="AQ83" s="204">
        <v>3698</v>
      </c>
      <c r="AR83" s="204">
        <v>3899</v>
      </c>
      <c r="AS83" s="144">
        <v>0</v>
      </c>
      <c r="AT83" s="144">
        <v>1500</v>
      </c>
      <c r="BB83" s="146"/>
      <c r="BD83" s="204">
        <v>3698</v>
      </c>
      <c r="BE83" s="204">
        <v>3899</v>
      </c>
      <c r="BF83" s="144">
        <v>0</v>
      </c>
      <c r="BG83" s="144">
        <v>1500</v>
      </c>
      <c r="BO83" s="146"/>
      <c r="BQ83" s="204">
        <v>3698</v>
      </c>
      <c r="BR83" s="204">
        <v>3899</v>
      </c>
      <c r="BS83" s="144">
        <v>0</v>
      </c>
      <c r="BT83" s="144">
        <v>1500</v>
      </c>
      <c r="CB83" s="146"/>
      <c r="CE83" s="204">
        <v>3698</v>
      </c>
      <c r="CF83" s="204">
        <v>3899</v>
      </c>
      <c r="CG83" s="144">
        <v>0</v>
      </c>
      <c r="CH83" s="144">
        <v>1500</v>
      </c>
    </row>
    <row r="84" spans="1:91" s="144" customFormat="1" x14ac:dyDescent="0.2">
      <c r="A84" s="204">
        <v>3898</v>
      </c>
      <c r="B84" s="204">
        <v>4099</v>
      </c>
      <c r="C84" s="144">
        <f t="shared" si="9"/>
        <v>0</v>
      </c>
      <c r="D84" s="144">
        <v>1550</v>
      </c>
      <c r="L84" s="146"/>
      <c r="O84" s="204">
        <v>3898</v>
      </c>
      <c r="P84" s="204">
        <v>4099</v>
      </c>
      <c r="Q84" s="144">
        <v>0</v>
      </c>
      <c r="R84" s="144">
        <v>1550</v>
      </c>
      <c r="Z84" s="146"/>
      <c r="AC84" s="204">
        <v>3898</v>
      </c>
      <c r="AD84" s="204">
        <v>4099</v>
      </c>
      <c r="AE84" s="144">
        <v>0</v>
      </c>
      <c r="AF84" s="144">
        <v>1550</v>
      </c>
      <c r="AN84" s="146"/>
      <c r="AQ84" s="204">
        <v>3898</v>
      </c>
      <c r="AR84" s="204">
        <v>4099</v>
      </c>
      <c r="AS84" s="144">
        <v>0</v>
      </c>
      <c r="AT84" s="144">
        <v>1550</v>
      </c>
      <c r="BB84" s="146"/>
      <c r="BD84" s="204">
        <v>3898</v>
      </c>
      <c r="BE84" s="204">
        <v>4099</v>
      </c>
      <c r="BF84" s="144">
        <v>0</v>
      </c>
      <c r="BG84" s="144">
        <v>1550</v>
      </c>
      <c r="BO84" s="146"/>
      <c r="BQ84" s="204">
        <v>3898</v>
      </c>
      <c r="BR84" s="204">
        <v>4099</v>
      </c>
      <c r="BS84" s="144">
        <v>0</v>
      </c>
      <c r="BT84" s="144">
        <v>1550</v>
      </c>
      <c r="CB84" s="146"/>
      <c r="CE84" s="204">
        <v>3898</v>
      </c>
      <c r="CF84" s="204">
        <v>4099</v>
      </c>
      <c r="CG84" s="144">
        <v>0</v>
      </c>
      <c r="CH84" s="144">
        <v>1550</v>
      </c>
    </row>
    <row r="86" spans="1:91" s="144" customFormat="1" ht="13.5" thickBot="1" x14ac:dyDescent="0.25">
      <c r="F86" s="204" t="s">
        <v>37</v>
      </c>
      <c r="G86" s="204" t="s">
        <v>37</v>
      </c>
      <c r="I86" s="144" t="s">
        <v>38</v>
      </c>
      <c r="M86" s="146"/>
      <c r="W86" s="144" t="s">
        <v>38</v>
      </c>
      <c r="Z86" s="146"/>
      <c r="AH86" s="204" t="s">
        <v>37</v>
      </c>
      <c r="AI86" s="204" t="s">
        <v>37</v>
      </c>
      <c r="AK86" s="144" t="s">
        <v>38</v>
      </c>
      <c r="AN86" s="146"/>
      <c r="AV86" s="204" t="s">
        <v>37</v>
      </c>
      <c r="AW86" s="204" t="s">
        <v>37</v>
      </c>
      <c r="AY86" s="144" t="s">
        <v>38</v>
      </c>
      <c r="BB86" s="146"/>
      <c r="BI86" s="204" t="s">
        <v>37</v>
      </c>
      <c r="BJ86" s="204" t="s">
        <v>37</v>
      </c>
      <c r="BL86" s="144" t="s">
        <v>38</v>
      </c>
      <c r="BO86" s="146"/>
      <c r="BV86" s="204" t="s">
        <v>37</v>
      </c>
      <c r="BW86" s="204" t="s">
        <v>37</v>
      </c>
      <c r="BY86" s="144" t="s">
        <v>38</v>
      </c>
      <c r="CB86" s="146"/>
      <c r="CM86" s="144" t="s">
        <v>38</v>
      </c>
    </row>
    <row r="87" spans="1:91" s="144" customFormat="1" ht="13.5" thickBot="1" x14ac:dyDescent="0.25">
      <c r="A87" s="144" t="s">
        <v>40</v>
      </c>
      <c r="B87" s="202" t="s">
        <v>69</v>
      </c>
      <c r="C87" s="208">
        <f>VLOOKUP(D41,A88:B96,2,FALSE)</f>
        <v>330</v>
      </c>
      <c r="D87" s="202"/>
      <c r="E87" s="208"/>
      <c r="F87" s="204">
        <v>900</v>
      </c>
      <c r="G87" s="204">
        <v>1200</v>
      </c>
      <c r="I87" s="144">
        <v>3000</v>
      </c>
      <c r="K87" s="144" t="s">
        <v>74</v>
      </c>
      <c r="L87" s="144">
        <v>900</v>
      </c>
      <c r="M87" s="146">
        <v>1200</v>
      </c>
      <c r="W87" s="144">
        <v>2900</v>
      </c>
      <c r="Z87" s="146"/>
      <c r="AC87" s="144" t="s">
        <v>40</v>
      </c>
      <c r="AD87" s="202" t="s">
        <v>69</v>
      </c>
      <c r="AE87" s="208">
        <v>0</v>
      </c>
      <c r="AF87" s="202" t="s">
        <v>441</v>
      </c>
      <c r="AG87" s="208">
        <v>0</v>
      </c>
      <c r="AH87" s="204">
        <v>900</v>
      </c>
      <c r="AI87" s="204">
        <v>1200</v>
      </c>
      <c r="AK87" s="144">
        <v>2900</v>
      </c>
      <c r="AN87" s="146"/>
      <c r="AQ87" s="144" t="s">
        <v>40</v>
      </c>
      <c r="AR87" s="202" t="s">
        <v>69</v>
      </c>
      <c r="AS87" s="208">
        <v>0</v>
      </c>
      <c r="AT87" s="202" t="s">
        <v>441</v>
      </c>
      <c r="AU87" s="208">
        <v>0</v>
      </c>
      <c r="AV87" s="204">
        <v>900</v>
      </c>
      <c r="AW87" s="204">
        <v>1200</v>
      </c>
      <c r="AY87" s="144">
        <v>2900</v>
      </c>
      <c r="BB87" s="146"/>
      <c r="BD87" s="144" t="s">
        <v>40</v>
      </c>
      <c r="BE87" s="202" t="s">
        <v>69</v>
      </c>
      <c r="BF87" s="208">
        <v>0</v>
      </c>
      <c r="BG87" s="202" t="s">
        <v>441</v>
      </c>
      <c r="BH87" s="208">
        <v>0</v>
      </c>
      <c r="BI87" s="204">
        <v>900</v>
      </c>
      <c r="BJ87" s="204">
        <v>1200</v>
      </c>
      <c r="BL87" s="144">
        <v>2900</v>
      </c>
      <c r="BO87" s="146"/>
      <c r="BQ87" s="144" t="s">
        <v>40</v>
      </c>
      <c r="BR87" s="202" t="s">
        <v>69</v>
      </c>
      <c r="BS87" s="208">
        <v>0</v>
      </c>
      <c r="BT87" s="202" t="s">
        <v>441</v>
      </c>
      <c r="BU87" s="208">
        <v>0</v>
      </c>
      <c r="BV87" s="204">
        <v>900</v>
      </c>
      <c r="BW87" s="204">
        <v>1200</v>
      </c>
      <c r="BY87" s="144">
        <v>2900</v>
      </c>
      <c r="CB87" s="146"/>
      <c r="CM87" s="144">
        <v>2900</v>
      </c>
    </row>
    <row r="88" spans="1:91" s="144" customFormat="1" x14ac:dyDescent="0.2">
      <c r="A88" s="144" t="s">
        <v>41</v>
      </c>
      <c r="B88" s="144">
        <f t="shared" ref="B88:B96" si="10">IF($H$51&lt;$I$87,F88,G88)</f>
        <v>480</v>
      </c>
      <c r="F88" s="204">
        <f>F91+150</f>
        <v>480</v>
      </c>
      <c r="G88" s="204">
        <f>G91+150</f>
        <v>575</v>
      </c>
      <c r="I88" s="144" t="s">
        <v>439</v>
      </c>
      <c r="K88" s="144" t="s">
        <v>440</v>
      </c>
      <c r="L88" s="146">
        <v>35</v>
      </c>
      <c r="M88" s="144">
        <v>47</v>
      </c>
      <c r="W88" s="144" t="s">
        <v>439</v>
      </c>
      <c r="Z88" s="146"/>
      <c r="AC88" s="144" t="s">
        <v>41</v>
      </c>
      <c r="AD88" s="144">
        <v>360</v>
      </c>
      <c r="AH88" s="204">
        <v>360</v>
      </c>
      <c r="AI88" s="204">
        <v>460</v>
      </c>
      <c r="AK88" s="144" t="s">
        <v>439</v>
      </c>
      <c r="AN88" s="146"/>
      <c r="AQ88" s="144" t="s">
        <v>41</v>
      </c>
      <c r="AR88" s="144">
        <v>360</v>
      </c>
      <c r="AV88" s="204">
        <v>360</v>
      </c>
      <c r="AW88" s="204">
        <v>460</v>
      </c>
      <c r="AY88" s="144" t="s">
        <v>439</v>
      </c>
      <c r="BB88" s="146"/>
      <c r="BD88" s="144" t="s">
        <v>41</v>
      </c>
      <c r="BE88" s="144">
        <v>360</v>
      </c>
      <c r="BI88" s="204">
        <v>360</v>
      </c>
      <c r="BJ88" s="204">
        <v>460</v>
      </c>
      <c r="BL88" s="144" t="s">
        <v>439</v>
      </c>
      <c r="BO88" s="146"/>
      <c r="BQ88" s="144" t="s">
        <v>41</v>
      </c>
      <c r="BR88" s="144">
        <v>360</v>
      </c>
      <c r="BV88" s="204">
        <v>360</v>
      </c>
      <c r="BW88" s="204">
        <v>460</v>
      </c>
      <c r="BY88" s="144" t="s">
        <v>439</v>
      </c>
      <c r="CB88" s="146"/>
      <c r="CM88" s="144" t="s">
        <v>439</v>
      </c>
    </row>
    <row r="89" spans="1:91" s="144" customFormat="1" x14ac:dyDescent="0.2">
      <c r="A89" s="144" t="s">
        <v>97</v>
      </c>
      <c r="B89" s="144">
        <f t="shared" si="10"/>
        <v>680</v>
      </c>
      <c r="F89" s="204">
        <f>F91+350</f>
        <v>680</v>
      </c>
      <c r="G89" s="204">
        <f>G91+350</f>
        <v>775</v>
      </c>
      <c r="I89" s="210">
        <f>IF(B6&lt;I87,IF($H$3="A",L88,L87),IF($H$3="A",M88,M87))</f>
        <v>900</v>
      </c>
      <c r="L89" s="146"/>
      <c r="W89" s="144">
        <v>0</v>
      </c>
      <c r="Z89" s="146"/>
      <c r="AC89" s="144" t="s">
        <v>43</v>
      </c>
      <c r="AD89" s="144">
        <v>420</v>
      </c>
      <c r="AH89" s="204">
        <v>420</v>
      </c>
      <c r="AI89" s="204">
        <v>525</v>
      </c>
      <c r="AK89" s="144">
        <v>0</v>
      </c>
      <c r="AN89" s="146"/>
      <c r="AQ89" s="144" t="s">
        <v>43</v>
      </c>
      <c r="AR89" s="144">
        <v>420</v>
      </c>
      <c r="AV89" s="204">
        <v>420</v>
      </c>
      <c r="AW89" s="204">
        <v>525</v>
      </c>
      <c r="AY89" s="144">
        <v>0</v>
      </c>
      <c r="BB89" s="146"/>
      <c r="BD89" s="144" t="s">
        <v>43</v>
      </c>
      <c r="BE89" s="144">
        <v>420</v>
      </c>
      <c r="BI89" s="204">
        <v>420</v>
      </c>
      <c r="BJ89" s="204">
        <v>525</v>
      </c>
      <c r="BL89" s="144">
        <v>0</v>
      </c>
      <c r="BO89" s="146"/>
      <c r="BQ89" s="144" t="s">
        <v>43</v>
      </c>
      <c r="BR89" s="144">
        <v>420</v>
      </c>
      <c r="BV89" s="204">
        <v>420</v>
      </c>
      <c r="BW89" s="204">
        <v>525</v>
      </c>
      <c r="BY89" s="144">
        <v>0</v>
      </c>
      <c r="CB89" s="146"/>
      <c r="CM89" s="144">
        <v>0</v>
      </c>
    </row>
    <row r="90" spans="1:91" s="144" customFormat="1" x14ac:dyDescent="0.2">
      <c r="A90" s="144" t="s">
        <v>98</v>
      </c>
      <c r="B90" s="144">
        <f t="shared" si="10"/>
        <v>0</v>
      </c>
      <c r="F90" s="204"/>
      <c r="G90" s="204"/>
      <c r="L90" s="146"/>
      <c r="Z90" s="146"/>
      <c r="AC90" s="144" t="s">
        <v>46</v>
      </c>
      <c r="AD90" s="144">
        <v>510</v>
      </c>
      <c r="AH90" s="204">
        <v>510</v>
      </c>
      <c r="AI90" s="204">
        <v>645</v>
      </c>
      <c r="AN90" s="146"/>
      <c r="AQ90" s="144" t="s">
        <v>46</v>
      </c>
      <c r="AR90" s="144">
        <v>510</v>
      </c>
      <c r="AV90" s="204">
        <v>510</v>
      </c>
      <c r="AW90" s="204">
        <v>645</v>
      </c>
      <c r="BB90" s="146"/>
      <c r="BD90" s="144" t="s">
        <v>46</v>
      </c>
      <c r="BE90" s="144">
        <v>510</v>
      </c>
      <c r="BI90" s="204">
        <v>510</v>
      </c>
      <c r="BJ90" s="204">
        <v>645</v>
      </c>
      <c r="BO90" s="146"/>
      <c r="BQ90" s="144" t="s">
        <v>46</v>
      </c>
      <c r="BR90" s="144">
        <v>510</v>
      </c>
      <c r="BV90" s="204">
        <v>510</v>
      </c>
      <c r="BW90" s="204">
        <v>645</v>
      </c>
      <c r="CB90" s="146"/>
    </row>
    <row r="91" spans="1:91" s="144" customFormat="1" x14ac:dyDescent="0.2">
      <c r="A91" s="144" t="s">
        <v>54</v>
      </c>
      <c r="B91" s="144">
        <f t="shared" si="10"/>
        <v>330</v>
      </c>
      <c r="F91" s="204">
        <v>330</v>
      </c>
      <c r="G91" s="204">
        <v>425</v>
      </c>
      <c r="I91" s="574" t="s">
        <v>438</v>
      </c>
      <c r="J91" s="574"/>
      <c r="L91" s="146"/>
      <c r="Z91" s="146"/>
      <c r="AC91" s="144" t="s">
        <v>437</v>
      </c>
      <c r="AD91" s="144">
        <v>345</v>
      </c>
      <c r="AH91" s="204">
        <v>345</v>
      </c>
      <c r="AI91" s="204">
        <v>445</v>
      </c>
      <c r="AN91" s="146"/>
      <c r="AQ91" s="144" t="s">
        <v>437</v>
      </c>
      <c r="AR91" s="144">
        <v>345</v>
      </c>
      <c r="AV91" s="204">
        <v>345</v>
      </c>
      <c r="AW91" s="204">
        <v>445</v>
      </c>
      <c r="BB91" s="146"/>
      <c r="BD91" s="144" t="s">
        <v>437</v>
      </c>
      <c r="BE91" s="144">
        <v>345</v>
      </c>
      <c r="BI91" s="204">
        <v>345</v>
      </c>
      <c r="BJ91" s="204">
        <v>445</v>
      </c>
      <c r="BO91" s="146"/>
      <c r="BQ91" s="144" t="s">
        <v>437</v>
      </c>
      <c r="BR91" s="144">
        <v>345</v>
      </c>
      <c r="BV91" s="204">
        <v>345</v>
      </c>
      <c r="BW91" s="204">
        <v>445</v>
      </c>
      <c r="CB91" s="146"/>
    </row>
    <row r="92" spans="1:91" s="144" customFormat="1" x14ac:dyDescent="0.2">
      <c r="A92" s="144" t="s">
        <v>51</v>
      </c>
      <c r="B92" s="144">
        <f t="shared" si="10"/>
        <v>330</v>
      </c>
      <c r="F92" s="204">
        <v>330</v>
      </c>
      <c r="G92" s="204">
        <v>425</v>
      </c>
      <c r="I92" s="209">
        <f>SUM(I93:I101)</f>
        <v>70</v>
      </c>
      <c r="L92" s="146"/>
      <c r="Z92" s="146"/>
      <c r="AC92" s="205"/>
      <c r="AH92" s="204">
        <v>345</v>
      </c>
      <c r="AI92" s="204">
        <v>445</v>
      </c>
      <c r="AN92" s="146"/>
      <c r="AQ92" s="205"/>
      <c r="AV92" s="204">
        <v>345</v>
      </c>
      <c r="AW92" s="204">
        <v>445</v>
      </c>
      <c r="BB92" s="146"/>
      <c r="BD92" s="205"/>
      <c r="BI92" s="204">
        <v>345</v>
      </c>
      <c r="BJ92" s="204">
        <v>445</v>
      </c>
      <c r="BO92" s="146"/>
      <c r="BQ92" s="205"/>
      <c r="BV92" s="204">
        <v>345</v>
      </c>
      <c r="BW92" s="204">
        <v>445</v>
      </c>
      <c r="CB92" s="146"/>
    </row>
    <row r="93" spans="1:91" s="144" customFormat="1" x14ac:dyDescent="0.2">
      <c r="A93" s="144" t="s">
        <v>55</v>
      </c>
      <c r="B93" s="144">
        <f t="shared" si="10"/>
        <v>330</v>
      </c>
      <c r="F93" s="204">
        <v>330</v>
      </c>
      <c r="G93" s="204">
        <v>425</v>
      </c>
      <c r="H93" s="204">
        <v>5.1109999999999998</v>
      </c>
      <c r="I93" s="146">
        <f>IF($H$58&lt;H93,J93,0)</f>
        <v>70</v>
      </c>
      <c r="J93" s="204">
        <v>70</v>
      </c>
      <c r="L93" s="146"/>
      <c r="O93" s="205"/>
      <c r="T93" s="204"/>
      <c r="U93" s="204"/>
      <c r="Z93" s="146"/>
      <c r="AC93" s="205"/>
      <c r="AH93" s="204">
        <v>345</v>
      </c>
      <c r="AI93" s="204">
        <v>445</v>
      </c>
      <c r="AN93" s="146"/>
      <c r="AQ93" s="205"/>
      <c r="AV93" s="204">
        <v>345</v>
      </c>
      <c r="AW93" s="204">
        <v>445</v>
      </c>
      <c r="BB93" s="146"/>
      <c r="BD93" s="205"/>
      <c r="BI93" s="204">
        <v>345</v>
      </c>
      <c r="BJ93" s="204">
        <v>445</v>
      </c>
      <c r="BO93" s="146"/>
      <c r="BQ93" s="205"/>
      <c r="BV93" s="204">
        <v>345</v>
      </c>
      <c r="BW93" s="204">
        <v>445</v>
      </c>
      <c r="CB93" s="146"/>
      <c r="CE93" s="205"/>
      <c r="CJ93" s="204"/>
      <c r="CK93" s="204"/>
    </row>
    <row r="94" spans="1:91" s="144" customFormat="1" x14ac:dyDescent="0.2">
      <c r="A94" s="144" t="s">
        <v>59</v>
      </c>
      <c r="B94" s="144">
        <f t="shared" si="10"/>
        <v>330</v>
      </c>
      <c r="F94" s="204">
        <v>330</v>
      </c>
      <c r="G94" s="204">
        <v>425</v>
      </c>
      <c r="H94" s="204">
        <v>8</v>
      </c>
      <c r="I94" s="146">
        <f t="shared" ref="I94:I100" si="11">IF(AND(H93&lt;$H$58,$H$58&lt;H94),J94,0)</f>
        <v>0</v>
      </c>
      <c r="J94" s="204">
        <v>70</v>
      </c>
      <c r="L94" s="146"/>
      <c r="O94" s="205"/>
      <c r="T94" s="204"/>
      <c r="U94" s="204"/>
      <c r="Z94" s="146"/>
      <c r="AC94" s="205"/>
      <c r="AH94" s="204">
        <v>345</v>
      </c>
      <c r="AI94" s="204">
        <v>445</v>
      </c>
      <c r="AN94" s="146"/>
      <c r="AQ94" s="205"/>
      <c r="AV94" s="204">
        <v>345</v>
      </c>
      <c r="AW94" s="204">
        <v>445</v>
      </c>
      <c r="BB94" s="146"/>
      <c r="BD94" s="205"/>
      <c r="BI94" s="204">
        <v>345</v>
      </c>
      <c r="BJ94" s="204">
        <v>445</v>
      </c>
      <c r="BO94" s="146"/>
      <c r="BQ94" s="205"/>
      <c r="BV94" s="204">
        <v>345</v>
      </c>
      <c r="BW94" s="204">
        <v>445</v>
      </c>
      <c r="CB94" s="146"/>
      <c r="CE94" s="205"/>
      <c r="CJ94" s="204"/>
      <c r="CK94" s="204"/>
    </row>
    <row r="95" spans="1:91" s="144" customFormat="1" x14ac:dyDescent="0.2">
      <c r="A95" s="144" t="s">
        <v>62</v>
      </c>
      <c r="B95" s="144">
        <f t="shared" si="10"/>
        <v>330</v>
      </c>
      <c r="F95" s="204">
        <v>330</v>
      </c>
      <c r="G95" s="204">
        <v>425</v>
      </c>
      <c r="H95" s="204">
        <v>12</v>
      </c>
      <c r="I95" s="146">
        <f t="shared" si="11"/>
        <v>0</v>
      </c>
      <c r="J95" s="204">
        <v>70</v>
      </c>
      <c r="L95" s="146"/>
      <c r="O95" s="205"/>
      <c r="T95" s="204"/>
      <c r="U95" s="204"/>
      <c r="Z95" s="146"/>
      <c r="AC95" s="205"/>
      <c r="AH95" s="204"/>
      <c r="AI95" s="204"/>
      <c r="AN95" s="146"/>
      <c r="AQ95" s="205"/>
      <c r="AV95" s="204"/>
      <c r="AW95" s="204"/>
      <c r="BB95" s="146"/>
      <c r="BD95" s="205"/>
      <c r="BI95" s="204"/>
      <c r="BJ95" s="204"/>
      <c r="BO95" s="146"/>
      <c r="BQ95" s="205"/>
      <c r="BV95" s="204"/>
      <c r="BW95" s="204"/>
      <c r="CB95" s="146"/>
      <c r="CE95" s="205"/>
      <c r="CJ95" s="204"/>
      <c r="CK95" s="204"/>
    </row>
    <row r="96" spans="1:91" s="144" customFormat="1" x14ac:dyDescent="0.2">
      <c r="A96" s="144" t="s">
        <v>65</v>
      </c>
      <c r="B96" s="144">
        <f t="shared" si="10"/>
        <v>330</v>
      </c>
      <c r="F96" s="204">
        <v>330</v>
      </c>
      <c r="G96" s="204">
        <v>425</v>
      </c>
      <c r="H96" s="204">
        <v>16</v>
      </c>
      <c r="I96" s="146">
        <f t="shared" si="11"/>
        <v>0</v>
      </c>
      <c r="J96" s="204">
        <v>70</v>
      </c>
      <c r="L96" s="146"/>
      <c r="O96" s="205"/>
      <c r="T96" s="204"/>
      <c r="U96" s="204"/>
      <c r="Z96" s="146"/>
      <c r="AC96" s="205"/>
      <c r="AH96" s="204">
        <v>345</v>
      </c>
      <c r="AI96" s="204">
        <v>445</v>
      </c>
      <c r="AN96" s="146"/>
      <c r="AQ96" s="205"/>
      <c r="AV96" s="204">
        <v>345</v>
      </c>
      <c r="AW96" s="204">
        <v>445</v>
      </c>
      <c r="BB96" s="146"/>
      <c r="BD96" s="205"/>
      <c r="BI96" s="204">
        <v>345</v>
      </c>
      <c r="BJ96" s="204">
        <v>445</v>
      </c>
      <c r="BO96" s="146"/>
      <c r="BQ96" s="205"/>
      <c r="BV96" s="204">
        <v>345</v>
      </c>
      <c r="BW96" s="204">
        <v>445</v>
      </c>
      <c r="CB96" s="146"/>
      <c r="CE96" s="205"/>
      <c r="CJ96" s="204"/>
      <c r="CK96" s="204"/>
    </row>
    <row r="97" spans="1:89" s="144" customFormat="1" ht="13.5" thickBot="1" x14ac:dyDescent="0.25">
      <c r="F97" s="204"/>
      <c r="G97" s="204"/>
      <c r="H97" s="204">
        <v>20</v>
      </c>
      <c r="I97" s="146">
        <f t="shared" si="11"/>
        <v>0</v>
      </c>
      <c r="J97" s="204">
        <v>100</v>
      </c>
      <c r="L97" s="146"/>
      <c r="O97" s="205"/>
      <c r="T97" s="204"/>
      <c r="U97" s="204"/>
      <c r="Z97" s="146"/>
      <c r="AC97" s="205"/>
      <c r="AH97" s="204"/>
      <c r="AI97" s="204"/>
      <c r="AN97" s="146"/>
      <c r="AQ97" s="205"/>
      <c r="AV97" s="204"/>
      <c r="AW97" s="204"/>
      <c r="BB97" s="146"/>
      <c r="BD97" s="205"/>
      <c r="BI97" s="204"/>
      <c r="BJ97" s="204"/>
      <c r="BO97" s="146"/>
      <c r="BQ97" s="205"/>
      <c r="BV97" s="204"/>
      <c r="BW97" s="204"/>
      <c r="CB97" s="146"/>
      <c r="CE97" s="205"/>
      <c r="CJ97" s="204"/>
      <c r="CK97" s="204"/>
    </row>
    <row r="98" spans="1:89" s="144" customFormat="1" ht="13.5" thickBot="1" x14ac:dyDescent="0.25">
      <c r="A98" s="205" t="s">
        <v>93</v>
      </c>
      <c r="C98" s="208">
        <f>VLOOKUP(D41,A99:B105,2,FALSE)</f>
        <v>325</v>
      </c>
      <c r="F98" s="204"/>
      <c r="G98" s="204"/>
      <c r="H98" s="204">
        <v>27</v>
      </c>
      <c r="I98" s="146">
        <f t="shared" si="11"/>
        <v>0</v>
      </c>
      <c r="J98" s="204">
        <v>100</v>
      </c>
      <c r="L98" s="146"/>
      <c r="O98" s="205"/>
      <c r="T98" s="204"/>
      <c r="U98" s="204"/>
      <c r="Z98" s="146"/>
      <c r="AC98" s="205"/>
      <c r="AH98" s="204"/>
      <c r="AI98" s="204"/>
      <c r="AN98" s="146"/>
      <c r="AQ98" s="205"/>
      <c r="AV98" s="204"/>
      <c r="AW98" s="204"/>
      <c r="BB98" s="146"/>
      <c r="BD98" s="205"/>
      <c r="BI98" s="204"/>
      <c r="BJ98" s="204"/>
      <c r="BO98" s="146"/>
      <c r="BQ98" s="205"/>
      <c r="BV98" s="204"/>
      <c r="BW98" s="204"/>
      <c r="CB98" s="146"/>
      <c r="CE98" s="205"/>
      <c r="CJ98" s="204"/>
      <c r="CK98" s="204"/>
    </row>
    <row r="99" spans="1:89" s="144" customFormat="1" x14ac:dyDescent="0.2">
      <c r="A99" s="144" t="s">
        <v>54</v>
      </c>
      <c r="B99" s="144">
        <v>325</v>
      </c>
      <c r="C99" s="144">
        <f t="shared" ref="C99:C104" si="12">IF($D$41=A99,B99,IF(LEFT($D$41,2)="VS",0,0))</f>
        <v>325</v>
      </c>
      <c r="E99" s="152" t="s">
        <v>48</v>
      </c>
      <c r="H99" s="204">
        <v>33</v>
      </c>
      <c r="I99" s="146">
        <f t="shared" si="11"/>
        <v>0</v>
      </c>
      <c r="J99" s="204">
        <v>100</v>
      </c>
      <c r="L99" s="146"/>
      <c r="O99" s="144" t="s">
        <v>47</v>
      </c>
      <c r="P99" s="144">
        <v>325</v>
      </c>
      <c r="R99" s="152" t="s">
        <v>48</v>
      </c>
      <c r="Z99" s="146"/>
      <c r="AC99" s="144" t="s">
        <v>47</v>
      </c>
      <c r="AD99" s="144">
        <v>325</v>
      </c>
      <c r="AF99" s="152" t="s">
        <v>48</v>
      </c>
      <c r="AN99" s="146"/>
      <c r="AQ99" s="144" t="s">
        <v>47</v>
      </c>
      <c r="AR99" s="144">
        <v>325</v>
      </c>
      <c r="AT99" s="152" t="s">
        <v>48</v>
      </c>
      <c r="BB99" s="146"/>
      <c r="BD99" s="144" t="s">
        <v>47</v>
      </c>
      <c r="BE99" s="144">
        <v>325</v>
      </c>
      <c r="BG99" s="152" t="s">
        <v>48</v>
      </c>
      <c r="BO99" s="146"/>
      <c r="BQ99" s="144" t="s">
        <v>47</v>
      </c>
      <c r="BR99" s="144">
        <v>325</v>
      </c>
      <c r="BT99" s="152" t="s">
        <v>48</v>
      </c>
      <c r="CB99" s="146"/>
      <c r="CE99" s="144" t="s">
        <v>47</v>
      </c>
      <c r="CF99" s="144">
        <v>325</v>
      </c>
      <c r="CH99" s="152" t="s">
        <v>48</v>
      </c>
    </row>
    <row r="100" spans="1:89" s="144" customFormat="1" x14ac:dyDescent="0.2">
      <c r="A100" s="144" t="s">
        <v>51</v>
      </c>
      <c r="B100" s="144">
        <v>400</v>
      </c>
      <c r="C100" s="144">
        <f t="shared" si="12"/>
        <v>0</v>
      </c>
      <c r="D100" s="202"/>
      <c r="E100" s="152"/>
      <c r="H100" s="204">
        <v>44</v>
      </c>
      <c r="I100" s="146">
        <f t="shared" si="11"/>
        <v>0</v>
      </c>
      <c r="J100" s="204">
        <v>120</v>
      </c>
      <c r="L100" s="146"/>
      <c r="O100" s="144" t="s">
        <v>51</v>
      </c>
      <c r="P100" s="144">
        <v>400</v>
      </c>
      <c r="Q100" s="202" t="s">
        <v>52</v>
      </c>
      <c r="R100" s="152">
        <v>33</v>
      </c>
      <c r="S100" s="144">
        <v>100</v>
      </c>
      <c r="Z100" s="146"/>
      <c r="AC100" s="144" t="s">
        <v>51</v>
      </c>
      <c r="AD100" s="144">
        <v>400</v>
      </c>
      <c r="AE100" s="202" t="s">
        <v>52</v>
      </c>
      <c r="AF100" s="152">
        <v>33</v>
      </c>
      <c r="AG100" s="144">
        <v>100</v>
      </c>
      <c r="AN100" s="146"/>
      <c r="AQ100" s="144" t="s">
        <v>51</v>
      </c>
      <c r="AR100" s="144">
        <v>400</v>
      </c>
      <c r="AS100" s="202" t="s">
        <v>52</v>
      </c>
      <c r="AT100" s="152">
        <v>33</v>
      </c>
      <c r="AU100" s="144">
        <v>100</v>
      </c>
      <c r="BB100" s="146"/>
      <c r="BD100" s="144" t="s">
        <v>51</v>
      </c>
      <c r="BE100" s="144">
        <v>400</v>
      </c>
      <c r="BF100" s="202" t="s">
        <v>52</v>
      </c>
      <c r="BG100" s="152">
        <v>33</v>
      </c>
      <c r="BH100" s="144">
        <v>100</v>
      </c>
      <c r="BO100" s="146"/>
      <c r="BQ100" s="144" t="s">
        <v>51</v>
      </c>
      <c r="BR100" s="144">
        <v>400</v>
      </c>
      <c r="BS100" s="202" t="s">
        <v>52</v>
      </c>
      <c r="BT100" s="152">
        <v>33</v>
      </c>
      <c r="BU100" s="144">
        <v>100</v>
      </c>
      <c r="CB100" s="146"/>
      <c r="CE100" s="144" t="s">
        <v>51</v>
      </c>
      <c r="CF100" s="144">
        <v>400</v>
      </c>
      <c r="CG100" s="202" t="s">
        <v>52</v>
      </c>
      <c r="CH100" s="152">
        <v>33</v>
      </c>
      <c r="CI100" s="144">
        <v>100</v>
      </c>
    </row>
    <row r="101" spans="1:89" s="144" customFormat="1" x14ac:dyDescent="0.2">
      <c r="A101" s="144" t="s">
        <v>55</v>
      </c>
      <c r="B101" s="144">
        <v>460</v>
      </c>
      <c r="C101" s="144">
        <f t="shared" si="12"/>
        <v>0</v>
      </c>
      <c r="D101" s="202"/>
      <c r="E101" s="152"/>
      <c r="H101" s="204">
        <v>50</v>
      </c>
      <c r="I101" s="207">
        <f>IF($H$58&gt;H100,J101,0)</f>
        <v>0</v>
      </c>
      <c r="J101" s="204">
        <v>120</v>
      </c>
      <c r="L101" s="146"/>
      <c r="O101" s="144" t="s">
        <v>55</v>
      </c>
      <c r="P101" s="144">
        <v>460</v>
      </c>
      <c r="Q101" s="202" t="s">
        <v>56</v>
      </c>
      <c r="R101" s="152">
        <v>33</v>
      </c>
      <c r="S101" s="144">
        <v>0</v>
      </c>
      <c r="Z101" s="146"/>
      <c r="AC101" s="144" t="s">
        <v>55</v>
      </c>
      <c r="AD101" s="144">
        <v>460</v>
      </c>
      <c r="AE101" s="202" t="s">
        <v>56</v>
      </c>
      <c r="AF101" s="152">
        <v>33</v>
      </c>
      <c r="AG101" s="144">
        <v>0</v>
      </c>
      <c r="AN101" s="146"/>
      <c r="AQ101" s="144" t="s">
        <v>55</v>
      </c>
      <c r="AR101" s="144">
        <v>460</v>
      </c>
      <c r="AS101" s="202" t="s">
        <v>56</v>
      </c>
      <c r="AT101" s="152">
        <v>33</v>
      </c>
      <c r="AU101" s="144">
        <v>0</v>
      </c>
      <c r="BB101" s="146"/>
      <c r="BD101" s="144" t="s">
        <v>55</v>
      </c>
      <c r="BE101" s="144">
        <v>460</v>
      </c>
      <c r="BF101" s="202" t="s">
        <v>56</v>
      </c>
      <c r="BG101" s="152">
        <v>33</v>
      </c>
      <c r="BH101" s="144">
        <v>0</v>
      </c>
      <c r="BO101" s="146"/>
      <c r="BQ101" s="144" t="s">
        <v>55</v>
      </c>
      <c r="BR101" s="144">
        <v>460</v>
      </c>
      <c r="BS101" s="202" t="s">
        <v>56</v>
      </c>
      <c r="BT101" s="152">
        <v>33</v>
      </c>
      <c r="BU101" s="144">
        <v>0</v>
      </c>
      <c r="CB101" s="146"/>
      <c r="CE101" s="144" t="s">
        <v>55</v>
      </c>
      <c r="CF101" s="144">
        <v>460</v>
      </c>
      <c r="CG101" s="202" t="s">
        <v>56</v>
      </c>
      <c r="CH101" s="152">
        <v>33</v>
      </c>
      <c r="CI101" s="144">
        <v>0</v>
      </c>
    </row>
    <row r="102" spans="1:89" s="144" customFormat="1" x14ac:dyDescent="0.2">
      <c r="A102" s="144" t="s">
        <v>59</v>
      </c>
      <c r="B102" s="144">
        <v>520</v>
      </c>
      <c r="C102" s="144">
        <f t="shared" si="12"/>
        <v>0</v>
      </c>
      <c r="I102" s="146"/>
      <c r="L102" s="146"/>
      <c r="O102" s="144" t="s">
        <v>59</v>
      </c>
      <c r="P102" s="144">
        <v>520</v>
      </c>
      <c r="Z102" s="146"/>
      <c r="AC102" s="144" t="s">
        <v>59</v>
      </c>
      <c r="AD102" s="144">
        <v>520</v>
      </c>
      <c r="AN102" s="146"/>
      <c r="AQ102" s="144" t="s">
        <v>59</v>
      </c>
      <c r="AR102" s="144">
        <v>520</v>
      </c>
      <c r="BB102" s="146"/>
      <c r="BD102" s="144" t="s">
        <v>59</v>
      </c>
      <c r="BE102" s="144">
        <v>520</v>
      </c>
      <c r="BO102" s="146"/>
      <c r="BQ102" s="144" t="s">
        <v>59</v>
      </c>
      <c r="BR102" s="144">
        <v>520</v>
      </c>
      <c r="CB102" s="146"/>
      <c r="CE102" s="144" t="s">
        <v>59</v>
      </c>
      <c r="CF102" s="144">
        <v>520</v>
      </c>
    </row>
    <row r="103" spans="1:89" s="144" customFormat="1" x14ac:dyDescent="0.2">
      <c r="A103" s="144" t="s">
        <v>62</v>
      </c>
      <c r="B103" s="144">
        <v>580</v>
      </c>
      <c r="C103" s="144">
        <f t="shared" si="12"/>
        <v>0</v>
      </c>
      <c r="L103" s="146"/>
      <c r="O103" s="144" t="s">
        <v>62</v>
      </c>
      <c r="P103" s="144">
        <v>580</v>
      </c>
      <c r="Z103" s="146"/>
      <c r="AC103" s="144" t="s">
        <v>62</v>
      </c>
      <c r="AD103" s="144">
        <v>580</v>
      </c>
      <c r="AN103" s="146"/>
      <c r="AQ103" s="144" t="s">
        <v>62</v>
      </c>
      <c r="AR103" s="144">
        <v>580</v>
      </c>
      <c r="BB103" s="146"/>
      <c r="BD103" s="144" t="s">
        <v>62</v>
      </c>
      <c r="BE103" s="144">
        <v>580</v>
      </c>
      <c r="BO103" s="146"/>
      <c r="BQ103" s="144" t="s">
        <v>62</v>
      </c>
      <c r="BR103" s="144">
        <v>580</v>
      </c>
      <c r="CB103" s="146"/>
      <c r="CE103" s="144" t="s">
        <v>62</v>
      </c>
      <c r="CF103" s="144">
        <v>580</v>
      </c>
    </row>
    <row r="104" spans="1:89" s="144" customFormat="1" x14ac:dyDescent="0.2">
      <c r="A104" s="144" t="s">
        <v>65</v>
      </c>
      <c r="B104" s="144">
        <v>660</v>
      </c>
      <c r="C104" s="144">
        <f t="shared" si="12"/>
        <v>0</v>
      </c>
      <c r="L104" s="146"/>
      <c r="O104" s="144" t="s">
        <v>65</v>
      </c>
      <c r="P104" s="144">
        <v>660</v>
      </c>
      <c r="Z104" s="146"/>
      <c r="AC104" s="144" t="s">
        <v>65</v>
      </c>
      <c r="AD104" s="144">
        <v>660</v>
      </c>
      <c r="AN104" s="146"/>
      <c r="AQ104" s="144" t="s">
        <v>65</v>
      </c>
      <c r="AR104" s="144">
        <v>660</v>
      </c>
      <c r="BB104" s="146"/>
      <c r="BD104" s="144" t="s">
        <v>65</v>
      </c>
      <c r="BE104" s="144">
        <v>660</v>
      </c>
      <c r="BO104" s="146"/>
      <c r="BQ104" s="144" t="s">
        <v>65</v>
      </c>
      <c r="BR104" s="144">
        <v>660</v>
      </c>
      <c r="CB104" s="146"/>
      <c r="CE104" s="144" t="s">
        <v>65</v>
      </c>
      <c r="CF104" s="144">
        <v>660</v>
      </c>
    </row>
    <row r="105" spans="1:89" s="144" customFormat="1" x14ac:dyDescent="0.2">
      <c r="L105" s="146"/>
      <c r="O105" s="144" t="s">
        <v>67</v>
      </c>
      <c r="Z105" s="146"/>
      <c r="AC105" s="144" t="s">
        <v>67</v>
      </c>
      <c r="AN105" s="146"/>
      <c r="AQ105" s="144" t="s">
        <v>67</v>
      </c>
      <c r="BB105" s="146"/>
      <c r="BD105" s="144" t="s">
        <v>67</v>
      </c>
      <c r="BO105" s="146"/>
      <c r="BQ105" s="144" t="s">
        <v>67</v>
      </c>
      <c r="CB105" s="146"/>
      <c r="CE105" s="144" t="s">
        <v>67</v>
      </c>
    </row>
    <row r="106" spans="1:89" s="144" customFormat="1" ht="18.75" x14ac:dyDescent="0.3">
      <c r="C106" s="206" t="s">
        <v>117</v>
      </c>
      <c r="L106" s="146"/>
      <c r="Z106" s="146"/>
      <c r="AN106" s="146"/>
      <c r="BB106" s="146"/>
      <c r="BO106" s="146"/>
      <c r="CB106" s="146"/>
    </row>
    <row r="107" spans="1:89" s="144" customFormat="1" ht="18.75" x14ac:dyDescent="0.3">
      <c r="A107" s="202"/>
      <c r="E107" s="206" t="s">
        <v>104</v>
      </c>
      <c r="O107" s="144" t="s">
        <v>68</v>
      </c>
      <c r="Z107" s="146"/>
      <c r="AC107" s="144" t="s">
        <v>68</v>
      </c>
      <c r="AN107" s="146"/>
      <c r="AQ107" s="144" t="s">
        <v>68</v>
      </c>
      <c r="BB107" s="146"/>
      <c r="BD107" s="144" t="s">
        <v>68</v>
      </c>
      <c r="BO107" s="146"/>
      <c r="BQ107" s="144" t="s">
        <v>68</v>
      </c>
      <c r="CB107" s="146"/>
      <c r="CE107" s="144" t="s">
        <v>68</v>
      </c>
    </row>
    <row r="108" spans="1:89" s="144" customFormat="1" x14ac:dyDescent="0.2">
      <c r="A108" s="202" t="s">
        <v>12</v>
      </c>
      <c r="B108" s="7">
        <f>L35</f>
        <v>-100</v>
      </c>
      <c r="F108" s="202" t="s">
        <v>105</v>
      </c>
      <c r="G108" s="204">
        <f>B108/1000</f>
        <v>-0.1</v>
      </c>
      <c r="H108" s="144" t="s">
        <v>106</v>
      </c>
      <c r="J108" s="205">
        <f>SQRT((POWER(G109,2)+POWER(G110,2)))</f>
        <v>0</v>
      </c>
      <c r="Z108" s="146"/>
      <c r="AN108" s="146"/>
      <c r="BB108" s="146"/>
      <c r="BO108" s="146"/>
      <c r="CB108" s="146"/>
    </row>
    <row r="109" spans="1:89" s="144" customFormat="1" x14ac:dyDescent="0.2">
      <c r="A109" s="202" t="s">
        <v>107</v>
      </c>
      <c r="B109" s="7">
        <f>H51</f>
        <v>0</v>
      </c>
      <c r="C109" s="144" t="s">
        <v>74</v>
      </c>
      <c r="D109" s="144" t="s">
        <v>108</v>
      </c>
      <c r="F109" s="202" t="s">
        <v>105</v>
      </c>
      <c r="G109" s="204">
        <f>B109/1000</f>
        <v>0</v>
      </c>
      <c r="H109" s="144" t="s">
        <v>109</v>
      </c>
      <c r="J109" s="144" t="e">
        <f>IF(B108=0,0,ATAN(G108/((J108-G111)/2)))</f>
        <v>#DIV/0!</v>
      </c>
      <c r="Z109" s="146"/>
      <c r="AN109" s="146"/>
      <c r="BB109" s="146"/>
      <c r="BO109" s="146"/>
      <c r="CB109" s="146"/>
    </row>
    <row r="110" spans="1:89" s="144" customFormat="1" x14ac:dyDescent="0.2">
      <c r="A110" s="202" t="s">
        <v>110</v>
      </c>
      <c r="B110" s="7">
        <f>H52</f>
        <v>0</v>
      </c>
      <c r="C110" s="144" t="s">
        <v>74</v>
      </c>
      <c r="D110" s="144" t="s">
        <v>111</v>
      </c>
      <c r="F110" s="202" t="s">
        <v>105</v>
      </c>
      <c r="G110" s="204">
        <f>B110/1000</f>
        <v>0</v>
      </c>
      <c r="Z110" s="146"/>
      <c r="AN110" s="146"/>
      <c r="BB110" s="146"/>
      <c r="BO110" s="146"/>
      <c r="CB110" s="146"/>
    </row>
    <row r="111" spans="1:89" s="144" customFormat="1" x14ac:dyDescent="0.2">
      <c r="A111" s="202" t="s">
        <v>112</v>
      </c>
      <c r="B111" s="7">
        <f>L21</f>
        <v>0</v>
      </c>
      <c r="C111" s="144" t="s">
        <v>74</v>
      </c>
      <c r="D111" s="144" t="s">
        <v>113</v>
      </c>
      <c r="F111" s="202" t="s">
        <v>105</v>
      </c>
      <c r="G111" s="201">
        <f>B111/1000</f>
        <v>0</v>
      </c>
      <c r="H111" s="144" t="s">
        <v>114</v>
      </c>
      <c r="J111" s="203">
        <f>G108/6*(((2*G109+G111)*G110)+((2*G111+G109)*G111))*1000</f>
        <v>0</v>
      </c>
      <c r="K111" s="144" t="s">
        <v>81</v>
      </c>
      <c r="Z111" s="146"/>
      <c r="AN111" s="146"/>
      <c r="BB111" s="146"/>
      <c r="BO111" s="146"/>
      <c r="CB111" s="146"/>
    </row>
    <row r="112" spans="1:89" s="144" customFormat="1" x14ac:dyDescent="0.2">
      <c r="A112" s="202"/>
      <c r="F112" s="202"/>
      <c r="G112" s="201"/>
      <c r="Z112" s="146"/>
      <c r="AN112" s="146"/>
      <c r="BB112" s="146"/>
      <c r="BO112" s="146"/>
      <c r="CB112" s="146"/>
    </row>
    <row r="113" spans="1:12" s="144" customFormat="1" x14ac:dyDescent="0.2">
      <c r="A113" s="200" t="s">
        <v>115</v>
      </c>
      <c r="B113" s="199" t="e">
        <f>DEGREES(J109)</f>
        <v>#DIV/0!</v>
      </c>
      <c r="C113" s="144" t="s">
        <v>116</v>
      </c>
      <c r="D113" s="144" t="s">
        <v>436</v>
      </c>
    </row>
    <row r="115" spans="1:12" s="144" customFormat="1" ht="18.75" x14ac:dyDescent="0.3">
      <c r="C115" s="206" t="s">
        <v>118</v>
      </c>
      <c r="H115" s="206"/>
      <c r="L115" s="146"/>
    </row>
    <row r="116" spans="1:12" s="144" customFormat="1" ht="18.75" x14ac:dyDescent="0.3">
      <c r="A116" s="202"/>
      <c r="E116" s="206" t="s">
        <v>104</v>
      </c>
    </row>
    <row r="117" spans="1:12" s="144" customFormat="1" x14ac:dyDescent="0.2">
      <c r="A117" s="202" t="s">
        <v>12</v>
      </c>
      <c r="B117" s="7">
        <f>H49</f>
        <v>0</v>
      </c>
      <c r="F117" s="202" t="s">
        <v>105</v>
      </c>
      <c r="G117" s="204">
        <f>B117/1000</f>
        <v>0</v>
      </c>
      <c r="H117" s="144" t="s">
        <v>106</v>
      </c>
      <c r="J117" s="205">
        <f>SQRT((POWER(G118,2)+POWER(G119,2)))</f>
        <v>0</v>
      </c>
    </row>
    <row r="118" spans="1:12" s="144" customFormat="1" x14ac:dyDescent="0.2">
      <c r="A118" s="202" t="s">
        <v>107</v>
      </c>
      <c r="B118" s="7">
        <f>B109</f>
        <v>0</v>
      </c>
      <c r="C118" s="144" t="s">
        <v>74</v>
      </c>
      <c r="D118" s="144" t="s">
        <v>108</v>
      </c>
      <c r="F118" s="202" t="s">
        <v>105</v>
      </c>
      <c r="G118" s="204">
        <f>B118/1000</f>
        <v>0</v>
      </c>
      <c r="H118" s="144" t="s">
        <v>109</v>
      </c>
      <c r="J118" s="144">
        <f>IF(B117=0,0,ATAN(G117/((J117-G120)/2)))</f>
        <v>0</v>
      </c>
    </row>
    <row r="119" spans="1:12" s="144" customFormat="1" x14ac:dyDescent="0.2">
      <c r="A119" s="202" t="s">
        <v>110</v>
      </c>
      <c r="B119" s="7">
        <f>B110</f>
        <v>0</v>
      </c>
      <c r="C119" s="144" t="s">
        <v>74</v>
      </c>
      <c r="D119" s="144" t="s">
        <v>111</v>
      </c>
      <c r="F119" s="202" t="s">
        <v>105</v>
      </c>
      <c r="G119" s="204">
        <f>B119/1000</f>
        <v>0</v>
      </c>
    </row>
    <row r="120" spans="1:12" s="144" customFormat="1" x14ac:dyDescent="0.2">
      <c r="A120" s="202" t="s">
        <v>112</v>
      </c>
      <c r="B120" s="7">
        <f>B111</f>
        <v>0</v>
      </c>
      <c r="C120" s="144" t="s">
        <v>74</v>
      </c>
      <c r="D120" s="144" t="s">
        <v>113</v>
      </c>
      <c r="F120" s="202" t="s">
        <v>105</v>
      </c>
      <c r="G120" s="201">
        <f>B120/1000</f>
        <v>0</v>
      </c>
      <c r="H120" s="144" t="s">
        <v>114</v>
      </c>
      <c r="J120" s="203">
        <f>G117/6*(((2*G118+G120)*G119)+((2*G120+G118)*G120))*1000</f>
        <v>0</v>
      </c>
      <c r="K120" s="144" t="s">
        <v>81</v>
      </c>
    </row>
    <row r="121" spans="1:12" s="144" customFormat="1" x14ac:dyDescent="0.2">
      <c r="A121" s="202"/>
      <c r="F121" s="202"/>
      <c r="G121" s="201"/>
    </row>
    <row r="122" spans="1:12" s="144" customFormat="1" x14ac:dyDescent="0.2">
      <c r="A122" s="200" t="s">
        <v>115</v>
      </c>
      <c r="B122" s="199">
        <f>DEGREES(J118)</f>
        <v>0</v>
      </c>
      <c r="C122" s="144" t="s">
        <v>116</v>
      </c>
      <c r="D122" s="144" t="s">
        <v>436</v>
      </c>
    </row>
  </sheetData>
  <mergeCells count="8">
    <mergeCell ref="CL1:CN1"/>
    <mergeCell ref="I91:J91"/>
    <mergeCell ref="H1:J1"/>
    <mergeCell ref="V1:X1"/>
    <mergeCell ref="BX1:BZ1"/>
    <mergeCell ref="BK1:BM1"/>
    <mergeCell ref="AX1:AZ1"/>
    <mergeCell ref="AJ1:AL1"/>
  </mergeCells>
  <printOptions gridLinesSet="0"/>
  <pageMargins left="0.19685039370078741" right="0.19685039370078741" top="0.31496062992125984" bottom="0.23622047244094491" header="0.51181102362204722" footer="0.51181102362204722"/>
  <pageSetup paperSize="9" scale="92" orientation="portrait" horizontalDpi="300" verticalDpi="300" r:id="rId1"/>
  <headerFooter alignWithMargins="0">
    <oddFooter>&amp;R&amp;D &amp;T</oddFooter>
  </headerFooter>
  <drawing r:id="rId2"/>
  <legacyDrawing r:id="rId3"/>
  <oleObjects>
    <mc:AlternateContent xmlns:mc="http://schemas.openxmlformats.org/markup-compatibility/2006">
      <mc:Choice Requires="x14">
        <oleObject progId="MSDraw" shapeId="4097" r:id="rId4">
          <objectPr locked="0" defaultSize="0" autoPict="0" dde="1" r:id="rId5">
            <anchor moveWithCells="1">
              <from>
                <xdr:col>0</xdr:col>
                <xdr:colOff>142875</xdr:colOff>
                <xdr:row>0</xdr:row>
                <xdr:rowOff>66675</xdr:rowOff>
              </from>
              <to>
                <xdr:col>2</xdr:col>
                <xdr:colOff>409575</xdr:colOff>
                <xdr:row>3</xdr:row>
                <xdr:rowOff>133350</xdr:rowOff>
              </to>
            </anchor>
          </objectPr>
        </oleObject>
      </mc:Choice>
      <mc:Fallback>
        <oleObject progId="MSDraw" shapeId="4097" r:id="rId4"/>
      </mc:Fallback>
    </mc:AlternateContent>
    <mc:AlternateContent xmlns:mc="http://schemas.openxmlformats.org/markup-compatibility/2006">
      <mc:Choice Requires="x14">
        <oleObject progId="MSDraw" shapeId="4098" r:id="rId6">
          <objectPr defaultSize="0" autoPict="0" dde="1" r:id="rId7">
            <anchor moveWithCells="1" sizeWithCells="1">
              <from>
                <xdr:col>14</xdr:col>
                <xdr:colOff>0</xdr:colOff>
                <xdr:row>11</xdr:row>
                <xdr:rowOff>47625</xdr:rowOff>
              </from>
              <to>
                <xdr:col>14</xdr:col>
                <xdr:colOff>0</xdr:colOff>
                <xdr:row>31</xdr:row>
                <xdr:rowOff>38100</xdr:rowOff>
              </to>
            </anchor>
          </objectPr>
        </oleObject>
      </mc:Choice>
      <mc:Fallback>
        <oleObject progId="MSDraw" shapeId="4098" r:id="rId6"/>
      </mc:Fallback>
    </mc:AlternateContent>
    <mc:AlternateContent xmlns:mc="http://schemas.openxmlformats.org/markup-compatibility/2006">
      <mc:Choice Requires="x14">
        <oleObject progId="MSDraw" shapeId="4099" r:id="rId8">
          <objectPr defaultSize="0" autoPict="0" dde="1" r:id="rId7">
            <anchor moveWithCells="1" sizeWithCells="1">
              <from>
                <xdr:col>14</xdr:col>
                <xdr:colOff>0</xdr:colOff>
                <xdr:row>11</xdr:row>
                <xdr:rowOff>47625</xdr:rowOff>
              </from>
              <to>
                <xdr:col>14</xdr:col>
                <xdr:colOff>0</xdr:colOff>
                <xdr:row>31</xdr:row>
                <xdr:rowOff>38100</xdr:rowOff>
              </to>
            </anchor>
          </objectPr>
        </oleObject>
      </mc:Choice>
      <mc:Fallback>
        <oleObject progId="MSDraw" shapeId="4099" r:id="rId8"/>
      </mc:Fallback>
    </mc:AlternateContent>
    <mc:AlternateContent xmlns:mc="http://schemas.openxmlformats.org/markup-compatibility/2006">
      <mc:Choice Requires="x14">
        <oleObject progId="MSDraw" shapeId="4100" r:id="rId9">
          <objectPr defaultSize="0" autoPict="0" dde="1" r:id="rId10">
            <anchor moveWithCells="1" sizeWithCells="1">
              <from>
                <xdr:col>0</xdr:col>
                <xdr:colOff>276225</xdr:colOff>
                <xdr:row>10</xdr:row>
                <xdr:rowOff>152400</xdr:rowOff>
              </from>
              <to>
                <xdr:col>7</xdr:col>
                <xdr:colOff>723900</xdr:colOff>
                <xdr:row>31</xdr:row>
                <xdr:rowOff>28575</xdr:rowOff>
              </to>
            </anchor>
          </objectPr>
        </oleObject>
      </mc:Choice>
      <mc:Fallback>
        <oleObject progId="MSDraw" shapeId="4100" r:id="rId9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32"/>
  <sheetViews>
    <sheetView showGridLines="0" showZeros="0" zoomScaleNormal="100" workbookViewId="0">
      <selection activeCell="L24" sqref="L24"/>
    </sheetView>
  </sheetViews>
  <sheetFormatPr defaultColWidth="8.83203125" defaultRowHeight="12.75" x14ac:dyDescent="0.2"/>
  <cols>
    <col min="1" max="1" width="17.83203125" style="144" customWidth="1"/>
    <col min="2" max="3" width="8.83203125" style="144"/>
    <col min="4" max="4" width="9.1640625" style="144" customWidth="1"/>
    <col min="5" max="9" width="8.83203125" style="144"/>
    <col min="10" max="10" width="11.5" style="144" customWidth="1"/>
    <col min="11" max="16384" width="8.83203125" style="144"/>
  </cols>
  <sheetData>
    <row r="1" spans="1:10" x14ac:dyDescent="0.2">
      <c r="C1" s="144" t="s">
        <v>694</v>
      </c>
      <c r="E1" s="144" t="s">
        <v>693</v>
      </c>
    </row>
    <row r="3" spans="1:10" x14ac:dyDescent="0.2">
      <c r="A3" s="205" t="s">
        <v>690</v>
      </c>
      <c r="B3" s="298"/>
      <c r="C3" s="301" t="s">
        <v>692</v>
      </c>
      <c r="D3" s="302">
        <f>B3*2.2046</f>
        <v>0</v>
      </c>
      <c r="F3" s="221"/>
      <c r="G3" s="205" t="s">
        <v>434</v>
      </c>
    </row>
    <row r="4" spans="1:10" x14ac:dyDescent="0.2">
      <c r="A4" s="144" t="s">
        <v>691</v>
      </c>
      <c r="B4" s="298"/>
      <c r="C4" s="301" t="s">
        <v>690</v>
      </c>
      <c r="D4" s="302">
        <f>B4/2.2046</f>
        <v>0</v>
      </c>
      <c r="E4" s="301" t="s">
        <v>388</v>
      </c>
      <c r="F4" s="290">
        <f>B4/1.412/1000</f>
        <v>0</v>
      </c>
    </row>
    <row r="5" spans="1:10" x14ac:dyDescent="0.2">
      <c r="B5" s="300"/>
      <c r="C5" s="221"/>
      <c r="D5" s="205"/>
      <c r="E5" s="205"/>
      <c r="F5" s="205"/>
      <c r="G5" s="205"/>
    </row>
    <row r="6" spans="1:10" x14ac:dyDescent="0.2">
      <c r="A6" s="205" t="s">
        <v>81</v>
      </c>
      <c r="B6" s="299"/>
      <c r="C6" s="205" t="s">
        <v>689</v>
      </c>
      <c r="D6" s="290">
        <f>B6*0.2642</f>
        <v>0</v>
      </c>
      <c r="G6" s="205"/>
    </row>
    <row r="7" spans="1:10" x14ac:dyDescent="0.2">
      <c r="A7" s="205" t="s">
        <v>689</v>
      </c>
      <c r="B7" s="298"/>
      <c r="C7" s="205" t="s">
        <v>81</v>
      </c>
      <c r="D7" s="290">
        <f>B7*3.785</f>
        <v>0</v>
      </c>
      <c r="E7" s="205"/>
      <c r="G7" s="205"/>
    </row>
    <row r="9" spans="1:10" x14ac:dyDescent="0.2">
      <c r="A9" s="144" t="s">
        <v>688</v>
      </c>
      <c r="B9" s="144" t="s">
        <v>73</v>
      </c>
      <c r="C9" s="221" t="s">
        <v>29</v>
      </c>
      <c r="D9" s="144" t="s">
        <v>687</v>
      </c>
      <c r="F9" s="144" t="s">
        <v>686</v>
      </c>
      <c r="G9" s="144" t="s">
        <v>678</v>
      </c>
      <c r="H9" s="144" t="s">
        <v>685</v>
      </c>
      <c r="I9" s="144" t="s">
        <v>684</v>
      </c>
    </row>
    <row r="10" spans="1:10" x14ac:dyDescent="0.2">
      <c r="A10" s="293"/>
      <c r="B10" s="295">
        <f>TRUNC(A10/304.8)</f>
        <v>0</v>
      </c>
      <c r="C10" s="295">
        <f>ROUND( (MOD(A10,304.8)/25.4),0)</f>
        <v>0</v>
      </c>
      <c r="D10" s="297">
        <f>B10*12+C10</f>
        <v>0</v>
      </c>
      <c r="F10" s="515">
        <f>STXVOLUME!N17</f>
        <v>0</v>
      </c>
      <c r="G10" s="295">
        <f>F10*35.31</f>
        <v>0</v>
      </c>
      <c r="H10" s="296">
        <f>F10*560</f>
        <v>0</v>
      </c>
      <c r="I10" s="296">
        <f>F10*1412</f>
        <v>0</v>
      </c>
    </row>
    <row r="11" spans="1:10" x14ac:dyDescent="0.2">
      <c r="A11" s="293"/>
      <c r="B11" s="295">
        <f>TRUNC(A11/304.8)</f>
        <v>0</v>
      </c>
      <c r="C11" s="295">
        <f>ROUND( (MOD(A11,304.8)/25.4),0)</f>
        <v>0</v>
      </c>
      <c r="D11" s="294">
        <f>B11*12+C11</f>
        <v>0</v>
      </c>
    </row>
    <row r="12" spans="1:10" x14ac:dyDescent="0.2">
      <c r="A12" s="293"/>
      <c r="B12" s="295">
        <f>TRUNC(A12/304.8)</f>
        <v>0</v>
      </c>
      <c r="C12" s="295">
        <f>ROUND( (MOD(A12,304.8)/25.4),0)</f>
        <v>0</v>
      </c>
      <c r="D12" s="294">
        <f>B12*12+C12</f>
        <v>0</v>
      </c>
    </row>
    <row r="13" spans="1:10" x14ac:dyDescent="0.2">
      <c r="H13" s="147" t="s">
        <v>683</v>
      </c>
      <c r="I13" s="147"/>
      <c r="J13" s="147" t="s">
        <v>675</v>
      </c>
    </row>
    <row r="14" spans="1:10" x14ac:dyDescent="0.2">
      <c r="A14" s="144" t="s">
        <v>682</v>
      </c>
      <c r="B14" s="144" t="s">
        <v>681</v>
      </c>
      <c r="C14" s="144">
        <v>14.7</v>
      </c>
      <c r="H14" s="147">
        <v>304.8</v>
      </c>
      <c r="I14" s="147"/>
      <c r="J14" s="147">
        <v>100</v>
      </c>
    </row>
    <row r="15" spans="1:10" x14ac:dyDescent="0.2">
      <c r="A15" s="293"/>
      <c r="B15" s="211">
        <f>A15*C14</f>
        <v>0</v>
      </c>
      <c r="H15" s="147" t="s">
        <v>680</v>
      </c>
      <c r="I15" s="147" t="s">
        <v>679</v>
      </c>
      <c r="J15" s="147" t="s">
        <v>679</v>
      </c>
    </row>
    <row r="16" spans="1:10" x14ac:dyDescent="0.2">
      <c r="H16" s="147">
        <f>POWER(H14,2)</f>
        <v>92903.040000000008</v>
      </c>
      <c r="I16" s="147">
        <f>POWER(H14,3)</f>
        <v>28316846.592000004</v>
      </c>
      <c r="J16" s="147">
        <f>POWER(J14,3)</f>
        <v>1000000</v>
      </c>
    </row>
    <row r="17" spans="1:10" x14ac:dyDescent="0.2">
      <c r="A17" s="202" t="s">
        <v>73</v>
      </c>
      <c r="B17" s="257" t="s">
        <v>29</v>
      </c>
      <c r="C17" s="202" t="s">
        <v>74</v>
      </c>
    </row>
    <row r="18" spans="1:10" x14ac:dyDescent="0.2">
      <c r="A18" s="293"/>
      <c r="B18" s="291">
        <v>0</v>
      </c>
      <c r="C18" s="147">
        <f>(A18*304.8)+(B18*25.4)</f>
        <v>0</v>
      </c>
      <c r="H18" s="211" t="s">
        <v>675</v>
      </c>
      <c r="I18" s="277">
        <v>1</v>
      </c>
      <c r="J18" s="211">
        <f>I16/J16</f>
        <v>28.316846592000005</v>
      </c>
    </row>
    <row r="19" spans="1:10" x14ac:dyDescent="0.2">
      <c r="A19" s="293">
        <v>0</v>
      </c>
      <c r="B19" s="291">
        <v>0</v>
      </c>
      <c r="C19" s="147">
        <f>(A19*304.8)+(B19*25.4)</f>
        <v>0</v>
      </c>
      <c r="H19" s="211" t="s">
        <v>678</v>
      </c>
      <c r="I19" s="211">
        <f>J16/I16</f>
        <v>3.5314666721488586E-2</v>
      </c>
      <c r="J19" s="277">
        <v>1</v>
      </c>
    </row>
    <row r="21" spans="1:10" x14ac:dyDescent="0.2">
      <c r="B21" s="144" t="s">
        <v>677</v>
      </c>
    </row>
    <row r="22" spans="1:10" x14ac:dyDescent="0.2">
      <c r="B22" s="144" t="s">
        <v>676</v>
      </c>
      <c r="C22" s="144" t="s">
        <v>79</v>
      </c>
      <c r="D22" s="144" t="s">
        <v>675</v>
      </c>
    </row>
    <row r="23" spans="1:10" x14ac:dyDescent="0.2">
      <c r="A23" s="144" t="s">
        <v>376</v>
      </c>
      <c r="B23" s="204">
        <v>0.56000000000000005</v>
      </c>
      <c r="C23" s="291"/>
      <c r="D23" s="290">
        <f>C23/B23</f>
        <v>0</v>
      </c>
    </row>
    <row r="24" spans="1:10" x14ac:dyDescent="0.2">
      <c r="A24" s="144" t="s">
        <v>375</v>
      </c>
      <c r="B24" s="204">
        <v>0.95</v>
      </c>
      <c r="C24" s="291"/>
      <c r="D24" s="290">
        <f>C24/B24</f>
        <v>0</v>
      </c>
    </row>
    <row r="27" spans="1:10" x14ac:dyDescent="0.2">
      <c r="B27" s="204" t="s">
        <v>674</v>
      </c>
    </row>
    <row r="28" spans="1:10" x14ac:dyDescent="0.2">
      <c r="B28" s="144" t="s">
        <v>673</v>
      </c>
      <c r="C28" s="144" t="s">
        <v>80</v>
      </c>
      <c r="D28" s="144" t="s">
        <v>672</v>
      </c>
      <c r="E28" s="144" t="s">
        <v>81</v>
      </c>
      <c r="G28" s="144" t="s">
        <v>671</v>
      </c>
    </row>
    <row r="29" spans="1:10" x14ac:dyDescent="0.2">
      <c r="A29" s="147" t="s">
        <v>376</v>
      </c>
      <c r="B29" s="145">
        <v>40</v>
      </c>
      <c r="C29" s="291"/>
      <c r="D29" s="290">
        <f>C29/B29</f>
        <v>0</v>
      </c>
      <c r="E29" s="290">
        <f>D29*$G$29</f>
        <v>0</v>
      </c>
      <c r="G29" s="211">
        <f>J18</f>
        <v>28.316846592000005</v>
      </c>
    </row>
    <row r="30" spans="1:10" x14ac:dyDescent="0.2">
      <c r="A30" s="147" t="s">
        <v>670</v>
      </c>
      <c r="B30" s="292"/>
      <c r="C30" s="291"/>
      <c r="D30" s="290" t="e">
        <f>C30/B30</f>
        <v>#DIV/0!</v>
      </c>
      <c r="E30" s="290" t="e">
        <f>D30*$G$29</f>
        <v>#DIV/0!</v>
      </c>
    </row>
    <row r="31" spans="1:10" x14ac:dyDescent="0.2">
      <c r="A31" s="147" t="s">
        <v>375</v>
      </c>
      <c r="B31" s="145">
        <v>52</v>
      </c>
      <c r="C31" s="291"/>
      <c r="D31" s="290">
        <f>C31/B31</f>
        <v>0</v>
      </c>
      <c r="E31" s="290">
        <f>D31*$G$29</f>
        <v>0</v>
      </c>
    </row>
    <row r="32" spans="1:10" x14ac:dyDescent="0.2">
      <c r="D32" s="144" t="s">
        <v>669</v>
      </c>
      <c r="E32" s="199" t="e">
        <f>SUM(E29:E31)</f>
        <v>#DIV/0!</v>
      </c>
    </row>
  </sheetData>
  <sheetProtection algorithmName="SHA-512" hashValue="r8r9plq6tmbGXDWU7SNSAiYT0Qf3ER+WolBU4QoJjejTXIYK0M9jeCLRMXY80lWMYK14Y77cmiP7tfRU3v+z0Q==" saltValue="7uqDyi9R0XiXpilTEqUtjw==" spinCount="100000" sheet="1" objects="1" scenarios="1"/>
  <pageMargins left="0.75" right="0.75" top="1" bottom="1" header="0.5" footer="0.5"/>
  <pageSetup paperSize="9" orientation="portrait" horizontalDpi="3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96E69-907F-4547-9513-76FE69F66DCA}">
  <dimension ref="A1:A3"/>
  <sheetViews>
    <sheetView topLeftCell="B1" workbookViewId="0">
      <selection activeCell="L24" sqref="L24"/>
    </sheetView>
  </sheetViews>
  <sheetFormatPr defaultRowHeight="12.75" x14ac:dyDescent="0.2"/>
  <cols>
    <col min="1" max="1" width="13.6640625" hidden="1" customWidth="1"/>
  </cols>
  <sheetData>
    <row r="1" spans="1:1" x14ac:dyDescent="0.2">
      <c r="A1">
        <v>1.1499999999999999</v>
      </c>
    </row>
    <row r="2" spans="1:1" x14ac:dyDescent="0.2">
      <c r="A2" s="135" t="s">
        <v>914</v>
      </c>
    </row>
    <row r="3" spans="1:1" x14ac:dyDescent="0.2">
      <c r="A3" s="135" t="s">
        <v>915</v>
      </c>
    </row>
  </sheetData>
  <sheetProtection algorithmName="SHA-512" hashValue="qIweSazf17Lpy7LO7Fyy1dofL9kSitBhum+d16jsVfyyzNsEnllms6o721OjeS73UELTkTF6NWsbcemFjzkCBg==" saltValue="nG6cFE9dORPKuXBeHj3EWw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C146"/>
  <sheetViews>
    <sheetView showZeros="0" topLeftCell="E1" zoomScale="75" zoomScaleNormal="75" zoomScaleSheetLayoutView="75" workbookViewId="0">
      <selection activeCell="L24" sqref="L24"/>
    </sheetView>
  </sheetViews>
  <sheetFormatPr defaultColWidth="10.6640625" defaultRowHeight="15" x14ac:dyDescent="0.2"/>
  <cols>
    <col min="1" max="1" width="16.1640625" style="164" customWidth="1"/>
    <col min="2" max="2" width="17.1640625" style="164" customWidth="1"/>
    <col min="3" max="3" width="8" style="164" customWidth="1"/>
    <col min="4" max="4" width="12.6640625" style="164" customWidth="1"/>
    <col min="5" max="5" width="15" style="164" customWidth="1"/>
    <col min="6" max="6" width="9.83203125" style="164" customWidth="1"/>
    <col min="7" max="7" width="13.5" style="164" customWidth="1"/>
    <col min="8" max="8" width="19" style="164" customWidth="1"/>
    <col min="9" max="9" width="7.83203125" style="164" customWidth="1"/>
    <col min="10" max="10" width="30" style="164" customWidth="1"/>
    <col min="11" max="11" width="2.6640625" style="164" customWidth="1"/>
    <col min="12" max="12" width="6" style="164" customWidth="1"/>
    <col min="13" max="13" width="12.6640625" style="164" customWidth="1"/>
    <col min="14" max="14" width="19.5" style="164" bestFit="1" customWidth="1"/>
    <col min="15" max="15" width="10" style="164" customWidth="1"/>
    <col min="16" max="16" width="7.1640625" style="164" customWidth="1"/>
    <col min="17" max="17" width="21.33203125" style="162" customWidth="1"/>
    <col min="18" max="18" width="10.6640625" style="162" customWidth="1"/>
    <col min="19" max="19" width="10.33203125" style="162" customWidth="1"/>
    <col min="20" max="20" width="29" style="162" customWidth="1"/>
    <col min="21" max="21" width="13.83203125" style="162" customWidth="1"/>
    <col min="22" max="22" width="3.6640625" style="162" customWidth="1"/>
    <col min="23" max="23" width="11.1640625" style="162" customWidth="1"/>
    <col min="24" max="24" width="14.83203125" style="162" customWidth="1"/>
    <col min="25" max="25" width="10.6640625" style="162" customWidth="1"/>
    <col min="26" max="26" width="15.5" style="162" customWidth="1"/>
    <col min="27" max="27" width="19.33203125" style="163" customWidth="1"/>
    <col min="28" max="28" width="18" style="531" customWidth="1"/>
    <col min="29" max="29" width="18.33203125" style="531" customWidth="1"/>
    <col min="30" max="16384" width="10.6640625" style="162"/>
  </cols>
  <sheetData>
    <row r="1" spans="1:28" x14ac:dyDescent="0.2">
      <c r="G1" s="164" t="s">
        <v>28</v>
      </c>
      <c r="J1" s="164" t="s">
        <v>297</v>
      </c>
      <c r="P1" s="164" t="s">
        <v>375</v>
      </c>
      <c r="AA1" s="163">
        <v>310</v>
      </c>
    </row>
    <row r="2" spans="1:28" ht="27" customHeight="1" x14ac:dyDescent="0.2">
      <c r="A2" s="164">
        <v>0</v>
      </c>
      <c r="B2" s="164">
        <v>0</v>
      </c>
      <c r="C2" s="164">
        <v>0</v>
      </c>
      <c r="D2" s="164">
        <v>0</v>
      </c>
      <c r="E2" s="164">
        <v>0</v>
      </c>
      <c r="F2" s="164">
        <v>0</v>
      </c>
      <c r="G2" s="164" t="s">
        <v>435</v>
      </c>
      <c r="H2" s="164">
        <v>0</v>
      </c>
      <c r="I2" s="164">
        <v>0</v>
      </c>
      <c r="J2" s="164">
        <v>0</v>
      </c>
      <c r="K2" s="164">
        <v>0</v>
      </c>
      <c r="L2" s="164">
        <v>0</v>
      </c>
      <c r="M2" s="164">
        <v>0</v>
      </c>
      <c r="N2" s="164">
        <v>0</v>
      </c>
      <c r="O2" s="164">
        <v>0</v>
      </c>
      <c r="P2" s="164">
        <v>0</v>
      </c>
    </row>
    <row r="3" spans="1:28" ht="15.75" thickBot="1" x14ac:dyDescent="0.25">
      <c r="A3" s="164" t="s">
        <v>434</v>
      </c>
      <c r="B3" s="164">
        <v>0</v>
      </c>
      <c r="C3" s="164">
        <v>0</v>
      </c>
      <c r="D3" s="164">
        <v>0</v>
      </c>
      <c r="E3" s="164">
        <v>0</v>
      </c>
      <c r="F3" s="164">
        <v>0</v>
      </c>
      <c r="G3" s="164">
        <v>0</v>
      </c>
      <c r="H3" s="164">
        <v>0</v>
      </c>
      <c r="I3" s="164">
        <v>0</v>
      </c>
      <c r="J3" s="164">
        <v>0</v>
      </c>
      <c r="K3" s="164">
        <v>0</v>
      </c>
      <c r="L3" s="164">
        <v>0</v>
      </c>
      <c r="M3" s="164">
        <v>0</v>
      </c>
      <c r="N3" s="164">
        <v>0</v>
      </c>
      <c r="O3" s="164">
        <v>0</v>
      </c>
      <c r="P3" s="164">
        <v>0</v>
      </c>
    </row>
    <row r="4" spans="1:28" x14ac:dyDescent="0.2">
      <c r="A4" s="198" t="s">
        <v>433</v>
      </c>
      <c r="B4" s="197" t="s">
        <v>432</v>
      </c>
      <c r="C4" s="197" t="s">
        <v>7</v>
      </c>
      <c r="D4" s="197" t="s">
        <v>4</v>
      </c>
      <c r="E4" s="197" t="s">
        <v>9</v>
      </c>
      <c r="F4" s="197" t="s">
        <v>431</v>
      </c>
      <c r="G4" s="197" t="s">
        <v>12</v>
      </c>
      <c r="H4" s="197" t="s">
        <v>376</v>
      </c>
      <c r="I4" s="197">
        <v>0</v>
      </c>
      <c r="J4" s="197" t="s">
        <v>430</v>
      </c>
      <c r="K4" s="197">
        <v>0</v>
      </c>
      <c r="L4" s="197">
        <v>0</v>
      </c>
      <c r="M4" s="197" t="s">
        <v>375</v>
      </c>
      <c r="N4" s="197">
        <v>0</v>
      </c>
      <c r="O4" s="197">
        <v>0</v>
      </c>
      <c r="P4" s="196" t="s">
        <v>429</v>
      </c>
    </row>
    <row r="5" spans="1:28" ht="15.75" thickBot="1" x14ac:dyDescent="0.25">
      <c r="A5" s="192">
        <v>0</v>
      </c>
      <c r="B5" s="164" t="s">
        <v>81</v>
      </c>
      <c r="C5" s="164">
        <v>0</v>
      </c>
      <c r="D5" s="164">
        <v>0</v>
      </c>
      <c r="E5" s="164">
        <v>0</v>
      </c>
      <c r="F5" s="164">
        <v>0</v>
      </c>
      <c r="G5" s="164">
        <v>0</v>
      </c>
      <c r="H5" s="164" t="s">
        <v>428</v>
      </c>
      <c r="I5" s="164">
        <v>0</v>
      </c>
      <c r="J5" s="164">
        <v>0</v>
      </c>
      <c r="K5" s="164">
        <v>0</v>
      </c>
      <c r="L5" s="164">
        <v>0</v>
      </c>
      <c r="M5" s="164">
        <v>0</v>
      </c>
      <c r="N5" s="164" t="s">
        <v>428</v>
      </c>
      <c r="O5" s="164">
        <v>0</v>
      </c>
      <c r="P5" s="190">
        <v>0</v>
      </c>
      <c r="AA5" s="163" t="s">
        <v>297</v>
      </c>
      <c r="AB5" s="531" t="s">
        <v>299</v>
      </c>
    </row>
    <row r="6" spans="1:28" ht="16.5" customHeight="1" thickBot="1" x14ac:dyDescent="0.3">
      <c r="A6" s="192" t="s">
        <v>427</v>
      </c>
      <c r="B6" s="191">
        <v>5700</v>
      </c>
      <c r="C6" s="195">
        <v>2040</v>
      </c>
      <c r="D6" s="164">
        <v>950</v>
      </c>
      <c r="E6" s="164">
        <v>700</v>
      </c>
      <c r="F6" s="164">
        <v>450</v>
      </c>
      <c r="G6" s="195">
        <v>2650</v>
      </c>
      <c r="H6" s="539">
        <v>5230</v>
      </c>
      <c r="I6" s="164">
        <v>0</v>
      </c>
      <c r="J6" s="164">
        <v>3000</v>
      </c>
      <c r="K6" s="164">
        <v>0</v>
      </c>
      <c r="L6" s="164">
        <v>0</v>
      </c>
      <c r="M6" s="164">
        <v>0</v>
      </c>
      <c r="N6" s="164">
        <v>0</v>
      </c>
      <c r="O6" s="164">
        <v>0</v>
      </c>
      <c r="P6" s="190">
        <v>0</v>
      </c>
      <c r="U6" s="162">
        <f>$B6/1000</f>
        <v>5.7</v>
      </c>
      <c r="V6" s="162" t="s">
        <v>298</v>
      </c>
      <c r="W6" s="179">
        <f>IF($R$26=U6,X6+($H$26*1000),0)</f>
        <v>0</v>
      </c>
      <c r="X6" s="162">
        <f>$H$6</f>
        <v>5230</v>
      </c>
      <c r="Z6" s="162" t="s">
        <v>372</v>
      </c>
      <c r="AA6" s="176">
        <f>IF($R$26=0,0,IF($R$26&lt;U6,ROUND(X6-((5-$R$26)*80),-1+205),0))</f>
        <v>0</v>
      </c>
      <c r="AB6" s="532"/>
    </row>
    <row r="7" spans="1:28" ht="16.5" customHeight="1" thickBot="1" x14ac:dyDescent="0.3">
      <c r="A7" s="192" t="s">
        <v>426</v>
      </c>
      <c r="B7" s="191">
        <v>0</v>
      </c>
      <c r="C7" s="195">
        <v>0</v>
      </c>
      <c r="D7" s="164">
        <v>0</v>
      </c>
      <c r="E7" s="164">
        <v>0</v>
      </c>
      <c r="F7" s="164">
        <v>0</v>
      </c>
      <c r="G7" s="195">
        <v>0</v>
      </c>
      <c r="H7" s="539"/>
      <c r="I7" s="164">
        <v>0</v>
      </c>
      <c r="J7" s="164">
        <v>0</v>
      </c>
      <c r="K7" s="535"/>
      <c r="L7" s="535"/>
      <c r="M7" s="164">
        <v>0</v>
      </c>
      <c r="N7" s="539">
        <v>7540</v>
      </c>
      <c r="O7" s="164">
        <v>0</v>
      </c>
      <c r="P7" s="190" t="s">
        <v>425</v>
      </c>
      <c r="V7" s="162" t="s">
        <v>357</v>
      </c>
      <c r="W7" s="177">
        <f>IF($R$27=U6,Y7+($H$26*1000),0)</f>
        <v>0</v>
      </c>
      <c r="X7" s="162">
        <f>H7*1000</f>
        <v>0</v>
      </c>
      <c r="Y7" s="178">
        <f>$N$7</f>
        <v>7540</v>
      </c>
      <c r="AA7" s="176"/>
      <c r="AB7" s="532">
        <f>IF($R$27=0,0,IF($R$27&lt;U6,ROUND(N7-((5-$R$27)*80),-1+205),0))</f>
        <v>0</v>
      </c>
    </row>
    <row r="8" spans="1:28" ht="16.5" thickBot="1" x14ac:dyDescent="0.3">
      <c r="A8" s="192" t="s">
        <v>424</v>
      </c>
      <c r="B8" s="191">
        <v>8800</v>
      </c>
      <c r="C8" s="195">
        <v>2140</v>
      </c>
      <c r="D8" s="164">
        <v>1450</v>
      </c>
      <c r="E8" s="164">
        <v>700</v>
      </c>
      <c r="F8" s="164">
        <v>450</v>
      </c>
      <c r="G8" s="195">
        <v>3150</v>
      </c>
      <c r="H8" s="539">
        <v>7140</v>
      </c>
      <c r="I8" s="164">
        <v>0</v>
      </c>
      <c r="J8" s="164" t="s">
        <v>423</v>
      </c>
      <c r="K8" s="536"/>
      <c r="L8" s="537"/>
      <c r="M8" s="164">
        <v>0</v>
      </c>
      <c r="N8" s="539"/>
      <c r="O8" s="164">
        <v>0</v>
      </c>
      <c r="P8" s="190">
        <v>0</v>
      </c>
      <c r="U8" s="162">
        <f t="shared" ref="U8:U22" si="0">B8/1000</f>
        <v>8.8000000000000007</v>
      </c>
      <c r="V8" s="162" t="s">
        <v>298</v>
      </c>
      <c r="W8" s="177">
        <f>IF($R$26=U8,X8+($H$26*1000),0)</f>
        <v>0</v>
      </c>
      <c r="X8" s="162">
        <f>$H$8</f>
        <v>7140</v>
      </c>
      <c r="Z8" s="162" t="s">
        <v>371</v>
      </c>
      <c r="AA8" s="176">
        <f>IF(AND(U6&lt;$R$26,$R$26&lt;U8),ROUND((((X8-X6)/(U8-U6))*($R$26-U6))+X6,-1)+IF($R$26&lt;15,H$26,$H$27),0)</f>
        <v>0</v>
      </c>
      <c r="AB8" s="532"/>
    </row>
    <row r="9" spans="1:28" ht="16.5" thickBot="1" x14ac:dyDescent="0.3">
      <c r="A9" s="192" t="s">
        <v>422</v>
      </c>
      <c r="B9" s="191">
        <v>0</v>
      </c>
      <c r="C9" s="195">
        <v>0</v>
      </c>
      <c r="D9" s="164">
        <v>0</v>
      </c>
      <c r="E9" s="164">
        <v>0</v>
      </c>
      <c r="F9" s="164">
        <v>0</v>
      </c>
      <c r="G9" s="195">
        <v>0</v>
      </c>
      <c r="H9" s="539"/>
      <c r="I9" s="164">
        <v>0</v>
      </c>
      <c r="J9" s="164">
        <v>0</v>
      </c>
      <c r="K9" s="536"/>
      <c r="L9" s="537"/>
      <c r="M9" s="164">
        <v>0</v>
      </c>
      <c r="N9" s="539">
        <v>8630</v>
      </c>
      <c r="O9" s="164">
        <v>0</v>
      </c>
      <c r="P9" s="190" t="s">
        <v>421</v>
      </c>
      <c r="U9" s="162">
        <f t="shared" si="0"/>
        <v>0</v>
      </c>
      <c r="V9" s="162" t="s">
        <v>357</v>
      </c>
      <c r="W9" s="177">
        <f>IF($R$27=U8,Y9+($H$26*1000),0)</f>
        <v>0</v>
      </c>
      <c r="X9" s="162">
        <f>H9*1000</f>
        <v>0</v>
      </c>
      <c r="Y9" s="178">
        <f>$N$9</f>
        <v>8630</v>
      </c>
      <c r="AA9" s="176"/>
      <c r="AB9" s="532">
        <f>IF(AND(U6&lt;$R$27,$R$27&lt;U8),ROUND((((Y9-Y7)/(U8-U6))*($R$27-U6))+Y7,-1)+IF($R$27&lt;15,H$26,$H$27),0)</f>
        <v>0</v>
      </c>
    </row>
    <row r="10" spans="1:28" ht="16.5" thickBot="1" x14ac:dyDescent="0.3">
      <c r="A10" s="192" t="s">
        <v>420</v>
      </c>
      <c r="B10" s="191">
        <v>12800</v>
      </c>
      <c r="C10" s="195">
        <v>2540</v>
      </c>
      <c r="D10" s="164">
        <v>1450</v>
      </c>
      <c r="E10" s="164">
        <v>900</v>
      </c>
      <c r="F10" s="164">
        <v>450</v>
      </c>
      <c r="G10" s="195">
        <v>3350</v>
      </c>
      <c r="H10" s="539">
        <v>8640</v>
      </c>
      <c r="I10" s="164">
        <v>0</v>
      </c>
      <c r="J10" s="164" t="s">
        <v>419</v>
      </c>
      <c r="K10" s="536"/>
      <c r="L10" s="537"/>
      <c r="M10" s="164">
        <v>0</v>
      </c>
      <c r="N10" s="539"/>
      <c r="O10" s="164">
        <v>0</v>
      </c>
      <c r="P10" s="190">
        <v>0</v>
      </c>
      <c r="U10" s="162">
        <f t="shared" si="0"/>
        <v>12.8</v>
      </c>
      <c r="V10" s="162" t="s">
        <v>298</v>
      </c>
      <c r="W10" s="177">
        <f>IF($R$26=U10,X10+($H$26*1000),0)</f>
        <v>0</v>
      </c>
      <c r="X10" s="162">
        <f>$H$10</f>
        <v>8640</v>
      </c>
      <c r="Z10" s="162" t="s">
        <v>370</v>
      </c>
      <c r="AA10" s="176">
        <f>IF(AND(U8&lt;$R$26,$R$26&lt;U10),ROUND((((X10-X8)/(U10-U8))*($R$26-U8))+X8,-1)+IF($R$26&lt;15,H$26,$H$27),0)</f>
        <v>0</v>
      </c>
      <c r="AB10" s="532"/>
    </row>
    <row r="11" spans="1:28" ht="16.5" thickBot="1" x14ac:dyDescent="0.3">
      <c r="A11" s="192" t="s">
        <v>418</v>
      </c>
      <c r="B11" s="191">
        <v>0</v>
      </c>
      <c r="C11" s="195">
        <v>0</v>
      </c>
      <c r="D11" s="164">
        <v>0</v>
      </c>
      <c r="E11" s="164">
        <v>0</v>
      </c>
      <c r="F11" s="164">
        <v>0</v>
      </c>
      <c r="G11" s="195">
        <v>0</v>
      </c>
      <c r="H11" s="539"/>
      <c r="I11" s="164">
        <v>0</v>
      </c>
      <c r="J11" s="164">
        <v>0</v>
      </c>
      <c r="K11" s="536"/>
      <c r="L11" s="537"/>
      <c r="M11" s="164">
        <v>0</v>
      </c>
      <c r="N11" s="539">
        <v>9870</v>
      </c>
      <c r="O11" s="164">
        <v>0</v>
      </c>
      <c r="P11" s="190" t="s">
        <v>417</v>
      </c>
      <c r="U11" s="162">
        <f t="shared" si="0"/>
        <v>0</v>
      </c>
      <c r="V11" s="162" t="s">
        <v>357</v>
      </c>
      <c r="W11" s="177">
        <f>IF($R$27=U10,Y11+($H$26*1000),0)</f>
        <v>0</v>
      </c>
      <c r="X11" s="162">
        <f>H11*1000</f>
        <v>0</v>
      </c>
      <c r="Y11" s="178">
        <f>$N$11</f>
        <v>9870</v>
      </c>
      <c r="AA11" s="176"/>
      <c r="AB11" s="532">
        <f>IF(AND(U8&lt;$R$27,$R$27&lt;U10),ROUND((((Y11-Y9)/(U10-U8))*($R$27-U8))+Y9,-1)+IF($R$27&lt;15,H$26,$H$27),0)</f>
        <v>0</v>
      </c>
    </row>
    <row r="12" spans="1:28" ht="16.5" thickBot="1" x14ac:dyDescent="0.3">
      <c r="A12" s="192" t="s">
        <v>416</v>
      </c>
      <c r="B12" s="191">
        <v>16500</v>
      </c>
      <c r="C12" s="195">
        <v>2640</v>
      </c>
      <c r="D12" s="164">
        <v>1800</v>
      </c>
      <c r="E12" s="164">
        <v>1000</v>
      </c>
      <c r="F12" s="164">
        <v>450</v>
      </c>
      <c r="G12" s="195">
        <v>3800</v>
      </c>
      <c r="H12" s="539">
        <v>9570</v>
      </c>
      <c r="I12" s="164">
        <v>0</v>
      </c>
      <c r="J12" s="164" t="s">
        <v>415</v>
      </c>
      <c r="K12" s="536"/>
      <c r="L12" s="537"/>
      <c r="M12" s="164">
        <v>0</v>
      </c>
      <c r="N12" s="539"/>
      <c r="O12" s="164">
        <v>0</v>
      </c>
      <c r="P12" s="190">
        <v>0</v>
      </c>
      <c r="U12" s="162">
        <f t="shared" si="0"/>
        <v>16.5</v>
      </c>
      <c r="V12" s="162" t="s">
        <v>298</v>
      </c>
      <c r="W12" s="177">
        <f>IF($R$26=U12,X12+($H$27*1000),0)</f>
        <v>0</v>
      </c>
      <c r="X12" s="162">
        <f>$H$12</f>
        <v>9570</v>
      </c>
      <c r="Z12" s="162" t="s">
        <v>368</v>
      </c>
      <c r="AA12" s="176">
        <f>IF(AND(U10&lt;$R$26,$R$26&lt;U12),ROUND((((X12-X10)/(U12-U10))*($R$26-U10))+X10,-1)+IF($R$26&lt;15,H$26,$H$27),0)</f>
        <v>0</v>
      </c>
      <c r="AB12" s="532"/>
    </row>
    <row r="13" spans="1:28" ht="16.5" thickBot="1" x14ac:dyDescent="0.3">
      <c r="A13" s="192" t="s">
        <v>414</v>
      </c>
      <c r="B13" s="191">
        <v>0</v>
      </c>
      <c r="C13" s="195">
        <v>0</v>
      </c>
      <c r="D13" s="164">
        <v>0</v>
      </c>
      <c r="E13" s="164">
        <v>0</v>
      </c>
      <c r="F13" s="164">
        <v>0</v>
      </c>
      <c r="G13" s="195">
        <v>0</v>
      </c>
      <c r="H13" s="539"/>
      <c r="I13" s="164">
        <v>0</v>
      </c>
      <c r="J13" s="164">
        <v>0</v>
      </c>
      <c r="K13" s="536"/>
      <c r="L13" s="537"/>
      <c r="M13" s="164">
        <v>0</v>
      </c>
      <c r="N13" s="539">
        <v>10510</v>
      </c>
      <c r="O13" s="164">
        <v>0</v>
      </c>
      <c r="P13" s="190" t="s">
        <v>413</v>
      </c>
      <c r="U13" s="162">
        <f t="shared" si="0"/>
        <v>0</v>
      </c>
      <c r="V13" s="162" t="s">
        <v>357</v>
      </c>
      <c r="W13" s="177">
        <f>IF($R$27=U12,Y13+($H$26*1000),0)</f>
        <v>0</v>
      </c>
      <c r="X13" s="162">
        <f>H13*1000</f>
        <v>0</v>
      </c>
      <c r="Y13" s="178">
        <f>$N$13</f>
        <v>10510</v>
      </c>
      <c r="AA13" s="176"/>
      <c r="AB13" s="532">
        <f>IF(AND(U10&lt;$R$27,$R$27&lt;U12),ROUND((((Y13-Y11)/(U12-U10))*($R$27-U10))+Y11,-1)+IF($R$27&lt;15,H$26,$H$27),0)</f>
        <v>0</v>
      </c>
    </row>
    <row r="14" spans="1:28" ht="16.5" customHeight="1" thickBot="1" x14ac:dyDescent="0.3">
      <c r="A14" s="192" t="s">
        <v>412</v>
      </c>
      <c r="B14" s="191">
        <v>22000</v>
      </c>
      <c r="C14" s="195">
        <v>3000</v>
      </c>
      <c r="D14" s="164">
        <v>1750</v>
      </c>
      <c r="E14" s="164">
        <v>1000</v>
      </c>
      <c r="F14" s="164">
        <v>600</v>
      </c>
      <c r="G14" s="195">
        <v>3850</v>
      </c>
      <c r="H14" s="539">
        <v>11740</v>
      </c>
      <c r="I14" s="164">
        <v>0</v>
      </c>
      <c r="J14" s="164" t="s">
        <v>411</v>
      </c>
      <c r="K14" s="536"/>
      <c r="L14" s="537"/>
      <c r="M14" s="164">
        <v>0</v>
      </c>
      <c r="N14" s="539"/>
      <c r="O14" s="164">
        <v>0</v>
      </c>
      <c r="P14" s="190">
        <v>0</v>
      </c>
      <c r="U14" s="162">
        <f t="shared" si="0"/>
        <v>22</v>
      </c>
      <c r="V14" s="162" t="s">
        <v>298</v>
      </c>
      <c r="W14" s="177">
        <f>IF($R$26=U14,X14+($H$27*1000),0)</f>
        <v>0</v>
      </c>
      <c r="X14" s="162">
        <f>$H$14</f>
        <v>11740</v>
      </c>
      <c r="Z14" s="162" t="s">
        <v>365</v>
      </c>
      <c r="AA14" s="176">
        <f>IF(AND(U12&lt;$R$26,$R$26&lt;U14),ROUND((((X14-X12)/(U14-U12))*($R$26-U12))+X12,-1)+IF($R$26&lt;15,H$26,$H$27),0)</f>
        <v>0</v>
      </c>
      <c r="AB14" s="532"/>
    </row>
    <row r="15" spans="1:28" ht="16.5" thickBot="1" x14ac:dyDescent="0.3">
      <c r="A15" s="192" t="s">
        <v>410</v>
      </c>
      <c r="B15" s="191">
        <v>0</v>
      </c>
      <c r="C15" s="195">
        <v>0</v>
      </c>
      <c r="D15" s="164">
        <v>0</v>
      </c>
      <c r="E15" s="164">
        <v>0</v>
      </c>
      <c r="F15" s="164">
        <v>0</v>
      </c>
      <c r="G15" s="195">
        <v>0</v>
      </c>
      <c r="H15" s="539"/>
      <c r="I15" s="164">
        <v>0</v>
      </c>
      <c r="J15" s="164">
        <v>0</v>
      </c>
      <c r="K15" s="536"/>
      <c r="L15" s="537"/>
      <c r="M15" s="164">
        <v>0</v>
      </c>
      <c r="N15" s="539">
        <v>16190</v>
      </c>
      <c r="O15" s="164">
        <v>0</v>
      </c>
      <c r="P15" s="190" t="s">
        <v>408</v>
      </c>
      <c r="U15" s="162">
        <f t="shared" si="0"/>
        <v>0</v>
      </c>
      <c r="V15" s="162" t="s">
        <v>357</v>
      </c>
      <c r="W15" s="177">
        <f>IF($R$27=U14,Y15+($H$26*1000),0)</f>
        <v>0</v>
      </c>
      <c r="X15" s="162">
        <f>H15*1000</f>
        <v>0</v>
      </c>
      <c r="Y15" s="178">
        <f>$N$15</f>
        <v>16190</v>
      </c>
      <c r="AA15" s="176"/>
      <c r="AB15" s="532">
        <f>IF(AND(U12&lt;$R$27,$R$27&lt;U14),ROUND((((Y15-Y13)/(U14-U12))*($R$27-U12))+Y13,-1)+IF($R$27&lt;15,H$26,$H$27),0)</f>
        <v>0</v>
      </c>
    </row>
    <row r="16" spans="1:28" ht="16.5" customHeight="1" thickBot="1" x14ac:dyDescent="0.3">
      <c r="A16" s="192" t="s">
        <v>409</v>
      </c>
      <c r="B16" s="191">
        <v>29000</v>
      </c>
      <c r="C16" s="195">
        <v>3000</v>
      </c>
      <c r="D16" s="164">
        <v>2500</v>
      </c>
      <c r="E16" s="164">
        <v>1000</v>
      </c>
      <c r="F16" s="164">
        <v>600</v>
      </c>
      <c r="G16" s="195">
        <v>4600</v>
      </c>
      <c r="H16" s="539">
        <v>12410</v>
      </c>
      <c r="I16" s="164">
        <v>0</v>
      </c>
      <c r="J16" s="164" t="s">
        <v>408</v>
      </c>
      <c r="K16" s="536"/>
      <c r="L16" s="537"/>
      <c r="M16" s="164">
        <v>0</v>
      </c>
      <c r="N16" s="539"/>
      <c r="O16" s="164">
        <v>0</v>
      </c>
      <c r="P16" s="190">
        <v>0</v>
      </c>
      <c r="U16" s="162">
        <f t="shared" si="0"/>
        <v>29</v>
      </c>
      <c r="V16" s="162" t="s">
        <v>298</v>
      </c>
      <c r="W16" s="177">
        <f>IF($R$26=U16,X16+($H$27*1000),0)</f>
        <v>0</v>
      </c>
      <c r="X16" s="162">
        <f>$H$16</f>
        <v>12410</v>
      </c>
      <c r="Z16" s="162" t="s">
        <v>361</v>
      </c>
      <c r="AA16" s="176">
        <f>IF(AND(U14&lt;$R$26,$R$26&lt;U16),ROUND((((X16-X14)/(U16-U14))*($R$26-U14))+X14,-1)+IF($R$26&lt;15,H$26,$H$27),0)</f>
        <v>0</v>
      </c>
      <c r="AB16" s="532"/>
    </row>
    <row r="17" spans="1:28" ht="16.5" thickBot="1" x14ac:dyDescent="0.3">
      <c r="A17" s="192" t="s">
        <v>407</v>
      </c>
      <c r="B17" s="191">
        <v>0</v>
      </c>
      <c r="C17" s="195">
        <v>0</v>
      </c>
      <c r="D17" s="164">
        <v>0</v>
      </c>
      <c r="E17" s="164">
        <v>0</v>
      </c>
      <c r="F17" s="164">
        <v>0</v>
      </c>
      <c r="G17" s="195">
        <v>0</v>
      </c>
      <c r="H17" s="539"/>
      <c r="I17" s="164">
        <v>0</v>
      </c>
      <c r="J17" s="164">
        <v>0</v>
      </c>
      <c r="M17" s="164">
        <v>0</v>
      </c>
      <c r="N17" s="539">
        <v>17710</v>
      </c>
      <c r="O17" s="164">
        <v>0</v>
      </c>
      <c r="P17" s="190" t="s">
        <v>406</v>
      </c>
      <c r="U17" s="162">
        <f t="shared" si="0"/>
        <v>0</v>
      </c>
      <c r="V17" s="162" t="s">
        <v>357</v>
      </c>
      <c r="W17" s="177">
        <f>IF($R$27=U16,Y17+($H$26*1000),0)</f>
        <v>0</v>
      </c>
      <c r="X17" s="162">
        <f>H17*1000</f>
        <v>0</v>
      </c>
      <c r="Y17" s="178">
        <f>$N$17</f>
        <v>17710</v>
      </c>
      <c r="AA17" s="176"/>
      <c r="AB17" s="532">
        <f>IF(AND(U14&lt;$R$27,$R$27&lt;U16),ROUND((((Y17-Y15)/(U16-U14))*($R$27-U14))+Y15,-1)+IF($R$27&lt;15,H$26,$H$27),0)</f>
        <v>0</v>
      </c>
    </row>
    <row r="18" spans="1:28" ht="16.5" thickBot="1" x14ac:dyDescent="0.3">
      <c r="A18" s="192" t="s">
        <v>405</v>
      </c>
      <c r="B18" s="191">
        <v>35000</v>
      </c>
      <c r="C18" s="195">
        <v>3100</v>
      </c>
      <c r="D18" s="164">
        <v>3000</v>
      </c>
      <c r="E18" s="164">
        <v>1100</v>
      </c>
      <c r="F18" s="164">
        <v>600</v>
      </c>
      <c r="G18" s="195">
        <v>5400</v>
      </c>
      <c r="H18" s="539">
        <v>13510</v>
      </c>
      <c r="I18" s="164">
        <v>0</v>
      </c>
      <c r="J18" s="164" t="s">
        <v>404</v>
      </c>
      <c r="M18" s="164">
        <v>0</v>
      </c>
      <c r="N18" s="539"/>
      <c r="O18" s="164">
        <v>0</v>
      </c>
      <c r="P18" s="190">
        <v>0</v>
      </c>
      <c r="U18" s="162">
        <f t="shared" si="0"/>
        <v>35</v>
      </c>
      <c r="V18" s="162" t="s">
        <v>298</v>
      </c>
      <c r="W18" s="177">
        <f>IF($R$26=U18,X18+($H$27*1000),0)</f>
        <v>0</v>
      </c>
      <c r="X18" s="162">
        <f>$H$18</f>
        <v>13510</v>
      </c>
      <c r="Z18" s="162" t="s">
        <v>360</v>
      </c>
      <c r="AA18" s="176">
        <f>IF(AND(U16&lt;$R$26,$R$26&lt;U18),ROUND((((X18-X16)/(U18-U16))*($R$26-U16))+X16,-1)+IF($R$26&lt;15,H$26,$H$27),0)</f>
        <v>0</v>
      </c>
      <c r="AB18" s="532"/>
    </row>
    <row r="19" spans="1:28" ht="16.5" thickBot="1" x14ac:dyDescent="0.3">
      <c r="A19" s="192" t="s">
        <v>403</v>
      </c>
      <c r="B19" s="191">
        <v>0</v>
      </c>
      <c r="C19" s="195">
        <v>0</v>
      </c>
      <c r="D19" s="164">
        <v>0</v>
      </c>
      <c r="E19" s="164">
        <v>0</v>
      </c>
      <c r="F19" s="164">
        <v>0</v>
      </c>
      <c r="G19" s="195">
        <v>0</v>
      </c>
      <c r="H19" s="539"/>
      <c r="I19" s="164">
        <v>0</v>
      </c>
      <c r="J19" s="164">
        <v>0</v>
      </c>
      <c r="M19" s="164">
        <v>0</v>
      </c>
      <c r="N19" s="539">
        <v>18950</v>
      </c>
      <c r="O19" s="164">
        <v>0</v>
      </c>
      <c r="P19" s="190" t="s">
        <v>402</v>
      </c>
      <c r="U19" s="162">
        <f t="shared" si="0"/>
        <v>0</v>
      </c>
      <c r="V19" s="162" t="s">
        <v>357</v>
      </c>
      <c r="W19" s="177">
        <f>IF($R$27=U18,Y19+($H$26*1000),0)</f>
        <v>0</v>
      </c>
      <c r="X19" s="162">
        <f>H19*1000</f>
        <v>0</v>
      </c>
      <c r="Y19" s="178">
        <f>$N$19</f>
        <v>18950</v>
      </c>
      <c r="AA19" s="176"/>
      <c r="AB19" s="532">
        <f>IF(AND(U16&lt;$R$27,$R$27&lt;U18),ROUND((((Y19-Y17)/(U18-U16))*($R$27-U16))+Y17,-1)+IF($R$27&lt;15,H$26,$H$27),0)</f>
        <v>0</v>
      </c>
    </row>
    <row r="20" spans="1:28" ht="16.5" thickBot="1" x14ac:dyDescent="0.3">
      <c r="A20" s="192" t="s">
        <v>401</v>
      </c>
      <c r="B20" s="191">
        <v>44000</v>
      </c>
      <c r="C20" s="195">
        <v>3240</v>
      </c>
      <c r="D20" s="164">
        <v>3600</v>
      </c>
      <c r="E20" s="164">
        <v>1200</v>
      </c>
      <c r="F20" s="164">
        <v>600</v>
      </c>
      <c r="G20" s="195">
        <v>6100</v>
      </c>
      <c r="H20" s="539">
        <v>14770</v>
      </c>
      <c r="I20" s="164">
        <v>0</v>
      </c>
      <c r="J20" s="164" t="s">
        <v>400</v>
      </c>
      <c r="M20" s="164">
        <v>0</v>
      </c>
      <c r="N20" s="539"/>
      <c r="O20" s="164">
        <v>0</v>
      </c>
      <c r="P20" s="190">
        <v>0</v>
      </c>
      <c r="U20" s="162">
        <f t="shared" si="0"/>
        <v>44</v>
      </c>
      <c r="V20" s="162" t="s">
        <v>298</v>
      </c>
      <c r="W20" s="177">
        <f>IF($R$26=U20,X20+($H$27*1000),0)</f>
        <v>0</v>
      </c>
      <c r="X20" s="162">
        <f>$H$20</f>
        <v>14770</v>
      </c>
      <c r="Z20" s="162" t="s">
        <v>359</v>
      </c>
      <c r="AA20" s="176">
        <f>IF(AND(U18&lt;$R$26,$R$26&lt;U20),ROUND((((X20-X18)/(U20-U18))*($R$26-U18))+X18,-1)+IF($R$26&lt;15,H$26,$H$27),0)</f>
        <v>0</v>
      </c>
      <c r="AB20" s="532"/>
    </row>
    <row r="21" spans="1:28" ht="16.5" thickBot="1" x14ac:dyDescent="0.3">
      <c r="A21" s="192" t="s">
        <v>399</v>
      </c>
      <c r="B21" s="191">
        <v>0</v>
      </c>
      <c r="C21" s="195">
        <v>0</v>
      </c>
      <c r="D21" s="164">
        <v>0</v>
      </c>
      <c r="E21" s="164">
        <v>0</v>
      </c>
      <c r="F21" s="164">
        <v>0</v>
      </c>
      <c r="G21" s="195">
        <v>0</v>
      </c>
      <c r="H21" s="539"/>
      <c r="I21" s="164">
        <v>0</v>
      </c>
      <c r="J21" s="164">
        <v>0</v>
      </c>
      <c r="M21" s="164">
        <v>0</v>
      </c>
      <c r="N21" s="539">
        <v>19670</v>
      </c>
      <c r="O21" s="164">
        <v>0</v>
      </c>
      <c r="P21" s="190" t="s">
        <v>398</v>
      </c>
      <c r="U21" s="162">
        <f t="shared" si="0"/>
        <v>0</v>
      </c>
      <c r="V21" s="162" t="s">
        <v>357</v>
      </c>
      <c r="W21" s="177">
        <f>IF($R$27=U20,Y21+($H$26*1000),0)</f>
        <v>0</v>
      </c>
      <c r="X21" s="162">
        <f>H21*1000</f>
        <v>0</v>
      </c>
      <c r="Y21" s="178">
        <f>$N$21</f>
        <v>19670</v>
      </c>
      <c r="AA21" s="176"/>
      <c r="AB21" s="532">
        <f>IF(AND(U18&lt;$R$27,$R$27&lt;U20),ROUND((((Y21-Y19)/(U20-U18))*($R$27-U18))+Y19,-1)+IF($R$27&lt;15,H$26,$H$27),0)</f>
        <v>0</v>
      </c>
    </row>
    <row r="22" spans="1:28" ht="16.5" thickBot="1" x14ac:dyDescent="0.3">
      <c r="A22" s="192" t="s">
        <v>397</v>
      </c>
      <c r="B22" s="191">
        <v>55000</v>
      </c>
      <c r="C22" s="195">
        <v>3640</v>
      </c>
      <c r="D22" s="164">
        <v>3200</v>
      </c>
      <c r="E22" s="164">
        <v>1350</v>
      </c>
      <c r="F22" s="164">
        <v>600</v>
      </c>
      <c r="G22" s="195">
        <v>5850</v>
      </c>
      <c r="H22" s="539">
        <v>17750</v>
      </c>
      <c r="I22" s="164">
        <v>0</v>
      </c>
      <c r="J22" s="164" t="s">
        <v>396</v>
      </c>
      <c r="M22" s="164">
        <v>0</v>
      </c>
      <c r="N22" s="539"/>
      <c r="O22" s="164">
        <v>0</v>
      </c>
      <c r="P22" s="190">
        <v>0</v>
      </c>
      <c r="U22" s="162">
        <f t="shared" si="0"/>
        <v>55</v>
      </c>
      <c r="V22" s="162" t="s">
        <v>298</v>
      </c>
      <c r="W22" s="177">
        <f>IF($R$26=U22,X22+($H$27*1000),0)</f>
        <v>0</v>
      </c>
      <c r="X22" s="162">
        <f>$H$22</f>
        <v>17750</v>
      </c>
      <c r="Z22" s="162" t="s">
        <v>358</v>
      </c>
      <c r="AA22" s="176">
        <f>IF(AND(U20&lt;$R$26,$R$26&lt;U22),ROUND((((X22-X20)/(U22-U20))*($R$26-U20))+X20,-1)+IF($R$26&lt;15,H$26,$H$27),0)</f>
        <v>0</v>
      </c>
      <c r="AB22" s="532"/>
    </row>
    <row r="23" spans="1:28" ht="16.5" thickBot="1" x14ac:dyDescent="0.3">
      <c r="A23" s="192" t="s">
        <v>395</v>
      </c>
      <c r="B23" s="164">
        <v>0</v>
      </c>
      <c r="C23" s="164">
        <v>0</v>
      </c>
      <c r="D23" s="164">
        <v>0</v>
      </c>
      <c r="E23" s="164">
        <v>0</v>
      </c>
      <c r="F23" s="164">
        <v>0</v>
      </c>
      <c r="G23" s="164">
        <v>0</v>
      </c>
      <c r="H23" s="164">
        <v>0</v>
      </c>
      <c r="I23" s="164">
        <v>0</v>
      </c>
      <c r="J23" s="164">
        <v>0</v>
      </c>
      <c r="M23" s="164">
        <v>0</v>
      </c>
      <c r="N23" s="539">
        <v>23010</v>
      </c>
      <c r="O23" s="164">
        <v>0</v>
      </c>
      <c r="P23" s="190" t="s">
        <v>394</v>
      </c>
      <c r="V23" s="162" t="s">
        <v>357</v>
      </c>
      <c r="W23" s="177">
        <f>IF($R$27=U22,Y23+($H$26*1000),0)</f>
        <v>0</v>
      </c>
      <c r="Y23" s="178">
        <f>$N$23</f>
        <v>23010</v>
      </c>
      <c r="AA23" s="176"/>
      <c r="AB23" s="532">
        <f>IF(AND(U20&lt;$R$27,$R$27&lt;U22),ROUND((((Y23-Y21)/(U22-U20))*($R$27-U20))+Y21,-1)+IF($R$27&lt;15,H$26,$H$27),0)</f>
        <v>0</v>
      </c>
    </row>
    <row r="24" spans="1:28" ht="16.5" thickBot="1" x14ac:dyDescent="0.3">
      <c r="A24" s="192"/>
      <c r="B24" s="164">
        <v>0</v>
      </c>
      <c r="C24" s="164">
        <v>0</v>
      </c>
      <c r="D24" s="164">
        <v>0</v>
      </c>
      <c r="E24" s="164">
        <v>0</v>
      </c>
      <c r="F24" s="164">
        <v>0</v>
      </c>
      <c r="G24" s="164">
        <v>0</v>
      </c>
      <c r="H24" s="164">
        <v>0</v>
      </c>
      <c r="I24" s="164">
        <v>0</v>
      </c>
      <c r="J24" s="164">
        <v>0</v>
      </c>
      <c r="M24" s="164">
        <v>0</v>
      </c>
      <c r="N24" s="193"/>
      <c r="O24" s="164">
        <v>0</v>
      </c>
      <c r="P24" s="190">
        <v>0</v>
      </c>
      <c r="R24" s="162" t="s">
        <v>393</v>
      </c>
      <c r="W24" s="177"/>
      <c r="Z24" s="162" t="s">
        <v>356</v>
      </c>
      <c r="AA24" s="176">
        <f>IF(R26&gt;U22,(X22+(ROUND((R26-U22)*AA1,-1)+($H$27))),0)</f>
        <v>0</v>
      </c>
      <c r="AB24" s="532">
        <f>IF(R27&gt;U22,(Y23+(ROUND((R27-U22)*AA1,-1)+($H$27))),0)</f>
        <v>0</v>
      </c>
    </row>
    <row r="25" spans="1:28" ht="15.75" thickBot="1" x14ac:dyDescent="0.25">
      <c r="A25" s="192" t="s">
        <v>392</v>
      </c>
      <c r="B25" s="164">
        <v>0</v>
      </c>
      <c r="C25" s="164">
        <v>0</v>
      </c>
      <c r="D25" s="164" t="s">
        <v>391</v>
      </c>
      <c r="E25" s="164">
        <v>0</v>
      </c>
      <c r="F25" s="164">
        <v>0</v>
      </c>
      <c r="G25" s="164">
        <v>0</v>
      </c>
      <c r="H25" s="164" t="s">
        <v>390</v>
      </c>
      <c r="I25" s="164">
        <v>0</v>
      </c>
      <c r="J25" s="164">
        <v>0</v>
      </c>
      <c r="M25" s="164">
        <v>0</v>
      </c>
      <c r="O25" s="164">
        <v>0</v>
      </c>
      <c r="P25" s="190">
        <v>0</v>
      </c>
      <c r="Q25" s="162" t="s">
        <v>389</v>
      </c>
      <c r="R25" s="162" t="s">
        <v>388</v>
      </c>
      <c r="S25" s="162" t="s">
        <v>70</v>
      </c>
      <c r="T25" s="162" t="s">
        <v>387</v>
      </c>
    </row>
    <row r="26" spans="1:28" ht="16.5" customHeight="1" thickBot="1" x14ac:dyDescent="0.3">
      <c r="A26" s="192" t="s">
        <v>385</v>
      </c>
      <c r="B26" s="164">
        <v>0</v>
      </c>
      <c r="C26" s="164" t="s">
        <v>386</v>
      </c>
      <c r="D26" s="164">
        <v>0</v>
      </c>
      <c r="E26" s="164">
        <v>0</v>
      </c>
      <c r="F26" s="164">
        <v>0</v>
      </c>
      <c r="G26" s="164">
        <v>0</v>
      </c>
      <c r="H26" s="191">
        <v>320</v>
      </c>
      <c r="I26" s="164">
        <v>0</v>
      </c>
      <c r="J26" s="164">
        <v>0</v>
      </c>
      <c r="M26" s="164">
        <v>0</v>
      </c>
      <c r="N26" s="164">
        <v>0</v>
      </c>
      <c r="O26" s="164">
        <v>0</v>
      </c>
      <c r="P26" s="190">
        <v>0</v>
      </c>
      <c r="Q26" s="162" t="s">
        <v>376</v>
      </c>
      <c r="R26" s="181">
        <f>'STXVOLUME (2)'!H58</f>
        <v>0</v>
      </c>
      <c r="S26" s="180">
        <f>SUM(AA6:AA24)+SUM(W6:W24)</f>
        <v>0</v>
      </c>
    </row>
    <row r="27" spans="1:28" ht="16.5" thickBot="1" x14ac:dyDescent="0.3">
      <c r="A27" s="189" t="s">
        <v>385</v>
      </c>
      <c r="B27" s="187">
        <v>0</v>
      </c>
      <c r="C27" s="187" t="s">
        <v>384</v>
      </c>
      <c r="D27" s="187">
        <v>0</v>
      </c>
      <c r="E27" s="187">
        <v>0</v>
      </c>
      <c r="F27" s="187">
        <v>0</v>
      </c>
      <c r="G27" s="187">
        <v>0</v>
      </c>
      <c r="H27" s="188">
        <v>460</v>
      </c>
      <c r="I27" s="187">
        <v>0</v>
      </c>
      <c r="J27" s="187"/>
      <c r="K27" s="187"/>
      <c r="L27" s="187"/>
      <c r="M27" s="187">
        <v>0</v>
      </c>
      <c r="N27" s="187">
        <v>0</v>
      </c>
      <c r="O27" s="187">
        <v>0</v>
      </c>
      <c r="P27" s="186">
        <v>0</v>
      </c>
      <c r="Q27" s="162" t="s">
        <v>375</v>
      </c>
      <c r="R27" s="181">
        <f>'STXVOLUME (2)'!H58</f>
        <v>0</v>
      </c>
      <c r="S27" s="184">
        <f>SUM(AB6:AB24)+SUM(W6:W24)</f>
        <v>0</v>
      </c>
      <c r="AA27" s="163" t="s">
        <v>297</v>
      </c>
      <c r="AB27" s="531" t="s">
        <v>299</v>
      </c>
    </row>
    <row r="28" spans="1:28" ht="15.75" thickBot="1" x14ac:dyDescent="0.25">
      <c r="U28" s="162">
        <f>B6/1000</f>
        <v>5.7</v>
      </c>
      <c r="V28" s="162" t="s">
        <v>298</v>
      </c>
      <c r="W28" s="179">
        <f>IF($R$29=U28,X28+($H$26*1000),0)</f>
        <v>0</v>
      </c>
      <c r="X28" s="162">
        <f>$H$6</f>
        <v>5230</v>
      </c>
      <c r="Z28" s="162" t="s">
        <v>372</v>
      </c>
      <c r="AA28" s="176">
        <f>IF($R$29=0,0,IF($R$29&lt;U28,ROUND(X28-((5-$R$29)*80),-1+205),0))</f>
        <v>0</v>
      </c>
      <c r="AB28" s="532"/>
    </row>
    <row r="29" spans="1:28" ht="15.75" thickBot="1" x14ac:dyDescent="0.25">
      <c r="A29" s="165"/>
      <c r="B29" s="165" t="s">
        <v>339</v>
      </c>
      <c r="C29" s="165" t="s">
        <v>338</v>
      </c>
      <c r="D29" s="165" t="s">
        <v>351</v>
      </c>
      <c r="E29" s="165" t="s">
        <v>350</v>
      </c>
      <c r="F29" s="165" t="s">
        <v>349</v>
      </c>
      <c r="G29" s="165" t="s">
        <v>383</v>
      </c>
      <c r="H29" s="165" t="s">
        <v>382</v>
      </c>
      <c r="I29" s="165"/>
      <c r="J29" s="165" t="s">
        <v>381</v>
      </c>
      <c r="Q29" s="162" t="s">
        <v>376</v>
      </c>
      <c r="R29" s="181">
        <f>'STXVOLUME (2)'!I58</f>
        <v>0</v>
      </c>
      <c r="S29" s="180">
        <f>SUM(AA28:AA46)+SUM(W28:W46)</f>
        <v>0</v>
      </c>
      <c r="V29" s="162" t="s">
        <v>357</v>
      </c>
      <c r="W29" s="177">
        <f>IF($R$29=U28,Y29+($H$26*1000),0)</f>
        <v>0</v>
      </c>
      <c r="X29" s="178" t="str">
        <f>N5</f>
        <v>€</v>
      </c>
      <c r="Y29" s="178">
        <f>$N$7</f>
        <v>7540</v>
      </c>
      <c r="AA29" s="176"/>
      <c r="AB29" s="532">
        <f>IF($R$27=0,0,IF($R$27&lt;U28,ROUND(N29-((5-$R$27)*80),-1+205),0))</f>
        <v>0</v>
      </c>
    </row>
    <row r="30" spans="1:28" ht="15.75" thickBot="1" x14ac:dyDescent="0.25">
      <c r="A30" s="165" t="s">
        <v>380</v>
      </c>
      <c r="B30" s="165">
        <v>150</v>
      </c>
      <c r="C30" s="165">
        <v>400</v>
      </c>
      <c r="D30" s="165">
        <v>2</v>
      </c>
      <c r="E30" s="165">
        <v>120</v>
      </c>
      <c r="F30" s="165">
        <f>C30/E30</f>
        <v>3.3333333333333335</v>
      </c>
      <c r="G30" s="165">
        <v>80</v>
      </c>
      <c r="H30" s="165">
        <v>90</v>
      </c>
      <c r="I30" s="165"/>
      <c r="J30" s="165">
        <v>40</v>
      </c>
      <c r="L30" s="162" t="s">
        <v>918</v>
      </c>
      <c r="Q30" s="162" t="s">
        <v>375</v>
      </c>
      <c r="R30" s="181">
        <f>'STXVOLUME (2)'!I58</f>
        <v>0</v>
      </c>
      <c r="S30" s="180">
        <f>SUM(AB28:AB46)+SUM(W28:W46)</f>
        <v>0</v>
      </c>
      <c r="U30" s="162">
        <f>B8/1000</f>
        <v>8.8000000000000007</v>
      </c>
      <c r="V30" s="162" t="s">
        <v>298</v>
      </c>
      <c r="W30" s="179">
        <f>IF($R$29=U30,X30+($H$26*1000),0)</f>
        <v>0</v>
      </c>
      <c r="X30" s="162">
        <f>$H$8</f>
        <v>7140</v>
      </c>
      <c r="Z30" s="162" t="s">
        <v>371</v>
      </c>
      <c r="AA30" s="176">
        <f>IF(AND(U28&lt;$R$29,$R$29&lt;U30),ROUND((((X30-X28)/(U30-U28))*($R$29-U28))+X28,-1)+IF($R$29&lt;15,H$26,$H$27),0)</f>
        <v>0</v>
      </c>
      <c r="AB30" s="532"/>
    </row>
    <row r="31" spans="1:28" ht="16.5" thickBot="1" x14ac:dyDescent="0.3">
      <c r="A31" s="185"/>
      <c r="B31" s="165"/>
      <c r="C31" s="165"/>
      <c r="D31" s="509"/>
      <c r="E31" s="509"/>
      <c r="F31" s="165"/>
      <c r="G31" s="165" t="s">
        <v>379</v>
      </c>
      <c r="H31" s="165" t="s">
        <v>378</v>
      </c>
      <c r="I31" s="165"/>
      <c r="J31" s="165"/>
      <c r="L31" s="191" t="s">
        <v>916</v>
      </c>
      <c r="M31" s="191" t="s">
        <v>917</v>
      </c>
      <c r="V31" s="162" t="s">
        <v>357</v>
      </c>
      <c r="W31" s="177">
        <f>IF($R$29=U30,Y31+($H$26*1000),0)</f>
        <v>0</v>
      </c>
      <c r="X31" s="178">
        <f>N7</f>
        <v>7540</v>
      </c>
      <c r="Y31" s="178">
        <f>$N$9</f>
        <v>8630</v>
      </c>
      <c r="AA31" s="176"/>
      <c r="AB31" s="532">
        <f>IF(AND(U28&lt;$R$30,$R$30&lt;U30),ROUND((((Y31-Y29)/(U30-U28))*($R$30-U28))+Y29,-1)+IF($R$30&lt;15,H$26,$H$27),0)</f>
        <v>0</v>
      </c>
    </row>
    <row r="32" spans="1:28" ht="15.75" thickBot="1" x14ac:dyDescent="0.25">
      <c r="A32" s="581" t="s">
        <v>377</v>
      </c>
      <c r="B32" s="511"/>
      <c r="C32" s="511"/>
      <c r="D32" s="510"/>
      <c r="E32" s="510"/>
      <c r="F32" s="165">
        <v>5.7</v>
      </c>
      <c r="G32" s="183">
        <v>1253.1612737790001</v>
      </c>
      <c r="H32" s="183">
        <v>1615.6000000000001</v>
      </c>
      <c r="I32" s="165"/>
      <c r="J32" s="165"/>
      <c r="L32" s="538">
        <v>167.23296027900005</v>
      </c>
      <c r="M32" s="538">
        <v>215.60000000000008</v>
      </c>
      <c r="Q32" s="162" t="s">
        <v>376</v>
      </c>
      <c r="R32" s="181">
        <f>(R29+R26)/2</f>
        <v>0</v>
      </c>
      <c r="S32" s="180">
        <f>SUM(AA49:AA68)+SUM(W49:W68)</f>
        <v>0</v>
      </c>
      <c r="U32" s="162">
        <f>B10/1000</f>
        <v>12.8</v>
      </c>
      <c r="V32" s="162" t="s">
        <v>298</v>
      </c>
      <c r="W32" s="179">
        <f>IF($R$29=U32,X32+($H$26*1000),0)</f>
        <v>0</v>
      </c>
      <c r="X32" s="162">
        <f>$H$10</f>
        <v>8640</v>
      </c>
      <c r="Z32" s="162" t="s">
        <v>370</v>
      </c>
      <c r="AA32" s="176">
        <f>IF(AND(U30&lt;$R$29,$R$29&lt;U32),ROUND((((X32-X30)/(U32-U30))*($R$29-U30))+X30,-1)+IF($R$29&lt;15,H$26,$H$27),0)</f>
        <v>0</v>
      </c>
      <c r="AB32" s="532"/>
    </row>
    <row r="33" spans="1:28" ht="15.75" thickBot="1" x14ac:dyDescent="0.25">
      <c r="A33" s="584"/>
      <c r="B33" s="511"/>
      <c r="C33" s="511"/>
      <c r="D33" s="510"/>
      <c r="E33" s="510"/>
      <c r="F33" s="165">
        <v>8.8000000000000007</v>
      </c>
      <c r="G33" s="183">
        <v>1615.6000000000001</v>
      </c>
      <c r="H33" s="183">
        <v>1688.5245149146999</v>
      </c>
      <c r="I33" s="165"/>
      <c r="J33" s="165"/>
      <c r="L33" s="538">
        <v>215.60000000000008</v>
      </c>
      <c r="M33" s="538">
        <v>225.33169436469996</v>
      </c>
      <c r="Q33" s="162" t="s">
        <v>375</v>
      </c>
      <c r="R33" s="181">
        <f>R32</f>
        <v>0</v>
      </c>
      <c r="S33" s="180">
        <f>SUM(AB49:AB68)+SUM(W49:W68)</f>
        <v>0</v>
      </c>
      <c r="V33" s="162" t="s">
        <v>357</v>
      </c>
      <c r="W33" s="177">
        <f>IF($R$29=U32,Y33+($H$26*1000),0)</f>
        <v>0</v>
      </c>
      <c r="X33" s="178">
        <f>N9</f>
        <v>8630</v>
      </c>
      <c r="Y33" s="178">
        <f>$N$11</f>
        <v>9870</v>
      </c>
      <c r="AA33" s="176"/>
      <c r="AB33" s="532">
        <f>IF(AND(U30&lt;$R$30,$R$30&lt;U32),ROUND((((Y33-Y31)/(U32-U30))*($R$30-U30))+Y31,-1)+IF($R$30&lt;15,H$26,$H$27),0)</f>
        <v>0</v>
      </c>
    </row>
    <row r="34" spans="1:28" ht="15.75" thickBot="1" x14ac:dyDescent="0.25">
      <c r="A34" s="584"/>
      <c r="B34" s="511"/>
      <c r="C34" s="511"/>
      <c r="D34" s="510"/>
      <c r="E34" s="510"/>
      <c r="F34" s="165">
        <v>12.8</v>
      </c>
      <c r="G34" s="183">
        <v>2181.06</v>
      </c>
      <c r="H34" s="183">
        <v>2200.2487703346997</v>
      </c>
      <c r="I34" s="165"/>
      <c r="J34" s="165"/>
      <c r="L34" s="538">
        <v>291.06000000000006</v>
      </c>
      <c r="M34" s="538">
        <v>293.62071978469999</v>
      </c>
      <c r="T34" s="162">
        <f>S53</f>
        <v>0</v>
      </c>
      <c r="U34" s="162">
        <f>B12/1000</f>
        <v>16.5</v>
      </c>
      <c r="V34" s="162" t="s">
        <v>298</v>
      </c>
      <c r="W34" s="179">
        <f>IF($R$29=U34,X34+($H$26*1000),0)</f>
        <v>0</v>
      </c>
      <c r="X34" s="162">
        <f>$H$12</f>
        <v>9570</v>
      </c>
      <c r="Z34" s="162" t="s">
        <v>368</v>
      </c>
      <c r="AA34" s="176">
        <f>IF(AND(U32&lt;$R$29,$R$29&lt;U34),ROUND((((X34-X32)/(U34-U32))*($R$29-U32))+X32,-1)+IF($R$29&lt;15,H$26,$H$27),0)</f>
        <v>0</v>
      </c>
      <c r="AB34" s="532"/>
    </row>
    <row r="35" spans="1:28" ht="15.75" thickBot="1" x14ac:dyDescent="0.25">
      <c r="A35" s="584"/>
      <c r="B35" s="511"/>
      <c r="C35" s="511"/>
      <c r="D35" s="510"/>
      <c r="E35" s="510"/>
      <c r="F35" s="165">
        <v>16.5</v>
      </c>
      <c r="G35" s="183">
        <v>2186.252046219</v>
      </c>
      <c r="H35" s="183">
        <v>2215.6800000000003</v>
      </c>
      <c r="I35" s="165"/>
      <c r="J35" s="165"/>
      <c r="L35" s="538">
        <v>291.75287271900004</v>
      </c>
      <c r="M35" s="538">
        <v>295.68000000000006</v>
      </c>
      <c r="N35" s="578" t="s">
        <v>374</v>
      </c>
      <c r="Q35" s="162" t="str">
        <f t="shared" ref="Q35:R42" si="1">Q26</f>
        <v>Farina</v>
      </c>
      <c r="R35" s="181">
        <f t="shared" si="1"/>
        <v>0</v>
      </c>
      <c r="S35" s="180">
        <f>S26+$T$34</f>
        <v>0</v>
      </c>
      <c r="V35" s="162" t="s">
        <v>357</v>
      </c>
      <c r="W35" s="177">
        <f>IF($R$29=U34,Y35+($H$26*1000),0)</f>
        <v>0</v>
      </c>
      <c r="X35" s="178">
        <f>N11</f>
        <v>9870</v>
      </c>
      <c r="Y35" s="178">
        <f>$N$13</f>
        <v>10510</v>
      </c>
      <c r="AA35" s="176"/>
      <c r="AB35" s="532">
        <f>IF(AND(U32&lt;$R$30,$R$30&lt;U34),ROUND((((Y35-Y33)/(U34-U32))*($R$30-U32))+Y33,-1)+IF($R$30&lt;15,H$26,$H$27),0)</f>
        <v>0</v>
      </c>
    </row>
    <row r="36" spans="1:28" ht="15.75" thickBot="1" x14ac:dyDescent="0.25">
      <c r="A36" s="584"/>
      <c r="B36" s="511"/>
      <c r="C36" s="511"/>
      <c r="D36" s="510"/>
      <c r="E36" s="510"/>
      <c r="F36" s="165">
        <v>22</v>
      </c>
      <c r="G36" s="183">
        <v>2263.5249478989999</v>
      </c>
      <c r="H36" s="183">
        <v>2423.776536929</v>
      </c>
      <c r="I36" s="165"/>
      <c r="J36" s="165"/>
      <c r="L36" s="538">
        <v>302.06485439899996</v>
      </c>
      <c r="M36" s="538">
        <v>323.45024842900011</v>
      </c>
      <c r="N36" s="579"/>
      <c r="Q36" s="162" t="str">
        <f t="shared" si="1"/>
        <v>Zucchero</v>
      </c>
      <c r="R36" s="181">
        <f t="shared" si="1"/>
        <v>0</v>
      </c>
      <c r="S36" s="184">
        <f>S27+$T$34</f>
        <v>0</v>
      </c>
      <c r="U36" s="162">
        <f>B14/1000</f>
        <v>22</v>
      </c>
      <c r="V36" s="162" t="s">
        <v>298</v>
      </c>
      <c r="W36" s="179">
        <f>IF($R$29=U36,X36+($H$26*1000),0)</f>
        <v>0</v>
      </c>
      <c r="X36" s="162">
        <f>$H$14</f>
        <v>11740</v>
      </c>
      <c r="Z36" s="162" t="s">
        <v>365</v>
      </c>
      <c r="AA36" s="176">
        <f>IF(AND(U34&lt;$R$29,$R$29&lt;U36),ROUND((((X36-X34)/(U36-U34))*($R$29-U34))+X34,-1)+IF($R$29&lt;15,H$26,$H$27),0)</f>
        <v>0</v>
      </c>
      <c r="AB36" s="532"/>
    </row>
    <row r="37" spans="1:28" ht="15.75" thickBot="1" x14ac:dyDescent="0.25">
      <c r="A37" s="584"/>
      <c r="B37" s="511"/>
      <c r="C37" s="511"/>
      <c r="D37" s="510"/>
      <c r="E37" s="510"/>
      <c r="F37" s="165">
        <v>29</v>
      </c>
      <c r="G37" s="183">
        <v>2629.5617809189998</v>
      </c>
      <c r="H37" s="183">
        <v>3111.2691336958001</v>
      </c>
      <c r="I37" s="165"/>
      <c r="J37" s="165"/>
      <c r="L37" s="538">
        <v>350.91205741900001</v>
      </c>
      <c r="M37" s="538">
        <v>415.1953609958</v>
      </c>
      <c r="N37" s="579"/>
      <c r="Q37" s="162">
        <f t="shared" si="1"/>
        <v>0</v>
      </c>
      <c r="R37" s="162">
        <f t="shared" si="1"/>
        <v>0</v>
      </c>
      <c r="V37" s="162" t="s">
        <v>357</v>
      </c>
      <c r="W37" s="177">
        <f>IF($R$29=U36,Y37+($H$26*1000),0)</f>
        <v>0</v>
      </c>
      <c r="X37" s="178">
        <f>N13</f>
        <v>10510</v>
      </c>
      <c r="Y37" s="178">
        <f>$N$15</f>
        <v>16190</v>
      </c>
      <c r="AA37" s="176"/>
      <c r="AB37" s="532">
        <f>IF(AND(U34&lt;$R$30,$R$30&lt;U36),ROUND((((Y37-Y35)/(U36-U34))*($R$30-U34))+Y35,-1)+IF($R$30&lt;15,H$26,$H$27),0)</f>
        <v>0</v>
      </c>
    </row>
    <row r="38" spans="1:28" ht="15.75" thickBot="1" x14ac:dyDescent="0.25">
      <c r="A38" s="584"/>
      <c r="B38" s="511"/>
      <c r="C38" s="511"/>
      <c r="D38" s="510"/>
      <c r="E38" s="510"/>
      <c r="F38" s="165">
        <v>35</v>
      </c>
      <c r="G38" s="183">
        <v>3201.9021488362496</v>
      </c>
      <c r="H38" s="183">
        <v>3563.7536920072498</v>
      </c>
      <c r="I38" s="165"/>
      <c r="J38" s="165"/>
      <c r="L38" s="538">
        <v>516.86890033624991</v>
      </c>
      <c r="M38" s="538">
        <v>575.28099430725001</v>
      </c>
      <c r="N38" s="579"/>
      <c r="Q38" s="162" t="str">
        <f t="shared" si="1"/>
        <v>Farina</v>
      </c>
      <c r="R38" s="181">
        <f t="shared" si="1"/>
        <v>0</v>
      </c>
      <c r="S38" s="180">
        <f>S29+$T$34</f>
        <v>0</v>
      </c>
      <c r="U38" s="162">
        <f>B16/1000</f>
        <v>29</v>
      </c>
      <c r="V38" s="162" t="s">
        <v>298</v>
      </c>
      <c r="W38" s="179">
        <f>IF($R$29=U38,X38+($H$26*1000),0)</f>
        <v>0</v>
      </c>
      <c r="X38" s="162">
        <f>$H$16</f>
        <v>12410</v>
      </c>
      <c r="Z38" s="162" t="s">
        <v>361</v>
      </c>
      <c r="AA38" s="176">
        <f>IF(AND(U36&lt;$R$29,$R$29&lt;U38),ROUND((((X38-X36)/(U38-U36))*($R$29-U36))+X36,-1)+IF($R$29&lt;15,H$26,$H$27),0)</f>
        <v>0</v>
      </c>
      <c r="AB38" s="532"/>
    </row>
    <row r="39" spans="1:28" ht="15.75" thickBot="1" x14ac:dyDescent="0.25">
      <c r="A39" s="584"/>
      <c r="B39" s="511"/>
      <c r="C39" s="511"/>
      <c r="D39" s="510"/>
      <c r="E39" s="510"/>
      <c r="F39" s="165">
        <v>44</v>
      </c>
      <c r="G39" s="183">
        <v>3341.8816363608748</v>
      </c>
      <c r="H39" s="183">
        <v>3692.8724915058747</v>
      </c>
      <c r="I39" s="165"/>
      <c r="J39" s="165"/>
      <c r="L39" s="538">
        <v>539.46516981087507</v>
      </c>
      <c r="M39" s="538">
        <v>596.12407095587491</v>
      </c>
      <c r="N39" s="579"/>
      <c r="Q39" s="162" t="str">
        <f t="shared" si="1"/>
        <v>Zucchero</v>
      </c>
      <c r="R39" s="181">
        <f t="shared" si="1"/>
        <v>0</v>
      </c>
      <c r="S39" s="180">
        <f>S30+$T$34</f>
        <v>0</v>
      </c>
      <c r="V39" s="162" t="s">
        <v>357</v>
      </c>
      <c r="W39" s="177">
        <f>IF($R$29=U38,Y39+($H$26*1000),0)</f>
        <v>0</v>
      </c>
      <c r="X39" s="178">
        <f>N15</f>
        <v>16190</v>
      </c>
      <c r="Y39" s="178">
        <f>$N$17</f>
        <v>17710</v>
      </c>
      <c r="AA39" s="176"/>
      <c r="AB39" s="532">
        <f>IF(AND(U36&lt;$R$30,$R$30&lt;U38),ROUND((((Y39-Y37)/(U38-U36))*($R$30-U36))+Y37,-1)+IF($R$30&lt;15,H$26,$H$27),0)</f>
        <v>0</v>
      </c>
    </row>
    <row r="40" spans="1:28" ht="15.75" thickBot="1" x14ac:dyDescent="0.25">
      <c r="A40" s="584"/>
      <c r="B40" s="511"/>
      <c r="C40" s="511"/>
      <c r="D40" s="510"/>
      <c r="E40" s="510"/>
      <c r="F40" s="165">
        <v>55</v>
      </c>
      <c r="G40" s="183">
        <v>4543.1196347362493</v>
      </c>
      <c r="H40" s="183">
        <v>4579.05472070625</v>
      </c>
      <c r="I40" s="165"/>
      <c r="J40" s="165"/>
      <c r="L40" s="538">
        <v>733.3757062362497</v>
      </c>
      <c r="M40" s="538">
        <v>739.17654820625012</v>
      </c>
      <c r="N40" s="579"/>
      <c r="Q40" s="162">
        <f t="shared" si="1"/>
        <v>0</v>
      </c>
      <c r="R40" s="162">
        <f t="shared" si="1"/>
        <v>0</v>
      </c>
      <c r="U40" s="162">
        <f>B18/1000</f>
        <v>35</v>
      </c>
      <c r="V40" s="162" t="s">
        <v>298</v>
      </c>
      <c r="W40" s="179">
        <f>IF($R$29=U40,X40+($H$26*1000),0)</f>
        <v>0</v>
      </c>
      <c r="X40" s="162">
        <f>$H$18</f>
        <v>13510</v>
      </c>
      <c r="Z40" s="162" t="s">
        <v>360</v>
      </c>
      <c r="AA40" s="176">
        <f>IF(AND(U38&lt;$R$29,$R$29&lt;U40),ROUND((((X40-X38)/(U40-U38))*($R$29-U38))+X38,-1)+IF($R$29&lt;15,H$26,$H$27),0)</f>
        <v>0</v>
      </c>
      <c r="AB40" s="532"/>
    </row>
    <row r="41" spans="1:28" ht="15.75" thickBot="1" x14ac:dyDescent="0.25">
      <c r="A41" s="584"/>
      <c r="B41" s="165"/>
      <c r="C41" s="165"/>
      <c r="D41" s="165"/>
      <c r="E41" s="165"/>
      <c r="F41" s="165"/>
      <c r="G41" s="165"/>
      <c r="H41" s="165"/>
      <c r="I41" s="165"/>
      <c r="J41" s="165"/>
      <c r="N41" s="579"/>
      <c r="Q41" s="162" t="str">
        <f t="shared" si="1"/>
        <v>Farina</v>
      </c>
      <c r="R41" s="181">
        <f t="shared" si="1"/>
        <v>0</v>
      </c>
      <c r="S41" s="180">
        <f>S32+$T$34</f>
        <v>0</v>
      </c>
      <c r="V41" s="162" t="s">
        <v>357</v>
      </c>
      <c r="W41" s="177">
        <f>IF($R$29=U40,Y41+($H$26*1000),0)</f>
        <v>0</v>
      </c>
      <c r="X41" s="178">
        <f>N17</f>
        <v>17710</v>
      </c>
      <c r="Y41" s="178">
        <f>$N$19</f>
        <v>18950</v>
      </c>
      <c r="AA41" s="176"/>
      <c r="AB41" s="532">
        <f>IF(AND(U38&lt;$R$30,$R$30&lt;U40),ROUND((((Y41-Y39)/(U40-U38))*($R$30-U38))+Y39,-1)+IF($R$30&lt;15,H$26,$H$27),0)</f>
        <v>0</v>
      </c>
    </row>
    <row r="42" spans="1:28" ht="16.5" thickBot="1" x14ac:dyDescent="0.3">
      <c r="A42" s="584"/>
      <c r="B42" s="165" t="s">
        <v>373</v>
      </c>
      <c r="C42" s="165"/>
      <c r="D42" s="165"/>
      <c r="E42" s="168"/>
      <c r="F42" s="165"/>
      <c r="G42" s="168"/>
      <c r="H42" s="182"/>
      <c r="I42" s="165"/>
      <c r="J42" s="165"/>
      <c r="N42" s="580"/>
      <c r="Q42" s="162" t="str">
        <f t="shared" si="1"/>
        <v>Zucchero</v>
      </c>
      <c r="R42" s="181">
        <f t="shared" si="1"/>
        <v>0</v>
      </c>
      <c r="S42" s="180">
        <f>S33+$T$34</f>
        <v>0</v>
      </c>
      <c r="U42" s="162">
        <f>B20/1000</f>
        <v>44</v>
      </c>
      <c r="V42" s="162" t="s">
        <v>298</v>
      </c>
      <c r="W42" s="179">
        <f>IF($R$29=U42,X42+($H$26*1000),0)</f>
        <v>0</v>
      </c>
      <c r="X42" s="162">
        <f>$H$20</f>
        <v>14770</v>
      </c>
      <c r="Z42" s="162" t="s">
        <v>359</v>
      </c>
      <c r="AA42" s="176">
        <f>IF(AND(U40&lt;$R$29,$R$29&lt;U42),ROUND((((X42-X40)/(U42-U40))*($R$29-U40))+X40,-1)+IF($R$29&lt;15,H$26,$H$27),0)</f>
        <v>0</v>
      </c>
      <c r="AB42" s="532"/>
    </row>
    <row r="43" spans="1:28" ht="16.5" thickBot="1" x14ac:dyDescent="0.3">
      <c r="A43" s="584"/>
      <c r="B43" s="165"/>
      <c r="C43" s="165"/>
      <c r="D43" s="165"/>
      <c r="E43" s="168"/>
      <c r="F43" s="165"/>
      <c r="G43" s="168"/>
      <c r="H43" s="165"/>
      <c r="I43" s="165"/>
      <c r="J43" s="165"/>
      <c r="V43" s="162" t="s">
        <v>357</v>
      </c>
      <c r="W43" s="177">
        <f>IF($R$29=U42,Y43+($H$26*1000),0)</f>
        <v>0</v>
      </c>
      <c r="X43" s="178">
        <f>N19</f>
        <v>18950</v>
      </c>
      <c r="Y43" s="178">
        <f>$N$21</f>
        <v>19670</v>
      </c>
      <c r="AA43" s="176"/>
      <c r="AB43" s="532">
        <f>IF(AND(U40&lt;$R$30,$R$30&lt;U42),ROUND((((Y43-Y41)/(U42-U40))*($R$30-U40))+Y41,-1)+IF($R$30&lt;15,H$26,$H$27),0)</f>
        <v>0</v>
      </c>
    </row>
    <row r="44" spans="1:28" ht="16.5" thickBot="1" x14ac:dyDescent="0.3">
      <c r="A44" s="584"/>
      <c r="B44" s="165">
        <f t="shared" ref="B44:B52" si="2">C44</f>
        <v>5.7</v>
      </c>
      <c r="C44" s="165">
        <f t="shared" ref="C44:C52" si="3">F32</f>
        <v>5.7</v>
      </c>
      <c r="D44" s="165">
        <f t="shared" ref="D44:D51" si="4">C45</f>
        <v>8.8000000000000007</v>
      </c>
      <c r="E44" s="170">
        <f>'STXVOLUME (2)'!L1</f>
        <v>0</v>
      </c>
      <c r="F44" s="165">
        <f>IF(E44&lt;=MIN(volumi),MIN(volumi),IF(E44&gt;=MAX(volumi),MAX(volumi),VLOOKUP(E44,volumint,2,1)))</f>
        <v>5.7</v>
      </c>
      <c r="G44" s="168">
        <f>IF($E44&gt;=MAX(volumi),MAX(G32:G40),IF($E44&lt;=MIN(volumi),MIN(G32:G40),VLOOKUP($E44,SACCONI,2,1)))</f>
        <v>1253.1612737790001</v>
      </c>
      <c r="H44" s="168">
        <f>IF($E44&gt;=MAX($F32:$F40),MAX(H32:H41),IF($E44&lt;=MIN($F32:$F40),MIN(H32:H40),VLOOKUP($E44,SACCONI,3,1)))</f>
        <v>1615.6000000000001</v>
      </c>
      <c r="I44" s="165"/>
      <c r="J44" s="165"/>
      <c r="U44" s="162">
        <f>B22/1000</f>
        <v>55</v>
      </c>
      <c r="V44" s="162" t="s">
        <v>298</v>
      </c>
      <c r="W44" s="179">
        <f>IF($R$29=U44,X44+($H$26*1000),0)</f>
        <v>0</v>
      </c>
      <c r="X44" s="162">
        <f>$H$22</f>
        <v>17750</v>
      </c>
      <c r="Z44" s="162" t="s">
        <v>358</v>
      </c>
      <c r="AA44" s="176">
        <f>IF(AND(U42&lt;$R$29,$R$29&lt;U44),ROUND((((X44-X42)/(U44-U42))*($R$29-U42))+X42,-1)+IF($R$29&lt;15,H$26,$H$27),0)</f>
        <v>0</v>
      </c>
      <c r="AB44" s="532"/>
    </row>
    <row r="45" spans="1:28" ht="16.5" thickBot="1" x14ac:dyDescent="0.3">
      <c r="A45" s="584"/>
      <c r="B45" s="165">
        <f t="shared" si="2"/>
        <v>8.8000000000000007</v>
      </c>
      <c r="C45" s="165">
        <f t="shared" si="3"/>
        <v>8.8000000000000007</v>
      </c>
      <c r="D45" s="165">
        <f t="shared" si="4"/>
        <v>12.8</v>
      </c>
      <c r="E45" s="165"/>
      <c r="F45" s="165">
        <f>IF(E44&lt;=MIN(volumi),MIN(volumi),IF(E44&gt;=MAX(volumi),MAX(volumi),VLOOKUP(E44,C44:D51,2,1)))</f>
        <v>5.7</v>
      </c>
      <c r="G45" s="168">
        <f>VLOOKUP($F45,SACCONI,2,0)</f>
        <v>1253.1612737790001</v>
      </c>
      <c r="H45" s="168">
        <f>VLOOKUP($F45,SACCONI,3,0)</f>
        <v>1615.6000000000001</v>
      </c>
      <c r="I45" s="165"/>
      <c r="J45" s="165"/>
      <c r="S45" s="162" t="s">
        <v>703</v>
      </c>
      <c r="V45" s="162" t="s">
        <v>357</v>
      </c>
      <c r="W45" s="177">
        <f>IF($R$29=U44,Y45+($H$26*1000),0)</f>
        <v>0</v>
      </c>
      <c r="X45" s="178">
        <f>N21</f>
        <v>19670</v>
      </c>
      <c r="Y45" s="178">
        <f>$N$23</f>
        <v>23010</v>
      </c>
      <c r="AA45" s="176"/>
      <c r="AB45" s="532">
        <f>IF(AND(U42&lt;$R$30,$R$30&lt;U44),ROUND((((Y45-Y43)/(U44-U42))*($R$30-U42))+Y43,-1)+IF($R$30&lt;15,H$26,$H$27),0)</f>
        <v>0</v>
      </c>
    </row>
    <row r="46" spans="1:28" ht="16.5" thickBot="1" x14ac:dyDescent="0.3">
      <c r="A46" s="584"/>
      <c r="B46" s="165">
        <f t="shared" si="2"/>
        <v>12.8</v>
      </c>
      <c r="C46" s="165">
        <f t="shared" si="3"/>
        <v>12.8</v>
      </c>
      <c r="D46" s="165">
        <f t="shared" si="4"/>
        <v>16.5</v>
      </c>
      <c r="E46" s="168"/>
      <c r="F46" s="165"/>
      <c r="G46" s="168"/>
      <c r="H46" s="165"/>
      <c r="I46" s="165"/>
      <c r="J46" s="165"/>
      <c r="S46" s="162">
        <v>1000</v>
      </c>
      <c r="W46" s="177"/>
      <c r="Z46" s="162" t="s">
        <v>356</v>
      </c>
      <c r="AA46" s="176">
        <f>IF(R29&gt;U44,(X44+(ROUND((R29-U44)*AA1,-1)+($H$27))),0)</f>
        <v>0</v>
      </c>
      <c r="AB46" s="532">
        <f>IF(R30&gt;U44,(Y45+(ROUND((R30-U44)*AA1,-1)+($H$27))),0)</f>
        <v>0</v>
      </c>
    </row>
    <row r="47" spans="1:28" ht="15.75" x14ac:dyDescent="0.25">
      <c r="A47" s="584"/>
      <c r="B47" s="165">
        <f t="shared" si="2"/>
        <v>16.5</v>
      </c>
      <c r="C47" s="165">
        <f t="shared" si="3"/>
        <v>16.5</v>
      </c>
      <c r="D47" s="165">
        <f t="shared" si="4"/>
        <v>22</v>
      </c>
      <c r="E47" s="165"/>
      <c r="F47" s="167">
        <f>IF($E44&gt;=MAX(volumi),E44-F44,IF($E44&lt;=MIN(volumi),E44-F44,F45-F44))</f>
        <v>-5.7</v>
      </c>
      <c r="G47" s="168">
        <f>G45-G44</f>
        <v>0</v>
      </c>
      <c r="H47" s="165">
        <f>H45-H44</f>
        <v>0</v>
      </c>
      <c r="I47" s="165"/>
      <c r="J47" s="165"/>
      <c r="Q47" s="162" t="s">
        <v>704</v>
      </c>
      <c r="R47" s="162">
        <v>150</v>
      </c>
      <c r="S47" s="304">
        <f>620*O61</f>
        <v>713</v>
      </c>
      <c r="V47" s="144"/>
      <c r="W47" s="144"/>
      <c r="X47" s="144"/>
      <c r="Y47" s="144"/>
      <c r="Z47" s="144"/>
      <c r="AA47" s="144"/>
      <c r="AB47" s="533"/>
    </row>
    <row r="48" spans="1:28" ht="15.75" thickBot="1" x14ac:dyDescent="0.25">
      <c r="A48" s="584"/>
      <c r="B48" s="165">
        <f t="shared" si="2"/>
        <v>22</v>
      </c>
      <c r="C48" s="165">
        <f t="shared" si="3"/>
        <v>22</v>
      </c>
      <c r="D48" s="165">
        <f t="shared" si="4"/>
        <v>29</v>
      </c>
      <c r="E48" s="165"/>
      <c r="F48" s="165">
        <f>IF(F47&gt;0,1,-1)</f>
        <v>-1</v>
      </c>
      <c r="G48" s="165">
        <f>IF(E44&gt;=MAX(volumi),G30,IF(E44&lt;=MIN(volumi),J30,G47/$F47))</f>
        <v>40</v>
      </c>
      <c r="H48" s="165">
        <f>IF(E44&gt;=MAX(volumi),H30,IF(E44&lt;=MIN(volumi),J30,H47/$F47))</f>
        <v>40</v>
      </c>
      <c r="I48" s="165"/>
      <c r="J48" s="165"/>
      <c r="Q48" s="162" t="s">
        <v>704</v>
      </c>
      <c r="R48" s="162">
        <v>120</v>
      </c>
      <c r="S48" s="304">
        <f>550*O61</f>
        <v>632.5</v>
      </c>
      <c r="AA48" s="163" t="s">
        <v>297</v>
      </c>
      <c r="AB48" s="531" t="s">
        <v>299</v>
      </c>
    </row>
    <row r="49" spans="1:28" ht="15.75" thickBot="1" x14ac:dyDescent="0.25">
      <c r="A49" s="584"/>
      <c r="B49" s="165">
        <f t="shared" si="2"/>
        <v>29</v>
      </c>
      <c r="C49" s="165">
        <f t="shared" si="3"/>
        <v>29</v>
      </c>
      <c r="D49" s="165">
        <f t="shared" si="4"/>
        <v>35</v>
      </c>
      <c r="E49" s="165" t="s">
        <v>341</v>
      </c>
      <c r="F49" s="167">
        <f>IF(E44&gt;C52,F47*F48,E44-F44)</f>
        <v>-5.7</v>
      </c>
      <c r="G49" s="165">
        <f>ROUNDUP(G48*F49,-1)</f>
        <v>-230</v>
      </c>
      <c r="H49" s="165">
        <f>ROUNDUP(H48*F49,-1)</f>
        <v>-230</v>
      </c>
      <c r="I49" s="165"/>
      <c r="J49" s="165"/>
      <c r="Q49" s="162" t="s">
        <v>704</v>
      </c>
      <c r="R49" s="162">
        <v>100</v>
      </c>
      <c r="S49" s="304">
        <f>500*O61</f>
        <v>575</v>
      </c>
      <c r="U49" s="162">
        <f>U28</f>
        <v>5.7</v>
      </c>
      <c r="V49" s="162" t="s">
        <v>298</v>
      </c>
      <c r="W49" s="179">
        <f>IF($R$32=U49,X49+($H$26*1000),0)</f>
        <v>0</v>
      </c>
      <c r="X49" s="162">
        <f>$H$6</f>
        <v>5230</v>
      </c>
      <c r="Z49" s="162" t="s">
        <v>372</v>
      </c>
      <c r="AA49" s="176">
        <f>IF($R$32=0,0,IF($R$32&lt;U49,ROUND(X49-((5-$R$32)*80),-1),0))</f>
        <v>0</v>
      </c>
      <c r="AB49" s="532"/>
    </row>
    <row r="50" spans="1:28" ht="15.75" thickBot="1" x14ac:dyDescent="0.25">
      <c r="A50" s="584"/>
      <c r="B50" s="165">
        <f t="shared" si="2"/>
        <v>35</v>
      </c>
      <c r="C50" s="165">
        <f t="shared" si="3"/>
        <v>35</v>
      </c>
      <c r="D50" s="165">
        <f t="shared" si="4"/>
        <v>44</v>
      </c>
      <c r="E50" s="165"/>
      <c r="F50" s="165"/>
      <c r="G50" s="165"/>
      <c r="H50" s="165"/>
      <c r="I50" s="165"/>
      <c r="J50" s="165"/>
      <c r="Q50" s="162" t="s">
        <v>704</v>
      </c>
      <c r="R50" s="162">
        <v>70</v>
      </c>
      <c r="S50" s="304">
        <f>430*O61</f>
        <v>494.49999999999994</v>
      </c>
      <c r="V50" s="162" t="s">
        <v>357</v>
      </c>
      <c r="W50" s="177">
        <f>IF($R$32=U49,Y50+($H$26*1000),0)</f>
        <v>0</v>
      </c>
      <c r="X50" s="162">
        <f>H50*1000</f>
        <v>0</v>
      </c>
      <c r="Y50" s="178">
        <f>$N$7</f>
        <v>7540</v>
      </c>
      <c r="AA50" s="176"/>
      <c r="AB50" s="532">
        <f>IF($R$33=0,0,IF($R$33&lt;U49,ROUND(Y50-((5-$R$33)*80),-1+205),0))</f>
        <v>0</v>
      </c>
    </row>
    <row r="51" spans="1:28" ht="15.75" thickBot="1" x14ac:dyDescent="0.25">
      <c r="A51" s="584"/>
      <c r="B51" s="165">
        <f t="shared" si="2"/>
        <v>44</v>
      </c>
      <c r="C51" s="165">
        <f t="shared" si="3"/>
        <v>44</v>
      </c>
      <c r="D51" s="165">
        <f t="shared" si="4"/>
        <v>55</v>
      </c>
      <c r="E51" s="165" t="s">
        <v>340</v>
      </c>
      <c r="F51" s="165" t="s">
        <v>339</v>
      </c>
      <c r="G51" s="165">
        <f>B30</f>
        <v>150</v>
      </c>
      <c r="H51" s="165">
        <f>G51</f>
        <v>150</v>
      </c>
      <c r="I51" s="165"/>
      <c r="J51" s="165"/>
      <c r="U51" s="162">
        <f>U30</f>
        <v>8.8000000000000007</v>
      </c>
      <c r="V51" s="162" t="s">
        <v>298</v>
      </c>
      <c r="W51" s="179">
        <f>IF($R$32=U51,X51+($H$26*1000),0)</f>
        <v>0</v>
      </c>
      <c r="X51" s="162">
        <f>$H$8</f>
        <v>7140</v>
      </c>
      <c r="Z51" s="162" t="s">
        <v>371</v>
      </c>
      <c r="AA51" s="176">
        <f>IF(AND(U49&lt;$R$32,$R$32&lt;U51),ROUND((((X51-X49)/(U51-U49))*($R$32-U49))+X49,-1)+IF($R$32&lt;15,H$26,$H$27),0)</f>
        <v>0</v>
      </c>
      <c r="AB51" s="532"/>
    </row>
    <row r="52" spans="1:28" ht="15.75" thickBot="1" x14ac:dyDescent="0.25">
      <c r="A52" s="584"/>
      <c r="B52" s="165">
        <f t="shared" si="2"/>
        <v>55</v>
      </c>
      <c r="C52" s="165">
        <f t="shared" si="3"/>
        <v>55</v>
      </c>
      <c r="D52" s="165"/>
      <c r="E52" s="165"/>
      <c r="F52" s="165" t="s">
        <v>338</v>
      </c>
      <c r="G52" s="165">
        <f>ROUNDUP(E44*F30,-1)</f>
        <v>0</v>
      </c>
      <c r="H52" s="165">
        <f>G52</f>
        <v>0</v>
      </c>
      <c r="I52" s="165"/>
      <c r="J52" s="165"/>
      <c r="Q52" s="162" t="s">
        <v>704</v>
      </c>
      <c r="R52" s="184">
        <f>STXVOLUME!I34</f>
        <v>70</v>
      </c>
      <c r="S52" s="162">
        <f>VLOOKUP(R52,R47:S50,2,0)</f>
        <v>494.49999999999994</v>
      </c>
      <c r="U52" s="162">
        <f>C52/1000</f>
        <v>5.5E-2</v>
      </c>
      <c r="V52" s="162" t="s">
        <v>357</v>
      </c>
      <c r="W52" s="177">
        <f>IF($R$32=U51,Y52+($H$26*1000),0)</f>
        <v>0</v>
      </c>
      <c r="X52" s="162">
        <f>H52*1000</f>
        <v>0</v>
      </c>
      <c r="Y52" s="178">
        <f>$N$9</f>
        <v>8630</v>
      </c>
      <c r="AA52" s="176"/>
      <c r="AB52" s="532">
        <f>IF(AND(U49&lt;$R$33,$R$33&lt;U51),ROUND((((Y52-Y50)/(U51-U49))*($R$33-U49))+Y50,-1)+IF($R$33&lt;15,H$26,$H$27),0)</f>
        <v>0</v>
      </c>
    </row>
    <row r="53" spans="1:28" ht="15.75" thickBot="1" x14ac:dyDescent="0.25">
      <c r="A53" s="584"/>
      <c r="B53" s="165"/>
      <c r="C53" s="165"/>
      <c r="D53" s="165"/>
      <c r="E53" s="165" t="s">
        <v>337</v>
      </c>
      <c r="F53" s="165"/>
      <c r="G53" s="165">
        <f>G52+G51</f>
        <v>150</v>
      </c>
      <c r="H53" s="165">
        <f>H52+H51</f>
        <v>150</v>
      </c>
      <c r="I53" s="165"/>
      <c r="J53" s="165"/>
      <c r="Q53" s="162" t="s">
        <v>705</v>
      </c>
      <c r="R53" s="162">
        <f>STXVOLUME!E16</f>
        <v>0</v>
      </c>
      <c r="S53" s="162">
        <f>S52/S46*R53</f>
        <v>0</v>
      </c>
      <c r="U53" s="162">
        <f>U32</f>
        <v>12.8</v>
      </c>
      <c r="V53" s="162" t="s">
        <v>298</v>
      </c>
      <c r="W53" s="179">
        <f>IF($R$32=U53,X53+($H$26*1000),0)</f>
        <v>0</v>
      </c>
      <c r="X53" s="162">
        <f>$H$10</f>
        <v>8640</v>
      </c>
      <c r="Z53" s="162" t="s">
        <v>370</v>
      </c>
      <c r="AA53" s="176">
        <f>IF(AND(U51&lt;$R$32,$R$32&lt;U53),ROUND((((X53-X51)/(U53-U51))*($R$32-U51))+X51,-1)+IF($R$32&lt;15,H$26,$H$27),0)</f>
        <v>0</v>
      </c>
      <c r="AB53" s="532"/>
    </row>
    <row r="54" spans="1:28" ht="15.75" thickBot="1" x14ac:dyDescent="0.25">
      <c r="A54" s="584"/>
      <c r="B54" s="165"/>
      <c r="C54" s="165"/>
      <c r="D54" s="165"/>
      <c r="E54" s="165"/>
      <c r="F54" s="165"/>
      <c r="G54" s="165"/>
      <c r="H54" s="165"/>
      <c r="I54" s="165"/>
      <c r="J54" s="165"/>
      <c r="U54" s="162">
        <f>B54/1000</f>
        <v>0</v>
      </c>
      <c r="V54" s="162" t="s">
        <v>357</v>
      </c>
      <c r="W54" s="177">
        <f>IF($R$32=U53,Y54+($H$26*1000),0)</f>
        <v>0</v>
      </c>
      <c r="X54" s="162">
        <f>H54*1000</f>
        <v>0</v>
      </c>
      <c r="Y54" s="178">
        <f>$N$11</f>
        <v>9870</v>
      </c>
      <c r="AA54" s="176"/>
      <c r="AB54" s="532">
        <f>IF(AND(U51&lt;$R$33,$R$33&lt;U53),ROUND((((Y54-Y52)/(U53-U51))*($R$33-U51))+Y52,-1)+IF($R$33&lt;15,H$26,$H$27),0)</f>
        <v>0</v>
      </c>
    </row>
    <row r="55" spans="1:28" ht="15.75" thickBot="1" x14ac:dyDescent="0.25">
      <c r="A55" s="585"/>
      <c r="B55" s="165"/>
      <c r="C55" s="165"/>
      <c r="D55" s="165"/>
      <c r="E55" s="165" t="s">
        <v>369</v>
      </c>
      <c r="F55" s="165"/>
      <c r="G55" s="165">
        <f>IF($E44&gt;$C52,G40+G49+G53,G44+G49+G53)</f>
        <v>1173.1612737790001</v>
      </c>
      <c r="H55" s="165">
        <f>IF($E44&gt;$C52,H40+H49+H53,H44+H49+H53)</f>
        <v>1535.6000000000001</v>
      </c>
      <c r="I55" s="165"/>
      <c r="J55" s="165"/>
      <c r="U55" s="162">
        <f>U34</f>
        <v>16.5</v>
      </c>
      <c r="V55" s="162" t="s">
        <v>298</v>
      </c>
      <c r="W55" s="179">
        <f>IF($R$32=U55,X55+($H$26*1000),0)</f>
        <v>0</v>
      </c>
      <c r="X55" s="162">
        <f>$H$12</f>
        <v>9570</v>
      </c>
      <c r="Z55" s="162" t="s">
        <v>368</v>
      </c>
      <c r="AA55" s="176">
        <f>IF(AND(U53&lt;$R$32,$R$32&lt;U55),ROUND((((X55-X53)/(U55-U53))*($R$32-U53))+X53,-1)+IF($R$32&lt;15,H$26,$H$27),0)</f>
        <v>0</v>
      </c>
      <c r="AB55" s="532"/>
    </row>
    <row r="56" spans="1:28" ht="15.75" thickBot="1" x14ac:dyDescent="0.25">
      <c r="W56" s="177"/>
      <c r="AA56" s="176"/>
      <c r="AB56" s="532"/>
    </row>
    <row r="57" spans="1:28" ht="15.75" thickBot="1" x14ac:dyDescent="0.25">
      <c r="B57" s="164" t="s">
        <v>339</v>
      </c>
      <c r="C57" s="164" t="s">
        <v>338</v>
      </c>
      <c r="D57" s="164" t="s">
        <v>351</v>
      </c>
      <c r="E57" s="164" t="s">
        <v>350</v>
      </c>
      <c r="F57" s="164" t="s">
        <v>349</v>
      </c>
      <c r="G57" s="164" t="s">
        <v>348</v>
      </c>
      <c r="H57" s="164" t="s">
        <v>347</v>
      </c>
      <c r="J57" s="164" t="s">
        <v>367</v>
      </c>
      <c r="U57" s="162" t="e">
        <f>B57/1000</f>
        <v>#VALUE!</v>
      </c>
      <c r="V57" s="162" t="s">
        <v>357</v>
      </c>
      <c r="W57" s="177">
        <f>IF($R$32=U55,Y57+($H$26*1000),0)</f>
        <v>0</v>
      </c>
      <c r="X57" s="162" t="e">
        <f>H57*1000</f>
        <v>#VALUE!</v>
      </c>
      <c r="Y57" s="178">
        <f>$N$13</f>
        <v>10510</v>
      </c>
      <c r="AA57" s="176"/>
      <c r="AB57" s="532">
        <f>IF(AND(U53&lt;$R$33,$R$33&lt;U55),ROUND((((Y57-Y54)/(U55-U53))*($R$33-U53))+Y54,-1)+IF($R$33&lt;15,H$26,$H$27),0)</f>
        <v>0</v>
      </c>
    </row>
    <row r="58" spans="1:28" ht="15.75" thickBot="1" x14ac:dyDescent="0.25">
      <c r="A58" s="166" t="s">
        <v>366</v>
      </c>
      <c r="B58" s="166">
        <v>25</v>
      </c>
      <c r="C58" s="166">
        <v>80</v>
      </c>
      <c r="D58" s="166">
        <v>2</v>
      </c>
      <c r="E58" s="166">
        <v>120</v>
      </c>
      <c r="F58" s="165">
        <f>C58/E58</f>
        <v>0.66666666666666663</v>
      </c>
      <c r="G58" s="166">
        <v>5</v>
      </c>
      <c r="H58" s="166">
        <v>5</v>
      </c>
      <c r="I58" s="166"/>
      <c r="J58" s="166">
        <v>4</v>
      </c>
      <c r="U58" s="162">
        <f>U36</f>
        <v>22</v>
      </c>
      <c r="V58" s="162" t="s">
        <v>298</v>
      </c>
      <c r="W58" s="179">
        <f>IF($R$32=U58,X58+($H$26*1000),0)</f>
        <v>0</v>
      </c>
      <c r="X58" s="162">
        <f>$H$14</f>
        <v>11740</v>
      </c>
      <c r="Z58" s="162" t="s">
        <v>365</v>
      </c>
      <c r="AA58" s="176">
        <f>IF(AND(U55&lt;$R$32,$R$32&lt;U58),ROUND((((X58-X55)/(U58-U55))*($R$32-U55))+X55,-1)+IF($R$32&lt;15,H$26,$H$27),0)</f>
        <v>0</v>
      </c>
      <c r="AB58" s="532"/>
    </row>
    <row r="59" spans="1:28" ht="15.75" thickBot="1" x14ac:dyDescent="0.25">
      <c r="U59" s="162">
        <f>C59/1000</f>
        <v>0</v>
      </c>
      <c r="V59" s="162" t="s">
        <v>357</v>
      </c>
      <c r="W59" s="177">
        <f>IF($R$32=U58,Y59+($H$26*1000),0)</f>
        <v>0</v>
      </c>
      <c r="X59" s="162" t="e">
        <f>H60*1000</f>
        <v>#VALUE!</v>
      </c>
      <c r="Y59" s="178">
        <f>$N$15</f>
        <v>16190</v>
      </c>
      <c r="AA59" s="176"/>
      <c r="AB59" s="532">
        <f>IF(AND(U55&lt;$R$33,$R$33&lt;U58),ROUND((((Y59-Y57)/(U58-U55))*($R$33-U55))+Y57,-1)+IF($R$33&lt;15,H$26,$H$27),0)</f>
        <v>0</v>
      </c>
    </row>
    <row r="60" spans="1:28" ht="15.75" thickBot="1" x14ac:dyDescent="0.25">
      <c r="A60" s="581" t="s">
        <v>364</v>
      </c>
      <c r="G60" s="164" t="s">
        <v>363</v>
      </c>
      <c r="H60" s="164" t="s">
        <v>362</v>
      </c>
      <c r="J60" s="164" t="s">
        <v>895</v>
      </c>
      <c r="M60" s="164" t="s">
        <v>896</v>
      </c>
      <c r="Q60" s="144"/>
      <c r="R60" s="144"/>
      <c r="U60" s="162">
        <f>U38</f>
        <v>29</v>
      </c>
      <c r="V60" s="162" t="s">
        <v>298</v>
      </c>
      <c r="W60" s="179">
        <f>IF($R$32=U60,X60+($H$26*1000),0)</f>
        <v>0</v>
      </c>
      <c r="X60" s="162">
        <f>$H$16</f>
        <v>12410</v>
      </c>
      <c r="Z60" s="162" t="s">
        <v>361</v>
      </c>
      <c r="AA60" s="176">
        <f>IF(AND(U58&lt;$R$32,$R$32&lt;U60),ROUND((((X60-X58)/(U60-U58))*($R$32-U58))+X58,-1)+IF($R$32&lt;15,H$26,$H$27),0)</f>
        <v>0</v>
      </c>
      <c r="AB60" s="532"/>
    </row>
    <row r="61" spans="1:28" ht="15.75" thickBot="1" x14ac:dyDescent="0.25">
      <c r="A61" s="582"/>
      <c r="F61" s="144">
        <v>5.7</v>
      </c>
      <c r="G61" s="524">
        <f>420.51*O61</f>
        <v>483.58649999999994</v>
      </c>
      <c r="H61" s="524">
        <f>G61+J61</f>
        <v>612.38649999999996</v>
      </c>
      <c r="I61" s="524"/>
      <c r="J61" s="524">
        <f>112*O61</f>
        <v>128.79999999999998</v>
      </c>
      <c r="M61" s="164">
        <v>445.68380999999999</v>
      </c>
      <c r="O61" s="164">
        <v>1.1499999999999999</v>
      </c>
      <c r="Q61" s="144"/>
      <c r="R61" s="144"/>
      <c r="U61" s="162">
        <f>C73/1000</f>
        <v>1.2800000000000001E-2</v>
      </c>
      <c r="V61" s="162" t="s">
        <v>357</v>
      </c>
      <c r="W61" s="177">
        <f>IF($R$32=U60,Y61+($H$26*1000),0)</f>
        <v>0</v>
      </c>
      <c r="X61" s="162">
        <f>H62*1000</f>
        <v>645642.85549999983</v>
      </c>
      <c r="Y61" s="178">
        <f>$N$17</f>
        <v>17710</v>
      </c>
      <c r="AA61" s="176"/>
      <c r="AB61" s="532">
        <f>IF(AND(U58&lt;$R$33,$R$33&lt;U60),ROUND((((Y61-Y59)/(U60-U58))*($R$33-U58))+Y59,-1)+IF($R$33&lt;15,H$26,$H$27),0)</f>
        <v>0</v>
      </c>
    </row>
    <row r="62" spans="1:28" ht="15.75" thickBot="1" x14ac:dyDescent="0.25">
      <c r="A62" s="582"/>
      <c r="F62" s="144">
        <v>8.8000000000000007</v>
      </c>
      <c r="G62" s="524">
        <f>439.42857*O61</f>
        <v>505.34285549999993</v>
      </c>
      <c r="H62" s="524">
        <f t="shared" ref="H62:H69" si="5">G62+J62</f>
        <v>645.64285549999988</v>
      </c>
      <c r="I62" s="524"/>
      <c r="J62" s="524">
        <f>122*O61</f>
        <v>140.29999999999998</v>
      </c>
      <c r="M62" s="164">
        <v>463.91676000000007</v>
      </c>
      <c r="Q62" s="144"/>
      <c r="R62" s="144"/>
      <c r="U62" s="162">
        <f>U40</f>
        <v>35</v>
      </c>
      <c r="V62" s="162" t="s">
        <v>298</v>
      </c>
      <c r="W62" s="179">
        <f>IF($R$32=U62,X62+($H$26*1000),0)</f>
        <v>0</v>
      </c>
      <c r="X62" s="162">
        <f>$H$18</f>
        <v>13510</v>
      </c>
      <c r="Z62" s="162" t="s">
        <v>360</v>
      </c>
      <c r="AA62" s="176">
        <f>IF(AND(U60&lt;$R$32,$R$32&lt;U62),ROUND((((X62-X60)/(U62-U60))*($R$32-U60))+X60,-1)+IF($R$32&lt;15,H$26,$H$27),0)</f>
        <v>0</v>
      </c>
      <c r="AB62" s="532"/>
    </row>
    <row r="63" spans="1:28" ht="15.75" thickBot="1" x14ac:dyDescent="0.25">
      <c r="A63" s="582"/>
      <c r="F63" s="144">
        <v>12.8</v>
      </c>
      <c r="G63" s="524">
        <f>448.2804*O61</f>
        <v>515.52245999999991</v>
      </c>
      <c r="H63" s="524">
        <f t="shared" si="5"/>
        <v>660.42245999999989</v>
      </c>
      <c r="I63" s="524"/>
      <c r="J63" s="524">
        <f>126*O61</f>
        <v>144.89999999999998</v>
      </c>
      <c r="M63" s="164">
        <v>472.46181000000001</v>
      </c>
      <c r="Q63" s="144"/>
      <c r="R63" s="144"/>
      <c r="U63" s="162">
        <f>C75/1000</f>
        <v>2.1999999999999999E-2</v>
      </c>
      <c r="V63" s="162" t="s">
        <v>357</v>
      </c>
      <c r="W63" s="177">
        <f>IF($R$32=U62,Y63+($H$26*1000),0)</f>
        <v>0</v>
      </c>
      <c r="X63" s="162">
        <f>H64*1000</f>
        <v>693594.94599999988</v>
      </c>
      <c r="Y63" s="178">
        <f>$N$19</f>
        <v>18950</v>
      </c>
      <c r="AA63" s="176"/>
      <c r="AB63" s="532">
        <f>IF(AND(U60&lt;$R$33,$R$33&lt;U62),ROUND((((Y63-Y61)/(U62-U60))*($R$33-U60))+Y61,-1)+IF($R$33&lt;15,H$26,$H$27),0)</f>
        <v>0</v>
      </c>
    </row>
    <row r="64" spans="1:28" ht="15.75" thickBot="1" x14ac:dyDescent="0.25">
      <c r="A64" s="582"/>
      <c r="F64" s="144">
        <v>16.5</v>
      </c>
      <c r="G64" s="524">
        <f>467.12604*O61</f>
        <v>537.19494599999996</v>
      </c>
      <c r="H64" s="524">
        <f t="shared" si="5"/>
        <v>693.59494599999994</v>
      </c>
      <c r="I64" s="524"/>
      <c r="J64" s="524">
        <f>136*O61</f>
        <v>156.39999999999998</v>
      </c>
      <c r="M64" s="164">
        <v>490.89242999999999</v>
      </c>
      <c r="Q64" s="144"/>
      <c r="R64" s="144"/>
      <c r="U64" s="162">
        <f>U42</f>
        <v>44</v>
      </c>
      <c r="V64" s="162" t="s">
        <v>298</v>
      </c>
      <c r="W64" s="179">
        <f>IF($R$32=U64,X64+($H$26*1000),0)</f>
        <v>0</v>
      </c>
      <c r="X64" s="162">
        <f>$H$20</f>
        <v>14770</v>
      </c>
      <c r="Z64" s="162" t="s">
        <v>359</v>
      </c>
      <c r="AA64" s="176">
        <f>IF(AND(U62&lt;$R$32,$R$32&lt;U64),ROUND((((X64-X62)/(U64-U62))*($R$32-U62))+X62,-1)+IF($R$32&lt;15,H$26,$H$27),0)</f>
        <v>0</v>
      </c>
      <c r="AB64" s="532"/>
    </row>
    <row r="65" spans="1:28" ht="15.75" thickBot="1" x14ac:dyDescent="0.25">
      <c r="A65" s="582"/>
      <c r="F65" s="144">
        <v>22</v>
      </c>
      <c r="G65" s="524">
        <f>468.86169*O61</f>
        <v>539.1909435</v>
      </c>
      <c r="H65" s="524">
        <f t="shared" si="5"/>
        <v>696.74094349999996</v>
      </c>
      <c r="I65" s="524"/>
      <c r="J65" s="524">
        <f>137*O61</f>
        <v>157.54999999999998</v>
      </c>
      <c r="M65" s="164">
        <v>492.59793000000002</v>
      </c>
      <c r="Q65" s="144"/>
      <c r="R65" s="144"/>
      <c r="U65" s="162">
        <f>C77/1000</f>
        <v>3.5000000000000003E-2</v>
      </c>
      <c r="V65" s="162" t="s">
        <v>357</v>
      </c>
      <c r="W65" s="177">
        <f>IF($R$32=U64,Y65+($H$26*1000),0)</f>
        <v>0</v>
      </c>
      <c r="X65" s="162">
        <f>H66*1000</f>
        <v>846218.13899999985</v>
      </c>
      <c r="Y65" s="178">
        <f>$N$21</f>
        <v>19670</v>
      </c>
      <c r="AA65" s="176"/>
      <c r="AB65" s="532">
        <f>IF(AND(U62&lt;$R$33,$R$33&lt;U64),ROUND((((Y65-Y63)/(U64-U62))*($R$33-U62))+Y63,-1)+IF($R$33&lt;15,H$26,$H$27),0)</f>
        <v>0</v>
      </c>
    </row>
    <row r="66" spans="1:28" ht="15.75" thickBot="1" x14ac:dyDescent="0.25">
      <c r="A66" s="582"/>
      <c r="F66" s="144">
        <v>29</v>
      </c>
      <c r="G66" s="524">
        <f>582.84186*O61</f>
        <v>670.26813899999991</v>
      </c>
      <c r="H66" s="524">
        <f t="shared" si="5"/>
        <v>846.21813899999984</v>
      </c>
      <c r="I66" s="524"/>
      <c r="J66" s="524">
        <f>153*O61</f>
        <v>175.95</v>
      </c>
      <c r="M66" s="164">
        <v>605.52554999999995</v>
      </c>
      <c r="Q66" s="144"/>
      <c r="R66" s="144"/>
      <c r="U66" s="162">
        <f>U44</f>
        <v>55</v>
      </c>
      <c r="V66" s="162" t="s">
        <v>298</v>
      </c>
      <c r="W66" s="179">
        <f>IF($R$32=U66,X66+($H$26*1000),0)</f>
        <v>0</v>
      </c>
      <c r="X66" s="162">
        <f>$H$22</f>
        <v>17750</v>
      </c>
      <c r="Z66" s="162" t="s">
        <v>358</v>
      </c>
      <c r="AA66" s="176">
        <f>IF(AND(U64&lt;$R$32,$R$32&lt;U66),ROUND((((X66-X64)/(U66-U64))*($R$32-U64))+X64,-1)+IF($R$32&lt;15,H$26,$H$27),0)</f>
        <v>0</v>
      </c>
      <c r="AB66" s="532"/>
    </row>
    <row r="67" spans="1:28" ht="15.75" thickBot="1" x14ac:dyDescent="0.25">
      <c r="A67" s="582"/>
      <c r="F67" s="144">
        <v>35</v>
      </c>
      <c r="G67" s="524">
        <f>684.05478*O61</f>
        <v>786.66299700000002</v>
      </c>
      <c r="H67" s="524">
        <f t="shared" si="5"/>
        <v>982.16299700000002</v>
      </c>
      <c r="I67" s="524"/>
      <c r="J67" s="524">
        <f>170*O61</f>
        <v>195.49999999999997</v>
      </c>
      <c r="M67" s="164">
        <v>706.01063999999997</v>
      </c>
      <c r="Q67" s="144"/>
      <c r="R67" s="144"/>
      <c r="V67" s="162" t="s">
        <v>357</v>
      </c>
      <c r="W67" s="177">
        <f>IF($R$32=U66,Y67+($H$26*1000),0)</f>
        <v>0</v>
      </c>
      <c r="Y67" s="178">
        <f>$N$23</f>
        <v>23010</v>
      </c>
      <c r="AA67" s="176"/>
      <c r="AB67" s="532">
        <f>IF(AND(U64&lt;$R$33,$R$33&lt;U66),ROUND((((Y67-Y65)/(U66-U64))*($R$33-U64))+Y65,-1)+IF($R$33&lt;15,H$26,$H$27),0)</f>
        <v>0</v>
      </c>
    </row>
    <row r="68" spans="1:28" ht="15.75" thickBot="1" x14ac:dyDescent="0.25">
      <c r="A68" s="582"/>
      <c r="F68" s="144">
        <v>44</v>
      </c>
      <c r="G68" s="524">
        <f>697.67457*O61</f>
        <v>802.32575550000001</v>
      </c>
      <c r="H68" s="524">
        <f t="shared" si="5"/>
        <v>1013.9257555</v>
      </c>
      <c r="I68" s="524"/>
      <c r="J68" s="524">
        <f>184*O61</f>
        <v>211.6</v>
      </c>
      <c r="M68" s="164">
        <v>718.85451</v>
      </c>
      <c r="Q68" s="144"/>
      <c r="R68" s="144"/>
      <c r="W68" s="177"/>
      <c r="Z68" s="162" t="s">
        <v>356</v>
      </c>
      <c r="AA68" s="176">
        <f>IF(R32&gt;U66,(X66+(ROUND((R32-U66)*AA1,-1)+($H$27))),0)</f>
        <v>0</v>
      </c>
      <c r="AB68" s="532">
        <f>IF(R33&gt;U66,(Y67+(ROUND((R33-U66)*AA1,-1)+($H$27))),0)</f>
        <v>0</v>
      </c>
    </row>
    <row r="69" spans="1:28" x14ac:dyDescent="0.2">
      <c r="A69" s="582"/>
      <c r="F69" s="144">
        <v>55</v>
      </c>
      <c r="G69" s="524">
        <f>697.67457*O61</f>
        <v>802.32575550000001</v>
      </c>
      <c r="H69" s="524">
        <f t="shared" si="5"/>
        <v>1013.9257555</v>
      </c>
      <c r="I69" s="524"/>
      <c r="J69" s="524">
        <f>184*O61</f>
        <v>211.6</v>
      </c>
      <c r="M69" s="164">
        <v>718.85451</v>
      </c>
    </row>
    <row r="70" spans="1:28" x14ac:dyDescent="0.2">
      <c r="A70" s="582"/>
    </row>
    <row r="71" spans="1:28" x14ac:dyDescent="0.2">
      <c r="A71" s="582"/>
    </row>
    <row r="72" spans="1:28" x14ac:dyDescent="0.2">
      <c r="A72" s="582"/>
      <c r="B72" s="144">
        <v>5.7</v>
      </c>
      <c r="C72" s="164">
        <v>8.8000000000000007</v>
      </c>
    </row>
    <row r="73" spans="1:28" ht="15.75" x14ac:dyDescent="0.25">
      <c r="A73" s="582"/>
      <c r="B73" s="144">
        <v>8.8000000000000007</v>
      </c>
      <c r="C73" s="164">
        <v>12.8</v>
      </c>
      <c r="E73" s="170">
        <f>E44</f>
        <v>0</v>
      </c>
      <c r="F73" s="168">
        <f>F44</f>
        <v>5.7</v>
      </c>
      <c r="G73" s="168">
        <f>IF($E73&gt;=MAX(volumi),MAX(G61:G69),IF($E73&lt;=MIN(volumi),MIN(G61:G69),VLOOKUP($E73,TC,2,1)))</f>
        <v>483.58649999999994</v>
      </c>
      <c r="H73" s="168">
        <f>IF($E73&gt;=MAX(volumi),MAX(H61:H69),IF($E73&lt;=MIN(volumi),MIN(H61:H69),VLOOKUP($E73,TC,3,1)))</f>
        <v>612.38649999999996</v>
      </c>
      <c r="M73" s="166" t="s">
        <v>898</v>
      </c>
    </row>
    <row r="74" spans="1:28" ht="15.75" x14ac:dyDescent="0.25">
      <c r="A74" s="582"/>
      <c r="B74" s="144">
        <v>12.8</v>
      </c>
      <c r="C74" s="164">
        <v>16.5</v>
      </c>
      <c r="E74" s="165"/>
      <c r="F74" s="165">
        <f>F45</f>
        <v>5.7</v>
      </c>
      <c r="G74" s="168">
        <f>VLOOKUP($F74,TC,2,0)</f>
        <v>483.58649999999994</v>
      </c>
      <c r="H74" s="168">
        <f>VLOOKUP($F74,TC,3,0)</f>
        <v>612.38649999999996</v>
      </c>
      <c r="M74" s="512">
        <f>390*O61</f>
        <v>448.49999999999994</v>
      </c>
    </row>
    <row r="75" spans="1:28" ht="15.75" x14ac:dyDescent="0.25">
      <c r="A75" s="582"/>
      <c r="B75" s="144">
        <v>16.5</v>
      </c>
      <c r="C75" s="164">
        <v>22</v>
      </c>
      <c r="E75" s="168"/>
      <c r="F75" s="165"/>
      <c r="G75" s="168"/>
      <c r="H75" s="165"/>
    </row>
    <row r="76" spans="1:28" ht="15.75" x14ac:dyDescent="0.25">
      <c r="A76" s="582"/>
      <c r="B76" s="144">
        <v>22</v>
      </c>
      <c r="C76" s="164">
        <v>29</v>
      </c>
      <c r="E76" s="165"/>
      <c r="F76" s="167">
        <f>F47</f>
        <v>-5.7</v>
      </c>
      <c r="G76" s="168">
        <f>G74-G73</f>
        <v>0</v>
      </c>
      <c r="H76" s="165">
        <f>H74-H73</f>
        <v>0</v>
      </c>
    </row>
    <row r="77" spans="1:28" x14ac:dyDescent="0.2">
      <c r="A77" s="582"/>
      <c r="B77" s="144">
        <v>29</v>
      </c>
      <c r="C77" s="164">
        <v>35</v>
      </c>
      <c r="E77" s="165"/>
      <c r="F77" s="165">
        <f>IF(F76&gt;0,1,-1)</f>
        <v>-1</v>
      </c>
      <c r="G77" s="165">
        <f>IF(E73&gt;=MAX(volumi),G58,IF(E73&lt;=MIN(volumi),J58,G76/$F76))</f>
        <v>4</v>
      </c>
      <c r="H77" s="165">
        <f>IF(E73&gt;=MAX(volumi),H58,IF(E73&lt;=MIN(volumi),J58,H76/$F76))</f>
        <v>4</v>
      </c>
    </row>
    <row r="78" spans="1:28" x14ac:dyDescent="0.2">
      <c r="A78" s="582"/>
      <c r="B78" s="144">
        <v>35</v>
      </c>
      <c r="C78" s="164">
        <v>44</v>
      </c>
      <c r="E78" s="165" t="s">
        <v>341</v>
      </c>
      <c r="F78" s="167">
        <f>IF(E73&gt;B80,F76*F77,E73-F73)</f>
        <v>-5.7</v>
      </c>
      <c r="G78" s="165">
        <f>ROUNDUP(G77*F78,-1)</f>
        <v>-30</v>
      </c>
      <c r="H78" s="165">
        <f>ROUNDUP(H77*F78,-1)</f>
        <v>-30</v>
      </c>
    </row>
    <row r="79" spans="1:28" x14ac:dyDescent="0.2">
      <c r="A79" s="582"/>
      <c r="B79" s="144">
        <v>44</v>
      </c>
      <c r="C79" s="164">
        <v>55</v>
      </c>
      <c r="E79" s="165"/>
      <c r="F79" s="165"/>
      <c r="G79" s="165"/>
      <c r="H79" s="165"/>
    </row>
    <row r="80" spans="1:28" x14ac:dyDescent="0.2">
      <c r="A80" s="582"/>
      <c r="B80" s="144">
        <v>55</v>
      </c>
      <c r="C80" s="175">
        <f>E73</f>
        <v>0</v>
      </c>
      <c r="E80" s="165" t="s">
        <v>340</v>
      </c>
      <c r="F80" s="165" t="s">
        <v>339</v>
      </c>
      <c r="G80" s="165">
        <f>B58</f>
        <v>25</v>
      </c>
      <c r="H80" s="165">
        <f>G80</f>
        <v>25</v>
      </c>
    </row>
    <row r="81" spans="1:29" x14ac:dyDescent="0.2">
      <c r="A81" s="582"/>
      <c r="E81" s="165"/>
      <c r="F81" s="165" t="s">
        <v>338</v>
      </c>
      <c r="G81" s="165">
        <f>ROUNDUP(E73*F58,-1)</f>
        <v>0</v>
      </c>
      <c r="H81" s="165">
        <f>G81</f>
        <v>0</v>
      </c>
      <c r="AA81" s="162"/>
    </row>
    <row r="82" spans="1:29" x14ac:dyDescent="0.2">
      <c r="A82" s="582"/>
      <c r="E82" s="165" t="s">
        <v>337</v>
      </c>
      <c r="F82" s="165"/>
      <c r="G82" s="165">
        <f>G81+G80</f>
        <v>25</v>
      </c>
      <c r="H82" s="165">
        <f>H81+H80</f>
        <v>25</v>
      </c>
      <c r="AA82" s="162"/>
    </row>
    <row r="83" spans="1:29" x14ac:dyDescent="0.2">
      <c r="A83" s="583"/>
      <c r="E83" s="165"/>
      <c r="F83" s="165"/>
      <c r="G83" s="165"/>
      <c r="H83" s="165"/>
      <c r="AA83" s="162"/>
    </row>
    <row r="84" spans="1:29" x14ac:dyDescent="0.2">
      <c r="E84" s="165" t="s">
        <v>336</v>
      </c>
      <c r="F84" s="165" t="s">
        <v>355</v>
      </c>
      <c r="G84" s="165">
        <f>IF($E73&gt;$B80,G69+G78+G82,G73+G78+G82)</f>
        <v>478.58649999999994</v>
      </c>
      <c r="H84" s="165">
        <f>IF($E73&gt;$B80,H69+H78+H82,H73+H78+H82)</f>
        <v>607.38649999999996</v>
      </c>
      <c r="AA84" s="162"/>
    </row>
    <row r="86" spans="1:29" x14ac:dyDescent="0.2">
      <c r="A86" s="174"/>
      <c r="B86" s="174" t="s">
        <v>339</v>
      </c>
      <c r="C86" s="174" t="s">
        <v>338</v>
      </c>
      <c r="D86" s="174" t="s">
        <v>351</v>
      </c>
      <c r="E86" s="174" t="s">
        <v>350</v>
      </c>
      <c r="F86" s="174" t="s">
        <v>349</v>
      </c>
      <c r="G86" s="174"/>
      <c r="H86" s="174"/>
      <c r="J86" s="166" t="s">
        <v>346</v>
      </c>
      <c r="AA86" s="162"/>
    </row>
    <row r="87" spans="1:29" x14ac:dyDescent="0.2">
      <c r="A87" s="166" t="s">
        <v>354</v>
      </c>
      <c r="B87" s="166">
        <v>250</v>
      </c>
      <c r="C87" s="166">
        <v>500</v>
      </c>
      <c r="D87" s="166">
        <v>2</v>
      </c>
      <c r="E87" s="166">
        <v>120</v>
      </c>
      <c r="F87" s="165">
        <f>C87/E87</f>
        <v>4.166666666666667</v>
      </c>
      <c r="G87" s="166">
        <v>80</v>
      </c>
      <c r="H87" s="166">
        <v>90</v>
      </c>
      <c r="I87" s="166"/>
      <c r="J87" s="166">
        <v>70</v>
      </c>
      <c r="Q87" s="164"/>
      <c r="R87" s="165"/>
      <c r="S87" s="164"/>
      <c r="T87" s="164"/>
      <c r="AA87" s="162"/>
    </row>
    <row r="88" spans="1:29" x14ac:dyDescent="0.2">
      <c r="A88" s="173"/>
      <c r="B88" s="173"/>
      <c r="C88" s="173"/>
      <c r="D88" s="173"/>
      <c r="E88" s="173"/>
      <c r="F88" s="173"/>
      <c r="G88" s="173"/>
      <c r="H88" s="173"/>
      <c r="T88" s="506" t="s">
        <v>855</v>
      </c>
      <c r="U88" s="506" t="s">
        <v>856</v>
      </c>
      <c r="V88" s="506"/>
      <c r="W88" s="506" t="s">
        <v>857</v>
      </c>
      <c r="X88" s="506" t="s">
        <v>858</v>
      </c>
      <c r="Y88" s="506"/>
      <c r="Z88" s="506" t="s">
        <v>859</v>
      </c>
      <c r="AA88" s="506" t="s">
        <v>859</v>
      </c>
      <c r="AB88" s="525" t="s">
        <v>853</v>
      </c>
      <c r="AC88" s="525" t="s">
        <v>854</v>
      </c>
    </row>
    <row r="89" spans="1:29" x14ac:dyDescent="0.2">
      <c r="A89" s="581" t="s">
        <v>353</v>
      </c>
      <c r="B89" s="166"/>
      <c r="C89" s="166"/>
      <c r="D89" s="166"/>
      <c r="E89" s="166"/>
      <c r="F89" s="166"/>
      <c r="G89" s="166" t="s">
        <v>343</v>
      </c>
      <c r="H89" s="166" t="s">
        <v>342</v>
      </c>
      <c r="T89" s="506">
        <v>1048.9604999999999</v>
      </c>
      <c r="U89" s="506">
        <v>1033.3605</v>
      </c>
      <c r="V89" s="506"/>
      <c r="W89" s="506">
        <v>420.51</v>
      </c>
      <c r="X89" s="506">
        <v>445.68380999999999</v>
      </c>
      <c r="Y89" s="506"/>
      <c r="Z89" s="506">
        <v>3600</v>
      </c>
      <c r="AA89" s="506">
        <v>3620</v>
      </c>
      <c r="AB89" s="525">
        <f>Z89-T89-W89-$G$46</f>
        <v>2130.5294999999996</v>
      </c>
      <c r="AC89" s="525">
        <f>AA89-U89-X89-$G$46</f>
        <v>2140.9556900000002</v>
      </c>
    </row>
    <row r="90" spans="1:29" x14ac:dyDescent="0.2">
      <c r="A90" s="582"/>
      <c r="B90" s="166"/>
      <c r="C90" s="166"/>
      <c r="D90" s="166"/>
      <c r="E90" s="166"/>
      <c r="F90" s="147">
        <v>5.7</v>
      </c>
      <c r="G90" s="505">
        <v>2855.7157864999999</v>
      </c>
      <c r="H90" s="166">
        <v>3748.6941000000002</v>
      </c>
      <c r="Q90" s="171">
        <f t="shared" ref="Q90:Q98" si="6">G90+G61+G32</f>
        <v>4592.4635602790004</v>
      </c>
      <c r="R90" s="144">
        <v>3600</v>
      </c>
      <c r="S90" s="172"/>
      <c r="T90" s="506">
        <v>1263.0074999999999</v>
      </c>
      <c r="U90" s="506">
        <v>1242.0074999999999</v>
      </c>
      <c r="V90" s="506"/>
      <c r="W90" s="506">
        <v>439.42857000000004</v>
      </c>
      <c r="X90" s="506">
        <v>463.91676000000007</v>
      </c>
      <c r="Y90" s="506"/>
      <c r="Z90" s="506">
        <v>4030</v>
      </c>
      <c r="AA90" s="506">
        <v>4260</v>
      </c>
      <c r="AB90" s="525">
        <f t="shared" ref="AB90:AB97" si="7">Z90-T90-W90-$G$46</f>
        <v>2327.5639300000003</v>
      </c>
      <c r="AC90" s="525">
        <f t="shared" ref="AC90:AC97" si="8">AA90-U90-X90-$G$46</f>
        <v>2554.0757400000002</v>
      </c>
    </row>
    <row r="91" spans="1:29" x14ac:dyDescent="0.2">
      <c r="A91" s="582"/>
      <c r="B91" s="166"/>
      <c r="C91" s="166"/>
      <c r="D91" s="166"/>
      <c r="E91" s="166"/>
      <c r="F91" s="147">
        <v>8.8000000000000007</v>
      </c>
      <c r="G91" s="166">
        <v>3071.0228587000001</v>
      </c>
      <c r="H91" s="166">
        <v>3889.0420381499998</v>
      </c>
      <c r="Q91" s="171">
        <f t="shared" si="6"/>
        <v>5191.9657142000005</v>
      </c>
      <c r="R91" s="144">
        <v>4030</v>
      </c>
      <c r="S91" s="172"/>
      <c r="T91" s="506">
        <v>1514.5305000000001</v>
      </c>
      <c r="U91" s="506">
        <v>1597.3905</v>
      </c>
      <c r="V91" s="506"/>
      <c r="W91" s="506">
        <v>448.28039999999999</v>
      </c>
      <c r="X91" s="506">
        <v>472.46181000000001</v>
      </c>
      <c r="Y91" s="506"/>
      <c r="Z91" s="506">
        <v>4430</v>
      </c>
      <c r="AA91" s="506">
        <v>4990</v>
      </c>
      <c r="AB91" s="525">
        <f t="shared" si="7"/>
        <v>2467.1891000000001</v>
      </c>
      <c r="AC91" s="525">
        <f t="shared" si="8"/>
        <v>2920.1476899999998</v>
      </c>
    </row>
    <row r="92" spans="1:29" x14ac:dyDescent="0.2">
      <c r="A92" s="582"/>
      <c r="B92" s="166"/>
      <c r="C92" s="166"/>
      <c r="D92" s="166"/>
      <c r="E92" s="166"/>
      <c r="F92" s="147">
        <v>12.8</v>
      </c>
      <c r="G92" s="166">
        <v>2911.3743639999998</v>
      </c>
      <c r="H92" s="166">
        <v>3512.3593134500006</v>
      </c>
      <c r="Q92" s="171">
        <f t="shared" si="6"/>
        <v>5607.956823999999</v>
      </c>
      <c r="R92" s="144">
        <v>4430</v>
      </c>
      <c r="S92" s="172"/>
      <c r="T92" s="506">
        <v>1635.0014999999999</v>
      </c>
      <c r="U92" s="506">
        <v>1695.0014999999999</v>
      </c>
      <c r="V92" s="506"/>
      <c r="W92" s="506">
        <v>467.12603999999999</v>
      </c>
      <c r="X92" s="506">
        <v>490.89242999999999</v>
      </c>
      <c r="Y92" s="506"/>
      <c r="Z92" s="506">
        <v>4780</v>
      </c>
      <c r="AA92" s="506">
        <v>5770</v>
      </c>
      <c r="AB92" s="525">
        <f t="shared" si="7"/>
        <v>2677.87246</v>
      </c>
      <c r="AC92" s="525">
        <f t="shared" si="8"/>
        <v>3584.1060700000003</v>
      </c>
    </row>
    <row r="93" spans="1:29" x14ac:dyDescent="0.2">
      <c r="A93" s="582"/>
      <c r="B93" s="166"/>
      <c r="C93" s="166"/>
      <c r="D93" s="166"/>
      <c r="E93" s="166"/>
      <c r="F93" s="147">
        <v>16.5</v>
      </c>
      <c r="G93" s="166">
        <v>3146.3334428999997</v>
      </c>
      <c r="H93" s="166">
        <v>3548.3066164000002</v>
      </c>
      <c r="Q93" s="171">
        <f t="shared" si="6"/>
        <v>5869.7804351189998</v>
      </c>
      <c r="R93" s="144">
        <v>4780</v>
      </c>
      <c r="S93" s="172"/>
      <c r="T93" s="506">
        <v>1724.8215</v>
      </c>
      <c r="U93" s="506">
        <v>1839.3615</v>
      </c>
      <c r="V93" s="506"/>
      <c r="W93" s="506">
        <v>468.86168999999995</v>
      </c>
      <c r="X93" s="506">
        <v>492.59793000000002</v>
      </c>
      <c r="Y93" s="506"/>
      <c r="Z93" s="506">
        <v>6000</v>
      </c>
      <c r="AA93" s="506">
        <v>6070</v>
      </c>
      <c r="AB93" s="525">
        <f t="shared" si="7"/>
        <v>3806.3168100000003</v>
      </c>
      <c r="AC93" s="525">
        <f t="shared" si="8"/>
        <v>3738.0405700000001</v>
      </c>
    </row>
    <row r="94" spans="1:29" x14ac:dyDescent="0.2">
      <c r="A94" s="582"/>
      <c r="B94" s="166"/>
      <c r="C94" s="166"/>
      <c r="D94" s="166"/>
      <c r="E94" s="166"/>
      <c r="F94" s="147">
        <v>22</v>
      </c>
      <c r="G94" s="166">
        <v>5177.4806644</v>
      </c>
      <c r="H94" s="166">
        <v>7815.5444693999998</v>
      </c>
      <c r="Q94" s="171">
        <f t="shared" si="6"/>
        <v>7980.1965557989997</v>
      </c>
      <c r="R94" s="144">
        <v>6000</v>
      </c>
      <c r="S94" s="172"/>
      <c r="T94" s="506">
        <v>2165.0639999999999</v>
      </c>
      <c r="U94" s="506">
        <v>2225.0639999999999</v>
      </c>
      <c r="V94" s="506"/>
      <c r="W94" s="506">
        <v>582.84186</v>
      </c>
      <c r="X94" s="506">
        <v>605.52554999999995</v>
      </c>
      <c r="Y94" s="506"/>
      <c r="Z94" s="506">
        <v>6870</v>
      </c>
      <c r="AA94" s="506">
        <v>8020</v>
      </c>
      <c r="AB94" s="525">
        <f t="shared" si="7"/>
        <v>4122.0941399999992</v>
      </c>
      <c r="AC94" s="525">
        <f t="shared" si="8"/>
        <v>5189.4104499999994</v>
      </c>
    </row>
    <row r="95" spans="1:29" x14ac:dyDescent="0.2">
      <c r="A95" s="582"/>
      <c r="B95" s="166"/>
      <c r="C95" s="166"/>
      <c r="D95" s="166"/>
      <c r="E95" s="166"/>
      <c r="F95" s="147">
        <v>29</v>
      </c>
      <c r="G95" s="166">
        <v>5236.0526491000001</v>
      </c>
      <c r="H95" s="166">
        <v>8217.3585999000006</v>
      </c>
      <c r="Q95" s="171">
        <f t="shared" si="6"/>
        <v>8535.8825690189988</v>
      </c>
      <c r="R95" s="144">
        <v>6870</v>
      </c>
      <c r="S95" s="172"/>
      <c r="T95" s="506">
        <v>2521.5135</v>
      </c>
      <c r="U95" s="506">
        <v>2676.1934999999999</v>
      </c>
      <c r="V95" s="506"/>
      <c r="W95" s="506">
        <v>684.05477999999994</v>
      </c>
      <c r="X95" s="506">
        <v>706.01063999999997</v>
      </c>
      <c r="Y95" s="506"/>
      <c r="Z95" s="506">
        <v>8670</v>
      </c>
      <c r="AA95" s="506">
        <v>8960</v>
      </c>
      <c r="AB95" s="525">
        <f t="shared" si="7"/>
        <v>5464.4317200000005</v>
      </c>
      <c r="AC95" s="525">
        <f t="shared" si="8"/>
        <v>5577.7958600000002</v>
      </c>
    </row>
    <row r="96" spans="1:29" x14ac:dyDescent="0.2">
      <c r="A96" s="582"/>
      <c r="B96" s="166"/>
      <c r="C96" s="166"/>
      <c r="D96" s="166"/>
      <c r="E96" s="166"/>
      <c r="F96" s="147">
        <v>35</v>
      </c>
      <c r="G96" s="166">
        <v>5239.3470412999995</v>
      </c>
      <c r="H96" s="166">
        <v>8325.6075921000011</v>
      </c>
      <c r="Q96" s="171">
        <f t="shared" si="6"/>
        <v>9227.9121871362495</v>
      </c>
      <c r="R96" s="144">
        <v>8670</v>
      </c>
      <c r="S96" s="172"/>
      <c r="T96" s="506">
        <v>2917.8074999999999</v>
      </c>
      <c r="U96" s="506">
        <v>3097.8074999999999</v>
      </c>
      <c r="V96" s="506"/>
      <c r="W96" s="506">
        <v>697.67457000000002</v>
      </c>
      <c r="X96" s="506">
        <v>718.85451</v>
      </c>
      <c r="Y96" s="506"/>
      <c r="Z96" s="506">
        <v>10290</v>
      </c>
      <c r="AA96" s="506">
        <v>10890</v>
      </c>
      <c r="AB96" s="525">
        <f t="shared" si="7"/>
        <v>6674.51793</v>
      </c>
      <c r="AC96" s="525">
        <f t="shared" si="8"/>
        <v>7073.33799</v>
      </c>
    </row>
    <row r="97" spans="1:29" x14ac:dyDescent="0.2">
      <c r="A97" s="582"/>
      <c r="B97" s="166"/>
      <c r="C97" s="166"/>
      <c r="D97" s="166"/>
      <c r="E97" s="166"/>
      <c r="F97" s="147">
        <v>44</v>
      </c>
      <c r="G97" s="166">
        <v>6727.1182521500004</v>
      </c>
      <c r="H97" s="166">
        <v>8717.6762981499996</v>
      </c>
      <c r="Q97" s="171">
        <f t="shared" si="6"/>
        <v>10871.325644010874</v>
      </c>
      <c r="R97" s="144">
        <v>10290</v>
      </c>
      <c r="S97" s="172"/>
      <c r="T97" s="506">
        <v>3258.723</v>
      </c>
      <c r="U97" s="506">
        <v>3528.723</v>
      </c>
      <c r="V97" s="506"/>
      <c r="W97" s="506">
        <v>697.67457000000002</v>
      </c>
      <c r="X97" s="506">
        <v>718.85451</v>
      </c>
      <c r="Y97" s="506"/>
      <c r="Z97" s="506">
        <v>10970</v>
      </c>
      <c r="AA97" s="506">
        <v>12850</v>
      </c>
      <c r="AB97" s="525">
        <f t="shared" si="7"/>
        <v>7013.6024299999999</v>
      </c>
      <c r="AC97" s="525">
        <f t="shared" si="8"/>
        <v>8602.4224900000008</v>
      </c>
    </row>
    <row r="98" spans="1:29" x14ac:dyDescent="0.2">
      <c r="A98" s="582"/>
      <c r="B98" s="166"/>
      <c r="C98" s="166"/>
      <c r="D98" s="166"/>
      <c r="E98" s="166"/>
      <c r="F98" s="147">
        <v>55</v>
      </c>
      <c r="G98" s="166">
        <v>8279.7907902000006</v>
      </c>
      <c r="H98" s="166">
        <v>12049.096546199999</v>
      </c>
      <c r="Q98" s="171">
        <f t="shared" si="6"/>
        <v>13625.23618043625</v>
      </c>
      <c r="R98" s="144">
        <v>10970</v>
      </c>
      <c r="S98" s="172"/>
      <c r="AA98" s="162"/>
    </row>
    <row r="99" spans="1:29" x14ac:dyDescent="0.2">
      <c r="A99" s="582"/>
      <c r="B99" s="166"/>
      <c r="C99" s="166"/>
      <c r="D99" s="166"/>
      <c r="E99" s="166"/>
      <c r="F99" s="166"/>
      <c r="G99" s="166"/>
      <c r="H99" s="166"/>
      <c r="AA99" s="162"/>
    </row>
    <row r="100" spans="1:29" x14ac:dyDescent="0.2">
      <c r="A100" s="582"/>
      <c r="B100" s="166"/>
      <c r="C100" s="166"/>
      <c r="D100" s="166"/>
      <c r="E100" s="166"/>
      <c r="F100" s="166"/>
      <c r="G100" s="166"/>
      <c r="H100" s="166"/>
      <c r="Q100" s="171">
        <f t="shared" ref="Q100:Q108" si="9">H90+H61+H32</f>
        <v>5976.6806000000006</v>
      </c>
      <c r="R100" s="144">
        <v>3620</v>
      </c>
      <c r="AA100" s="162"/>
      <c r="AB100" s="525">
        <f>Z100-T100-W100-$G$46</f>
        <v>0</v>
      </c>
    </row>
    <row r="101" spans="1:29" ht="15.75" x14ac:dyDescent="0.25">
      <c r="A101" s="582"/>
      <c r="B101" s="147">
        <v>5.7</v>
      </c>
      <c r="C101" s="166">
        <v>8.8000000000000007</v>
      </c>
      <c r="D101" s="166"/>
      <c r="E101" s="170">
        <f>E73</f>
        <v>0</v>
      </c>
      <c r="F101" s="170">
        <f>F73</f>
        <v>5.7</v>
      </c>
      <c r="G101" s="168">
        <f>IF($E101&gt;=MAX(volumi),MAX(G90:G98),IF($E101&lt;=MIN(volumi),MIN(G90:G98),VLOOKUP($E101,STRUTTURA,2,1)))</f>
        <v>2855.7157864999999</v>
      </c>
      <c r="H101" s="168">
        <f>IF($E101&gt;=MAX(volumi),MAX(H90:H98),IF($E101&lt;=MIN(volumi),MIN(H90:H98),VLOOKUP($E101,STRUTTURA,3,1)))</f>
        <v>3512.3593134500006</v>
      </c>
      <c r="Q101" s="171">
        <f>H91+H62+H33</f>
        <v>6223.2094085647004</v>
      </c>
      <c r="R101" s="144">
        <v>4260</v>
      </c>
      <c r="AA101" s="162"/>
    </row>
    <row r="102" spans="1:29" ht="15.75" x14ac:dyDescent="0.25">
      <c r="A102" s="582"/>
      <c r="B102" s="147">
        <v>8.8000000000000007</v>
      </c>
      <c r="C102" s="166">
        <v>12.8</v>
      </c>
      <c r="D102" s="166"/>
      <c r="E102" s="165"/>
      <c r="F102" s="165">
        <f>F74</f>
        <v>5.7</v>
      </c>
      <c r="G102" s="168">
        <f>VLOOKUP($F102,STRUTTURA,2,0)</f>
        <v>2855.7157864999999</v>
      </c>
      <c r="H102" s="168">
        <f>VLOOKUP($F102,STRUTTURA,3,0)</f>
        <v>3748.6941000000002</v>
      </c>
      <c r="Q102" s="171">
        <f t="shared" si="9"/>
        <v>6373.0305437847001</v>
      </c>
      <c r="R102" s="144">
        <v>4990</v>
      </c>
      <c r="AA102" s="162">
        <f>U89+X89+AC89</f>
        <v>3620</v>
      </c>
    </row>
    <row r="103" spans="1:29" ht="15.75" x14ac:dyDescent="0.25">
      <c r="A103" s="582"/>
      <c r="B103" s="147">
        <v>12.8</v>
      </c>
      <c r="C103" s="166">
        <v>16.5</v>
      </c>
      <c r="D103" s="166"/>
      <c r="E103" s="168"/>
      <c r="F103" s="165"/>
      <c r="G103" s="168"/>
      <c r="H103" s="165"/>
      <c r="Q103" s="171">
        <f t="shared" si="9"/>
        <v>6457.5815624000006</v>
      </c>
      <c r="R103" s="144">
        <v>5770</v>
      </c>
      <c r="AA103" s="162"/>
    </row>
    <row r="104" spans="1:29" ht="15.75" x14ac:dyDescent="0.25">
      <c r="A104" s="582"/>
      <c r="B104" s="147">
        <v>16.5</v>
      </c>
      <c r="C104" s="166">
        <v>22</v>
      </c>
      <c r="D104" s="166"/>
      <c r="E104" s="165"/>
      <c r="F104" s="167">
        <f>F76</f>
        <v>-5.7</v>
      </c>
      <c r="G104" s="168">
        <f>G102-G101</f>
        <v>0</v>
      </c>
      <c r="H104" s="165">
        <f>H102-H101</f>
        <v>236.33478654999954</v>
      </c>
      <c r="Q104" s="171">
        <f t="shared" si="9"/>
        <v>10936.061949829</v>
      </c>
      <c r="R104" s="144">
        <v>6070</v>
      </c>
      <c r="AA104" s="162"/>
    </row>
    <row r="105" spans="1:29" x14ac:dyDescent="0.2">
      <c r="A105" s="582"/>
      <c r="B105" s="147">
        <v>22</v>
      </c>
      <c r="C105" s="166">
        <v>29</v>
      </c>
      <c r="D105" s="166"/>
      <c r="E105" s="165"/>
      <c r="F105" s="165">
        <f>IF(F104&gt;0,1,-1)</f>
        <v>-1</v>
      </c>
      <c r="G105" s="165">
        <f>IF(E101&gt;MAX(volumi),G87,IF(E101&lt;MIN(volumi),J87,G104/$F104))</f>
        <v>70</v>
      </c>
      <c r="H105" s="165">
        <f>IF(E101&gt;MAX(volumi),H87,IF(E101&lt;MIN(volumi),J87,H104/$F104))</f>
        <v>70</v>
      </c>
      <c r="Q105" s="171">
        <f t="shared" si="9"/>
        <v>12174.845872595801</v>
      </c>
      <c r="R105" s="144">
        <v>8020</v>
      </c>
      <c r="AA105" s="162"/>
    </row>
    <row r="106" spans="1:29" x14ac:dyDescent="0.2">
      <c r="A106" s="582"/>
      <c r="B106" s="147">
        <v>29</v>
      </c>
      <c r="C106" s="166">
        <v>35</v>
      </c>
      <c r="D106" s="166"/>
      <c r="E106" s="165" t="s">
        <v>341</v>
      </c>
      <c r="F106" s="167">
        <f>IF(E101&gt;B109,F104*F105,E101-F101)</f>
        <v>-5.7</v>
      </c>
      <c r="G106" s="165">
        <f>ROUNDUP(G105*F106,-1)</f>
        <v>-400</v>
      </c>
      <c r="H106" s="165">
        <f>ROUNDUP(H105*F106,-1)</f>
        <v>-400</v>
      </c>
      <c r="Q106" s="171">
        <f t="shared" si="9"/>
        <v>12871.524281107249</v>
      </c>
      <c r="R106" s="144">
        <v>8960</v>
      </c>
      <c r="AA106" s="162"/>
    </row>
    <row r="107" spans="1:29" x14ac:dyDescent="0.2">
      <c r="A107" s="582"/>
      <c r="B107" s="147">
        <v>35</v>
      </c>
      <c r="C107" s="166">
        <v>44</v>
      </c>
      <c r="D107" s="166"/>
      <c r="E107" s="165"/>
      <c r="F107" s="165"/>
      <c r="G107" s="165"/>
      <c r="H107" s="165"/>
      <c r="Q107" s="171">
        <f t="shared" si="9"/>
        <v>13424.474545155874</v>
      </c>
      <c r="R107" s="144">
        <v>10890</v>
      </c>
      <c r="AA107" s="162"/>
    </row>
    <row r="108" spans="1:29" x14ac:dyDescent="0.2">
      <c r="A108" s="582"/>
      <c r="B108" s="147">
        <v>44</v>
      </c>
      <c r="C108" s="166">
        <v>55</v>
      </c>
      <c r="D108" s="166"/>
      <c r="E108" s="165" t="s">
        <v>340</v>
      </c>
      <c r="F108" s="165" t="s">
        <v>339</v>
      </c>
      <c r="G108" s="165">
        <f>B87</f>
        <v>250</v>
      </c>
      <c r="H108" s="165">
        <f>G108</f>
        <v>250</v>
      </c>
      <c r="Q108" s="171">
        <f t="shared" si="9"/>
        <v>17642.077022406251</v>
      </c>
      <c r="R108" s="144">
        <v>12850</v>
      </c>
      <c r="AA108" s="162"/>
    </row>
    <row r="109" spans="1:29" x14ac:dyDescent="0.2">
      <c r="A109" s="582"/>
      <c r="B109" s="147">
        <v>55</v>
      </c>
      <c r="C109" s="166"/>
      <c r="D109" s="166"/>
      <c r="E109" s="165"/>
      <c r="F109" s="165" t="s">
        <v>338</v>
      </c>
      <c r="G109" s="165">
        <f>ROUNDUP(E101*F87,-1)</f>
        <v>0</v>
      </c>
      <c r="H109" s="165">
        <f>G109</f>
        <v>0</v>
      </c>
      <c r="AA109" s="162"/>
    </row>
    <row r="110" spans="1:29" x14ac:dyDescent="0.2">
      <c r="A110" s="582"/>
      <c r="B110" s="166"/>
      <c r="C110" s="166"/>
      <c r="D110" s="166"/>
      <c r="E110" s="165" t="s">
        <v>337</v>
      </c>
      <c r="F110" s="165"/>
      <c r="G110" s="165">
        <f>G109+G108</f>
        <v>250</v>
      </c>
      <c r="H110" s="165">
        <f>H109+H108</f>
        <v>250</v>
      </c>
      <c r="AA110" s="162"/>
    </row>
    <row r="111" spans="1:29" x14ac:dyDescent="0.2">
      <c r="A111" s="582"/>
      <c r="B111" s="166"/>
      <c r="C111" s="166"/>
      <c r="D111" s="166"/>
      <c r="E111" s="165"/>
      <c r="F111" s="165"/>
      <c r="G111" s="165"/>
      <c r="H111" s="165"/>
      <c r="AA111" s="162"/>
    </row>
    <row r="112" spans="1:29" x14ac:dyDescent="0.2">
      <c r="A112" s="583"/>
      <c r="B112" s="166"/>
      <c r="C112" s="166"/>
      <c r="D112" s="166"/>
      <c r="E112" s="165" t="s">
        <v>336</v>
      </c>
      <c r="F112" s="165" t="s">
        <v>352</v>
      </c>
      <c r="G112" s="165">
        <f>IF($E101&gt;$B109,G98+G106+G110,G101+G106+G110)</f>
        <v>2705.7157864999999</v>
      </c>
      <c r="H112" s="165">
        <f>IF($E101&gt;$B109,H98+H106+H110,H101+H106+H110)</f>
        <v>3362.3593134500006</v>
      </c>
      <c r="Q112" s="526">
        <v>2018</v>
      </c>
      <c r="R112" s="527"/>
      <c r="S112" s="527"/>
      <c r="T112" s="527" t="s">
        <v>855</v>
      </c>
      <c r="U112" s="527" t="s">
        <v>856</v>
      </c>
      <c r="V112" s="527"/>
      <c r="W112" s="527" t="s">
        <v>857</v>
      </c>
      <c r="X112" s="527" t="s">
        <v>858</v>
      </c>
      <c r="Y112" s="527"/>
      <c r="Z112" s="527" t="s">
        <v>859</v>
      </c>
      <c r="AA112" s="527" t="s">
        <v>859</v>
      </c>
      <c r="AB112" s="530" t="s">
        <v>853</v>
      </c>
      <c r="AC112" s="530" t="s">
        <v>854</v>
      </c>
    </row>
    <row r="113" spans="1:29" x14ac:dyDescent="0.2">
      <c r="Q113" s="527"/>
      <c r="R113" s="527"/>
      <c r="S113" s="527"/>
      <c r="T113" s="527"/>
      <c r="U113" s="527"/>
      <c r="V113" s="527"/>
      <c r="W113" s="527"/>
      <c r="X113" s="527"/>
      <c r="Y113" s="527"/>
      <c r="Z113" s="527"/>
      <c r="AA113" s="528"/>
      <c r="AB113" s="530"/>
      <c r="AC113" s="530"/>
    </row>
    <row r="114" spans="1:29" x14ac:dyDescent="0.2">
      <c r="Q114" s="523">
        <v>4400</v>
      </c>
      <c r="R114" s="527"/>
      <c r="S114" s="527"/>
      <c r="T114" s="529">
        <v>1085.9283135000001</v>
      </c>
      <c r="U114" s="529">
        <v>1400</v>
      </c>
      <c r="V114" s="527"/>
      <c r="W114" s="527">
        <v>458.35590000000002</v>
      </c>
      <c r="X114" s="527">
        <v>580.43590000000006</v>
      </c>
      <c r="Y114" s="527"/>
      <c r="Z114" s="527">
        <v>4400</v>
      </c>
      <c r="AA114" s="523">
        <v>5729.13</v>
      </c>
      <c r="AB114" s="530">
        <f>Z114-T114-W114-$G$46</f>
        <v>2855.7157864999999</v>
      </c>
      <c r="AC114" s="530">
        <f>AA114-U114-X114-$G$46</f>
        <v>3748.6941000000002</v>
      </c>
    </row>
    <row r="115" spans="1:29" x14ac:dyDescent="0.2">
      <c r="B115" s="164" t="s">
        <v>339</v>
      </c>
      <c r="C115" s="164" t="s">
        <v>338</v>
      </c>
      <c r="D115" s="164" t="s">
        <v>351</v>
      </c>
      <c r="E115" s="164" t="s">
        <v>350</v>
      </c>
      <c r="F115" s="164" t="s">
        <v>349</v>
      </c>
      <c r="G115" s="164" t="s">
        <v>348</v>
      </c>
      <c r="H115" s="164" t="s">
        <v>347</v>
      </c>
      <c r="J115" s="166" t="s">
        <v>346</v>
      </c>
      <c r="K115" s="162"/>
      <c r="L115" s="162"/>
      <c r="M115" s="162"/>
      <c r="N115" s="162"/>
      <c r="O115" s="162"/>
      <c r="P115" s="162"/>
      <c r="Q115" s="523">
        <v>4950</v>
      </c>
      <c r="R115" s="527"/>
      <c r="S115" s="527"/>
      <c r="T115" s="529">
        <v>1400</v>
      </c>
      <c r="U115" s="529">
        <v>1463.1928205499999</v>
      </c>
      <c r="V115" s="527"/>
      <c r="W115" s="527">
        <v>478.97714130000003</v>
      </c>
      <c r="X115" s="527">
        <v>611.9571413000001</v>
      </c>
      <c r="Y115" s="527"/>
      <c r="Z115" s="527">
        <v>4950</v>
      </c>
      <c r="AA115" s="523">
        <v>5964.192</v>
      </c>
      <c r="AB115" s="530">
        <f t="shared" ref="AB115:AB122" si="10">Z115-T115-W115-$G$46</f>
        <v>3071.0228587000001</v>
      </c>
      <c r="AC115" s="530">
        <f t="shared" ref="AC115:AC122" si="11">AA115-U115-X115-$G$46</f>
        <v>3889.0420381499998</v>
      </c>
    </row>
    <row r="116" spans="1:29" x14ac:dyDescent="0.2">
      <c r="A116" s="164" t="s">
        <v>345</v>
      </c>
      <c r="B116" s="166">
        <v>250</v>
      </c>
      <c r="C116" s="166">
        <v>500</v>
      </c>
      <c r="D116" s="166">
        <v>2</v>
      </c>
      <c r="E116" s="166">
        <v>120</v>
      </c>
      <c r="F116" s="165">
        <f>C116/E116</f>
        <v>4.166666666666667</v>
      </c>
      <c r="G116" s="166">
        <v>100</v>
      </c>
      <c r="H116" s="166">
        <v>120</v>
      </c>
      <c r="J116" s="166">
        <v>80</v>
      </c>
      <c r="K116" s="162"/>
      <c r="L116" s="162"/>
      <c r="M116" s="162"/>
      <c r="N116" s="162"/>
      <c r="O116" s="162"/>
      <c r="P116" s="162"/>
      <c r="Q116" s="523">
        <v>5290</v>
      </c>
      <c r="R116" s="527"/>
      <c r="S116" s="527"/>
      <c r="T116" s="529">
        <v>1890</v>
      </c>
      <c r="U116" s="529">
        <v>1906.6280505499999</v>
      </c>
      <c r="V116" s="527"/>
      <c r="W116" s="527">
        <v>488.62563600000004</v>
      </c>
      <c r="X116" s="527">
        <v>625.96563600000002</v>
      </c>
      <c r="Y116" s="527"/>
      <c r="Z116" s="527">
        <v>5290</v>
      </c>
      <c r="AA116" s="523">
        <v>6044.9530000000004</v>
      </c>
      <c r="AB116" s="530">
        <f t="shared" si="10"/>
        <v>2911.3743639999998</v>
      </c>
      <c r="AC116" s="530">
        <f t="shared" si="11"/>
        <v>3512.3593134500006</v>
      </c>
    </row>
    <row r="117" spans="1:29" x14ac:dyDescent="0.2">
      <c r="Q117" s="523">
        <v>5550</v>
      </c>
      <c r="R117" s="527"/>
      <c r="S117" s="527"/>
      <c r="T117" s="529">
        <v>1894.4991735000001</v>
      </c>
      <c r="U117" s="529">
        <v>1920</v>
      </c>
      <c r="V117" s="527"/>
      <c r="W117" s="527">
        <v>509.16738360000005</v>
      </c>
      <c r="X117" s="527">
        <v>657.4073836</v>
      </c>
      <c r="Y117" s="527"/>
      <c r="Z117" s="527">
        <v>5550</v>
      </c>
      <c r="AA117" s="523">
        <v>6125.7139999999999</v>
      </c>
      <c r="AB117" s="530">
        <f t="shared" si="10"/>
        <v>3146.3334428999997</v>
      </c>
      <c r="AC117" s="530">
        <f t="shared" si="11"/>
        <v>3548.3066164000002</v>
      </c>
    </row>
    <row r="118" spans="1:29" x14ac:dyDescent="0.2">
      <c r="A118" s="581" t="s">
        <v>344</v>
      </c>
      <c r="B118" s="166"/>
      <c r="C118" s="166"/>
      <c r="D118" s="166"/>
      <c r="E118" s="166"/>
      <c r="F118" s="166"/>
      <c r="G118" s="166" t="s">
        <v>343</v>
      </c>
      <c r="H118" s="166" t="s">
        <v>342</v>
      </c>
      <c r="K118" s="162"/>
      <c r="L118" s="162"/>
      <c r="M118" s="162"/>
      <c r="N118" s="162"/>
      <c r="O118" s="162"/>
      <c r="P118" s="162"/>
      <c r="Q118" s="523">
        <v>7650</v>
      </c>
      <c r="R118" s="527"/>
      <c r="S118" s="527"/>
      <c r="T118" s="529">
        <v>1961.4600934999999</v>
      </c>
      <c r="U118" s="529">
        <v>2100.3262884999999</v>
      </c>
      <c r="V118" s="527"/>
      <c r="W118" s="527">
        <v>511.05924210000006</v>
      </c>
      <c r="X118" s="527">
        <v>660.38924210000005</v>
      </c>
      <c r="Y118" s="527"/>
      <c r="Z118" s="527">
        <v>7650</v>
      </c>
      <c r="AA118" s="523">
        <v>10576.26</v>
      </c>
      <c r="AB118" s="530">
        <f t="shared" si="10"/>
        <v>5177.4806644</v>
      </c>
      <c r="AC118" s="530">
        <f t="shared" si="11"/>
        <v>7815.5444693999998</v>
      </c>
    </row>
    <row r="119" spans="1:29" x14ac:dyDescent="0.2">
      <c r="A119" s="582"/>
      <c r="B119" s="166"/>
      <c r="C119" s="166"/>
      <c r="D119" s="166"/>
      <c r="E119" s="166"/>
      <c r="F119" s="147">
        <v>5.7</v>
      </c>
      <c r="G119" s="147">
        <v>4400</v>
      </c>
      <c r="H119" s="147">
        <v>5729.13</v>
      </c>
      <c r="K119" s="162"/>
      <c r="L119" s="162"/>
      <c r="M119" s="162"/>
      <c r="N119" s="162"/>
      <c r="O119" s="162"/>
      <c r="P119" s="162"/>
      <c r="Q119" s="523">
        <v>8150</v>
      </c>
      <c r="R119" s="527"/>
      <c r="S119" s="527"/>
      <c r="T119" s="529">
        <v>2278.6497234999997</v>
      </c>
      <c r="U119" s="529">
        <v>2696.0737727000001</v>
      </c>
      <c r="V119" s="527"/>
      <c r="W119" s="527">
        <v>635.29762740000001</v>
      </c>
      <c r="X119" s="527">
        <v>802.06762739999999</v>
      </c>
      <c r="Y119" s="527"/>
      <c r="Z119" s="527">
        <v>8150</v>
      </c>
      <c r="AA119" s="523">
        <v>11715.5</v>
      </c>
      <c r="AB119" s="530">
        <f t="shared" si="10"/>
        <v>5236.0526491000001</v>
      </c>
      <c r="AC119" s="530">
        <f t="shared" si="11"/>
        <v>8217.3585999000006</v>
      </c>
    </row>
    <row r="120" spans="1:29" x14ac:dyDescent="0.2">
      <c r="A120" s="582"/>
      <c r="B120" s="166"/>
      <c r="C120" s="166"/>
      <c r="D120" s="166"/>
      <c r="E120" s="166"/>
      <c r="F120" s="147">
        <v>8.8000000000000007</v>
      </c>
      <c r="G120" s="147">
        <v>4950</v>
      </c>
      <c r="H120" s="147">
        <v>5964.192</v>
      </c>
      <c r="K120" s="162"/>
      <c r="L120" s="162"/>
      <c r="M120" s="162"/>
      <c r="N120" s="162"/>
      <c r="O120" s="162"/>
      <c r="P120" s="162"/>
      <c r="Q120" s="523">
        <v>8670</v>
      </c>
      <c r="R120" s="527"/>
      <c r="S120" s="527"/>
      <c r="T120" s="529">
        <v>2685.0332484999999</v>
      </c>
      <c r="U120" s="529">
        <v>2988.4726977</v>
      </c>
      <c r="V120" s="527"/>
      <c r="W120" s="527">
        <v>745.6197102000001</v>
      </c>
      <c r="X120" s="527">
        <v>930.91971020000005</v>
      </c>
      <c r="Y120" s="527"/>
      <c r="Z120" s="527">
        <v>8670</v>
      </c>
      <c r="AA120" s="523">
        <v>12245</v>
      </c>
      <c r="AB120" s="530">
        <f t="shared" si="10"/>
        <v>5239.3470412999995</v>
      </c>
      <c r="AC120" s="530">
        <f t="shared" si="11"/>
        <v>8325.6075921000011</v>
      </c>
    </row>
    <row r="121" spans="1:29" x14ac:dyDescent="0.2">
      <c r="A121" s="582"/>
      <c r="B121" s="166"/>
      <c r="C121" s="166"/>
      <c r="D121" s="166"/>
      <c r="E121" s="166"/>
      <c r="F121" s="147">
        <v>12.8</v>
      </c>
      <c r="G121" s="147">
        <v>5290</v>
      </c>
      <c r="H121" s="147">
        <v>6044.9530000000004</v>
      </c>
      <c r="K121" s="162"/>
      <c r="L121" s="162"/>
      <c r="M121" s="162"/>
      <c r="N121" s="162"/>
      <c r="O121" s="162"/>
      <c r="P121" s="162"/>
      <c r="Q121" s="523">
        <v>10290</v>
      </c>
      <c r="R121" s="527"/>
      <c r="S121" s="527"/>
      <c r="T121" s="529">
        <v>2802.4164665499998</v>
      </c>
      <c r="U121" s="529">
        <v>3096.74842055</v>
      </c>
      <c r="V121" s="527"/>
      <c r="W121" s="527">
        <v>760.46528130000013</v>
      </c>
      <c r="X121" s="527">
        <v>961.02528130000019</v>
      </c>
      <c r="Y121" s="527"/>
      <c r="Z121" s="527">
        <v>10290</v>
      </c>
      <c r="AA121" s="523">
        <v>12775.45</v>
      </c>
      <c r="AB121" s="530">
        <f t="shared" si="10"/>
        <v>6727.1182521500004</v>
      </c>
      <c r="AC121" s="530">
        <f t="shared" si="11"/>
        <v>8717.6762981499996</v>
      </c>
    </row>
    <row r="122" spans="1:29" x14ac:dyDescent="0.2">
      <c r="A122" s="582"/>
      <c r="B122" s="166"/>
      <c r="C122" s="166"/>
      <c r="D122" s="166"/>
      <c r="E122" s="166"/>
      <c r="F122" s="147">
        <v>16.5</v>
      </c>
      <c r="G122" s="147">
        <v>5550</v>
      </c>
      <c r="H122" s="147">
        <v>6125.7139999999999</v>
      </c>
      <c r="K122" s="162"/>
      <c r="L122" s="162"/>
      <c r="M122" s="162"/>
      <c r="N122" s="162"/>
      <c r="O122" s="162"/>
      <c r="P122" s="162"/>
      <c r="Q122" s="523">
        <v>12850</v>
      </c>
      <c r="R122" s="527"/>
      <c r="S122" s="527"/>
      <c r="T122" s="529">
        <v>3809.7439284999996</v>
      </c>
      <c r="U122" s="529">
        <v>3839.8781725000003</v>
      </c>
      <c r="V122" s="527"/>
      <c r="W122" s="527">
        <v>760.46528130000013</v>
      </c>
      <c r="X122" s="527">
        <v>961.02528130000019</v>
      </c>
      <c r="Y122" s="527"/>
      <c r="Z122" s="527">
        <v>12850</v>
      </c>
      <c r="AA122" s="523">
        <v>16850</v>
      </c>
      <c r="AB122" s="530">
        <f t="shared" si="10"/>
        <v>8279.7907902000006</v>
      </c>
      <c r="AC122" s="530">
        <f t="shared" si="11"/>
        <v>12049.096546199999</v>
      </c>
    </row>
    <row r="123" spans="1:29" x14ac:dyDescent="0.2">
      <c r="A123" s="582"/>
      <c r="B123" s="166"/>
      <c r="C123" s="166"/>
      <c r="D123" s="166"/>
      <c r="E123" s="166"/>
      <c r="F123" s="147">
        <v>22</v>
      </c>
      <c r="G123" s="147">
        <v>7650</v>
      </c>
      <c r="H123" s="147">
        <v>10576.26</v>
      </c>
      <c r="K123" s="162"/>
      <c r="L123" s="162"/>
      <c r="M123" s="162"/>
      <c r="N123" s="162"/>
      <c r="O123" s="162"/>
      <c r="P123" s="162"/>
      <c r="AA123" s="162"/>
    </row>
    <row r="124" spans="1:29" x14ac:dyDescent="0.2">
      <c r="A124" s="582"/>
      <c r="B124" s="166"/>
      <c r="C124" s="166"/>
      <c r="D124" s="166"/>
      <c r="E124" s="166"/>
      <c r="F124" s="147">
        <v>29</v>
      </c>
      <c r="G124" s="147">
        <v>8150</v>
      </c>
      <c r="H124" s="147">
        <v>11715.5</v>
      </c>
      <c r="K124" s="162"/>
      <c r="L124" s="162"/>
      <c r="M124" s="162"/>
      <c r="N124" s="162"/>
      <c r="O124" s="162"/>
      <c r="P124" s="162"/>
      <c r="Q124" s="523"/>
      <c r="AA124" s="162"/>
    </row>
    <row r="125" spans="1:29" x14ac:dyDescent="0.2">
      <c r="A125" s="582"/>
      <c r="B125" s="166"/>
      <c r="C125" s="166"/>
      <c r="D125" s="166"/>
      <c r="E125" s="166"/>
      <c r="F125" s="147">
        <v>35</v>
      </c>
      <c r="G125" s="147">
        <v>8670</v>
      </c>
      <c r="H125" s="147">
        <v>12245</v>
      </c>
      <c r="K125" s="162"/>
      <c r="L125" s="162"/>
      <c r="M125" s="162"/>
      <c r="N125" s="162"/>
      <c r="O125" s="162"/>
      <c r="P125" s="162"/>
      <c r="Q125" s="523"/>
      <c r="AA125" s="162"/>
    </row>
    <row r="126" spans="1:29" x14ac:dyDescent="0.2">
      <c r="A126" s="582"/>
      <c r="B126" s="166"/>
      <c r="C126" s="166"/>
      <c r="D126" s="166"/>
      <c r="E126" s="166"/>
      <c r="F126" s="147">
        <v>44</v>
      </c>
      <c r="G126" s="147">
        <v>10290</v>
      </c>
      <c r="H126" s="147">
        <v>12775.45</v>
      </c>
      <c r="K126" s="162"/>
      <c r="L126" s="162"/>
      <c r="M126" s="162"/>
      <c r="N126" s="162"/>
      <c r="O126" s="162"/>
      <c r="P126" s="162"/>
      <c r="Q126" s="523"/>
      <c r="AA126" s="162"/>
    </row>
    <row r="127" spans="1:29" x14ac:dyDescent="0.2">
      <c r="A127" s="582"/>
      <c r="B127" s="166"/>
      <c r="C127" s="166"/>
      <c r="D127" s="166"/>
      <c r="E127" s="166"/>
      <c r="F127" s="147">
        <v>55</v>
      </c>
      <c r="G127" s="147">
        <v>12850</v>
      </c>
      <c r="H127" s="147">
        <v>16850</v>
      </c>
      <c r="K127" s="162"/>
      <c r="L127" s="162"/>
      <c r="M127" s="162"/>
      <c r="N127" s="162"/>
      <c r="O127" s="162"/>
      <c r="P127" s="162"/>
      <c r="Q127" s="523"/>
      <c r="AA127" s="162"/>
    </row>
    <row r="128" spans="1:29" x14ac:dyDescent="0.2">
      <c r="A128" s="582"/>
      <c r="B128" s="166"/>
      <c r="C128" s="166"/>
      <c r="D128" s="166"/>
      <c r="E128" s="166"/>
      <c r="F128" s="166"/>
      <c r="G128" s="166"/>
      <c r="H128" s="166"/>
      <c r="K128" s="162"/>
      <c r="L128" s="162"/>
      <c r="M128" s="162"/>
      <c r="N128" s="162"/>
      <c r="O128" s="162"/>
      <c r="P128" s="162"/>
      <c r="Q128" s="523"/>
      <c r="AA128" s="162"/>
    </row>
    <row r="129" spans="1:27" x14ac:dyDescent="0.2">
      <c r="A129" s="582"/>
      <c r="B129" s="166"/>
      <c r="C129" s="166"/>
      <c r="D129" s="166"/>
      <c r="E129" s="166"/>
      <c r="F129" s="166"/>
      <c r="G129" s="166"/>
      <c r="H129" s="166"/>
      <c r="I129" s="162"/>
      <c r="J129" s="162"/>
      <c r="K129" s="162"/>
      <c r="L129" s="162"/>
      <c r="M129" s="162"/>
      <c r="N129" s="162"/>
      <c r="O129" s="162"/>
      <c r="P129" s="162"/>
      <c r="Q129" s="523"/>
      <c r="AA129" s="162"/>
    </row>
    <row r="130" spans="1:27" ht="15.75" x14ac:dyDescent="0.25">
      <c r="A130" s="582"/>
      <c r="B130" s="147">
        <v>5.7</v>
      </c>
      <c r="C130" s="166">
        <v>8.8000000000000007</v>
      </c>
      <c r="D130" s="166"/>
      <c r="E130" s="170">
        <f>E101</f>
        <v>0</v>
      </c>
      <c r="F130" s="169">
        <f>F101</f>
        <v>5.7</v>
      </c>
      <c r="G130" s="168">
        <f>IF($E130&gt;=MAX(volumi),MAX(G119:G127),IF($E130&lt;=MIN(volumi),MIN(G119:G127),VLOOKUP($E130,SILO,2,1)))</f>
        <v>4400</v>
      </c>
      <c r="H130" s="168">
        <f>IF($E130&gt;=MAX(volumi),MAX(H119:H127),IF($E130&lt;=MIN(volumi),MIN(H119:H127),VLOOKUP($E130,SILO,3,1)))</f>
        <v>5729.13</v>
      </c>
      <c r="I130" s="162"/>
      <c r="J130" s="162"/>
      <c r="K130" s="162"/>
      <c r="L130" s="162"/>
      <c r="M130" s="162"/>
      <c r="N130" s="162"/>
      <c r="O130" s="162"/>
      <c r="P130" s="162"/>
      <c r="Q130" s="523"/>
      <c r="AA130" s="162"/>
    </row>
    <row r="131" spans="1:27" ht="15.75" x14ac:dyDescent="0.25">
      <c r="A131" s="582"/>
      <c r="B131" s="147">
        <v>8.8000000000000007</v>
      </c>
      <c r="C131" s="166">
        <v>12.8</v>
      </c>
      <c r="D131" s="166"/>
      <c r="E131" s="165"/>
      <c r="F131" s="165">
        <f>F102</f>
        <v>5.7</v>
      </c>
      <c r="G131" s="168">
        <f>VLOOKUP($F131,SILO,2,0)</f>
        <v>4400</v>
      </c>
      <c r="H131" s="168">
        <f>VLOOKUP($F131,SILO,3,0)</f>
        <v>5729.13</v>
      </c>
      <c r="I131" s="162"/>
      <c r="J131" s="162"/>
      <c r="K131" s="162"/>
      <c r="L131" s="162"/>
      <c r="M131" s="162"/>
      <c r="N131" s="162"/>
      <c r="O131" s="162"/>
      <c r="P131" s="162"/>
      <c r="Q131" s="523"/>
      <c r="AA131" s="162"/>
    </row>
    <row r="132" spans="1:27" ht="15.75" x14ac:dyDescent="0.25">
      <c r="A132" s="582"/>
      <c r="B132" s="147">
        <v>12.8</v>
      </c>
      <c r="C132" s="166">
        <v>16.5</v>
      </c>
      <c r="D132" s="166"/>
      <c r="E132" s="168"/>
      <c r="F132" s="165"/>
      <c r="G132" s="168"/>
      <c r="H132" s="165"/>
      <c r="I132" s="162"/>
      <c r="J132" s="162"/>
      <c r="K132" s="162"/>
      <c r="L132" s="162"/>
      <c r="M132" s="162"/>
      <c r="N132" s="162"/>
      <c r="O132" s="162"/>
      <c r="P132" s="162"/>
      <c r="Q132" s="523"/>
      <c r="AA132" s="162"/>
    </row>
    <row r="133" spans="1:27" ht="15.75" x14ac:dyDescent="0.25">
      <c r="A133" s="582"/>
      <c r="B133" s="147">
        <v>16.5</v>
      </c>
      <c r="C133" s="166">
        <v>22</v>
      </c>
      <c r="D133" s="166"/>
      <c r="E133" s="165"/>
      <c r="F133" s="167">
        <f>F104</f>
        <v>-5.7</v>
      </c>
      <c r="G133" s="168">
        <f>G131-G130</f>
        <v>0</v>
      </c>
      <c r="H133" s="165">
        <f>H131-H130</f>
        <v>0</v>
      </c>
      <c r="I133" s="162"/>
      <c r="J133" s="162"/>
      <c r="K133" s="162"/>
      <c r="L133" s="162"/>
      <c r="M133" s="162"/>
      <c r="N133" s="162"/>
      <c r="O133" s="162"/>
      <c r="P133" s="162"/>
      <c r="AA133" s="162"/>
    </row>
    <row r="134" spans="1:27" x14ac:dyDescent="0.2">
      <c r="A134" s="582"/>
      <c r="B134" s="147">
        <v>22</v>
      </c>
      <c r="C134" s="166">
        <v>29</v>
      </c>
      <c r="D134" s="166"/>
      <c r="E134" s="165"/>
      <c r="F134" s="165">
        <f>IF(F133&gt;0,1,-1)</f>
        <v>-1</v>
      </c>
      <c r="G134" s="165">
        <f>IF(E130&gt;MAX(volumi),G116,IF(E130&lt;MIN(volumi),J116,G133/$F133))</f>
        <v>80</v>
      </c>
      <c r="H134" s="165">
        <f>IF(E130&gt;MAX(volumi),H116,IF(E130&lt;MIN(volumi),J116,H133/$F133))</f>
        <v>80</v>
      </c>
      <c r="I134" s="162"/>
      <c r="J134" s="162"/>
      <c r="K134" s="162"/>
      <c r="L134" s="162"/>
      <c r="M134" s="162"/>
      <c r="N134" s="162"/>
      <c r="O134" s="162"/>
      <c r="P134" s="162"/>
      <c r="AA134" s="162"/>
    </row>
    <row r="135" spans="1:27" x14ac:dyDescent="0.2">
      <c r="A135" s="582"/>
      <c r="B135" s="147">
        <v>29</v>
      </c>
      <c r="C135" s="166">
        <v>35</v>
      </c>
      <c r="D135" s="166"/>
      <c r="E135" s="165" t="s">
        <v>341</v>
      </c>
      <c r="F135" s="167">
        <f>IF(E130&gt;B138,F133*F134,E130-F130)</f>
        <v>-5.7</v>
      </c>
      <c r="G135" s="165">
        <f>ROUNDUP(G134*F135,-1)</f>
        <v>-460</v>
      </c>
      <c r="H135" s="165">
        <f>ROUNDUP(H134*F135,-1)</f>
        <v>-460</v>
      </c>
      <c r="I135" s="162"/>
      <c r="J135" s="162"/>
      <c r="K135" s="162"/>
      <c r="L135" s="162"/>
      <c r="M135" s="162"/>
      <c r="N135" s="162"/>
      <c r="O135" s="162"/>
      <c r="P135" s="162"/>
      <c r="AA135" s="162"/>
    </row>
    <row r="136" spans="1:27" x14ac:dyDescent="0.2">
      <c r="A136" s="582"/>
      <c r="B136" s="147">
        <v>35</v>
      </c>
      <c r="C136" s="166">
        <v>44</v>
      </c>
      <c r="D136" s="166"/>
      <c r="E136" s="165"/>
      <c r="F136" s="165"/>
      <c r="G136" s="165"/>
      <c r="H136" s="165"/>
      <c r="I136" s="162"/>
      <c r="J136" s="162"/>
      <c r="K136" s="162"/>
      <c r="L136" s="162"/>
      <c r="M136" s="162"/>
      <c r="N136" s="162"/>
      <c r="O136" s="162"/>
      <c r="P136" s="162"/>
      <c r="AA136" s="162"/>
    </row>
    <row r="137" spans="1:27" x14ac:dyDescent="0.2">
      <c r="A137" s="582"/>
      <c r="B137" s="147">
        <v>44</v>
      </c>
      <c r="C137" s="166">
        <v>55</v>
      </c>
      <c r="D137" s="166"/>
      <c r="E137" s="165" t="s">
        <v>340</v>
      </c>
      <c r="F137" s="165" t="s">
        <v>339</v>
      </c>
      <c r="G137" s="165">
        <f>B116</f>
        <v>250</v>
      </c>
      <c r="H137" s="165">
        <f>G137</f>
        <v>250</v>
      </c>
      <c r="I137" s="162"/>
      <c r="J137" s="162"/>
      <c r="K137" s="162"/>
      <c r="L137" s="162"/>
      <c r="M137" s="162"/>
      <c r="N137" s="162"/>
      <c r="O137" s="162"/>
      <c r="P137" s="162"/>
      <c r="AA137" s="162"/>
    </row>
    <row r="138" spans="1:27" x14ac:dyDescent="0.2">
      <c r="A138" s="582"/>
      <c r="B138" s="147">
        <v>55</v>
      </c>
      <c r="C138" s="166"/>
      <c r="D138" s="166"/>
      <c r="E138" s="165"/>
      <c r="F138" s="165" t="s">
        <v>338</v>
      </c>
      <c r="G138" s="165">
        <f>ROUNDUP(E130*F116,-1)</f>
        <v>0</v>
      </c>
      <c r="H138" s="165">
        <f>G138</f>
        <v>0</v>
      </c>
      <c r="I138" s="162"/>
      <c r="J138" s="162"/>
      <c r="K138" s="162"/>
      <c r="L138" s="162"/>
      <c r="M138" s="162"/>
      <c r="N138" s="162"/>
      <c r="O138" s="162"/>
      <c r="P138" s="162"/>
      <c r="AA138" s="162"/>
    </row>
    <row r="139" spans="1:27" x14ac:dyDescent="0.2">
      <c r="A139" s="582"/>
      <c r="B139" s="166"/>
      <c r="C139" s="166"/>
      <c r="D139" s="166"/>
      <c r="E139" s="165" t="s">
        <v>337</v>
      </c>
      <c r="F139" s="165"/>
      <c r="G139" s="165">
        <f>G138+G137</f>
        <v>250</v>
      </c>
      <c r="H139" s="165">
        <f>H138+H137</f>
        <v>250</v>
      </c>
      <c r="I139" s="162"/>
      <c r="J139" s="162"/>
      <c r="K139" s="162"/>
      <c r="L139" s="162"/>
      <c r="M139" s="162"/>
      <c r="N139" s="162"/>
      <c r="O139" s="162"/>
      <c r="P139" s="162"/>
      <c r="AA139" s="162"/>
    </row>
    <row r="140" spans="1:27" x14ac:dyDescent="0.2">
      <c r="A140" s="582"/>
      <c r="B140" s="166"/>
      <c r="C140" s="166"/>
      <c r="D140" s="166"/>
      <c r="E140" s="165"/>
      <c r="F140" s="165"/>
      <c r="G140" s="165"/>
      <c r="H140" s="165"/>
      <c r="I140" s="162"/>
      <c r="J140" s="162"/>
      <c r="K140" s="162"/>
      <c r="L140" s="162"/>
      <c r="M140" s="162"/>
      <c r="N140" s="162"/>
      <c r="O140" s="162"/>
      <c r="P140" s="162"/>
      <c r="AA140" s="162"/>
    </row>
    <row r="141" spans="1:27" x14ac:dyDescent="0.2">
      <c r="A141" s="583"/>
      <c r="B141" s="166"/>
      <c r="C141" s="166"/>
      <c r="D141" s="166"/>
      <c r="E141" s="165" t="s">
        <v>336</v>
      </c>
      <c r="F141" s="165" t="s">
        <v>335</v>
      </c>
      <c r="G141" s="165">
        <f>IF($E130&gt;$B138,G127+G135+G139,G130+G135+G139)</f>
        <v>4190</v>
      </c>
      <c r="H141" s="165">
        <f>IF($E130&gt;$B138,H127+H135+H139,H130+H135+H139)</f>
        <v>5519.13</v>
      </c>
      <c r="I141" s="162"/>
      <c r="J141" s="162"/>
      <c r="K141" s="162"/>
      <c r="L141" s="162"/>
      <c r="M141" s="162"/>
      <c r="N141" s="162"/>
      <c r="O141" s="162"/>
      <c r="P141" s="162"/>
      <c r="AA141" s="162"/>
    </row>
    <row r="145" spans="1:8" ht="15.75" x14ac:dyDescent="0.25">
      <c r="F145" s="191" t="s">
        <v>911</v>
      </c>
    </row>
    <row r="146" spans="1:8" ht="15.75" x14ac:dyDescent="0.25">
      <c r="A146" s="306" t="s">
        <v>851</v>
      </c>
      <c r="B146" s="306" t="s">
        <v>852</v>
      </c>
      <c r="C146" s="503"/>
      <c r="D146" s="503"/>
      <c r="E146" s="503"/>
      <c r="F146" s="503">
        <v>72.540000000000006</v>
      </c>
      <c r="G146" s="504">
        <f>F146*3</f>
        <v>217.62</v>
      </c>
      <c r="H146" s="503"/>
    </row>
  </sheetData>
  <mergeCells count="5">
    <mergeCell ref="N35:N42"/>
    <mergeCell ref="A89:A112"/>
    <mergeCell ref="A60:A83"/>
    <mergeCell ref="A32:A55"/>
    <mergeCell ref="A118:A141"/>
  </mergeCells>
  <pageMargins left="0.75" right="0.75" top="1" bottom="1" header="0.5" footer="0.5"/>
  <pageSetup paperSize="9" orientation="portrait" horizontalDpi="300" verticalDpi="200" r:id="rId1"/>
  <headerFooter alignWithMargins="0">
    <oddHeader>&amp;A</oddHeader>
    <oddFooter>Pagina &amp;P</oddFooter>
  </headerFooter>
  <drawing r:id="rId2"/>
  <legacyDrawing r:id="rId3"/>
  <oleObjects>
    <mc:AlternateContent xmlns:mc="http://schemas.openxmlformats.org/markup-compatibility/2006">
      <mc:Choice Requires="x14">
        <oleObject progId="MSDraw" shapeId="3073" r:id="rId4">
          <objectPr defaultSize="0" autoPict="0" r:id="rId5">
            <anchor moveWithCells="1">
              <from>
                <xdr:col>16</xdr:col>
                <xdr:colOff>685800</xdr:colOff>
                <xdr:row>5</xdr:row>
                <xdr:rowOff>47625</xdr:rowOff>
              </from>
              <to>
                <xdr:col>19</xdr:col>
                <xdr:colOff>1457325</xdr:colOff>
                <xdr:row>23</xdr:row>
                <xdr:rowOff>38100</xdr:rowOff>
              </to>
            </anchor>
          </objectPr>
        </oleObject>
      </mc:Choice>
      <mc:Fallback>
        <oleObject progId="MSDraw" shapeId="3073" r:id="rId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12E5E-69C3-4CA6-8619-A9B098214922}">
  <dimension ref="A1:H23"/>
  <sheetViews>
    <sheetView workbookViewId="0">
      <selection activeCell="L24" sqref="L24"/>
    </sheetView>
  </sheetViews>
  <sheetFormatPr defaultRowHeight="12.75" x14ac:dyDescent="0.2"/>
  <cols>
    <col min="1" max="1" width="12" style="602" bestFit="1" customWidth="1"/>
    <col min="2" max="2" width="9.33203125" style="602"/>
    <col min="3" max="3" width="12" style="602" bestFit="1" customWidth="1"/>
    <col min="6" max="6" width="12" style="602" bestFit="1" customWidth="1"/>
    <col min="7" max="7" width="9.33203125" style="602"/>
    <col min="8" max="8" width="24.83203125" style="602" customWidth="1"/>
  </cols>
  <sheetData>
    <row r="1" spans="1:8" x14ac:dyDescent="0.2">
      <c r="A1" s="602">
        <v>4999.2329602789996</v>
      </c>
      <c r="C1" s="602">
        <f>ROUND(A1*1.03,0)</f>
        <v>5149</v>
      </c>
      <c r="F1" s="602">
        <v>7315.6</v>
      </c>
      <c r="H1" s="602">
        <f>ROUND(F1*1.03,0)</f>
        <v>7535</v>
      </c>
    </row>
    <row r="3" spans="1:8" x14ac:dyDescent="0.2">
      <c r="A3" s="602">
        <v>6935.6</v>
      </c>
      <c r="C3" s="602">
        <f t="shared" ref="C2:C17" si="0">ROUND(A3*1.03,0)</f>
        <v>7144</v>
      </c>
      <c r="F3" s="602">
        <v>8375.3316943647005</v>
      </c>
      <c r="H3" s="602">
        <f t="shared" ref="H2:H17" si="1">ROUND(F3*1.03,0)</f>
        <v>8627</v>
      </c>
    </row>
    <row r="5" spans="1:8" x14ac:dyDescent="0.2">
      <c r="A5" s="602">
        <v>8391.06</v>
      </c>
      <c r="C5" s="602">
        <f t="shared" si="0"/>
        <v>8643</v>
      </c>
      <c r="F5" s="602">
        <v>9578.6207197846998</v>
      </c>
      <c r="H5" s="602">
        <f t="shared" si="1"/>
        <v>9866</v>
      </c>
    </row>
    <row r="7" spans="1:8" x14ac:dyDescent="0.2">
      <c r="A7" s="602">
        <v>9291.7528727190002</v>
      </c>
      <c r="C7" s="602">
        <f t="shared" si="0"/>
        <v>9571</v>
      </c>
      <c r="F7" s="602">
        <v>10199.68</v>
      </c>
      <c r="H7" s="602">
        <f t="shared" si="1"/>
        <v>10506</v>
      </c>
    </row>
    <row r="9" spans="1:8" x14ac:dyDescent="0.2">
      <c r="A9" s="602">
        <v>11402.064854398999</v>
      </c>
      <c r="C9" s="602">
        <f t="shared" si="0"/>
        <v>11744</v>
      </c>
      <c r="F9" s="602">
        <v>15715.450248429001</v>
      </c>
      <c r="H9" s="602">
        <f t="shared" si="1"/>
        <v>16187</v>
      </c>
    </row>
    <row r="11" spans="1:8" x14ac:dyDescent="0.2">
      <c r="A11" s="602">
        <v>12050.912057419</v>
      </c>
      <c r="C11" s="602">
        <f t="shared" si="0"/>
        <v>12412</v>
      </c>
      <c r="F11" s="602">
        <v>17193.1953609958</v>
      </c>
      <c r="H11" s="602">
        <f t="shared" si="1"/>
        <v>17709</v>
      </c>
    </row>
    <row r="13" spans="1:8" x14ac:dyDescent="0.2">
      <c r="A13" s="602">
        <v>13116.868900336251</v>
      </c>
      <c r="C13" s="602">
        <f t="shared" si="0"/>
        <v>13510</v>
      </c>
      <c r="F13" s="602">
        <v>18395.28099430725</v>
      </c>
      <c r="H13" s="602">
        <f t="shared" si="1"/>
        <v>18947</v>
      </c>
    </row>
    <row r="15" spans="1:8" x14ac:dyDescent="0.2">
      <c r="A15" s="602">
        <v>14339.465169810876</v>
      </c>
      <c r="C15" s="602">
        <f t="shared" si="0"/>
        <v>14770</v>
      </c>
      <c r="F15" s="602">
        <v>19096.124070955873</v>
      </c>
      <c r="H15" s="602">
        <f t="shared" si="1"/>
        <v>19669</v>
      </c>
    </row>
    <row r="17" spans="1:8" x14ac:dyDescent="0.2">
      <c r="A17" s="602">
        <v>17233.375706236249</v>
      </c>
      <c r="C17" s="602">
        <f t="shared" si="0"/>
        <v>17750</v>
      </c>
      <c r="F17" s="602">
        <v>22341.176548206251</v>
      </c>
      <c r="H17" s="602">
        <f t="shared" si="1"/>
        <v>23011</v>
      </c>
    </row>
    <row r="20" spans="1:8" x14ac:dyDescent="0.2">
      <c r="C20" s="603" t="s">
        <v>919</v>
      </c>
      <c r="H20" s="603" t="s">
        <v>920</v>
      </c>
    </row>
    <row r="23" spans="1:8" x14ac:dyDescent="0.2">
      <c r="A23" s="603" t="s">
        <v>921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32"/>
  <sheetViews>
    <sheetView workbookViewId="0">
      <selection activeCell="L24" sqref="L24"/>
    </sheetView>
  </sheetViews>
  <sheetFormatPr defaultColWidth="9.33203125" defaultRowHeight="12.75" x14ac:dyDescent="0.2"/>
  <cols>
    <col min="1" max="1" width="20.83203125" style="519" customWidth="1"/>
    <col min="2" max="2" width="9.33203125" style="519"/>
    <col min="3" max="4" width="16.83203125" style="523" bestFit="1" customWidth="1"/>
    <col min="5" max="5" width="15.6640625" style="519" customWidth="1"/>
    <col min="6" max="8" width="9.33203125" style="519"/>
    <col min="9" max="9" width="29" style="519" customWidth="1"/>
    <col min="10" max="16384" width="9.33203125" style="519"/>
  </cols>
  <sheetData>
    <row r="1" spans="1:12" s="520" customFormat="1" x14ac:dyDescent="0.2">
      <c r="C1" s="522" t="s">
        <v>909</v>
      </c>
      <c r="D1" s="522" t="s">
        <v>910</v>
      </c>
    </row>
    <row r="2" spans="1:12" ht="27" x14ac:dyDescent="0.35">
      <c r="A2" s="519" t="s">
        <v>900</v>
      </c>
      <c r="B2" s="519">
        <v>103</v>
      </c>
      <c r="C2" s="523">
        <v>4130</v>
      </c>
      <c r="D2" s="523">
        <v>5729.13</v>
      </c>
      <c r="E2" s="519">
        <f>D2/C2</f>
        <v>1.3871985472154964</v>
      </c>
      <c r="I2" s="521">
        <v>2018</v>
      </c>
      <c r="L2" s="194"/>
    </row>
    <row r="3" spans="1:12" ht="15.75" x14ac:dyDescent="0.25">
      <c r="A3" s="519" t="s">
        <v>901</v>
      </c>
      <c r="B3" s="519">
        <v>104</v>
      </c>
      <c r="C3" s="523">
        <v>4770</v>
      </c>
      <c r="D3" s="523">
        <v>5964.192</v>
      </c>
      <c r="E3" s="519">
        <f t="shared" ref="E3:E19" si="0">D3/C3</f>
        <v>1.250354716981132</v>
      </c>
      <c r="L3" s="193"/>
    </row>
    <row r="4" spans="1:12" ht="15.75" x14ac:dyDescent="0.25">
      <c r="A4" s="519" t="s">
        <v>902</v>
      </c>
      <c r="B4" s="519">
        <v>105</v>
      </c>
      <c r="C4" s="523">
        <v>5500</v>
      </c>
      <c r="D4" s="523">
        <v>6044.9530000000004</v>
      </c>
      <c r="E4" s="519">
        <f t="shared" si="0"/>
        <v>1.0990823636363638</v>
      </c>
      <c r="L4" s="194"/>
    </row>
    <row r="5" spans="1:12" ht="15.75" x14ac:dyDescent="0.25">
      <c r="A5" s="519" t="s">
        <v>903</v>
      </c>
      <c r="B5" s="519">
        <v>106</v>
      </c>
      <c r="C5" s="523">
        <v>6280</v>
      </c>
      <c r="D5" s="523">
        <v>6125.7139999999999</v>
      </c>
      <c r="E5" s="519">
        <f t="shared" si="0"/>
        <v>0.97543216560509549</v>
      </c>
      <c r="L5" s="193"/>
    </row>
    <row r="6" spans="1:12" ht="15.75" x14ac:dyDescent="0.25">
      <c r="A6" s="519" t="s">
        <v>904</v>
      </c>
      <c r="B6" s="519">
        <v>107</v>
      </c>
      <c r="C6" s="523">
        <v>6580</v>
      </c>
      <c r="D6" s="523">
        <v>10576.26</v>
      </c>
      <c r="E6" s="519">
        <f t="shared" si="0"/>
        <v>1.6073343465045593</v>
      </c>
      <c r="L6" s="194"/>
    </row>
    <row r="7" spans="1:12" ht="15.75" x14ac:dyDescent="0.25">
      <c r="A7" s="519" t="s">
        <v>905</v>
      </c>
      <c r="B7" s="519">
        <v>108</v>
      </c>
      <c r="C7" s="523">
        <v>8530</v>
      </c>
      <c r="D7" s="523">
        <v>11715.5</v>
      </c>
      <c r="E7" s="519">
        <f t="shared" si="0"/>
        <v>1.3734466588511136</v>
      </c>
      <c r="L7" s="193"/>
    </row>
    <row r="8" spans="1:12" ht="15.75" x14ac:dyDescent="0.25">
      <c r="A8" s="519" t="s">
        <v>906</v>
      </c>
      <c r="B8" s="519">
        <v>109</v>
      </c>
      <c r="C8" s="523">
        <v>9470</v>
      </c>
      <c r="D8" s="523">
        <v>12245</v>
      </c>
      <c r="E8" s="519">
        <f t="shared" si="0"/>
        <v>1.2930306230200634</v>
      </c>
      <c r="L8" s="194"/>
    </row>
    <row r="9" spans="1:12" ht="15.75" x14ac:dyDescent="0.25">
      <c r="A9" s="519" t="s">
        <v>907</v>
      </c>
      <c r="B9" s="519">
        <v>110</v>
      </c>
      <c r="C9" s="523">
        <v>11400</v>
      </c>
      <c r="D9" s="523">
        <v>12775.45</v>
      </c>
      <c r="E9" s="519">
        <f t="shared" si="0"/>
        <v>1.1206535087719298</v>
      </c>
      <c r="G9" s="519">
        <f>AVERAGE(E2:E9)</f>
        <v>1.2633166163232192</v>
      </c>
      <c r="L9" s="193"/>
    </row>
    <row r="10" spans="1:12" ht="15.75" x14ac:dyDescent="0.25">
      <c r="A10" s="519" t="s">
        <v>908</v>
      </c>
      <c r="B10" s="519">
        <v>111</v>
      </c>
      <c r="C10" s="523">
        <v>13360</v>
      </c>
      <c r="D10" s="523">
        <v>16850</v>
      </c>
      <c r="E10" s="519">
        <f t="shared" si="0"/>
        <v>1.2612275449101797</v>
      </c>
      <c r="L10" s="194"/>
    </row>
    <row r="11" spans="1:12" ht="15.75" x14ac:dyDescent="0.25">
      <c r="A11" s="519" t="s">
        <v>427</v>
      </c>
      <c r="B11" s="519">
        <v>112</v>
      </c>
      <c r="C11" s="523">
        <v>3600</v>
      </c>
      <c r="D11" s="523">
        <v>4400</v>
      </c>
      <c r="E11" s="519">
        <f t="shared" si="0"/>
        <v>1.2222222222222223</v>
      </c>
      <c r="L11" s="193"/>
    </row>
    <row r="12" spans="1:12" ht="15.75" x14ac:dyDescent="0.25">
      <c r="A12" s="519" t="s">
        <v>424</v>
      </c>
      <c r="B12" s="519">
        <v>113</v>
      </c>
      <c r="C12" s="523">
        <v>4030</v>
      </c>
      <c r="D12" s="523">
        <v>4950</v>
      </c>
      <c r="E12" s="519">
        <f t="shared" si="0"/>
        <v>1.2282878411910669</v>
      </c>
      <c r="L12" s="194"/>
    </row>
    <row r="13" spans="1:12" ht="15.75" x14ac:dyDescent="0.25">
      <c r="A13" s="519" t="s">
        <v>420</v>
      </c>
      <c r="B13" s="519">
        <v>114</v>
      </c>
      <c r="C13" s="523">
        <v>4430</v>
      </c>
      <c r="D13" s="523">
        <v>5290</v>
      </c>
      <c r="E13" s="519">
        <f t="shared" si="0"/>
        <v>1.1941309255079007</v>
      </c>
      <c r="L13" s="193"/>
    </row>
    <row r="14" spans="1:12" ht="15.75" x14ac:dyDescent="0.25">
      <c r="A14" s="519" t="s">
        <v>416</v>
      </c>
      <c r="B14" s="519">
        <v>115</v>
      </c>
      <c r="C14" s="523">
        <v>4780</v>
      </c>
      <c r="D14" s="523">
        <v>5550</v>
      </c>
      <c r="E14" s="519">
        <f t="shared" si="0"/>
        <v>1.1610878661087867</v>
      </c>
      <c r="L14" s="194"/>
    </row>
    <row r="15" spans="1:12" ht="15.75" x14ac:dyDescent="0.25">
      <c r="A15" s="519" t="s">
        <v>412</v>
      </c>
      <c r="B15" s="519">
        <v>116</v>
      </c>
      <c r="C15" s="523">
        <v>6000</v>
      </c>
      <c r="D15" s="523">
        <v>7650</v>
      </c>
      <c r="E15" s="519">
        <f t="shared" si="0"/>
        <v>1.2749999999999999</v>
      </c>
      <c r="L15" s="193"/>
    </row>
    <row r="16" spans="1:12" ht="15.75" x14ac:dyDescent="0.25">
      <c r="A16" s="519" t="s">
        <v>409</v>
      </c>
      <c r="B16" s="519">
        <v>117</v>
      </c>
      <c r="C16" s="523">
        <v>6870</v>
      </c>
      <c r="D16" s="523">
        <v>8150</v>
      </c>
      <c r="E16" s="519">
        <f t="shared" si="0"/>
        <v>1.1863173216885008</v>
      </c>
      <c r="L16" s="194"/>
    </row>
    <row r="17" spans="1:12" ht="15.75" x14ac:dyDescent="0.25">
      <c r="A17" s="519" t="s">
        <v>405</v>
      </c>
      <c r="B17" s="519">
        <v>118</v>
      </c>
      <c r="C17" s="523">
        <v>8670</v>
      </c>
      <c r="D17" s="523">
        <v>8670</v>
      </c>
      <c r="E17" s="519">
        <f t="shared" si="0"/>
        <v>1</v>
      </c>
      <c r="L17" s="193"/>
    </row>
    <row r="18" spans="1:12" ht="15.75" x14ac:dyDescent="0.25">
      <c r="A18" s="519" t="s">
        <v>401</v>
      </c>
      <c r="B18" s="519">
        <v>119</v>
      </c>
      <c r="C18" s="523">
        <v>10290</v>
      </c>
      <c r="D18" s="523">
        <v>10290</v>
      </c>
      <c r="E18" s="519">
        <f t="shared" si="0"/>
        <v>1</v>
      </c>
      <c r="L18" s="194"/>
    </row>
    <row r="19" spans="1:12" x14ac:dyDescent="0.2">
      <c r="A19" s="519" t="s">
        <v>397</v>
      </c>
      <c r="B19" s="519">
        <v>120</v>
      </c>
      <c r="C19" s="523">
        <v>10970</v>
      </c>
      <c r="D19" s="523">
        <v>12850</v>
      </c>
      <c r="E19" s="519">
        <f t="shared" si="0"/>
        <v>1.171376481312671</v>
      </c>
    </row>
    <row r="20" spans="1:12" x14ac:dyDescent="0.2">
      <c r="E20" s="519">
        <f>AVERAGE(E2:E19)</f>
        <v>1.2114546185292823</v>
      </c>
    </row>
    <row r="22" spans="1:12" x14ac:dyDescent="0.2">
      <c r="C22" s="523" t="s">
        <v>912</v>
      </c>
      <c r="D22" s="523" t="s">
        <v>913</v>
      </c>
    </row>
    <row r="23" spans="1:12" x14ac:dyDescent="0.2">
      <c r="C23" s="523">
        <v>1085.9283135000001</v>
      </c>
      <c r="D23" s="523">
        <v>1511.3433504999998</v>
      </c>
    </row>
    <row r="24" spans="1:12" x14ac:dyDescent="0.2">
      <c r="C24" s="523">
        <v>1591.42702055</v>
      </c>
      <c r="D24" s="523">
        <v>1463.1928205499999</v>
      </c>
    </row>
    <row r="25" spans="1:12" x14ac:dyDescent="0.2">
      <c r="C25" s="523">
        <v>1906.6280505499999</v>
      </c>
      <c r="D25" s="523">
        <v>1906.6280505499999</v>
      </c>
    </row>
    <row r="26" spans="1:12" x14ac:dyDescent="0.2">
      <c r="C26" s="523">
        <v>1894.4991735000001</v>
      </c>
      <c r="D26" s="523">
        <v>1815.1360385</v>
      </c>
    </row>
    <row r="27" spans="1:12" x14ac:dyDescent="0.2">
      <c r="C27" s="523">
        <v>1961.4600934999999</v>
      </c>
      <c r="D27" s="523">
        <v>2100.3262884999999</v>
      </c>
    </row>
    <row r="28" spans="1:12" x14ac:dyDescent="0.2">
      <c r="C28" s="523">
        <v>2278.6497234999997</v>
      </c>
      <c r="D28" s="523">
        <v>2696.0737727000001</v>
      </c>
    </row>
    <row r="29" spans="1:12" x14ac:dyDescent="0.2">
      <c r="C29" s="523">
        <v>2685.0332484999999</v>
      </c>
      <c r="D29" s="523">
        <v>2988.4726977</v>
      </c>
    </row>
    <row r="30" spans="1:12" x14ac:dyDescent="0.2">
      <c r="C30" s="523">
        <v>2802.4164665499998</v>
      </c>
      <c r="D30" s="523">
        <v>3096.74842055</v>
      </c>
    </row>
    <row r="31" spans="1:12" x14ac:dyDescent="0.2">
      <c r="C31" s="523">
        <v>3238.0665105499997</v>
      </c>
      <c r="D31" s="523">
        <v>3360.4740484999998</v>
      </c>
    </row>
    <row r="32" spans="1:12" x14ac:dyDescent="0.2">
      <c r="C32" s="523">
        <v>3809.7439284999996</v>
      </c>
      <c r="D32" s="523">
        <v>3839.8781725000003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M43"/>
  <sheetViews>
    <sheetView showGridLines="0" showZeros="0" defaultGridColor="0" topLeftCell="A10" colorId="8" zoomScaleNormal="75" workbookViewId="0">
      <selection activeCell="L24" sqref="L24"/>
    </sheetView>
  </sheetViews>
  <sheetFormatPr defaultColWidth="9.33203125" defaultRowHeight="12.75" x14ac:dyDescent="0.2"/>
  <cols>
    <col min="1" max="1" width="10.6640625" style="144" customWidth="1"/>
    <col min="2" max="2" width="10.1640625" style="144" customWidth="1"/>
    <col min="3" max="3" width="13.83203125" style="144" customWidth="1"/>
    <col min="4" max="4" width="9.33203125" style="144"/>
    <col min="5" max="7" width="9.33203125" style="144" hidden="1" customWidth="1"/>
    <col min="8" max="8" width="10" style="144" customWidth="1"/>
    <col min="9" max="9" width="18" style="144" customWidth="1"/>
    <col min="10" max="10" width="37" style="144" bestFit="1" customWidth="1"/>
    <col min="11" max="11" width="13.6640625" style="146" customWidth="1"/>
    <col min="12" max="12" width="16.6640625" style="144" hidden="1" customWidth="1"/>
    <col min="13" max="13" width="12.1640625" style="144" hidden="1" customWidth="1"/>
    <col min="14" max="14" width="9.33203125" style="144"/>
    <col min="15" max="15" width="10.1640625" style="144" customWidth="1"/>
    <col min="16" max="16384" width="9.33203125" style="144"/>
  </cols>
  <sheetData>
    <row r="1" spans="9:12" x14ac:dyDescent="0.2">
      <c r="K1" s="144"/>
      <c r="L1" s="145" t="e">
        <f>IF($H$3=0,#REF!,IF($H$3="F",#REF!,IF($H$3="e",#REF!,IF($H$3="a",#REF!,IF($H$3="p",#REF!)))))</f>
        <v>#REF!</v>
      </c>
    </row>
    <row r="2" spans="9:12" ht="18.75" x14ac:dyDescent="0.3">
      <c r="K2" s="144"/>
      <c r="L2" s="281">
        <f>TRUNC(PREZZI!S26/1000)*1000</f>
        <v>0</v>
      </c>
    </row>
    <row r="3" spans="9:12" ht="18.75" x14ac:dyDescent="0.3">
      <c r="K3" s="144"/>
      <c r="L3" s="281">
        <f>TRUNC(PREZZI!S27/1000)*1000</f>
        <v>0</v>
      </c>
    </row>
    <row r="4" spans="9:12" ht="18.75" x14ac:dyDescent="0.3">
      <c r="K4" s="144"/>
      <c r="L4" s="281">
        <f>L2</f>
        <v>0</v>
      </c>
    </row>
    <row r="9" spans="9:12" x14ac:dyDescent="0.2">
      <c r="I9" s="147" t="s">
        <v>1</v>
      </c>
      <c r="J9" s="145"/>
      <c r="K9" s="148" t="s">
        <v>3</v>
      </c>
    </row>
    <row r="10" spans="9:12" x14ac:dyDescent="0.2">
      <c r="I10" s="147" t="s">
        <v>4</v>
      </c>
      <c r="J10" s="149" t="s">
        <v>282</v>
      </c>
      <c r="K10" s="150">
        <f>'STXVOLUME (2)'!H51</f>
        <v>0</v>
      </c>
    </row>
    <row r="11" spans="9:12" x14ac:dyDescent="0.2">
      <c r="I11" s="147"/>
      <c r="J11" s="149" t="s">
        <v>283</v>
      </c>
      <c r="K11" s="150">
        <f>'STXVOLUME (2)'!H52</f>
        <v>0</v>
      </c>
    </row>
    <row r="12" spans="9:12" x14ac:dyDescent="0.2">
      <c r="I12" s="147" t="s">
        <v>7</v>
      </c>
      <c r="J12" s="149" t="s">
        <v>284</v>
      </c>
      <c r="K12" s="150">
        <f>'STXVOLUME (2)'!L14</f>
        <v>-705</v>
      </c>
    </row>
    <row r="13" spans="9:12" x14ac:dyDescent="0.2">
      <c r="I13" s="147" t="s">
        <v>16</v>
      </c>
      <c r="J13" s="149" t="s">
        <v>285</v>
      </c>
      <c r="K13" s="151">
        <f>'STXVOLUME (2)'!L21</f>
        <v>0</v>
      </c>
    </row>
    <row r="14" spans="9:12" x14ac:dyDescent="0.2">
      <c r="I14" s="147" t="s">
        <v>18</v>
      </c>
      <c r="J14" s="149" t="s">
        <v>286</v>
      </c>
      <c r="K14" s="151">
        <f>2*K20+K15</f>
        <v>245</v>
      </c>
    </row>
    <row r="15" spans="9:12" x14ac:dyDescent="0.2">
      <c r="J15" s="152" t="s">
        <v>287</v>
      </c>
      <c r="K15" s="153">
        <v>105</v>
      </c>
    </row>
    <row r="16" spans="9:12" x14ac:dyDescent="0.2">
      <c r="I16" s="147"/>
      <c r="J16" s="149" t="s">
        <v>700</v>
      </c>
      <c r="K16" s="154">
        <f>IF(K17="farina",'STXVOLUME (2)'!L24,IF(K17="zucchero",'STXVOLUME (2)'!L24,IF(K17="semola",'STXVOLUME (2)'!L24,"Scrivi nome prodotto")))</f>
        <v>0</v>
      </c>
    </row>
    <row r="17" spans="9:13" x14ac:dyDescent="0.2">
      <c r="I17" s="147"/>
      <c r="J17" s="149" t="s">
        <v>699</v>
      </c>
      <c r="K17" s="303" t="s">
        <v>696</v>
      </c>
    </row>
    <row r="18" spans="9:13" x14ac:dyDescent="0.2">
      <c r="I18" s="147"/>
      <c r="J18" s="149" t="s">
        <v>698</v>
      </c>
      <c r="K18" s="155">
        <f>IF(K17=L23,M23,IF(K17=L24,M24,IF(K17=L25,M25,0)))</f>
        <v>0.9</v>
      </c>
    </row>
    <row r="19" spans="9:13" x14ac:dyDescent="0.2">
      <c r="K19" s="144"/>
    </row>
    <row r="20" spans="9:13" x14ac:dyDescent="0.2">
      <c r="I20" s="147"/>
      <c r="J20" s="147" t="s">
        <v>288</v>
      </c>
      <c r="K20" s="148">
        <f>'STXVOLUME (2)'!L33</f>
        <v>70</v>
      </c>
    </row>
    <row r="21" spans="9:13" x14ac:dyDescent="0.2">
      <c r="I21" s="147"/>
      <c r="J21" s="149" t="s">
        <v>103</v>
      </c>
      <c r="K21" s="148">
        <f>'STXVOLUME (2)'!L35</f>
        <v>-100</v>
      </c>
    </row>
    <row r="22" spans="9:13" x14ac:dyDescent="0.2">
      <c r="I22" s="147"/>
      <c r="J22" s="149" t="s">
        <v>571</v>
      </c>
      <c r="K22" s="148">
        <f>'STXVOLUME (2)'!L36</f>
        <v>0</v>
      </c>
    </row>
    <row r="23" spans="9:13" x14ac:dyDescent="0.2">
      <c r="I23" s="147"/>
      <c r="J23" s="149" t="s">
        <v>570</v>
      </c>
      <c r="K23" s="148" t="e">
        <f>'STXVOLUME (2)'!L37</f>
        <v>#DIV/0!</v>
      </c>
      <c r="L23" s="144" t="s">
        <v>697</v>
      </c>
      <c r="M23" s="144">
        <v>0.6</v>
      </c>
    </row>
    <row r="24" spans="9:13" x14ac:dyDescent="0.2">
      <c r="L24" s="144" t="s">
        <v>696</v>
      </c>
      <c r="M24" s="144">
        <v>0.9</v>
      </c>
    </row>
    <row r="25" spans="9:13" x14ac:dyDescent="0.2">
      <c r="L25" s="144" t="s">
        <v>695</v>
      </c>
      <c r="M25" s="144">
        <v>0.72</v>
      </c>
    </row>
    <row r="26" spans="9:13" x14ac:dyDescent="0.2">
      <c r="J26" s="149" t="s">
        <v>289</v>
      </c>
      <c r="K26" s="148">
        <f>SQRT(K10*K10+K11*K11)</f>
        <v>0</v>
      </c>
    </row>
    <row r="27" spans="9:13" x14ac:dyDescent="0.2">
      <c r="J27" s="149" t="s">
        <v>290</v>
      </c>
      <c r="K27" s="148">
        <v>250</v>
      </c>
    </row>
    <row r="28" spans="9:13" x14ac:dyDescent="0.2">
      <c r="J28" s="149" t="s">
        <v>291</v>
      </c>
      <c r="K28" s="148">
        <v>1200</v>
      </c>
    </row>
    <row r="29" spans="9:13" x14ac:dyDescent="0.2">
      <c r="J29" s="149" t="s">
        <v>292</v>
      </c>
      <c r="K29" s="148">
        <f>K26-2*K27</f>
        <v>-500</v>
      </c>
      <c r="L29" s="144" t="s">
        <v>293</v>
      </c>
    </row>
    <row r="30" spans="9:13" x14ac:dyDescent="0.2">
      <c r="J30" s="149" t="s">
        <v>294</v>
      </c>
      <c r="K30" s="148">
        <f>K29/2</f>
        <v>-250</v>
      </c>
      <c r="L30" s="144" t="s">
        <v>293</v>
      </c>
    </row>
    <row r="31" spans="9:13" x14ac:dyDescent="0.2">
      <c r="J31" s="149" t="s">
        <v>295</v>
      </c>
      <c r="K31" s="148">
        <f>IF(K30&lt;K28,D38,J38)</f>
        <v>3</v>
      </c>
    </row>
    <row r="38" spans="2:11" x14ac:dyDescent="0.2">
      <c r="B38" s="156"/>
      <c r="C38" s="156"/>
      <c r="D38" s="156">
        <v>3</v>
      </c>
      <c r="E38" s="156"/>
      <c r="F38" s="156"/>
      <c r="G38" s="156"/>
      <c r="H38" s="156"/>
      <c r="I38" s="156"/>
      <c r="J38" s="156">
        <v>4</v>
      </c>
      <c r="K38" s="157"/>
    </row>
    <row r="39" spans="2:11" x14ac:dyDescent="0.2">
      <c r="B39" s="156"/>
      <c r="C39" s="156" t="s">
        <v>4</v>
      </c>
      <c r="D39" s="157">
        <f>K27</f>
        <v>250</v>
      </c>
      <c r="E39" s="156"/>
      <c r="F39" s="156"/>
      <c r="G39" s="156"/>
      <c r="H39" s="156"/>
      <c r="I39" s="156" t="s">
        <v>4</v>
      </c>
      <c r="J39" s="157">
        <f>D39</f>
        <v>250</v>
      </c>
      <c r="K39" s="157"/>
    </row>
    <row r="40" spans="2:11" x14ac:dyDescent="0.2">
      <c r="B40" s="156"/>
      <c r="C40" s="156" t="s">
        <v>7</v>
      </c>
      <c r="D40" s="158">
        <f>K29/2</f>
        <v>-250</v>
      </c>
      <c r="E40" s="156"/>
      <c r="F40" s="156"/>
      <c r="G40" s="156"/>
      <c r="H40" s="156"/>
      <c r="I40" s="156" t="s">
        <v>7</v>
      </c>
      <c r="J40" s="158">
        <f>K29/3</f>
        <v>-166.66666666666666</v>
      </c>
      <c r="K40" s="157"/>
    </row>
    <row r="41" spans="2:11" x14ac:dyDescent="0.2">
      <c r="B41" s="156"/>
      <c r="C41" s="156" t="s">
        <v>9</v>
      </c>
      <c r="D41" s="158">
        <f>D40</f>
        <v>-250</v>
      </c>
      <c r="E41" s="156"/>
      <c r="F41" s="156"/>
      <c r="G41" s="156"/>
      <c r="H41" s="156"/>
      <c r="I41" s="156" t="s">
        <v>9</v>
      </c>
      <c r="J41" s="158">
        <f>J40</f>
        <v>-166.66666666666666</v>
      </c>
      <c r="K41" s="157"/>
    </row>
    <row r="42" spans="2:11" x14ac:dyDescent="0.2">
      <c r="B42" s="156"/>
      <c r="C42" s="156" t="s">
        <v>10</v>
      </c>
      <c r="D42" s="157">
        <f>D39</f>
        <v>250</v>
      </c>
      <c r="E42" s="156"/>
      <c r="F42" s="156"/>
      <c r="G42" s="156"/>
      <c r="H42" s="156"/>
      <c r="I42" s="156" t="s">
        <v>10</v>
      </c>
      <c r="J42" s="158">
        <f>J41</f>
        <v>-166.66666666666666</v>
      </c>
      <c r="K42" s="157"/>
    </row>
    <row r="43" spans="2:11" x14ac:dyDescent="0.2">
      <c r="B43" s="156"/>
      <c r="C43" s="156"/>
      <c r="D43" s="156"/>
      <c r="E43" s="156"/>
      <c r="F43" s="156"/>
      <c r="G43" s="156"/>
      <c r="H43" s="156"/>
      <c r="I43" s="156" t="s">
        <v>16</v>
      </c>
      <c r="J43" s="157">
        <f>J39</f>
        <v>250</v>
      </c>
      <c r="K43" s="157"/>
    </row>
  </sheetData>
  <sheetProtection sheet="1" objects="1" scenarios="1"/>
  <printOptions gridLinesSet="0"/>
  <pageMargins left="0.19685039370078741" right="0.19685039370078741" top="0.31496062992125984" bottom="0.23622047244094491" header="0.51181102362204722" footer="0.51181102362204722"/>
  <pageSetup paperSize="9" scale="91"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MSDraw" shapeId="5121" r:id="rId4">
          <objectPr locked="0" defaultSize="0" autoPict="0" dde="1" r:id="rId5">
            <anchor moveWithCells="1">
              <from>
                <xdr:col>0</xdr:col>
                <xdr:colOff>142875</xdr:colOff>
                <xdr:row>0</xdr:row>
                <xdr:rowOff>76200</xdr:rowOff>
              </from>
              <to>
                <xdr:col>2</xdr:col>
                <xdr:colOff>409575</xdr:colOff>
                <xdr:row>3</xdr:row>
                <xdr:rowOff>228600</xdr:rowOff>
              </to>
            </anchor>
          </objectPr>
        </oleObject>
      </mc:Choice>
      <mc:Fallback>
        <oleObject progId="MSDraw" shapeId="5121" r:id="rId4"/>
      </mc:Fallback>
    </mc:AlternateContent>
    <mc:AlternateContent xmlns:mc="http://schemas.openxmlformats.org/markup-compatibility/2006">
      <mc:Choice Requires="x14">
        <oleObject progId="MSDraw" shapeId="5122" r:id="rId6">
          <objectPr defaultSize="0" autoPict="0" dde="1" r:id="rId7">
            <anchor moveWithCells="1" sizeWithCells="1">
              <from>
                <xdr:col>13</xdr:col>
                <xdr:colOff>0</xdr:colOff>
                <xdr:row>9</xdr:row>
                <xdr:rowOff>47625</xdr:rowOff>
              </from>
              <to>
                <xdr:col>13</xdr:col>
                <xdr:colOff>0</xdr:colOff>
                <xdr:row>28</xdr:row>
                <xdr:rowOff>38100</xdr:rowOff>
              </to>
            </anchor>
          </objectPr>
        </oleObject>
      </mc:Choice>
      <mc:Fallback>
        <oleObject progId="MSDraw" shapeId="5122" r:id="rId6"/>
      </mc:Fallback>
    </mc:AlternateContent>
    <mc:AlternateContent xmlns:mc="http://schemas.openxmlformats.org/markup-compatibility/2006">
      <mc:Choice Requires="x14">
        <oleObject progId="MSDraw" shapeId="5123" r:id="rId8">
          <objectPr defaultSize="0" autoPict="0" dde="1" r:id="rId7">
            <anchor moveWithCells="1" sizeWithCells="1">
              <from>
                <xdr:col>13</xdr:col>
                <xdr:colOff>0</xdr:colOff>
                <xdr:row>9</xdr:row>
                <xdr:rowOff>47625</xdr:rowOff>
              </from>
              <to>
                <xdr:col>13</xdr:col>
                <xdr:colOff>0</xdr:colOff>
                <xdr:row>28</xdr:row>
                <xdr:rowOff>38100</xdr:rowOff>
              </to>
            </anchor>
          </objectPr>
        </oleObject>
      </mc:Choice>
      <mc:Fallback>
        <oleObject progId="MSDraw" shapeId="5123" r:id="rId8"/>
      </mc:Fallback>
    </mc:AlternateContent>
    <mc:AlternateContent xmlns:mc="http://schemas.openxmlformats.org/markup-compatibility/2006">
      <mc:Choice Requires="x14">
        <oleObject progId="MSDraw" shapeId="5124" r:id="rId9">
          <objectPr defaultSize="0" autoPict="0" dde="1" r:id="rId10">
            <anchor moveWithCells="1" sizeWithCells="1">
              <from>
                <xdr:col>0</xdr:col>
                <xdr:colOff>142875</xdr:colOff>
                <xdr:row>8</xdr:row>
                <xdr:rowOff>28575</xdr:rowOff>
              </from>
              <to>
                <xdr:col>7</xdr:col>
                <xdr:colOff>723900</xdr:colOff>
                <xdr:row>28</xdr:row>
                <xdr:rowOff>28575</xdr:rowOff>
              </to>
            </anchor>
          </objectPr>
        </oleObject>
      </mc:Choice>
      <mc:Fallback>
        <oleObject progId="MSDraw" shapeId="5124" r:id="rId9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R44"/>
  <sheetViews>
    <sheetView showGridLines="0" zoomScale="70" zoomScaleNormal="70" workbookViewId="0">
      <selection activeCell="L24" sqref="L24"/>
    </sheetView>
  </sheetViews>
  <sheetFormatPr defaultColWidth="9.33203125" defaultRowHeight="12.75" x14ac:dyDescent="0.2"/>
  <cols>
    <col min="1" max="1" width="3.5" style="9" customWidth="1"/>
    <col min="2" max="2" width="20" style="9" customWidth="1"/>
    <col min="3" max="3" width="16.33203125" style="9" customWidth="1"/>
    <col min="4" max="4" width="11.6640625" style="9" customWidth="1"/>
    <col min="5" max="7" width="9.33203125" style="9"/>
    <col min="8" max="8" width="10.83203125" style="9" customWidth="1"/>
    <col min="9" max="9" width="12.83203125" style="9" customWidth="1"/>
    <col min="10" max="10" width="11.83203125" style="9" customWidth="1"/>
    <col min="11" max="14" width="9.33203125" style="9"/>
    <col min="15" max="15" width="11.83203125" style="9" customWidth="1"/>
    <col min="16" max="16" width="9.33203125" style="9" customWidth="1"/>
    <col min="17" max="17" width="13" style="9" customWidth="1"/>
    <col min="18" max="18" width="11.83203125" style="9" customWidth="1"/>
    <col min="19" max="19" width="5.33203125" style="9" customWidth="1"/>
    <col min="20" max="20" width="13.1640625" style="9" customWidth="1"/>
    <col min="21" max="21" width="14.5" style="9" customWidth="1"/>
    <col min="22" max="22" width="6" style="9" customWidth="1"/>
    <col min="23" max="16384" width="9.33203125" style="9"/>
  </cols>
  <sheetData>
    <row r="1" spans="1:18" x14ac:dyDescent="0.2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8" ht="20.25" x14ac:dyDescent="0.3">
      <c r="A2" s="8"/>
      <c r="B2" s="10" t="s">
        <v>133</v>
      </c>
      <c r="D2" s="8"/>
      <c r="E2" s="8"/>
      <c r="F2" s="8"/>
      <c r="G2" s="8"/>
      <c r="H2" s="8"/>
      <c r="I2" s="8"/>
      <c r="J2" s="8"/>
      <c r="K2" s="8"/>
      <c r="L2" s="8"/>
      <c r="M2" s="8"/>
    </row>
    <row r="3" spans="1:18" x14ac:dyDescent="0.2">
      <c r="A3" s="8"/>
      <c r="B3" s="11" t="s">
        <v>134</v>
      </c>
      <c r="E3" s="8"/>
      <c r="F3" s="8"/>
      <c r="G3" s="8"/>
      <c r="H3" s="8"/>
      <c r="I3" s="8"/>
      <c r="J3" s="8"/>
      <c r="K3" s="8"/>
      <c r="L3" s="8"/>
      <c r="M3" s="8"/>
    </row>
    <row r="4" spans="1:18" x14ac:dyDescent="0.2">
      <c r="A4" s="8"/>
      <c r="E4" s="8"/>
      <c r="F4" s="8"/>
      <c r="G4" s="8"/>
      <c r="H4" s="8"/>
      <c r="I4" s="8"/>
      <c r="J4" s="8"/>
      <c r="K4" s="8"/>
      <c r="L4" s="8"/>
      <c r="M4" s="8"/>
    </row>
    <row r="5" spans="1:18" ht="15" x14ac:dyDescent="0.2">
      <c r="A5" s="8"/>
      <c r="B5" s="12" t="s">
        <v>135</v>
      </c>
      <c r="C5" s="13"/>
      <c r="D5" s="13"/>
      <c r="E5" s="14"/>
      <c r="F5" s="8"/>
      <c r="G5" s="8"/>
      <c r="H5" s="8"/>
      <c r="I5" s="8"/>
      <c r="J5" s="8"/>
      <c r="K5" s="8"/>
      <c r="L5" s="8"/>
      <c r="M5" s="8"/>
    </row>
    <row r="6" spans="1:18" ht="15" x14ac:dyDescent="0.2">
      <c r="A6" s="8"/>
      <c r="E6" s="14"/>
      <c r="F6" s="8"/>
      <c r="G6" s="8"/>
      <c r="H6" s="8"/>
      <c r="I6" s="8"/>
      <c r="J6" s="8"/>
      <c r="K6" s="8"/>
      <c r="L6" s="8"/>
      <c r="M6" s="8"/>
    </row>
    <row r="7" spans="1:18" ht="18" x14ac:dyDescent="0.25">
      <c r="A7" s="8"/>
      <c r="B7" s="15" t="s">
        <v>136</v>
      </c>
      <c r="C7" s="16"/>
      <c r="D7" s="17" t="e">
        <f>STXVOLUME!$N$43-'Sviluppo lato lungo'!AA7</f>
        <v>#VALUE!</v>
      </c>
      <c r="E7" s="14"/>
      <c r="F7" s="8"/>
      <c r="G7" s="8"/>
      <c r="H7" s="8"/>
      <c r="I7" s="8"/>
      <c r="J7" s="8"/>
      <c r="K7" s="8"/>
      <c r="L7" s="8"/>
      <c r="M7" s="8"/>
    </row>
    <row r="8" spans="1:18" ht="18" x14ac:dyDescent="0.25">
      <c r="A8" s="8"/>
      <c r="B8" s="15" t="s">
        <v>137</v>
      </c>
      <c r="C8" s="16"/>
      <c r="D8" s="18">
        <f>STXVOLUME!$H$73</f>
        <v>1E-3</v>
      </c>
      <c r="E8" s="14"/>
      <c r="F8" s="8"/>
      <c r="G8" s="8"/>
      <c r="H8" s="8"/>
      <c r="I8" s="8"/>
      <c r="J8" s="8"/>
      <c r="K8" s="8"/>
      <c r="L8" s="8"/>
      <c r="M8" s="8"/>
    </row>
    <row r="9" spans="1:18" ht="18" x14ac:dyDescent="0.25">
      <c r="A9" s="8"/>
      <c r="B9" s="15" t="s">
        <v>138</v>
      </c>
      <c r="C9" s="16"/>
      <c r="D9" s="18">
        <f>STXVOLUME!$H$74</f>
        <v>1E-3</v>
      </c>
      <c r="E9" s="14"/>
      <c r="F9" s="8"/>
      <c r="G9" s="8"/>
      <c r="H9" s="8"/>
      <c r="I9" s="8"/>
      <c r="J9" s="8"/>
      <c r="K9" s="8"/>
      <c r="L9" s="8"/>
      <c r="M9" s="8"/>
    </row>
    <row r="10" spans="1:18" ht="18" x14ac:dyDescent="0.25">
      <c r="A10" s="8"/>
      <c r="B10" s="15" t="s">
        <v>139</v>
      </c>
      <c r="C10" s="19"/>
      <c r="D10" s="18">
        <f>STXVOLUME!$N$50</f>
        <v>0</v>
      </c>
      <c r="E10" s="14"/>
      <c r="F10" s="8"/>
      <c r="G10" s="8"/>
      <c r="H10" s="8"/>
      <c r="I10" s="8"/>
      <c r="J10" s="8"/>
      <c r="K10" s="8"/>
      <c r="L10" s="8"/>
      <c r="M10" s="8"/>
    </row>
    <row r="11" spans="1:18" ht="18" x14ac:dyDescent="0.25">
      <c r="A11" s="8"/>
      <c r="B11" s="15" t="s">
        <v>140</v>
      </c>
      <c r="C11" s="19"/>
      <c r="D11" s="18" t="e">
        <f>STXVOLUME!$N$59</f>
        <v>#DIV/0!</v>
      </c>
      <c r="E11" s="14"/>
      <c r="F11" s="8"/>
      <c r="G11" s="8"/>
      <c r="H11" s="8"/>
      <c r="I11" s="8"/>
      <c r="J11" s="8"/>
      <c r="K11" s="8"/>
      <c r="L11" s="8"/>
      <c r="M11" s="8"/>
    </row>
    <row r="12" spans="1:18" ht="18" customHeight="1" x14ac:dyDescent="0.2">
      <c r="A12" s="8"/>
      <c r="E12" s="8"/>
      <c r="F12" s="8"/>
      <c r="G12" s="8"/>
      <c r="H12" s="8"/>
      <c r="I12" s="8"/>
      <c r="J12" s="8"/>
      <c r="K12" s="8"/>
      <c r="L12" s="8"/>
      <c r="M12" s="8"/>
    </row>
    <row r="13" spans="1:18" ht="18.75" thickBot="1" x14ac:dyDescent="0.3">
      <c r="A13" s="8"/>
      <c r="B13" s="20" t="s">
        <v>141</v>
      </c>
      <c r="D13" s="142">
        <v>120</v>
      </c>
      <c r="E13" s="8"/>
      <c r="F13" s="8"/>
      <c r="G13" s="8"/>
      <c r="H13" s="8"/>
      <c r="I13" s="8"/>
      <c r="J13" s="8"/>
      <c r="K13" s="8"/>
      <c r="L13" s="8"/>
      <c r="M13" s="8"/>
    </row>
    <row r="14" spans="1:18" ht="18" x14ac:dyDescent="0.25">
      <c r="A14" s="8"/>
      <c r="E14" s="8"/>
      <c r="F14" s="8"/>
      <c r="G14" s="8"/>
      <c r="H14" s="8"/>
      <c r="I14" s="8"/>
      <c r="J14" s="8"/>
      <c r="K14" s="8"/>
      <c r="L14" s="8"/>
      <c r="M14" s="8"/>
      <c r="P14" s="21" t="s">
        <v>142</v>
      </c>
      <c r="Q14" s="22"/>
      <c r="R14" s="23"/>
    </row>
    <row r="15" spans="1:18" ht="18" customHeight="1" x14ac:dyDescent="0.25">
      <c r="A15" s="8"/>
      <c r="B15" s="20" t="s">
        <v>143</v>
      </c>
      <c r="C15" s="20"/>
      <c r="D15" s="24" t="e">
        <f>D11-'Sviluppo lato lungo'!T9-50</f>
        <v>#DIV/0!</v>
      </c>
      <c r="E15" s="8"/>
      <c r="F15" s="8"/>
      <c r="G15" s="8"/>
      <c r="H15" s="8"/>
      <c r="I15" s="8"/>
      <c r="J15" s="8"/>
      <c r="K15" s="8"/>
      <c r="L15" s="8"/>
      <c r="M15" s="8"/>
      <c r="P15" s="25"/>
      <c r="Q15" s="26" t="s">
        <v>144</v>
      </c>
      <c r="R15" s="27"/>
    </row>
    <row r="16" spans="1:18" ht="23.25" x14ac:dyDescent="0.35">
      <c r="A16" s="8"/>
      <c r="B16" s="20" t="s">
        <v>145</v>
      </c>
      <c r="C16" s="20"/>
      <c r="D16" s="24">
        <f>D10+15</f>
        <v>15</v>
      </c>
      <c r="E16" s="8"/>
      <c r="F16" s="8"/>
      <c r="G16" s="8"/>
      <c r="H16" s="8"/>
      <c r="I16" s="8"/>
      <c r="J16" s="8"/>
      <c r="K16" s="8"/>
      <c r="L16" s="8"/>
      <c r="M16" s="8"/>
      <c r="P16" s="25"/>
      <c r="Q16" s="28" t="e">
        <f>CalcoloVolume!D20</f>
        <v>#VALUE!</v>
      </c>
      <c r="R16" s="29" t="s">
        <v>146</v>
      </c>
    </row>
    <row r="17" spans="1:18" ht="6" customHeight="1" thickBot="1" x14ac:dyDescent="0.25">
      <c r="A17" s="8"/>
      <c r="E17" s="8"/>
      <c r="F17" s="8"/>
      <c r="G17" s="8"/>
      <c r="H17" s="8"/>
      <c r="I17" s="8"/>
      <c r="J17" s="8"/>
      <c r="K17" s="8"/>
      <c r="L17" s="8"/>
      <c r="M17" s="8"/>
      <c r="P17" s="30"/>
      <c r="Q17" s="31"/>
      <c r="R17" s="32"/>
    </row>
    <row r="18" spans="1:18" ht="18" x14ac:dyDescent="0.25">
      <c r="A18" s="8"/>
      <c r="B18" s="20" t="s">
        <v>147</v>
      </c>
      <c r="D18" s="24">
        <v>30</v>
      </c>
      <c r="E18" s="8"/>
      <c r="F18" s="8"/>
      <c r="G18" s="8"/>
      <c r="H18" s="8"/>
      <c r="I18" s="8"/>
      <c r="J18" s="8"/>
      <c r="K18" s="8"/>
      <c r="L18" s="8"/>
      <c r="M18" s="8"/>
    </row>
    <row r="19" spans="1:18" x14ac:dyDescent="0.2">
      <c r="A19" s="8"/>
      <c r="E19" s="8"/>
      <c r="F19" s="8"/>
      <c r="G19" s="8"/>
      <c r="H19" s="8"/>
      <c r="I19" s="8"/>
      <c r="J19" s="8"/>
      <c r="K19" s="8"/>
      <c r="L19" s="8"/>
      <c r="M19" s="8"/>
    </row>
    <row r="20" spans="1:18" x14ac:dyDescent="0.2">
      <c r="A20" s="8"/>
      <c r="D20" s="8"/>
      <c r="E20" s="8"/>
      <c r="F20" s="8"/>
      <c r="G20" s="8"/>
      <c r="H20" s="8"/>
      <c r="I20" s="8"/>
      <c r="J20" s="8"/>
      <c r="K20" s="8"/>
      <c r="L20" s="8"/>
      <c r="M20" s="8"/>
    </row>
    <row r="21" spans="1:18" x14ac:dyDescent="0.2">
      <c r="A21" s="8"/>
      <c r="D21" s="8"/>
      <c r="E21" s="8"/>
      <c r="F21" s="8"/>
      <c r="G21" s="8"/>
      <c r="H21" s="8"/>
      <c r="I21" s="8"/>
      <c r="J21" s="8"/>
      <c r="K21" s="8"/>
      <c r="L21" s="8"/>
      <c r="M21" s="8"/>
    </row>
    <row r="22" spans="1:18" ht="13.5" thickBot="1" x14ac:dyDescent="0.25">
      <c r="A22" s="8"/>
      <c r="D22" s="8"/>
      <c r="E22" s="8"/>
      <c r="F22" s="8"/>
      <c r="G22" s="8"/>
      <c r="H22" s="8"/>
      <c r="I22" s="8"/>
      <c r="J22" s="8"/>
      <c r="K22" s="8"/>
      <c r="L22" s="8"/>
      <c r="M22" s="8"/>
    </row>
    <row r="23" spans="1:18" ht="15.75" x14ac:dyDescent="0.2">
      <c r="A23" s="8"/>
      <c r="E23" s="33" t="s">
        <v>148</v>
      </c>
      <c r="F23" s="34"/>
      <c r="G23" s="8"/>
      <c r="H23" s="35" t="s">
        <v>148</v>
      </c>
      <c r="I23" s="36"/>
      <c r="J23" s="8"/>
      <c r="K23" s="8"/>
      <c r="L23" s="8"/>
      <c r="M23" s="8"/>
    </row>
    <row r="24" spans="1:18" ht="15.75" x14ac:dyDescent="0.2">
      <c r="A24" s="8"/>
      <c r="E24" s="37" t="s">
        <v>149</v>
      </c>
      <c r="F24" s="38" t="s">
        <v>150</v>
      </c>
      <c r="G24" s="8"/>
      <c r="H24" s="37" t="s">
        <v>149</v>
      </c>
      <c r="I24" s="39" t="s">
        <v>150</v>
      </c>
      <c r="J24" s="8"/>
      <c r="K24" s="8"/>
      <c r="L24" s="8"/>
      <c r="M24" s="8"/>
    </row>
    <row r="25" spans="1:18" ht="16.5" thickBot="1" x14ac:dyDescent="0.25">
      <c r="A25" s="8"/>
      <c r="E25" s="40" t="e">
        <f>calcoloPunti!F42</f>
        <v>#DIV/0!</v>
      </c>
      <c r="F25" s="41" t="e">
        <f>calcoloPunti!F43</f>
        <v>#DIV/0!</v>
      </c>
      <c r="G25" s="8"/>
      <c r="H25" s="42" t="e">
        <f>calcoloPunti!M42</f>
        <v>#DIV/0!</v>
      </c>
      <c r="I25" s="43" t="e">
        <f>calcoloPunti!M43</f>
        <v>#DIV/0!</v>
      </c>
      <c r="J25" s="8"/>
      <c r="K25" s="8"/>
      <c r="L25" s="8"/>
      <c r="M25" s="8"/>
    </row>
    <row r="26" spans="1:18" ht="15.75" x14ac:dyDescent="0.2">
      <c r="A26" s="8"/>
      <c r="E26" s="44" t="s">
        <v>151</v>
      </c>
      <c r="F26" s="45"/>
      <c r="G26" s="8"/>
      <c r="H26" s="46" t="s">
        <v>151</v>
      </c>
      <c r="I26" s="47"/>
      <c r="J26" s="8"/>
      <c r="K26" s="8"/>
      <c r="L26" s="8"/>
      <c r="M26" s="8"/>
    </row>
    <row r="27" spans="1:18" ht="15.75" x14ac:dyDescent="0.2">
      <c r="A27" s="8"/>
      <c r="E27" s="37" t="s">
        <v>152</v>
      </c>
      <c r="F27" s="38" t="s">
        <v>153</v>
      </c>
      <c r="G27" s="8"/>
      <c r="H27" s="48" t="s">
        <v>152</v>
      </c>
      <c r="I27" s="49" t="s">
        <v>153</v>
      </c>
      <c r="J27" s="8"/>
      <c r="K27" s="8"/>
      <c r="L27" s="8"/>
      <c r="M27" s="8"/>
    </row>
    <row r="28" spans="1:18" ht="16.5" thickBot="1" x14ac:dyDescent="0.25">
      <c r="A28" s="8"/>
      <c r="E28" s="40" t="e">
        <f>calcoloPunti!F50</f>
        <v>#DIV/0!</v>
      </c>
      <c r="F28" s="41" t="e">
        <f>calcoloPunti!F51</f>
        <v>#DIV/0!</v>
      </c>
      <c r="G28" s="8"/>
      <c r="H28" s="42" t="e">
        <f>calcoloPunti!M50</f>
        <v>#DIV/0!</v>
      </c>
      <c r="I28" s="43" t="e">
        <f>calcoloPunti!M51</f>
        <v>#DIV/0!</v>
      </c>
      <c r="K28" s="8"/>
      <c r="L28" s="8"/>
      <c r="M28" s="8"/>
    </row>
    <row r="29" spans="1:18" ht="15.75" x14ac:dyDescent="0.2">
      <c r="A29" s="8"/>
      <c r="E29" s="44" t="s">
        <v>154</v>
      </c>
      <c r="F29" s="45"/>
      <c r="G29" s="8"/>
      <c r="H29" s="46" t="s">
        <v>154</v>
      </c>
      <c r="I29" s="47"/>
      <c r="K29" s="8"/>
      <c r="L29" s="8"/>
      <c r="M29" s="8"/>
    </row>
    <row r="30" spans="1:18" ht="15.75" x14ac:dyDescent="0.2">
      <c r="A30" s="8"/>
      <c r="E30" s="37" t="s">
        <v>155</v>
      </c>
      <c r="F30" s="38" t="s">
        <v>156</v>
      </c>
      <c r="G30" s="8"/>
      <c r="H30" s="48" t="s">
        <v>155</v>
      </c>
      <c r="I30" s="49" t="s">
        <v>156</v>
      </c>
      <c r="K30" s="8"/>
      <c r="L30" s="8"/>
      <c r="M30" s="8"/>
    </row>
    <row r="31" spans="1:18" ht="16.5" thickBot="1" x14ac:dyDescent="0.25">
      <c r="A31" s="8"/>
      <c r="E31" s="40" t="e">
        <f>calcoloPunti!F58</f>
        <v>#DIV/0!</v>
      </c>
      <c r="F31" s="41" t="e">
        <f>calcoloPunti!F59</f>
        <v>#DIV/0!</v>
      </c>
      <c r="G31" s="8"/>
      <c r="H31" s="42" t="e">
        <f>calcoloPunti!M58</f>
        <v>#DIV/0!</v>
      </c>
      <c r="I31" s="43" t="e">
        <f>calcoloPunti!M59</f>
        <v>#DIV/0!</v>
      </c>
      <c r="K31" s="8"/>
      <c r="L31" s="8"/>
      <c r="M31" s="8"/>
    </row>
    <row r="32" spans="1:18" ht="18" customHeight="1" x14ac:dyDescent="0.2">
      <c r="A32" s="8"/>
      <c r="E32" s="44" t="s">
        <v>157</v>
      </c>
      <c r="F32" s="45"/>
      <c r="G32" s="8"/>
      <c r="H32" s="46" t="s">
        <v>157</v>
      </c>
      <c r="I32" s="47"/>
      <c r="K32" s="8"/>
      <c r="L32" s="8"/>
      <c r="M32" s="8"/>
    </row>
    <row r="33" spans="1:13" ht="18" customHeight="1" x14ac:dyDescent="0.2">
      <c r="A33" s="8"/>
      <c r="E33" s="37" t="s">
        <v>158</v>
      </c>
      <c r="F33" s="38" t="s">
        <v>159</v>
      </c>
      <c r="G33" s="8"/>
      <c r="H33" s="48" t="s">
        <v>158</v>
      </c>
      <c r="I33" s="49" t="s">
        <v>159</v>
      </c>
      <c r="K33" s="8"/>
      <c r="L33" s="8"/>
      <c r="M33" s="8"/>
    </row>
    <row r="34" spans="1:13" ht="18" customHeight="1" thickBot="1" x14ac:dyDescent="0.25">
      <c r="A34" s="8"/>
      <c r="E34" s="42" t="e">
        <f>calcoloPunti!F66</f>
        <v>#DIV/0!</v>
      </c>
      <c r="F34" s="43" t="e">
        <f>calcoloPunti!F67</f>
        <v>#DIV/0!</v>
      </c>
      <c r="G34" s="8"/>
      <c r="H34" s="42" t="e">
        <f>calcoloPunti!M66</f>
        <v>#DIV/0!</v>
      </c>
      <c r="I34" s="43" t="e">
        <f>calcoloPunti!M67</f>
        <v>#DIV/0!</v>
      </c>
      <c r="K34" s="8"/>
      <c r="L34" s="8"/>
      <c r="M34" s="8"/>
    </row>
    <row r="35" spans="1:13" ht="18" customHeight="1" x14ac:dyDescent="0.2">
      <c r="A35" s="8"/>
      <c r="B35" s="8"/>
      <c r="C35" s="8"/>
      <c r="D35" s="8"/>
      <c r="E35" s="8"/>
      <c r="F35" s="8"/>
      <c r="G35" s="8"/>
      <c r="H35" s="8"/>
      <c r="K35" s="8"/>
      <c r="L35" s="8"/>
      <c r="M35" s="8"/>
    </row>
    <row r="36" spans="1:13" ht="18" customHeight="1" x14ac:dyDescent="0.2">
      <c r="A36" s="8"/>
      <c r="B36" s="8"/>
      <c r="C36" s="8"/>
      <c r="D36" s="8"/>
      <c r="E36" s="8"/>
      <c r="F36" s="8"/>
      <c r="G36" s="8"/>
      <c r="H36" s="8"/>
      <c r="K36" s="8"/>
      <c r="L36" s="8"/>
      <c r="M36" s="8"/>
    </row>
    <row r="37" spans="1:13" ht="18" customHeight="1" x14ac:dyDescent="0.2">
      <c r="A37" s="8"/>
      <c r="B37" s="8"/>
      <c r="C37" s="8"/>
      <c r="D37" s="8"/>
      <c r="E37" s="8"/>
      <c r="F37" s="8"/>
      <c r="G37" s="8"/>
      <c r="H37" s="8"/>
      <c r="K37" s="8"/>
      <c r="L37" s="8"/>
      <c r="M37" s="8"/>
    </row>
    <row r="38" spans="1:13" ht="18" customHeight="1" x14ac:dyDescent="0.2">
      <c r="A38" s="8"/>
      <c r="B38" s="8"/>
      <c r="C38" s="8"/>
      <c r="D38" s="8"/>
      <c r="E38" s="8"/>
      <c r="F38" s="8"/>
      <c r="G38" s="8"/>
      <c r="H38" s="8"/>
      <c r="K38" s="8"/>
      <c r="L38" s="8"/>
      <c r="M38" s="8"/>
    </row>
    <row r="39" spans="1:13" ht="18" customHeight="1" x14ac:dyDescent="0.2">
      <c r="A39" s="8"/>
      <c r="B39" s="8"/>
      <c r="C39" s="8"/>
      <c r="D39" s="8"/>
      <c r="E39" s="8"/>
      <c r="F39" s="8"/>
      <c r="G39" s="8"/>
      <c r="H39" s="8"/>
      <c r="K39" s="8"/>
      <c r="L39" s="8"/>
      <c r="M39" s="8"/>
    </row>
    <row r="40" spans="1:13" ht="18" customHeight="1" x14ac:dyDescent="0.2">
      <c r="A40" s="8"/>
      <c r="B40" s="8"/>
      <c r="C40" s="8"/>
      <c r="D40" s="8"/>
      <c r="E40" s="8"/>
      <c r="F40" s="8"/>
      <c r="G40" s="8"/>
      <c r="H40" s="8"/>
    </row>
    <row r="41" spans="1:13" ht="18" customHeight="1" x14ac:dyDescent="0.2">
      <c r="A41" s="8"/>
      <c r="B41" s="8"/>
      <c r="C41" s="8"/>
      <c r="D41" s="8"/>
      <c r="E41" s="8"/>
      <c r="F41" s="8"/>
      <c r="G41" s="8"/>
      <c r="H41" s="8"/>
    </row>
    <row r="42" spans="1:13" ht="18" customHeight="1" x14ac:dyDescent="0.2">
      <c r="A42" s="8"/>
      <c r="B42" s="8"/>
      <c r="C42" s="8"/>
      <c r="D42" s="8"/>
      <c r="E42" s="8"/>
      <c r="F42" s="8"/>
      <c r="G42" s="8"/>
      <c r="H42" s="8"/>
    </row>
    <row r="43" spans="1:13" ht="18" customHeight="1" x14ac:dyDescent="0.2">
      <c r="A43" s="8"/>
      <c r="B43" s="8"/>
      <c r="C43" s="8"/>
      <c r="D43" s="8"/>
      <c r="E43" s="8"/>
      <c r="F43" s="8"/>
      <c r="G43" s="8"/>
      <c r="H43" s="8"/>
    </row>
    <row r="44" spans="1:13" ht="15" customHeight="1" x14ac:dyDescent="0.2">
      <c r="A44" s="8"/>
      <c r="B44" s="8"/>
      <c r="C44" s="8"/>
      <c r="D44" s="8"/>
      <c r="E44" s="8"/>
      <c r="F44" s="8"/>
      <c r="G44" s="8"/>
      <c r="H44" s="8"/>
      <c r="I44" s="50"/>
      <c r="J44" s="50"/>
      <c r="K44" s="8"/>
      <c r="L44" s="8"/>
      <c r="M44" s="8"/>
    </row>
  </sheetData>
  <sheetProtection password="DD9E" sheet="1" objects="1" scenarios="1"/>
  <pageMargins left="0.39370078740157483" right="0.39370078740157483" top="0.39370078740157483" bottom="0.59055118110236227" header="0.51181102362204722" footer="0.51181102362204722"/>
  <pageSetup paperSize="9" scale="66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Z626"/>
  <sheetViews>
    <sheetView showGridLines="0" zoomScale="85" zoomScaleNormal="85" workbookViewId="0">
      <selection activeCell="D13" sqref="D13"/>
    </sheetView>
  </sheetViews>
  <sheetFormatPr defaultColWidth="9.33203125" defaultRowHeight="12.75" x14ac:dyDescent="0.2"/>
  <cols>
    <col min="1" max="1" width="4" style="77" customWidth="1"/>
    <col min="2" max="2" width="13" style="77" customWidth="1"/>
    <col min="3" max="3" width="16.5" style="77" customWidth="1"/>
    <col min="4" max="4" width="12.83203125" style="77" customWidth="1"/>
    <col min="5" max="5" width="11.1640625" style="77" bestFit="1" customWidth="1"/>
    <col min="6" max="6" width="13.6640625" style="77" customWidth="1"/>
    <col min="7" max="7" width="11.6640625" style="77" customWidth="1"/>
    <col min="8" max="8" width="12.5" style="77" customWidth="1"/>
    <col min="9" max="9" width="20.33203125" style="77" customWidth="1"/>
    <col min="10" max="10" width="11.1640625" style="77" customWidth="1"/>
    <col min="11" max="11" width="20.33203125" style="77" customWidth="1"/>
    <col min="12" max="12" width="14.6640625" style="77" customWidth="1"/>
    <col min="13" max="13" width="12.83203125" style="77" customWidth="1"/>
    <col min="14" max="14" width="11.1640625" style="77" bestFit="1" customWidth="1"/>
    <col min="15" max="16384" width="9.33203125" style="77"/>
  </cols>
  <sheetData>
    <row r="1" spans="1:19" x14ac:dyDescent="0.2">
      <c r="A1" s="72"/>
      <c r="B1" s="73"/>
      <c r="C1" s="74"/>
      <c r="D1" s="74"/>
      <c r="E1" s="75"/>
      <c r="F1" s="76"/>
      <c r="H1" s="78"/>
      <c r="I1" s="74"/>
      <c r="J1" s="74"/>
      <c r="K1" s="74"/>
      <c r="L1" s="79"/>
      <c r="M1" s="80"/>
      <c r="N1" s="79"/>
    </row>
    <row r="2" spans="1:19" ht="18" x14ac:dyDescent="0.25">
      <c r="A2" s="81"/>
      <c r="B2" s="82" t="s">
        <v>5</v>
      </c>
      <c r="F2" s="83"/>
      <c r="H2" s="84"/>
      <c r="I2" s="82" t="s">
        <v>6</v>
      </c>
      <c r="M2" s="83"/>
    </row>
    <row r="3" spans="1:19" x14ac:dyDescent="0.2">
      <c r="A3" s="81"/>
      <c r="B3" s="77" t="s">
        <v>173</v>
      </c>
      <c r="D3" s="85">
        <f>Calcolo1!D8</f>
        <v>1E-3</v>
      </c>
      <c r="F3" s="83"/>
      <c r="H3" s="84"/>
      <c r="I3" s="77" t="s">
        <v>174</v>
      </c>
      <c r="K3" s="85">
        <f>Calcolo1!D9</f>
        <v>1E-3</v>
      </c>
      <c r="M3" s="83"/>
    </row>
    <row r="4" spans="1:19" x14ac:dyDescent="0.2">
      <c r="A4" s="84"/>
      <c r="B4" s="77" t="s">
        <v>175</v>
      </c>
      <c r="D4" s="85">
        <f>D3/8</f>
        <v>1.25E-4</v>
      </c>
      <c r="F4" s="83"/>
      <c r="H4" s="84"/>
      <c r="I4" s="77" t="s">
        <v>176</v>
      </c>
      <c r="K4" s="85">
        <f>K3/8</f>
        <v>1.25E-4</v>
      </c>
      <c r="M4" s="83"/>
    </row>
    <row r="5" spans="1:19" x14ac:dyDescent="0.2">
      <c r="A5" s="81"/>
      <c r="B5" s="77" t="s">
        <v>177</v>
      </c>
      <c r="D5" s="85">
        <f>D3/4</f>
        <v>2.5000000000000001E-4</v>
      </c>
      <c r="F5" s="83"/>
      <c r="H5" s="84"/>
      <c r="I5" s="77" t="s">
        <v>178</v>
      </c>
      <c r="K5" s="85">
        <f>K3/4</f>
        <v>2.5000000000000001E-4</v>
      </c>
      <c r="M5" s="83"/>
    </row>
    <row r="6" spans="1:19" x14ac:dyDescent="0.2">
      <c r="A6" s="84"/>
      <c r="B6" s="77" t="s">
        <v>179</v>
      </c>
      <c r="D6" s="85">
        <f>D3*3/8</f>
        <v>3.7500000000000001E-4</v>
      </c>
      <c r="F6" s="83"/>
      <c r="H6" s="84"/>
      <c r="I6" s="77" t="s">
        <v>180</v>
      </c>
      <c r="K6" s="85">
        <f>K3*3/8</f>
        <v>3.7500000000000001E-4</v>
      </c>
      <c r="M6" s="83"/>
    </row>
    <row r="7" spans="1:19" x14ac:dyDescent="0.2">
      <c r="A7" s="81"/>
      <c r="B7" s="77" t="s">
        <v>181</v>
      </c>
      <c r="D7" s="85">
        <f>Calcolo1!D8/2</f>
        <v>5.0000000000000001E-4</v>
      </c>
      <c r="F7" s="83"/>
      <c r="H7" s="84"/>
      <c r="I7" s="77" t="s">
        <v>182</v>
      </c>
      <c r="K7" s="85">
        <f>K3/2</f>
        <v>5.0000000000000001E-4</v>
      </c>
      <c r="M7" s="83"/>
    </row>
    <row r="8" spans="1:19" x14ac:dyDescent="0.2">
      <c r="A8" s="86"/>
      <c r="D8" s="85"/>
      <c r="E8" s="79"/>
      <c r="F8" s="83"/>
      <c r="H8" s="84"/>
      <c r="J8" s="85"/>
      <c r="M8" s="83"/>
    </row>
    <row r="9" spans="1:19" x14ac:dyDescent="0.2">
      <c r="A9" s="81"/>
      <c r="B9" s="77" t="s">
        <v>183</v>
      </c>
      <c r="C9" s="79"/>
      <c r="D9" s="85" t="e">
        <f>Calcolo1!D15</f>
        <v>#DIV/0!</v>
      </c>
      <c r="E9" s="79"/>
      <c r="F9" s="83"/>
      <c r="H9" s="84"/>
      <c r="I9" s="77" t="s">
        <v>183</v>
      </c>
      <c r="J9" s="79"/>
      <c r="K9" s="85" t="e">
        <f>D9</f>
        <v>#DIV/0!</v>
      </c>
      <c r="L9" s="79"/>
      <c r="M9" s="83"/>
    </row>
    <row r="10" spans="1:19" x14ac:dyDescent="0.2">
      <c r="A10" s="81"/>
      <c r="B10" s="77" t="s">
        <v>139</v>
      </c>
      <c r="C10" s="79"/>
      <c r="D10" s="85">
        <f>Calcolo1!D10</f>
        <v>0</v>
      </c>
      <c r="F10" s="83"/>
      <c r="H10" s="84"/>
      <c r="I10" s="77" t="s">
        <v>139</v>
      </c>
      <c r="J10" s="79"/>
      <c r="K10" s="85">
        <f>D10</f>
        <v>0</v>
      </c>
      <c r="M10" s="83"/>
    </row>
    <row r="11" spans="1:19" x14ac:dyDescent="0.2">
      <c r="A11" s="81"/>
      <c r="B11" s="77" t="s">
        <v>184</v>
      </c>
      <c r="D11" s="79">
        <f>D10/2</f>
        <v>0</v>
      </c>
      <c r="F11" s="83"/>
      <c r="H11" s="84"/>
      <c r="I11" s="77" t="s">
        <v>184</v>
      </c>
      <c r="K11" s="79">
        <f>K10/2</f>
        <v>0</v>
      </c>
      <c r="M11" s="83"/>
      <c r="S11" s="87"/>
    </row>
    <row r="12" spans="1:19" ht="15" customHeight="1" x14ac:dyDescent="0.2">
      <c r="A12" s="81"/>
      <c r="B12" s="77" t="s">
        <v>185</v>
      </c>
      <c r="C12" s="88"/>
      <c r="D12" s="79">
        <f>(D10+15)/2</f>
        <v>7.5</v>
      </c>
      <c r="E12" s="89"/>
      <c r="F12" s="83"/>
      <c r="H12" s="84"/>
      <c r="I12" s="77" t="s">
        <v>185</v>
      </c>
      <c r="J12" s="88"/>
      <c r="K12" s="79">
        <f>(K10+15)/2</f>
        <v>7.5</v>
      </c>
      <c r="L12" s="89"/>
      <c r="M12" s="83"/>
      <c r="R12" s="87"/>
      <c r="S12" s="87"/>
    </row>
    <row r="13" spans="1:19" x14ac:dyDescent="0.2">
      <c r="A13" s="84"/>
      <c r="B13" s="90" t="s">
        <v>186</v>
      </c>
      <c r="D13" s="91" t="e">
        <f>SQRT(D9*D9+(K7-D11)*(K7-D11))</f>
        <v>#DIV/0!</v>
      </c>
      <c r="E13" s="92" t="e">
        <f>D13-120</f>
        <v>#DIV/0!</v>
      </c>
      <c r="F13" s="83"/>
      <c r="H13" s="84"/>
      <c r="I13" s="90" t="s">
        <v>186</v>
      </c>
      <c r="K13" s="91" t="e">
        <f>SQRT(K9*K9+(D7-K11)*(D7-K11))</f>
        <v>#DIV/0!</v>
      </c>
      <c r="L13" s="92" t="e">
        <f>K13-120</f>
        <v>#DIV/0!</v>
      </c>
      <c r="M13" s="83"/>
      <c r="Q13" s="87"/>
    </row>
    <row r="14" spans="1:19" x14ac:dyDescent="0.2">
      <c r="A14" s="84"/>
      <c r="F14" s="83"/>
      <c r="H14" s="84"/>
      <c r="M14" s="83"/>
    </row>
    <row r="15" spans="1:19" x14ac:dyDescent="0.2">
      <c r="A15" s="84"/>
      <c r="B15" s="77" t="s">
        <v>187</v>
      </c>
      <c r="F15" s="83"/>
      <c r="H15" s="84"/>
      <c r="I15" s="77" t="s">
        <v>187</v>
      </c>
      <c r="M15" s="83"/>
    </row>
    <row r="16" spans="1:19" x14ac:dyDescent="0.2">
      <c r="A16" s="84"/>
      <c r="C16" s="77" t="s">
        <v>188</v>
      </c>
      <c r="D16" s="93">
        <f>ATAN(D4/$K$7)</f>
        <v>0.24497866312686414</v>
      </c>
      <c r="E16" s="93"/>
      <c r="F16" s="94"/>
      <c r="H16" s="84"/>
      <c r="J16" s="77" t="s">
        <v>188</v>
      </c>
      <c r="K16" s="93">
        <f>ATAN(K4/$D$7)</f>
        <v>0.24497866312686414</v>
      </c>
      <c r="L16" s="93"/>
      <c r="M16" s="94"/>
    </row>
    <row r="17" spans="1:26" ht="13.5" customHeight="1" x14ac:dyDescent="0.2">
      <c r="A17" s="84"/>
      <c r="C17" s="77" t="s">
        <v>189</v>
      </c>
      <c r="D17" s="93">
        <f>ATAN(D5/$K$7)</f>
        <v>0.46364760900080609</v>
      </c>
      <c r="E17" s="93"/>
      <c r="F17" s="94"/>
      <c r="H17" s="84"/>
      <c r="J17" s="77" t="s">
        <v>189</v>
      </c>
      <c r="K17" s="93">
        <f>ATAN(K5/$D$7)</f>
        <v>0.46364760900080609</v>
      </c>
      <c r="L17" s="93"/>
      <c r="M17" s="94"/>
    </row>
    <row r="18" spans="1:26" x14ac:dyDescent="0.2">
      <c r="A18" s="84"/>
      <c r="C18" s="77" t="s">
        <v>190</v>
      </c>
      <c r="D18" s="93">
        <f>ATAN(D6/$K$7)</f>
        <v>0.64350110879328437</v>
      </c>
      <c r="E18" s="93"/>
      <c r="F18" s="94"/>
      <c r="H18" s="84"/>
      <c r="J18" s="77" t="s">
        <v>190</v>
      </c>
      <c r="K18" s="93">
        <f>ATAN(K6/$D$7)</f>
        <v>0.64350110879328437</v>
      </c>
      <c r="L18" s="93"/>
      <c r="M18" s="94"/>
    </row>
    <row r="19" spans="1:26" x14ac:dyDescent="0.2">
      <c r="A19" s="84"/>
      <c r="C19" s="77" t="s">
        <v>191</v>
      </c>
      <c r="D19" s="93">
        <f>ATAN(D7/$K$7)</f>
        <v>0.78539816339744828</v>
      </c>
      <c r="E19" s="93"/>
      <c r="F19" s="95"/>
      <c r="H19" s="84"/>
      <c r="J19" s="77" t="s">
        <v>191</v>
      </c>
      <c r="K19" s="93">
        <f>ATAN(K7/$D$7)</f>
        <v>0.78539816339744828</v>
      </c>
      <c r="L19" s="93"/>
      <c r="M19" s="95"/>
    </row>
    <row r="20" spans="1:26" x14ac:dyDescent="0.2">
      <c r="A20" s="84"/>
      <c r="B20" s="77" t="s">
        <v>192</v>
      </c>
      <c r="D20" s="93"/>
      <c r="E20" s="93"/>
      <c r="F20" s="95"/>
      <c r="H20" s="84"/>
      <c r="I20" s="77" t="s">
        <v>192</v>
      </c>
      <c r="K20" s="93"/>
      <c r="L20" s="93"/>
      <c r="M20" s="95"/>
    </row>
    <row r="21" spans="1:26" x14ac:dyDescent="0.2">
      <c r="A21" s="84"/>
      <c r="C21" s="77" t="s">
        <v>193</v>
      </c>
      <c r="D21" s="93">
        <f>D$12*D16</f>
        <v>1.837339973451481</v>
      </c>
      <c r="E21" s="93"/>
      <c r="F21" s="94"/>
      <c r="H21" s="84"/>
      <c r="J21" s="77" t="s">
        <v>193</v>
      </c>
      <c r="K21" s="93">
        <f>K$12*K16</f>
        <v>1.837339973451481</v>
      </c>
      <c r="L21" s="93"/>
      <c r="M21" s="94"/>
    </row>
    <row r="22" spans="1:26" x14ac:dyDescent="0.2">
      <c r="A22" s="84"/>
      <c r="C22" s="77" t="s">
        <v>194</v>
      </c>
      <c r="D22" s="93">
        <f>D$12*(D17-D16)</f>
        <v>1.6400170940545646</v>
      </c>
      <c r="E22" s="96"/>
      <c r="F22" s="94"/>
      <c r="H22" s="84"/>
      <c r="J22" s="77" t="s">
        <v>194</v>
      </c>
      <c r="K22" s="93">
        <f>K$12*(K17-K16)</f>
        <v>1.6400170940545646</v>
      </c>
      <c r="L22" s="96"/>
      <c r="M22" s="94"/>
    </row>
    <row r="23" spans="1:26" x14ac:dyDescent="0.2">
      <c r="A23" s="84"/>
      <c r="C23" s="77" t="s">
        <v>195</v>
      </c>
      <c r="D23" s="93">
        <f>D$12*(D18-D17)</f>
        <v>1.3489012484435872</v>
      </c>
      <c r="E23" s="96"/>
      <c r="F23" s="94"/>
      <c r="H23" s="84"/>
      <c r="J23" s="77" t="s">
        <v>195</v>
      </c>
      <c r="K23" s="93">
        <f>K$12*(K18-K17)</f>
        <v>1.3489012484435872</v>
      </c>
      <c r="L23" s="96"/>
      <c r="M23" s="94"/>
    </row>
    <row r="24" spans="1:26" x14ac:dyDescent="0.2">
      <c r="A24" s="84"/>
      <c r="C24" s="77" t="s">
        <v>196</v>
      </c>
      <c r="D24" s="93">
        <f>D$12*(D19-D18)</f>
        <v>1.0642279095312293</v>
      </c>
      <c r="E24" s="93"/>
      <c r="F24" s="94"/>
      <c r="H24" s="84"/>
      <c r="J24" s="77" t="s">
        <v>196</v>
      </c>
      <c r="K24" s="93">
        <f>K$12*(K19-K18)</f>
        <v>1.0642279095312293</v>
      </c>
      <c r="L24" s="93"/>
      <c r="M24" s="94"/>
    </row>
    <row r="25" spans="1:26" x14ac:dyDescent="0.2">
      <c r="A25" s="84"/>
      <c r="B25" s="77" t="s">
        <v>197</v>
      </c>
      <c r="D25" s="97"/>
      <c r="E25" s="93"/>
      <c r="F25" s="98"/>
      <c r="H25" s="84"/>
      <c r="I25" s="77" t="s">
        <v>197</v>
      </c>
      <c r="K25" s="97"/>
      <c r="L25" s="93"/>
      <c r="M25" s="98"/>
    </row>
    <row r="26" spans="1:26" x14ac:dyDescent="0.2">
      <c r="A26" s="84"/>
      <c r="C26" s="77" t="s">
        <v>198</v>
      </c>
      <c r="D26" s="93">
        <f>K7*K7</f>
        <v>2.4999999999999999E-7</v>
      </c>
      <c r="E26" s="87"/>
      <c r="F26" s="94"/>
      <c r="G26" s="99"/>
      <c r="H26" s="84"/>
      <c r="J26" s="77" t="s">
        <v>198</v>
      </c>
      <c r="K26" s="93">
        <f>D7*D7</f>
        <v>2.4999999999999999E-7</v>
      </c>
      <c r="L26" s="87"/>
      <c r="M26" s="94"/>
    </row>
    <row r="27" spans="1:26" x14ac:dyDescent="0.2">
      <c r="A27" s="84"/>
      <c r="C27" s="77" t="s">
        <v>199</v>
      </c>
      <c r="D27" s="93">
        <f>SQRT(D$26+D4*D4)</f>
        <v>5.1538820320220754E-4</v>
      </c>
      <c r="E27" s="87"/>
      <c r="F27" s="94"/>
      <c r="H27" s="84"/>
      <c r="J27" s="77" t="s">
        <v>199</v>
      </c>
      <c r="K27" s="93">
        <f>SQRT(K$26+K4*K4)</f>
        <v>5.1538820320220754E-4</v>
      </c>
      <c r="L27" s="87"/>
      <c r="M27" s="94"/>
    </row>
    <row r="28" spans="1:26" x14ac:dyDescent="0.2">
      <c r="A28" s="84"/>
      <c r="C28" s="77" t="s">
        <v>200</v>
      </c>
      <c r="D28" s="93">
        <f>SQRT(D$26+D5*D5)</f>
        <v>5.5901699437494736E-4</v>
      </c>
      <c r="E28" s="87"/>
      <c r="F28" s="94"/>
      <c r="H28" s="84"/>
      <c r="J28" s="77" t="s">
        <v>200</v>
      </c>
      <c r="K28" s="93">
        <f>SQRT(K$26+K5*K5)</f>
        <v>5.5901699437494736E-4</v>
      </c>
      <c r="L28" s="87"/>
      <c r="M28" s="94"/>
    </row>
    <row r="29" spans="1:26" x14ac:dyDescent="0.2">
      <c r="A29" s="84"/>
      <c r="C29" s="77" t="s">
        <v>201</v>
      </c>
      <c r="D29" s="93">
        <f>SQRT(D$26+D6*D6)</f>
        <v>6.2500000000000001E-4</v>
      </c>
      <c r="E29" s="87"/>
      <c r="F29" s="94"/>
      <c r="H29" s="84"/>
      <c r="J29" s="77" t="s">
        <v>201</v>
      </c>
      <c r="K29" s="93">
        <f>SQRT(K$26+K6*K6)</f>
        <v>6.2500000000000001E-4</v>
      </c>
      <c r="L29" s="87"/>
      <c r="M29" s="94"/>
    </row>
    <row r="30" spans="1:26" x14ac:dyDescent="0.2">
      <c r="A30" s="84"/>
      <c r="C30" s="77" t="s">
        <v>202</v>
      </c>
      <c r="D30" s="93">
        <f>SQRT(D$26+D7*D7)</f>
        <v>7.0710678118654751E-4</v>
      </c>
      <c r="E30" s="87"/>
      <c r="F30" s="94"/>
      <c r="H30" s="84"/>
      <c r="J30" s="77" t="s">
        <v>202</v>
      </c>
      <c r="K30" s="93">
        <f>SQRT(K$26+K7*K7)</f>
        <v>7.0710678118654751E-4</v>
      </c>
      <c r="L30" s="87"/>
      <c r="M30" s="94"/>
    </row>
    <row r="31" spans="1:26" x14ac:dyDescent="0.2">
      <c r="A31" s="84"/>
      <c r="B31" s="77" t="s">
        <v>203</v>
      </c>
      <c r="D31" s="93"/>
      <c r="E31" s="87"/>
      <c r="F31" s="94"/>
      <c r="H31" s="84"/>
      <c r="I31" s="77" t="s">
        <v>203</v>
      </c>
      <c r="K31" s="93"/>
      <c r="L31" s="87"/>
      <c r="M31" s="94"/>
      <c r="R31" s="79"/>
      <c r="S31" s="100"/>
      <c r="W31" s="90"/>
      <c r="X31" s="79"/>
      <c r="Y31" s="79"/>
      <c r="Z31" s="79"/>
    </row>
    <row r="32" spans="1:26" x14ac:dyDescent="0.2">
      <c r="A32" s="84"/>
      <c r="C32" s="77" t="s">
        <v>204</v>
      </c>
      <c r="D32" s="93" t="e">
        <f>SQRT(D$9*D$9+(D27-D$11)*(D27-D$11))</f>
        <v>#DIV/0!</v>
      </c>
      <c r="E32" s="87"/>
      <c r="F32" s="94"/>
      <c r="H32" s="84"/>
      <c r="J32" s="77" t="s">
        <v>204</v>
      </c>
      <c r="K32" s="93" t="e">
        <f>SQRT(K$9*K$9+(K27-K$11)*(K27-K$11))</f>
        <v>#DIV/0!</v>
      </c>
      <c r="L32" s="87"/>
      <c r="M32" s="94"/>
      <c r="R32" s="79"/>
      <c r="S32" s="79"/>
      <c r="T32" s="79"/>
    </row>
    <row r="33" spans="1:26" x14ac:dyDescent="0.2">
      <c r="A33" s="84"/>
      <c r="C33" s="77" t="s">
        <v>205</v>
      </c>
      <c r="D33" s="93" t="e">
        <f>SQRT(D$9*D$9+(D28-D$11)*(D28-D$11))</f>
        <v>#DIV/0!</v>
      </c>
      <c r="E33" s="87"/>
      <c r="F33" s="94"/>
      <c r="H33" s="84"/>
      <c r="J33" s="77" t="s">
        <v>205</v>
      </c>
      <c r="K33" s="93" t="e">
        <f>SQRT(K$9*K$9+(K28-K$11)*(K28-K$11))</f>
        <v>#DIV/0!</v>
      </c>
      <c r="L33" s="87"/>
      <c r="M33" s="94"/>
      <c r="R33" s="79"/>
      <c r="S33" s="79"/>
      <c r="T33" s="79"/>
      <c r="U33" s="101"/>
      <c r="X33" s="79"/>
      <c r="Y33" s="101"/>
    </row>
    <row r="34" spans="1:26" x14ac:dyDescent="0.2">
      <c r="A34" s="84"/>
      <c r="C34" s="77" t="s">
        <v>206</v>
      </c>
      <c r="D34" s="93" t="e">
        <f>SQRT(D$9*D$9+(D29-D$11)*(D29-D$11))</f>
        <v>#DIV/0!</v>
      </c>
      <c r="E34" s="87"/>
      <c r="F34" s="94"/>
      <c r="H34" s="84"/>
      <c r="J34" s="77" t="s">
        <v>206</v>
      </c>
      <c r="K34" s="93" t="e">
        <f>SQRT(K$9*K$9+(K29-K$11)*(K29-K$11))</f>
        <v>#DIV/0!</v>
      </c>
      <c r="L34" s="87"/>
      <c r="M34" s="94"/>
      <c r="R34" s="79"/>
      <c r="S34" s="79"/>
      <c r="T34" s="79"/>
      <c r="U34" s="101"/>
      <c r="X34" s="79"/>
      <c r="Y34" s="101"/>
    </row>
    <row r="35" spans="1:26" x14ac:dyDescent="0.2">
      <c r="A35" s="84"/>
      <c r="C35" s="77" t="s">
        <v>207</v>
      </c>
      <c r="D35" s="102" t="e">
        <f>SQRT(D$9*D$9+(D30-D$11)*(D30-D$11))</f>
        <v>#DIV/0!</v>
      </c>
      <c r="E35" s="103" t="s">
        <v>208</v>
      </c>
      <c r="F35" s="94"/>
      <c r="H35" s="84"/>
      <c r="J35" s="77" t="s">
        <v>207</v>
      </c>
      <c r="K35" s="102" t="e">
        <f>SQRT(K$9*K$9+(K30-K$11)*(K30-K$11))</f>
        <v>#DIV/0!</v>
      </c>
      <c r="L35" s="103" t="s">
        <v>208</v>
      </c>
      <c r="M35" s="94"/>
      <c r="R35" s="79"/>
      <c r="S35" s="79"/>
      <c r="T35" s="79"/>
      <c r="U35" s="101"/>
      <c r="X35" s="79"/>
      <c r="Y35" s="101"/>
    </row>
    <row r="36" spans="1:26" x14ac:dyDescent="0.2">
      <c r="A36" s="84"/>
      <c r="B36" s="77" t="s">
        <v>209</v>
      </c>
      <c r="E36" s="90"/>
      <c r="F36" s="83"/>
      <c r="H36" s="84"/>
      <c r="I36" s="77" t="s">
        <v>209</v>
      </c>
      <c r="L36" s="90"/>
      <c r="M36" s="83"/>
      <c r="R36" s="79"/>
      <c r="S36" s="79"/>
      <c r="T36" s="79"/>
      <c r="U36" s="97"/>
      <c r="X36" s="79"/>
      <c r="Y36" s="97"/>
    </row>
    <row r="37" spans="1:26" x14ac:dyDescent="0.2">
      <c r="A37" s="84"/>
      <c r="B37" s="93"/>
      <c r="C37" s="77" t="s">
        <v>210</v>
      </c>
      <c r="D37" s="93" t="e">
        <f>D32</f>
        <v>#DIV/0!</v>
      </c>
      <c r="E37" s="93"/>
      <c r="F37" s="95"/>
      <c r="G37" s="93"/>
      <c r="H37" s="84"/>
      <c r="I37" s="93"/>
      <c r="J37" s="77" t="s">
        <v>210</v>
      </c>
      <c r="K37" s="93" t="e">
        <f>K32</f>
        <v>#DIV/0!</v>
      </c>
      <c r="L37" s="93"/>
      <c r="M37" s="95"/>
      <c r="X37" s="79"/>
      <c r="Y37" s="97"/>
    </row>
    <row r="38" spans="1:26" x14ac:dyDescent="0.2">
      <c r="A38" s="84"/>
      <c r="B38" s="93"/>
      <c r="C38" s="77" t="s">
        <v>211</v>
      </c>
      <c r="D38" s="93">
        <f>D21</f>
        <v>1.837339973451481</v>
      </c>
      <c r="E38" s="93"/>
      <c r="F38" s="95"/>
      <c r="G38" s="93"/>
      <c r="H38" s="84"/>
      <c r="I38" s="93"/>
      <c r="J38" s="77" t="s">
        <v>211</v>
      </c>
      <c r="K38" s="93">
        <f>K21</f>
        <v>1.837339973451481</v>
      </c>
      <c r="L38" s="93"/>
      <c r="M38" s="95"/>
      <c r="Q38" s="90"/>
      <c r="S38" s="79"/>
      <c r="T38" s="79"/>
      <c r="X38" s="79"/>
      <c r="Y38" s="97"/>
    </row>
    <row r="39" spans="1:26" x14ac:dyDescent="0.2">
      <c r="A39" s="84"/>
      <c r="B39" s="93"/>
      <c r="C39" s="77" t="s">
        <v>212</v>
      </c>
      <c r="D39" s="93" t="e">
        <f>SQRT(D4*D4+D13*D13)</f>
        <v>#DIV/0!</v>
      </c>
      <c r="E39" s="93"/>
      <c r="F39" s="95"/>
      <c r="G39" s="93"/>
      <c r="H39" s="84"/>
      <c r="I39" s="93"/>
      <c r="J39" s="77" t="s">
        <v>212</v>
      </c>
      <c r="K39" s="93" t="e">
        <f>SQRT(K4*K4+K13*K13)</f>
        <v>#DIV/0!</v>
      </c>
      <c r="L39" s="93"/>
      <c r="M39" s="95"/>
      <c r="X39" s="79"/>
      <c r="Y39" s="97"/>
    </row>
    <row r="40" spans="1:26" x14ac:dyDescent="0.2">
      <c r="A40" s="84"/>
      <c r="B40" s="93"/>
      <c r="C40" s="77" t="s">
        <v>213</v>
      </c>
      <c r="D40" s="93" t="e">
        <f>1/2*(1+(D37*D37-D38*D38)/D39/D39)</f>
        <v>#DIV/0!</v>
      </c>
      <c r="E40" s="93"/>
      <c r="F40" s="95"/>
      <c r="G40" s="93"/>
      <c r="H40" s="84"/>
      <c r="I40" s="93"/>
      <c r="J40" s="77" t="s">
        <v>213</v>
      </c>
      <c r="K40" s="93" t="e">
        <f>1/2*(1+(K37*K37-K38*K38)/K39/K39)</f>
        <v>#DIV/0!</v>
      </c>
      <c r="L40" s="93"/>
      <c r="M40" s="95"/>
      <c r="T40" s="104"/>
      <c r="X40" s="79"/>
      <c r="Y40" s="101"/>
    </row>
    <row r="41" spans="1:26" x14ac:dyDescent="0.2">
      <c r="A41" s="84"/>
      <c r="B41" s="93"/>
      <c r="C41" s="77" t="s">
        <v>214</v>
      </c>
      <c r="D41" s="93" t="e">
        <f>SQRT(D37*D37/D39/D39-D40*D40)</f>
        <v>#DIV/0!</v>
      </c>
      <c r="E41" s="93"/>
      <c r="F41" s="95"/>
      <c r="G41" s="93"/>
      <c r="H41" s="84"/>
      <c r="I41" s="93"/>
      <c r="J41" s="77" t="s">
        <v>214</v>
      </c>
      <c r="K41" s="93" t="e">
        <f>SQRT(K37*K37/K39/K39-K40*K40)</f>
        <v>#DIV/0!</v>
      </c>
      <c r="L41" s="93"/>
      <c r="M41" s="95"/>
      <c r="X41" s="79"/>
      <c r="Y41" s="101"/>
    </row>
    <row r="42" spans="1:26" x14ac:dyDescent="0.2">
      <c r="A42" s="84"/>
      <c r="B42" s="93"/>
      <c r="C42" s="77" t="s">
        <v>215</v>
      </c>
      <c r="D42" s="93" t="e">
        <f>-D4+D40*D4+D41*(-D13)</f>
        <v>#DIV/0!</v>
      </c>
      <c r="E42" s="105" t="s">
        <v>216</v>
      </c>
      <c r="F42" s="95" t="e">
        <f>-D42</f>
        <v>#DIV/0!</v>
      </c>
      <c r="G42" s="93"/>
      <c r="H42" s="84"/>
      <c r="I42" s="93"/>
      <c r="J42" s="77" t="s">
        <v>215</v>
      </c>
      <c r="K42" s="93" t="e">
        <f>-K4+K40*K4+K41*(-K13)</f>
        <v>#DIV/0!</v>
      </c>
      <c r="L42" s="105" t="s">
        <v>216</v>
      </c>
      <c r="M42" s="95" t="e">
        <f>-K42</f>
        <v>#DIV/0!</v>
      </c>
      <c r="W42" s="89"/>
      <c r="X42" s="106"/>
      <c r="Y42" s="107"/>
    </row>
    <row r="43" spans="1:26" x14ac:dyDescent="0.2">
      <c r="A43" s="84"/>
      <c r="B43" s="93"/>
      <c r="C43" s="77" t="s">
        <v>217</v>
      </c>
      <c r="D43" s="93" t="e">
        <f>D40*D13+D41*D4</f>
        <v>#DIV/0!</v>
      </c>
      <c r="E43" s="105" t="s">
        <v>218</v>
      </c>
      <c r="F43" s="95" t="e">
        <f>D43</f>
        <v>#DIV/0!</v>
      </c>
      <c r="G43" s="93"/>
      <c r="H43" s="84"/>
      <c r="I43" s="93"/>
      <c r="J43" s="77" t="s">
        <v>217</v>
      </c>
      <c r="K43" s="93" t="e">
        <f>K40*K13+K41*K4</f>
        <v>#DIV/0!</v>
      </c>
      <c r="L43" s="105" t="s">
        <v>218</v>
      </c>
      <c r="M43" s="95" t="e">
        <f>K43</f>
        <v>#DIV/0!</v>
      </c>
      <c r="W43" s="89"/>
      <c r="X43" s="108"/>
      <c r="Y43" s="109"/>
    </row>
    <row r="44" spans="1:26" x14ac:dyDescent="0.2">
      <c r="A44" s="84"/>
      <c r="B44" s="77" t="s">
        <v>219</v>
      </c>
      <c r="F44" s="83"/>
      <c r="G44" s="93"/>
      <c r="H44" s="84"/>
      <c r="I44" s="77" t="s">
        <v>219</v>
      </c>
      <c r="M44" s="83"/>
      <c r="W44" s="89"/>
      <c r="X44" s="106"/>
      <c r="Y44" s="109"/>
      <c r="Z44" s="89"/>
    </row>
    <row r="45" spans="1:26" x14ac:dyDescent="0.2">
      <c r="A45" s="84"/>
      <c r="B45" s="93"/>
      <c r="C45" s="77" t="s">
        <v>220</v>
      </c>
      <c r="D45" s="93" t="e">
        <f>D33</f>
        <v>#DIV/0!</v>
      </c>
      <c r="F45" s="83"/>
      <c r="G45" s="93"/>
      <c r="H45" s="84"/>
      <c r="I45" s="93"/>
      <c r="J45" s="77" t="s">
        <v>220</v>
      </c>
      <c r="K45" s="93" t="e">
        <f>K33</f>
        <v>#DIV/0!</v>
      </c>
      <c r="M45" s="83"/>
      <c r="W45" s="89"/>
      <c r="X45" s="106"/>
      <c r="Y45" s="107"/>
      <c r="Z45" s="89"/>
    </row>
    <row r="46" spans="1:26" x14ac:dyDescent="0.2">
      <c r="A46" s="84"/>
      <c r="B46" s="93"/>
      <c r="C46" s="77" t="s">
        <v>221</v>
      </c>
      <c r="D46" s="93">
        <f>D22</f>
        <v>1.6400170940545646</v>
      </c>
      <c r="E46" s="93"/>
      <c r="F46" s="95"/>
      <c r="G46" s="93"/>
      <c r="H46" s="84"/>
      <c r="I46" s="93"/>
      <c r="J46" s="77" t="s">
        <v>221</v>
      </c>
      <c r="K46" s="93">
        <f>K22</f>
        <v>1.6400170940545646</v>
      </c>
      <c r="L46" s="93"/>
      <c r="M46" s="95"/>
      <c r="W46" s="89"/>
      <c r="X46" s="106"/>
      <c r="Y46" s="107"/>
      <c r="Z46" s="89"/>
    </row>
    <row r="47" spans="1:26" x14ac:dyDescent="0.2">
      <c r="A47" s="84"/>
      <c r="B47" s="93"/>
      <c r="C47" s="77" t="s">
        <v>222</v>
      </c>
      <c r="D47" s="93" t="e">
        <f>SQRT((D5+D42)*(D5+D42)+D43*D43)</f>
        <v>#DIV/0!</v>
      </c>
      <c r="E47" s="93"/>
      <c r="F47" s="95"/>
      <c r="G47" s="93"/>
      <c r="H47" s="84"/>
      <c r="I47" s="93"/>
      <c r="J47" s="77" t="s">
        <v>222</v>
      </c>
      <c r="K47" s="93" t="e">
        <f>SQRT((K5+K42)*(K5+K42)+K43*K43)</f>
        <v>#DIV/0!</v>
      </c>
      <c r="L47" s="93"/>
      <c r="M47" s="95"/>
      <c r="W47" s="89"/>
      <c r="X47" s="106"/>
      <c r="Y47" s="107"/>
      <c r="Z47" s="89"/>
    </row>
    <row r="48" spans="1:26" x14ac:dyDescent="0.2">
      <c r="A48" s="84"/>
      <c r="B48" s="93"/>
      <c r="C48" s="77" t="s">
        <v>213</v>
      </c>
      <c r="D48" s="93" t="e">
        <f>1/2*(1+(D45*D45-D46*D46)/D47/D47)</f>
        <v>#DIV/0!</v>
      </c>
      <c r="E48" s="93"/>
      <c r="F48" s="95"/>
      <c r="G48" s="93"/>
      <c r="H48" s="84"/>
      <c r="I48" s="93"/>
      <c r="J48" s="77" t="s">
        <v>213</v>
      </c>
      <c r="K48" s="93" t="e">
        <f>1/2*(1+(K45*K45-K46*K46)/K47/K47)</f>
        <v>#DIV/0!</v>
      </c>
      <c r="L48" s="93"/>
      <c r="M48" s="95"/>
      <c r="W48" s="89"/>
      <c r="X48" s="106"/>
      <c r="Y48" s="110"/>
      <c r="Z48" s="89"/>
    </row>
    <row r="49" spans="1:26" x14ac:dyDescent="0.2">
      <c r="A49" s="84"/>
      <c r="B49" s="93"/>
      <c r="C49" s="77" t="s">
        <v>214</v>
      </c>
      <c r="D49" s="93" t="e">
        <f>SQRT(D45*D45/D47/D47-D48*D48)</f>
        <v>#DIV/0!</v>
      </c>
      <c r="E49" s="93"/>
      <c r="F49" s="95"/>
      <c r="G49" s="93"/>
      <c r="H49" s="84"/>
      <c r="I49" s="93"/>
      <c r="J49" s="77" t="s">
        <v>214</v>
      </c>
      <c r="K49" s="93" t="e">
        <f>SQRT(K45*K45/K47/K47-K48*K48)</f>
        <v>#DIV/0!</v>
      </c>
      <c r="L49" s="93"/>
      <c r="M49" s="95"/>
      <c r="W49" s="89"/>
      <c r="X49" s="89"/>
      <c r="Y49" s="89"/>
      <c r="Z49" s="89"/>
    </row>
    <row r="50" spans="1:26" x14ac:dyDescent="0.2">
      <c r="A50" s="84"/>
      <c r="B50" s="93"/>
      <c r="C50" s="77" t="s">
        <v>223</v>
      </c>
      <c r="D50" s="93" t="e">
        <f>-D5+D48*(D42+D5)+D49*(-D43)</f>
        <v>#DIV/0!</v>
      </c>
      <c r="E50" s="105" t="s">
        <v>224</v>
      </c>
      <c r="F50" s="95" t="e">
        <f>-D50</f>
        <v>#DIV/0!</v>
      </c>
      <c r="G50" s="93"/>
      <c r="H50" s="84"/>
      <c r="I50" s="93"/>
      <c r="J50" s="77" t="s">
        <v>223</v>
      </c>
      <c r="K50" s="93" t="e">
        <f>-K5+K48*(K42+K5)+K49*(-K43)</f>
        <v>#DIV/0!</v>
      </c>
      <c r="L50" s="105" t="s">
        <v>224</v>
      </c>
      <c r="M50" s="95" t="e">
        <f>-K50</f>
        <v>#DIV/0!</v>
      </c>
      <c r="Z50" s="89"/>
    </row>
    <row r="51" spans="1:26" x14ac:dyDescent="0.2">
      <c r="A51" s="84"/>
      <c r="B51" s="93"/>
      <c r="C51" s="77" t="s">
        <v>225</v>
      </c>
      <c r="D51" s="93" t="e">
        <f>D48*D43+D49*(D42+D5)</f>
        <v>#DIV/0!</v>
      </c>
      <c r="E51" s="105" t="s">
        <v>226</v>
      </c>
      <c r="F51" s="95" t="e">
        <f>D51</f>
        <v>#DIV/0!</v>
      </c>
      <c r="G51" s="93"/>
      <c r="H51" s="84"/>
      <c r="I51" s="93"/>
      <c r="J51" s="77" t="s">
        <v>225</v>
      </c>
      <c r="K51" s="93" t="e">
        <f>K48*K43+K49*(K42+K5)</f>
        <v>#DIV/0!</v>
      </c>
      <c r="L51" s="105" t="s">
        <v>226</v>
      </c>
      <c r="M51" s="95" t="e">
        <f>K51</f>
        <v>#DIV/0!</v>
      </c>
    </row>
    <row r="52" spans="1:26" x14ac:dyDescent="0.2">
      <c r="A52" s="84"/>
      <c r="B52" s="77" t="s">
        <v>227</v>
      </c>
      <c r="C52" s="93"/>
      <c r="D52" s="93"/>
      <c r="E52" s="105"/>
      <c r="F52" s="95"/>
      <c r="G52" s="93"/>
      <c r="H52" s="84"/>
      <c r="I52" s="77" t="s">
        <v>227</v>
      </c>
      <c r="J52" s="93"/>
      <c r="K52" s="93"/>
      <c r="L52" s="105"/>
      <c r="M52" s="95"/>
      <c r="R52" s="106"/>
      <c r="S52" s="107"/>
    </row>
    <row r="53" spans="1:26" x14ac:dyDescent="0.2">
      <c r="A53" s="84"/>
      <c r="B53" s="93"/>
      <c r="C53" s="77" t="s">
        <v>228</v>
      </c>
      <c r="D53" s="93" t="e">
        <f>D34</f>
        <v>#DIV/0!</v>
      </c>
      <c r="E53" s="105"/>
      <c r="F53" s="95"/>
      <c r="G53" s="93"/>
      <c r="H53" s="84"/>
      <c r="I53" s="93"/>
      <c r="J53" s="77" t="s">
        <v>228</v>
      </c>
      <c r="K53" s="93" t="e">
        <f>K34</f>
        <v>#DIV/0!</v>
      </c>
      <c r="L53" s="105"/>
      <c r="M53" s="95"/>
      <c r="R53" s="111"/>
      <c r="S53" s="112"/>
    </row>
    <row r="54" spans="1:26" x14ac:dyDescent="0.2">
      <c r="A54" s="84"/>
      <c r="B54" s="93"/>
      <c r="C54" s="77" t="s">
        <v>229</v>
      </c>
      <c r="D54" s="93">
        <f>D23</f>
        <v>1.3489012484435872</v>
      </c>
      <c r="E54" s="105"/>
      <c r="F54" s="95"/>
      <c r="G54" s="93"/>
      <c r="H54" s="84"/>
      <c r="I54" s="93"/>
      <c r="J54" s="77" t="s">
        <v>229</v>
      </c>
      <c r="K54" s="93">
        <f>K23</f>
        <v>1.3489012484435872</v>
      </c>
      <c r="L54" s="105"/>
      <c r="M54" s="95"/>
    </row>
    <row r="55" spans="1:26" x14ac:dyDescent="0.2">
      <c r="A55" s="84"/>
      <c r="B55" s="93"/>
      <c r="C55" s="77" t="s">
        <v>230</v>
      </c>
      <c r="D55" s="93" t="e">
        <f>SQRT((D6+D50)*(D6+D50)+D51*D51)</f>
        <v>#DIV/0!</v>
      </c>
      <c r="E55" s="105"/>
      <c r="F55" s="95"/>
      <c r="G55" s="93"/>
      <c r="H55" s="84"/>
      <c r="I55" s="93"/>
      <c r="J55" s="77" t="s">
        <v>230</v>
      </c>
      <c r="K55" s="93" t="e">
        <f>SQRT((K6+K50)*(K6+K50)+K51*K51)</f>
        <v>#DIV/0!</v>
      </c>
      <c r="L55" s="105"/>
      <c r="M55" s="95"/>
    </row>
    <row r="56" spans="1:26" x14ac:dyDescent="0.2">
      <c r="A56" s="84"/>
      <c r="C56" s="77" t="s">
        <v>213</v>
      </c>
      <c r="D56" s="93" t="e">
        <f>1/2*(1+(D53*D53-D54*D54)/D55/D55)</f>
        <v>#DIV/0!</v>
      </c>
      <c r="E56" s="105"/>
      <c r="F56" s="95"/>
      <c r="G56" s="93"/>
      <c r="H56" s="84"/>
      <c r="J56" s="77" t="s">
        <v>213</v>
      </c>
      <c r="K56" s="93" t="e">
        <f>1/2*(1+(K53*K53-K54*K54)/K55/K55)</f>
        <v>#DIV/0!</v>
      </c>
      <c r="L56" s="105"/>
      <c r="M56" s="95"/>
    </row>
    <row r="57" spans="1:26" x14ac:dyDescent="0.2">
      <c r="A57" s="84"/>
      <c r="C57" s="77" t="s">
        <v>214</v>
      </c>
      <c r="D57" s="93" t="e">
        <f>SQRT(D53*D53/D55/D55-D56*D56)</f>
        <v>#DIV/0!</v>
      </c>
      <c r="E57" s="90"/>
      <c r="F57" s="83"/>
      <c r="H57" s="84"/>
      <c r="J57" s="77" t="s">
        <v>214</v>
      </c>
      <c r="K57" s="93" t="e">
        <f>SQRT(K53*K53/K55/K55-K56*K56)</f>
        <v>#DIV/0!</v>
      </c>
      <c r="L57" s="90"/>
      <c r="M57" s="83"/>
    </row>
    <row r="58" spans="1:26" x14ac:dyDescent="0.2">
      <c r="A58" s="84"/>
      <c r="C58" s="77" t="s">
        <v>231</v>
      </c>
      <c r="D58" s="93" t="e">
        <f>-D6+D56*(D50+D6)+D57*(-D51)</f>
        <v>#DIV/0!</v>
      </c>
      <c r="E58" s="105" t="s">
        <v>232</v>
      </c>
      <c r="F58" s="95" t="e">
        <f>-D58</f>
        <v>#DIV/0!</v>
      </c>
      <c r="H58" s="84"/>
      <c r="J58" s="77" t="s">
        <v>231</v>
      </c>
      <c r="K58" s="93" t="e">
        <f>-K6+K56*(K50+K6)+K57*(-K51)</f>
        <v>#DIV/0!</v>
      </c>
      <c r="L58" s="105" t="s">
        <v>232</v>
      </c>
      <c r="M58" s="95" t="e">
        <f>-K58</f>
        <v>#DIV/0!</v>
      </c>
    </row>
    <row r="59" spans="1:26" x14ac:dyDescent="0.2">
      <c r="A59" s="84"/>
      <c r="C59" s="77" t="s">
        <v>233</v>
      </c>
      <c r="D59" s="93" t="e">
        <f>D56*D51+D57*(D50+D6)</f>
        <v>#DIV/0!</v>
      </c>
      <c r="E59" s="105" t="s">
        <v>234</v>
      </c>
      <c r="F59" s="95" t="e">
        <f>D59</f>
        <v>#DIV/0!</v>
      </c>
      <c r="H59" s="84"/>
      <c r="J59" s="77" t="s">
        <v>233</v>
      </c>
      <c r="K59" s="93" t="e">
        <f>K56*K51+K57*(K50+K6)</f>
        <v>#DIV/0!</v>
      </c>
      <c r="L59" s="105" t="s">
        <v>234</v>
      </c>
      <c r="M59" s="95" t="e">
        <f>K59</f>
        <v>#DIV/0!</v>
      </c>
    </row>
    <row r="60" spans="1:26" x14ac:dyDescent="0.2">
      <c r="A60" s="84"/>
      <c r="B60" s="77" t="s">
        <v>235</v>
      </c>
      <c r="E60" s="90"/>
      <c r="F60" s="83"/>
      <c r="H60" s="84"/>
      <c r="I60" s="77" t="s">
        <v>235</v>
      </c>
      <c r="L60" s="90"/>
      <c r="M60" s="83"/>
    </row>
    <row r="61" spans="1:26" x14ac:dyDescent="0.2">
      <c r="A61" s="84"/>
      <c r="C61" s="77" t="s">
        <v>236</v>
      </c>
      <c r="D61" s="93" t="e">
        <f>D35</f>
        <v>#DIV/0!</v>
      </c>
      <c r="E61" s="90"/>
      <c r="F61" s="83"/>
      <c r="H61" s="84"/>
      <c r="J61" s="77" t="s">
        <v>236</v>
      </c>
      <c r="K61" s="93" t="e">
        <f>K35</f>
        <v>#DIV/0!</v>
      </c>
      <c r="L61" s="90"/>
      <c r="M61" s="83"/>
    </row>
    <row r="62" spans="1:26" x14ac:dyDescent="0.2">
      <c r="A62" s="84"/>
      <c r="B62" s="87"/>
      <c r="C62" s="77" t="s">
        <v>237</v>
      </c>
      <c r="D62" s="93">
        <f>D24</f>
        <v>1.0642279095312293</v>
      </c>
      <c r="E62" s="113"/>
      <c r="F62" s="83"/>
      <c r="H62" s="84"/>
      <c r="I62" s="87"/>
      <c r="J62" s="77" t="s">
        <v>237</v>
      </c>
      <c r="K62" s="93">
        <f>K24</f>
        <v>1.0642279095312293</v>
      </c>
      <c r="L62" s="113"/>
      <c r="M62" s="83"/>
    </row>
    <row r="63" spans="1:26" x14ac:dyDescent="0.2">
      <c r="A63" s="84"/>
      <c r="B63" s="87"/>
      <c r="C63" s="77" t="s">
        <v>238</v>
      </c>
      <c r="D63" s="93" t="e">
        <f>SQRT((D7+D58)*(D7+D58)+D59*D59)</f>
        <v>#DIV/0!</v>
      </c>
      <c r="E63" s="113"/>
      <c r="F63" s="83"/>
      <c r="H63" s="84"/>
      <c r="I63" s="87"/>
      <c r="J63" s="77" t="s">
        <v>238</v>
      </c>
      <c r="K63" s="93" t="e">
        <f>SQRT((K7+K58)*(K7+K58)+K59*K59)</f>
        <v>#DIV/0!</v>
      </c>
      <c r="L63" s="113"/>
      <c r="M63" s="83"/>
    </row>
    <row r="64" spans="1:26" x14ac:dyDescent="0.2">
      <c r="A64" s="84"/>
      <c r="B64" s="87"/>
      <c r="C64" s="77" t="s">
        <v>213</v>
      </c>
      <c r="D64" s="93" t="e">
        <f>1/2*(1+(D61*D61-D62*D62)/D63/D63)</f>
        <v>#DIV/0!</v>
      </c>
      <c r="E64" s="113"/>
      <c r="F64" s="83"/>
      <c r="H64" s="84"/>
      <c r="I64" s="87"/>
      <c r="J64" s="77" t="s">
        <v>213</v>
      </c>
      <c r="K64" s="93" t="e">
        <f>1/2*(1+(K61*K61-K62*K62)/K63/K63)</f>
        <v>#DIV/0!</v>
      </c>
      <c r="L64" s="113"/>
      <c r="M64" s="83"/>
    </row>
    <row r="65" spans="1:13" x14ac:dyDescent="0.2">
      <c r="A65" s="84"/>
      <c r="B65" s="87"/>
      <c r="C65" s="77" t="s">
        <v>214</v>
      </c>
      <c r="D65" s="93" t="e">
        <f>SQRT(D61*D61/D63/D63-D64*D64)</f>
        <v>#DIV/0!</v>
      </c>
      <c r="E65" s="113"/>
      <c r="F65" s="83"/>
      <c r="H65" s="84"/>
      <c r="I65" s="87"/>
      <c r="J65" s="77" t="s">
        <v>214</v>
      </c>
      <c r="K65" s="93" t="e">
        <f>SQRT(K61*K61/K63/K63-K64*K64)</f>
        <v>#DIV/0!</v>
      </c>
      <c r="L65" s="113"/>
      <c r="M65" s="83"/>
    </row>
    <row r="66" spans="1:13" x14ac:dyDescent="0.2">
      <c r="A66" s="84"/>
      <c r="B66" s="87"/>
      <c r="C66" s="77" t="s">
        <v>239</v>
      </c>
      <c r="D66" s="93" t="e">
        <f>-D7+D64*(D58+D7)+D65*(-D59)</f>
        <v>#DIV/0!</v>
      </c>
      <c r="E66" s="113" t="s">
        <v>240</v>
      </c>
      <c r="F66" s="95" t="e">
        <f>-D66</f>
        <v>#DIV/0!</v>
      </c>
      <c r="H66" s="84"/>
      <c r="I66" s="87"/>
      <c r="J66" s="77" t="s">
        <v>239</v>
      </c>
      <c r="K66" s="93" t="e">
        <f>-K7+K64*(K58+K7)+K65*(-K59)</f>
        <v>#DIV/0!</v>
      </c>
      <c r="L66" s="113" t="s">
        <v>240</v>
      </c>
      <c r="M66" s="95" t="e">
        <f>-K66</f>
        <v>#DIV/0!</v>
      </c>
    </row>
    <row r="67" spans="1:13" x14ac:dyDescent="0.2">
      <c r="A67" s="84"/>
      <c r="B67" s="87"/>
      <c r="C67" s="77" t="s">
        <v>241</v>
      </c>
      <c r="D67" s="93" t="e">
        <f>D64*D59+D65*(D58+D7)</f>
        <v>#DIV/0!</v>
      </c>
      <c r="E67" s="113" t="s">
        <v>242</v>
      </c>
      <c r="F67" s="95" t="e">
        <f>D67</f>
        <v>#DIV/0!</v>
      </c>
      <c r="H67" s="84"/>
      <c r="I67" s="87"/>
      <c r="J67" s="77" t="s">
        <v>241</v>
      </c>
      <c r="K67" s="93" t="e">
        <f>K64*K59+K65*(K58+K7)</f>
        <v>#DIV/0!</v>
      </c>
      <c r="L67" s="113" t="s">
        <v>242</v>
      </c>
      <c r="M67" s="95" t="e">
        <f>K67</f>
        <v>#DIV/0!</v>
      </c>
    </row>
    <row r="68" spans="1:13" x14ac:dyDescent="0.2">
      <c r="A68" s="84"/>
      <c r="B68" s="87"/>
      <c r="C68" s="87"/>
      <c r="D68" s="87"/>
      <c r="E68" s="87"/>
      <c r="F68" s="83"/>
      <c r="H68" s="84"/>
      <c r="I68" s="87"/>
      <c r="J68" s="87"/>
      <c r="K68" s="87"/>
      <c r="L68" s="87"/>
      <c r="M68" s="83"/>
    </row>
    <row r="69" spans="1:13" x14ac:dyDescent="0.2">
      <c r="A69" s="114"/>
      <c r="B69" s="115"/>
      <c r="C69" s="115"/>
      <c r="D69" s="115"/>
      <c r="E69" s="115"/>
      <c r="F69" s="116"/>
      <c r="H69" s="114"/>
      <c r="I69" s="115"/>
      <c r="J69" s="115"/>
      <c r="K69" s="115"/>
      <c r="L69" s="115"/>
      <c r="M69" s="116"/>
    </row>
    <row r="70" spans="1:13" x14ac:dyDescent="0.2">
      <c r="B70" s="87"/>
      <c r="C70" s="87"/>
      <c r="D70" s="87"/>
      <c r="E70" s="87"/>
    </row>
    <row r="71" spans="1:13" x14ac:dyDescent="0.2">
      <c r="B71" s="87"/>
      <c r="C71" s="87"/>
      <c r="D71" s="87"/>
      <c r="E71" s="87"/>
    </row>
    <row r="72" spans="1:13" x14ac:dyDescent="0.2">
      <c r="B72" s="87"/>
      <c r="C72" s="87"/>
      <c r="D72" s="87"/>
      <c r="E72" s="87"/>
    </row>
    <row r="73" spans="1:13" x14ac:dyDescent="0.2">
      <c r="B73" s="87"/>
      <c r="C73" s="87"/>
      <c r="D73" s="87"/>
      <c r="E73" s="87"/>
    </row>
    <row r="74" spans="1:13" x14ac:dyDescent="0.2">
      <c r="B74" s="87"/>
      <c r="C74" s="87"/>
      <c r="D74" s="87"/>
      <c r="E74" s="87"/>
    </row>
    <row r="75" spans="1:13" x14ac:dyDescent="0.2">
      <c r="B75" s="87"/>
      <c r="C75" s="87"/>
      <c r="D75" s="87"/>
      <c r="E75" s="87"/>
    </row>
    <row r="76" spans="1:13" x14ac:dyDescent="0.2">
      <c r="B76" s="87"/>
      <c r="C76" s="87"/>
      <c r="D76" s="87"/>
      <c r="E76" s="87"/>
    </row>
    <row r="77" spans="1:13" x14ac:dyDescent="0.2">
      <c r="B77" s="87"/>
      <c r="C77" s="87"/>
      <c r="D77" s="87"/>
      <c r="E77" s="87"/>
    </row>
    <row r="78" spans="1:13" x14ac:dyDescent="0.2">
      <c r="B78" s="87"/>
      <c r="C78" s="87"/>
      <c r="D78" s="87"/>
      <c r="E78" s="87"/>
    </row>
    <row r="79" spans="1:13" x14ac:dyDescent="0.2">
      <c r="B79" s="87"/>
      <c r="C79" s="87"/>
      <c r="D79" s="87"/>
      <c r="E79" s="87"/>
    </row>
    <row r="80" spans="1:13" x14ac:dyDescent="0.2">
      <c r="B80" s="87"/>
      <c r="C80" s="87"/>
      <c r="D80" s="87"/>
      <c r="E80" s="87"/>
    </row>
    <row r="81" spans="2:5" x14ac:dyDescent="0.2">
      <c r="B81" s="87"/>
      <c r="C81" s="87"/>
      <c r="D81" s="87"/>
      <c r="E81" s="87"/>
    </row>
    <row r="82" spans="2:5" x14ac:dyDescent="0.2">
      <c r="B82" s="87"/>
      <c r="C82" s="87"/>
      <c r="D82" s="87"/>
      <c r="E82" s="87"/>
    </row>
    <row r="83" spans="2:5" x14ac:dyDescent="0.2">
      <c r="B83" s="87"/>
      <c r="C83" s="87"/>
      <c r="D83" s="87"/>
      <c r="E83" s="87"/>
    </row>
    <row r="84" spans="2:5" x14ac:dyDescent="0.2">
      <c r="B84" s="87"/>
      <c r="C84" s="87"/>
      <c r="D84" s="87"/>
      <c r="E84" s="87"/>
    </row>
    <row r="85" spans="2:5" x14ac:dyDescent="0.2">
      <c r="B85" s="87"/>
      <c r="C85" s="87"/>
      <c r="D85" s="87"/>
      <c r="E85" s="87"/>
    </row>
    <row r="86" spans="2:5" x14ac:dyDescent="0.2">
      <c r="B86" s="87"/>
      <c r="C86" s="87"/>
      <c r="D86" s="87"/>
      <c r="E86" s="87"/>
    </row>
    <row r="87" spans="2:5" x14ac:dyDescent="0.2">
      <c r="B87" s="87"/>
      <c r="C87" s="87"/>
      <c r="D87" s="87"/>
      <c r="E87" s="87"/>
    </row>
    <row r="88" spans="2:5" x14ac:dyDescent="0.2">
      <c r="B88" s="87"/>
      <c r="C88" s="87"/>
      <c r="D88" s="87"/>
      <c r="E88" s="87"/>
    </row>
    <row r="89" spans="2:5" x14ac:dyDescent="0.2">
      <c r="B89" s="87"/>
      <c r="C89" s="87"/>
      <c r="D89" s="87"/>
      <c r="E89" s="87"/>
    </row>
    <row r="90" spans="2:5" x14ac:dyDescent="0.2">
      <c r="B90" s="87"/>
      <c r="C90" s="87"/>
      <c r="D90" s="87"/>
      <c r="E90" s="87"/>
    </row>
    <row r="91" spans="2:5" x14ac:dyDescent="0.2">
      <c r="B91" s="87"/>
      <c r="C91" s="87"/>
      <c r="D91" s="87"/>
      <c r="E91" s="87"/>
    </row>
    <row r="92" spans="2:5" x14ac:dyDescent="0.2">
      <c r="B92" s="87"/>
      <c r="C92" s="87"/>
      <c r="D92" s="87"/>
      <c r="E92" s="87"/>
    </row>
    <row r="93" spans="2:5" x14ac:dyDescent="0.2">
      <c r="B93" s="87"/>
      <c r="C93" s="87"/>
      <c r="D93" s="87"/>
      <c r="E93" s="87"/>
    </row>
    <row r="94" spans="2:5" x14ac:dyDescent="0.2">
      <c r="B94" s="87"/>
      <c r="C94" s="87"/>
      <c r="D94" s="87"/>
      <c r="E94" s="87"/>
    </row>
    <row r="95" spans="2:5" x14ac:dyDescent="0.2">
      <c r="B95" s="87"/>
      <c r="C95" s="87"/>
      <c r="D95" s="87"/>
      <c r="E95" s="87"/>
    </row>
    <row r="96" spans="2:5" x14ac:dyDescent="0.2">
      <c r="B96" s="87"/>
      <c r="C96" s="87"/>
      <c r="D96" s="87"/>
      <c r="E96" s="87"/>
    </row>
    <row r="97" spans="2:5" x14ac:dyDescent="0.2">
      <c r="B97" s="87"/>
      <c r="C97" s="87"/>
      <c r="D97" s="87"/>
      <c r="E97" s="87"/>
    </row>
    <row r="98" spans="2:5" x14ac:dyDescent="0.2">
      <c r="B98" s="87"/>
      <c r="C98" s="87"/>
      <c r="D98" s="87"/>
      <c r="E98" s="87"/>
    </row>
    <row r="99" spans="2:5" x14ac:dyDescent="0.2">
      <c r="B99" s="87"/>
      <c r="C99" s="87"/>
      <c r="D99" s="87"/>
      <c r="E99" s="87"/>
    </row>
    <row r="100" spans="2:5" x14ac:dyDescent="0.2">
      <c r="B100" s="87"/>
      <c r="C100" s="87"/>
      <c r="D100" s="87"/>
      <c r="E100" s="87"/>
    </row>
    <row r="101" spans="2:5" x14ac:dyDescent="0.2">
      <c r="B101" s="87"/>
      <c r="C101" s="87"/>
      <c r="D101" s="87"/>
      <c r="E101" s="87"/>
    </row>
    <row r="102" spans="2:5" x14ac:dyDescent="0.2">
      <c r="B102" s="87"/>
      <c r="C102" s="87"/>
      <c r="D102" s="87"/>
      <c r="E102" s="87"/>
    </row>
    <row r="103" spans="2:5" x14ac:dyDescent="0.2">
      <c r="B103" s="87"/>
      <c r="C103" s="87"/>
      <c r="D103" s="87"/>
      <c r="E103" s="87"/>
    </row>
    <row r="104" spans="2:5" x14ac:dyDescent="0.2">
      <c r="B104" s="87"/>
      <c r="C104" s="87"/>
      <c r="D104" s="87"/>
      <c r="E104" s="87"/>
    </row>
    <row r="105" spans="2:5" x14ac:dyDescent="0.2">
      <c r="B105" s="87"/>
      <c r="C105" s="87"/>
      <c r="D105" s="87"/>
      <c r="E105" s="87"/>
    </row>
    <row r="106" spans="2:5" x14ac:dyDescent="0.2">
      <c r="B106" s="87"/>
      <c r="C106" s="87"/>
      <c r="D106" s="87"/>
      <c r="E106" s="87"/>
    </row>
    <row r="107" spans="2:5" x14ac:dyDescent="0.2">
      <c r="B107" s="87"/>
      <c r="C107" s="87"/>
      <c r="D107" s="87"/>
      <c r="E107" s="87"/>
    </row>
    <row r="108" spans="2:5" x14ac:dyDescent="0.2">
      <c r="B108" s="87"/>
      <c r="C108" s="87"/>
      <c r="D108" s="87"/>
      <c r="E108" s="87"/>
    </row>
    <row r="109" spans="2:5" x14ac:dyDescent="0.2">
      <c r="B109" s="87"/>
      <c r="C109" s="87"/>
      <c r="D109" s="87"/>
      <c r="E109" s="87"/>
    </row>
    <row r="110" spans="2:5" x14ac:dyDescent="0.2">
      <c r="B110" s="87"/>
      <c r="C110" s="87"/>
      <c r="D110" s="87"/>
      <c r="E110" s="87"/>
    </row>
    <row r="111" spans="2:5" x14ac:dyDescent="0.2">
      <c r="B111" s="87"/>
      <c r="C111" s="87"/>
      <c r="D111" s="87"/>
      <c r="E111" s="87"/>
    </row>
    <row r="112" spans="2:5" x14ac:dyDescent="0.2">
      <c r="B112" s="87"/>
      <c r="C112" s="87"/>
      <c r="D112" s="87"/>
      <c r="E112" s="87"/>
    </row>
    <row r="113" spans="2:5" x14ac:dyDescent="0.2">
      <c r="B113" s="87"/>
      <c r="C113" s="87"/>
      <c r="D113" s="87"/>
      <c r="E113" s="87"/>
    </row>
    <row r="114" spans="2:5" x14ac:dyDescent="0.2">
      <c r="B114" s="87"/>
      <c r="C114" s="87"/>
      <c r="D114" s="87"/>
      <c r="E114" s="87"/>
    </row>
    <row r="115" spans="2:5" x14ac:dyDescent="0.2">
      <c r="B115" s="87"/>
      <c r="C115" s="87"/>
      <c r="D115" s="87"/>
      <c r="E115" s="87"/>
    </row>
    <row r="116" spans="2:5" x14ac:dyDescent="0.2">
      <c r="B116" s="87"/>
      <c r="C116" s="87"/>
      <c r="D116" s="87"/>
      <c r="E116" s="87"/>
    </row>
    <row r="117" spans="2:5" x14ac:dyDescent="0.2">
      <c r="B117" s="87"/>
      <c r="C117" s="87"/>
      <c r="D117" s="87"/>
      <c r="E117" s="87"/>
    </row>
    <row r="118" spans="2:5" x14ac:dyDescent="0.2">
      <c r="B118" s="87"/>
      <c r="C118" s="87"/>
      <c r="D118" s="87"/>
      <c r="E118" s="87"/>
    </row>
    <row r="119" spans="2:5" x14ac:dyDescent="0.2">
      <c r="B119" s="87"/>
      <c r="C119" s="87"/>
      <c r="D119" s="87"/>
      <c r="E119" s="87"/>
    </row>
    <row r="120" spans="2:5" x14ac:dyDescent="0.2">
      <c r="B120" s="87"/>
      <c r="C120" s="87"/>
      <c r="D120" s="87"/>
      <c r="E120" s="87"/>
    </row>
    <row r="121" spans="2:5" x14ac:dyDescent="0.2">
      <c r="B121" s="87"/>
      <c r="C121" s="87"/>
      <c r="D121" s="87"/>
      <c r="E121" s="87"/>
    </row>
    <row r="122" spans="2:5" x14ac:dyDescent="0.2">
      <c r="B122" s="87"/>
      <c r="C122" s="87"/>
      <c r="D122" s="87"/>
      <c r="E122" s="87"/>
    </row>
    <row r="123" spans="2:5" x14ac:dyDescent="0.2">
      <c r="B123" s="87"/>
      <c r="C123" s="87"/>
      <c r="D123" s="87"/>
      <c r="E123" s="87"/>
    </row>
    <row r="124" spans="2:5" x14ac:dyDescent="0.2">
      <c r="B124" s="87"/>
      <c r="C124" s="87"/>
      <c r="D124" s="87"/>
      <c r="E124" s="87"/>
    </row>
    <row r="125" spans="2:5" x14ac:dyDescent="0.2">
      <c r="B125" s="87"/>
      <c r="C125" s="87"/>
      <c r="D125" s="87"/>
      <c r="E125" s="87"/>
    </row>
    <row r="126" spans="2:5" x14ac:dyDescent="0.2">
      <c r="B126" s="87"/>
      <c r="C126" s="87"/>
      <c r="D126" s="87"/>
      <c r="E126" s="87"/>
    </row>
    <row r="127" spans="2:5" x14ac:dyDescent="0.2">
      <c r="B127" s="87"/>
      <c r="C127" s="87"/>
      <c r="D127" s="87"/>
      <c r="E127" s="87"/>
    </row>
    <row r="128" spans="2:5" x14ac:dyDescent="0.2">
      <c r="B128" s="87"/>
      <c r="C128" s="87"/>
      <c r="D128" s="87"/>
      <c r="E128" s="87"/>
    </row>
    <row r="129" spans="2:5" x14ac:dyDescent="0.2">
      <c r="B129" s="87"/>
      <c r="C129" s="87"/>
      <c r="D129" s="87"/>
      <c r="E129" s="87"/>
    </row>
    <row r="130" spans="2:5" x14ac:dyDescent="0.2">
      <c r="B130" s="87"/>
      <c r="C130" s="87"/>
      <c r="D130" s="87"/>
      <c r="E130" s="87"/>
    </row>
    <row r="131" spans="2:5" x14ac:dyDescent="0.2">
      <c r="B131" s="87"/>
      <c r="C131" s="87"/>
      <c r="D131" s="87"/>
      <c r="E131" s="87"/>
    </row>
    <row r="132" spans="2:5" x14ac:dyDescent="0.2">
      <c r="B132" s="87"/>
      <c r="C132" s="87"/>
      <c r="D132" s="87"/>
      <c r="E132" s="87"/>
    </row>
    <row r="133" spans="2:5" x14ac:dyDescent="0.2">
      <c r="B133" s="87"/>
      <c r="C133" s="87"/>
      <c r="D133" s="87"/>
      <c r="E133" s="87"/>
    </row>
    <row r="134" spans="2:5" x14ac:dyDescent="0.2">
      <c r="B134" s="87"/>
      <c r="C134" s="87"/>
      <c r="D134" s="87"/>
      <c r="E134" s="87"/>
    </row>
    <row r="135" spans="2:5" x14ac:dyDescent="0.2">
      <c r="B135" s="87"/>
      <c r="C135" s="87"/>
      <c r="D135" s="87"/>
      <c r="E135" s="87"/>
    </row>
    <row r="136" spans="2:5" x14ac:dyDescent="0.2">
      <c r="B136" s="87"/>
      <c r="C136" s="87"/>
      <c r="D136" s="87"/>
      <c r="E136" s="87"/>
    </row>
    <row r="137" spans="2:5" x14ac:dyDescent="0.2">
      <c r="B137" s="87"/>
      <c r="C137" s="87"/>
      <c r="D137" s="87"/>
      <c r="E137" s="87"/>
    </row>
    <row r="138" spans="2:5" x14ac:dyDescent="0.2">
      <c r="B138" s="87"/>
      <c r="C138" s="87"/>
      <c r="D138" s="87"/>
      <c r="E138" s="87"/>
    </row>
    <row r="139" spans="2:5" x14ac:dyDescent="0.2">
      <c r="B139" s="87"/>
      <c r="C139" s="87"/>
      <c r="D139" s="87"/>
      <c r="E139" s="87"/>
    </row>
    <row r="140" spans="2:5" x14ac:dyDescent="0.2">
      <c r="B140" s="87"/>
      <c r="C140" s="87"/>
      <c r="D140" s="87"/>
      <c r="E140" s="87"/>
    </row>
    <row r="141" spans="2:5" x14ac:dyDescent="0.2">
      <c r="B141" s="87"/>
      <c r="C141" s="87"/>
      <c r="D141" s="87"/>
      <c r="E141" s="87"/>
    </row>
    <row r="142" spans="2:5" x14ac:dyDescent="0.2">
      <c r="B142" s="87"/>
      <c r="C142" s="87"/>
      <c r="D142" s="87"/>
      <c r="E142" s="87"/>
    </row>
    <row r="143" spans="2:5" x14ac:dyDescent="0.2">
      <c r="B143" s="87"/>
      <c r="C143" s="87"/>
      <c r="D143" s="87"/>
      <c r="E143" s="87"/>
    </row>
    <row r="144" spans="2:5" x14ac:dyDescent="0.2">
      <c r="B144" s="87"/>
      <c r="C144" s="87"/>
      <c r="D144" s="87"/>
      <c r="E144" s="87"/>
    </row>
    <row r="145" spans="2:5" x14ac:dyDescent="0.2">
      <c r="B145" s="87"/>
      <c r="C145" s="87"/>
      <c r="D145" s="87"/>
      <c r="E145" s="87"/>
    </row>
    <row r="146" spans="2:5" x14ac:dyDescent="0.2">
      <c r="B146" s="87"/>
      <c r="C146" s="87"/>
      <c r="D146" s="87"/>
      <c r="E146" s="87"/>
    </row>
    <row r="147" spans="2:5" x14ac:dyDescent="0.2">
      <c r="B147" s="87"/>
      <c r="C147" s="87"/>
      <c r="D147" s="87"/>
      <c r="E147" s="87"/>
    </row>
    <row r="148" spans="2:5" x14ac:dyDescent="0.2">
      <c r="B148" s="87"/>
      <c r="C148" s="87"/>
      <c r="D148" s="87"/>
      <c r="E148" s="87"/>
    </row>
    <row r="149" spans="2:5" x14ac:dyDescent="0.2">
      <c r="B149" s="87"/>
      <c r="C149" s="87"/>
      <c r="D149" s="87"/>
      <c r="E149" s="87"/>
    </row>
    <row r="150" spans="2:5" x14ac:dyDescent="0.2">
      <c r="B150" s="87"/>
      <c r="C150" s="87"/>
      <c r="D150" s="87"/>
      <c r="E150" s="87"/>
    </row>
    <row r="151" spans="2:5" x14ac:dyDescent="0.2">
      <c r="B151" s="87"/>
      <c r="C151" s="87"/>
      <c r="D151" s="87"/>
      <c r="E151" s="87"/>
    </row>
    <row r="152" spans="2:5" x14ac:dyDescent="0.2">
      <c r="B152" s="87"/>
      <c r="C152" s="87"/>
      <c r="D152" s="87"/>
      <c r="E152" s="87"/>
    </row>
    <row r="153" spans="2:5" x14ac:dyDescent="0.2">
      <c r="B153" s="87"/>
      <c r="C153" s="87"/>
      <c r="D153" s="87"/>
      <c r="E153" s="87"/>
    </row>
    <row r="154" spans="2:5" x14ac:dyDescent="0.2">
      <c r="B154" s="87"/>
      <c r="C154" s="87"/>
      <c r="D154" s="87"/>
      <c r="E154" s="87"/>
    </row>
    <row r="155" spans="2:5" x14ac:dyDescent="0.2">
      <c r="B155" s="87"/>
      <c r="C155" s="87"/>
      <c r="D155" s="87"/>
      <c r="E155" s="87"/>
    </row>
    <row r="156" spans="2:5" x14ac:dyDescent="0.2">
      <c r="B156" s="87"/>
      <c r="C156" s="87"/>
      <c r="D156" s="87"/>
      <c r="E156" s="87"/>
    </row>
    <row r="157" spans="2:5" x14ac:dyDescent="0.2">
      <c r="B157" s="87"/>
      <c r="C157" s="87"/>
      <c r="D157" s="87"/>
      <c r="E157" s="87"/>
    </row>
    <row r="158" spans="2:5" x14ac:dyDescent="0.2">
      <c r="B158" s="87"/>
      <c r="C158" s="87"/>
      <c r="D158" s="87"/>
      <c r="E158" s="87"/>
    </row>
    <row r="159" spans="2:5" x14ac:dyDescent="0.2">
      <c r="B159" s="87"/>
      <c r="C159" s="87"/>
      <c r="D159" s="87"/>
      <c r="E159" s="87"/>
    </row>
    <row r="160" spans="2:5" x14ac:dyDescent="0.2">
      <c r="B160" s="87"/>
      <c r="C160" s="87"/>
      <c r="D160" s="87"/>
      <c r="E160" s="87"/>
    </row>
    <row r="161" spans="2:5" x14ac:dyDescent="0.2">
      <c r="B161" s="87"/>
      <c r="C161" s="87"/>
      <c r="D161" s="87"/>
      <c r="E161" s="87"/>
    </row>
    <row r="162" spans="2:5" x14ac:dyDescent="0.2">
      <c r="B162" s="87"/>
      <c r="C162" s="87"/>
      <c r="D162" s="87"/>
      <c r="E162" s="87"/>
    </row>
    <row r="163" spans="2:5" x14ac:dyDescent="0.2">
      <c r="B163" s="87"/>
      <c r="C163" s="87"/>
      <c r="D163" s="87"/>
      <c r="E163" s="87"/>
    </row>
    <row r="164" spans="2:5" x14ac:dyDescent="0.2">
      <c r="B164" s="87"/>
      <c r="C164" s="87"/>
      <c r="D164" s="87"/>
      <c r="E164" s="87"/>
    </row>
    <row r="165" spans="2:5" x14ac:dyDescent="0.2">
      <c r="B165" s="87"/>
      <c r="C165" s="87"/>
      <c r="D165" s="87"/>
      <c r="E165" s="87"/>
    </row>
    <row r="166" spans="2:5" x14ac:dyDescent="0.2">
      <c r="B166" s="87"/>
      <c r="C166" s="87"/>
      <c r="D166" s="87"/>
      <c r="E166" s="87"/>
    </row>
    <row r="167" spans="2:5" x14ac:dyDescent="0.2">
      <c r="B167" s="87"/>
      <c r="C167" s="87"/>
      <c r="D167" s="87"/>
      <c r="E167" s="87"/>
    </row>
    <row r="168" spans="2:5" x14ac:dyDescent="0.2">
      <c r="B168" s="87"/>
      <c r="C168" s="87"/>
      <c r="D168" s="87"/>
      <c r="E168" s="87"/>
    </row>
    <row r="169" spans="2:5" x14ac:dyDescent="0.2">
      <c r="B169" s="87"/>
      <c r="C169" s="87"/>
      <c r="D169" s="87"/>
      <c r="E169" s="87"/>
    </row>
    <row r="170" spans="2:5" x14ac:dyDescent="0.2">
      <c r="B170" s="87"/>
      <c r="C170" s="87"/>
      <c r="D170" s="87"/>
      <c r="E170" s="87"/>
    </row>
    <row r="171" spans="2:5" x14ac:dyDescent="0.2">
      <c r="B171" s="87"/>
      <c r="C171" s="87"/>
      <c r="D171" s="87"/>
      <c r="E171" s="87"/>
    </row>
    <row r="172" spans="2:5" x14ac:dyDescent="0.2">
      <c r="B172" s="87"/>
      <c r="C172" s="87"/>
      <c r="D172" s="87"/>
      <c r="E172" s="87"/>
    </row>
    <row r="173" spans="2:5" x14ac:dyDescent="0.2">
      <c r="B173" s="87"/>
      <c r="C173" s="87"/>
      <c r="D173" s="87"/>
      <c r="E173" s="87"/>
    </row>
    <row r="174" spans="2:5" x14ac:dyDescent="0.2">
      <c r="B174" s="87"/>
      <c r="C174" s="87"/>
      <c r="D174" s="87"/>
      <c r="E174" s="87"/>
    </row>
    <row r="175" spans="2:5" x14ac:dyDescent="0.2">
      <c r="B175" s="87"/>
      <c r="C175" s="87"/>
      <c r="D175" s="87"/>
      <c r="E175" s="87"/>
    </row>
    <row r="176" spans="2:5" x14ac:dyDescent="0.2">
      <c r="B176" s="87"/>
      <c r="C176" s="87"/>
      <c r="D176" s="87"/>
      <c r="E176" s="87"/>
    </row>
    <row r="177" spans="2:5" x14ac:dyDescent="0.2">
      <c r="B177" s="87"/>
      <c r="C177" s="87"/>
      <c r="D177" s="87"/>
      <c r="E177" s="87"/>
    </row>
    <row r="178" spans="2:5" x14ac:dyDescent="0.2">
      <c r="B178" s="87"/>
      <c r="C178" s="87"/>
      <c r="D178" s="87"/>
      <c r="E178" s="87"/>
    </row>
    <row r="179" spans="2:5" x14ac:dyDescent="0.2">
      <c r="B179" s="87"/>
      <c r="C179" s="87"/>
      <c r="D179" s="87"/>
      <c r="E179" s="87"/>
    </row>
    <row r="180" spans="2:5" x14ac:dyDescent="0.2">
      <c r="B180" s="87"/>
      <c r="C180" s="87"/>
      <c r="D180" s="87"/>
      <c r="E180" s="87"/>
    </row>
    <row r="181" spans="2:5" x14ac:dyDescent="0.2">
      <c r="B181" s="87"/>
      <c r="C181" s="87"/>
      <c r="D181" s="87"/>
      <c r="E181" s="87"/>
    </row>
    <row r="182" spans="2:5" x14ac:dyDescent="0.2">
      <c r="B182" s="87"/>
      <c r="C182" s="87"/>
      <c r="D182" s="87"/>
      <c r="E182" s="87"/>
    </row>
    <row r="183" spans="2:5" x14ac:dyDescent="0.2">
      <c r="B183" s="87"/>
      <c r="C183" s="87"/>
      <c r="D183" s="87"/>
      <c r="E183" s="87"/>
    </row>
    <row r="184" spans="2:5" x14ac:dyDescent="0.2">
      <c r="B184" s="87"/>
      <c r="C184" s="87"/>
      <c r="D184" s="87"/>
      <c r="E184" s="87"/>
    </row>
    <row r="185" spans="2:5" x14ac:dyDescent="0.2">
      <c r="B185" s="87"/>
      <c r="C185" s="87"/>
      <c r="D185" s="87"/>
      <c r="E185" s="87"/>
    </row>
    <row r="186" spans="2:5" x14ac:dyDescent="0.2">
      <c r="B186" s="87"/>
      <c r="C186" s="87"/>
      <c r="D186" s="87"/>
      <c r="E186" s="87"/>
    </row>
    <row r="187" spans="2:5" x14ac:dyDescent="0.2">
      <c r="B187" s="87"/>
      <c r="C187" s="87"/>
      <c r="D187" s="87"/>
      <c r="E187" s="87"/>
    </row>
    <row r="188" spans="2:5" x14ac:dyDescent="0.2">
      <c r="B188" s="87"/>
      <c r="C188" s="87"/>
      <c r="D188" s="87"/>
      <c r="E188" s="87"/>
    </row>
    <row r="189" spans="2:5" x14ac:dyDescent="0.2">
      <c r="B189" s="87"/>
      <c r="C189" s="87"/>
      <c r="D189" s="87"/>
      <c r="E189" s="87"/>
    </row>
    <row r="190" spans="2:5" x14ac:dyDescent="0.2">
      <c r="B190" s="87"/>
      <c r="C190" s="87"/>
      <c r="D190" s="87"/>
      <c r="E190" s="87"/>
    </row>
    <row r="191" spans="2:5" x14ac:dyDescent="0.2">
      <c r="B191" s="87"/>
      <c r="C191" s="87"/>
      <c r="D191" s="87"/>
      <c r="E191" s="87"/>
    </row>
    <row r="192" spans="2:5" x14ac:dyDescent="0.2">
      <c r="B192" s="87"/>
      <c r="C192" s="87"/>
      <c r="D192" s="87"/>
      <c r="E192" s="87"/>
    </row>
    <row r="193" spans="2:5" x14ac:dyDescent="0.2">
      <c r="B193" s="87"/>
      <c r="C193" s="87"/>
      <c r="D193" s="87"/>
      <c r="E193" s="87"/>
    </row>
    <row r="194" spans="2:5" x14ac:dyDescent="0.2">
      <c r="B194" s="87"/>
      <c r="C194" s="87"/>
      <c r="D194" s="87"/>
      <c r="E194" s="87"/>
    </row>
    <row r="195" spans="2:5" x14ac:dyDescent="0.2">
      <c r="B195" s="87"/>
      <c r="C195" s="87"/>
      <c r="D195" s="87"/>
      <c r="E195" s="87"/>
    </row>
    <row r="196" spans="2:5" x14ac:dyDescent="0.2">
      <c r="B196" s="87"/>
      <c r="C196" s="87"/>
      <c r="D196" s="87"/>
      <c r="E196" s="87"/>
    </row>
    <row r="197" spans="2:5" x14ac:dyDescent="0.2">
      <c r="B197" s="87"/>
      <c r="C197" s="87"/>
      <c r="D197" s="87"/>
      <c r="E197" s="87"/>
    </row>
    <row r="198" spans="2:5" x14ac:dyDescent="0.2">
      <c r="B198" s="87"/>
      <c r="C198" s="87"/>
      <c r="D198" s="87"/>
      <c r="E198" s="87"/>
    </row>
    <row r="199" spans="2:5" x14ac:dyDescent="0.2">
      <c r="B199" s="87"/>
      <c r="C199" s="87"/>
      <c r="D199" s="87"/>
      <c r="E199" s="87"/>
    </row>
    <row r="200" spans="2:5" x14ac:dyDescent="0.2">
      <c r="B200" s="87"/>
      <c r="C200" s="87"/>
      <c r="D200" s="87"/>
      <c r="E200" s="87"/>
    </row>
    <row r="201" spans="2:5" x14ac:dyDescent="0.2">
      <c r="B201" s="87"/>
      <c r="C201" s="87"/>
      <c r="D201" s="87"/>
      <c r="E201" s="87"/>
    </row>
    <row r="202" spans="2:5" x14ac:dyDescent="0.2">
      <c r="B202" s="87"/>
      <c r="C202" s="87"/>
      <c r="D202" s="87"/>
      <c r="E202" s="87"/>
    </row>
    <row r="203" spans="2:5" x14ac:dyDescent="0.2">
      <c r="B203" s="87"/>
      <c r="C203" s="87"/>
      <c r="D203" s="87"/>
      <c r="E203" s="87"/>
    </row>
    <row r="204" spans="2:5" x14ac:dyDescent="0.2">
      <c r="B204" s="87"/>
      <c r="C204" s="87"/>
      <c r="D204" s="87"/>
      <c r="E204" s="87"/>
    </row>
    <row r="205" spans="2:5" x14ac:dyDescent="0.2">
      <c r="B205" s="87"/>
      <c r="C205" s="87"/>
      <c r="D205" s="87"/>
      <c r="E205" s="87"/>
    </row>
    <row r="206" spans="2:5" x14ac:dyDescent="0.2">
      <c r="B206" s="87"/>
      <c r="C206" s="87"/>
      <c r="D206" s="87"/>
      <c r="E206" s="87"/>
    </row>
    <row r="207" spans="2:5" x14ac:dyDescent="0.2">
      <c r="B207" s="87"/>
      <c r="C207" s="87"/>
      <c r="D207" s="87"/>
      <c r="E207" s="87"/>
    </row>
    <row r="208" spans="2:5" x14ac:dyDescent="0.2">
      <c r="B208" s="87"/>
      <c r="C208" s="87"/>
      <c r="D208" s="87"/>
      <c r="E208" s="87"/>
    </row>
    <row r="209" spans="2:5" x14ac:dyDescent="0.2">
      <c r="B209" s="87"/>
      <c r="C209" s="87"/>
      <c r="D209" s="87"/>
      <c r="E209" s="87"/>
    </row>
    <row r="210" spans="2:5" x14ac:dyDescent="0.2">
      <c r="B210" s="87"/>
      <c r="C210" s="87"/>
      <c r="D210" s="87"/>
      <c r="E210" s="87"/>
    </row>
    <row r="211" spans="2:5" x14ac:dyDescent="0.2">
      <c r="B211" s="87"/>
      <c r="C211" s="87"/>
      <c r="D211" s="87"/>
      <c r="E211" s="87"/>
    </row>
    <row r="212" spans="2:5" x14ac:dyDescent="0.2">
      <c r="B212" s="87"/>
      <c r="C212" s="87"/>
      <c r="D212" s="87"/>
      <c r="E212" s="87"/>
    </row>
    <row r="213" spans="2:5" x14ac:dyDescent="0.2">
      <c r="B213" s="87"/>
      <c r="C213" s="87"/>
      <c r="D213" s="87"/>
      <c r="E213" s="87"/>
    </row>
    <row r="214" spans="2:5" x14ac:dyDescent="0.2">
      <c r="B214" s="87"/>
      <c r="C214" s="87"/>
      <c r="D214" s="87"/>
      <c r="E214" s="87"/>
    </row>
    <row r="215" spans="2:5" x14ac:dyDescent="0.2">
      <c r="B215" s="87"/>
      <c r="C215" s="87"/>
      <c r="D215" s="87"/>
      <c r="E215" s="87"/>
    </row>
    <row r="216" spans="2:5" x14ac:dyDescent="0.2">
      <c r="B216" s="87"/>
      <c r="C216" s="87"/>
      <c r="D216" s="87"/>
      <c r="E216" s="87"/>
    </row>
    <row r="217" spans="2:5" x14ac:dyDescent="0.2">
      <c r="B217" s="87"/>
      <c r="C217" s="87"/>
      <c r="D217" s="87"/>
      <c r="E217" s="87"/>
    </row>
    <row r="218" spans="2:5" x14ac:dyDescent="0.2">
      <c r="B218" s="87"/>
      <c r="C218" s="87"/>
      <c r="D218" s="87"/>
      <c r="E218" s="87"/>
    </row>
    <row r="219" spans="2:5" x14ac:dyDescent="0.2">
      <c r="B219" s="87"/>
      <c r="C219" s="87"/>
      <c r="D219" s="87"/>
      <c r="E219" s="87"/>
    </row>
    <row r="220" spans="2:5" x14ac:dyDescent="0.2">
      <c r="B220" s="87"/>
      <c r="C220" s="87"/>
      <c r="D220" s="87"/>
      <c r="E220" s="87"/>
    </row>
    <row r="221" spans="2:5" x14ac:dyDescent="0.2">
      <c r="B221" s="87"/>
      <c r="C221" s="87"/>
      <c r="D221" s="87"/>
      <c r="E221" s="87"/>
    </row>
    <row r="222" spans="2:5" x14ac:dyDescent="0.2">
      <c r="B222" s="87"/>
      <c r="C222" s="87"/>
      <c r="D222" s="87"/>
      <c r="E222" s="87"/>
    </row>
    <row r="223" spans="2:5" x14ac:dyDescent="0.2">
      <c r="B223" s="87"/>
      <c r="C223" s="87"/>
      <c r="D223" s="87"/>
      <c r="E223" s="87"/>
    </row>
    <row r="224" spans="2:5" x14ac:dyDescent="0.2">
      <c r="B224" s="87"/>
      <c r="C224" s="87"/>
      <c r="D224" s="87"/>
      <c r="E224" s="87"/>
    </row>
    <row r="225" spans="2:5" x14ac:dyDescent="0.2">
      <c r="B225" s="87"/>
      <c r="C225" s="87"/>
      <c r="D225" s="87"/>
      <c r="E225" s="87"/>
    </row>
    <row r="226" spans="2:5" x14ac:dyDescent="0.2">
      <c r="B226" s="87"/>
      <c r="C226" s="87"/>
      <c r="D226" s="87"/>
      <c r="E226" s="87"/>
    </row>
    <row r="227" spans="2:5" x14ac:dyDescent="0.2">
      <c r="B227" s="87"/>
      <c r="C227" s="87"/>
      <c r="D227" s="87"/>
      <c r="E227" s="87"/>
    </row>
    <row r="228" spans="2:5" x14ac:dyDescent="0.2">
      <c r="B228" s="87"/>
      <c r="C228" s="87"/>
      <c r="D228" s="87"/>
      <c r="E228" s="87"/>
    </row>
    <row r="229" spans="2:5" x14ac:dyDescent="0.2">
      <c r="B229" s="87"/>
      <c r="C229" s="87"/>
      <c r="D229" s="87"/>
      <c r="E229" s="87"/>
    </row>
    <row r="230" spans="2:5" x14ac:dyDescent="0.2">
      <c r="B230" s="87"/>
      <c r="C230" s="87"/>
      <c r="D230" s="87"/>
      <c r="E230" s="87"/>
    </row>
    <row r="231" spans="2:5" x14ac:dyDescent="0.2">
      <c r="B231" s="87"/>
      <c r="C231" s="87"/>
      <c r="D231" s="87"/>
      <c r="E231" s="87"/>
    </row>
    <row r="232" spans="2:5" x14ac:dyDescent="0.2">
      <c r="B232" s="87"/>
      <c r="C232" s="87"/>
      <c r="D232" s="87"/>
      <c r="E232" s="87"/>
    </row>
    <row r="233" spans="2:5" x14ac:dyDescent="0.2">
      <c r="B233" s="87"/>
      <c r="C233" s="87"/>
      <c r="D233" s="87"/>
      <c r="E233" s="87"/>
    </row>
    <row r="234" spans="2:5" x14ac:dyDescent="0.2">
      <c r="B234" s="87"/>
      <c r="C234" s="87"/>
      <c r="D234" s="87"/>
      <c r="E234" s="87"/>
    </row>
    <row r="235" spans="2:5" x14ac:dyDescent="0.2">
      <c r="B235" s="87"/>
      <c r="C235" s="87"/>
      <c r="D235" s="87"/>
      <c r="E235" s="87"/>
    </row>
    <row r="236" spans="2:5" x14ac:dyDescent="0.2">
      <c r="B236" s="87"/>
      <c r="C236" s="87"/>
      <c r="D236" s="87"/>
      <c r="E236" s="87"/>
    </row>
    <row r="237" spans="2:5" x14ac:dyDescent="0.2">
      <c r="B237" s="87"/>
      <c r="C237" s="87"/>
      <c r="D237" s="87"/>
      <c r="E237" s="87"/>
    </row>
    <row r="238" spans="2:5" x14ac:dyDescent="0.2">
      <c r="B238" s="87"/>
      <c r="C238" s="87"/>
      <c r="D238" s="87"/>
      <c r="E238" s="87"/>
    </row>
    <row r="239" spans="2:5" x14ac:dyDescent="0.2">
      <c r="B239" s="87"/>
      <c r="C239" s="87"/>
      <c r="D239" s="87"/>
      <c r="E239" s="87"/>
    </row>
    <row r="240" spans="2:5" x14ac:dyDescent="0.2">
      <c r="B240" s="87"/>
      <c r="C240" s="87"/>
      <c r="D240" s="87"/>
      <c r="E240" s="87"/>
    </row>
    <row r="241" spans="2:5" x14ac:dyDescent="0.2">
      <c r="B241" s="87"/>
      <c r="C241" s="87"/>
      <c r="D241" s="87"/>
      <c r="E241" s="87"/>
    </row>
    <row r="242" spans="2:5" x14ac:dyDescent="0.2">
      <c r="B242" s="87"/>
      <c r="C242" s="87"/>
      <c r="D242" s="87"/>
      <c r="E242" s="87"/>
    </row>
    <row r="243" spans="2:5" x14ac:dyDescent="0.2">
      <c r="B243" s="87"/>
      <c r="C243" s="87"/>
      <c r="D243" s="87"/>
      <c r="E243" s="87"/>
    </row>
    <row r="244" spans="2:5" x14ac:dyDescent="0.2">
      <c r="B244" s="87"/>
      <c r="C244" s="87"/>
      <c r="D244" s="87"/>
      <c r="E244" s="87"/>
    </row>
    <row r="245" spans="2:5" x14ac:dyDescent="0.2">
      <c r="B245" s="87"/>
      <c r="C245" s="87"/>
      <c r="D245" s="87"/>
      <c r="E245" s="87"/>
    </row>
    <row r="246" spans="2:5" x14ac:dyDescent="0.2">
      <c r="B246" s="87"/>
      <c r="C246" s="87"/>
      <c r="D246" s="87"/>
      <c r="E246" s="87"/>
    </row>
    <row r="247" spans="2:5" x14ac:dyDescent="0.2">
      <c r="B247" s="87"/>
      <c r="C247" s="87"/>
      <c r="D247" s="87"/>
      <c r="E247" s="87"/>
    </row>
    <row r="248" spans="2:5" x14ac:dyDescent="0.2">
      <c r="B248" s="87"/>
      <c r="C248" s="87"/>
      <c r="D248" s="87"/>
      <c r="E248" s="87"/>
    </row>
    <row r="249" spans="2:5" x14ac:dyDescent="0.2">
      <c r="B249" s="87"/>
      <c r="C249" s="87"/>
      <c r="D249" s="87"/>
      <c r="E249" s="87"/>
    </row>
    <row r="250" spans="2:5" x14ac:dyDescent="0.2">
      <c r="B250" s="87"/>
      <c r="C250" s="87"/>
      <c r="D250" s="87"/>
      <c r="E250" s="87"/>
    </row>
    <row r="251" spans="2:5" x14ac:dyDescent="0.2">
      <c r="B251" s="87"/>
      <c r="C251" s="87"/>
      <c r="D251" s="87"/>
      <c r="E251" s="87"/>
    </row>
    <row r="252" spans="2:5" x14ac:dyDescent="0.2">
      <c r="B252" s="87"/>
      <c r="C252" s="87"/>
      <c r="D252" s="87"/>
      <c r="E252" s="87"/>
    </row>
    <row r="253" spans="2:5" x14ac:dyDescent="0.2">
      <c r="B253" s="87"/>
      <c r="C253" s="87"/>
      <c r="D253" s="87"/>
      <c r="E253" s="87"/>
    </row>
    <row r="254" spans="2:5" x14ac:dyDescent="0.2">
      <c r="B254" s="87"/>
      <c r="C254" s="87"/>
      <c r="D254" s="87"/>
      <c r="E254" s="87"/>
    </row>
    <row r="255" spans="2:5" x14ac:dyDescent="0.2">
      <c r="B255" s="87"/>
      <c r="C255" s="87"/>
      <c r="D255" s="87"/>
      <c r="E255" s="87"/>
    </row>
    <row r="256" spans="2:5" x14ac:dyDescent="0.2">
      <c r="B256" s="87"/>
      <c r="C256" s="87"/>
      <c r="D256" s="87"/>
      <c r="E256" s="87"/>
    </row>
    <row r="257" spans="2:5" x14ac:dyDescent="0.2">
      <c r="B257" s="87"/>
      <c r="C257" s="87"/>
      <c r="D257" s="87"/>
      <c r="E257" s="87"/>
    </row>
    <row r="258" spans="2:5" x14ac:dyDescent="0.2">
      <c r="B258" s="87"/>
      <c r="C258" s="87"/>
      <c r="D258" s="87"/>
      <c r="E258" s="87"/>
    </row>
    <row r="259" spans="2:5" x14ac:dyDescent="0.2">
      <c r="B259" s="87"/>
      <c r="C259" s="87"/>
      <c r="D259" s="87"/>
      <c r="E259" s="87"/>
    </row>
    <row r="260" spans="2:5" x14ac:dyDescent="0.2">
      <c r="B260" s="87"/>
      <c r="C260" s="87"/>
      <c r="D260" s="87"/>
      <c r="E260" s="87"/>
    </row>
    <row r="261" spans="2:5" x14ac:dyDescent="0.2">
      <c r="B261" s="87"/>
      <c r="C261" s="87"/>
      <c r="D261" s="87"/>
      <c r="E261" s="87"/>
    </row>
    <row r="262" spans="2:5" x14ac:dyDescent="0.2">
      <c r="B262" s="87"/>
      <c r="C262" s="87"/>
      <c r="D262" s="87"/>
      <c r="E262" s="87"/>
    </row>
    <row r="263" spans="2:5" x14ac:dyDescent="0.2">
      <c r="B263" s="87"/>
      <c r="C263" s="87"/>
      <c r="D263" s="87"/>
      <c r="E263" s="87"/>
    </row>
    <row r="264" spans="2:5" x14ac:dyDescent="0.2">
      <c r="B264" s="87"/>
      <c r="C264" s="87"/>
      <c r="D264" s="87"/>
      <c r="E264" s="87"/>
    </row>
    <row r="265" spans="2:5" x14ac:dyDescent="0.2">
      <c r="B265" s="87"/>
      <c r="C265" s="87"/>
      <c r="D265" s="87"/>
      <c r="E265" s="87"/>
    </row>
    <row r="266" spans="2:5" x14ac:dyDescent="0.2">
      <c r="B266" s="87"/>
      <c r="C266" s="87"/>
      <c r="D266" s="87"/>
      <c r="E266" s="87"/>
    </row>
    <row r="267" spans="2:5" x14ac:dyDescent="0.2">
      <c r="B267" s="87"/>
      <c r="C267" s="87"/>
      <c r="D267" s="87"/>
      <c r="E267" s="87"/>
    </row>
    <row r="268" spans="2:5" x14ac:dyDescent="0.2">
      <c r="B268" s="87"/>
      <c r="C268" s="87"/>
      <c r="D268" s="87"/>
      <c r="E268" s="87"/>
    </row>
    <row r="269" spans="2:5" x14ac:dyDescent="0.2">
      <c r="B269" s="87"/>
      <c r="C269" s="87"/>
      <c r="D269" s="87"/>
      <c r="E269" s="87"/>
    </row>
    <row r="270" spans="2:5" x14ac:dyDescent="0.2">
      <c r="B270" s="87"/>
      <c r="C270" s="87"/>
      <c r="D270" s="87"/>
      <c r="E270" s="87"/>
    </row>
    <row r="271" spans="2:5" x14ac:dyDescent="0.2">
      <c r="B271" s="87"/>
      <c r="C271" s="87"/>
      <c r="D271" s="87"/>
      <c r="E271" s="87"/>
    </row>
    <row r="272" spans="2:5" x14ac:dyDescent="0.2">
      <c r="B272" s="87"/>
      <c r="C272" s="87"/>
      <c r="D272" s="87"/>
      <c r="E272" s="87"/>
    </row>
    <row r="273" spans="2:5" x14ac:dyDescent="0.2">
      <c r="B273" s="87"/>
      <c r="C273" s="87"/>
      <c r="D273" s="87"/>
      <c r="E273" s="87"/>
    </row>
    <row r="274" spans="2:5" x14ac:dyDescent="0.2">
      <c r="B274" s="87"/>
      <c r="C274" s="87"/>
      <c r="D274" s="87"/>
      <c r="E274" s="87"/>
    </row>
    <row r="275" spans="2:5" x14ac:dyDescent="0.2">
      <c r="B275" s="87"/>
      <c r="C275" s="87"/>
      <c r="D275" s="87"/>
      <c r="E275" s="87"/>
    </row>
    <row r="276" spans="2:5" x14ac:dyDescent="0.2">
      <c r="B276" s="87"/>
      <c r="C276" s="87"/>
      <c r="D276" s="87"/>
      <c r="E276" s="87"/>
    </row>
    <row r="277" spans="2:5" x14ac:dyDescent="0.2">
      <c r="B277" s="87"/>
      <c r="C277" s="87"/>
      <c r="D277" s="87"/>
      <c r="E277" s="87"/>
    </row>
    <row r="278" spans="2:5" x14ac:dyDescent="0.2">
      <c r="B278" s="87"/>
      <c r="C278" s="87"/>
      <c r="D278" s="87"/>
      <c r="E278" s="87"/>
    </row>
    <row r="279" spans="2:5" x14ac:dyDescent="0.2">
      <c r="B279" s="87"/>
      <c r="C279" s="87"/>
      <c r="D279" s="87"/>
      <c r="E279" s="87"/>
    </row>
    <row r="280" spans="2:5" x14ac:dyDescent="0.2">
      <c r="B280" s="87"/>
      <c r="C280" s="87"/>
      <c r="D280" s="87"/>
      <c r="E280" s="87"/>
    </row>
    <row r="281" spans="2:5" x14ac:dyDescent="0.2">
      <c r="B281" s="87"/>
      <c r="C281" s="87"/>
      <c r="D281" s="87"/>
      <c r="E281" s="87"/>
    </row>
    <row r="282" spans="2:5" x14ac:dyDescent="0.2">
      <c r="B282" s="87"/>
      <c r="C282" s="87"/>
      <c r="D282" s="87"/>
      <c r="E282" s="87"/>
    </row>
    <row r="283" spans="2:5" x14ac:dyDescent="0.2">
      <c r="B283" s="87"/>
      <c r="C283" s="87"/>
      <c r="D283" s="87"/>
      <c r="E283" s="87"/>
    </row>
    <row r="284" spans="2:5" x14ac:dyDescent="0.2">
      <c r="B284" s="87"/>
      <c r="C284" s="87"/>
      <c r="D284" s="87"/>
      <c r="E284" s="87"/>
    </row>
    <row r="285" spans="2:5" x14ac:dyDescent="0.2">
      <c r="B285" s="87"/>
      <c r="C285" s="87"/>
      <c r="D285" s="87"/>
      <c r="E285" s="87"/>
    </row>
    <row r="286" spans="2:5" x14ac:dyDescent="0.2">
      <c r="B286" s="87"/>
      <c r="C286" s="87"/>
      <c r="D286" s="87"/>
      <c r="E286" s="87"/>
    </row>
    <row r="287" spans="2:5" x14ac:dyDescent="0.2">
      <c r="B287" s="87"/>
      <c r="C287" s="87"/>
      <c r="D287" s="87"/>
      <c r="E287" s="87"/>
    </row>
    <row r="288" spans="2:5" x14ac:dyDescent="0.2">
      <c r="B288" s="87"/>
      <c r="C288" s="87"/>
      <c r="D288" s="87"/>
      <c r="E288" s="87"/>
    </row>
    <row r="289" spans="2:5" x14ac:dyDescent="0.2">
      <c r="B289" s="87"/>
      <c r="C289" s="87"/>
      <c r="D289" s="87"/>
      <c r="E289" s="87"/>
    </row>
    <row r="290" spans="2:5" x14ac:dyDescent="0.2">
      <c r="B290" s="87"/>
      <c r="C290" s="87"/>
      <c r="D290" s="87"/>
      <c r="E290" s="87"/>
    </row>
    <row r="291" spans="2:5" x14ac:dyDescent="0.2">
      <c r="B291" s="87"/>
      <c r="C291" s="87"/>
      <c r="D291" s="87"/>
      <c r="E291" s="87"/>
    </row>
    <row r="292" spans="2:5" x14ac:dyDescent="0.2">
      <c r="B292" s="87"/>
      <c r="C292" s="87"/>
      <c r="D292" s="87"/>
      <c r="E292" s="87"/>
    </row>
    <row r="293" spans="2:5" x14ac:dyDescent="0.2">
      <c r="B293" s="87"/>
      <c r="C293" s="87"/>
      <c r="D293" s="87"/>
      <c r="E293" s="87"/>
    </row>
    <row r="294" spans="2:5" x14ac:dyDescent="0.2">
      <c r="B294" s="87"/>
      <c r="C294" s="87"/>
      <c r="D294" s="87"/>
      <c r="E294" s="87"/>
    </row>
    <row r="295" spans="2:5" x14ac:dyDescent="0.2">
      <c r="B295" s="87"/>
      <c r="C295" s="87"/>
      <c r="D295" s="87"/>
      <c r="E295" s="87"/>
    </row>
    <row r="296" spans="2:5" x14ac:dyDescent="0.2">
      <c r="B296" s="87"/>
      <c r="C296" s="87"/>
      <c r="D296" s="87"/>
      <c r="E296" s="87"/>
    </row>
    <row r="297" spans="2:5" x14ac:dyDescent="0.2">
      <c r="B297" s="87"/>
      <c r="C297" s="87"/>
      <c r="D297" s="87"/>
      <c r="E297" s="87"/>
    </row>
    <row r="298" spans="2:5" x14ac:dyDescent="0.2">
      <c r="B298" s="87"/>
      <c r="C298" s="87"/>
      <c r="D298" s="87"/>
      <c r="E298" s="87"/>
    </row>
    <row r="299" spans="2:5" x14ac:dyDescent="0.2">
      <c r="B299" s="87"/>
      <c r="C299" s="87"/>
      <c r="D299" s="87"/>
      <c r="E299" s="87"/>
    </row>
    <row r="300" spans="2:5" x14ac:dyDescent="0.2">
      <c r="B300" s="87"/>
      <c r="C300" s="87"/>
      <c r="D300" s="87"/>
      <c r="E300" s="87"/>
    </row>
    <row r="301" spans="2:5" x14ac:dyDescent="0.2">
      <c r="B301" s="87"/>
      <c r="C301" s="87"/>
      <c r="D301" s="87"/>
      <c r="E301" s="87"/>
    </row>
    <row r="302" spans="2:5" x14ac:dyDescent="0.2">
      <c r="B302" s="87"/>
      <c r="C302" s="87"/>
      <c r="D302" s="87"/>
      <c r="E302" s="87"/>
    </row>
    <row r="303" spans="2:5" x14ac:dyDescent="0.2">
      <c r="B303" s="87"/>
      <c r="C303" s="87"/>
      <c r="D303" s="87"/>
      <c r="E303" s="87"/>
    </row>
    <row r="304" spans="2:5" x14ac:dyDescent="0.2">
      <c r="B304" s="87"/>
      <c r="C304" s="87"/>
      <c r="D304" s="87"/>
      <c r="E304" s="87"/>
    </row>
    <row r="305" spans="2:5" x14ac:dyDescent="0.2">
      <c r="B305" s="87"/>
      <c r="C305" s="87"/>
      <c r="D305" s="87"/>
      <c r="E305" s="87"/>
    </row>
    <row r="306" spans="2:5" x14ac:dyDescent="0.2">
      <c r="B306" s="87"/>
      <c r="C306" s="87"/>
      <c r="D306" s="87"/>
      <c r="E306" s="87"/>
    </row>
    <row r="307" spans="2:5" x14ac:dyDescent="0.2">
      <c r="B307" s="87"/>
      <c r="C307" s="87"/>
      <c r="D307" s="87"/>
      <c r="E307" s="87"/>
    </row>
    <row r="308" spans="2:5" x14ac:dyDescent="0.2">
      <c r="B308" s="87"/>
      <c r="C308" s="87"/>
      <c r="D308" s="87"/>
      <c r="E308" s="87"/>
    </row>
    <row r="309" spans="2:5" x14ac:dyDescent="0.2">
      <c r="B309" s="87"/>
      <c r="C309" s="87"/>
      <c r="D309" s="87"/>
      <c r="E309" s="87"/>
    </row>
    <row r="310" spans="2:5" x14ac:dyDescent="0.2">
      <c r="B310" s="87"/>
      <c r="C310" s="87"/>
      <c r="D310" s="87"/>
      <c r="E310" s="87"/>
    </row>
    <row r="311" spans="2:5" x14ac:dyDescent="0.2">
      <c r="B311" s="87"/>
      <c r="C311" s="87"/>
      <c r="D311" s="87"/>
      <c r="E311" s="87"/>
    </row>
    <row r="312" spans="2:5" x14ac:dyDescent="0.2">
      <c r="B312" s="87"/>
      <c r="C312" s="87"/>
      <c r="D312" s="87"/>
      <c r="E312" s="87"/>
    </row>
    <row r="313" spans="2:5" x14ac:dyDescent="0.2">
      <c r="B313" s="87"/>
      <c r="C313" s="87"/>
      <c r="D313" s="87"/>
      <c r="E313" s="87"/>
    </row>
    <row r="314" spans="2:5" x14ac:dyDescent="0.2">
      <c r="B314" s="87"/>
      <c r="C314" s="87"/>
      <c r="D314" s="87"/>
      <c r="E314" s="87"/>
    </row>
    <row r="315" spans="2:5" x14ac:dyDescent="0.2">
      <c r="B315" s="87"/>
      <c r="C315" s="87"/>
      <c r="D315" s="87"/>
      <c r="E315" s="87"/>
    </row>
    <row r="316" spans="2:5" x14ac:dyDescent="0.2">
      <c r="B316" s="87"/>
      <c r="C316" s="87"/>
      <c r="D316" s="87"/>
      <c r="E316" s="87"/>
    </row>
    <row r="317" spans="2:5" x14ac:dyDescent="0.2">
      <c r="B317" s="87"/>
      <c r="C317" s="87"/>
      <c r="D317" s="87"/>
      <c r="E317" s="87"/>
    </row>
    <row r="318" spans="2:5" x14ac:dyDescent="0.2">
      <c r="B318" s="87"/>
      <c r="C318" s="87"/>
      <c r="D318" s="87"/>
      <c r="E318" s="87"/>
    </row>
    <row r="319" spans="2:5" x14ac:dyDescent="0.2">
      <c r="B319" s="87"/>
      <c r="C319" s="87"/>
      <c r="D319" s="87"/>
      <c r="E319" s="87"/>
    </row>
    <row r="320" spans="2:5" x14ac:dyDescent="0.2">
      <c r="B320" s="87"/>
      <c r="C320" s="87"/>
      <c r="D320" s="87"/>
      <c r="E320" s="87"/>
    </row>
    <row r="321" spans="2:5" x14ac:dyDescent="0.2">
      <c r="B321" s="87"/>
      <c r="C321" s="87"/>
      <c r="D321" s="87"/>
      <c r="E321" s="87"/>
    </row>
    <row r="322" spans="2:5" x14ac:dyDescent="0.2">
      <c r="B322" s="87"/>
      <c r="C322" s="87"/>
      <c r="D322" s="87"/>
      <c r="E322" s="87"/>
    </row>
    <row r="323" spans="2:5" x14ac:dyDescent="0.2">
      <c r="B323" s="87"/>
      <c r="C323" s="87"/>
      <c r="D323" s="87"/>
      <c r="E323" s="87"/>
    </row>
    <row r="324" spans="2:5" x14ac:dyDescent="0.2">
      <c r="B324" s="87"/>
      <c r="C324" s="87"/>
      <c r="D324" s="87"/>
      <c r="E324" s="87"/>
    </row>
    <row r="325" spans="2:5" x14ac:dyDescent="0.2">
      <c r="B325" s="87"/>
      <c r="C325" s="87"/>
      <c r="D325" s="87"/>
      <c r="E325" s="87"/>
    </row>
    <row r="326" spans="2:5" x14ac:dyDescent="0.2">
      <c r="B326" s="87"/>
      <c r="C326" s="87"/>
      <c r="D326" s="87"/>
      <c r="E326" s="87"/>
    </row>
    <row r="327" spans="2:5" x14ac:dyDescent="0.2">
      <c r="B327" s="87"/>
      <c r="C327" s="87"/>
      <c r="D327" s="87"/>
      <c r="E327" s="87"/>
    </row>
    <row r="328" spans="2:5" x14ac:dyDescent="0.2">
      <c r="B328" s="87"/>
      <c r="C328" s="87"/>
      <c r="D328" s="87"/>
      <c r="E328" s="87"/>
    </row>
    <row r="329" spans="2:5" x14ac:dyDescent="0.2">
      <c r="B329" s="87"/>
      <c r="C329" s="87"/>
      <c r="D329" s="87"/>
      <c r="E329" s="87"/>
    </row>
    <row r="330" spans="2:5" x14ac:dyDescent="0.2">
      <c r="B330" s="87"/>
      <c r="C330" s="87"/>
      <c r="D330" s="87"/>
      <c r="E330" s="87"/>
    </row>
    <row r="331" spans="2:5" x14ac:dyDescent="0.2">
      <c r="B331" s="87"/>
      <c r="C331" s="87"/>
      <c r="D331" s="87"/>
      <c r="E331" s="87"/>
    </row>
    <row r="332" spans="2:5" x14ac:dyDescent="0.2">
      <c r="B332" s="87"/>
      <c r="C332" s="87"/>
      <c r="D332" s="87"/>
      <c r="E332" s="87"/>
    </row>
    <row r="333" spans="2:5" x14ac:dyDescent="0.2">
      <c r="B333" s="87"/>
      <c r="C333" s="87"/>
      <c r="D333" s="87"/>
      <c r="E333" s="87"/>
    </row>
    <row r="334" spans="2:5" x14ac:dyDescent="0.2">
      <c r="B334" s="87"/>
      <c r="C334" s="87"/>
      <c r="D334" s="87"/>
      <c r="E334" s="87"/>
    </row>
    <row r="335" spans="2:5" x14ac:dyDescent="0.2">
      <c r="B335" s="87"/>
      <c r="C335" s="87"/>
      <c r="D335" s="87"/>
      <c r="E335" s="87"/>
    </row>
    <row r="336" spans="2:5" x14ac:dyDescent="0.2">
      <c r="B336" s="87"/>
      <c r="C336" s="87"/>
      <c r="D336" s="87"/>
      <c r="E336" s="87"/>
    </row>
    <row r="337" spans="2:5" x14ac:dyDescent="0.2">
      <c r="B337" s="87"/>
      <c r="C337" s="87"/>
      <c r="D337" s="87"/>
      <c r="E337" s="87"/>
    </row>
    <row r="338" spans="2:5" x14ac:dyDescent="0.2">
      <c r="B338" s="87"/>
      <c r="C338" s="87"/>
      <c r="D338" s="87"/>
      <c r="E338" s="87"/>
    </row>
    <row r="339" spans="2:5" x14ac:dyDescent="0.2">
      <c r="B339" s="87"/>
      <c r="C339" s="87"/>
      <c r="D339" s="87"/>
      <c r="E339" s="87"/>
    </row>
    <row r="340" spans="2:5" x14ac:dyDescent="0.2">
      <c r="B340" s="87"/>
      <c r="C340" s="87"/>
      <c r="D340" s="87"/>
      <c r="E340" s="87"/>
    </row>
    <row r="341" spans="2:5" x14ac:dyDescent="0.2">
      <c r="B341" s="87"/>
      <c r="C341" s="87"/>
      <c r="D341" s="87"/>
      <c r="E341" s="87"/>
    </row>
    <row r="342" spans="2:5" x14ac:dyDescent="0.2">
      <c r="B342" s="87"/>
      <c r="C342" s="87"/>
      <c r="D342" s="87"/>
      <c r="E342" s="87"/>
    </row>
    <row r="343" spans="2:5" x14ac:dyDescent="0.2">
      <c r="B343" s="87"/>
      <c r="C343" s="87"/>
      <c r="D343" s="87"/>
      <c r="E343" s="87"/>
    </row>
    <row r="344" spans="2:5" x14ac:dyDescent="0.2">
      <c r="B344" s="87"/>
      <c r="C344" s="87"/>
      <c r="D344" s="87"/>
      <c r="E344" s="87"/>
    </row>
    <row r="345" spans="2:5" x14ac:dyDescent="0.2">
      <c r="B345" s="87"/>
      <c r="C345" s="87"/>
      <c r="D345" s="87"/>
      <c r="E345" s="87"/>
    </row>
    <row r="346" spans="2:5" x14ac:dyDescent="0.2">
      <c r="B346" s="87"/>
      <c r="C346" s="87"/>
      <c r="D346" s="87"/>
      <c r="E346" s="87"/>
    </row>
    <row r="347" spans="2:5" x14ac:dyDescent="0.2">
      <c r="B347" s="87"/>
      <c r="C347" s="87"/>
      <c r="D347" s="87"/>
      <c r="E347" s="87"/>
    </row>
    <row r="348" spans="2:5" x14ac:dyDescent="0.2">
      <c r="B348" s="87"/>
      <c r="C348" s="87"/>
      <c r="D348" s="87"/>
      <c r="E348" s="87"/>
    </row>
    <row r="349" spans="2:5" x14ac:dyDescent="0.2">
      <c r="B349" s="87"/>
      <c r="C349" s="87"/>
      <c r="D349" s="87"/>
      <c r="E349" s="87"/>
    </row>
    <row r="350" spans="2:5" x14ac:dyDescent="0.2">
      <c r="B350" s="87"/>
      <c r="C350" s="87"/>
      <c r="D350" s="87"/>
      <c r="E350" s="87"/>
    </row>
    <row r="351" spans="2:5" x14ac:dyDescent="0.2">
      <c r="B351" s="87"/>
      <c r="C351" s="87"/>
      <c r="D351" s="87"/>
      <c r="E351" s="87"/>
    </row>
    <row r="352" spans="2:5" x14ac:dyDescent="0.2">
      <c r="B352" s="87"/>
      <c r="C352" s="87"/>
      <c r="D352" s="87"/>
      <c r="E352" s="87"/>
    </row>
    <row r="353" spans="2:5" x14ac:dyDescent="0.2">
      <c r="B353" s="87"/>
      <c r="C353" s="87"/>
      <c r="D353" s="87"/>
      <c r="E353" s="87"/>
    </row>
    <row r="354" spans="2:5" x14ac:dyDescent="0.2">
      <c r="B354" s="87"/>
      <c r="C354" s="87"/>
      <c r="D354" s="87"/>
      <c r="E354" s="87"/>
    </row>
    <row r="355" spans="2:5" x14ac:dyDescent="0.2">
      <c r="B355" s="87"/>
      <c r="C355" s="87"/>
      <c r="D355" s="87"/>
      <c r="E355" s="87"/>
    </row>
    <row r="356" spans="2:5" x14ac:dyDescent="0.2">
      <c r="B356" s="87"/>
      <c r="C356" s="87"/>
      <c r="D356" s="87"/>
      <c r="E356" s="87"/>
    </row>
    <row r="357" spans="2:5" x14ac:dyDescent="0.2">
      <c r="B357" s="87"/>
      <c r="C357" s="87"/>
      <c r="D357" s="87"/>
      <c r="E357" s="87"/>
    </row>
    <row r="358" spans="2:5" x14ac:dyDescent="0.2">
      <c r="B358" s="87"/>
      <c r="C358" s="87"/>
      <c r="D358" s="87"/>
      <c r="E358" s="87"/>
    </row>
    <row r="359" spans="2:5" x14ac:dyDescent="0.2">
      <c r="B359" s="87"/>
      <c r="C359" s="87"/>
      <c r="D359" s="87"/>
      <c r="E359" s="87"/>
    </row>
    <row r="360" spans="2:5" x14ac:dyDescent="0.2">
      <c r="B360" s="87"/>
      <c r="C360" s="87"/>
      <c r="D360" s="87"/>
      <c r="E360" s="87"/>
    </row>
    <row r="361" spans="2:5" x14ac:dyDescent="0.2">
      <c r="B361" s="87"/>
      <c r="C361" s="87"/>
      <c r="D361" s="87"/>
      <c r="E361" s="87"/>
    </row>
    <row r="362" spans="2:5" x14ac:dyDescent="0.2">
      <c r="B362" s="87"/>
      <c r="C362" s="87"/>
      <c r="D362" s="87"/>
      <c r="E362" s="87"/>
    </row>
    <row r="363" spans="2:5" x14ac:dyDescent="0.2">
      <c r="B363" s="87"/>
      <c r="C363" s="87"/>
      <c r="D363" s="87"/>
      <c r="E363" s="87"/>
    </row>
    <row r="364" spans="2:5" x14ac:dyDescent="0.2">
      <c r="B364" s="87"/>
      <c r="C364" s="87"/>
      <c r="D364" s="87"/>
      <c r="E364" s="87"/>
    </row>
    <row r="365" spans="2:5" x14ac:dyDescent="0.2">
      <c r="B365" s="87"/>
      <c r="C365" s="87"/>
      <c r="D365" s="87"/>
      <c r="E365" s="87"/>
    </row>
    <row r="366" spans="2:5" x14ac:dyDescent="0.2">
      <c r="B366" s="87"/>
      <c r="C366" s="87"/>
      <c r="D366" s="87"/>
      <c r="E366" s="87"/>
    </row>
    <row r="367" spans="2:5" x14ac:dyDescent="0.2">
      <c r="B367" s="87"/>
      <c r="C367" s="87"/>
      <c r="D367" s="87"/>
      <c r="E367" s="87"/>
    </row>
    <row r="368" spans="2:5" x14ac:dyDescent="0.2">
      <c r="B368" s="87"/>
      <c r="C368" s="87"/>
      <c r="D368" s="87"/>
      <c r="E368" s="87"/>
    </row>
    <row r="369" spans="2:5" x14ac:dyDescent="0.2">
      <c r="B369" s="87"/>
      <c r="C369" s="87"/>
      <c r="D369" s="87"/>
      <c r="E369" s="87"/>
    </row>
    <row r="370" spans="2:5" x14ac:dyDescent="0.2">
      <c r="B370" s="87"/>
      <c r="C370" s="87"/>
      <c r="D370" s="87"/>
      <c r="E370" s="87"/>
    </row>
    <row r="371" spans="2:5" x14ac:dyDescent="0.2">
      <c r="B371" s="87"/>
      <c r="C371" s="87"/>
      <c r="D371" s="87"/>
      <c r="E371" s="87"/>
    </row>
    <row r="372" spans="2:5" x14ac:dyDescent="0.2">
      <c r="B372" s="87"/>
      <c r="C372" s="87"/>
      <c r="D372" s="87"/>
      <c r="E372" s="87"/>
    </row>
    <row r="373" spans="2:5" x14ac:dyDescent="0.2">
      <c r="B373" s="87"/>
      <c r="C373" s="87"/>
      <c r="D373" s="87"/>
      <c r="E373" s="87"/>
    </row>
    <row r="374" spans="2:5" x14ac:dyDescent="0.2">
      <c r="B374" s="87"/>
      <c r="C374" s="87"/>
      <c r="D374" s="87"/>
      <c r="E374" s="87"/>
    </row>
    <row r="375" spans="2:5" x14ac:dyDescent="0.2">
      <c r="B375" s="87"/>
      <c r="C375" s="87"/>
      <c r="D375" s="87"/>
      <c r="E375" s="87"/>
    </row>
    <row r="376" spans="2:5" x14ac:dyDescent="0.2">
      <c r="B376" s="87"/>
      <c r="C376" s="87"/>
      <c r="D376" s="87"/>
      <c r="E376" s="87"/>
    </row>
    <row r="377" spans="2:5" x14ac:dyDescent="0.2">
      <c r="B377" s="87"/>
      <c r="C377" s="87"/>
      <c r="D377" s="87"/>
      <c r="E377" s="87"/>
    </row>
    <row r="378" spans="2:5" x14ac:dyDescent="0.2">
      <c r="B378" s="87"/>
      <c r="C378" s="87"/>
      <c r="D378" s="87"/>
      <c r="E378" s="87"/>
    </row>
    <row r="379" spans="2:5" x14ac:dyDescent="0.2">
      <c r="B379" s="87"/>
      <c r="C379" s="87"/>
      <c r="D379" s="87"/>
      <c r="E379" s="87"/>
    </row>
    <row r="380" spans="2:5" x14ac:dyDescent="0.2">
      <c r="B380" s="87"/>
      <c r="C380" s="87"/>
      <c r="D380" s="87"/>
      <c r="E380" s="87"/>
    </row>
    <row r="381" spans="2:5" x14ac:dyDescent="0.2">
      <c r="B381" s="87"/>
      <c r="C381" s="87"/>
      <c r="D381" s="87"/>
      <c r="E381" s="87"/>
    </row>
    <row r="382" spans="2:5" x14ac:dyDescent="0.2">
      <c r="B382" s="87"/>
      <c r="C382" s="87"/>
      <c r="D382" s="87"/>
      <c r="E382" s="87"/>
    </row>
    <row r="383" spans="2:5" x14ac:dyDescent="0.2">
      <c r="B383" s="87"/>
      <c r="C383" s="87"/>
      <c r="D383" s="87"/>
      <c r="E383" s="87"/>
    </row>
    <row r="384" spans="2:5" x14ac:dyDescent="0.2">
      <c r="B384" s="87"/>
      <c r="C384" s="87"/>
      <c r="D384" s="87"/>
      <c r="E384" s="87"/>
    </row>
    <row r="385" spans="2:5" x14ac:dyDescent="0.2">
      <c r="B385" s="87"/>
      <c r="C385" s="87"/>
      <c r="D385" s="87"/>
      <c r="E385" s="87"/>
    </row>
    <row r="386" spans="2:5" x14ac:dyDescent="0.2">
      <c r="B386" s="87"/>
      <c r="C386" s="87"/>
      <c r="D386" s="87"/>
      <c r="E386" s="87"/>
    </row>
    <row r="387" spans="2:5" x14ac:dyDescent="0.2">
      <c r="B387" s="87"/>
      <c r="C387" s="87"/>
      <c r="D387" s="87"/>
      <c r="E387" s="87"/>
    </row>
    <row r="388" spans="2:5" x14ac:dyDescent="0.2">
      <c r="B388" s="87"/>
      <c r="C388" s="87"/>
      <c r="D388" s="87"/>
      <c r="E388" s="87"/>
    </row>
    <row r="389" spans="2:5" x14ac:dyDescent="0.2">
      <c r="B389" s="87"/>
      <c r="C389" s="87"/>
      <c r="D389" s="87"/>
      <c r="E389" s="87"/>
    </row>
    <row r="390" spans="2:5" x14ac:dyDescent="0.2">
      <c r="B390" s="87"/>
      <c r="C390" s="87"/>
      <c r="D390" s="87"/>
      <c r="E390" s="87"/>
    </row>
    <row r="391" spans="2:5" x14ac:dyDescent="0.2">
      <c r="B391" s="87"/>
      <c r="C391" s="87"/>
      <c r="D391" s="87"/>
      <c r="E391" s="87"/>
    </row>
    <row r="392" spans="2:5" x14ac:dyDescent="0.2">
      <c r="B392" s="87"/>
      <c r="C392" s="87"/>
      <c r="D392" s="87"/>
      <c r="E392" s="87"/>
    </row>
    <row r="393" spans="2:5" x14ac:dyDescent="0.2">
      <c r="B393" s="87"/>
      <c r="C393" s="87"/>
      <c r="D393" s="87"/>
      <c r="E393" s="87"/>
    </row>
    <row r="394" spans="2:5" x14ac:dyDescent="0.2">
      <c r="B394" s="87"/>
      <c r="C394" s="87"/>
      <c r="D394" s="87"/>
      <c r="E394" s="87"/>
    </row>
    <row r="395" spans="2:5" x14ac:dyDescent="0.2">
      <c r="B395" s="87"/>
      <c r="C395" s="87"/>
      <c r="D395" s="87"/>
      <c r="E395" s="87"/>
    </row>
    <row r="396" spans="2:5" x14ac:dyDescent="0.2">
      <c r="B396" s="87"/>
      <c r="C396" s="87"/>
      <c r="D396" s="87"/>
      <c r="E396" s="87"/>
    </row>
    <row r="397" spans="2:5" x14ac:dyDescent="0.2">
      <c r="B397" s="87"/>
      <c r="C397" s="87"/>
      <c r="D397" s="87"/>
      <c r="E397" s="87"/>
    </row>
    <row r="398" spans="2:5" x14ac:dyDescent="0.2">
      <c r="B398" s="87"/>
      <c r="C398" s="87"/>
      <c r="D398" s="87"/>
      <c r="E398" s="87"/>
    </row>
    <row r="399" spans="2:5" x14ac:dyDescent="0.2">
      <c r="B399" s="87"/>
      <c r="C399" s="87"/>
      <c r="D399" s="87"/>
      <c r="E399" s="87"/>
    </row>
    <row r="400" spans="2:5" x14ac:dyDescent="0.2">
      <c r="B400" s="87"/>
      <c r="C400" s="87"/>
      <c r="D400" s="87"/>
      <c r="E400" s="87"/>
    </row>
    <row r="401" spans="2:5" x14ac:dyDescent="0.2">
      <c r="B401" s="87"/>
      <c r="C401" s="87"/>
      <c r="D401" s="87"/>
      <c r="E401" s="87"/>
    </row>
    <row r="402" spans="2:5" x14ac:dyDescent="0.2">
      <c r="B402" s="87"/>
      <c r="C402" s="87"/>
      <c r="D402" s="87"/>
      <c r="E402" s="87"/>
    </row>
    <row r="403" spans="2:5" x14ac:dyDescent="0.2">
      <c r="B403" s="87"/>
      <c r="C403" s="87"/>
      <c r="D403" s="87"/>
      <c r="E403" s="87"/>
    </row>
    <row r="404" spans="2:5" x14ac:dyDescent="0.2">
      <c r="B404" s="87"/>
      <c r="C404" s="87"/>
      <c r="D404" s="87"/>
      <c r="E404" s="87"/>
    </row>
    <row r="405" spans="2:5" x14ac:dyDescent="0.2">
      <c r="B405" s="87"/>
      <c r="C405" s="87"/>
      <c r="D405" s="87"/>
      <c r="E405" s="87"/>
    </row>
    <row r="406" spans="2:5" x14ac:dyDescent="0.2">
      <c r="B406" s="87"/>
      <c r="C406" s="87"/>
      <c r="D406" s="87"/>
      <c r="E406" s="87"/>
    </row>
    <row r="407" spans="2:5" x14ac:dyDescent="0.2">
      <c r="B407" s="87"/>
      <c r="C407" s="87"/>
      <c r="D407" s="87"/>
      <c r="E407" s="87"/>
    </row>
    <row r="408" spans="2:5" x14ac:dyDescent="0.2">
      <c r="B408" s="87"/>
      <c r="C408" s="87"/>
      <c r="D408" s="87"/>
      <c r="E408" s="87"/>
    </row>
    <row r="409" spans="2:5" x14ac:dyDescent="0.2">
      <c r="B409" s="87"/>
      <c r="C409" s="87"/>
      <c r="D409" s="87"/>
      <c r="E409" s="87"/>
    </row>
    <row r="410" spans="2:5" x14ac:dyDescent="0.2">
      <c r="B410" s="87"/>
      <c r="C410" s="87"/>
      <c r="D410" s="87"/>
      <c r="E410" s="87"/>
    </row>
    <row r="411" spans="2:5" x14ac:dyDescent="0.2">
      <c r="B411" s="87"/>
      <c r="C411" s="87"/>
      <c r="D411" s="87"/>
      <c r="E411" s="87"/>
    </row>
    <row r="412" spans="2:5" x14ac:dyDescent="0.2">
      <c r="B412" s="87"/>
      <c r="C412" s="87"/>
      <c r="D412" s="87"/>
      <c r="E412" s="87"/>
    </row>
    <row r="413" spans="2:5" x14ac:dyDescent="0.2">
      <c r="B413" s="87"/>
      <c r="C413" s="87"/>
      <c r="D413" s="87"/>
      <c r="E413" s="87"/>
    </row>
    <row r="414" spans="2:5" x14ac:dyDescent="0.2">
      <c r="B414" s="87"/>
      <c r="C414" s="87"/>
      <c r="D414" s="87"/>
      <c r="E414" s="87"/>
    </row>
    <row r="415" spans="2:5" x14ac:dyDescent="0.2">
      <c r="B415" s="87"/>
      <c r="C415" s="87"/>
      <c r="D415" s="87"/>
      <c r="E415" s="87"/>
    </row>
    <row r="416" spans="2:5" x14ac:dyDescent="0.2">
      <c r="B416" s="87"/>
      <c r="C416" s="87"/>
      <c r="D416" s="87"/>
      <c r="E416" s="87"/>
    </row>
    <row r="417" spans="2:5" x14ac:dyDescent="0.2">
      <c r="B417" s="87"/>
      <c r="C417" s="87"/>
      <c r="D417" s="87"/>
      <c r="E417" s="87"/>
    </row>
    <row r="418" spans="2:5" x14ac:dyDescent="0.2">
      <c r="B418" s="87"/>
      <c r="C418" s="87"/>
      <c r="D418" s="87"/>
      <c r="E418" s="87"/>
    </row>
    <row r="419" spans="2:5" x14ac:dyDescent="0.2">
      <c r="B419" s="87"/>
      <c r="C419" s="87"/>
      <c r="D419" s="87"/>
      <c r="E419" s="87"/>
    </row>
    <row r="420" spans="2:5" x14ac:dyDescent="0.2">
      <c r="B420" s="87"/>
      <c r="C420" s="87"/>
      <c r="D420" s="87"/>
      <c r="E420" s="87"/>
    </row>
    <row r="421" spans="2:5" x14ac:dyDescent="0.2">
      <c r="B421" s="87"/>
      <c r="C421" s="87"/>
      <c r="D421" s="87"/>
      <c r="E421" s="87"/>
    </row>
    <row r="422" spans="2:5" x14ac:dyDescent="0.2">
      <c r="B422" s="87"/>
      <c r="C422" s="87"/>
      <c r="D422" s="87"/>
      <c r="E422" s="87"/>
    </row>
    <row r="423" spans="2:5" x14ac:dyDescent="0.2">
      <c r="B423" s="87"/>
      <c r="C423" s="87"/>
      <c r="D423" s="87"/>
      <c r="E423" s="87"/>
    </row>
    <row r="424" spans="2:5" x14ac:dyDescent="0.2">
      <c r="B424" s="87"/>
      <c r="C424" s="87"/>
      <c r="D424" s="87"/>
      <c r="E424" s="87"/>
    </row>
    <row r="425" spans="2:5" x14ac:dyDescent="0.2">
      <c r="B425" s="87"/>
      <c r="C425" s="87"/>
      <c r="D425" s="87"/>
      <c r="E425" s="87"/>
    </row>
    <row r="426" spans="2:5" x14ac:dyDescent="0.2">
      <c r="B426" s="87"/>
      <c r="C426" s="87"/>
      <c r="D426" s="87"/>
      <c r="E426" s="87"/>
    </row>
    <row r="427" spans="2:5" x14ac:dyDescent="0.2">
      <c r="B427" s="87"/>
      <c r="C427" s="87"/>
      <c r="D427" s="87"/>
      <c r="E427" s="87"/>
    </row>
    <row r="428" spans="2:5" x14ac:dyDescent="0.2">
      <c r="B428" s="87"/>
      <c r="C428" s="87"/>
      <c r="D428" s="87"/>
      <c r="E428" s="87"/>
    </row>
    <row r="429" spans="2:5" x14ac:dyDescent="0.2">
      <c r="B429" s="87"/>
      <c r="C429" s="87"/>
      <c r="D429" s="87"/>
      <c r="E429" s="87"/>
    </row>
    <row r="430" spans="2:5" x14ac:dyDescent="0.2">
      <c r="B430" s="87"/>
      <c r="C430" s="87"/>
      <c r="D430" s="87"/>
      <c r="E430" s="87"/>
    </row>
    <row r="431" spans="2:5" x14ac:dyDescent="0.2">
      <c r="B431" s="87"/>
      <c r="C431" s="87"/>
      <c r="D431" s="87"/>
      <c r="E431" s="87"/>
    </row>
    <row r="432" spans="2:5" x14ac:dyDescent="0.2">
      <c r="B432" s="87"/>
      <c r="C432" s="87"/>
      <c r="D432" s="87"/>
      <c r="E432" s="87"/>
    </row>
    <row r="433" spans="2:5" x14ac:dyDescent="0.2">
      <c r="B433" s="87"/>
      <c r="C433" s="87"/>
      <c r="D433" s="87"/>
      <c r="E433" s="87"/>
    </row>
    <row r="434" spans="2:5" x14ac:dyDescent="0.2">
      <c r="B434" s="87"/>
      <c r="C434" s="87"/>
      <c r="D434" s="87"/>
      <c r="E434" s="87"/>
    </row>
    <row r="435" spans="2:5" x14ac:dyDescent="0.2">
      <c r="B435" s="87"/>
      <c r="C435" s="87"/>
      <c r="D435" s="87"/>
      <c r="E435" s="87"/>
    </row>
    <row r="436" spans="2:5" x14ac:dyDescent="0.2">
      <c r="B436" s="87"/>
      <c r="C436" s="87"/>
      <c r="D436" s="87"/>
      <c r="E436" s="87"/>
    </row>
    <row r="437" spans="2:5" x14ac:dyDescent="0.2">
      <c r="B437" s="87"/>
      <c r="C437" s="87"/>
      <c r="D437" s="87"/>
      <c r="E437" s="87"/>
    </row>
    <row r="438" spans="2:5" x14ac:dyDescent="0.2">
      <c r="B438" s="87"/>
      <c r="C438" s="87"/>
      <c r="D438" s="87"/>
      <c r="E438" s="87"/>
    </row>
    <row r="439" spans="2:5" x14ac:dyDescent="0.2">
      <c r="B439" s="87"/>
      <c r="C439" s="87"/>
      <c r="D439" s="87"/>
      <c r="E439" s="87"/>
    </row>
    <row r="440" spans="2:5" x14ac:dyDescent="0.2">
      <c r="B440" s="87"/>
      <c r="C440" s="87"/>
      <c r="D440" s="87"/>
      <c r="E440" s="87"/>
    </row>
    <row r="441" spans="2:5" x14ac:dyDescent="0.2">
      <c r="B441" s="87"/>
      <c r="C441" s="87"/>
      <c r="D441" s="87"/>
      <c r="E441" s="87"/>
    </row>
    <row r="442" spans="2:5" x14ac:dyDescent="0.2">
      <c r="B442" s="87"/>
      <c r="C442" s="87"/>
      <c r="D442" s="87"/>
      <c r="E442" s="87"/>
    </row>
    <row r="443" spans="2:5" x14ac:dyDescent="0.2">
      <c r="B443" s="87"/>
      <c r="C443" s="87"/>
      <c r="D443" s="87"/>
      <c r="E443" s="87"/>
    </row>
    <row r="444" spans="2:5" x14ac:dyDescent="0.2">
      <c r="B444" s="87"/>
      <c r="C444" s="87"/>
      <c r="D444" s="87"/>
      <c r="E444" s="87"/>
    </row>
    <row r="445" spans="2:5" x14ac:dyDescent="0.2">
      <c r="B445" s="87"/>
      <c r="C445" s="87"/>
      <c r="D445" s="87"/>
      <c r="E445" s="87"/>
    </row>
    <row r="446" spans="2:5" x14ac:dyDescent="0.2">
      <c r="B446" s="87"/>
      <c r="C446" s="87"/>
      <c r="D446" s="87"/>
      <c r="E446" s="87"/>
    </row>
    <row r="447" spans="2:5" x14ac:dyDescent="0.2">
      <c r="B447" s="87"/>
      <c r="C447" s="87"/>
      <c r="D447" s="87"/>
      <c r="E447" s="87"/>
    </row>
    <row r="448" spans="2:5" x14ac:dyDescent="0.2">
      <c r="B448" s="87"/>
      <c r="C448" s="87"/>
      <c r="D448" s="87"/>
      <c r="E448" s="87"/>
    </row>
    <row r="449" spans="2:5" x14ac:dyDescent="0.2">
      <c r="B449" s="87"/>
      <c r="C449" s="87"/>
      <c r="D449" s="87"/>
      <c r="E449" s="87"/>
    </row>
    <row r="450" spans="2:5" x14ac:dyDescent="0.2">
      <c r="B450" s="87"/>
      <c r="C450" s="87"/>
      <c r="D450" s="87"/>
      <c r="E450" s="87"/>
    </row>
    <row r="451" spans="2:5" x14ac:dyDescent="0.2">
      <c r="B451" s="87"/>
      <c r="C451" s="87"/>
      <c r="D451" s="87"/>
      <c r="E451" s="87"/>
    </row>
    <row r="452" spans="2:5" x14ac:dyDescent="0.2">
      <c r="B452" s="87"/>
      <c r="C452" s="87"/>
      <c r="D452" s="87"/>
      <c r="E452" s="87"/>
    </row>
    <row r="453" spans="2:5" x14ac:dyDescent="0.2">
      <c r="B453" s="87"/>
      <c r="C453" s="87"/>
      <c r="D453" s="87"/>
      <c r="E453" s="87"/>
    </row>
    <row r="454" spans="2:5" x14ac:dyDescent="0.2">
      <c r="B454" s="87"/>
      <c r="C454" s="87"/>
      <c r="D454" s="87"/>
      <c r="E454" s="87"/>
    </row>
    <row r="455" spans="2:5" x14ac:dyDescent="0.2">
      <c r="B455" s="87"/>
      <c r="C455" s="87"/>
      <c r="D455" s="87"/>
      <c r="E455" s="87"/>
    </row>
    <row r="456" spans="2:5" x14ac:dyDescent="0.2">
      <c r="B456" s="87"/>
      <c r="C456" s="87"/>
      <c r="D456" s="87"/>
      <c r="E456" s="87"/>
    </row>
    <row r="457" spans="2:5" x14ac:dyDescent="0.2">
      <c r="B457" s="87"/>
      <c r="C457" s="87"/>
      <c r="D457" s="87"/>
      <c r="E457" s="87"/>
    </row>
    <row r="458" spans="2:5" x14ac:dyDescent="0.2">
      <c r="B458" s="87"/>
      <c r="C458" s="87"/>
      <c r="D458" s="87"/>
      <c r="E458" s="87"/>
    </row>
    <row r="459" spans="2:5" x14ac:dyDescent="0.2">
      <c r="B459" s="87"/>
      <c r="C459" s="87"/>
      <c r="D459" s="87"/>
      <c r="E459" s="87"/>
    </row>
    <row r="460" spans="2:5" x14ac:dyDescent="0.2">
      <c r="B460" s="87"/>
      <c r="C460" s="87"/>
      <c r="D460" s="87"/>
      <c r="E460" s="87"/>
    </row>
    <row r="461" spans="2:5" x14ac:dyDescent="0.2">
      <c r="B461" s="87"/>
      <c r="C461" s="87"/>
      <c r="D461" s="87"/>
      <c r="E461" s="87"/>
    </row>
    <row r="462" spans="2:5" x14ac:dyDescent="0.2">
      <c r="B462" s="87"/>
      <c r="C462" s="87"/>
      <c r="D462" s="87"/>
      <c r="E462" s="87"/>
    </row>
    <row r="463" spans="2:5" x14ac:dyDescent="0.2">
      <c r="B463" s="87"/>
      <c r="C463" s="87"/>
      <c r="D463" s="87"/>
      <c r="E463" s="87"/>
    </row>
    <row r="464" spans="2:5" x14ac:dyDescent="0.2">
      <c r="B464" s="87"/>
      <c r="C464" s="87"/>
      <c r="D464" s="87"/>
      <c r="E464" s="87"/>
    </row>
    <row r="465" spans="2:5" x14ac:dyDescent="0.2">
      <c r="B465" s="87"/>
      <c r="C465" s="87"/>
      <c r="D465" s="87"/>
      <c r="E465" s="87"/>
    </row>
    <row r="466" spans="2:5" x14ac:dyDescent="0.2">
      <c r="B466" s="87"/>
      <c r="C466" s="87"/>
      <c r="D466" s="87"/>
      <c r="E466" s="87"/>
    </row>
    <row r="467" spans="2:5" x14ac:dyDescent="0.2">
      <c r="B467" s="87"/>
      <c r="C467" s="87"/>
      <c r="D467" s="87"/>
      <c r="E467" s="87"/>
    </row>
    <row r="468" spans="2:5" x14ac:dyDescent="0.2">
      <c r="B468" s="87"/>
      <c r="C468" s="87"/>
      <c r="D468" s="87"/>
      <c r="E468" s="87"/>
    </row>
    <row r="469" spans="2:5" x14ac:dyDescent="0.2">
      <c r="B469" s="87"/>
      <c r="C469" s="87"/>
      <c r="D469" s="87"/>
      <c r="E469" s="87"/>
    </row>
    <row r="470" spans="2:5" x14ac:dyDescent="0.2">
      <c r="B470" s="87"/>
      <c r="C470" s="87"/>
      <c r="D470" s="87"/>
      <c r="E470" s="87"/>
    </row>
    <row r="471" spans="2:5" x14ac:dyDescent="0.2">
      <c r="B471" s="87"/>
      <c r="C471" s="87"/>
      <c r="D471" s="87"/>
      <c r="E471" s="87"/>
    </row>
    <row r="472" spans="2:5" x14ac:dyDescent="0.2">
      <c r="B472" s="87"/>
      <c r="C472" s="87"/>
      <c r="D472" s="87"/>
      <c r="E472" s="87"/>
    </row>
    <row r="473" spans="2:5" x14ac:dyDescent="0.2">
      <c r="B473" s="87"/>
      <c r="C473" s="87"/>
      <c r="D473" s="87"/>
      <c r="E473" s="87"/>
    </row>
    <row r="474" spans="2:5" x14ac:dyDescent="0.2">
      <c r="B474" s="87"/>
      <c r="C474" s="87"/>
      <c r="D474" s="87"/>
      <c r="E474" s="87"/>
    </row>
    <row r="475" spans="2:5" x14ac:dyDescent="0.2">
      <c r="B475" s="87"/>
      <c r="C475" s="87"/>
      <c r="D475" s="87"/>
      <c r="E475" s="87"/>
    </row>
    <row r="476" spans="2:5" x14ac:dyDescent="0.2">
      <c r="B476" s="87"/>
      <c r="C476" s="87"/>
      <c r="D476" s="87"/>
      <c r="E476" s="87"/>
    </row>
    <row r="477" spans="2:5" x14ac:dyDescent="0.2">
      <c r="B477" s="87"/>
      <c r="C477" s="87"/>
      <c r="D477" s="87"/>
      <c r="E477" s="87"/>
    </row>
    <row r="478" spans="2:5" x14ac:dyDescent="0.2">
      <c r="B478" s="87"/>
      <c r="C478" s="87"/>
      <c r="D478" s="87"/>
      <c r="E478" s="87"/>
    </row>
    <row r="479" spans="2:5" x14ac:dyDescent="0.2">
      <c r="B479" s="87"/>
      <c r="C479" s="87"/>
      <c r="D479" s="87"/>
      <c r="E479" s="87"/>
    </row>
    <row r="480" spans="2:5" x14ac:dyDescent="0.2">
      <c r="B480" s="87"/>
      <c r="C480" s="87"/>
      <c r="D480" s="87"/>
      <c r="E480" s="87"/>
    </row>
    <row r="481" spans="2:5" x14ac:dyDescent="0.2">
      <c r="B481" s="87"/>
      <c r="C481" s="87"/>
      <c r="D481" s="87"/>
      <c r="E481" s="87"/>
    </row>
    <row r="482" spans="2:5" x14ac:dyDescent="0.2">
      <c r="B482" s="87"/>
      <c r="C482" s="87"/>
      <c r="D482" s="87"/>
      <c r="E482" s="87"/>
    </row>
    <row r="483" spans="2:5" x14ac:dyDescent="0.2">
      <c r="B483" s="87"/>
      <c r="C483" s="87"/>
      <c r="D483" s="87"/>
      <c r="E483" s="87"/>
    </row>
    <row r="484" spans="2:5" x14ac:dyDescent="0.2">
      <c r="B484" s="87"/>
      <c r="C484" s="87"/>
      <c r="D484" s="87"/>
      <c r="E484" s="87"/>
    </row>
    <row r="485" spans="2:5" x14ac:dyDescent="0.2">
      <c r="B485" s="87"/>
      <c r="C485" s="87"/>
      <c r="D485" s="87"/>
      <c r="E485" s="87"/>
    </row>
    <row r="486" spans="2:5" x14ac:dyDescent="0.2">
      <c r="B486" s="87"/>
      <c r="C486" s="87"/>
      <c r="D486" s="87"/>
      <c r="E486" s="87"/>
    </row>
    <row r="487" spans="2:5" x14ac:dyDescent="0.2">
      <c r="B487" s="87"/>
      <c r="C487" s="87"/>
      <c r="D487" s="87"/>
      <c r="E487" s="87"/>
    </row>
    <row r="488" spans="2:5" x14ac:dyDescent="0.2">
      <c r="B488" s="87"/>
      <c r="C488" s="87"/>
      <c r="D488" s="87"/>
      <c r="E488" s="87"/>
    </row>
    <row r="489" spans="2:5" x14ac:dyDescent="0.2">
      <c r="B489" s="87"/>
      <c r="C489" s="87"/>
      <c r="D489" s="87"/>
      <c r="E489" s="87"/>
    </row>
    <row r="490" spans="2:5" x14ac:dyDescent="0.2">
      <c r="B490" s="87"/>
      <c r="C490" s="87"/>
      <c r="D490" s="87"/>
      <c r="E490" s="87"/>
    </row>
    <row r="491" spans="2:5" x14ac:dyDescent="0.2">
      <c r="B491" s="87"/>
      <c r="C491" s="87"/>
      <c r="D491" s="87"/>
      <c r="E491" s="87"/>
    </row>
    <row r="492" spans="2:5" x14ac:dyDescent="0.2">
      <c r="B492" s="87"/>
      <c r="C492" s="87"/>
      <c r="D492" s="87"/>
      <c r="E492" s="87"/>
    </row>
    <row r="493" spans="2:5" x14ac:dyDescent="0.2">
      <c r="B493" s="87"/>
      <c r="C493" s="87"/>
      <c r="D493" s="87"/>
      <c r="E493" s="87"/>
    </row>
    <row r="494" spans="2:5" x14ac:dyDescent="0.2">
      <c r="B494" s="87"/>
      <c r="C494" s="87"/>
      <c r="D494" s="87"/>
      <c r="E494" s="87"/>
    </row>
    <row r="495" spans="2:5" x14ac:dyDescent="0.2">
      <c r="B495" s="87"/>
      <c r="C495" s="87"/>
      <c r="D495" s="87"/>
      <c r="E495" s="87"/>
    </row>
    <row r="496" spans="2:5" x14ac:dyDescent="0.2">
      <c r="B496" s="87"/>
      <c r="C496" s="87"/>
      <c r="D496" s="87"/>
      <c r="E496" s="87"/>
    </row>
    <row r="497" spans="2:5" x14ac:dyDescent="0.2">
      <c r="B497" s="87"/>
      <c r="C497" s="87"/>
      <c r="D497" s="87"/>
      <c r="E497" s="87"/>
    </row>
    <row r="498" spans="2:5" x14ac:dyDescent="0.2">
      <c r="B498" s="87"/>
      <c r="C498" s="87"/>
      <c r="D498" s="87"/>
      <c r="E498" s="87"/>
    </row>
    <row r="499" spans="2:5" x14ac:dyDescent="0.2">
      <c r="B499" s="87"/>
      <c r="C499" s="87"/>
      <c r="D499" s="87"/>
      <c r="E499" s="87"/>
    </row>
    <row r="500" spans="2:5" x14ac:dyDescent="0.2">
      <c r="B500" s="87"/>
      <c r="C500" s="87"/>
      <c r="D500" s="87"/>
      <c r="E500" s="87"/>
    </row>
    <row r="501" spans="2:5" x14ac:dyDescent="0.2">
      <c r="B501" s="87"/>
      <c r="C501" s="87"/>
      <c r="D501" s="87"/>
      <c r="E501" s="87"/>
    </row>
    <row r="502" spans="2:5" x14ac:dyDescent="0.2">
      <c r="B502" s="87"/>
      <c r="C502" s="87"/>
      <c r="D502" s="87"/>
      <c r="E502" s="87"/>
    </row>
    <row r="503" spans="2:5" x14ac:dyDescent="0.2">
      <c r="B503" s="87"/>
      <c r="C503" s="87"/>
      <c r="D503" s="87"/>
      <c r="E503" s="87"/>
    </row>
    <row r="504" spans="2:5" x14ac:dyDescent="0.2">
      <c r="B504" s="87"/>
      <c r="C504" s="87"/>
      <c r="D504" s="87"/>
      <c r="E504" s="87"/>
    </row>
    <row r="505" spans="2:5" x14ac:dyDescent="0.2">
      <c r="B505" s="87"/>
      <c r="C505" s="87"/>
      <c r="D505" s="87"/>
      <c r="E505" s="87"/>
    </row>
    <row r="506" spans="2:5" x14ac:dyDescent="0.2">
      <c r="B506" s="87"/>
      <c r="C506" s="87"/>
      <c r="D506" s="87"/>
      <c r="E506" s="87"/>
    </row>
    <row r="507" spans="2:5" x14ac:dyDescent="0.2">
      <c r="B507" s="87"/>
      <c r="C507" s="87"/>
      <c r="D507" s="87"/>
      <c r="E507" s="87"/>
    </row>
    <row r="508" spans="2:5" x14ac:dyDescent="0.2">
      <c r="B508" s="87"/>
      <c r="C508" s="87"/>
      <c r="D508" s="87"/>
      <c r="E508" s="87"/>
    </row>
    <row r="509" spans="2:5" x14ac:dyDescent="0.2">
      <c r="B509" s="87"/>
      <c r="C509" s="87"/>
      <c r="D509" s="87"/>
      <c r="E509" s="87"/>
    </row>
    <row r="510" spans="2:5" x14ac:dyDescent="0.2">
      <c r="B510" s="87"/>
      <c r="C510" s="87"/>
      <c r="D510" s="87"/>
      <c r="E510" s="87"/>
    </row>
    <row r="511" spans="2:5" x14ac:dyDescent="0.2">
      <c r="B511" s="87"/>
      <c r="C511" s="87"/>
      <c r="D511" s="87"/>
      <c r="E511" s="87"/>
    </row>
    <row r="512" spans="2:5" x14ac:dyDescent="0.2">
      <c r="B512" s="87"/>
      <c r="C512" s="87"/>
      <c r="D512" s="87"/>
      <c r="E512" s="87"/>
    </row>
    <row r="513" spans="2:5" x14ac:dyDescent="0.2">
      <c r="B513" s="87"/>
      <c r="C513" s="87"/>
      <c r="D513" s="87"/>
      <c r="E513" s="87"/>
    </row>
    <row r="514" spans="2:5" x14ac:dyDescent="0.2">
      <c r="B514" s="87"/>
      <c r="C514" s="87"/>
      <c r="D514" s="87"/>
      <c r="E514" s="87"/>
    </row>
    <row r="515" spans="2:5" x14ac:dyDescent="0.2">
      <c r="B515" s="87"/>
      <c r="C515" s="87"/>
      <c r="D515" s="87"/>
      <c r="E515" s="87"/>
    </row>
    <row r="516" spans="2:5" x14ac:dyDescent="0.2">
      <c r="B516" s="87"/>
      <c r="C516" s="87"/>
      <c r="D516" s="87"/>
      <c r="E516" s="87"/>
    </row>
    <row r="517" spans="2:5" x14ac:dyDescent="0.2">
      <c r="B517" s="87"/>
      <c r="C517" s="87"/>
      <c r="D517" s="87"/>
      <c r="E517" s="87"/>
    </row>
    <row r="518" spans="2:5" x14ac:dyDescent="0.2">
      <c r="B518" s="87"/>
      <c r="C518" s="87"/>
      <c r="D518" s="87"/>
      <c r="E518" s="87"/>
    </row>
    <row r="519" spans="2:5" x14ac:dyDescent="0.2">
      <c r="B519" s="87"/>
      <c r="C519" s="87"/>
      <c r="D519" s="87"/>
      <c r="E519" s="87"/>
    </row>
    <row r="520" spans="2:5" x14ac:dyDescent="0.2">
      <c r="B520" s="87"/>
      <c r="C520" s="87"/>
      <c r="D520" s="87"/>
      <c r="E520" s="87"/>
    </row>
    <row r="521" spans="2:5" x14ac:dyDescent="0.2">
      <c r="B521" s="87"/>
      <c r="C521" s="87"/>
      <c r="D521" s="87"/>
      <c r="E521" s="87"/>
    </row>
    <row r="522" spans="2:5" x14ac:dyDescent="0.2">
      <c r="B522" s="87"/>
      <c r="C522" s="87"/>
      <c r="D522" s="87"/>
      <c r="E522" s="87"/>
    </row>
    <row r="523" spans="2:5" x14ac:dyDescent="0.2">
      <c r="B523" s="87"/>
      <c r="C523" s="87"/>
      <c r="D523" s="87"/>
      <c r="E523" s="87"/>
    </row>
    <row r="524" spans="2:5" x14ac:dyDescent="0.2">
      <c r="B524" s="87"/>
      <c r="C524" s="87"/>
      <c r="D524" s="87"/>
      <c r="E524" s="87"/>
    </row>
    <row r="525" spans="2:5" x14ac:dyDescent="0.2">
      <c r="B525" s="87"/>
      <c r="C525" s="87"/>
      <c r="D525" s="87"/>
      <c r="E525" s="87"/>
    </row>
    <row r="526" spans="2:5" x14ac:dyDescent="0.2">
      <c r="B526" s="87"/>
      <c r="C526" s="87"/>
      <c r="D526" s="87"/>
      <c r="E526" s="87"/>
    </row>
    <row r="527" spans="2:5" x14ac:dyDescent="0.2">
      <c r="B527" s="87"/>
      <c r="C527" s="87"/>
      <c r="D527" s="87"/>
      <c r="E527" s="87"/>
    </row>
    <row r="528" spans="2:5" x14ac:dyDescent="0.2">
      <c r="B528" s="87"/>
      <c r="C528" s="87"/>
      <c r="D528" s="87"/>
      <c r="E528" s="87"/>
    </row>
    <row r="529" spans="2:5" x14ac:dyDescent="0.2">
      <c r="B529" s="87"/>
      <c r="C529" s="87"/>
      <c r="D529" s="87"/>
      <c r="E529" s="87"/>
    </row>
    <row r="530" spans="2:5" x14ac:dyDescent="0.2">
      <c r="B530" s="87"/>
      <c r="C530" s="87"/>
      <c r="D530" s="87"/>
      <c r="E530" s="87"/>
    </row>
    <row r="531" spans="2:5" x14ac:dyDescent="0.2">
      <c r="B531" s="87"/>
      <c r="C531" s="87"/>
      <c r="D531" s="87"/>
      <c r="E531" s="87"/>
    </row>
    <row r="532" spans="2:5" x14ac:dyDescent="0.2">
      <c r="B532" s="87"/>
      <c r="C532" s="87"/>
      <c r="D532" s="87"/>
      <c r="E532" s="87"/>
    </row>
    <row r="533" spans="2:5" x14ac:dyDescent="0.2">
      <c r="B533" s="87"/>
      <c r="C533" s="87"/>
      <c r="D533" s="87"/>
      <c r="E533" s="87"/>
    </row>
    <row r="534" spans="2:5" x14ac:dyDescent="0.2">
      <c r="B534" s="87"/>
      <c r="C534" s="87"/>
      <c r="D534" s="87"/>
      <c r="E534" s="87"/>
    </row>
    <row r="535" spans="2:5" x14ac:dyDescent="0.2">
      <c r="B535" s="87"/>
      <c r="C535" s="87"/>
      <c r="D535" s="87"/>
      <c r="E535" s="87"/>
    </row>
    <row r="536" spans="2:5" x14ac:dyDescent="0.2">
      <c r="B536" s="87"/>
      <c r="C536" s="87"/>
      <c r="D536" s="87"/>
      <c r="E536" s="87"/>
    </row>
    <row r="537" spans="2:5" x14ac:dyDescent="0.2">
      <c r="B537" s="87"/>
      <c r="C537" s="87"/>
      <c r="D537" s="87"/>
      <c r="E537" s="87"/>
    </row>
    <row r="538" spans="2:5" x14ac:dyDescent="0.2">
      <c r="B538" s="87"/>
      <c r="C538" s="87"/>
      <c r="D538" s="87"/>
      <c r="E538" s="87"/>
    </row>
    <row r="539" spans="2:5" x14ac:dyDescent="0.2">
      <c r="B539" s="87"/>
      <c r="C539" s="87"/>
      <c r="D539" s="87"/>
      <c r="E539" s="87"/>
    </row>
    <row r="540" spans="2:5" x14ac:dyDescent="0.2">
      <c r="B540" s="87"/>
      <c r="C540" s="87"/>
      <c r="D540" s="87"/>
      <c r="E540" s="87"/>
    </row>
    <row r="541" spans="2:5" x14ac:dyDescent="0.2">
      <c r="B541" s="87"/>
      <c r="C541" s="87"/>
      <c r="D541" s="87"/>
      <c r="E541" s="87"/>
    </row>
    <row r="542" spans="2:5" x14ac:dyDescent="0.2">
      <c r="B542" s="87"/>
      <c r="C542" s="87"/>
      <c r="D542" s="87"/>
      <c r="E542" s="87"/>
    </row>
    <row r="543" spans="2:5" x14ac:dyDescent="0.2">
      <c r="B543" s="87"/>
      <c r="C543" s="87"/>
      <c r="D543" s="87"/>
      <c r="E543" s="87"/>
    </row>
    <row r="544" spans="2:5" x14ac:dyDescent="0.2">
      <c r="B544" s="87"/>
      <c r="C544" s="87"/>
      <c r="D544" s="87"/>
      <c r="E544" s="87"/>
    </row>
    <row r="545" spans="2:5" x14ac:dyDescent="0.2">
      <c r="B545" s="87"/>
      <c r="C545" s="87"/>
      <c r="D545" s="87"/>
      <c r="E545" s="87"/>
    </row>
    <row r="546" spans="2:5" x14ac:dyDescent="0.2">
      <c r="B546" s="87"/>
      <c r="C546" s="87"/>
      <c r="D546" s="87"/>
      <c r="E546" s="87"/>
    </row>
    <row r="547" spans="2:5" x14ac:dyDescent="0.2">
      <c r="B547" s="87"/>
      <c r="C547" s="87"/>
      <c r="D547" s="87"/>
      <c r="E547" s="87"/>
    </row>
    <row r="548" spans="2:5" x14ac:dyDescent="0.2">
      <c r="B548" s="87"/>
      <c r="C548" s="87"/>
      <c r="D548" s="87"/>
      <c r="E548" s="87"/>
    </row>
    <row r="549" spans="2:5" x14ac:dyDescent="0.2">
      <c r="B549" s="87"/>
      <c r="C549" s="87"/>
      <c r="D549" s="87"/>
      <c r="E549" s="87"/>
    </row>
    <row r="550" spans="2:5" x14ac:dyDescent="0.2">
      <c r="B550" s="87"/>
      <c r="C550" s="87"/>
      <c r="D550" s="87"/>
      <c r="E550" s="87"/>
    </row>
    <row r="551" spans="2:5" x14ac:dyDescent="0.2">
      <c r="B551" s="87"/>
      <c r="C551" s="87"/>
      <c r="D551" s="87"/>
      <c r="E551" s="87"/>
    </row>
    <row r="552" spans="2:5" x14ac:dyDescent="0.2">
      <c r="B552" s="87"/>
      <c r="C552" s="87"/>
      <c r="D552" s="87"/>
      <c r="E552" s="87"/>
    </row>
    <row r="553" spans="2:5" x14ac:dyDescent="0.2">
      <c r="B553" s="87"/>
      <c r="C553" s="87"/>
      <c r="D553" s="87"/>
      <c r="E553" s="87"/>
    </row>
    <row r="554" spans="2:5" x14ac:dyDescent="0.2">
      <c r="B554" s="87"/>
      <c r="C554" s="87"/>
      <c r="D554" s="87"/>
      <c r="E554" s="87"/>
    </row>
    <row r="555" spans="2:5" x14ac:dyDescent="0.2">
      <c r="B555" s="87"/>
      <c r="C555" s="87"/>
      <c r="D555" s="87"/>
      <c r="E555" s="87"/>
    </row>
    <row r="556" spans="2:5" x14ac:dyDescent="0.2">
      <c r="B556" s="87"/>
      <c r="C556" s="87"/>
      <c r="D556" s="87"/>
      <c r="E556" s="87"/>
    </row>
    <row r="557" spans="2:5" x14ac:dyDescent="0.2">
      <c r="B557" s="87"/>
      <c r="C557" s="87"/>
      <c r="D557" s="87"/>
      <c r="E557" s="87"/>
    </row>
    <row r="558" spans="2:5" x14ac:dyDescent="0.2">
      <c r="B558" s="87"/>
      <c r="C558" s="87"/>
      <c r="D558" s="87"/>
      <c r="E558" s="87"/>
    </row>
    <row r="559" spans="2:5" x14ac:dyDescent="0.2">
      <c r="B559" s="87"/>
      <c r="C559" s="87"/>
      <c r="D559" s="87"/>
      <c r="E559" s="87"/>
    </row>
    <row r="560" spans="2:5" x14ac:dyDescent="0.2">
      <c r="B560" s="87"/>
      <c r="C560" s="87"/>
      <c r="D560" s="87"/>
      <c r="E560" s="87"/>
    </row>
    <row r="561" spans="2:5" x14ac:dyDescent="0.2">
      <c r="B561" s="87"/>
      <c r="C561" s="87"/>
      <c r="D561" s="87"/>
      <c r="E561" s="87"/>
    </row>
    <row r="562" spans="2:5" x14ac:dyDescent="0.2">
      <c r="B562" s="87"/>
      <c r="C562" s="87"/>
      <c r="D562" s="87"/>
      <c r="E562" s="87"/>
    </row>
    <row r="563" spans="2:5" x14ac:dyDescent="0.2">
      <c r="B563" s="87"/>
      <c r="C563" s="87"/>
      <c r="D563" s="87"/>
      <c r="E563" s="87"/>
    </row>
    <row r="564" spans="2:5" x14ac:dyDescent="0.2">
      <c r="B564" s="87"/>
      <c r="C564" s="87"/>
      <c r="D564" s="87"/>
      <c r="E564" s="87"/>
    </row>
    <row r="565" spans="2:5" x14ac:dyDescent="0.2">
      <c r="B565" s="87"/>
      <c r="C565" s="87"/>
      <c r="D565" s="87"/>
      <c r="E565" s="87"/>
    </row>
    <row r="566" spans="2:5" x14ac:dyDescent="0.2">
      <c r="B566" s="87"/>
      <c r="C566" s="87"/>
      <c r="D566" s="87"/>
      <c r="E566" s="87"/>
    </row>
    <row r="567" spans="2:5" x14ac:dyDescent="0.2">
      <c r="B567" s="87"/>
      <c r="C567" s="87"/>
      <c r="D567" s="87"/>
      <c r="E567" s="87"/>
    </row>
    <row r="568" spans="2:5" x14ac:dyDescent="0.2">
      <c r="B568" s="87"/>
      <c r="C568" s="87"/>
      <c r="D568" s="87"/>
      <c r="E568" s="87"/>
    </row>
    <row r="569" spans="2:5" x14ac:dyDescent="0.2">
      <c r="B569" s="87"/>
      <c r="C569" s="87"/>
      <c r="D569" s="87"/>
      <c r="E569" s="87"/>
    </row>
    <row r="570" spans="2:5" x14ac:dyDescent="0.2">
      <c r="B570" s="87"/>
      <c r="C570" s="87"/>
      <c r="D570" s="87"/>
      <c r="E570" s="87"/>
    </row>
    <row r="571" spans="2:5" x14ac:dyDescent="0.2">
      <c r="B571" s="87"/>
      <c r="C571" s="87"/>
      <c r="D571" s="87"/>
      <c r="E571" s="87"/>
    </row>
    <row r="572" spans="2:5" x14ac:dyDescent="0.2">
      <c r="B572" s="87"/>
      <c r="C572" s="87"/>
      <c r="D572" s="87"/>
      <c r="E572" s="87"/>
    </row>
    <row r="573" spans="2:5" x14ac:dyDescent="0.2">
      <c r="B573" s="87"/>
      <c r="C573" s="87"/>
      <c r="D573" s="87"/>
      <c r="E573" s="87"/>
    </row>
    <row r="574" spans="2:5" x14ac:dyDescent="0.2">
      <c r="B574" s="87"/>
      <c r="C574" s="87"/>
      <c r="D574" s="87"/>
      <c r="E574" s="87"/>
    </row>
    <row r="575" spans="2:5" x14ac:dyDescent="0.2">
      <c r="B575" s="87"/>
      <c r="C575" s="87"/>
      <c r="D575" s="87"/>
      <c r="E575" s="87"/>
    </row>
    <row r="576" spans="2:5" x14ac:dyDescent="0.2">
      <c r="B576" s="87"/>
      <c r="C576" s="87"/>
      <c r="D576" s="87"/>
      <c r="E576" s="87"/>
    </row>
    <row r="577" spans="2:5" x14ac:dyDescent="0.2">
      <c r="B577" s="87"/>
      <c r="C577" s="87"/>
      <c r="D577" s="87"/>
      <c r="E577" s="87"/>
    </row>
    <row r="578" spans="2:5" x14ac:dyDescent="0.2">
      <c r="B578" s="87"/>
      <c r="C578" s="87"/>
      <c r="D578" s="87"/>
      <c r="E578" s="87"/>
    </row>
    <row r="579" spans="2:5" x14ac:dyDescent="0.2">
      <c r="B579" s="87"/>
      <c r="C579" s="87"/>
      <c r="D579" s="87"/>
      <c r="E579" s="87"/>
    </row>
    <row r="580" spans="2:5" x14ac:dyDescent="0.2">
      <c r="B580" s="87"/>
      <c r="C580" s="87"/>
      <c r="D580" s="87"/>
      <c r="E580" s="87"/>
    </row>
    <row r="581" spans="2:5" x14ac:dyDescent="0.2">
      <c r="B581" s="87"/>
      <c r="C581" s="87"/>
      <c r="D581" s="87"/>
      <c r="E581" s="87"/>
    </row>
    <row r="582" spans="2:5" x14ac:dyDescent="0.2">
      <c r="B582" s="87"/>
      <c r="C582" s="87"/>
      <c r="D582" s="87"/>
      <c r="E582" s="87"/>
    </row>
    <row r="583" spans="2:5" x14ac:dyDescent="0.2">
      <c r="B583" s="87"/>
      <c r="C583" s="87"/>
      <c r="D583" s="87"/>
      <c r="E583" s="87"/>
    </row>
    <row r="584" spans="2:5" x14ac:dyDescent="0.2">
      <c r="B584" s="87"/>
      <c r="C584" s="87"/>
      <c r="D584" s="87"/>
      <c r="E584" s="87"/>
    </row>
    <row r="585" spans="2:5" x14ac:dyDescent="0.2">
      <c r="B585" s="87"/>
      <c r="C585" s="87"/>
      <c r="D585" s="87"/>
      <c r="E585" s="87"/>
    </row>
    <row r="586" spans="2:5" x14ac:dyDescent="0.2">
      <c r="B586" s="87"/>
      <c r="C586" s="87"/>
      <c r="D586" s="87"/>
      <c r="E586" s="87"/>
    </row>
    <row r="587" spans="2:5" x14ac:dyDescent="0.2">
      <c r="B587" s="87"/>
      <c r="C587" s="87"/>
      <c r="D587" s="87"/>
      <c r="E587" s="87"/>
    </row>
    <row r="588" spans="2:5" x14ac:dyDescent="0.2">
      <c r="B588" s="87"/>
      <c r="C588" s="87"/>
      <c r="D588" s="87"/>
      <c r="E588" s="87"/>
    </row>
    <row r="589" spans="2:5" x14ac:dyDescent="0.2">
      <c r="B589" s="87"/>
      <c r="C589" s="87"/>
      <c r="D589" s="87"/>
      <c r="E589" s="87"/>
    </row>
    <row r="590" spans="2:5" x14ac:dyDescent="0.2">
      <c r="B590" s="87"/>
      <c r="C590" s="87"/>
      <c r="D590" s="87"/>
      <c r="E590" s="87"/>
    </row>
    <row r="591" spans="2:5" x14ac:dyDescent="0.2">
      <c r="B591" s="87"/>
      <c r="C591" s="87"/>
      <c r="D591" s="87"/>
      <c r="E591" s="87"/>
    </row>
    <row r="592" spans="2:5" x14ac:dyDescent="0.2">
      <c r="B592" s="87"/>
      <c r="C592" s="87"/>
      <c r="D592" s="87"/>
      <c r="E592" s="87"/>
    </row>
    <row r="593" spans="2:5" x14ac:dyDescent="0.2">
      <c r="B593" s="87"/>
      <c r="C593" s="87"/>
      <c r="D593" s="87"/>
      <c r="E593" s="87"/>
    </row>
    <row r="594" spans="2:5" x14ac:dyDescent="0.2">
      <c r="B594" s="87"/>
      <c r="C594" s="87"/>
      <c r="D594" s="87"/>
      <c r="E594" s="87"/>
    </row>
    <row r="595" spans="2:5" x14ac:dyDescent="0.2">
      <c r="B595" s="87"/>
      <c r="C595" s="87"/>
      <c r="D595" s="87"/>
      <c r="E595" s="87"/>
    </row>
    <row r="596" spans="2:5" x14ac:dyDescent="0.2">
      <c r="B596" s="87"/>
      <c r="C596" s="87"/>
      <c r="D596" s="87"/>
      <c r="E596" s="87"/>
    </row>
    <row r="597" spans="2:5" x14ac:dyDescent="0.2">
      <c r="B597" s="87"/>
      <c r="C597" s="87"/>
      <c r="D597" s="87"/>
      <c r="E597" s="87"/>
    </row>
    <row r="598" spans="2:5" x14ac:dyDescent="0.2">
      <c r="B598" s="87"/>
      <c r="C598" s="87"/>
      <c r="D598" s="87"/>
      <c r="E598" s="87"/>
    </row>
    <row r="599" spans="2:5" x14ac:dyDescent="0.2">
      <c r="B599" s="87"/>
      <c r="C599" s="87"/>
      <c r="D599" s="87"/>
      <c r="E599" s="87"/>
    </row>
    <row r="600" spans="2:5" x14ac:dyDescent="0.2">
      <c r="B600" s="87"/>
      <c r="C600" s="87"/>
      <c r="D600" s="87"/>
      <c r="E600" s="87"/>
    </row>
    <row r="601" spans="2:5" x14ac:dyDescent="0.2">
      <c r="B601" s="87"/>
      <c r="C601" s="87"/>
      <c r="D601" s="87"/>
      <c r="E601" s="87"/>
    </row>
    <row r="602" spans="2:5" x14ac:dyDescent="0.2">
      <c r="B602" s="87"/>
      <c r="C602" s="87"/>
      <c r="D602" s="87"/>
      <c r="E602" s="87"/>
    </row>
    <row r="603" spans="2:5" x14ac:dyDescent="0.2">
      <c r="B603" s="87"/>
      <c r="C603" s="87"/>
      <c r="D603" s="87"/>
      <c r="E603" s="87"/>
    </row>
    <row r="604" spans="2:5" x14ac:dyDescent="0.2">
      <c r="B604" s="87"/>
      <c r="C604" s="87"/>
      <c r="D604" s="87"/>
      <c r="E604" s="87"/>
    </row>
    <row r="605" spans="2:5" x14ac:dyDescent="0.2">
      <c r="B605" s="87"/>
      <c r="C605" s="87"/>
      <c r="D605" s="87"/>
      <c r="E605" s="87"/>
    </row>
    <row r="606" spans="2:5" x14ac:dyDescent="0.2">
      <c r="B606" s="87"/>
      <c r="C606" s="87"/>
      <c r="D606" s="87"/>
      <c r="E606" s="87"/>
    </row>
    <row r="607" spans="2:5" x14ac:dyDescent="0.2">
      <c r="B607" s="87"/>
      <c r="C607" s="87"/>
      <c r="D607" s="87"/>
      <c r="E607" s="87"/>
    </row>
    <row r="608" spans="2:5" x14ac:dyDescent="0.2">
      <c r="B608" s="87"/>
      <c r="C608" s="87"/>
      <c r="D608" s="87"/>
      <c r="E608" s="87"/>
    </row>
    <row r="609" spans="2:5" x14ac:dyDescent="0.2">
      <c r="B609" s="87"/>
      <c r="C609" s="87"/>
      <c r="D609" s="87"/>
      <c r="E609" s="87"/>
    </row>
    <row r="610" spans="2:5" x14ac:dyDescent="0.2">
      <c r="B610" s="87"/>
      <c r="C610" s="87"/>
      <c r="D610" s="87"/>
      <c r="E610" s="87"/>
    </row>
    <row r="611" spans="2:5" x14ac:dyDescent="0.2">
      <c r="B611" s="87"/>
      <c r="C611" s="87"/>
      <c r="D611" s="87"/>
      <c r="E611" s="87"/>
    </row>
    <row r="612" spans="2:5" x14ac:dyDescent="0.2">
      <c r="B612" s="87"/>
      <c r="C612" s="87"/>
      <c r="D612" s="87"/>
      <c r="E612" s="87"/>
    </row>
    <row r="613" spans="2:5" x14ac:dyDescent="0.2">
      <c r="B613" s="87"/>
      <c r="C613" s="87"/>
      <c r="D613" s="87"/>
      <c r="E613" s="87"/>
    </row>
    <row r="614" spans="2:5" x14ac:dyDescent="0.2">
      <c r="B614" s="87"/>
      <c r="C614" s="87"/>
      <c r="D614" s="87"/>
      <c r="E614" s="87"/>
    </row>
    <row r="615" spans="2:5" x14ac:dyDescent="0.2">
      <c r="B615" s="87"/>
      <c r="C615" s="87"/>
      <c r="D615" s="87"/>
      <c r="E615" s="87"/>
    </row>
    <row r="616" spans="2:5" x14ac:dyDescent="0.2">
      <c r="B616" s="87"/>
      <c r="C616" s="87"/>
      <c r="D616" s="87"/>
      <c r="E616" s="87"/>
    </row>
    <row r="617" spans="2:5" x14ac:dyDescent="0.2">
      <c r="B617" s="87"/>
      <c r="C617" s="87"/>
      <c r="D617" s="87"/>
      <c r="E617" s="87"/>
    </row>
    <row r="618" spans="2:5" x14ac:dyDescent="0.2">
      <c r="B618" s="87"/>
      <c r="C618" s="87"/>
      <c r="D618" s="87"/>
      <c r="E618" s="87"/>
    </row>
    <row r="619" spans="2:5" x14ac:dyDescent="0.2">
      <c r="B619" s="87"/>
      <c r="C619" s="87"/>
      <c r="D619" s="87"/>
      <c r="E619" s="87"/>
    </row>
    <row r="620" spans="2:5" x14ac:dyDescent="0.2">
      <c r="B620" s="87"/>
      <c r="C620" s="87"/>
      <c r="D620" s="87"/>
      <c r="E620" s="87"/>
    </row>
    <row r="621" spans="2:5" x14ac:dyDescent="0.2">
      <c r="B621" s="87"/>
      <c r="C621" s="87"/>
      <c r="D621" s="87"/>
      <c r="E621" s="87"/>
    </row>
    <row r="622" spans="2:5" x14ac:dyDescent="0.2">
      <c r="B622" s="87"/>
      <c r="C622" s="87"/>
      <c r="D622" s="87"/>
      <c r="E622" s="87"/>
    </row>
    <row r="623" spans="2:5" x14ac:dyDescent="0.2">
      <c r="B623" s="87"/>
      <c r="C623" s="87"/>
      <c r="D623" s="87"/>
      <c r="E623" s="87"/>
    </row>
    <row r="624" spans="2:5" x14ac:dyDescent="0.2">
      <c r="B624" s="87"/>
      <c r="C624" s="87"/>
      <c r="D624" s="87"/>
      <c r="E624" s="87"/>
    </row>
    <row r="625" spans="2:5" x14ac:dyDescent="0.2">
      <c r="B625" s="87"/>
      <c r="C625" s="87"/>
      <c r="D625" s="87"/>
      <c r="E625" s="87"/>
    </row>
    <row r="626" spans="2:5" x14ac:dyDescent="0.2">
      <c r="B626" s="87"/>
      <c r="C626" s="87"/>
      <c r="D626" s="87"/>
      <c r="E626" s="87"/>
    </row>
  </sheetData>
  <sheetProtection password="DC1E" sheet="1" objects="1" scenarios="1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B1:AI24"/>
  <sheetViews>
    <sheetView showGridLines="0" zoomScale="70" zoomScaleNormal="70" workbookViewId="0">
      <selection activeCell="D13" sqref="D13"/>
    </sheetView>
  </sheetViews>
  <sheetFormatPr defaultColWidth="9.33203125" defaultRowHeight="12.75" x14ac:dyDescent="0.2"/>
  <cols>
    <col min="1" max="4" width="9.33203125" style="9"/>
    <col min="5" max="5" width="12.33203125" style="9" customWidth="1"/>
    <col min="6" max="16" width="9.33203125" style="9"/>
    <col min="17" max="17" width="8.33203125" style="9" customWidth="1"/>
    <col min="18" max="18" width="6" style="9" customWidth="1"/>
    <col min="19" max="19" width="5.33203125" style="9" customWidth="1"/>
    <col min="20" max="25" width="9.33203125" style="9"/>
    <col min="26" max="26" width="3.5" style="9" customWidth="1"/>
    <col min="27" max="16384" width="9.33203125" style="9"/>
  </cols>
  <sheetData>
    <row r="1" spans="2:35" x14ac:dyDescent="0.2">
      <c r="W1" s="51"/>
      <c r="X1" s="51"/>
      <c r="Y1" s="51"/>
      <c r="Z1" s="51"/>
      <c r="AA1" s="51"/>
      <c r="AB1" s="51"/>
      <c r="AC1" s="51"/>
    </row>
    <row r="2" spans="2:35" x14ac:dyDescent="0.2">
      <c r="W2" s="51"/>
      <c r="X2" s="51"/>
      <c r="Y2" s="51"/>
      <c r="Z2" s="51"/>
      <c r="AA2" s="51"/>
      <c r="AB2" s="51"/>
      <c r="AC2" s="51"/>
      <c r="AD2" s="51"/>
    </row>
    <row r="3" spans="2:35" x14ac:dyDescent="0.2">
      <c r="U3" s="52" t="s">
        <v>160</v>
      </c>
      <c r="V3" s="51"/>
      <c r="W3" s="51"/>
      <c r="X3" s="51"/>
      <c r="Y3" s="53"/>
      <c r="Z3" s="53"/>
      <c r="AA3" s="53"/>
      <c r="AB3" s="53"/>
      <c r="AC3" s="53"/>
      <c r="AD3" s="53"/>
      <c r="AE3" s="53"/>
      <c r="AF3" s="53"/>
      <c r="AG3" s="51"/>
      <c r="AH3" s="51"/>
      <c r="AI3" s="51"/>
    </row>
    <row r="4" spans="2:35" x14ac:dyDescent="0.2">
      <c r="B4" s="54" t="s">
        <v>135</v>
      </c>
      <c r="U4" s="55">
        <f>Calcolo1!D8/2+F6*2</f>
        <v>80.000500000000002</v>
      </c>
      <c r="V4" s="136" t="s">
        <v>161</v>
      </c>
      <c r="W4" s="56" t="e">
        <f>calcoloPunti!D13+'Sviluppo lato lungo'!F6</f>
        <v>#DIV/0!</v>
      </c>
      <c r="X4" s="137" t="s">
        <v>162</v>
      </c>
      <c r="Y4" s="159" t="e">
        <f>W4-120</f>
        <v>#DIV/0!</v>
      </c>
      <c r="Z4" s="53"/>
      <c r="AA4" s="53"/>
      <c r="AB4" s="53"/>
      <c r="AC4" s="53"/>
      <c r="AD4" s="53"/>
      <c r="AE4" s="53"/>
      <c r="AF4" s="53"/>
      <c r="AG4" s="51"/>
      <c r="AH4" s="51"/>
      <c r="AI4" s="51"/>
    </row>
    <row r="5" spans="2:35" ht="13.5" thickBot="1" x14ac:dyDescent="0.25">
      <c r="U5" s="55" t="e">
        <f>T10+U6+calcoloPunti!D13+F6</f>
        <v>#VALUE!</v>
      </c>
      <c r="V5" s="136" t="s">
        <v>163</v>
      </c>
      <c r="W5" s="56"/>
      <c r="X5" s="51"/>
      <c r="Y5" s="159" t="e">
        <f>U5</f>
        <v>#VALUE!</v>
      </c>
      <c r="Z5" s="53"/>
      <c r="AA5" s="53" t="s">
        <v>280</v>
      </c>
      <c r="AB5" s="53"/>
      <c r="AC5" s="53"/>
      <c r="AD5" s="53"/>
      <c r="AE5" s="53"/>
      <c r="AF5" s="53"/>
    </row>
    <row r="6" spans="2:35" ht="21" thickBot="1" x14ac:dyDescent="0.35">
      <c r="B6" s="57" t="s">
        <v>164</v>
      </c>
      <c r="F6" s="143">
        <v>40</v>
      </c>
      <c r="U6" s="55" t="e">
        <f>Calcolo1!D7-120-50</f>
        <v>#VALUE!</v>
      </c>
      <c r="V6" s="137" t="s">
        <v>8</v>
      </c>
      <c r="W6" s="51"/>
      <c r="X6" s="62"/>
      <c r="Y6" s="53" t="s">
        <v>165</v>
      </c>
      <c r="Z6" s="53"/>
      <c r="AA6" s="53" t="s">
        <v>281</v>
      </c>
      <c r="AB6" s="53"/>
      <c r="AC6" s="53"/>
      <c r="AD6" s="53"/>
      <c r="AE6" s="53"/>
      <c r="AF6" s="53"/>
    </row>
    <row r="7" spans="2:35" x14ac:dyDescent="0.2">
      <c r="V7" s="51"/>
      <c r="W7" s="51"/>
      <c r="X7" s="159" t="e">
        <f>calcoloPunti!D13/(Y11+1)</f>
        <v>#DIV/0!</v>
      </c>
      <c r="Y7" s="159" t="e">
        <f>calcoloPunti!D35/(Y11+1)</f>
        <v>#DIV/0!</v>
      </c>
      <c r="Z7" s="53"/>
      <c r="AA7" s="159" t="e">
        <f>STXVOLUME!L87+STXVOLUME!L89</f>
        <v>#VALUE!</v>
      </c>
      <c r="AB7" s="53"/>
      <c r="AC7" s="53"/>
      <c r="AD7" s="53"/>
      <c r="AE7" s="53"/>
      <c r="AF7" s="53"/>
    </row>
    <row r="8" spans="2:35" ht="18.75" thickBot="1" x14ac:dyDescent="0.3">
      <c r="T8" s="26"/>
      <c r="V8" s="51"/>
      <c r="W8" s="51"/>
      <c r="X8" s="51"/>
      <c r="Y8" s="53" t="e">
        <f>IF(Calcolo1!Q16&lt;14,0,IF(Calcolo1!Q16&lt;25,1,IF(Calcolo1!Q16&lt;35,2,IF(Calcolo1!Q16&lt;45,3,4))))</f>
        <v>#VALUE!</v>
      </c>
      <c r="Z8" s="53"/>
      <c r="AA8" s="53"/>
      <c r="AB8" s="53"/>
      <c r="AC8" s="53"/>
      <c r="AD8" s="53"/>
      <c r="AE8" s="53"/>
      <c r="AF8" s="53"/>
      <c r="AG8" s="51"/>
      <c r="AH8" s="51"/>
      <c r="AI8" s="51"/>
    </row>
    <row r="9" spans="2:35" ht="18" x14ac:dyDescent="0.25">
      <c r="T9" s="58">
        <f>STXVOLUME!$I$34</f>
        <v>70</v>
      </c>
      <c r="U9" s="59" t="s">
        <v>166</v>
      </c>
      <c r="V9" s="51"/>
      <c r="W9" s="51"/>
      <c r="X9" s="51"/>
      <c r="Y9" s="159" t="e">
        <f>(calcoloPunti!D35+calcoloPunti!D13)/2</f>
        <v>#DIV/0!</v>
      </c>
      <c r="Z9" s="53"/>
      <c r="AA9" s="53"/>
      <c r="AB9" s="53"/>
      <c r="AC9" s="53"/>
      <c r="AD9" s="53"/>
      <c r="AE9" s="53"/>
      <c r="AF9" s="53"/>
      <c r="AG9" s="51"/>
      <c r="AH9" s="51"/>
      <c r="AI9" s="51"/>
    </row>
    <row r="10" spans="2:35" ht="18" x14ac:dyDescent="0.25">
      <c r="T10" s="60">
        <f>T11/2+50-T9/2+Calcolo1!D18</f>
        <v>295</v>
      </c>
      <c r="U10" s="59" t="s">
        <v>167</v>
      </c>
      <c r="V10" s="51"/>
      <c r="W10" s="51"/>
      <c r="X10" s="51"/>
      <c r="Y10" s="160" t="e">
        <f>IF(Calcolo1!Q16&lt;15,0,IF(U6/Y9&lt;2,1,IF(U6/Y9&lt;3,1.05,IF(U6/Y9&lt;4,1.1,IF(U6/Y9&lt;5,1.2,1.3)))))</f>
        <v>#VALUE!</v>
      </c>
      <c r="Z10" s="53"/>
      <c r="AA10" s="53"/>
      <c r="AB10" s="53"/>
      <c r="AC10" s="53"/>
      <c r="AD10" s="53"/>
      <c r="AE10" s="53"/>
      <c r="AF10" s="53"/>
      <c r="AG10" s="51"/>
      <c r="AH10" s="51"/>
      <c r="AI10" s="51"/>
    </row>
    <row r="11" spans="2:35" ht="18" x14ac:dyDescent="0.25">
      <c r="T11" s="60">
        <f>ROUND((6*T9*1.1+40)/10,0)*10</f>
        <v>500</v>
      </c>
      <c r="U11" s="59" t="s">
        <v>168</v>
      </c>
      <c r="V11" s="51"/>
      <c r="W11" s="51"/>
      <c r="X11" s="51"/>
      <c r="Y11" s="159" t="e">
        <f>MIN(CEILING(Y10*Y8,1),4)</f>
        <v>#VALUE!</v>
      </c>
      <c r="Z11" s="53"/>
      <c r="AA11" s="53"/>
      <c r="AB11" s="53"/>
      <c r="AC11" s="53"/>
      <c r="AD11" s="53"/>
      <c r="AE11" s="53"/>
      <c r="AF11" s="53"/>
      <c r="AG11" s="51"/>
      <c r="AH11" s="51"/>
      <c r="AI11" s="51"/>
    </row>
    <row r="12" spans="2:35" ht="18" x14ac:dyDescent="0.25">
      <c r="T12" s="60">
        <f>IF(AND((T9/100)&gt;=0.5,(T9/100)&lt;=1),(Calcolo1!D8-550)/2,IF(AND((T9/100)&gt;=1.1,(T9/100)&lt;=1.5),(Calcolo1!D8-850)/2,"Errore (controllare altezza ferro)"))</f>
        <v>-274.99950000000001</v>
      </c>
      <c r="U12" s="59" t="s">
        <v>169</v>
      </c>
      <c r="V12" s="51"/>
      <c r="W12" s="51"/>
      <c r="X12" s="51"/>
      <c r="Y12" s="62"/>
      <c r="Z12" s="51"/>
      <c r="AA12" s="51"/>
      <c r="AB12" s="51"/>
      <c r="AC12" s="51"/>
      <c r="AD12" s="51"/>
      <c r="AE12" s="51"/>
      <c r="AF12" s="51"/>
      <c r="AG12" s="51"/>
      <c r="AH12" s="51"/>
      <c r="AI12" s="51"/>
    </row>
    <row r="13" spans="2:35" ht="18.75" thickBot="1" x14ac:dyDescent="0.3">
      <c r="T13" s="61">
        <f>IF(AND((T9/100)&gt;=0.5,(T9/100)&lt;=1),(Calcolo1!D8-500)/2,IF(AND((T9/100)&gt;=1.1,(T9/100)&lt;=1.5),(Calcolo1!D8-650)/2,"Errore (controllare altezza ferro)"))</f>
        <v>-249.99950000000001</v>
      </c>
      <c r="U13" s="59" t="s">
        <v>170</v>
      </c>
      <c r="V13" s="138"/>
      <c r="W13" s="51"/>
      <c r="X13" s="51"/>
      <c r="Y13" s="62"/>
      <c r="Z13" s="51"/>
      <c r="AA13" s="51"/>
      <c r="AB13" s="51"/>
      <c r="AC13" s="51"/>
      <c r="AD13" s="51"/>
      <c r="AE13" s="51"/>
      <c r="AF13" s="51"/>
      <c r="AG13" s="51"/>
      <c r="AH13" s="51"/>
      <c r="AI13" s="51"/>
    </row>
    <row r="14" spans="2:35" x14ac:dyDescent="0.2"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</row>
    <row r="15" spans="2:35" x14ac:dyDescent="0.2"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</row>
    <row r="16" spans="2:35" x14ac:dyDescent="0.2"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</row>
    <row r="17" spans="22:35" x14ac:dyDescent="0.2"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</row>
    <row r="18" spans="22:35" x14ac:dyDescent="0.2"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</row>
    <row r="19" spans="22:35" x14ac:dyDescent="0.2">
      <c r="V19" s="586" t="s">
        <v>171</v>
      </c>
      <c r="W19" s="587"/>
      <c r="X19" s="587"/>
      <c r="Y19" s="587"/>
      <c r="Z19" s="588"/>
      <c r="AA19" s="51"/>
      <c r="AB19" s="51"/>
      <c r="AC19" s="51"/>
      <c r="AD19" s="51"/>
      <c r="AE19" s="51"/>
      <c r="AF19" s="51"/>
      <c r="AG19" s="51"/>
      <c r="AH19" s="51"/>
      <c r="AI19" s="51"/>
    </row>
    <row r="20" spans="22:35" x14ac:dyDescent="0.2">
      <c r="V20" s="589"/>
      <c r="W20" s="590"/>
      <c r="X20" s="590"/>
      <c r="Y20" s="590"/>
      <c r="Z20" s="591"/>
      <c r="AA20" s="51"/>
      <c r="AB20" s="51"/>
      <c r="AC20" s="51"/>
      <c r="AD20" s="51"/>
      <c r="AE20" s="51"/>
      <c r="AF20" s="51"/>
      <c r="AG20" s="51"/>
      <c r="AH20" s="51"/>
      <c r="AI20" s="51"/>
    </row>
    <row r="21" spans="22:35" x14ac:dyDescent="0.2">
      <c r="V21" s="592"/>
      <c r="W21" s="593"/>
      <c r="X21" s="593"/>
      <c r="Y21" s="593"/>
      <c r="Z21" s="591"/>
      <c r="AA21" s="51"/>
      <c r="AB21" s="51"/>
      <c r="AC21" s="51"/>
      <c r="AD21" s="51"/>
      <c r="AE21" s="51"/>
      <c r="AF21" s="51"/>
      <c r="AG21" s="51"/>
      <c r="AH21" s="51"/>
      <c r="AI21" s="51"/>
    </row>
    <row r="22" spans="22:35" x14ac:dyDescent="0.2">
      <c r="V22" s="139"/>
      <c r="W22" s="594" t="e">
        <f>Y11</f>
        <v>#VALUE!</v>
      </c>
      <c r="X22" s="595"/>
      <c r="Y22" s="51"/>
      <c r="Z22" s="140"/>
      <c r="AA22" s="51"/>
      <c r="AB22" s="51"/>
      <c r="AC22" s="51"/>
      <c r="AD22" s="51"/>
      <c r="AE22" s="51"/>
      <c r="AF22" s="51"/>
      <c r="AG22" s="51"/>
      <c r="AH22" s="51"/>
      <c r="AI22" s="51"/>
    </row>
    <row r="23" spans="22:35" x14ac:dyDescent="0.2">
      <c r="V23" s="139"/>
      <c r="W23" s="596"/>
      <c r="X23" s="597"/>
      <c r="Y23" s="51"/>
      <c r="Z23" s="140"/>
      <c r="AA23" s="51"/>
      <c r="AB23" s="51"/>
      <c r="AC23" s="51"/>
      <c r="AD23" s="51"/>
      <c r="AE23" s="51"/>
      <c r="AF23" s="51"/>
      <c r="AG23" s="51"/>
      <c r="AH23" s="51"/>
      <c r="AI23" s="51"/>
    </row>
    <row r="24" spans="22:35" x14ac:dyDescent="0.2">
      <c r="V24" s="65"/>
      <c r="W24" s="66"/>
      <c r="X24" s="66"/>
      <c r="Y24" s="66"/>
      <c r="Z24" s="67"/>
    </row>
  </sheetData>
  <sheetProtection password="DC9E" sheet="1" objects="1" scenarios="1"/>
  <mergeCells count="2">
    <mergeCell ref="V19:Z21"/>
    <mergeCell ref="W22:X23"/>
  </mergeCells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2:AE33"/>
  <sheetViews>
    <sheetView showGridLines="0" zoomScale="85" zoomScaleNormal="85" workbookViewId="0">
      <selection activeCell="D13" sqref="D13"/>
    </sheetView>
  </sheetViews>
  <sheetFormatPr defaultColWidth="9.33203125" defaultRowHeight="12.75" x14ac:dyDescent="0.2"/>
  <cols>
    <col min="1" max="4" width="9.33203125" style="9"/>
    <col min="5" max="5" width="12.33203125" style="9" customWidth="1"/>
    <col min="6" max="16" width="9.33203125" style="9"/>
    <col min="17" max="17" width="7.33203125" style="9" customWidth="1"/>
    <col min="18" max="18" width="8.5" style="9" customWidth="1"/>
    <col min="19" max="19" width="5.33203125" style="9" customWidth="1"/>
    <col min="20" max="16384" width="9.33203125" style="9"/>
  </cols>
  <sheetData>
    <row r="2" spans="2:31" x14ac:dyDescent="0.2">
      <c r="W2" s="53"/>
      <c r="X2" s="53"/>
      <c r="Y2" s="53"/>
      <c r="Z2" s="53"/>
      <c r="AA2" s="53"/>
    </row>
    <row r="3" spans="2:31" x14ac:dyDescent="0.2">
      <c r="U3" s="52" t="s">
        <v>172</v>
      </c>
      <c r="V3" s="51"/>
      <c r="W3" s="51"/>
      <c r="X3" s="51"/>
      <c r="Y3" s="51"/>
      <c r="Z3" s="51"/>
      <c r="AA3" s="51"/>
      <c r="AB3" s="51"/>
      <c r="AC3" s="51"/>
      <c r="AD3" s="51"/>
      <c r="AE3" s="51"/>
    </row>
    <row r="4" spans="2:31" x14ac:dyDescent="0.2">
      <c r="B4" s="54"/>
      <c r="U4" s="55">
        <f>Calcolo1!D9/2+F6*2</f>
        <v>80.000500000000002</v>
      </c>
      <c r="V4" s="136" t="s">
        <v>161</v>
      </c>
      <c r="W4" s="161" t="e">
        <f>calcoloPunti!K13+F6</f>
        <v>#DIV/0!</v>
      </c>
      <c r="X4" s="53" t="s">
        <v>162</v>
      </c>
      <c r="Y4" s="159" t="e">
        <f>W4-120</f>
        <v>#DIV/0!</v>
      </c>
      <c r="Z4" s="53"/>
      <c r="AA4" s="53"/>
      <c r="AB4" s="51"/>
      <c r="AC4" s="51"/>
      <c r="AD4" s="51"/>
      <c r="AE4" s="51"/>
    </row>
    <row r="5" spans="2:31" ht="13.5" thickBot="1" x14ac:dyDescent="0.25">
      <c r="U5" s="55" t="e">
        <f>calcoloPunti!K13+U6+F6+T10</f>
        <v>#DIV/0!</v>
      </c>
      <c r="V5" s="136" t="s">
        <v>163</v>
      </c>
      <c r="W5" s="51"/>
      <c r="X5" s="53"/>
      <c r="Y5" s="159" t="e">
        <f>U5</f>
        <v>#DIV/0!</v>
      </c>
      <c r="Z5" s="53"/>
      <c r="AA5" s="53"/>
      <c r="AB5" s="51"/>
      <c r="AC5" s="51"/>
      <c r="AD5" s="51"/>
      <c r="AE5" s="51"/>
    </row>
    <row r="6" spans="2:31" ht="21" thickBot="1" x14ac:dyDescent="0.35">
      <c r="B6" s="57" t="s">
        <v>164</v>
      </c>
      <c r="F6" s="68">
        <f>'Sviluppo lato lungo'!F6</f>
        <v>40</v>
      </c>
      <c r="U6" s="55" t="e">
        <f>Calcolo1!D7-120-50</f>
        <v>#VALUE!</v>
      </c>
      <c r="V6" s="137" t="s">
        <v>8</v>
      </c>
      <c r="W6" s="51"/>
      <c r="X6" s="53"/>
      <c r="Y6" s="159" t="e">
        <f>U6+120</f>
        <v>#VALUE!</v>
      </c>
      <c r="Z6" s="53" t="s">
        <v>165</v>
      </c>
      <c r="AA6" s="53"/>
      <c r="AB6" s="51"/>
      <c r="AC6" s="51"/>
      <c r="AD6" s="51"/>
      <c r="AE6" s="51"/>
    </row>
    <row r="7" spans="2:31" x14ac:dyDescent="0.2">
      <c r="V7" s="51"/>
      <c r="W7" s="51"/>
      <c r="X7" s="159" t="e">
        <f>calcoloPunti!K13/('Sviluppo lato lungo'!Y11+1)</f>
        <v>#DIV/0!</v>
      </c>
      <c r="Y7" s="159" t="e">
        <f>calcoloPunti!K35/('Sviluppo lato lungo'!Y11+1)</f>
        <v>#DIV/0!</v>
      </c>
      <c r="Z7" s="53"/>
      <c r="AA7" s="53"/>
      <c r="AB7" s="51"/>
      <c r="AC7" s="51"/>
      <c r="AD7" s="51"/>
      <c r="AE7" s="51"/>
    </row>
    <row r="8" spans="2:31" ht="13.5" thickBot="1" x14ac:dyDescent="0.25">
      <c r="V8" s="51"/>
      <c r="W8" s="51"/>
      <c r="X8" s="53"/>
      <c r="Y8" s="53"/>
      <c r="Z8" s="53"/>
      <c r="AA8" s="53"/>
      <c r="AB8" s="51"/>
      <c r="AC8" s="51"/>
      <c r="AD8" s="51"/>
      <c r="AE8" s="51"/>
    </row>
    <row r="9" spans="2:31" ht="18" x14ac:dyDescent="0.25">
      <c r="T9" s="58">
        <f>STXVOLUME!$I$34</f>
        <v>70</v>
      </c>
      <c r="U9" s="59" t="s">
        <v>166</v>
      </c>
      <c r="V9" s="141"/>
      <c r="W9" s="51"/>
      <c r="X9" s="51"/>
      <c r="Y9" s="51"/>
      <c r="Z9" s="51"/>
      <c r="AA9" s="51"/>
      <c r="AB9" s="51"/>
      <c r="AC9" s="51"/>
      <c r="AD9" s="51"/>
      <c r="AE9" s="51"/>
    </row>
    <row r="10" spans="2:31" ht="18" x14ac:dyDescent="0.25">
      <c r="T10" s="60">
        <f>T11/2+50-T9/2+Calcolo1!D18</f>
        <v>295</v>
      </c>
      <c r="U10" s="59" t="s">
        <v>167</v>
      </c>
      <c r="V10" s="141"/>
      <c r="W10" s="51"/>
      <c r="X10" s="51"/>
      <c r="Y10" s="62"/>
      <c r="Z10" s="51"/>
      <c r="AA10" s="51"/>
      <c r="AB10" s="51"/>
      <c r="AC10" s="51"/>
      <c r="AD10" s="51"/>
      <c r="AE10" s="51"/>
    </row>
    <row r="11" spans="2:31" ht="18" x14ac:dyDescent="0.25">
      <c r="T11" s="60">
        <f>ROUND((6*T9*1.1+40)/10,0)*10</f>
        <v>500</v>
      </c>
      <c r="U11" s="59" t="s">
        <v>168</v>
      </c>
      <c r="V11" s="141"/>
      <c r="W11" s="51"/>
      <c r="X11" s="51"/>
      <c r="Y11" s="51"/>
      <c r="Z11" s="51"/>
      <c r="AA11" s="51"/>
      <c r="AB11" s="51"/>
      <c r="AC11" s="51"/>
      <c r="AD11" s="51"/>
      <c r="AE11" s="51"/>
    </row>
    <row r="12" spans="2:31" ht="18" x14ac:dyDescent="0.25">
      <c r="T12" s="69">
        <f>IF(AND((T9/100)&gt;=0.5,(T9/100)&lt;=1),(Calcolo1!D9-550)/2,IF(AND((T9/100)&gt;=1.1,(T9/100)&lt;=1.5),(Calcolo1!D9-850)/2,"Errore (controllare altezza ferro)"))</f>
        <v>-274.99950000000001</v>
      </c>
      <c r="U12" s="59" t="s">
        <v>169</v>
      </c>
      <c r="V12" s="51"/>
      <c r="W12" s="51"/>
      <c r="X12" s="51"/>
      <c r="Y12" s="51"/>
      <c r="Z12" s="51"/>
      <c r="AA12" s="51"/>
      <c r="AB12" s="51"/>
      <c r="AC12" s="51"/>
      <c r="AD12" s="51"/>
      <c r="AE12" s="51"/>
    </row>
    <row r="13" spans="2:31" ht="18.75" thickBot="1" x14ac:dyDescent="0.3">
      <c r="T13" s="70">
        <f>IF(AND((T9/100)&gt;=0.5,(T9/100)&lt;=1),(Calcolo1!D9-500)/2,IF(AND((T9/100)&gt;=1.1,(T9/100)&lt;=1.5),(Calcolo1!D9-650)/2,"Errore (controllare altezza ferro)"))</f>
        <v>-249.99950000000001</v>
      </c>
      <c r="U13" s="59" t="s">
        <v>170</v>
      </c>
      <c r="V13" s="138"/>
      <c r="W13" s="51"/>
      <c r="X13" s="51"/>
      <c r="Y13" s="51"/>
      <c r="Z13" s="51"/>
      <c r="AA13" s="51"/>
      <c r="AB13" s="51"/>
      <c r="AC13" s="51"/>
      <c r="AD13" s="51"/>
      <c r="AE13" s="51"/>
    </row>
    <row r="14" spans="2:31" x14ac:dyDescent="0.2">
      <c r="V14" s="51"/>
      <c r="W14" s="51"/>
      <c r="X14" s="51"/>
      <c r="Y14" s="51"/>
      <c r="Z14" s="51"/>
      <c r="AA14" s="51"/>
      <c r="AB14" s="51"/>
      <c r="AC14" s="51"/>
      <c r="AD14" s="51"/>
      <c r="AE14" s="51"/>
    </row>
    <row r="15" spans="2:31" x14ac:dyDescent="0.2">
      <c r="V15" s="51"/>
      <c r="W15" s="51"/>
      <c r="X15" s="51"/>
      <c r="Y15" s="51"/>
      <c r="Z15" s="51"/>
      <c r="AA15" s="51"/>
      <c r="AB15" s="51"/>
      <c r="AC15" s="51"/>
      <c r="AD15" s="51"/>
      <c r="AE15" s="51"/>
    </row>
    <row r="16" spans="2:31" x14ac:dyDescent="0.2">
      <c r="V16" s="51"/>
      <c r="W16" s="51"/>
      <c r="X16" s="51"/>
      <c r="Y16" s="51"/>
      <c r="Z16" s="51"/>
      <c r="AA16" s="51"/>
      <c r="AB16" s="51"/>
      <c r="AC16" s="51"/>
      <c r="AD16" s="51"/>
      <c r="AE16" s="51"/>
    </row>
    <row r="17" spans="22:31" x14ac:dyDescent="0.2">
      <c r="V17" s="51"/>
      <c r="W17" s="51"/>
      <c r="X17" s="51"/>
      <c r="Y17" s="51"/>
      <c r="Z17" s="51"/>
      <c r="AA17" s="51"/>
      <c r="AB17" s="51"/>
      <c r="AC17" s="51"/>
      <c r="AD17" s="51"/>
      <c r="AE17" s="51"/>
    </row>
    <row r="18" spans="22:31" x14ac:dyDescent="0.2">
      <c r="V18" s="586" t="s">
        <v>171</v>
      </c>
      <c r="W18" s="587"/>
      <c r="X18" s="587"/>
      <c r="Y18" s="587"/>
      <c r="Z18" s="588"/>
      <c r="AA18" s="51"/>
      <c r="AB18" s="51"/>
      <c r="AC18" s="51"/>
      <c r="AD18" s="51"/>
      <c r="AE18" s="51"/>
    </row>
    <row r="19" spans="22:31" x14ac:dyDescent="0.2">
      <c r="V19" s="589"/>
      <c r="W19" s="590"/>
      <c r="X19" s="590"/>
      <c r="Y19" s="590"/>
      <c r="Z19" s="591"/>
      <c r="AA19" s="51"/>
      <c r="AB19" s="51"/>
      <c r="AC19" s="51"/>
      <c r="AD19" s="51"/>
      <c r="AE19" s="51"/>
    </row>
    <row r="20" spans="22:31" x14ac:dyDescent="0.2">
      <c r="V20" s="592"/>
      <c r="W20" s="593"/>
      <c r="X20" s="593"/>
      <c r="Y20" s="593"/>
      <c r="Z20" s="591"/>
      <c r="AA20" s="51"/>
      <c r="AB20" s="51"/>
      <c r="AC20" s="51"/>
      <c r="AD20" s="51"/>
      <c r="AE20" s="51"/>
    </row>
    <row r="21" spans="22:31" x14ac:dyDescent="0.2">
      <c r="V21" s="63"/>
      <c r="W21" s="598" t="e">
        <f>'Sviluppo lato lungo'!Y11</f>
        <v>#VALUE!</v>
      </c>
      <c r="X21" s="599"/>
      <c r="Z21" s="64"/>
    </row>
    <row r="22" spans="22:31" x14ac:dyDescent="0.2">
      <c r="V22" s="63"/>
      <c r="W22" s="600"/>
      <c r="X22" s="601"/>
      <c r="Z22" s="64"/>
    </row>
    <row r="23" spans="22:31" x14ac:dyDescent="0.2">
      <c r="V23" s="65"/>
      <c r="W23" s="66"/>
      <c r="X23" s="66"/>
      <c r="Y23" s="66"/>
      <c r="Z23" s="67"/>
    </row>
    <row r="33" spans="1:1" x14ac:dyDescent="0.2">
      <c r="A33" s="71"/>
    </row>
  </sheetData>
  <sheetProtection password="DB1E" sheet="1" objects="1" scenarios="1"/>
  <mergeCells count="2">
    <mergeCell ref="V18:Z20"/>
    <mergeCell ref="W21:X22"/>
  </mergeCells>
  <pageMargins left="0.74803149606299213" right="0.55118110236220474" top="0.98425196850393704" bottom="0.98425196850393704" header="0.51181102362204722" footer="0.51181102362204722"/>
  <pageSetup paperSize="9" scale="59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B1:M44"/>
  <sheetViews>
    <sheetView showGridLines="0" showZeros="0" defaultGridColor="0" colorId="8" zoomScaleNormal="100" workbookViewId="0">
      <selection activeCell="D13" sqref="D13"/>
    </sheetView>
  </sheetViews>
  <sheetFormatPr defaultColWidth="9.33203125" defaultRowHeight="12.75" x14ac:dyDescent="0.2"/>
  <cols>
    <col min="1" max="1" width="10.6640625" style="144" customWidth="1"/>
    <col min="2" max="2" width="10.1640625" style="144" customWidth="1"/>
    <col min="3" max="3" width="13.83203125" style="144" customWidth="1"/>
    <col min="4" max="4" width="9.33203125" style="144"/>
    <col min="5" max="7" width="9.33203125" style="144" hidden="1" customWidth="1"/>
    <col min="8" max="8" width="10" style="144" customWidth="1"/>
    <col min="9" max="9" width="18" style="144" customWidth="1"/>
    <col min="10" max="10" width="37" style="144" bestFit="1" customWidth="1"/>
    <col min="11" max="11" width="13.6640625" style="146" customWidth="1"/>
    <col min="12" max="12" width="16.6640625" style="144" customWidth="1"/>
    <col min="13" max="13" width="12.1640625" style="144" customWidth="1"/>
    <col min="14" max="14" width="9.33203125" style="144"/>
    <col min="15" max="15" width="10.1640625" style="144" customWidth="1"/>
    <col min="16" max="16384" width="9.33203125" style="144"/>
  </cols>
  <sheetData>
    <row r="1" spans="9:11" x14ac:dyDescent="0.2">
      <c r="K1" s="144"/>
    </row>
    <row r="2" spans="9:11" x14ac:dyDescent="0.2">
      <c r="K2" s="144"/>
    </row>
    <row r="3" spans="9:11" x14ac:dyDescent="0.2">
      <c r="K3" s="144"/>
    </row>
    <row r="4" spans="9:11" x14ac:dyDescent="0.2">
      <c r="K4" s="144"/>
    </row>
    <row r="5" spans="9:11" x14ac:dyDescent="0.2">
      <c r="K5" s="144"/>
    </row>
    <row r="9" spans="9:11" x14ac:dyDescent="0.2">
      <c r="I9" s="147" t="s">
        <v>1</v>
      </c>
      <c r="J9" s="145"/>
      <c r="K9" s="148" t="s">
        <v>3</v>
      </c>
    </row>
    <row r="10" spans="9:11" x14ac:dyDescent="0.2">
      <c r="I10" s="147" t="s">
        <v>4</v>
      </c>
      <c r="J10" s="149" t="s">
        <v>282</v>
      </c>
      <c r="K10" s="150">
        <f>STXVOLUME!H73</f>
        <v>1E-3</v>
      </c>
    </row>
    <row r="11" spans="9:11" x14ac:dyDescent="0.2">
      <c r="I11" s="147"/>
      <c r="J11" s="149" t="s">
        <v>283</v>
      </c>
      <c r="K11" s="150">
        <f>STXVOLUME!H74</f>
        <v>1E-3</v>
      </c>
    </row>
    <row r="12" spans="9:11" x14ac:dyDescent="0.2">
      <c r="I12" s="147" t="s">
        <v>7</v>
      </c>
      <c r="J12" s="149" t="s">
        <v>284</v>
      </c>
      <c r="K12" s="150">
        <f>STXVOLUME!N43</f>
        <v>-725</v>
      </c>
    </row>
    <row r="13" spans="9:11" x14ac:dyDescent="0.2">
      <c r="I13" s="147" t="s">
        <v>16</v>
      </c>
      <c r="J13" s="149" t="s">
        <v>285</v>
      </c>
      <c r="K13" s="151">
        <f>STXVOLUME!N50</f>
        <v>0</v>
      </c>
    </row>
    <row r="14" spans="9:11" x14ac:dyDescent="0.2">
      <c r="I14" s="147" t="s">
        <v>18</v>
      </c>
      <c r="J14" s="149" t="s">
        <v>286</v>
      </c>
      <c r="K14" s="151">
        <f>2*K20+K15</f>
        <v>245</v>
      </c>
    </row>
    <row r="15" spans="9:11" x14ac:dyDescent="0.2">
      <c r="J15" s="152" t="s">
        <v>287</v>
      </c>
      <c r="K15" s="153">
        <v>105</v>
      </c>
    </row>
    <row r="16" spans="9:11" x14ac:dyDescent="0.2">
      <c r="I16" s="147"/>
      <c r="J16" s="149"/>
      <c r="K16" s="154"/>
    </row>
    <row r="17" spans="9:12" x14ac:dyDescent="0.2">
      <c r="I17" s="147"/>
      <c r="J17" s="149"/>
      <c r="K17" s="149"/>
    </row>
    <row r="18" spans="9:12" x14ac:dyDescent="0.2">
      <c r="I18" s="147"/>
      <c r="J18" s="149"/>
      <c r="K18" s="155"/>
    </row>
    <row r="19" spans="9:12" x14ac:dyDescent="0.2">
      <c r="K19" s="144"/>
    </row>
    <row r="20" spans="9:12" x14ac:dyDescent="0.2">
      <c r="I20" s="147"/>
      <c r="J20" s="147" t="s">
        <v>288</v>
      </c>
      <c r="K20" s="148">
        <f>STXVOLUME!I34</f>
        <v>70</v>
      </c>
    </row>
    <row r="21" spans="9:12" x14ac:dyDescent="0.2">
      <c r="I21" s="147"/>
      <c r="J21" s="149" t="s">
        <v>103</v>
      </c>
      <c r="K21" s="148" t="e">
        <f>STXVOLUME!N59</f>
        <v>#DIV/0!</v>
      </c>
    </row>
    <row r="22" spans="9:12" x14ac:dyDescent="0.2">
      <c r="I22" s="147"/>
      <c r="J22" s="149"/>
      <c r="K22" s="148"/>
    </row>
    <row r="23" spans="9:12" x14ac:dyDescent="0.2">
      <c r="I23" s="147"/>
      <c r="J23" s="149"/>
      <c r="K23" s="148"/>
    </row>
    <row r="26" spans="9:12" x14ac:dyDescent="0.2">
      <c r="J26" s="149" t="s">
        <v>289</v>
      </c>
      <c r="K26" s="148">
        <f>SQRT(K10*K10+K11*K11)</f>
        <v>1.414213562373095E-3</v>
      </c>
    </row>
    <row r="27" spans="9:12" x14ac:dyDescent="0.2">
      <c r="J27" s="149" t="s">
        <v>290</v>
      </c>
      <c r="K27" s="148">
        <v>250</v>
      </c>
    </row>
    <row r="28" spans="9:12" x14ac:dyDescent="0.2">
      <c r="J28" s="149" t="s">
        <v>291</v>
      </c>
      <c r="K28" s="148">
        <v>1200</v>
      </c>
    </row>
    <row r="29" spans="9:12" x14ac:dyDescent="0.2">
      <c r="J29" s="149" t="s">
        <v>292</v>
      </c>
      <c r="K29" s="148">
        <f>K26-2*K27</f>
        <v>-499.99858578643762</v>
      </c>
      <c r="L29" s="144" t="s">
        <v>293</v>
      </c>
    </row>
    <row r="30" spans="9:12" x14ac:dyDescent="0.2">
      <c r="J30" s="149" t="s">
        <v>294</v>
      </c>
      <c r="K30" s="148">
        <f>K29/2</f>
        <v>-249.99929289321881</v>
      </c>
      <c r="L30" s="144" t="s">
        <v>293</v>
      </c>
    </row>
    <row r="31" spans="9:12" x14ac:dyDescent="0.2">
      <c r="J31" s="149" t="s">
        <v>295</v>
      </c>
      <c r="K31" s="148">
        <f>IF(K30&lt;K28,D38,IF(K29/3&lt;K28,J38,M38))</f>
        <v>3</v>
      </c>
    </row>
    <row r="38" spans="2:13" x14ac:dyDescent="0.2">
      <c r="B38" s="156"/>
      <c r="C38" s="156"/>
      <c r="D38" s="156">
        <v>3</v>
      </c>
      <c r="E38" s="156"/>
      <c r="F38" s="156"/>
      <c r="G38" s="156"/>
      <c r="H38" s="156"/>
      <c r="I38" s="156"/>
      <c r="J38" s="156">
        <v>4</v>
      </c>
      <c r="K38" s="157"/>
      <c r="L38" s="157"/>
      <c r="M38" s="156">
        <v>5</v>
      </c>
    </row>
    <row r="39" spans="2:13" x14ac:dyDescent="0.2">
      <c r="B39" s="156"/>
      <c r="C39" s="156" t="s">
        <v>4</v>
      </c>
      <c r="D39" s="157">
        <f>K27</f>
        <v>250</v>
      </c>
      <c r="E39" s="156"/>
      <c r="F39" s="156"/>
      <c r="G39" s="156"/>
      <c r="H39" s="156"/>
      <c r="I39" s="156" t="s">
        <v>4</v>
      </c>
      <c r="J39" s="157">
        <f>D39</f>
        <v>250</v>
      </c>
      <c r="K39" s="157"/>
      <c r="L39" s="156" t="s">
        <v>4</v>
      </c>
      <c r="M39" s="157">
        <f>D39</f>
        <v>250</v>
      </c>
    </row>
    <row r="40" spans="2:13" x14ac:dyDescent="0.2">
      <c r="B40" s="156"/>
      <c r="C40" s="156" t="s">
        <v>7</v>
      </c>
      <c r="D40" s="158">
        <f>K29/2</f>
        <v>-249.99929289321881</v>
      </c>
      <c r="E40" s="156"/>
      <c r="F40" s="156"/>
      <c r="G40" s="156"/>
      <c r="H40" s="156"/>
      <c r="I40" s="156" t="s">
        <v>7</v>
      </c>
      <c r="J40" s="158">
        <f>K29/3</f>
        <v>-166.66619526214586</v>
      </c>
      <c r="K40" s="157"/>
      <c r="L40" s="156" t="s">
        <v>7</v>
      </c>
      <c r="M40" s="158">
        <f>K29/4</f>
        <v>-124.9996464466094</v>
      </c>
    </row>
    <row r="41" spans="2:13" x14ac:dyDescent="0.2">
      <c r="B41" s="156"/>
      <c r="C41" s="156" t="s">
        <v>9</v>
      </c>
      <c r="D41" s="158">
        <f>D40</f>
        <v>-249.99929289321881</v>
      </c>
      <c r="E41" s="156"/>
      <c r="F41" s="156"/>
      <c r="G41" s="156"/>
      <c r="H41" s="156"/>
      <c r="I41" s="156" t="s">
        <v>9</v>
      </c>
      <c r="J41" s="158">
        <f>J40</f>
        <v>-166.66619526214586</v>
      </c>
      <c r="K41" s="157"/>
      <c r="L41" s="156" t="s">
        <v>9</v>
      </c>
      <c r="M41" s="158">
        <f>M40</f>
        <v>-124.9996464466094</v>
      </c>
    </row>
    <row r="42" spans="2:13" x14ac:dyDescent="0.2">
      <c r="B42" s="156"/>
      <c r="C42" s="156" t="s">
        <v>10</v>
      </c>
      <c r="D42" s="157">
        <f>D39</f>
        <v>250</v>
      </c>
      <c r="E42" s="156"/>
      <c r="F42" s="156"/>
      <c r="G42" s="156"/>
      <c r="H42" s="156"/>
      <c r="I42" s="156" t="s">
        <v>10</v>
      </c>
      <c r="J42" s="158">
        <f>J41</f>
        <v>-166.66619526214586</v>
      </c>
      <c r="K42" s="157"/>
      <c r="L42" s="156" t="s">
        <v>10</v>
      </c>
      <c r="M42" s="158">
        <f>M41</f>
        <v>-124.9996464466094</v>
      </c>
    </row>
    <row r="43" spans="2:13" x14ac:dyDescent="0.2">
      <c r="B43" s="156"/>
      <c r="C43" s="156"/>
      <c r="D43" s="156"/>
      <c r="E43" s="156"/>
      <c r="F43" s="156"/>
      <c r="G43" s="156"/>
      <c r="H43" s="156"/>
      <c r="I43" s="156" t="s">
        <v>16</v>
      </c>
      <c r="J43" s="157">
        <f>J39</f>
        <v>250</v>
      </c>
      <c r="K43" s="157"/>
      <c r="L43" s="156" t="s">
        <v>16</v>
      </c>
      <c r="M43" s="158">
        <f>M41</f>
        <v>-124.9996464466094</v>
      </c>
    </row>
    <row r="44" spans="2:13" x14ac:dyDescent="0.2">
      <c r="L44" s="156" t="s">
        <v>298</v>
      </c>
      <c r="M44" s="157">
        <f>M39</f>
        <v>250</v>
      </c>
    </row>
  </sheetData>
  <sheetProtection password="DB9E" sheet="1" objects="1" scenarios="1"/>
  <printOptions gridLinesSet="0"/>
  <pageMargins left="0.19685039370078741" right="0.19685039370078741" top="0.31496062992125984" bottom="0.23622047244094491" header="0.51181102362204722" footer="0.51181102362204722"/>
  <pageSetup paperSize="9" scale="91"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MSDraw" shapeId="2049" r:id="rId4">
          <objectPr locked="0" defaultSize="0" autoPict="0" dde="1" r:id="rId5">
            <anchor moveWithCells="1">
              <from>
                <xdr:col>0</xdr:col>
                <xdr:colOff>66675</xdr:colOff>
                <xdr:row>0</xdr:row>
                <xdr:rowOff>47625</xdr:rowOff>
              </from>
              <to>
                <xdr:col>2</xdr:col>
                <xdr:colOff>180975</xdr:colOff>
                <xdr:row>5</xdr:row>
                <xdr:rowOff>19050</xdr:rowOff>
              </to>
            </anchor>
          </objectPr>
        </oleObject>
      </mc:Choice>
      <mc:Fallback>
        <oleObject progId="MSDraw" shapeId="2049" r:id="rId4"/>
      </mc:Fallback>
    </mc:AlternateContent>
    <mc:AlternateContent xmlns:mc="http://schemas.openxmlformats.org/markup-compatibility/2006">
      <mc:Choice Requires="x14">
        <oleObject progId="MSDraw" shapeId="2050" r:id="rId6">
          <objectPr defaultSize="0" autoPict="0" dde="1" r:id="rId7">
            <anchor moveWithCells="1" sizeWithCells="1">
              <from>
                <xdr:col>13</xdr:col>
                <xdr:colOff>0</xdr:colOff>
                <xdr:row>9</xdr:row>
                <xdr:rowOff>28575</xdr:rowOff>
              </from>
              <to>
                <xdr:col>13</xdr:col>
                <xdr:colOff>0</xdr:colOff>
                <xdr:row>28</xdr:row>
                <xdr:rowOff>19050</xdr:rowOff>
              </to>
            </anchor>
          </objectPr>
        </oleObject>
      </mc:Choice>
      <mc:Fallback>
        <oleObject progId="MSDraw" shapeId="2050" r:id="rId6"/>
      </mc:Fallback>
    </mc:AlternateContent>
    <mc:AlternateContent xmlns:mc="http://schemas.openxmlformats.org/markup-compatibility/2006">
      <mc:Choice Requires="x14">
        <oleObject progId="MSDraw" shapeId="2051" r:id="rId8">
          <objectPr defaultSize="0" autoPict="0" dde="1" r:id="rId7">
            <anchor moveWithCells="1" sizeWithCells="1">
              <from>
                <xdr:col>13</xdr:col>
                <xdr:colOff>0</xdr:colOff>
                <xdr:row>9</xdr:row>
                <xdr:rowOff>28575</xdr:rowOff>
              </from>
              <to>
                <xdr:col>13</xdr:col>
                <xdr:colOff>0</xdr:colOff>
                <xdr:row>28</xdr:row>
                <xdr:rowOff>19050</xdr:rowOff>
              </to>
            </anchor>
          </objectPr>
        </oleObject>
      </mc:Choice>
      <mc:Fallback>
        <oleObject progId="MSDraw" shapeId="2051" r:id="rId8"/>
      </mc:Fallback>
    </mc:AlternateContent>
    <mc:AlternateContent xmlns:mc="http://schemas.openxmlformats.org/markup-compatibility/2006">
      <mc:Choice Requires="x14">
        <oleObject progId="MSDraw" shapeId="2052" r:id="rId9">
          <objectPr defaultSize="0" autoPict="0" dde="1" r:id="rId10">
            <anchor moveWithCells="1" sizeWithCells="1">
              <from>
                <xdr:col>0</xdr:col>
                <xdr:colOff>66675</xdr:colOff>
                <xdr:row>8</xdr:row>
                <xdr:rowOff>19050</xdr:rowOff>
              </from>
              <to>
                <xdr:col>7</xdr:col>
                <xdr:colOff>323850</xdr:colOff>
                <xdr:row>28</xdr:row>
                <xdr:rowOff>19050</xdr:rowOff>
              </to>
            </anchor>
          </objectPr>
        </oleObject>
      </mc:Choice>
      <mc:Fallback>
        <oleObject progId="MSDraw" shapeId="2052" r:id="rId9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2:O28"/>
  <sheetViews>
    <sheetView showGridLines="0" workbookViewId="0">
      <selection activeCell="D13" sqref="D13"/>
    </sheetView>
  </sheetViews>
  <sheetFormatPr defaultColWidth="9.33203125" defaultRowHeight="12.75" x14ac:dyDescent="0.2"/>
  <cols>
    <col min="1" max="2" width="9.33203125" style="77"/>
    <col min="3" max="3" width="14.1640625" style="77" customWidth="1"/>
    <col min="4" max="4" width="15.6640625" style="77" customWidth="1"/>
    <col min="5" max="5" width="6.5" style="77" customWidth="1"/>
    <col min="6" max="6" width="4.83203125" style="77" customWidth="1"/>
    <col min="7" max="7" width="2.33203125" style="77" customWidth="1"/>
    <col min="8" max="8" width="12.1640625" style="77" customWidth="1"/>
    <col min="9" max="9" width="9.33203125" style="77"/>
    <col min="10" max="10" width="15" style="77" customWidth="1"/>
    <col min="11" max="14" width="9.33203125" style="77"/>
    <col min="15" max="15" width="18.1640625" style="77" customWidth="1"/>
    <col min="16" max="16384" width="9.33203125" style="77"/>
  </cols>
  <sheetData>
    <row r="2" spans="2:15" x14ac:dyDescent="0.2">
      <c r="B2" s="90" t="s">
        <v>243</v>
      </c>
      <c r="G2" s="78"/>
      <c r="H2" s="75"/>
      <c r="I2" s="75"/>
      <c r="J2" s="75"/>
      <c r="K2" s="75"/>
      <c r="L2" s="75"/>
      <c r="M2" s="75"/>
      <c r="N2" s="75"/>
      <c r="O2" s="76"/>
    </row>
    <row r="3" spans="2:15" x14ac:dyDescent="0.2">
      <c r="G3" s="84"/>
      <c r="H3" s="77" t="s">
        <v>244</v>
      </c>
      <c r="O3" s="83"/>
    </row>
    <row r="4" spans="2:15" x14ac:dyDescent="0.2">
      <c r="B4" s="77" t="s">
        <v>245</v>
      </c>
      <c r="D4" s="133">
        <f>Calcolo1!D8</f>
        <v>1E-3</v>
      </c>
      <c r="G4" s="84"/>
      <c r="O4" s="83"/>
    </row>
    <row r="5" spans="2:15" x14ac:dyDescent="0.2">
      <c r="B5" s="77" t="s">
        <v>246</v>
      </c>
      <c r="D5" s="117">
        <f>Calcolo1!D9</f>
        <v>1E-3</v>
      </c>
      <c r="G5" s="84"/>
      <c r="H5" s="77" t="s">
        <v>247</v>
      </c>
      <c r="L5" s="77" t="s">
        <v>248</v>
      </c>
      <c r="O5" s="83"/>
    </row>
    <row r="6" spans="2:15" x14ac:dyDescent="0.2">
      <c r="B6" s="77" t="s">
        <v>249</v>
      </c>
      <c r="D6" s="117" t="e">
        <f>Calcolo1!D7</f>
        <v>#VALUE!</v>
      </c>
      <c r="G6" s="84"/>
      <c r="H6" s="77" t="s">
        <v>245</v>
      </c>
      <c r="J6" s="118">
        <f>D4</f>
        <v>1E-3</v>
      </c>
      <c r="L6" s="77" t="s">
        <v>246</v>
      </c>
      <c r="N6" s="118">
        <f>J7</f>
        <v>1E-3</v>
      </c>
      <c r="O6" s="83"/>
    </row>
    <row r="7" spans="2:15" x14ac:dyDescent="0.2">
      <c r="B7" s="77" t="s">
        <v>250</v>
      </c>
      <c r="D7" s="117" t="e">
        <f>Calcolo1!D11</f>
        <v>#DIV/0!</v>
      </c>
      <c r="G7" s="84"/>
      <c r="H7" s="77" t="s">
        <v>246</v>
      </c>
      <c r="J7" s="118">
        <f>D5</f>
        <v>1E-3</v>
      </c>
      <c r="L7" s="77" t="s">
        <v>245</v>
      </c>
      <c r="N7" s="118">
        <f>J6</f>
        <v>1E-3</v>
      </c>
      <c r="O7" s="83"/>
    </row>
    <row r="8" spans="2:15" x14ac:dyDescent="0.2">
      <c r="B8" s="77" t="s">
        <v>141</v>
      </c>
      <c r="D8" s="119">
        <f>Calcolo1!D13</f>
        <v>120</v>
      </c>
      <c r="G8" s="84"/>
      <c r="H8" s="120" t="s">
        <v>251</v>
      </c>
      <c r="J8" s="134" t="e">
        <f>D7</f>
        <v>#DIV/0!</v>
      </c>
      <c r="L8" s="120" t="s">
        <v>251</v>
      </c>
      <c r="N8" s="118" t="e">
        <f>J8</f>
        <v>#DIV/0!</v>
      </c>
      <c r="O8" s="83"/>
    </row>
    <row r="9" spans="2:15" x14ac:dyDescent="0.2">
      <c r="B9" s="77" t="s">
        <v>252</v>
      </c>
      <c r="D9" s="121">
        <f>Calcolo1!D10</f>
        <v>0</v>
      </c>
      <c r="G9" s="84"/>
      <c r="H9" s="77" t="s">
        <v>253</v>
      </c>
      <c r="J9" s="118">
        <f>D9/2</f>
        <v>0</v>
      </c>
      <c r="L9" s="77" t="s">
        <v>253</v>
      </c>
      <c r="N9" s="118">
        <f>J9</f>
        <v>0</v>
      </c>
      <c r="O9" s="83"/>
    </row>
    <row r="10" spans="2:15" x14ac:dyDescent="0.2">
      <c r="B10" s="77" t="s">
        <v>254</v>
      </c>
      <c r="D10" s="118">
        <f>D9/2</f>
        <v>0</v>
      </c>
      <c r="G10" s="84"/>
      <c r="K10" s="118"/>
      <c r="O10" s="83"/>
    </row>
    <row r="11" spans="2:15" x14ac:dyDescent="0.2">
      <c r="G11" s="84"/>
      <c r="H11" s="77" t="s">
        <v>255</v>
      </c>
      <c r="J11" s="118">
        <f xml:space="preserve"> ATAN(J13)</f>
        <v>0.78539816339744828</v>
      </c>
      <c r="K11" s="118"/>
      <c r="L11" s="77" t="s">
        <v>255</v>
      </c>
      <c r="N11" s="118">
        <f xml:space="preserve"> ATAN(N13)</f>
        <v>0.78539816339744828</v>
      </c>
      <c r="O11" s="83"/>
    </row>
    <row r="12" spans="2:15" x14ac:dyDescent="0.2">
      <c r="G12" s="84"/>
      <c r="H12" s="77" t="s">
        <v>255</v>
      </c>
      <c r="J12" s="118">
        <f>DEGREES(J11)</f>
        <v>45</v>
      </c>
      <c r="K12" s="118"/>
      <c r="L12" s="77" t="s">
        <v>255</v>
      </c>
      <c r="N12" s="118">
        <f>DEGREES(N11)</f>
        <v>45</v>
      </c>
      <c r="O12" s="83"/>
    </row>
    <row r="13" spans="2:15" x14ac:dyDescent="0.2">
      <c r="B13" s="90" t="s">
        <v>257</v>
      </c>
      <c r="D13" s="118" t="e">
        <f>D4*D5*D6</f>
        <v>#VALUE!</v>
      </c>
      <c r="G13" s="84"/>
      <c r="H13" s="77" t="s">
        <v>256</v>
      </c>
      <c r="J13" s="118">
        <f>J7/J6</f>
        <v>1</v>
      </c>
      <c r="K13" s="118"/>
      <c r="L13" s="77" t="s">
        <v>256</v>
      </c>
      <c r="N13" s="118">
        <f>N7/N6</f>
        <v>1</v>
      </c>
      <c r="O13" s="83"/>
    </row>
    <row r="14" spans="2:15" x14ac:dyDescent="0.2">
      <c r="G14" s="84"/>
      <c r="H14" s="77" t="s">
        <v>258</v>
      </c>
      <c r="J14" s="118">
        <f>J6/2-J9</f>
        <v>5.0000000000000001E-4</v>
      </c>
      <c r="K14" s="118"/>
      <c r="L14" s="77" t="s">
        <v>258</v>
      </c>
      <c r="N14" s="118">
        <f>N6/2-N9</f>
        <v>5.0000000000000001E-4</v>
      </c>
      <c r="O14" s="83"/>
    </row>
    <row r="15" spans="2:15" x14ac:dyDescent="0.2">
      <c r="B15" s="90" t="s">
        <v>260</v>
      </c>
      <c r="D15" s="122">
        <f>PI()*D10*D10*D8</f>
        <v>0</v>
      </c>
      <c r="G15" s="84"/>
      <c r="H15" s="118" t="s">
        <v>259</v>
      </c>
      <c r="J15" s="118" t="e">
        <f>J13*J6*J6*J8/4+J13*J14*J14*J8/3-J8*J13*J6*J14/2</f>
        <v>#DIV/0!</v>
      </c>
      <c r="K15" s="118"/>
      <c r="L15" s="118" t="s">
        <v>259</v>
      </c>
      <c r="N15" s="118" t="e">
        <f>N13*N6*N6*N8/4+N13*N14*N14*N8/3-N8*N13*N6*N14/2</f>
        <v>#DIV/0!</v>
      </c>
      <c r="O15" s="83"/>
    </row>
    <row r="16" spans="2:15" x14ac:dyDescent="0.2">
      <c r="G16" s="84"/>
      <c r="H16" s="118" t="s">
        <v>261</v>
      </c>
      <c r="J16" s="118" t="e">
        <f>-J9*J9*J8*J13/3</f>
        <v>#DIV/0!</v>
      </c>
      <c r="K16" s="118"/>
      <c r="L16" s="118" t="s">
        <v>261</v>
      </c>
      <c r="N16" s="118" t="e">
        <f>-N9*N9*N8*N13/3</f>
        <v>#DIV/0!</v>
      </c>
      <c r="O16" s="83"/>
    </row>
    <row r="17" spans="2:15" x14ac:dyDescent="0.2">
      <c r="G17" s="84"/>
      <c r="H17" s="118" t="s">
        <v>262</v>
      </c>
      <c r="J17" s="118" t="e">
        <f>J9*J9*J8/3*J11</f>
        <v>#DIV/0!</v>
      </c>
      <c r="K17" s="118"/>
      <c r="L17" s="118" t="s">
        <v>262</v>
      </c>
      <c r="N17" s="118" t="e">
        <f>N9*N9*N8/3*N11</f>
        <v>#DIV/0!</v>
      </c>
      <c r="O17" s="83"/>
    </row>
    <row r="18" spans="2:15" ht="13.5" thickBot="1" x14ac:dyDescent="0.25">
      <c r="G18" s="84"/>
      <c r="J18" s="118"/>
      <c r="K18" s="118"/>
      <c r="N18" s="118"/>
      <c r="O18" s="83"/>
    </row>
    <row r="19" spans="2:15" ht="18" x14ac:dyDescent="0.25">
      <c r="B19" s="123" t="s">
        <v>264</v>
      </c>
      <c r="C19" s="124"/>
      <c r="D19" s="125"/>
      <c r="G19" s="84"/>
      <c r="H19" s="77" t="s">
        <v>263</v>
      </c>
      <c r="J19" s="118" t="e">
        <f>J15+J16+J17</f>
        <v>#DIV/0!</v>
      </c>
      <c r="K19" s="118"/>
      <c r="L19" s="77" t="s">
        <v>263</v>
      </c>
      <c r="N19" s="118" t="e">
        <f>N15+N16+N17</f>
        <v>#DIV/0!</v>
      </c>
      <c r="O19" s="83"/>
    </row>
    <row r="20" spans="2:15" ht="21.75" x14ac:dyDescent="0.3">
      <c r="B20" s="126" t="s">
        <v>265</v>
      </c>
      <c r="D20" s="127" t="e">
        <f>(D13+D15+J21)/1000000000</f>
        <v>#VALUE!</v>
      </c>
      <c r="G20" s="84"/>
      <c r="O20" s="83"/>
    </row>
    <row r="21" spans="2:15" ht="13.5" thickBot="1" x14ac:dyDescent="0.25">
      <c r="B21" s="129"/>
      <c r="C21" s="130"/>
      <c r="D21" s="131"/>
      <c r="G21" s="84"/>
      <c r="H21" s="90" t="s">
        <v>266</v>
      </c>
      <c r="J21" s="118" t="e">
        <f xml:space="preserve"> J19*2+N19*2</f>
        <v>#DIV/0!</v>
      </c>
      <c r="K21" s="118"/>
      <c r="L21" s="90" t="s">
        <v>267</v>
      </c>
      <c r="N21" s="128" t="e">
        <f>J21/1000000000</f>
        <v>#DIV/0!</v>
      </c>
      <c r="O21" s="83"/>
    </row>
    <row r="22" spans="2:15" x14ac:dyDescent="0.2">
      <c r="G22" s="84"/>
      <c r="J22" s="118"/>
      <c r="K22" s="118"/>
      <c r="O22" s="83"/>
    </row>
    <row r="23" spans="2:15" x14ac:dyDescent="0.2">
      <c r="G23" s="84"/>
      <c r="J23" s="118"/>
      <c r="O23" s="83"/>
    </row>
    <row r="24" spans="2:15" x14ac:dyDescent="0.2">
      <c r="G24" s="84"/>
      <c r="I24" s="77" t="s">
        <v>268</v>
      </c>
      <c r="O24" s="83"/>
    </row>
    <row r="25" spans="2:15" x14ac:dyDescent="0.2">
      <c r="G25" s="84"/>
      <c r="I25" s="77" t="s">
        <v>269</v>
      </c>
      <c r="J25" s="77">
        <f>D4*D5</f>
        <v>9.9999999999999995E-7</v>
      </c>
      <c r="M25" s="77" t="s">
        <v>270</v>
      </c>
      <c r="O25" s="83"/>
    </row>
    <row r="26" spans="2:15" x14ac:dyDescent="0.2">
      <c r="G26" s="84"/>
      <c r="I26" s="77" t="s">
        <v>271</v>
      </c>
      <c r="J26" s="77">
        <f>PI()*D10*D10</f>
        <v>0</v>
      </c>
      <c r="M26" s="77" t="e">
        <f>J21/J27</f>
        <v>#DIV/0!</v>
      </c>
      <c r="O26" s="83"/>
    </row>
    <row r="27" spans="2:15" x14ac:dyDescent="0.2">
      <c r="G27" s="84"/>
      <c r="I27" s="77" t="s">
        <v>272</v>
      </c>
      <c r="J27" s="77" t="e">
        <f>(J25+J26+SQRT(J25*J26))/3*J8</f>
        <v>#DIV/0!</v>
      </c>
      <c r="O27" s="83"/>
    </row>
    <row r="28" spans="2:15" x14ac:dyDescent="0.2">
      <c r="G28" s="114"/>
      <c r="H28" s="132"/>
      <c r="I28" s="132"/>
      <c r="J28" s="132"/>
      <c r="K28" s="132"/>
      <c r="L28" s="132"/>
      <c r="M28" s="132"/>
      <c r="N28" s="132"/>
      <c r="O28" s="116"/>
    </row>
  </sheetData>
  <sheetProtection password="EF91" sheet="1" objects="1" scenarios="1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D13" sqref="D13"/>
    </sheetView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D13" sqref="D1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U31"/>
  <sheetViews>
    <sheetView workbookViewId="0">
      <selection activeCell="D13" sqref="D13"/>
    </sheetView>
  </sheetViews>
  <sheetFormatPr defaultRowHeight="12.75" x14ac:dyDescent="0.2"/>
  <cols>
    <col min="1" max="1" width="16.5" customWidth="1"/>
    <col min="2" max="2" width="32.5" customWidth="1"/>
    <col min="3" max="10" width="0" hidden="1" customWidth="1"/>
    <col min="12" max="15" width="0" hidden="1" customWidth="1"/>
    <col min="17" max="37" width="0" hidden="1" customWidth="1"/>
    <col min="39" max="40" width="0" hidden="1" customWidth="1"/>
    <col min="43" max="44" width="0" hidden="1" customWidth="1"/>
    <col min="45" max="45" width="19.33203125" style="508" customWidth="1"/>
    <col min="46" max="46" width="0" hidden="1" customWidth="1"/>
  </cols>
  <sheetData>
    <row r="1" spans="1:47" x14ac:dyDescent="0.2">
      <c r="A1" t="s">
        <v>860</v>
      </c>
      <c r="B1" t="s">
        <v>861</v>
      </c>
      <c r="C1" t="s">
        <v>860</v>
      </c>
      <c r="D1" t="s">
        <v>862</v>
      </c>
      <c r="E1" t="s">
        <v>863</v>
      </c>
      <c r="F1" t="s">
        <v>864</v>
      </c>
      <c r="G1" t="s">
        <v>862</v>
      </c>
      <c r="H1" t="s">
        <v>865</v>
      </c>
      <c r="I1" t="s">
        <v>866</v>
      </c>
      <c r="J1">
        <v>1</v>
      </c>
      <c r="K1">
        <v>10</v>
      </c>
      <c r="L1" t="s">
        <v>860</v>
      </c>
      <c r="M1" t="s">
        <v>860</v>
      </c>
      <c r="N1" t="s">
        <v>862</v>
      </c>
      <c r="O1" t="s">
        <v>867</v>
      </c>
      <c r="P1">
        <v>1</v>
      </c>
      <c r="Q1">
        <v>1</v>
      </c>
      <c r="R1">
        <v>0</v>
      </c>
      <c r="S1" t="s">
        <v>862</v>
      </c>
      <c r="T1">
        <v>0</v>
      </c>
      <c r="U1">
        <v>0</v>
      </c>
      <c r="V1">
        <v>0</v>
      </c>
      <c r="W1" t="s">
        <v>862</v>
      </c>
      <c r="X1" t="s">
        <v>862</v>
      </c>
      <c r="Y1" t="s">
        <v>862</v>
      </c>
      <c r="Z1">
        <v>0</v>
      </c>
      <c r="AA1">
        <v>0</v>
      </c>
      <c r="AB1">
        <v>0</v>
      </c>
      <c r="AC1" s="507">
        <v>40959</v>
      </c>
      <c r="AD1" s="507">
        <v>73050</v>
      </c>
      <c r="AE1" s="507">
        <v>40959</v>
      </c>
      <c r="AF1" t="s">
        <v>865</v>
      </c>
      <c r="AG1">
        <v>0</v>
      </c>
      <c r="AH1" t="s">
        <v>868</v>
      </c>
      <c r="AI1">
        <v>1</v>
      </c>
      <c r="AJ1">
        <v>1</v>
      </c>
      <c r="AK1">
        <v>0</v>
      </c>
      <c r="AL1">
        <v>1</v>
      </c>
      <c r="AM1" t="s">
        <v>862</v>
      </c>
      <c r="AN1" t="s">
        <v>864</v>
      </c>
      <c r="AO1">
        <v>8.29833</v>
      </c>
      <c r="AP1">
        <v>1</v>
      </c>
      <c r="AQ1">
        <v>0</v>
      </c>
      <c r="AR1">
        <v>7.05328</v>
      </c>
      <c r="AS1" s="508">
        <v>8.29833</v>
      </c>
    </row>
    <row r="2" spans="1:47" x14ac:dyDescent="0.2">
      <c r="A2" t="s">
        <v>869</v>
      </c>
      <c r="B2" t="s">
        <v>870</v>
      </c>
      <c r="C2" t="s">
        <v>869</v>
      </c>
      <c r="D2" t="s">
        <v>862</v>
      </c>
      <c r="E2" t="s">
        <v>863</v>
      </c>
      <c r="F2" t="s">
        <v>864</v>
      </c>
      <c r="G2" t="s">
        <v>862</v>
      </c>
      <c r="H2" t="s">
        <v>865</v>
      </c>
      <c r="I2" t="s">
        <v>866</v>
      </c>
      <c r="J2">
        <v>2</v>
      </c>
      <c r="K2">
        <v>20</v>
      </c>
      <c r="L2" t="s">
        <v>869</v>
      </c>
      <c r="M2" t="s">
        <v>869</v>
      </c>
      <c r="N2" t="s">
        <v>862</v>
      </c>
      <c r="O2" t="s">
        <v>867</v>
      </c>
      <c r="P2">
        <v>4</v>
      </c>
      <c r="Q2">
        <v>4</v>
      </c>
      <c r="R2">
        <v>0</v>
      </c>
      <c r="S2" t="s">
        <v>862</v>
      </c>
      <c r="T2">
        <v>0</v>
      </c>
      <c r="U2">
        <v>0</v>
      </c>
      <c r="V2">
        <v>0</v>
      </c>
      <c r="W2" t="s">
        <v>862</v>
      </c>
      <c r="X2" t="s">
        <v>862</v>
      </c>
      <c r="Y2" t="s">
        <v>862</v>
      </c>
      <c r="Z2">
        <v>0</v>
      </c>
      <c r="AA2">
        <v>0</v>
      </c>
      <c r="AB2">
        <v>0</v>
      </c>
      <c r="AC2" s="507">
        <v>40959</v>
      </c>
      <c r="AD2" s="507">
        <v>73050</v>
      </c>
      <c r="AE2" s="507">
        <v>40959</v>
      </c>
      <c r="AF2" t="s">
        <v>865</v>
      </c>
      <c r="AG2">
        <v>0</v>
      </c>
      <c r="AH2" t="s">
        <v>871</v>
      </c>
      <c r="AI2">
        <v>4</v>
      </c>
      <c r="AJ2">
        <v>4</v>
      </c>
      <c r="AK2">
        <v>0</v>
      </c>
      <c r="AL2">
        <v>4</v>
      </c>
      <c r="AM2" t="s">
        <v>862</v>
      </c>
      <c r="AN2" t="s">
        <v>864</v>
      </c>
      <c r="AO2">
        <v>4.2</v>
      </c>
      <c r="AP2">
        <v>1</v>
      </c>
      <c r="AQ2">
        <v>0</v>
      </c>
      <c r="AR2">
        <v>4.2</v>
      </c>
      <c r="AS2" s="508">
        <v>4.2</v>
      </c>
    </row>
    <row r="3" spans="1:47" x14ac:dyDescent="0.2">
      <c r="A3" t="s">
        <v>872</v>
      </c>
      <c r="B3" t="s">
        <v>873</v>
      </c>
      <c r="C3" t="s">
        <v>872</v>
      </c>
      <c r="D3" t="s">
        <v>862</v>
      </c>
      <c r="E3" t="s">
        <v>863</v>
      </c>
      <c r="F3" t="s">
        <v>864</v>
      </c>
      <c r="G3" t="s">
        <v>862</v>
      </c>
      <c r="H3" t="s">
        <v>865</v>
      </c>
      <c r="I3" t="s">
        <v>866</v>
      </c>
      <c r="J3">
        <v>3</v>
      </c>
      <c r="K3">
        <v>30</v>
      </c>
      <c r="L3" t="s">
        <v>872</v>
      </c>
      <c r="M3" t="s">
        <v>872</v>
      </c>
      <c r="N3" t="s">
        <v>862</v>
      </c>
      <c r="O3" t="s">
        <v>690</v>
      </c>
      <c r="P3">
        <v>11</v>
      </c>
      <c r="Q3">
        <v>11</v>
      </c>
      <c r="R3">
        <v>0</v>
      </c>
      <c r="S3" t="s">
        <v>862</v>
      </c>
      <c r="T3">
        <v>0</v>
      </c>
      <c r="U3">
        <v>0</v>
      </c>
      <c r="V3">
        <v>0</v>
      </c>
      <c r="W3" t="s">
        <v>862</v>
      </c>
      <c r="X3" t="s">
        <v>862</v>
      </c>
      <c r="Y3" t="s">
        <v>862</v>
      </c>
      <c r="Z3">
        <v>0</v>
      </c>
      <c r="AA3">
        <v>0</v>
      </c>
      <c r="AB3">
        <v>0</v>
      </c>
      <c r="AC3" s="507">
        <v>40959</v>
      </c>
      <c r="AD3" s="507">
        <v>73050</v>
      </c>
      <c r="AE3" s="507">
        <v>40959</v>
      </c>
      <c r="AF3" t="s">
        <v>865</v>
      </c>
      <c r="AG3">
        <v>0</v>
      </c>
      <c r="AH3" t="s">
        <v>874</v>
      </c>
      <c r="AI3">
        <v>11</v>
      </c>
      <c r="AJ3">
        <v>11</v>
      </c>
      <c r="AK3">
        <v>0</v>
      </c>
      <c r="AL3">
        <v>11</v>
      </c>
      <c r="AM3" t="s">
        <v>862</v>
      </c>
      <c r="AN3" t="s">
        <v>864</v>
      </c>
      <c r="AO3">
        <v>5.39</v>
      </c>
      <c r="AP3">
        <v>1</v>
      </c>
      <c r="AQ3">
        <v>0</v>
      </c>
      <c r="AR3">
        <v>5.3567799999999997</v>
      </c>
      <c r="AS3" s="508">
        <v>5.39</v>
      </c>
    </row>
    <row r="4" spans="1:47" x14ac:dyDescent="0.2">
      <c r="A4" t="s">
        <v>875</v>
      </c>
      <c r="B4" t="s">
        <v>876</v>
      </c>
      <c r="C4" t="s">
        <v>875</v>
      </c>
      <c r="D4" t="s">
        <v>862</v>
      </c>
      <c r="E4" t="s">
        <v>863</v>
      </c>
      <c r="F4" t="s">
        <v>864</v>
      </c>
      <c r="G4" t="s">
        <v>862</v>
      </c>
      <c r="H4" t="s">
        <v>877</v>
      </c>
      <c r="I4" t="s">
        <v>866</v>
      </c>
      <c r="J4">
        <v>4</v>
      </c>
      <c r="K4">
        <v>40</v>
      </c>
      <c r="L4" t="s">
        <v>875</v>
      </c>
      <c r="M4" t="s">
        <v>875</v>
      </c>
      <c r="N4" t="s">
        <v>862</v>
      </c>
      <c r="O4" t="s">
        <v>878</v>
      </c>
      <c r="P4">
        <v>2.5</v>
      </c>
      <c r="Q4">
        <v>2</v>
      </c>
      <c r="R4">
        <v>0</v>
      </c>
      <c r="S4" t="s">
        <v>862</v>
      </c>
      <c r="T4">
        <v>0</v>
      </c>
      <c r="U4">
        <v>0</v>
      </c>
      <c r="V4">
        <v>0</v>
      </c>
      <c r="W4" t="s">
        <v>862</v>
      </c>
      <c r="X4" t="s">
        <v>862</v>
      </c>
      <c r="Y4" t="s">
        <v>862</v>
      </c>
      <c r="Z4">
        <v>0</v>
      </c>
      <c r="AA4">
        <v>0</v>
      </c>
      <c r="AB4">
        <v>0</v>
      </c>
      <c r="AC4" s="507">
        <v>40959</v>
      </c>
      <c r="AD4" s="507">
        <v>73050</v>
      </c>
      <c r="AE4" s="507">
        <v>40959</v>
      </c>
      <c r="AF4" t="s">
        <v>877</v>
      </c>
      <c r="AG4">
        <v>0</v>
      </c>
      <c r="AH4" t="s">
        <v>879</v>
      </c>
      <c r="AI4">
        <v>2</v>
      </c>
      <c r="AJ4">
        <v>2</v>
      </c>
      <c r="AK4">
        <v>0</v>
      </c>
      <c r="AL4">
        <v>2.5</v>
      </c>
      <c r="AM4" t="s">
        <v>862</v>
      </c>
      <c r="AN4" t="s">
        <v>864</v>
      </c>
      <c r="AO4">
        <v>40</v>
      </c>
      <c r="AP4">
        <v>1</v>
      </c>
      <c r="AQ4">
        <v>0</v>
      </c>
      <c r="AR4">
        <v>40</v>
      </c>
      <c r="AS4" s="508">
        <v>50</v>
      </c>
    </row>
    <row r="5" spans="1:47" x14ac:dyDescent="0.2">
      <c r="AS5" s="508">
        <f>SUM(AS1:AS4)</f>
        <v>67.888329999999996</v>
      </c>
      <c r="AU5" t="s">
        <v>880</v>
      </c>
    </row>
    <row r="7" spans="1:47" x14ac:dyDescent="0.2">
      <c r="A7" t="s">
        <v>882</v>
      </c>
      <c r="B7" t="s">
        <v>881</v>
      </c>
      <c r="C7" t="s">
        <v>860</v>
      </c>
      <c r="D7" t="s">
        <v>862</v>
      </c>
      <c r="E7" t="s">
        <v>863</v>
      </c>
      <c r="F7" t="s">
        <v>864</v>
      </c>
      <c r="G7" t="s">
        <v>862</v>
      </c>
      <c r="H7" t="s">
        <v>865</v>
      </c>
      <c r="I7" t="s">
        <v>866</v>
      </c>
      <c r="J7">
        <v>1</v>
      </c>
      <c r="K7">
        <v>10</v>
      </c>
      <c r="L7" t="s">
        <v>860</v>
      </c>
      <c r="M7" t="s">
        <v>860</v>
      </c>
      <c r="N7" t="s">
        <v>862</v>
      </c>
      <c r="O7" t="s">
        <v>867</v>
      </c>
      <c r="P7">
        <v>1</v>
      </c>
      <c r="Q7">
        <v>1</v>
      </c>
      <c r="R7">
        <v>0</v>
      </c>
      <c r="S7" t="s">
        <v>862</v>
      </c>
      <c r="T7">
        <v>0</v>
      </c>
      <c r="U7">
        <v>0</v>
      </c>
      <c r="V7">
        <v>0</v>
      </c>
      <c r="W7" t="s">
        <v>862</v>
      </c>
      <c r="X7" t="s">
        <v>862</v>
      </c>
      <c r="Y7" t="s">
        <v>862</v>
      </c>
      <c r="Z7">
        <v>0</v>
      </c>
      <c r="AA7">
        <v>0</v>
      </c>
      <c r="AB7">
        <v>0</v>
      </c>
      <c r="AC7" s="507">
        <v>40959</v>
      </c>
      <c r="AD7" s="507">
        <v>73050</v>
      </c>
      <c r="AE7" s="507">
        <v>40959</v>
      </c>
      <c r="AF7" t="s">
        <v>865</v>
      </c>
      <c r="AG7">
        <v>0</v>
      </c>
      <c r="AH7" t="s">
        <v>868</v>
      </c>
      <c r="AI7">
        <v>1</v>
      </c>
      <c r="AJ7">
        <v>1</v>
      </c>
      <c r="AK7">
        <v>0</v>
      </c>
      <c r="AL7">
        <v>1</v>
      </c>
      <c r="AM7" t="s">
        <v>862</v>
      </c>
      <c r="AN7" t="s">
        <v>864</v>
      </c>
      <c r="AO7">
        <v>5.33</v>
      </c>
      <c r="AP7">
        <v>1</v>
      </c>
      <c r="AQ7">
        <v>0</v>
      </c>
      <c r="AR7">
        <v>7.05328</v>
      </c>
      <c r="AS7" s="508">
        <v>5.33</v>
      </c>
    </row>
    <row r="8" spans="1:47" x14ac:dyDescent="0.2">
      <c r="A8" t="s">
        <v>869</v>
      </c>
      <c r="B8" t="s">
        <v>870</v>
      </c>
      <c r="C8" t="s">
        <v>869</v>
      </c>
      <c r="D8" t="s">
        <v>862</v>
      </c>
      <c r="E8" t="s">
        <v>863</v>
      </c>
      <c r="F8" t="s">
        <v>864</v>
      </c>
      <c r="G8" t="s">
        <v>862</v>
      </c>
      <c r="H8" t="s">
        <v>865</v>
      </c>
      <c r="I8" t="s">
        <v>866</v>
      </c>
      <c r="J8">
        <v>2</v>
      </c>
      <c r="K8">
        <v>20</v>
      </c>
      <c r="L8" t="s">
        <v>869</v>
      </c>
      <c r="M8" t="s">
        <v>869</v>
      </c>
      <c r="N8" t="s">
        <v>862</v>
      </c>
      <c r="O8" t="s">
        <v>867</v>
      </c>
      <c r="P8">
        <v>4</v>
      </c>
      <c r="Q8">
        <v>4</v>
      </c>
      <c r="R8">
        <v>0</v>
      </c>
      <c r="S8" t="s">
        <v>862</v>
      </c>
      <c r="T8">
        <v>0</v>
      </c>
      <c r="U8">
        <v>0</v>
      </c>
      <c r="V8">
        <v>0</v>
      </c>
      <c r="W8" t="s">
        <v>862</v>
      </c>
      <c r="X8" t="s">
        <v>862</v>
      </c>
      <c r="Y8" t="s">
        <v>862</v>
      </c>
      <c r="Z8">
        <v>0</v>
      </c>
      <c r="AA8">
        <v>0</v>
      </c>
      <c r="AB8">
        <v>0</v>
      </c>
      <c r="AC8" s="507">
        <v>40959</v>
      </c>
      <c r="AD8" s="507">
        <v>73050</v>
      </c>
      <c r="AE8" s="507">
        <v>40959</v>
      </c>
      <c r="AF8" t="s">
        <v>865</v>
      </c>
      <c r="AG8">
        <v>0</v>
      </c>
      <c r="AH8" t="s">
        <v>871</v>
      </c>
      <c r="AI8">
        <v>4</v>
      </c>
      <c r="AJ8">
        <v>4</v>
      </c>
      <c r="AK8">
        <v>0</v>
      </c>
      <c r="AL8">
        <v>4</v>
      </c>
      <c r="AM8" t="s">
        <v>862</v>
      </c>
      <c r="AN8" t="s">
        <v>864</v>
      </c>
      <c r="AO8">
        <v>4.2</v>
      </c>
      <c r="AP8">
        <v>1</v>
      </c>
      <c r="AQ8">
        <v>0</v>
      </c>
      <c r="AR8">
        <v>4.2</v>
      </c>
      <c r="AS8" s="508">
        <v>4.2</v>
      </c>
    </row>
    <row r="9" spans="1:47" x14ac:dyDescent="0.2">
      <c r="A9" t="s">
        <v>872</v>
      </c>
      <c r="B9" t="s">
        <v>873</v>
      </c>
      <c r="C9" t="s">
        <v>872</v>
      </c>
      <c r="D9" t="s">
        <v>862</v>
      </c>
      <c r="E9" t="s">
        <v>863</v>
      </c>
      <c r="F9" t="s">
        <v>864</v>
      </c>
      <c r="G9" t="s">
        <v>862</v>
      </c>
      <c r="H9" t="s">
        <v>865</v>
      </c>
      <c r="I9" t="s">
        <v>866</v>
      </c>
      <c r="J9">
        <v>3</v>
      </c>
      <c r="K9">
        <v>30</v>
      </c>
      <c r="L9" t="s">
        <v>872</v>
      </c>
      <c r="M9" t="s">
        <v>872</v>
      </c>
      <c r="N9" t="s">
        <v>862</v>
      </c>
      <c r="O9" t="s">
        <v>690</v>
      </c>
      <c r="P9">
        <v>9.14</v>
      </c>
      <c r="Q9">
        <v>11</v>
      </c>
      <c r="R9">
        <v>0</v>
      </c>
      <c r="S9" t="s">
        <v>862</v>
      </c>
      <c r="T9">
        <v>0</v>
      </c>
      <c r="U9">
        <v>0</v>
      </c>
      <c r="V9">
        <v>0</v>
      </c>
      <c r="W9" t="s">
        <v>862</v>
      </c>
      <c r="X9" t="s">
        <v>862</v>
      </c>
      <c r="Y9" t="s">
        <v>862</v>
      </c>
      <c r="Z9">
        <v>0</v>
      </c>
      <c r="AA9">
        <v>0</v>
      </c>
      <c r="AB9">
        <v>0</v>
      </c>
      <c r="AC9" s="507">
        <v>40959</v>
      </c>
      <c r="AD9" s="507">
        <v>73050</v>
      </c>
      <c r="AE9" s="507">
        <v>40959</v>
      </c>
      <c r="AF9" t="s">
        <v>865</v>
      </c>
      <c r="AG9">
        <v>0</v>
      </c>
      <c r="AH9" t="s">
        <v>874</v>
      </c>
      <c r="AI9">
        <v>11</v>
      </c>
      <c r="AJ9">
        <v>11</v>
      </c>
      <c r="AK9">
        <v>0</v>
      </c>
      <c r="AL9">
        <v>9.14</v>
      </c>
      <c r="AM9" t="s">
        <v>862</v>
      </c>
      <c r="AN9" t="s">
        <v>864</v>
      </c>
      <c r="AO9">
        <v>4.4800000000000004</v>
      </c>
      <c r="AP9">
        <v>1</v>
      </c>
      <c r="AQ9">
        <v>0</v>
      </c>
      <c r="AR9">
        <v>5.3567799999999997</v>
      </c>
      <c r="AS9" s="508">
        <v>4.4800000000000004</v>
      </c>
    </row>
    <row r="10" spans="1:47" x14ac:dyDescent="0.2">
      <c r="A10" t="s">
        <v>875</v>
      </c>
      <c r="B10" t="s">
        <v>876</v>
      </c>
      <c r="C10" t="s">
        <v>875</v>
      </c>
      <c r="D10" t="s">
        <v>862</v>
      </c>
      <c r="E10" t="s">
        <v>863</v>
      </c>
      <c r="F10" t="s">
        <v>864</v>
      </c>
      <c r="G10" t="s">
        <v>862</v>
      </c>
      <c r="H10" t="s">
        <v>877</v>
      </c>
      <c r="I10" t="s">
        <v>866</v>
      </c>
      <c r="J10">
        <v>4</v>
      </c>
      <c r="K10">
        <v>40</v>
      </c>
      <c r="L10" t="s">
        <v>875</v>
      </c>
      <c r="M10" t="s">
        <v>875</v>
      </c>
      <c r="N10" t="s">
        <v>862</v>
      </c>
      <c r="O10" t="s">
        <v>878</v>
      </c>
      <c r="P10">
        <v>2.5</v>
      </c>
      <c r="Q10">
        <v>2</v>
      </c>
      <c r="R10">
        <v>0</v>
      </c>
      <c r="S10" t="s">
        <v>862</v>
      </c>
      <c r="T10">
        <v>0</v>
      </c>
      <c r="U10">
        <v>0</v>
      </c>
      <c r="V10">
        <v>0</v>
      </c>
      <c r="W10" t="s">
        <v>862</v>
      </c>
      <c r="X10" t="s">
        <v>862</v>
      </c>
      <c r="Y10" t="s">
        <v>862</v>
      </c>
      <c r="Z10">
        <v>0</v>
      </c>
      <c r="AA10">
        <v>0</v>
      </c>
      <c r="AB10">
        <v>0</v>
      </c>
      <c r="AC10" s="507">
        <v>40959</v>
      </c>
      <c r="AD10" s="507">
        <v>73050</v>
      </c>
      <c r="AE10" s="507">
        <v>40959</v>
      </c>
      <c r="AF10" t="s">
        <v>877</v>
      </c>
      <c r="AG10">
        <v>0</v>
      </c>
      <c r="AH10" t="s">
        <v>879</v>
      </c>
      <c r="AI10">
        <v>2</v>
      </c>
      <c r="AJ10">
        <v>2</v>
      </c>
      <c r="AK10">
        <v>0</v>
      </c>
      <c r="AL10">
        <v>2.5</v>
      </c>
      <c r="AM10" t="s">
        <v>862</v>
      </c>
      <c r="AN10" t="s">
        <v>864</v>
      </c>
      <c r="AO10">
        <v>40</v>
      </c>
      <c r="AP10">
        <v>1</v>
      </c>
      <c r="AQ10">
        <v>0</v>
      </c>
      <c r="AR10">
        <v>40</v>
      </c>
      <c r="AS10" s="508">
        <v>50</v>
      </c>
    </row>
    <row r="11" spans="1:47" x14ac:dyDescent="0.2">
      <c r="AS11" s="508">
        <f>SUM(AS7:AS10)</f>
        <v>64.010000000000005</v>
      </c>
      <c r="AU11" t="s">
        <v>891</v>
      </c>
    </row>
    <row r="13" spans="1:47" x14ac:dyDescent="0.2">
      <c r="A13" t="s">
        <v>884</v>
      </c>
      <c r="B13" t="s">
        <v>883</v>
      </c>
      <c r="C13" t="s">
        <v>860</v>
      </c>
      <c r="D13" t="s">
        <v>862</v>
      </c>
      <c r="E13" t="s">
        <v>863</v>
      </c>
      <c r="F13" t="s">
        <v>864</v>
      </c>
      <c r="G13" t="s">
        <v>862</v>
      </c>
      <c r="H13" t="s">
        <v>865</v>
      </c>
      <c r="I13" t="s">
        <v>866</v>
      </c>
      <c r="J13">
        <v>1</v>
      </c>
      <c r="K13">
        <v>10</v>
      </c>
      <c r="L13" t="s">
        <v>860</v>
      </c>
      <c r="M13" t="s">
        <v>860</v>
      </c>
      <c r="N13" t="s">
        <v>862</v>
      </c>
      <c r="O13" t="s">
        <v>867</v>
      </c>
      <c r="P13">
        <v>1</v>
      </c>
      <c r="Q13">
        <v>1</v>
      </c>
      <c r="R13">
        <v>0</v>
      </c>
      <c r="S13" t="s">
        <v>862</v>
      </c>
      <c r="T13">
        <v>0</v>
      </c>
      <c r="U13">
        <v>0</v>
      </c>
      <c r="V13">
        <v>0</v>
      </c>
      <c r="W13" t="s">
        <v>862</v>
      </c>
      <c r="X13" t="s">
        <v>862</v>
      </c>
      <c r="Y13" t="s">
        <v>862</v>
      </c>
      <c r="Z13">
        <v>0</v>
      </c>
      <c r="AA13">
        <v>0</v>
      </c>
      <c r="AB13">
        <v>0</v>
      </c>
      <c r="AC13" s="507">
        <v>40959</v>
      </c>
      <c r="AD13" s="507">
        <v>73050</v>
      </c>
      <c r="AE13" s="507">
        <v>40959</v>
      </c>
      <c r="AF13" t="s">
        <v>865</v>
      </c>
      <c r="AG13">
        <v>0</v>
      </c>
      <c r="AH13" t="s">
        <v>868</v>
      </c>
      <c r="AI13">
        <v>1</v>
      </c>
      <c r="AJ13">
        <v>1</v>
      </c>
      <c r="AK13">
        <v>0</v>
      </c>
      <c r="AL13">
        <v>1</v>
      </c>
      <c r="AM13" t="s">
        <v>862</v>
      </c>
      <c r="AN13" t="s">
        <v>864</v>
      </c>
      <c r="AO13">
        <v>10.18</v>
      </c>
      <c r="AP13">
        <v>1</v>
      </c>
      <c r="AQ13">
        <v>0</v>
      </c>
      <c r="AR13">
        <v>7.05328</v>
      </c>
      <c r="AS13" s="508">
        <v>10.18</v>
      </c>
    </row>
    <row r="14" spans="1:47" x14ac:dyDescent="0.2">
      <c r="A14" t="s">
        <v>869</v>
      </c>
      <c r="B14" t="s">
        <v>870</v>
      </c>
      <c r="C14" t="s">
        <v>869</v>
      </c>
      <c r="D14" t="s">
        <v>862</v>
      </c>
      <c r="E14" t="s">
        <v>863</v>
      </c>
      <c r="F14" t="s">
        <v>864</v>
      </c>
      <c r="G14" t="s">
        <v>862</v>
      </c>
      <c r="H14" t="s">
        <v>865</v>
      </c>
      <c r="I14" t="s">
        <v>866</v>
      </c>
      <c r="J14">
        <v>2</v>
      </c>
      <c r="K14">
        <v>20</v>
      </c>
      <c r="L14" t="s">
        <v>869</v>
      </c>
      <c r="M14" t="s">
        <v>869</v>
      </c>
      <c r="N14" t="s">
        <v>862</v>
      </c>
      <c r="O14" t="s">
        <v>867</v>
      </c>
      <c r="P14">
        <v>4</v>
      </c>
      <c r="Q14">
        <v>4</v>
      </c>
      <c r="R14">
        <v>0</v>
      </c>
      <c r="S14" t="s">
        <v>862</v>
      </c>
      <c r="T14">
        <v>0</v>
      </c>
      <c r="U14">
        <v>0</v>
      </c>
      <c r="V14">
        <v>0</v>
      </c>
      <c r="W14" t="s">
        <v>862</v>
      </c>
      <c r="X14" t="s">
        <v>862</v>
      </c>
      <c r="Y14" t="s">
        <v>862</v>
      </c>
      <c r="Z14">
        <v>0</v>
      </c>
      <c r="AA14">
        <v>0</v>
      </c>
      <c r="AB14">
        <v>0</v>
      </c>
      <c r="AC14" s="507">
        <v>40959</v>
      </c>
      <c r="AD14" s="507">
        <v>73050</v>
      </c>
      <c r="AE14" s="507">
        <v>40959</v>
      </c>
      <c r="AF14" t="s">
        <v>865</v>
      </c>
      <c r="AG14">
        <v>0</v>
      </c>
      <c r="AH14" t="s">
        <v>871</v>
      </c>
      <c r="AI14">
        <v>4</v>
      </c>
      <c r="AJ14">
        <v>4</v>
      </c>
      <c r="AK14">
        <v>0</v>
      </c>
      <c r="AL14">
        <v>4</v>
      </c>
      <c r="AM14" t="s">
        <v>862</v>
      </c>
      <c r="AN14" t="s">
        <v>864</v>
      </c>
      <c r="AO14">
        <v>4.2</v>
      </c>
      <c r="AP14">
        <v>1</v>
      </c>
      <c r="AQ14">
        <v>0</v>
      </c>
      <c r="AR14">
        <v>4.2</v>
      </c>
      <c r="AS14" s="508">
        <v>4.2</v>
      </c>
    </row>
    <row r="15" spans="1:47" x14ac:dyDescent="0.2">
      <c r="A15" t="s">
        <v>872</v>
      </c>
      <c r="B15" t="s">
        <v>873</v>
      </c>
      <c r="C15" t="s">
        <v>872</v>
      </c>
      <c r="D15" t="s">
        <v>862</v>
      </c>
      <c r="E15" t="s">
        <v>863</v>
      </c>
      <c r="F15" t="s">
        <v>864</v>
      </c>
      <c r="G15" t="s">
        <v>862</v>
      </c>
      <c r="H15" t="s">
        <v>865</v>
      </c>
      <c r="I15" t="s">
        <v>866</v>
      </c>
      <c r="J15">
        <v>3</v>
      </c>
      <c r="K15">
        <v>30</v>
      </c>
      <c r="L15" t="s">
        <v>872</v>
      </c>
      <c r="M15" t="s">
        <v>872</v>
      </c>
      <c r="N15" t="s">
        <v>862</v>
      </c>
      <c r="O15" t="s">
        <v>690</v>
      </c>
      <c r="P15">
        <v>14</v>
      </c>
      <c r="Q15">
        <v>11</v>
      </c>
      <c r="R15">
        <v>0</v>
      </c>
      <c r="S15" t="s">
        <v>862</v>
      </c>
      <c r="T15">
        <v>0</v>
      </c>
      <c r="U15">
        <v>0</v>
      </c>
      <c r="V15">
        <v>0</v>
      </c>
      <c r="W15" t="s">
        <v>862</v>
      </c>
      <c r="X15" t="s">
        <v>862</v>
      </c>
      <c r="Y15" t="s">
        <v>862</v>
      </c>
      <c r="Z15">
        <v>0</v>
      </c>
      <c r="AA15">
        <v>0</v>
      </c>
      <c r="AB15">
        <v>0</v>
      </c>
      <c r="AC15" s="507">
        <v>40959</v>
      </c>
      <c r="AD15" s="507">
        <v>73050</v>
      </c>
      <c r="AE15" s="507">
        <v>40959</v>
      </c>
      <c r="AF15" t="s">
        <v>865</v>
      </c>
      <c r="AG15">
        <v>0</v>
      </c>
      <c r="AH15" t="s">
        <v>874</v>
      </c>
      <c r="AI15">
        <v>11</v>
      </c>
      <c r="AJ15">
        <v>11</v>
      </c>
      <c r="AK15">
        <v>0</v>
      </c>
      <c r="AL15">
        <v>14</v>
      </c>
      <c r="AM15" t="s">
        <v>862</v>
      </c>
      <c r="AN15" t="s">
        <v>864</v>
      </c>
      <c r="AO15">
        <v>6.86</v>
      </c>
      <c r="AP15">
        <v>1</v>
      </c>
      <c r="AQ15">
        <v>0</v>
      </c>
      <c r="AR15">
        <v>5.3567799999999997</v>
      </c>
      <c r="AS15" s="508">
        <v>6.86</v>
      </c>
    </row>
    <row r="16" spans="1:47" x14ac:dyDescent="0.2">
      <c r="A16" t="s">
        <v>875</v>
      </c>
      <c r="B16" t="s">
        <v>876</v>
      </c>
      <c r="C16" t="s">
        <v>875</v>
      </c>
      <c r="D16" t="s">
        <v>862</v>
      </c>
      <c r="E16" t="s">
        <v>863</v>
      </c>
      <c r="F16" t="s">
        <v>864</v>
      </c>
      <c r="G16" t="s">
        <v>862</v>
      </c>
      <c r="H16" t="s">
        <v>877</v>
      </c>
      <c r="I16" t="s">
        <v>866</v>
      </c>
      <c r="J16">
        <v>4</v>
      </c>
      <c r="K16">
        <v>40</v>
      </c>
      <c r="L16" t="s">
        <v>875</v>
      </c>
      <c r="M16" t="s">
        <v>875</v>
      </c>
      <c r="N16" t="s">
        <v>862</v>
      </c>
      <c r="O16" t="s">
        <v>878</v>
      </c>
      <c r="P16">
        <v>2.5</v>
      </c>
      <c r="Q16">
        <v>2</v>
      </c>
      <c r="R16">
        <v>0</v>
      </c>
      <c r="S16" t="s">
        <v>862</v>
      </c>
      <c r="T16">
        <v>0</v>
      </c>
      <c r="U16">
        <v>0</v>
      </c>
      <c r="V16">
        <v>0</v>
      </c>
      <c r="W16" t="s">
        <v>862</v>
      </c>
      <c r="X16" t="s">
        <v>862</v>
      </c>
      <c r="Y16" t="s">
        <v>862</v>
      </c>
      <c r="Z16">
        <v>0</v>
      </c>
      <c r="AA16">
        <v>0</v>
      </c>
      <c r="AB16">
        <v>0</v>
      </c>
      <c r="AC16" s="507">
        <v>40959</v>
      </c>
      <c r="AD16" s="507">
        <v>73050</v>
      </c>
      <c r="AE16" s="507">
        <v>40959</v>
      </c>
      <c r="AF16" t="s">
        <v>877</v>
      </c>
      <c r="AG16">
        <v>0</v>
      </c>
      <c r="AH16" t="s">
        <v>879</v>
      </c>
      <c r="AI16">
        <v>2</v>
      </c>
      <c r="AJ16">
        <v>2</v>
      </c>
      <c r="AK16">
        <v>0</v>
      </c>
      <c r="AL16">
        <v>2.5</v>
      </c>
      <c r="AM16" t="s">
        <v>862</v>
      </c>
      <c r="AN16" t="s">
        <v>864</v>
      </c>
      <c r="AO16">
        <v>40</v>
      </c>
      <c r="AP16">
        <v>1</v>
      </c>
      <c r="AQ16">
        <v>0</v>
      </c>
      <c r="AR16">
        <v>40</v>
      </c>
      <c r="AS16" s="508">
        <v>50</v>
      </c>
    </row>
    <row r="17" spans="1:47" x14ac:dyDescent="0.2">
      <c r="AS17" s="508">
        <f>SUM(AS13:AS16)</f>
        <v>71.239999999999995</v>
      </c>
      <c r="AU17" t="s">
        <v>892</v>
      </c>
    </row>
    <row r="19" spans="1:47" x14ac:dyDescent="0.2">
      <c r="A19" t="s">
        <v>885</v>
      </c>
      <c r="B19" t="s">
        <v>886</v>
      </c>
      <c r="C19" t="s">
        <v>860</v>
      </c>
      <c r="D19" t="s">
        <v>862</v>
      </c>
      <c r="E19" t="s">
        <v>863</v>
      </c>
      <c r="F19" t="s">
        <v>864</v>
      </c>
      <c r="G19" t="s">
        <v>862</v>
      </c>
      <c r="H19" t="s">
        <v>865</v>
      </c>
      <c r="I19" t="s">
        <v>866</v>
      </c>
      <c r="J19">
        <v>1</v>
      </c>
      <c r="K19">
        <v>10</v>
      </c>
      <c r="L19" t="s">
        <v>860</v>
      </c>
      <c r="M19" t="s">
        <v>860</v>
      </c>
      <c r="N19" t="s">
        <v>862</v>
      </c>
      <c r="O19" t="s">
        <v>867</v>
      </c>
      <c r="P19">
        <v>1</v>
      </c>
      <c r="Q19">
        <v>1</v>
      </c>
      <c r="R19">
        <v>0</v>
      </c>
      <c r="S19" t="s">
        <v>862</v>
      </c>
      <c r="T19">
        <v>0</v>
      </c>
      <c r="U19">
        <v>0</v>
      </c>
      <c r="V19">
        <v>0</v>
      </c>
      <c r="W19" t="s">
        <v>862</v>
      </c>
      <c r="X19" t="s">
        <v>862</v>
      </c>
      <c r="Y19" t="s">
        <v>862</v>
      </c>
      <c r="Z19">
        <v>0</v>
      </c>
      <c r="AA19">
        <v>0</v>
      </c>
      <c r="AB19">
        <v>0</v>
      </c>
      <c r="AC19" s="507">
        <v>40959</v>
      </c>
      <c r="AD19" s="507">
        <v>73050</v>
      </c>
      <c r="AE19" s="507">
        <v>40959</v>
      </c>
      <c r="AF19" t="s">
        <v>865</v>
      </c>
      <c r="AG19">
        <v>0</v>
      </c>
      <c r="AH19" t="s">
        <v>868</v>
      </c>
      <c r="AI19">
        <v>1</v>
      </c>
      <c r="AJ19">
        <v>1</v>
      </c>
      <c r="AK19">
        <v>0</v>
      </c>
      <c r="AL19">
        <v>1</v>
      </c>
      <c r="AM19" t="s">
        <v>862</v>
      </c>
      <c r="AN19" t="s">
        <v>864</v>
      </c>
      <c r="AO19">
        <v>3.83</v>
      </c>
      <c r="AP19">
        <v>1</v>
      </c>
      <c r="AQ19">
        <v>0</v>
      </c>
      <c r="AR19">
        <v>7.05328</v>
      </c>
      <c r="AS19" s="508">
        <v>3.83</v>
      </c>
    </row>
    <row r="20" spans="1:47" x14ac:dyDescent="0.2">
      <c r="A20" t="s">
        <v>869</v>
      </c>
      <c r="B20" t="s">
        <v>870</v>
      </c>
      <c r="C20" t="s">
        <v>869</v>
      </c>
      <c r="D20" t="s">
        <v>862</v>
      </c>
      <c r="E20" t="s">
        <v>863</v>
      </c>
      <c r="F20" t="s">
        <v>864</v>
      </c>
      <c r="G20" t="s">
        <v>862</v>
      </c>
      <c r="H20" t="s">
        <v>865</v>
      </c>
      <c r="I20" t="s">
        <v>866</v>
      </c>
      <c r="J20">
        <v>2</v>
      </c>
      <c r="K20">
        <v>20</v>
      </c>
      <c r="L20" t="s">
        <v>869</v>
      </c>
      <c r="M20" t="s">
        <v>869</v>
      </c>
      <c r="N20" t="s">
        <v>862</v>
      </c>
      <c r="O20" t="s">
        <v>867</v>
      </c>
      <c r="P20">
        <v>4</v>
      </c>
      <c r="Q20">
        <v>4</v>
      </c>
      <c r="R20">
        <v>0</v>
      </c>
      <c r="S20" t="s">
        <v>862</v>
      </c>
      <c r="T20">
        <v>0</v>
      </c>
      <c r="U20">
        <v>0</v>
      </c>
      <c r="V20">
        <v>0</v>
      </c>
      <c r="W20" t="s">
        <v>862</v>
      </c>
      <c r="X20" t="s">
        <v>862</v>
      </c>
      <c r="Y20" t="s">
        <v>862</v>
      </c>
      <c r="Z20">
        <v>0</v>
      </c>
      <c r="AA20">
        <v>0</v>
      </c>
      <c r="AB20">
        <v>0</v>
      </c>
      <c r="AC20" s="507">
        <v>40959</v>
      </c>
      <c r="AD20" s="507">
        <v>73050</v>
      </c>
      <c r="AE20" s="507">
        <v>40959</v>
      </c>
      <c r="AF20" t="s">
        <v>865</v>
      </c>
      <c r="AG20">
        <v>0</v>
      </c>
      <c r="AH20" t="s">
        <v>871</v>
      </c>
      <c r="AI20">
        <v>4</v>
      </c>
      <c r="AJ20">
        <v>4</v>
      </c>
      <c r="AK20">
        <v>0</v>
      </c>
      <c r="AL20">
        <v>4</v>
      </c>
      <c r="AM20" t="s">
        <v>862</v>
      </c>
      <c r="AN20" t="s">
        <v>864</v>
      </c>
      <c r="AO20">
        <v>4.2</v>
      </c>
      <c r="AP20">
        <v>1</v>
      </c>
      <c r="AQ20">
        <v>0</v>
      </c>
      <c r="AR20">
        <v>4.2</v>
      </c>
      <c r="AS20" s="508">
        <v>4.2</v>
      </c>
    </row>
    <row r="21" spans="1:47" x14ac:dyDescent="0.2">
      <c r="A21" t="s">
        <v>872</v>
      </c>
      <c r="B21" t="s">
        <v>873</v>
      </c>
      <c r="C21" t="s">
        <v>872</v>
      </c>
      <c r="D21" t="s">
        <v>862</v>
      </c>
      <c r="E21" t="s">
        <v>863</v>
      </c>
      <c r="F21" t="s">
        <v>864</v>
      </c>
      <c r="G21" t="s">
        <v>862</v>
      </c>
      <c r="H21" t="s">
        <v>865</v>
      </c>
      <c r="I21" t="s">
        <v>866</v>
      </c>
      <c r="J21">
        <v>3</v>
      </c>
      <c r="K21">
        <v>30</v>
      </c>
      <c r="L21" t="s">
        <v>872</v>
      </c>
      <c r="M21" t="s">
        <v>872</v>
      </c>
      <c r="N21" t="s">
        <v>862</v>
      </c>
      <c r="O21" t="s">
        <v>690</v>
      </c>
      <c r="P21">
        <v>6.31</v>
      </c>
      <c r="Q21">
        <v>11</v>
      </c>
      <c r="R21">
        <v>0</v>
      </c>
      <c r="S21" t="s">
        <v>862</v>
      </c>
      <c r="T21">
        <v>0</v>
      </c>
      <c r="U21">
        <v>0</v>
      </c>
      <c r="V21">
        <v>0</v>
      </c>
      <c r="W21" t="s">
        <v>862</v>
      </c>
      <c r="X21" t="s">
        <v>862</v>
      </c>
      <c r="Y21" t="s">
        <v>862</v>
      </c>
      <c r="Z21">
        <v>0</v>
      </c>
      <c r="AA21">
        <v>0</v>
      </c>
      <c r="AB21">
        <v>0</v>
      </c>
      <c r="AC21" s="507">
        <v>40959</v>
      </c>
      <c r="AD21" s="507">
        <v>73050</v>
      </c>
      <c r="AE21" s="507">
        <v>40959</v>
      </c>
      <c r="AF21" t="s">
        <v>865</v>
      </c>
      <c r="AG21">
        <v>0</v>
      </c>
      <c r="AH21" t="s">
        <v>874</v>
      </c>
      <c r="AI21">
        <v>11</v>
      </c>
      <c r="AJ21">
        <v>11</v>
      </c>
      <c r="AK21">
        <v>0</v>
      </c>
      <c r="AL21">
        <v>6.31</v>
      </c>
      <c r="AM21" t="s">
        <v>862</v>
      </c>
      <c r="AN21" t="s">
        <v>864</v>
      </c>
      <c r="AO21">
        <v>3.1</v>
      </c>
      <c r="AP21">
        <v>1</v>
      </c>
      <c r="AQ21">
        <v>0</v>
      </c>
      <c r="AR21">
        <v>5.3567799999999997</v>
      </c>
      <c r="AS21" s="508">
        <v>3.1</v>
      </c>
    </row>
    <row r="22" spans="1:47" x14ac:dyDescent="0.2">
      <c r="A22" t="s">
        <v>875</v>
      </c>
      <c r="B22" t="s">
        <v>876</v>
      </c>
      <c r="C22" t="s">
        <v>875</v>
      </c>
      <c r="D22" t="s">
        <v>862</v>
      </c>
      <c r="E22" t="s">
        <v>863</v>
      </c>
      <c r="F22" t="s">
        <v>864</v>
      </c>
      <c r="G22" t="s">
        <v>862</v>
      </c>
      <c r="H22" t="s">
        <v>877</v>
      </c>
      <c r="I22" t="s">
        <v>866</v>
      </c>
      <c r="J22">
        <v>4</v>
      </c>
      <c r="K22">
        <v>40</v>
      </c>
      <c r="L22" t="s">
        <v>875</v>
      </c>
      <c r="M22" t="s">
        <v>875</v>
      </c>
      <c r="N22" t="s">
        <v>862</v>
      </c>
      <c r="O22" t="s">
        <v>878</v>
      </c>
      <c r="P22">
        <v>2.5</v>
      </c>
      <c r="Q22">
        <v>2</v>
      </c>
      <c r="R22">
        <v>0</v>
      </c>
      <c r="S22" t="s">
        <v>862</v>
      </c>
      <c r="T22">
        <v>0</v>
      </c>
      <c r="U22">
        <v>0</v>
      </c>
      <c r="V22">
        <v>0</v>
      </c>
      <c r="W22" t="s">
        <v>862</v>
      </c>
      <c r="X22" t="s">
        <v>862</v>
      </c>
      <c r="Y22" t="s">
        <v>862</v>
      </c>
      <c r="Z22">
        <v>0</v>
      </c>
      <c r="AA22">
        <v>0</v>
      </c>
      <c r="AB22">
        <v>0</v>
      </c>
      <c r="AC22" s="507">
        <v>40959</v>
      </c>
      <c r="AD22" s="507">
        <v>73050</v>
      </c>
      <c r="AE22" s="507">
        <v>40959</v>
      </c>
      <c r="AF22" t="s">
        <v>877</v>
      </c>
      <c r="AG22">
        <v>0</v>
      </c>
      <c r="AH22" t="s">
        <v>879</v>
      </c>
      <c r="AI22">
        <v>2</v>
      </c>
      <c r="AJ22">
        <v>2</v>
      </c>
      <c r="AK22">
        <v>0</v>
      </c>
      <c r="AL22">
        <v>2.5</v>
      </c>
      <c r="AM22" t="s">
        <v>862</v>
      </c>
      <c r="AN22" t="s">
        <v>864</v>
      </c>
      <c r="AO22">
        <v>40</v>
      </c>
      <c r="AP22">
        <v>1</v>
      </c>
      <c r="AQ22">
        <v>0</v>
      </c>
      <c r="AR22">
        <v>40</v>
      </c>
      <c r="AS22" s="508">
        <v>50</v>
      </c>
    </row>
    <row r="23" spans="1:47" x14ac:dyDescent="0.2">
      <c r="AS23" s="508">
        <f>SUM(AS19:AS22)</f>
        <v>61.13</v>
      </c>
      <c r="AU23" t="s">
        <v>893</v>
      </c>
    </row>
    <row r="27" spans="1:47" x14ac:dyDescent="0.2">
      <c r="AP27" t="s">
        <v>894</v>
      </c>
      <c r="AS27" s="508">
        <f>AS5*3</f>
        <v>203.66498999999999</v>
      </c>
      <c r="AU27" t="s">
        <v>887</v>
      </c>
    </row>
    <row r="28" spans="1:47" x14ac:dyDescent="0.2">
      <c r="AS28" s="508">
        <f>AS11*3</f>
        <v>192.03000000000003</v>
      </c>
      <c r="AU28" t="s">
        <v>888</v>
      </c>
    </row>
    <row r="30" spans="1:47" x14ac:dyDescent="0.2">
      <c r="AS30" s="508">
        <f>AS17*3</f>
        <v>213.71999999999997</v>
      </c>
      <c r="AU30" t="s">
        <v>889</v>
      </c>
    </row>
    <row r="31" spans="1:47" x14ac:dyDescent="0.2">
      <c r="AS31" s="508">
        <f>AS23*3</f>
        <v>183.39000000000001</v>
      </c>
      <c r="AU31" t="s">
        <v>890</v>
      </c>
    </row>
  </sheetData>
  <autoFilter ref="A1:AS4" xr:uid="{00000000-0009-0000-0000-00000E000000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AF578D9E0E56449BC8F46F5296F1BA0" ma:contentTypeVersion="18" ma:contentTypeDescription="Create a new document." ma:contentTypeScope="" ma:versionID="2de6937b7f773f8b6255ecaa8851ba42">
  <xsd:schema xmlns:xsd="http://www.w3.org/2001/XMLSchema" xmlns:xs="http://www.w3.org/2001/XMLSchema" xmlns:p="http://schemas.microsoft.com/office/2006/metadata/properties" xmlns:ns3="41ec2dd5-9161-42b6-bb89-234f01a77222" xmlns:ns4="0fa13e74-0d02-461a-8dbc-c758614da864" targetNamespace="http://schemas.microsoft.com/office/2006/metadata/properties" ma:root="true" ma:fieldsID="df2f50073905bf27ec0ca1e994049836" ns3:_="" ns4:_="">
    <xsd:import namespace="41ec2dd5-9161-42b6-bb89-234f01a77222"/>
    <xsd:import namespace="0fa13e74-0d02-461a-8dbc-c758614da864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LengthInSeconds" minOccurs="0"/>
                <xsd:element ref="ns4:MediaServiceOCR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ec2dd5-9161-42b6-bb89-234f01a7722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a13e74-0d02-461a-8dbc-c758614da8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fa13e74-0d02-461a-8dbc-c758614da86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B0628D-8D26-4BD2-9066-B0885138F5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ec2dd5-9161-42b6-bb89-234f01a77222"/>
    <ds:schemaRef ds:uri="0fa13e74-0d02-461a-8dbc-c758614da8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45E0BDD-EF55-45BC-8CC1-C681044DD28C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41ec2dd5-9161-42b6-bb89-234f01a77222"/>
    <ds:schemaRef ds:uri="0fa13e74-0d02-461a-8dbc-c758614da864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55473EE-BF0F-4DF6-86F7-013D172B48C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17</vt:i4>
      </vt:variant>
      <vt:variant>
        <vt:lpstr>Intervalli denominati</vt:lpstr>
      </vt:variant>
      <vt:variant>
        <vt:i4>16</vt:i4>
      </vt:variant>
    </vt:vector>
  </HeadingPairs>
  <TitlesOfParts>
    <vt:vector size="33" baseType="lpstr">
      <vt:lpstr>STXVOLUME</vt:lpstr>
      <vt:lpstr>STXVOLUME (2)</vt:lpstr>
      <vt:lpstr>CONVERSIONE</vt:lpstr>
      <vt:lpstr>Foglio3</vt:lpstr>
      <vt:lpstr>PREZZI</vt:lpstr>
      <vt:lpstr>MAGGIORAZIONI</vt:lpstr>
      <vt:lpstr>PREZZI 2018</vt:lpstr>
      <vt:lpstr>sacco (2)</vt:lpstr>
      <vt:lpstr>Calcolo1</vt:lpstr>
      <vt:lpstr>calcoloPunti</vt:lpstr>
      <vt:lpstr>Sviluppo lato lungo</vt:lpstr>
      <vt:lpstr>Sviluppo lato corto</vt:lpstr>
      <vt:lpstr>sacco</vt:lpstr>
      <vt:lpstr>CalcoloVolume</vt:lpstr>
      <vt:lpstr>Foglio1</vt:lpstr>
      <vt:lpstr>Foglio2</vt:lpstr>
      <vt:lpstr>VERIFICA RIALZO PIEDI</vt:lpstr>
      <vt:lpstr>sacco!Area_stampa</vt:lpstr>
      <vt:lpstr>'sacco (2)'!Area_stampa</vt:lpstr>
      <vt:lpstr>STXVOLUME!Area_stampa</vt:lpstr>
      <vt:lpstr>'STXVOLUME (2)'!Area_stampa</vt:lpstr>
      <vt:lpstr>'Sviluppo lato corto'!Area_stampa</vt:lpstr>
      <vt:lpstr>'Sviluppo lato lungo'!Area_stampa</vt:lpstr>
      <vt:lpstr>sacco!LINGUE</vt:lpstr>
      <vt:lpstr>'sacco (2)'!LINGUE</vt:lpstr>
      <vt:lpstr>LINGUE</vt:lpstr>
      <vt:lpstr>LINGUEBIS</vt:lpstr>
      <vt:lpstr>SACCONI</vt:lpstr>
      <vt:lpstr>SILO</vt:lpstr>
      <vt:lpstr>STRUTTURA</vt:lpstr>
      <vt:lpstr>TC</vt:lpstr>
      <vt:lpstr>volumi</vt:lpstr>
      <vt:lpstr>volumint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Ceccarelli</dc:creator>
  <dc:description>File aggiornato per calcolo capacita' stl</dc:description>
  <cp:lastModifiedBy>Sandra Ceccarelli</cp:lastModifiedBy>
  <cp:lastPrinted>2018-06-25T11:54:55Z</cp:lastPrinted>
  <dcterms:created xsi:type="dcterms:W3CDTF">1998-02-12T15:12:07Z</dcterms:created>
  <dcterms:modified xsi:type="dcterms:W3CDTF">2026-01-15T15:07:37Z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0x010100EAF578D9E0E56449BC8F46F5296F1BA0</vt:lpwstr>
  </property>
</Properties>
</file>