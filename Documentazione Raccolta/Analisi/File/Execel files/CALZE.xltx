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/>
  <workbookPr/>
  <mc:AlternateContent xmlns:mc="http://schemas.openxmlformats.org/markup-compatibility/2006">
    <mc:Choice Requires="x15">
      <x15ac:absPath xmlns:x15ac="http://schemas.microsoft.com/office/spreadsheetml/2010/11/ac" url="Q:\Excelmod\XLSTART\OLD\OLD 12.01.2026\"/>
    </mc:Choice>
  </mc:AlternateContent>
  <xr:revisionPtr revIDLastSave="0" documentId="13_ncr:1_{8B0340AB-B8B5-46A9-8495-D74F50C48DE8}" xr6:coauthVersionLast="47" xr6:coauthVersionMax="47" xr10:uidLastSave="{00000000-0000-0000-0000-000000000000}"/>
  <bookViews>
    <workbookView xWindow="-120" yWindow="-120" windowWidth="24240" windowHeight="13020" xr2:uid="{00000000-000D-0000-FFFF-FFFF00000000}"/>
  </bookViews>
  <sheets>
    <sheet name="Foglio1" sheetId="1" r:id="rId1"/>
    <sheet name="Foglio2" sheetId="2" r:id="rId2"/>
    <sheet name="Foglio3" sheetId="3" r:id="rId3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16" i="2" l="1"/>
  <c r="B3" i="2"/>
  <c r="B8" i="2"/>
  <c r="B2" i="2"/>
  <c r="B10" i="2" s="1"/>
  <c r="C10" i="2" s="1"/>
  <c r="C13" i="2" s="1"/>
  <c r="G12" i="2"/>
  <c r="H12" i="2" s="1"/>
  <c r="L12" i="2" s="1"/>
  <c r="K12" i="2"/>
  <c r="B34" i="2" s="1"/>
  <c r="K2" i="2"/>
  <c r="K4" i="2" s="1"/>
  <c r="B32" i="2" s="1"/>
  <c r="L2" i="2"/>
  <c r="L4" i="2" s="1"/>
  <c r="K3" i="2"/>
  <c r="L3" i="2"/>
  <c r="G4" i="2"/>
  <c r="H4" i="2"/>
  <c r="G7" i="2"/>
  <c r="K7" i="2" s="1"/>
  <c r="B35" i="2" s="1"/>
  <c r="H7" i="2"/>
  <c r="L7" i="2" s="1"/>
  <c r="C35" i="2" s="1"/>
  <c r="H8" i="2"/>
  <c r="K8" i="2"/>
  <c r="L8" i="2"/>
  <c r="C32" i="2" s="1"/>
  <c r="H9" i="2"/>
  <c r="L9" i="2" s="1"/>
  <c r="C33" i="2" s="1"/>
  <c r="K9" i="2"/>
  <c r="B33" i="2" s="1"/>
  <c r="C11" i="2"/>
  <c r="H11" i="2"/>
  <c r="J12" i="2"/>
  <c r="C22" i="2"/>
  <c r="C24" i="2"/>
  <c r="C25" i="2" s="1"/>
  <c r="C34" i="2" l="1"/>
  <c r="B13" i="2"/>
  <c r="B15" i="2" s="1"/>
  <c r="B16" i="2" s="1"/>
  <c r="B18" i="2" s="1"/>
  <c r="C8" i="2"/>
  <c r="C27" i="2" l="1"/>
  <c r="B10" i="1"/>
  <c r="B19" i="1" s="1"/>
  <c r="B12" i="1"/>
  <c r="B21" i="1" s="1"/>
  <c r="B11" i="1"/>
  <c r="B20" i="1" s="1"/>
  <c r="B13" i="1"/>
  <c r="B22" i="1" s="1"/>
  <c r="C11" i="1" l="1"/>
  <c r="C20" i="1" s="1"/>
  <c r="C12" i="1"/>
  <c r="C21" i="1" s="1"/>
  <c r="C13" i="1"/>
  <c r="C22" i="1" s="1"/>
  <c r="C10" i="1"/>
  <c r="C19" i="1" s="1"/>
</calcChain>
</file>

<file path=xl/sharedStrings.xml><?xml version="1.0" encoding="utf-8"?>
<sst xmlns="http://schemas.openxmlformats.org/spreadsheetml/2006/main" count="101" uniqueCount="53">
  <si>
    <t>Formula = 2R*PI.GRECO</t>
  </si>
  <si>
    <t>H Cilindro</t>
  </si>
  <si>
    <t>MM</t>
  </si>
  <si>
    <t>Diametro</t>
  </si>
  <si>
    <t>Mq</t>
  </si>
  <si>
    <t>Arrotondamento</t>
  </si>
  <si>
    <t>Costo orario</t>
  </si>
  <si>
    <t xml:space="preserve">TREVIRA </t>
  </si>
  <si>
    <t xml:space="preserve">FILTRANTE </t>
  </si>
  <si>
    <t>Minuti lavoro medio</t>
  </si>
  <si>
    <t>Costo lavoro medio</t>
  </si>
  <si>
    <t>Ø Calza</t>
  </si>
  <si>
    <t>AA</t>
  </si>
  <si>
    <t>AC</t>
  </si>
  <si>
    <t>H finito</t>
  </si>
  <si>
    <t>H risvolto sopra</t>
  </si>
  <si>
    <t>H risvolto sotto</t>
  </si>
  <si>
    <t>Totale altezza</t>
  </si>
  <si>
    <t>Superfice AA</t>
  </si>
  <si>
    <t>Superfice tappo AC</t>
  </si>
  <si>
    <t>Diametro tappo finito</t>
  </si>
  <si>
    <t>Abbondanza di taglio</t>
  </si>
  <si>
    <t>diametro taglio tappo</t>
  </si>
  <si>
    <t>Sfrido</t>
  </si>
  <si>
    <t>Totale superfice</t>
  </si>
  <si>
    <t>Totale superfice AC</t>
  </si>
  <si>
    <t>APERTA</t>
  </si>
  <si>
    <t>CHIUSA</t>
  </si>
  <si>
    <t>Aperta aperta</t>
  </si>
  <si>
    <t>Manicha filtrante x ciclofiltri</t>
  </si>
  <si>
    <t>Esempi di applicazioni</t>
  </si>
  <si>
    <t>Calza di scarico  tubo girevole - valvola farfalla</t>
  </si>
  <si>
    <t>Collegamento cv con vst</t>
  </si>
  <si>
    <t>Scarico coclee</t>
  </si>
  <si>
    <t xml:space="preserve">Aperta chiusa </t>
  </si>
  <si>
    <t>PREZZO SOLO CALZA</t>
  </si>
  <si>
    <t>PREZZO  CALZA CON  FASCETTE</t>
  </si>
  <si>
    <t>Prezzo fascette</t>
  </si>
  <si>
    <t>Aperta</t>
  </si>
  <si>
    <t>Chiusa</t>
  </si>
  <si>
    <t>Materiale</t>
  </si>
  <si>
    <t>Nylon</t>
  </si>
  <si>
    <t>Trevira</t>
  </si>
  <si>
    <t>Filtrante</t>
  </si>
  <si>
    <t>CALZE E MANICHE FILTRANTI</t>
  </si>
  <si>
    <t>SPALMATO</t>
  </si>
  <si>
    <t>MAGG TEMPO</t>
  </si>
  <si>
    <t>TOTALE trev + SPALMATO</t>
  </si>
  <si>
    <t>RESINATO</t>
  </si>
  <si>
    <t>Magg</t>
  </si>
  <si>
    <t>mm</t>
  </si>
  <si>
    <t>Resinato</t>
  </si>
  <si>
    <t>Aumento listino 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</si>
</sst>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1" formatCode="_-* #,##0_-;\-* #,##0_-;_-* &quot;-&quot;_-;_-@_-"/>
    <numFmt numFmtId="43" formatCode="_-* #,##0.00_-;\-* #,##0.00_-;_-* &quot;-&quot;??_-;_-@_-"/>
    <numFmt numFmtId="164" formatCode="_-* #,##0.00_-;\-* #,##0.00_-;_-* &quot;-&quot;_-;_-@_-"/>
    <numFmt numFmtId="165" formatCode="_-* #,##0.000_-;\-* #,##0.000_-;_-* &quot;-&quot;_-;_-@_-"/>
    <numFmt numFmtId="166" formatCode="0.000"/>
    <numFmt numFmtId="167" formatCode="#,##0.00_ ;\-#,##0.00\ "/>
    <numFmt numFmtId="168" formatCode="_-* #,##0_-;\-* #,##0_-;_-* &quot;-&quot;??_-;_-@_-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8"/>
      <name val="Arial"/>
      <family val="2"/>
    </font>
    <font>
      <sz val="18"/>
      <name val="Arial"/>
      <family val="2"/>
    </font>
    <font>
      <sz val="10"/>
      <name val="Arial"/>
      <family val="2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50">
    <xf numFmtId="0" fontId="0" fillId="0" borderId="0" xfId="0"/>
    <xf numFmtId="41" fontId="0" fillId="2" borderId="0" xfId="2" applyFont="1" applyFill="1" applyBorder="1" applyProtection="1"/>
    <xf numFmtId="0" fontId="0" fillId="0" borderId="0" xfId="0" applyAlignment="1">
      <alignment horizontal="left"/>
    </xf>
    <xf numFmtId="41" fontId="0" fillId="0" borderId="0" xfId="2" applyFont="1" applyProtection="1"/>
    <xf numFmtId="0" fontId="0" fillId="3" borderId="1" xfId="0" applyFill="1" applyBorder="1"/>
    <xf numFmtId="2" fontId="0" fillId="0" borderId="0" xfId="0" applyNumberFormat="1"/>
    <xf numFmtId="165" fontId="0" fillId="3" borderId="1" xfId="2" applyNumberFormat="1" applyFont="1" applyFill="1" applyBorder="1" applyProtection="1"/>
    <xf numFmtId="1" fontId="0" fillId="3" borderId="1" xfId="2" applyNumberFormat="1" applyFont="1" applyFill="1" applyBorder="1" applyProtection="1"/>
    <xf numFmtId="166" fontId="0" fillId="3" borderId="1" xfId="2" applyNumberFormat="1" applyFont="1" applyFill="1" applyBorder="1" applyProtection="1"/>
    <xf numFmtId="165" fontId="0" fillId="4" borderId="1" xfId="2" applyNumberFormat="1" applyFont="1" applyFill="1" applyBorder="1" applyProtection="1"/>
    <xf numFmtId="0" fontId="0" fillId="0" borderId="1" xfId="0" applyBorder="1" applyAlignment="1">
      <alignment horizontal="left"/>
    </xf>
    <xf numFmtId="0" fontId="0" fillId="0" borderId="1" xfId="0" applyBorder="1"/>
    <xf numFmtId="0" fontId="0" fillId="0" borderId="0" xfId="0" applyAlignment="1">
      <alignment horizontal="center"/>
    </xf>
    <xf numFmtId="0" fontId="0" fillId="5" borderId="1" xfId="0" applyFill="1" applyBorder="1"/>
    <xf numFmtId="0" fontId="0" fillId="4" borderId="1" xfId="0" applyFill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167" fontId="0" fillId="3" borderId="1" xfId="0" applyNumberFormat="1" applyFill="1" applyBorder="1"/>
    <xf numFmtId="167" fontId="0" fillId="4" borderId="1" xfId="2" applyNumberFormat="1" applyFont="1" applyFill="1" applyBorder="1" applyProtection="1"/>
    <xf numFmtId="164" fontId="0" fillId="0" borderId="0" xfId="2" applyNumberFormat="1" applyFont="1" applyProtection="1"/>
    <xf numFmtId="164" fontId="0" fillId="0" borderId="0" xfId="0" applyNumberFormat="1"/>
    <xf numFmtId="167" fontId="0" fillId="4" borderId="1" xfId="0" applyNumberFormat="1" applyFill="1" applyBorder="1"/>
    <xf numFmtId="0" fontId="0" fillId="0" borderId="6" xfId="0" applyBorder="1" applyAlignment="1">
      <alignment horizontal="left"/>
    </xf>
    <xf numFmtId="168" fontId="0" fillId="6" borderId="1" xfId="1" applyNumberFormat="1" applyFont="1" applyFill="1" applyBorder="1" applyProtection="1">
      <protection locked="0"/>
    </xf>
    <xf numFmtId="38" fontId="0" fillId="6" borderId="1" xfId="2" applyNumberFormat="1" applyFont="1" applyFill="1" applyBorder="1" applyProtection="1"/>
    <xf numFmtId="41" fontId="0" fillId="6" borderId="1" xfId="2" applyFont="1" applyFill="1" applyBorder="1" applyProtection="1"/>
    <xf numFmtId="41" fontId="0" fillId="6" borderId="1" xfId="0" applyNumberFormat="1" applyFill="1" applyBorder="1"/>
    <xf numFmtId="41" fontId="0" fillId="0" borderId="0" xfId="0" applyNumberFormat="1"/>
    <xf numFmtId="0" fontId="0" fillId="0" borderId="7" xfId="0" applyBorder="1"/>
    <xf numFmtId="38" fontId="0" fillId="0" borderId="8" xfId="0" applyNumberFormat="1" applyBorder="1"/>
    <xf numFmtId="38" fontId="0" fillId="0" borderId="9" xfId="0" applyNumberFormat="1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38" fontId="0" fillId="5" borderId="13" xfId="0" applyNumberFormat="1" applyFill="1" applyBorder="1"/>
    <xf numFmtId="38" fontId="0" fillId="5" borderId="14" xfId="0" applyNumberFormat="1" applyFill="1" applyBorder="1"/>
    <xf numFmtId="165" fontId="0" fillId="4" borderId="1" xfId="0" applyNumberFormat="1" applyFill="1" applyBorder="1"/>
    <xf numFmtId="43" fontId="0" fillId="0" borderId="0" xfId="0" applyNumberFormat="1"/>
    <xf numFmtId="0" fontId="6" fillId="4" borderId="1" xfId="0" applyFont="1" applyFill="1" applyBorder="1"/>
    <xf numFmtId="0" fontId="6" fillId="0" borderId="0" xfId="0" applyFont="1"/>
    <xf numFmtId="9" fontId="0" fillId="0" borderId="0" xfId="0" applyNumberFormat="1"/>
    <xf numFmtId="0" fontId="5" fillId="0" borderId="0" xfId="0" applyFont="1"/>
    <xf numFmtId="0" fontId="5" fillId="3" borderId="1" xfId="0" applyFont="1" applyFill="1" applyBorder="1"/>
    <xf numFmtId="0" fontId="3" fillId="6" borderId="15" xfId="0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4" fillId="6" borderId="16" xfId="0" applyFont="1" applyFill="1" applyBorder="1" applyAlignment="1">
      <alignment horizontal="center" vertical="center"/>
    </xf>
    <xf numFmtId="0" fontId="4" fillId="6" borderId="17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</cellXfs>
  <cellStyles count="3">
    <cellStyle name="Migliaia" xfId="1" builtinId="3"/>
    <cellStyle name="Migliaia [0]" xfId="2" builtinId="6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5</xdr:row>
      <xdr:rowOff>9525</xdr:rowOff>
    </xdr:from>
    <xdr:to>
      <xdr:col>5</xdr:col>
      <xdr:colOff>542925</xdr:colOff>
      <xdr:row>13</xdr:row>
      <xdr:rowOff>9525</xdr:rowOff>
    </xdr:to>
    <xdr:grpSp>
      <xdr:nvGrpSpPr>
        <xdr:cNvPr id="1226" name="Group 31">
          <a:extLst>
            <a:ext uri="{FF2B5EF4-FFF2-40B4-BE49-F238E27FC236}">
              <a16:creationId xmlns:a16="http://schemas.microsoft.com/office/drawing/2014/main" id="{36413369-256A-42AD-9BFE-B8C3B764AF56}"/>
            </a:ext>
          </a:extLst>
        </xdr:cNvPr>
        <xdr:cNvGrpSpPr>
          <a:grpSpLocks/>
        </xdr:cNvGrpSpPr>
      </xdr:nvGrpSpPr>
      <xdr:grpSpPr bwMode="auto">
        <a:xfrm>
          <a:off x="3581400" y="1076325"/>
          <a:ext cx="1152525" cy="1295400"/>
          <a:chOff x="296" y="111"/>
          <a:chExt cx="115" cy="119"/>
        </a:xfrm>
      </xdr:grpSpPr>
      <xdr:grpSp>
        <xdr:nvGrpSpPr>
          <xdr:cNvPr id="1233" name="Group 25">
            <a:extLst>
              <a:ext uri="{FF2B5EF4-FFF2-40B4-BE49-F238E27FC236}">
                <a16:creationId xmlns:a16="http://schemas.microsoft.com/office/drawing/2014/main" id="{F0C2F1B0-7587-4D00-92B8-89DD19C31807}"/>
              </a:ext>
            </a:extLst>
          </xdr:cNvPr>
          <xdr:cNvGrpSpPr>
            <a:grpSpLocks/>
          </xdr:cNvGrpSpPr>
        </xdr:nvGrpSpPr>
        <xdr:grpSpPr bwMode="auto">
          <a:xfrm>
            <a:off x="296" y="111"/>
            <a:ext cx="114" cy="119"/>
            <a:chOff x="299" y="131"/>
            <a:chExt cx="114" cy="119"/>
          </a:xfrm>
        </xdr:grpSpPr>
        <xdr:sp macro="" textlink="">
          <xdr:nvSpPr>
            <xdr:cNvPr id="1235" name="Oval 7">
              <a:extLst>
                <a:ext uri="{FF2B5EF4-FFF2-40B4-BE49-F238E27FC236}">
                  <a16:creationId xmlns:a16="http://schemas.microsoft.com/office/drawing/2014/main" id="{88C29304-2C25-45E6-94FD-266B518AD177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300" y="131"/>
              <a:ext cx="113" cy="22"/>
            </a:xfrm>
            <a:prstGeom prst="ellipse">
              <a:avLst/>
            </a:prstGeom>
            <a:solidFill>
              <a:srgbClr val="FFFFFF"/>
            </a:solidFill>
            <a:ln w="9525">
              <a:solidFill>
                <a:srgbClr val="000000"/>
              </a:solidFill>
              <a:round/>
              <a:headEnd/>
              <a:tailEnd/>
            </a:ln>
          </xdr:spPr>
        </xdr:sp>
        <xdr:sp macro="" textlink="">
          <xdr:nvSpPr>
            <xdr:cNvPr id="1236" name="Line 22">
              <a:extLst>
                <a:ext uri="{FF2B5EF4-FFF2-40B4-BE49-F238E27FC236}">
                  <a16:creationId xmlns:a16="http://schemas.microsoft.com/office/drawing/2014/main" id="{A8BB94F5-595D-4F03-B971-6E290CC88723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299" y="145"/>
              <a:ext cx="0" cy="8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7" name="Line 23">
              <a:extLst>
                <a:ext uri="{FF2B5EF4-FFF2-40B4-BE49-F238E27FC236}">
                  <a16:creationId xmlns:a16="http://schemas.microsoft.com/office/drawing/2014/main" id="{4E61DE3C-810E-40EB-B467-12110AB81FEE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12" y="146"/>
              <a:ext cx="0" cy="88"/>
            </a:xfrm>
            <a:prstGeom prst="line">
              <a:avLst/>
            </a:pr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1238" name="Freeform 24">
              <a:extLst>
                <a:ext uri="{FF2B5EF4-FFF2-40B4-BE49-F238E27FC236}">
                  <a16:creationId xmlns:a16="http://schemas.microsoft.com/office/drawing/2014/main" id="{0CB758B1-0CBD-4928-BE4B-5AF7C187E0E6}"/>
                </a:ext>
              </a:extLst>
            </xdr:cNvPr>
            <xdr:cNvSpPr>
              <a:spLocks/>
            </xdr:cNvSpPr>
          </xdr:nvSpPr>
          <xdr:spPr bwMode="auto">
            <a:xfrm>
              <a:off x="299" y="233"/>
              <a:ext cx="113" cy="17"/>
            </a:xfrm>
            <a:custGeom>
              <a:avLst/>
              <a:gdLst>
                <a:gd name="T0" fmla="*/ 0 w 113"/>
                <a:gd name="T1" fmla="*/ 0 h 17"/>
                <a:gd name="T2" fmla="*/ 60 w 113"/>
                <a:gd name="T3" fmla="*/ 17 h 17"/>
                <a:gd name="T4" fmla="*/ 113 w 113"/>
                <a:gd name="T5" fmla="*/ 0 h 17"/>
                <a:gd name="T6" fmla="*/ 0 60000 65536"/>
                <a:gd name="T7" fmla="*/ 0 60000 65536"/>
                <a:gd name="T8" fmla="*/ 0 60000 65536"/>
                <a:gd name="T9" fmla="*/ 0 w 113"/>
                <a:gd name="T10" fmla="*/ 0 h 17"/>
                <a:gd name="T11" fmla="*/ 113 w 113"/>
                <a:gd name="T12" fmla="*/ 17 h 17"/>
              </a:gdLst>
              <a:ahLst/>
              <a:cxnLst>
                <a:cxn ang="T6">
                  <a:pos x="T0" y="T1"/>
                </a:cxn>
                <a:cxn ang="T7">
                  <a:pos x="T2" y="T3"/>
                </a:cxn>
                <a:cxn ang="T8">
                  <a:pos x="T4" y="T5"/>
                </a:cxn>
              </a:cxnLst>
              <a:rect l="T9" t="T10" r="T11" b="T12"/>
              <a:pathLst>
                <a:path w="113" h="17">
                  <a:moveTo>
                    <a:pt x="0" y="0"/>
                  </a:moveTo>
                  <a:cubicBezTo>
                    <a:pt x="20" y="8"/>
                    <a:pt x="41" y="17"/>
                    <a:pt x="60" y="17"/>
                  </a:cubicBezTo>
                  <a:cubicBezTo>
                    <a:pt x="79" y="17"/>
                    <a:pt x="105" y="3"/>
                    <a:pt x="113" y="0"/>
                  </a:cubicBezTo>
                </a:path>
              </a:pathLst>
            </a:custGeom>
            <a:noFill/>
            <a:ln w="9525">
              <a:solidFill>
                <a:srgbClr val="000000"/>
              </a:solidFill>
              <a:round/>
              <a:headEnd/>
              <a:tailEnd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</a:extLst>
          </xdr:spPr>
        </xdr:sp>
      </xdr:grpSp>
      <xdr:sp macro="" textlink="">
        <xdr:nvSpPr>
          <xdr:cNvPr id="1234" name="Freeform 29">
            <a:extLst>
              <a:ext uri="{FF2B5EF4-FFF2-40B4-BE49-F238E27FC236}">
                <a16:creationId xmlns:a16="http://schemas.microsoft.com/office/drawing/2014/main" id="{03EA4342-ADD2-42BB-B73D-EB3025920CEE}"/>
              </a:ext>
            </a:extLst>
          </xdr:cNvPr>
          <xdr:cNvSpPr>
            <a:spLocks/>
          </xdr:cNvSpPr>
        </xdr:nvSpPr>
        <xdr:spPr bwMode="auto">
          <a:xfrm>
            <a:off x="296" y="194"/>
            <a:ext cx="115" cy="18"/>
          </a:xfrm>
          <a:custGeom>
            <a:avLst/>
            <a:gdLst>
              <a:gd name="T0" fmla="*/ 0 w 115"/>
              <a:gd name="T1" fmla="*/ 18 h 18"/>
              <a:gd name="T2" fmla="*/ 11 w 115"/>
              <a:gd name="T3" fmla="*/ 12 h 18"/>
              <a:gd name="T4" fmla="*/ 51 w 115"/>
              <a:gd name="T5" fmla="*/ 1 h 18"/>
              <a:gd name="T6" fmla="*/ 115 w 115"/>
              <a:gd name="T7" fmla="*/ 18 h 18"/>
              <a:gd name="T8" fmla="*/ 0 60000 65536"/>
              <a:gd name="T9" fmla="*/ 0 60000 65536"/>
              <a:gd name="T10" fmla="*/ 0 60000 65536"/>
              <a:gd name="T11" fmla="*/ 0 60000 65536"/>
              <a:gd name="T12" fmla="*/ 0 w 115"/>
              <a:gd name="T13" fmla="*/ 0 h 18"/>
              <a:gd name="T14" fmla="*/ 115 w 115"/>
              <a:gd name="T15" fmla="*/ 18 h 18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15" h="18">
                <a:moveTo>
                  <a:pt x="0" y="18"/>
                </a:moveTo>
                <a:cubicBezTo>
                  <a:pt x="1" y="16"/>
                  <a:pt x="3" y="15"/>
                  <a:pt x="11" y="12"/>
                </a:cubicBezTo>
                <a:cubicBezTo>
                  <a:pt x="19" y="9"/>
                  <a:pt x="34" y="0"/>
                  <a:pt x="51" y="1"/>
                </a:cubicBezTo>
                <a:cubicBezTo>
                  <a:pt x="68" y="2"/>
                  <a:pt x="115" y="13"/>
                  <a:pt x="115" y="18"/>
                </a:cubicBezTo>
              </a:path>
            </a:pathLst>
          </a:custGeom>
          <a:noFill/>
          <a:ln w="9525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  <xdr:twoCellAnchor>
    <xdr:from>
      <xdr:col>4</xdr:col>
      <xdr:colOff>238125</xdr:colOff>
      <xdr:row>13</xdr:row>
      <xdr:rowOff>123825</xdr:rowOff>
    </xdr:from>
    <xdr:to>
      <xdr:col>5</xdr:col>
      <xdr:colOff>533400</xdr:colOff>
      <xdr:row>20</xdr:row>
      <xdr:rowOff>123825</xdr:rowOff>
    </xdr:to>
    <xdr:grpSp>
      <xdr:nvGrpSpPr>
        <xdr:cNvPr id="1227" name="Group 32">
          <a:extLst>
            <a:ext uri="{FF2B5EF4-FFF2-40B4-BE49-F238E27FC236}">
              <a16:creationId xmlns:a16="http://schemas.microsoft.com/office/drawing/2014/main" id="{DAAE26F5-19AB-427B-9515-35B94816C530}"/>
            </a:ext>
          </a:extLst>
        </xdr:cNvPr>
        <xdr:cNvGrpSpPr>
          <a:grpSpLocks/>
        </xdr:cNvGrpSpPr>
      </xdr:nvGrpSpPr>
      <xdr:grpSpPr bwMode="auto">
        <a:xfrm flipH="1" flipV="1">
          <a:off x="3629025" y="2486025"/>
          <a:ext cx="1095375" cy="1133475"/>
          <a:chOff x="298" y="257"/>
          <a:chExt cx="118" cy="116"/>
        </a:xfrm>
      </xdr:grpSpPr>
      <xdr:sp macro="" textlink="">
        <xdr:nvSpPr>
          <xdr:cNvPr id="1228" name="Oval 11">
            <a:extLst>
              <a:ext uri="{FF2B5EF4-FFF2-40B4-BE49-F238E27FC236}">
                <a16:creationId xmlns:a16="http://schemas.microsoft.com/office/drawing/2014/main" id="{326C2428-24DF-4AD5-9BA0-FC63AACD96E3}"/>
              </a:ext>
            </a:extLst>
          </xdr:cNvPr>
          <xdr:cNvSpPr>
            <a:spLocks noChangeArrowheads="1"/>
          </xdr:cNvSpPr>
        </xdr:nvSpPr>
        <xdr:spPr bwMode="auto">
          <a:xfrm>
            <a:off x="299" y="257"/>
            <a:ext cx="113" cy="22"/>
          </a:xfrm>
          <a:prstGeom prst="ellipse">
            <a:avLst/>
          </a:prstGeom>
          <a:gradFill rotWithShape="0">
            <a:gsLst>
              <a:gs pos="0">
                <a:srgbClr val="FFFFFF"/>
              </a:gs>
              <a:gs pos="100000">
                <a:srgbClr val="767676"/>
              </a:gs>
            </a:gsLst>
            <a:lin ang="5400000" scaled="1"/>
          </a:gradFill>
          <a:ln w="9525" cap="rnd">
            <a:solidFill>
              <a:srgbClr val="000000"/>
            </a:solidFill>
            <a:prstDash val="sysDot"/>
            <a:round/>
            <a:headEnd/>
            <a:tailEnd/>
          </a:ln>
        </xdr:spPr>
      </xdr:sp>
      <xdr:sp macro="" textlink="">
        <xdr:nvSpPr>
          <xdr:cNvPr id="1229" name="Line 15">
            <a:extLst>
              <a:ext uri="{FF2B5EF4-FFF2-40B4-BE49-F238E27FC236}">
                <a16:creationId xmlns:a16="http://schemas.microsoft.com/office/drawing/2014/main" id="{A4CC4072-875F-413D-8823-E796027D6D55}"/>
              </a:ext>
            </a:extLst>
          </xdr:cNvPr>
          <xdr:cNvSpPr>
            <a:spLocks noChangeShapeType="1"/>
          </xdr:cNvSpPr>
        </xdr:nvSpPr>
        <xdr:spPr bwMode="auto">
          <a:xfrm>
            <a:off x="299" y="268"/>
            <a:ext cx="0" cy="8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30" name="Line 16">
            <a:extLst>
              <a:ext uri="{FF2B5EF4-FFF2-40B4-BE49-F238E27FC236}">
                <a16:creationId xmlns:a16="http://schemas.microsoft.com/office/drawing/2014/main" id="{21691483-B855-4834-A5B0-FEDDF1FAF524}"/>
              </a:ext>
            </a:extLst>
          </xdr:cNvPr>
          <xdr:cNvSpPr>
            <a:spLocks noChangeShapeType="1"/>
          </xdr:cNvSpPr>
        </xdr:nvSpPr>
        <xdr:spPr bwMode="auto">
          <a:xfrm>
            <a:off x="412" y="269"/>
            <a:ext cx="0" cy="88"/>
          </a:xfrm>
          <a:prstGeom prst="line">
            <a:avLst/>
          </a:pr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noFill/>
              </a14:hiddenFill>
            </a:ext>
          </a:extLst>
        </xdr:spPr>
      </xdr:sp>
      <xdr:sp macro="" textlink="">
        <xdr:nvSpPr>
          <xdr:cNvPr id="1231" name="Freeform 19">
            <a:extLst>
              <a:ext uri="{FF2B5EF4-FFF2-40B4-BE49-F238E27FC236}">
                <a16:creationId xmlns:a16="http://schemas.microsoft.com/office/drawing/2014/main" id="{D112FE67-3E06-4A51-B0A6-0E2E454B9717}"/>
              </a:ext>
            </a:extLst>
          </xdr:cNvPr>
          <xdr:cNvSpPr>
            <a:spLocks/>
          </xdr:cNvSpPr>
        </xdr:nvSpPr>
        <xdr:spPr bwMode="auto">
          <a:xfrm>
            <a:off x="299" y="356"/>
            <a:ext cx="113" cy="17"/>
          </a:xfrm>
          <a:custGeom>
            <a:avLst/>
            <a:gdLst>
              <a:gd name="T0" fmla="*/ 0 w 113"/>
              <a:gd name="T1" fmla="*/ 0 h 17"/>
              <a:gd name="T2" fmla="*/ 60 w 113"/>
              <a:gd name="T3" fmla="*/ 17 h 17"/>
              <a:gd name="T4" fmla="*/ 113 w 113"/>
              <a:gd name="T5" fmla="*/ 0 h 17"/>
              <a:gd name="T6" fmla="*/ 0 60000 65536"/>
              <a:gd name="T7" fmla="*/ 0 60000 65536"/>
              <a:gd name="T8" fmla="*/ 0 60000 65536"/>
              <a:gd name="T9" fmla="*/ 0 w 113"/>
              <a:gd name="T10" fmla="*/ 0 h 17"/>
              <a:gd name="T11" fmla="*/ 113 w 113"/>
              <a:gd name="T12" fmla="*/ 17 h 17"/>
            </a:gdLst>
            <a:ahLst/>
            <a:cxnLst>
              <a:cxn ang="T6">
                <a:pos x="T0" y="T1"/>
              </a:cxn>
              <a:cxn ang="T7">
                <a:pos x="T2" y="T3"/>
              </a:cxn>
              <a:cxn ang="T8">
                <a:pos x="T4" y="T5"/>
              </a:cxn>
            </a:cxnLst>
            <a:rect l="T9" t="T10" r="T11" b="T12"/>
            <a:pathLst>
              <a:path w="113" h="17">
                <a:moveTo>
                  <a:pt x="0" y="0"/>
                </a:moveTo>
                <a:cubicBezTo>
                  <a:pt x="20" y="8"/>
                  <a:pt x="41" y="17"/>
                  <a:pt x="60" y="17"/>
                </a:cubicBezTo>
                <a:cubicBezTo>
                  <a:pt x="79" y="17"/>
                  <a:pt x="105" y="3"/>
                  <a:pt x="113" y="0"/>
                </a:cubicBezTo>
              </a:path>
            </a:pathLst>
          </a:custGeom>
          <a:noFill/>
          <a:ln w="9525">
            <a:solidFill>
              <a:srgbClr val="000000"/>
            </a:solidFill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1232" name="Freeform 30">
            <a:extLst>
              <a:ext uri="{FF2B5EF4-FFF2-40B4-BE49-F238E27FC236}">
                <a16:creationId xmlns:a16="http://schemas.microsoft.com/office/drawing/2014/main" id="{95E95ABC-8D79-4A6D-A17D-BC875E9C1870}"/>
              </a:ext>
            </a:extLst>
          </xdr:cNvPr>
          <xdr:cNvSpPr>
            <a:spLocks/>
          </xdr:cNvSpPr>
        </xdr:nvSpPr>
        <xdr:spPr bwMode="auto">
          <a:xfrm>
            <a:off x="298" y="338"/>
            <a:ext cx="118" cy="18"/>
          </a:xfrm>
          <a:custGeom>
            <a:avLst/>
            <a:gdLst>
              <a:gd name="T0" fmla="*/ 0 w 115"/>
              <a:gd name="T1" fmla="*/ 18 h 18"/>
              <a:gd name="T2" fmla="*/ 11 w 115"/>
              <a:gd name="T3" fmla="*/ 12 h 18"/>
              <a:gd name="T4" fmla="*/ 62 w 115"/>
              <a:gd name="T5" fmla="*/ 1 h 18"/>
              <a:gd name="T6" fmla="*/ 144 w 115"/>
              <a:gd name="T7" fmla="*/ 18 h 18"/>
              <a:gd name="T8" fmla="*/ 0 60000 65536"/>
              <a:gd name="T9" fmla="*/ 0 60000 65536"/>
              <a:gd name="T10" fmla="*/ 0 60000 65536"/>
              <a:gd name="T11" fmla="*/ 0 60000 65536"/>
              <a:gd name="T12" fmla="*/ 0 w 115"/>
              <a:gd name="T13" fmla="*/ 0 h 18"/>
              <a:gd name="T14" fmla="*/ 115 w 115"/>
              <a:gd name="T15" fmla="*/ 18 h 18"/>
            </a:gdLst>
            <a:ahLst/>
            <a:cxnLst>
              <a:cxn ang="T8">
                <a:pos x="T0" y="T1"/>
              </a:cxn>
              <a:cxn ang="T9">
                <a:pos x="T2" y="T3"/>
              </a:cxn>
              <a:cxn ang="T10">
                <a:pos x="T4" y="T5"/>
              </a:cxn>
              <a:cxn ang="T11">
                <a:pos x="T6" y="T7"/>
              </a:cxn>
            </a:cxnLst>
            <a:rect l="T12" t="T13" r="T14" b="T15"/>
            <a:pathLst>
              <a:path w="115" h="18">
                <a:moveTo>
                  <a:pt x="0" y="18"/>
                </a:moveTo>
                <a:cubicBezTo>
                  <a:pt x="1" y="16"/>
                  <a:pt x="3" y="15"/>
                  <a:pt x="11" y="12"/>
                </a:cubicBezTo>
                <a:cubicBezTo>
                  <a:pt x="19" y="9"/>
                  <a:pt x="34" y="0"/>
                  <a:pt x="51" y="1"/>
                </a:cubicBezTo>
                <a:cubicBezTo>
                  <a:pt x="68" y="2"/>
                  <a:pt x="115" y="13"/>
                  <a:pt x="115" y="18"/>
                </a:cubicBezTo>
              </a:path>
            </a:pathLst>
          </a:custGeom>
          <a:noFill/>
          <a:ln w="9525" cap="rnd">
            <a:solidFill>
              <a:srgbClr val="000000"/>
            </a:solidFill>
            <a:prstDash val="sysDot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</xdr:grpSp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31"/>
  <sheetViews>
    <sheetView showZeros="0" tabSelected="1" workbookViewId="0">
      <selection activeCell="B19" sqref="B19"/>
    </sheetView>
  </sheetViews>
  <sheetFormatPr defaultColWidth="9.140625" defaultRowHeight="12.75" x14ac:dyDescent="0.2"/>
  <cols>
    <col min="1" max="1" width="19.85546875" style="2" bestFit="1" customWidth="1"/>
    <col min="2" max="2" width="12.140625" customWidth="1"/>
    <col min="3" max="3" width="12.85546875" customWidth="1"/>
    <col min="4" max="4" width="6" customWidth="1"/>
    <col min="5" max="5" width="12" customWidth="1"/>
    <col min="6" max="6" width="11" customWidth="1"/>
    <col min="9" max="9" width="12.85546875" customWidth="1"/>
    <col min="10" max="10" width="13" customWidth="1"/>
    <col min="11" max="11" width="12.85546875" customWidth="1"/>
  </cols>
  <sheetData>
    <row r="1" spans="1:9" ht="33" customHeight="1" x14ac:dyDescent="0.2">
      <c r="D1" s="45" t="s">
        <v>44</v>
      </c>
      <c r="E1" s="46"/>
      <c r="F1" s="46"/>
      <c r="G1" s="47"/>
      <c r="H1" s="47"/>
      <c r="I1" s="48"/>
    </row>
    <row r="2" spans="1:9" x14ac:dyDescent="0.2">
      <c r="A2" s="2" t="s">
        <v>1</v>
      </c>
      <c r="B2" s="25"/>
      <c r="C2" t="s">
        <v>2</v>
      </c>
    </row>
    <row r="3" spans="1:9" x14ac:dyDescent="0.2">
      <c r="A3" s="2" t="s">
        <v>11</v>
      </c>
      <c r="B3" s="25"/>
      <c r="C3" t="s">
        <v>2</v>
      </c>
    </row>
    <row r="6" spans="1:9" x14ac:dyDescent="0.2">
      <c r="A6" s="49" t="s">
        <v>35</v>
      </c>
      <c r="B6" s="49"/>
      <c r="C6" s="49"/>
      <c r="D6" s="12"/>
      <c r="G6" t="s">
        <v>38</v>
      </c>
    </row>
    <row r="7" spans="1:9" x14ac:dyDescent="0.2">
      <c r="A7" s="10"/>
      <c r="B7" s="11" t="s">
        <v>26</v>
      </c>
      <c r="C7" s="11" t="s">
        <v>26</v>
      </c>
    </row>
    <row r="8" spans="1:9" x14ac:dyDescent="0.2">
      <c r="A8" s="10"/>
      <c r="B8" s="11" t="s">
        <v>26</v>
      </c>
      <c r="C8" s="11" t="s">
        <v>27</v>
      </c>
    </row>
    <row r="9" spans="1:9" x14ac:dyDescent="0.2">
      <c r="A9" s="10"/>
      <c r="B9" s="11"/>
      <c r="C9" s="11"/>
    </row>
    <row r="10" spans="1:9" x14ac:dyDescent="0.2">
      <c r="A10" s="13" t="s">
        <v>7</v>
      </c>
      <c r="B10" s="19">
        <f>IF($B$2=0,0,ROUNDUP(Foglio2!B32,1))</f>
        <v>0</v>
      </c>
      <c r="C10" s="19">
        <f>IF($B$2=0,0,ROUNDUP(Foglio2!C32,0))</f>
        <v>0</v>
      </c>
    </row>
    <row r="11" spans="1:9" x14ac:dyDescent="0.2">
      <c r="A11" s="14" t="s">
        <v>8</v>
      </c>
      <c r="B11" s="20">
        <f>IF($B$2=0,0,ROUNDUP(Foglio2!B33,1))</f>
        <v>0</v>
      </c>
      <c r="C11" s="20">
        <f>IF($B$2=0,0,ROUNDUP(Foglio2!C33,0))</f>
        <v>0</v>
      </c>
      <c r="G11" t="s">
        <v>38</v>
      </c>
    </row>
    <row r="12" spans="1:9" x14ac:dyDescent="0.2">
      <c r="A12" s="40" t="s">
        <v>45</v>
      </c>
      <c r="B12" s="20">
        <f>IF($B$2=0,0,ROUNDUP(Foglio2!B34,1))</f>
        <v>0</v>
      </c>
      <c r="C12" s="20">
        <f>IF($B$2=0,0,ROUNDUP(Foglio2!C34,0))</f>
        <v>0</v>
      </c>
    </row>
    <row r="13" spans="1:9" x14ac:dyDescent="0.2">
      <c r="A13" s="4" t="s">
        <v>48</v>
      </c>
      <c r="B13" s="19">
        <f>IF($B$2=0,0,ROUNDUP(Foglio2!B35,1))</f>
        <v>0</v>
      </c>
      <c r="C13" s="19">
        <f>IF($B$2=0,0,ROUNDUP(Foglio2!C35,0))</f>
        <v>0</v>
      </c>
    </row>
    <row r="14" spans="1:9" x14ac:dyDescent="0.2">
      <c r="I14" s="2"/>
    </row>
    <row r="15" spans="1:9" x14ac:dyDescent="0.2">
      <c r="A15" s="49" t="s">
        <v>36</v>
      </c>
      <c r="B15" s="49"/>
      <c r="C15" s="49"/>
    </row>
    <row r="16" spans="1:9" x14ac:dyDescent="0.2">
      <c r="A16" s="10"/>
      <c r="B16" s="11" t="s">
        <v>26</v>
      </c>
      <c r="C16" s="11" t="s">
        <v>26</v>
      </c>
      <c r="G16" t="s">
        <v>38</v>
      </c>
    </row>
    <row r="17" spans="1:7" x14ac:dyDescent="0.2">
      <c r="A17" s="10"/>
      <c r="B17" s="11" t="s">
        <v>26</v>
      </c>
      <c r="C17" s="11" t="s">
        <v>27</v>
      </c>
    </row>
    <row r="18" spans="1:7" x14ac:dyDescent="0.2">
      <c r="A18" s="10"/>
      <c r="B18" s="11"/>
      <c r="C18" s="11"/>
    </row>
    <row r="19" spans="1:7" x14ac:dyDescent="0.2">
      <c r="A19" s="13" t="s">
        <v>7</v>
      </c>
      <c r="B19" s="19">
        <f>IF($B$2=0,0,ROUNDUP((B10+Foglio2!$K$16),1))</f>
        <v>0</v>
      </c>
      <c r="C19" s="19">
        <f>IF($B$2=0,0,C10+Foglio2!$K$16)</f>
        <v>0</v>
      </c>
    </row>
    <row r="20" spans="1:7" x14ac:dyDescent="0.2">
      <c r="A20" s="14" t="s">
        <v>8</v>
      </c>
      <c r="B20" s="20">
        <f>IF($B$2=0,0,ROUNDUP((B11+Foglio2!$K$16),1))</f>
        <v>0</v>
      </c>
      <c r="C20" s="23">
        <f>IF($B$2=0,0,C11+Foglio2!$K$16)</f>
        <v>0</v>
      </c>
    </row>
    <row r="21" spans="1:7" x14ac:dyDescent="0.2">
      <c r="A21" s="40" t="s">
        <v>45</v>
      </c>
      <c r="B21" s="20">
        <f>IF($B$2=0,0,ROUNDUP((B12+Foglio2!$K$16),1))</f>
        <v>0</v>
      </c>
      <c r="C21" s="23">
        <f>IF($B$2=0,0,C12+Foglio2!$K$16)</f>
        <v>0</v>
      </c>
      <c r="G21" t="s">
        <v>39</v>
      </c>
    </row>
    <row r="22" spans="1:7" x14ac:dyDescent="0.2">
      <c r="A22" s="44" t="s">
        <v>48</v>
      </c>
      <c r="B22" s="19">
        <f>IF($B$2=0,0,ROUNDUP((B13+Foglio2!$K$16),1))</f>
        <v>0</v>
      </c>
      <c r="C22" s="19">
        <f>IF($B$2=0,0,C13+Foglio2!$K$16)</f>
        <v>0</v>
      </c>
    </row>
    <row r="23" spans="1:7" ht="13.5" thickBot="1" x14ac:dyDescent="0.25"/>
    <row r="24" spans="1:7" x14ac:dyDescent="0.2">
      <c r="A24" s="24"/>
      <c r="B24" s="15"/>
      <c r="C24" s="15"/>
      <c r="D24" s="15"/>
      <c r="E24" s="15"/>
      <c r="F24" s="16"/>
    </row>
    <row r="25" spans="1:7" x14ac:dyDescent="0.2">
      <c r="A25" s="11"/>
      <c r="B25" s="11" t="s">
        <v>30</v>
      </c>
      <c r="C25" s="11"/>
      <c r="D25" s="11"/>
      <c r="E25" s="11"/>
      <c r="F25" s="11" t="s">
        <v>40</v>
      </c>
    </row>
    <row r="26" spans="1:7" x14ac:dyDescent="0.2">
      <c r="A26" s="11" t="s">
        <v>28</v>
      </c>
      <c r="B26" s="11" t="s">
        <v>31</v>
      </c>
      <c r="C26" s="11"/>
      <c r="D26" s="11"/>
      <c r="E26" s="11"/>
      <c r="F26" s="11" t="s">
        <v>41</v>
      </c>
    </row>
    <row r="27" spans="1:7" x14ac:dyDescent="0.2">
      <c r="A27" s="11" t="s">
        <v>28</v>
      </c>
      <c r="B27" s="11" t="s">
        <v>32</v>
      </c>
      <c r="C27" s="11"/>
      <c r="D27" s="11"/>
      <c r="E27" s="11"/>
      <c r="F27" s="11" t="s">
        <v>42</v>
      </c>
    </row>
    <row r="28" spans="1:7" x14ac:dyDescent="0.2">
      <c r="A28" s="11" t="s">
        <v>28</v>
      </c>
      <c r="B28" s="11" t="s">
        <v>33</v>
      </c>
      <c r="C28" s="11"/>
      <c r="D28" s="11"/>
      <c r="E28" s="11"/>
      <c r="F28" s="11" t="s">
        <v>51</v>
      </c>
    </row>
    <row r="29" spans="1:7" x14ac:dyDescent="0.2">
      <c r="A29" s="17"/>
      <c r="F29" s="18"/>
    </row>
    <row r="30" spans="1:7" x14ac:dyDescent="0.2">
      <c r="A30" s="17"/>
      <c r="F30" s="18"/>
    </row>
    <row r="31" spans="1:7" x14ac:dyDescent="0.2">
      <c r="A31" s="11" t="s">
        <v>34</v>
      </c>
      <c r="B31" s="11" t="s">
        <v>29</v>
      </c>
      <c r="C31" s="11"/>
      <c r="D31" s="11"/>
      <c r="E31" s="11"/>
      <c r="F31" s="11" t="s">
        <v>43</v>
      </c>
    </row>
  </sheetData>
  <mergeCells count="3">
    <mergeCell ref="D1:I1"/>
    <mergeCell ref="A6:C6"/>
    <mergeCell ref="A15:C15"/>
  </mergeCells>
  <phoneticPr fontId="0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N35"/>
  <sheetViews>
    <sheetView topLeftCell="XFD1" zoomScale="85" zoomScaleNormal="85" workbookViewId="0">
      <selection sqref="A1:XFD1048576"/>
    </sheetView>
  </sheetViews>
  <sheetFormatPr defaultColWidth="0" defaultRowHeight="12.75" x14ac:dyDescent="0.2"/>
  <cols>
    <col min="1" max="1" width="22.42578125" hidden="1"/>
    <col min="2" max="2" width="8.42578125" hidden="1"/>
    <col min="3" max="3" width="9.7109375" hidden="1"/>
    <col min="4" max="5" width="8.85546875" hidden="1"/>
    <col min="6" max="6" width="19" hidden="1"/>
    <col min="7" max="9" width="8.85546875" hidden="1"/>
    <col min="10" max="10" width="19" hidden="1"/>
    <col min="11" max="16384" width="8.85546875" hidden="1"/>
  </cols>
  <sheetData>
    <row r="1" spans="1:14" x14ac:dyDescent="0.2">
      <c r="A1" s="2" t="s">
        <v>0</v>
      </c>
      <c r="D1" t="s">
        <v>49</v>
      </c>
      <c r="G1" s="3" t="s">
        <v>12</v>
      </c>
      <c r="H1" t="s">
        <v>13</v>
      </c>
      <c r="K1" s="3" t="s">
        <v>12</v>
      </c>
      <c r="L1" t="s">
        <v>13</v>
      </c>
      <c r="N1">
        <v>3.19</v>
      </c>
    </row>
    <row r="2" spans="1:14" x14ac:dyDescent="0.2">
      <c r="A2" s="2" t="s">
        <v>1</v>
      </c>
      <c r="B2" s="26">
        <f>Foglio1!B2+D2</f>
        <v>100</v>
      </c>
      <c r="C2" t="s">
        <v>2</v>
      </c>
      <c r="D2">
        <v>100</v>
      </c>
      <c r="E2" t="s">
        <v>50</v>
      </c>
      <c r="F2" t="s">
        <v>6</v>
      </c>
      <c r="G2" s="21">
        <v>20</v>
      </c>
      <c r="H2" s="21">
        <v>20</v>
      </c>
      <c r="J2" t="s">
        <v>6</v>
      </c>
      <c r="K2" s="21">
        <f>G2*$N$1</f>
        <v>63.8</v>
      </c>
      <c r="L2" s="21">
        <f>H2*$N$1</f>
        <v>63.8</v>
      </c>
    </row>
    <row r="3" spans="1:14" x14ac:dyDescent="0.2">
      <c r="A3" s="2" t="s">
        <v>11</v>
      </c>
      <c r="B3" s="27">
        <f>Foglio1!B3+D3</f>
        <v>100</v>
      </c>
      <c r="C3" t="s">
        <v>2</v>
      </c>
      <c r="D3">
        <v>100</v>
      </c>
      <c r="E3" t="s">
        <v>50</v>
      </c>
      <c r="F3" t="s">
        <v>9</v>
      </c>
      <c r="G3" s="3">
        <v>30</v>
      </c>
      <c r="H3">
        <v>35</v>
      </c>
      <c r="J3" t="s">
        <v>9</v>
      </c>
      <c r="K3">
        <f>G3</f>
        <v>30</v>
      </c>
      <c r="L3">
        <f>H3</f>
        <v>35</v>
      </c>
    </row>
    <row r="4" spans="1:14" x14ac:dyDescent="0.2">
      <c r="A4" s="2"/>
      <c r="B4" s="1"/>
      <c r="F4" t="s">
        <v>10</v>
      </c>
      <c r="G4" s="21">
        <f>G2*G3/60</f>
        <v>10</v>
      </c>
      <c r="H4" s="21">
        <f>H2*H3/60</f>
        <v>11.666666666666666</v>
      </c>
      <c r="J4" t="s">
        <v>10</v>
      </c>
      <c r="K4" s="21">
        <f>K2*K3/60</f>
        <v>31.9</v>
      </c>
      <c r="L4" s="21">
        <f>L2*L3/60</f>
        <v>37.216666666666669</v>
      </c>
    </row>
    <row r="5" spans="1:14" x14ac:dyDescent="0.2">
      <c r="G5" s="3"/>
      <c r="K5" s="3"/>
    </row>
    <row r="6" spans="1:14" x14ac:dyDescent="0.2">
      <c r="B6" t="s">
        <v>12</v>
      </c>
      <c r="C6" t="s">
        <v>13</v>
      </c>
      <c r="G6" s="21" t="s">
        <v>4</v>
      </c>
      <c r="H6" s="22"/>
      <c r="K6" s="21"/>
      <c r="L6" s="22"/>
    </row>
    <row r="7" spans="1:14" x14ac:dyDescent="0.2">
      <c r="F7" t="s">
        <v>48</v>
      </c>
      <c r="G7" s="21">
        <f>3.78/1.55</f>
        <v>2.4387096774193546</v>
      </c>
      <c r="H7" s="21">
        <f>G7</f>
        <v>2.4387096774193546</v>
      </c>
      <c r="J7" t="s">
        <v>48</v>
      </c>
      <c r="K7" s="21">
        <f t="shared" ref="K7:L9" si="0">G7*$N$1</f>
        <v>7.7794838709677414</v>
      </c>
      <c r="L7" s="21">
        <f t="shared" si="0"/>
        <v>7.7794838709677414</v>
      </c>
    </row>
    <row r="8" spans="1:14" ht="13.5" customHeight="1" x14ac:dyDescent="0.2">
      <c r="A8" s="11" t="s">
        <v>3</v>
      </c>
      <c r="B8" s="28">
        <f>B3</f>
        <v>100</v>
      </c>
      <c r="C8" s="28">
        <f>B8</f>
        <v>100</v>
      </c>
      <c r="E8" s="29"/>
      <c r="F8" t="s">
        <v>7</v>
      </c>
      <c r="G8" s="21">
        <v>3.35</v>
      </c>
      <c r="H8" s="21">
        <f>G8</f>
        <v>3.35</v>
      </c>
      <c r="J8" t="s">
        <v>7</v>
      </c>
      <c r="K8" s="21">
        <f t="shared" si="0"/>
        <v>10.686500000000001</v>
      </c>
      <c r="L8" s="21">
        <f t="shared" si="0"/>
        <v>10.686500000000001</v>
      </c>
    </row>
    <row r="9" spans="1:14" ht="13.5" customHeight="1" thickBot="1" x14ac:dyDescent="0.25">
      <c r="F9" t="s">
        <v>8</v>
      </c>
      <c r="G9" s="21">
        <v>8.52</v>
      </c>
      <c r="H9" s="21">
        <f>G9</f>
        <v>8.52</v>
      </c>
      <c r="J9" t="s">
        <v>8</v>
      </c>
      <c r="K9" s="21">
        <f t="shared" si="0"/>
        <v>27.178799999999999</v>
      </c>
      <c r="L9" s="21">
        <f t="shared" si="0"/>
        <v>27.178799999999999</v>
      </c>
    </row>
    <row r="10" spans="1:14" x14ac:dyDescent="0.2">
      <c r="A10" s="30" t="s">
        <v>14</v>
      </c>
      <c r="B10" s="31">
        <f>B2</f>
        <v>100</v>
      </c>
      <c r="C10" s="32">
        <f>B10</f>
        <v>100</v>
      </c>
    </row>
    <row r="11" spans="1:14" x14ac:dyDescent="0.2">
      <c r="A11" s="33" t="s">
        <v>15</v>
      </c>
      <c r="B11" s="11">
        <v>30</v>
      </c>
      <c r="C11" s="34">
        <f>B11</f>
        <v>30</v>
      </c>
      <c r="F11" t="s">
        <v>45</v>
      </c>
      <c r="G11">
        <v>5.16</v>
      </c>
      <c r="H11" s="21">
        <f>G11</f>
        <v>5.16</v>
      </c>
      <c r="K11" s="21"/>
      <c r="L11" s="21"/>
    </row>
    <row r="12" spans="1:14" x14ac:dyDescent="0.2">
      <c r="A12" s="33" t="s">
        <v>16</v>
      </c>
      <c r="B12" s="11">
        <v>30</v>
      </c>
      <c r="C12" s="34">
        <v>30</v>
      </c>
      <c r="F12" s="43" t="s">
        <v>47</v>
      </c>
      <c r="G12" s="39">
        <f>G8+G11</f>
        <v>8.51</v>
      </c>
      <c r="H12" s="21">
        <f>G12</f>
        <v>8.51</v>
      </c>
      <c r="J12" t="str">
        <f>F12</f>
        <v>TOTALE trev + SPALMATO</v>
      </c>
      <c r="K12" s="21">
        <f>G12*$N$1</f>
        <v>27.146899999999999</v>
      </c>
      <c r="L12" s="21">
        <f>H12*$N$1</f>
        <v>27.146899999999999</v>
      </c>
    </row>
    <row r="13" spans="1:14" ht="13.5" thickBot="1" x14ac:dyDescent="0.25">
      <c r="A13" s="35" t="s">
        <v>17</v>
      </c>
      <c r="B13" s="36">
        <f>SUM(B10:B12)</f>
        <v>160</v>
      </c>
      <c r="C13" s="37">
        <f>SUM(C10:C12)</f>
        <v>160</v>
      </c>
      <c r="E13" s="29"/>
    </row>
    <row r="15" spans="1:14" x14ac:dyDescent="0.2">
      <c r="A15" t="s">
        <v>18</v>
      </c>
      <c r="B15" s="6">
        <f>PI()*B8*B13/1000000</f>
        <v>5.0265482457436693E-2</v>
      </c>
      <c r="C15" t="s">
        <v>4</v>
      </c>
      <c r="N15" t="s">
        <v>52</v>
      </c>
    </row>
    <row r="16" spans="1:14" x14ac:dyDescent="0.2">
      <c r="A16" t="s">
        <v>5</v>
      </c>
      <c r="B16" s="6">
        <f>ROUNDUP(B15,1)</f>
        <v>0.1</v>
      </c>
      <c r="C16" t="s">
        <v>4</v>
      </c>
      <c r="F16" t="s">
        <v>37</v>
      </c>
      <c r="G16" s="21">
        <v>1.65</v>
      </c>
      <c r="J16" t="s">
        <v>37</v>
      </c>
      <c r="K16" s="21">
        <f>(ROUNDUP(G16*N1,0))*N16</f>
        <v>6.8999999999999995</v>
      </c>
      <c r="N16">
        <v>1.1499999999999999</v>
      </c>
    </row>
    <row r="17" spans="1:4" x14ac:dyDescent="0.2">
      <c r="A17" t="s">
        <v>23</v>
      </c>
      <c r="B17" s="6">
        <v>0.15</v>
      </c>
      <c r="C17" t="s">
        <v>4</v>
      </c>
    </row>
    <row r="18" spans="1:4" x14ac:dyDescent="0.2">
      <c r="A18" t="s">
        <v>24</v>
      </c>
      <c r="B18" s="9">
        <f>B16+B17</f>
        <v>0.25</v>
      </c>
      <c r="C18" t="s">
        <v>4</v>
      </c>
    </row>
    <row r="20" spans="1:4" x14ac:dyDescent="0.2">
      <c r="A20" s="11" t="s">
        <v>20</v>
      </c>
      <c r="B20" s="11"/>
      <c r="C20" s="7">
        <v>150</v>
      </c>
    </row>
    <row r="21" spans="1:4" x14ac:dyDescent="0.2">
      <c r="A21" s="11" t="s">
        <v>21</v>
      </c>
      <c r="B21" s="11"/>
      <c r="C21" s="7">
        <v>40</v>
      </c>
    </row>
    <row r="22" spans="1:4" x14ac:dyDescent="0.2">
      <c r="A22" s="11" t="s">
        <v>22</v>
      </c>
      <c r="B22" s="11"/>
      <c r="C22" s="7">
        <f>C20+C21</f>
        <v>190</v>
      </c>
    </row>
    <row r="24" spans="1:4" x14ac:dyDescent="0.2">
      <c r="A24" s="2" t="s">
        <v>19</v>
      </c>
      <c r="C24" s="8">
        <f>PI()*(C22/2)*(C22/2)/1000000</f>
        <v>2.8352873698647883E-2</v>
      </c>
      <c r="D24" t="s">
        <v>4</v>
      </c>
    </row>
    <row r="25" spans="1:4" x14ac:dyDescent="0.2">
      <c r="A25" t="s">
        <v>5</v>
      </c>
      <c r="C25" s="8">
        <f>ROUNDUP(C24,2)</f>
        <v>0.03</v>
      </c>
      <c r="D25" t="s">
        <v>4</v>
      </c>
    </row>
    <row r="26" spans="1:4" x14ac:dyDescent="0.2">
      <c r="A26" s="2"/>
      <c r="D26" s="5"/>
    </row>
    <row r="27" spans="1:4" x14ac:dyDescent="0.2">
      <c r="A27" t="s">
        <v>25</v>
      </c>
      <c r="C27" s="38">
        <f>B18+C25</f>
        <v>0.28000000000000003</v>
      </c>
      <c r="D27" s="5"/>
    </row>
    <row r="28" spans="1:4" x14ac:dyDescent="0.2">
      <c r="A28" s="2"/>
      <c r="D28" s="5"/>
    </row>
    <row r="31" spans="1:4" x14ac:dyDescent="0.2">
      <c r="B31" t="s">
        <v>12</v>
      </c>
      <c r="C31" t="s">
        <v>13</v>
      </c>
    </row>
    <row r="32" spans="1:4" x14ac:dyDescent="0.2">
      <c r="A32" t="s">
        <v>7</v>
      </c>
      <c r="B32" s="22">
        <f>($B$18*K8+$K$4)*N16</f>
        <v>39.757368749999991</v>
      </c>
      <c r="C32" s="22">
        <f>($C$27*L8+$L$4)*N16</f>
        <v>46.240219666666668</v>
      </c>
    </row>
    <row r="33" spans="1:7" x14ac:dyDescent="0.2">
      <c r="A33" t="s">
        <v>8</v>
      </c>
      <c r="B33" s="22">
        <f>($B$18*K9+$K$4)*N16</f>
        <v>44.498904999999993</v>
      </c>
      <c r="C33" s="22">
        <f>($C$27*L9+$L$4)*N16</f>
        <v>51.550740266666665</v>
      </c>
    </row>
    <row r="34" spans="1:7" x14ac:dyDescent="0.2">
      <c r="A34" t="s">
        <v>45</v>
      </c>
      <c r="B34" s="22">
        <f>(($B$18*K12)+$K$4*G35)*N16</f>
        <v>62.832233749999986</v>
      </c>
      <c r="C34" s="22">
        <f>(($C$27*L12)+$L$4*G35)*N16</f>
        <v>72.940051799999992</v>
      </c>
    </row>
    <row r="35" spans="1:7" x14ac:dyDescent="0.2">
      <c r="A35" t="s">
        <v>48</v>
      </c>
      <c r="B35" s="22">
        <f>($B$18*K7+$K$4)*N16</f>
        <v>38.921601612903217</v>
      </c>
      <c r="C35" s="22">
        <f>($C$27*L7+$L$4)*N16</f>
        <v>45.30416047311828</v>
      </c>
      <c r="D35" s="41" t="s">
        <v>46</v>
      </c>
      <c r="F35" s="42">
        <v>0.2</v>
      </c>
      <c r="G35">
        <v>1.5</v>
      </c>
    </row>
  </sheetData>
  <sheetProtection algorithmName="SHA-512" hashValue="GY42tniazAFqBI5MDyM/2rF06cWdQBvgBNiQf9cMWUsnCsut+VkX0XqVV6scJAR6vFifllvFR/ifWigY5cAzVA==" saltValue="QaEzZEnIq22OOtLqC7nrQw==" spinCount="100000" sheet="1" objects="1" scenarios="1"/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"/>
  <sheetViews>
    <sheetView workbookViewId="0"/>
  </sheetViews>
  <sheetFormatPr defaultRowHeight="12.75" x14ac:dyDescent="0.2"/>
  <sheetData/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Foglio1</vt:lpstr>
      <vt:lpstr>Foglio2</vt:lpstr>
      <vt:lpstr>Foglio3</vt:lpstr>
    </vt:vector>
  </TitlesOfParts>
  <Company>CEPI SRL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Sandra Ceccarelli</dc:creator>
  <cp:lastModifiedBy>Sandra Ceccarelli</cp:lastModifiedBy>
  <cp:lastPrinted>2001-10-17T16:03:29Z</cp:lastPrinted>
  <dcterms:created xsi:type="dcterms:W3CDTF">2001-05-25T10:28:17Z</dcterms:created>
  <dcterms:modified xsi:type="dcterms:W3CDTF">2026-01-14T09:50:29Z</dcterms:modified>
</cp:coreProperties>
</file>