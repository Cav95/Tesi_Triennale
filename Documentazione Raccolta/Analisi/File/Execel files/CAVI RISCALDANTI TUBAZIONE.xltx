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6248F1B6-D0AD-406A-B855-739759296E35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Foglio1 " sheetId="4" r:id="rId1"/>
    <sheet name="Foglio2" sheetId="2" r:id="rId2"/>
    <sheet name="Foglio3" sheetId="3" r:id="rId3"/>
  </sheets>
  <definedNames>
    <definedName name="_xlnm.Print_Area" localSheetId="0">'Foglio1 '!$A$1:$L$30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4" i="4" l="1"/>
  <c r="K21" i="4"/>
  <c r="L21" i="4" s="1"/>
  <c r="J28" i="4"/>
  <c r="J27" i="4"/>
  <c r="J19" i="4"/>
  <c r="K19" i="4" s="1"/>
  <c r="J16" i="4"/>
  <c r="J15" i="4"/>
  <c r="J17" i="4" s="1"/>
  <c r="K17" i="4" s="1"/>
  <c r="J10" i="4"/>
  <c r="J11" i="4"/>
  <c r="J9" i="4"/>
  <c r="J8" i="4"/>
  <c r="J7" i="4"/>
  <c r="J12" i="4" s="1"/>
  <c r="K12" i="4" s="1"/>
  <c r="K28" i="4"/>
  <c r="L28" i="4" s="1"/>
  <c r="K27" i="4"/>
  <c r="L27" i="4" s="1"/>
  <c r="F24" i="4"/>
  <c r="L24" i="4" s="1"/>
  <c r="F21" i="4"/>
  <c r="F19" i="4"/>
  <c r="G15" i="4"/>
  <c r="G17" i="4" s="1"/>
  <c r="L19" i="4" l="1"/>
  <c r="L17" i="4"/>
  <c r="L12" i="4"/>
  <c r="L23" i="4" l="1"/>
  <c r="L25" i="4"/>
</calcChain>
</file>

<file path=xl/sharedStrings.xml><?xml version="1.0" encoding="utf-8"?>
<sst xmlns="http://schemas.openxmlformats.org/spreadsheetml/2006/main" count="34" uniqueCount="34">
  <si>
    <t xml:space="preserve">Componenti fissi </t>
  </si>
  <si>
    <t>Kit di connessione</t>
  </si>
  <si>
    <t>Tappo terminale</t>
  </si>
  <si>
    <t>Protezione elettrica</t>
  </si>
  <si>
    <t>Protezione cortocircuito</t>
  </si>
  <si>
    <t>Componenti variabili</t>
  </si>
  <si>
    <t>NASTRO IN FIBRA DI VETRO PER FISSAGGIO TUBO rotolo 50 mt</t>
  </si>
  <si>
    <t>Opzioni :</t>
  </si>
  <si>
    <t>SONDA TEMPERATURA</t>
  </si>
  <si>
    <t xml:space="preserve">Cavo alimentazione </t>
  </si>
  <si>
    <t>Cavo alimentazione - 10 metri di dotazione</t>
  </si>
  <si>
    <t>Al metro ( oltre i dieci metri)</t>
  </si>
  <si>
    <t>Totale kit componenti fissi</t>
  </si>
  <si>
    <t xml:space="preserve">CAVO SCALDANTE </t>
  </si>
  <si>
    <t>Cliente</t>
  </si>
  <si>
    <t>Offerta</t>
  </si>
  <si>
    <t>Data</t>
  </si>
  <si>
    <t>TERMOSTATO (se si vuole avere un controllo su t° sotto i 65°)</t>
  </si>
  <si>
    <t>CAVI RISCALDANTI CON TUBAZIONE E COIBENTAZIONE - GLUCOSIO - GRASSO - GLICERINA (NO CIOCCOLATA)</t>
  </si>
  <si>
    <t>TUBALIMENT INOX DN25 CON SOSTEGNI</t>
  </si>
  <si>
    <t>TUBALIMENT INOX DN32 CON SOSTEGNI.</t>
  </si>
  <si>
    <t>Ø  TUBO</t>
  </si>
  <si>
    <t>TUBALIMENT INOX DN40 CON SOSTEGNI.</t>
  </si>
  <si>
    <t>TUBALIMENT INOX DN50 CON SOSTEGNI.</t>
  </si>
  <si>
    <t>TUBALIMENT INOX DN65 CON SOSTEGNI.</t>
  </si>
  <si>
    <t>TUBALIMENT INOX DN80 CON SOSTEGNI.</t>
  </si>
  <si>
    <t>COIBENTAZIONE AL METRO VALIDO PER OGNI DIAMETRO (PER IL MOMENTO)</t>
  </si>
  <si>
    <t>Totale metri</t>
  </si>
  <si>
    <t>Tubaliment</t>
  </si>
  <si>
    <t>METRI</t>
  </si>
  <si>
    <t>Totale tubazione con cavo riscaldante</t>
  </si>
  <si>
    <t>Coibentazione tubo</t>
  </si>
  <si>
    <t>Totale con coibentazioone</t>
  </si>
  <si>
    <t>maggiorazione listino 15%+3% pesato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</si>
</sst>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5" fillId="0" borderId="0"/>
    <xf numFmtId="0" fontId="5" fillId="0" borderId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43" fontId="0" fillId="0" borderId="0" xfId="1" applyFont="1"/>
    <xf numFmtId="43" fontId="0" fillId="0" borderId="0" xfId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43" fontId="0" fillId="3" borderId="2" xfId="1" applyFont="1" applyFill="1" applyBorder="1"/>
    <xf numFmtId="0" fontId="0" fillId="0" borderId="1" xfId="0" applyBorder="1"/>
    <xf numFmtId="0" fontId="2" fillId="0" borderId="1" xfId="0" applyFont="1" applyBorder="1"/>
    <xf numFmtId="0" fontId="3" fillId="0" borderId="1" xfId="0" applyFont="1" applyBorder="1"/>
    <xf numFmtId="43" fontId="0" fillId="3" borderId="3" xfId="1" applyFont="1" applyFill="1" applyBorder="1"/>
    <xf numFmtId="0" fontId="0" fillId="2" borderId="1" xfId="0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2" fontId="6" fillId="0" borderId="4" xfId="2" applyNumberFormat="1" applyFont="1" applyBorder="1" applyAlignment="1">
      <alignment horizontal="right" wrapText="1"/>
    </xf>
    <xf numFmtId="0" fontId="0" fillId="5" borderId="1" xfId="0" applyFill="1" applyBorder="1" applyProtection="1">
      <protection locked="0"/>
    </xf>
    <xf numFmtId="43" fontId="0" fillId="2" borderId="2" xfId="1" applyFont="1" applyFill="1" applyBorder="1" applyProtection="1">
      <protection locked="0"/>
    </xf>
    <xf numFmtId="0" fontId="6" fillId="0" borderId="4" xfId="3" applyFont="1" applyBorder="1" applyAlignment="1">
      <alignment wrapText="1"/>
    </xf>
    <xf numFmtId="2" fontId="6" fillId="0" borderId="0" xfId="2" applyNumberFormat="1" applyFont="1" applyAlignment="1">
      <alignment horizontal="right" wrapText="1"/>
    </xf>
    <xf numFmtId="43" fontId="0" fillId="0" borderId="1" xfId="1" applyFont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43" fontId="0" fillId="0" borderId="1" xfId="1" applyFont="1" applyBorder="1"/>
    <xf numFmtId="0" fontId="0" fillId="0" borderId="1" xfId="0" applyBorder="1" applyAlignment="1">
      <alignment horizontal="right"/>
    </xf>
    <xf numFmtId="43" fontId="7" fillId="7" borderId="1" xfId="0" applyNumberFormat="1" applyFont="1" applyFill="1" applyBorder="1"/>
    <xf numFmtId="43" fontId="0" fillId="7" borderId="1" xfId="0" applyNumberFormat="1" applyFill="1" applyBorder="1"/>
    <xf numFmtId="43" fontId="4" fillId="8" borderId="6" xfId="0" applyNumberFormat="1" applyFont="1" applyFill="1" applyBorder="1"/>
    <xf numFmtId="0" fontId="4" fillId="0" borderId="1" xfId="0" applyFont="1" applyBorder="1" applyAlignment="1">
      <alignment horizontal="center" wrapText="1"/>
    </xf>
    <xf numFmtId="0" fontId="0" fillId="0" borderId="5" xfId="0" applyBorder="1" applyAlignment="1">
      <alignment horizontal="right"/>
    </xf>
    <xf numFmtId="0" fontId="0" fillId="0" borderId="0" xfId="0" applyAlignment="1">
      <alignment horizontal="right"/>
    </xf>
    <xf numFmtId="0" fontId="6" fillId="0" borderId="0" xfId="3" applyFont="1" applyAlignment="1">
      <alignment horizontal="center" vertical="center" wrapText="1"/>
    </xf>
  </cellXfs>
  <cellStyles count="4">
    <cellStyle name="Migliaia" xfId="1" builtinId="3"/>
    <cellStyle name="Normale" xfId="0" builtinId="0"/>
    <cellStyle name="Normale_Foglio1" xfId="2" xr:uid="{00000000-0005-0000-0000-000002000000}"/>
    <cellStyle name="Normale_Foglio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O30"/>
  <sheetViews>
    <sheetView tabSelected="1" view="pageBreakPreview" topLeftCell="B1" zoomScale="110" zoomScaleNormal="100" zoomScaleSheetLayoutView="110" workbookViewId="0">
      <selection activeCell="K12" sqref="K12"/>
    </sheetView>
  </sheetViews>
  <sheetFormatPr defaultRowHeight="15" x14ac:dyDescent="0.25"/>
  <cols>
    <col min="1" max="1" width="0" hidden="1" customWidth="1"/>
    <col min="2" max="2" width="18.7109375" bestFit="1" customWidth="1"/>
    <col min="3" max="3" width="0" hidden="1" customWidth="1"/>
    <col min="4" max="4" width="56.42578125" bestFit="1" customWidth="1"/>
    <col min="5" max="5" width="9.28515625" bestFit="1" customWidth="1"/>
    <col min="6" max="6" width="5.7109375" style="4" customWidth="1"/>
    <col min="7" max="7" width="5.42578125" hidden="1" customWidth="1"/>
    <col min="8" max="8" width="4.28515625" hidden="1" customWidth="1"/>
    <col min="9" max="9" width="17.5703125" hidden="1" customWidth="1"/>
    <col min="10" max="10" width="10.42578125" style="2" hidden="1" customWidth="1"/>
    <col min="11" max="11" width="9.5703125" bestFit="1" customWidth="1"/>
    <col min="12" max="12" width="15" customWidth="1"/>
    <col min="13" max="13" width="37.42578125" hidden="1" customWidth="1"/>
    <col min="14" max="15" width="0" hidden="1" customWidth="1"/>
  </cols>
  <sheetData>
    <row r="1" spans="2:15" ht="21.75" customHeight="1" x14ac:dyDescent="0.25">
      <c r="D1" s="25" t="s">
        <v>18</v>
      </c>
      <c r="K1" s="2"/>
    </row>
    <row r="2" spans="2:15" ht="41.25" customHeight="1" x14ac:dyDescent="0.25">
      <c r="D2" s="25"/>
      <c r="K2" s="2"/>
      <c r="M2" t="s">
        <v>19</v>
      </c>
      <c r="N2">
        <v>25</v>
      </c>
      <c r="O2" s="13">
        <v>122.85</v>
      </c>
    </row>
    <row r="3" spans="2:15" ht="15.75" thickBot="1" x14ac:dyDescent="0.3">
      <c r="B3" s="7" t="s">
        <v>14</v>
      </c>
      <c r="C3" s="7"/>
      <c r="D3" s="14"/>
      <c r="K3" s="2"/>
      <c r="M3" t="s">
        <v>20</v>
      </c>
      <c r="N3">
        <v>32</v>
      </c>
      <c r="O3" s="13">
        <v>155.4</v>
      </c>
    </row>
    <row r="4" spans="2:15" ht="15" customHeight="1" thickBot="1" x14ac:dyDescent="0.3">
      <c r="B4" s="7" t="s">
        <v>15</v>
      </c>
      <c r="C4" s="7"/>
      <c r="D4" s="14"/>
      <c r="E4" s="26" t="s">
        <v>21</v>
      </c>
      <c r="F4" s="27"/>
      <c r="K4" s="15"/>
      <c r="M4" t="s">
        <v>22</v>
      </c>
      <c r="N4">
        <v>40</v>
      </c>
      <c r="O4" s="13">
        <v>171.35</v>
      </c>
    </row>
    <row r="5" spans="2:15" ht="15" customHeight="1" x14ac:dyDescent="0.25">
      <c r="B5" s="7" t="s">
        <v>16</v>
      </c>
      <c r="C5" s="7"/>
      <c r="D5" s="14"/>
      <c r="K5" s="2"/>
      <c r="M5" s="16" t="s">
        <v>23</v>
      </c>
      <c r="N5">
        <v>50</v>
      </c>
      <c r="O5" s="13">
        <v>212.1</v>
      </c>
    </row>
    <row r="6" spans="2:15" ht="15" customHeight="1" x14ac:dyDescent="0.25">
      <c r="K6" s="2"/>
      <c r="M6" s="16" t="s">
        <v>24</v>
      </c>
      <c r="N6">
        <v>65</v>
      </c>
      <c r="O6" s="13">
        <v>278.25</v>
      </c>
    </row>
    <row r="7" spans="2:15" x14ac:dyDescent="0.25">
      <c r="B7" t="s">
        <v>0</v>
      </c>
      <c r="D7" s="7" t="s">
        <v>1</v>
      </c>
      <c r="E7" s="5">
        <v>1</v>
      </c>
      <c r="F7" s="1"/>
      <c r="G7" s="1">
        <v>250</v>
      </c>
      <c r="H7" s="1">
        <v>2.5</v>
      </c>
      <c r="I7" s="1">
        <v>1.05</v>
      </c>
      <c r="J7" s="3">
        <f>(G7*H7*I7)*Foglio2!A1</f>
        <v>777.65625</v>
      </c>
      <c r="K7" s="2"/>
      <c r="M7" s="16" t="s">
        <v>25</v>
      </c>
      <c r="N7">
        <v>80</v>
      </c>
      <c r="O7" s="13">
        <v>342</v>
      </c>
    </row>
    <row r="8" spans="2:15" x14ac:dyDescent="0.25">
      <c r="D8" s="7" t="s">
        <v>2</v>
      </c>
      <c r="E8" s="5">
        <v>1</v>
      </c>
      <c r="F8" s="1"/>
      <c r="G8" s="1">
        <v>6.9</v>
      </c>
      <c r="H8" s="1">
        <v>2.5</v>
      </c>
      <c r="I8" s="1">
        <v>1.05</v>
      </c>
      <c r="J8" s="3">
        <f>(G8*H8*I8)*Foglio2!A1</f>
        <v>21.463312500000001</v>
      </c>
      <c r="K8" s="3"/>
    </row>
    <row r="9" spans="2:15" x14ac:dyDescent="0.25">
      <c r="D9" s="7" t="s">
        <v>3</v>
      </c>
      <c r="E9" s="5">
        <v>1</v>
      </c>
      <c r="F9" s="1"/>
      <c r="G9" s="1">
        <v>60</v>
      </c>
      <c r="H9" s="1">
        <v>2.5</v>
      </c>
      <c r="I9" s="1">
        <v>1.05</v>
      </c>
      <c r="J9" s="3">
        <f>(G9*H9*I9)*Foglio2!A1</f>
        <v>186.63750000000002</v>
      </c>
      <c r="K9" s="3"/>
      <c r="M9" s="28" t="s">
        <v>26</v>
      </c>
      <c r="O9" s="17">
        <v>50</v>
      </c>
    </row>
    <row r="10" spans="2:15" x14ac:dyDescent="0.25">
      <c r="D10" s="7" t="s">
        <v>4</v>
      </c>
      <c r="E10" s="5">
        <v>1</v>
      </c>
      <c r="F10" s="1"/>
      <c r="G10" s="1">
        <v>40</v>
      </c>
      <c r="H10" s="1">
        <v>2.5</v>
      </c>
      <c r="I10" s="1">
        <v>1.05</v>
      </c>
      <c r="J10" s="3">
        <f>(G10*H10*I10)*Foglio2!A1</f>
        <v>124.42500000000001</v>
      </c>
      <c r="K10" s="3"/>
      <c r="M10" s="28"/>
    </row>
    <row r="11" spans="2:15" ht="15.75" thickBot="1" x14ac:dyDescent="0.3">
      <c r="D11" s="7" t="s">
        <v>10</v>
      </c>
      <c r="E11" s="5">
        <v>1</v>
      </c>
      <c r="F11" s="1"/>
      <c r="G11" s="1">
        <v>25</v>
      </c>
      <c r="H11" s="1">
        <v>2.5</v>
      </c>
      <c r="I11" s="1">
        <v>1.05</v>
      </c>
      <c r="J11" s="3">
        <f>(G11*H11*I11)*Foglio2!A1</f>
        <v>77.765625</v>
      </c>
      <c r="K11" s="2"/>
    </row>
    <row r="12" spans="2:15" ht="15.75" thickBot="1" x14ac:dyDescent="0.3">
      <c r="D12" s="7" t="s">
        <v>12</v>
      </c>
      <c r="F12" s="12">
        <v>1</v>
      </c>
      <c r="J12" s="3">
        <f>SUM(J7:J11)</f>
        <v>1187.9476875</v>
      </c>
      <c r="K12" s="18">
        <f>ROUNDUP(J12,-1)</f>
        <v>1190</v>
      </c>
      <c r="L12" s="10">
        <f>IF(K4=0,0,F12*K12)</f>
        <v>0</v>
      </c>
    </row>
    <row r="13" spans="2:15" x14ac:dyDescent="0.25">
      <c r="J13" s="3"/>
      <c r="K13" s="3"/>
    </row>
    <row r="14" spans="2:15" x14ac:dyDescent="0.25">
      <c r="J14" s="3"/>
      <c r="K14" s="3"/>
    </row>
    <row r="15" spans="2:15" x14ac:dyDescent="0.25">
      <c r="B15" t="s">
        <v>5</v>
      </c>
      <c r="D15" s="8" t="s">
        <v>6</v>
      </c>
      <c r="G15">
        <f>12.5/50</f>
        <v>0.25</v>
      </c>
      <c r="H15" s="1">
        <v>2.5</v>
      </c>
      <c r="I15" s="1">
        <v>1.05</v>
      </c>
      <c r="J15" s="3">
        <f>(G15*H15*I15)*Foglio2!A1</f>
        <v>0.77765625000000005</v>
      </c>
      <c r="K15" s="2"/>
    </row>
    <row r="16" spans="2:15" ht="15.75" thickBot="1" x14ac:dyDescent="0.3">
      <c r="D16" s="9" t="s">
        <v>13</v>
      </c>
      <c r="G16">
        <v>8.5</v>
      </c>
      <c r="H16" s="1">
        <v>2.5</v>
      </c>
      <c r="I16" s="1">
        <v>1.05</v>
      </c>
      <c r="J16" s="3">
        <f>(G16*H16*I16)*Foglio2!A1</f>
        <v>26.440312500000001</v>
      </c>
      <c r="K16" s="2"/>
    </row>
    <row r="17" spans="2:12" ht="15.75" thickBot="1" x14ac:dyDescent="0.3">
      <c r="D17" s="7" t="s">
        <v>27</v>
      </c>
      <c r="F17" s="11"/>
      <c r="G17">
        <f>G16+G15</f>
        <v>8.75</v>
      </c>
      <c r="J17" s="2">
        <f>(16+J15)*Foglio2!A1</f>
        <v>19.881522656250002</v>
      </c>
      <c r="K17" s="18">
        <f>ROUNDUP(J17,0)</f>
        <v>20</v>
      </c>
      <c r="L17" s="6">
        <f>F17*K17</f>
        <v>0</v>
      </c>
    </row>
    <row r="18" spans="2:12" ht="15.75" thickBot="1" x14ac:dyDescent="0.3">
      <c r="K18" s="2"/>
    </row>
    <row r="19" spans="2:12" ht="15.75" thickBot="1" x14ac:dyDescent="0.3">
      <c r="B19" t="s">
        <v>9</v>
      </c>
      <c r="D19" s="7" t="s">
        <v>11</v>
      </c>
      <c r="E19">
        <v>10</v>
      </c>
      <c r="F19" s="19">
        <f>IF(F17&lt;10,0,F17-E19)</f>
        <v>0</v>
      </c>
      <c r="G19">
        <v>2.5</v>
      </c>
      <c r="H19" s="1">
        <v>2.5</v>
      </c>
      <c r="I19" s="1">
        <v>1.05</v>
      </c>
      <c r="J19" s="3">
        <f>(G19*H19*I19)*Foglio2!A1</f>
        <v>7.7765625000000007</v>
      </c>
      <c r="K19" s="18">
        <f>ROUNDUP(J19,1)</f>
        <v>7.8</v>
      </c>
      <c r="L19" s="6">
        <f>F19*K19</f>
        <v>0</v>
      </c>
    </row>
    <row r="20" spans="2:12" ht="15.75" thickBot="1" x14ac:dyDescent="0.3">
      <c r="K20" s="2"/>
    </row>
    <row r="21" spans="2:12" ht="15.75" thickBot="1" x14ac:dyDescent="0.3">
      <c r="B21" t="s">
        <v>28</v>
      </c>
      <c r="E21" t="s">
        <v>29</v>
      </c>
      <c r="F21" s="19">
        <f>F17</f>
        <v>0</v>
      </c>
      <c r="K21" s="20">
        <f>IF(K4=0,0,VLOOKUP(K4,N2:O7,2,1))*Foglio2!A1</f>
        <v>0</v>
      </c>
      <c r="L21" s="10">
        <f>K21*F21</f>
        <v>0</v>
      </c>
    </row>
    <row r="22" spans="2:12" x14ac:dyDescent="0.25">
      <c r="K22" s="2"/>
    </row>
    <row r="23" spans="2:12" ht="18.75" x14ac:dyDescent="0.3">
      <c r="D23" s="21" t="s">
        <v>30</v>
      </c>
      <c r="K23" s="2"/>
      <c r="L23" s="22">
        <f>ROUND(L12+L17+L19+L21,0)</f>
        <v>0</v>
      </c>
    </row>
    <row r="24" spans="2:12" x14ac:dyDescent="0.25">
      <c r="D24" s="21" t="s">
        <v>31</v>
      </c>
      <c r="F24" s="19">
        <f>F21</f>
        <v>0</v>
      </c>
      <c r="K24" s="20">
        <f>O9*Foglio2!A1</f>
        <v>59.25</v>
      </c>
      <c r="L24" s="23">
        <f>F24*K24</f>
        <v>0</v>
      </c>
    </row>
    <row r="25" spans="2:12" ht="19.5" thickBot="1" x14ac:dyDescent="0.35">
      <c r="D25" s="21" t="s">
        <v>32</v>
      </c>
      <c r="K25" s="2"/>
      <c r="L25" s="24">
        <f>L23+L24</f>
        <v>0</v>
      </c>
    </row>
    <row r="26" spans="2:12" ht="15.75" thickBot="1" x14ac:dyDescent="0.3">
      <c r="K26" s="2"/>
    </row>
    <row r="27" spans="2:12" ht="15.75" thickBot="1" x14ac:dyDescent="0.3">
      <c r="B27" t="s">
        <v>7</v>
      </c>
      <c r="D27" s="7" t="s">
        <v>17</v>
      </c>
      <c r="F27" s="11">
        <v>0</v>
      </c>
      <c r="G27">
        <v>80</v>
      </c>
      <c r="H27">
        <v>2.5</v>
      </c>
      <c r="I27">
        <v>1.05</v>
      </c>
      <c r="J27" s="3">
        <f>(G27*H27*I27)*Foglio2!A1</f>
        <v>248.85000000000002</v>
      </c>
      <c r="K27" s="18">
        <f>ROUNDUP(J27,1)</f>
        <v>248.9</v>
      </c>
      <c r="L27" s="6">
        <f>F27*K27</f>
        <v>0</v>
      </c>
    </row>
    <row r="28" spans="2:12" ht="15.75" thickBot="1" x14ac:dyDescent="0.3">
      <c r="D28" s="7" t="s">
        <v>8</v>
      </c>
      <c r="F28" s="11">
        <v>0</v>
      </c>
      <c r="G28">
        <v>80</v>
      </c>
      <c r="H28">
        <v>2.5</v>
      </c>
      <c r="I28">
        <v>1.05</v>
      </c>
      <c r="J28" s="3">
        <f>(G28*H28*I28)*Foglio2!A1</f>
        <v>248.85000000000002</v>
      </c>
      <c r="K28" s="18">
        <f>ROUNDUP(J28,1)</f>
        <v>248.9</v>
      </c>
      <c r="L28" s="6">
        <f>F28*K28</f>
        <v>0</v>
      </c>
    </row>
    <row r="29" spans="2:12" x14ac:dyDescent="0.25">
      <c r="K29" s="2"/>
    </row>
    <row r="30" spans="2:12" x14ac:dyDescent="0.25">
      <c r="F30"/>
      <c r="J30"/>
      <c r="K30" s="2"/>
    </row>
  </sheetData>
  <sheetProtection algorithmName="SHA-512" hashValue="xCD7BEMYyQMogjHwqMAltR7K1s1+PavQOu6/qbKBx5Zq8VbIbSDnrxGfEizf9rbTPRfyb7IguF34yQ6iJtlo+Q==" saltValue="NPBENZ0HhYGKiRWtzvKFBQ==" spinCount="100000" sheet="1" objects="1" scenarios="1"/>
  <mergeCells count="3">
    <mergeCell ref="D1:D2"/>
    <mergeCell ref="E4:F4"/>
    <mergeCell ref="M9:M10"/>
  </mergeCells>
  <dataValidations count="1">
    <dataValidation type="list" allowBlank="1" showInputMessage="1" showErrorMessage="1" sqref="K4" xr:uid="{00000000-0002-0000-0000-000000000000}">
      <formula1>$N$2:$N$7</formula1>
    </dataValidation>
  </dataValidations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"/>
  <sheetViews>
    <sheetView topLeftCell="F1" workbookViewId="0">
      <selection sqref="A1:E1048576"/>
    </sheetView>
  </sheetViews>
  <sheetFormatPr defaultRowHeight="15" x14ac:dyDescent="0.25"/>
  <cols>
    <col min="1" max="3" width="8.85546875" hidden="1" customWidth="1"/>
    <col min="4" max="4" width="9.140625" hidden="1" customWidth="1"/>
    <col min="5" max="5" width="0" hidden="1" customWidth="1"/>
  </cols>
  <sheetData>
    <row r="1" spans="1:2" x14ac:dyDescent="0.25">
      <c r="A1">
        <v>1.1850000000000001</v>
      </c>
      <c r="B1" t="s">
        <v>33</v>
      </c>
    </row>
  </sheetData>
  <sheetProtection algorithmName="SHA-512" hashValue="P5TA4VW1BsTV5dFAftYIjKrFE7Yyi+fgQV/ZWTkglSLbG9GvXgYeQ2VzOdjrUqg1nTVRyPDmZzKNx6TDHskhGw==" saltValue="HuVjwr2JTZQzmiXHGOZ40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Foglio1 </vt:lpstr>
      <vt:lpstr>Foglio2</vt:lpstr>
      <vt:lpstr>Foglio3</vt:lpstr>
      <vt:lpstr>'Foglio1 '!Area_stampa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Ceccarelli</dc:creator>
  <cp:lastModifiedBy>Sandra Ceccarelli</cp:lastModifiedBy>
  <cp:lastPrinted>2013-01-14T13:56:47Z</cp:lastPrinted>
  <dcterms:created xsi:type="dcterms:W3CDTF">2013-01-14T11:10:32Z</dcterms:created>
  <dcterms:modified xsi:type="dcterms:W3CDTF">2026-01-14T09:55:05Z</dcterms:modified>
</cp:coreProperties>
</file>