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Q:\Excelmod\XLSTART\"/>
    </mc:Choice>
  </mc:AlternateContent>
  <xr:revisionPtr revIDLastSave="0" documentId="13_ncr:1_{36C2D405-5A45-4E51-92E7-8C51B2FED119}" xr6:coauthVersionLast="47" xr6:coauthVersionMax="47" xr10:uidLastSave="{00000000-0000-0000-0000-000000000000}"/>
  <workbookProtection workbookPassword="C71F" lockStructure="1"/>
  <bookViews>
    <workbookView xWindow="-120" yWindow="-120" windowWidth="24240" windowHeight="13020" tabRatio="744" xr2:uid="{00000000-000D-0000-FFFF-FFFF00000000}"/>
  </bookViews>
  <sheets>
    <sheet name="impianto" sheetId="12" r:id="rId1"/>
    <sheet name="manodopera" sheetId="20" state="hidden" r:id="rId2"/>
    <sheet name="quadro" sheetId="13" r:id="rId3"/>
    <sheet name="input_output" sheetId="15" state="hidden" r:id="rId4"/>
    <sheet name="database siemens" sheetId="4" state="hidden" r:id="rId5"/>
    <sheet name="mop" sheetId="17" state="hidden" r:id="rId6"/>
    <sheet name="confronto_ caratteristiche" sheetId="16" state="hidden" r:id="rId7"/>
    <sheet name="base prezzi" sheetId="1" state="hidden" r:id="rId8"/>
    <sheet name="configurazioni" sheetId="14" state="hidden" r:id="rId9"/>
    <sheet name="CategorieADHOC" sheetId="22" state="hidden" r:id="rId10"/>
    <sheet name="SimulazioneManodopera" sheetId="25" state="hidden" r:id="rId11"/>
    <sheet name="DIBA_ADHOC_PREZZI" sheetId="26" state="hidden" r:id="rId12"/>
    <sheet name="Elenchi controllo_Parametri" sheetId="27" state="hidden" r:id="rId13"/>
    <sheet name="Foglio1" sheetId="28" state="hidden" r:id="rId14"/>
    <sheet name="Foglio2" sheetId="29" r:id="rId15"/>
    <sheet name="Foglio3" sheetId="30" r:id="rId16"/>
  </sheets>
  <externalReferences>
    <externalReference r:id="rId17"/>
  </externalReferences>
  <definedNames>
    <definedName name="_DO2">impianto!$DD:$DD</definedName>
    <definedName name="_xlnm._FilterDatabase" localSheetId="7" hidden="1">'base prezzi'!$A$1:$F$102</definedName>
    <definedName name="_xlnm._FilterDatabase" localSheetId="11" hidden="1">DIBA_ADHOC_PREZZI!$A$1:$AT$448</definedName>
    <definedName name="_xlnm._FilterDatabase" localSheetId="0" hidden="1">impianto!$A$20:$P$194</definedName>
    <definedName name="_WP300_config1">'Elenchi controllo_Parametri'!$C$40</definedName>
    <definedName name="_WP300_config2">'Elenchi controllo_Parametri'!$C$41</definedName>
    <definedName name="a">SimulazioneManodopera!$B$1</definedName>
    <definedName name="AI">impianto!$BP:$BP</definedName>
    <definedName name="AO">impianto!$DN:$DN</definedName>
    <definedName name="_xlnm.Print_Area" localSheetId="8">configurazioni!$A$1:$I$62</definedName>
    <definedName name="_xlnm.Print_Area" localSheetId="0">impianto!$A$1:$AF$194</definedName>
    <definedName name="_xlnm.Print_Area" localSheetId="2">quadro!$A$1:$F$191</definedName>
    <definedName name="b">SimulazioneManodopera!$B$2</definedName>
    <definedName name="complessita">manodopera!$B$9</definedName>
    <definedName name="controlloreParametri">'Elenchi controllo_Parametri'!$A$2:$P$7</definedName>
    <definedName name="costo_posizione">impianto!$AM$23:$AM$194</definedName>
    <definedName name="db_configurazione">impianto!$A$20:$DY$194</definedName>
    <definedName name="descrizione1">impianto!$B$23:$B$194</definedName>
    <definedName name="descrizione2" localSheetId="10">[1]impianto!$C$2:$C$153</definedName>
    <definedName name="descrizione2">impianto!$D$23:$D$194</definedName>
    <definedName name="descrizione2_filtrata">impianto!$AL$23:$AL$194</definedName>
    <definedName name="DI">impianto!$CJ:$CJ</definedName>
    <definedName name="DIV">impianto!$BZ:$BZ</definedName>
    <definedName name="DO">impianto!$CT:$CT</definedName>
    <definedName name="euro" localSheetId="10">'[1]database siemens'!$K$2</definedName>
    <definedName name="euro">'database siemens'!$K$2</definedName>
    <definedName name="GATEWAY_MODBUS">'base prezzi'!$F$19</definedName>
    <definedName name="i_o" localSheetId="10">[1]manodopera!$B$6</definedName>
    <definedName name="i_o">manodopera!$B$6</definedName>
    <definedName name="inverter_silo" localSheetId="10">'[1]base prezzi'!$B$81</definedName>
    <definedName name="inverter_silo">'base prezzi'!$F$55</definedName>
    <definedName name="K">SimulazioneManodopera!$B$3</definedName>
    <definedName name="k_EM_AB">'Elenchi controllo_Parametri'!$C$27</definedName>
    <definedName name="k_EM_MO">'Elenchi controllo_Parametri'!$C$26</definedName>
    <definedName name="k_EM_SC">'Elenchi controllo_Parametri'!$C$28</definedName>
    <definedName name="k_EM_SI">'Elenchi controllo_Parametri'!$C$29</definedName>
    <definedName name="k_plc_AB">'Elenchi controllo_Parametri'!$C$13</definedName>
    <definedName name="k_plc_Seneca">'Elenchi controllo_Parametri'!$C$14</definedName>
    <definedName name="netto" localSheetId="10">[1]database!$O$2:$O$482</definedName>
    <definedName name="netto">#REF!</definedName>
    <definedName name="Nr_linee" localSheetId="10">[1]manodopera!$B$8</definedName>
    <definedName name="Nr_linee">manodopera!$B$8</definedName>
    <definedName name="nr_motori_armadio">'Elenchi controllo_Parametri'!$C$35</definedName>
    <definedName name="nr_motori_cassa1">'Elenchi controllo_Parametri'!$C$36</definedName>
    <definedName name="nr_motori_cassa2">'Elenchi controllo_Parametri'!$C$37</definedName>
    <definedName name="nr_wp" localSheetId="10">[1]manodopera!$B$7</definedName>
    <definedName name="nr_wp">manodopera!$B$7</definedName>
    <definedName name="nr_wp_medio" localSheetId="10">[1]manodopera!$E$7</definedName>
    <definedName name="nr_wp_medio">manodopera!$E$7</definedName>
    <definedName name="ore_i_o" localSheetId="10">[1]quadro!$B$64</definedName>
    <definedName name="ore_i_o">'Elenchi controllo_Parametri'!$C$34</definedName>
    <definedName name="ore_motore" localSheetId="10">[1]quadro!$B$63</definedName>
    <definedName name="ore_motore">'Elenchi controllo_Parametri'!$C$33</definedName>
    <definedName name="potenza">impianto!$AI$23:$AI$194</definedName>
    <definedName name="prezzi" localSheetId="10">'[1]base prezzi'!$A$1:$B$130</definedName>
    <definedName name="prezzi">'base prezzi'!$B$1:$F$116</definedName>
    <definedName name="punti_dosaggio" localSheetId="10">[1]impianto!$M$66:$M$68,[1]impianto!$M$102:$M$104,[1]impianto!$M$148:$M$149</definedName>
    <definedName name="punti_dosaggio">impianto!$N$78:$N$81,impianto!$N$108:$N$111,impianto!$N$159:$N$159</definedName>
    <definedName name="pz">impianto!$N$23:$N$194</definedName>
    <definedName name="selezione_configurazione2">impianto!#REF!</definedName>
    <definedName name="settore" localSheetId="10">[1]impianto!$A$2:$A$153</definedName>
    <definedName name="settore">impianto!$A$23:$A$194</definedName>
    <definedName name="SW">impianto!$BF:$BF</definedName>
    <definedName name="tipo" localSheetId="10">[1]database!$A$2:$A$482</definedName>
    <definedName name="tipo">#REF!</definedName>
    <definedName name="tipo_configurazione1">impianto!$AJ$23:$AJ$194</definedName>
    <definedName name="tipo_controllore1">impianto!$E$2</definedName>
    <definedName name="tipo_controllore2">impianto!$E$5</definedName>
    <definedName name="tipo_em1">impianto!$E$3</definedName>
    <definedName name="tipo_em2">impianto!$E$6</definedName>
    <definedName name="_xlnm.Print_Titles" localSheetId="0">impianto!$20:$20</definedName>
    <definedName name="_xlnm.Print_Titles" localSheetId="2">quadro!$A:$B,quadro!$1:$2</definedName>
    <definedName name="wp500_gateway">'base prezzi'!$F$116</definedName>
    <definedName name="Z_2F6DA050_2C78_4FEE_82E7_63FC04D1B289_.wvu.Cols" localSheetId="4" hidden="1">'database siemens'!$A:$A,'database siemens'!$F:$H</definedName>
    <definedName name="Z_FFF8F457_6B9E_424E_8E8A_94E56AA6D66B_.wvu.Cols" localSheetId="4" hidden="1">'database siemens'!$A:$A,'database siemens'!$F:$H</definedName>
    <definedName name="Z_FFF8F457_6B9E_424E_8E8A_94E56AA6D66B_.wvu.Cols" localSheetId="0" hidden="1">impianto!$F:$M,impianto!$O:$O,impianto!$Q:$Q,impianto!$S:$S,impianto!$U:$U,impianto!$W:$W,impianto!$Y:$Y,impianto!$AA:$AA,impianto!$AC:$AC,impianto!#REF!</definedName>
    <definedName name="Z_FFF8F457_6B9E_424E_8E8A_94E56AA6D66B_.wvu.PrintArea" localSheetId="8" hidden="1">configurazioni!$A$1:$I$62</definedName>
    <definedName name="Z_FFF8F457_6B9E_424E_8E8A_94E56AA6D66B_.wvu.PrintArea" localSheetId="0" hidden="1">impianto!$A$20:$BE$167</definedName>
    <definedName name="Z_FFF8F457_6B9E_424E_8E8A_94E56AA6D66B_.wvu.Rows" localSheetId="0" hidden="1">impianto!$159:$159</definedName>
    <definedName name="Z_FFF8F457_6B9E_424E_8E8A_94E56AA6D66B_.wvu.Rows" localSheetId="2" hidden="1">quadro!$5:$13,quadro!$16:$24,quadro!$27:$48,quadro!$33:$38,quadro!$51:$58,quadro!#REF!</definedName>
  </definedNames>
  <calcPr calcId="191029"/>
  <customWorkbookViews>
    <customWorkbookView name="riepilogo generale" guid="{FFF8F457-6B9E-424E-8E8A-94E56AA6D66B}" maximized="1" windowWidth="1018" windowHeight="579" tabRatio="553" activeSheetId="13"/>
    <customWorkbookView name="acqua" guid="{2F6DA050-2C78-4FEE-82E7-63FC04D1B289}" maximized="1" windowWidth="1018" windowHeight="579" tabRatio="553" activeSheetId="1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5" i="12" l="1"/>
  <c r="AF79" i="12"/>
  <c r="AD79" i="12"/>
  <c r="AB79" i="12"/>
  <c r="Z79" i="12"/>
  <c r="X79" i="12"/>
  <c r="V79" i="12"/>
  <c r="T79" i="12"/>
  <c r="R79" i="12"/>
  <c r="P79" i="12"/>
  <c r="B1" i="12"/>
  <c r="C245" i="12"/>
  <c r="E245" i="12" s="1"/>
  <c r="C249" i="12"/>
  <c r="AF106" i="12" l="1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N106" i="12"/>
  <c r="C50" i="20"/>
  <c r="C95" i="20"/>
  <c r="L186" i="13"/>
  <c r="J186" i="13"/>
  <c r="K186" i="13"/>
  <c r="H187" i="13"/>
  <c r="H189" i="13"/>
  <c r="H188" i="13"/>
  <c r="AF196" i="12"/>
  <c r="AD196" i="12"/>
  <c r="AC196" i="12"/>
  <c r="AB196" i="12"/>
  <c r="AA196" i="12"/>
  <c r="Z196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N158" i="12"/>
  <c r="N156" i="12"/>
  <c r="AL154" i="12"/>
  <c r="N149" i="12"/>
  <c r="N147" i="12"/>
  <c r="AL145" i="12"/>
  <c r="N111" i="12"/>
  <c r="N109" i="12"/>
  <c r="AL107" i="12"/>
  <c r="N53" i="12"/>
  <c r="N51" i="12"/>
  <c r="N199" i="12" s="1"/>
  <c r="AL49" i="12"/>
  <c r="N81" i="12"/>
  <c r="N79" i="12"/>
  <c r="AL77" i="12"/>
  <c r="AH7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R158" i="12"/>
  <c r="Q158" i="12"/>
  <c r="P158" i="12"/>
  <c r="O158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AF81" i="12"/>
  <c r="AE81" i="12"/>
  <c r="AD81" i="12"/>
  <c r="AC81" i="12"/>
  <c r="AB81" i="12"/>
  <c r="AA81" i="12"/>
  <c r="Z81" i="12"/>
  <c r="Y81" i="12"/>
  <c r="X81" i="12"/>
  <c r="W81" i="12"/>
  <c r="V81" i="12"/>
  <c r="U81" i="12"/>
  <c r="T81" i="12"/>
  <c r="S81" i="12"/>
  <c r="R81" i="12"/>
  <c r="Q81" i="12"/>
  <c r="P81" i="12"/>
  <c r="O81" i="12"/>
  <c r="O106" i="12" s="1"/>
  <c r="AF199" i="12"/>
  <c r="AD199" i="12"/>
  <c r="AC199" i="12"/>
  <c r="AB199" i="12"/>
  <c r="AA199" i="12"/>
  <c r="Z199" i="12"/>
  <c r="Y199" i="12"/>
  <c r="X199" i="12"/>
  <c r="W199" i="12"/>
  <c r="V199" i="12"/>
  <c r="U199" i="12"/>
  <c r="T199" i="12"/>
  <c r="S199" i="12"/>
  <c r="R199" i="12"/>
  <c r="Q199" i="12"/>
  <c r="P199" i="12"/>
  <c r="O199" i="12"/>
  <c r="B188" i="13" l="1"/>
  <c r="P198" i="12"/>
  <c r="X198" i="12"/>
  <c r="Z200" i="12"/>
  <c r="Z198" i="12"/>
  <c r="Q198" i="12"/>
  <c r="Y198" i="12"/>
  <c r="B189" i="13"/>
  <c r="B187" i="13"/>
  <c r="AF198" i="12"/>
  <c r="Q200" i="12"/>
  <c r="Y200" i="12"/>
  <c r="S198" i="12"/>
  <c r="AA198" i="12"/>
  <c r="V198" i="12"/>
  <c r="V200" i="12"/>
  <c r="S200" i="12"/>
  <c r="AA200" i="12"/>
  <c r="R200" i="12"/>
  <c r="N198" i="12"/>
  <c r="P200" i="12"/>
  <c r="X200" i="12"/>
  <c r="AF200" i="12"/>
  <c r="R198" i="12"/>
  <c r="AD198" i="12"/>
  <c r="N200" i="12"/>
  <c r="AD200" i="12"/>
  <c r="O198" i="12"/>
  <c r="W198" i="12"/>
  <c r="W200" i="12"/>
  <c r="T200" i="12"/>
  <c r="AB200" i="12"/>
  <c r="O200" i="12"/>
  <c r="U200" i="12"/>
  <c r="AC200" i="12"/>
  <c r="T198" i="12"/>
  <c r="AB198" i="12"/>
  <c r="U198" i="12"/>
  <c r="AC198" i="12"/>
  <c r="A199" i="12"/>
  <c r="B76" i="20"/>
  <c r="C63" i="20"/>
  <c r="C64" i="20"/>
  <c r="C65" i="20"/>
  <c r="C66" i="20"/>
  <c r="C67" i="20"/>
  <c r="C68" i="20"/>
  <c r="C69" i="20"/>
  <c r="C70" i="20"/>
  <c r="C71" i="20"/>
  <c r="C72" i="20"/>
  <c r="C75" i="20"/>
  <c r="C76" i="20"/>
  <c r="A226" i="12"/>
  <c r="B74" i="20" s="1"/>
  <c r="A225" i="12"/>
  <c r="B73" i="20" s="1"/>
  <c r="A224" i="12"/>
  <c r="A223" i="12"/>
  <c r="B71" i="20" s="1"/>
  <c r="A222" i="12"/>
  <c r="B70" i="20" s="1"/>
  <c r="A221" i="12"/>
  <c r="B69" i="20" s="1"/>
  <c r="A220" i="12"/>
  <c r="B68" i="20" s="1"/>
  <c r="A219" i="12"/>
  <c r="B67" i="20" s="1"/>
  <c r="A218" i="12"/>
  <c r="B66" i="20" s="1"/>
  <c r="A217" i="12"/>
  <c r="B65" i="20" s="1"/>
  <c r="A216" i="12"/>
  <c r="B64" i="20" s="1"/>
  <c r="A215" i="12"/>
  <c r="B63" i="20" s="1"/>
  <c r="A213" i="12"/>
  <c r="B29" i="20" s="1"/>
  <c r="A212" i="12"/>
  <c r="A211" i="12"/>
  <c r="B27" i="20" s="1"/>
  <c r="A210" i="12"/>
  <c r="B26" i="20" s="1"/>
  <c r="A209" i="12"/>
  <c r="B25" i="20" s="1"/>
  <c r="A208" i="12"/>
  <c r="B24" i="20" s="1"/>
  <c r="A207" i="12"/>
  <c r="B23" i="20" s="1"/>
  <c r="A206" i="12"/>
  <c r="B22" i="20" s="1"/>
  <c r="A205" i="12"/>
  <c r="B21" i="20" s="1"/>
  <c r="A204" i="12"/>
  <c r="B20" i="20" s="1"/>
  <c r="A203" i="12"/>
  <c r="B19" i="20" s="1"/>
  <c r="A202" i="12"/>
  <c r="B18" i="20" s="1"/>
  <c r="AF197" i="12"/>
  <c r="U3" i="13" s="1"/>
  <c r="AD197" i="12"/>
  <c r="S3" i="13" s="1"/>
  <c r="AC197" i="12"/>
  <c r="AB197" i="12"/>
  <c r="Q3" i="13" s="1"/>
  <c r="AA197" i="12"/>
  <c r="Z197" i="12"/>
  <c r="O3" i="13" s="1"/>
  <c r="Y197" i="12"/>
  <c r="X197" i="12"/>
  <c r="M3" i="13" s="1"/>
  <c r="W197" i="12"/>
  <c r="V197" i="12"/>
  <c r="K3" i="13" s="1"/>
  <c r="U197" i="12"/>
  <c r="T197" i="12"/>
  <c r="I3" i="13" s="1"/>
  <c r="S197" i="12"/>
  <c r="R197" i="12"/>
  <c r="G3" i="13" s="1"/>
  <c r="Q197" i="12"/>
  <c r="P197" i="12"/>
  <c r="E3" i="13" s="1"/>
  <c r="O197" i="12"/>
  <c r="N197" i="12"/>
  <c r="C3" i="13" s="1"/>
  <c r="F28" i="15"/>
  <c r="E28" i="15"/>
  <c r="D28" i="15"/>
  <c r="C28" i="15"/>
  <c r="B28" i="15"/>
  <c r="B127" i="15"/>
  <c r="B72" i="20" l="1"/>
  <c r="A227" i="12"/>
  <c r="B75" i="20" s="1"/>
  <c r="B28" i="20"/>
  <c r="A214" i="12"/>
  <c r="A200" i="12"/>
  <c r="R7" i="12" s="1"/>
  <c r="A198" i="12"/>
  <c r="A197" i="12"/>
  <c r="C246" i="12" l="1"/>
  <c r="E249" i="12" s="1"/>
  <c r="B30" i="20"/>
  <c r="A201" i="12"/>
  <c r="C189" i="13" s="1"/>
  <c r="A3" i="12"/>
  <c r="B7" i="20" s="1"/>
  <c r="D8" i="12"/>
  <c r="E246" i="12" l="1"/>
  <c r="E250" i="12" l="1"/>
  <c r="C6" i="12" s="1"/>
  <c r="E58" i="27"/>
  <c r="G58" i="27" s="1"/>
  <c r="I58" i="27" s="1"/>
  <c r="K58" i="27" s="1"/>
  <c r="M58" i="27" s="1"/>
  <c r="O58" i="27" s="1"/>
  <c r="Q58" i="27" s="1"/>
  <c r="S58" i="27" s="1"/>
  <c r="U58" i="27" s="1"/>
  <c r="E56" i="27"/>
  <c r="G56" i="27" s="1"/>
  <c r="E80" i="27"/>
  <c r="E81" i="27"/>
  <c r="E82" i="27"/>
  <c r="E79" i="27"/>
  <c r="E74" i="27"/>
  <c r="E75" i="27"/>
  <c r="E76" i="27"/>
  <c r="E73" i="27"/>
  <c r="D77" i="27"/>
  <c r="D83" i="27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G14" i="15"/>
  <c r="D41" i="27"/>
  <c r="C41" i="27"/>
  <c r="I4" i="27"/>
  <c r="I5" i="27"/>
  <c r="I6" i="27"/>
  <c r="I7" i="27"/>
  <c r="I3" i="27"/>
  <c r="D4" i="27"/>
  <c r="D5" i="27"/>
  <c r="D6" i="27"/>
  <c r="D7" i="27"/>
  <c r="D3" i="27"/>
  <c r="C17" i="27"/>
  <c r="D138" i="13"/>
  <c r="B138" i="13" s="1"/>
  <c r="A46" i="13"/>
  <c r="A41" i="13"/>
  <c r="B67" i="27"/>
  <c r="B65" i="27"/>
  <c r="A48" i="13" s="1"/>
  <c r="B66" i="27"/>
  <c r="A44" i="13" s="1"/>
  <c r="B64" i="27"/>
  <c r="A42" i="13" s="1"/>
  <c r="AL24" i="12"/>
  <c r="AL25" i="12"/>
  <c r="AL26" i="12"/>
  <c r="AL27" i="12"/>
  <c r="AL28" i="12"/>
  <c r="AL29" i="12"/>
  <c r="AL30" i="12"/>
  <c r="AL31" i="12"/>
  <c r="AL32" i="12"/>
  <c r="AL33" i="12"/>
  <c r="AL34" i="12"/>
  <c r="AL35" i="12"/>
  <c r="AL36" i="12"/>
  <c r="AL37" i="12"/>
  <c r="AL38" i="12"/>
  <c r="AL39" i="12"/>
  <c r="AL40" i="12"/>
  <c r="AL41" i="12"/>
  <c r="AL42" i="12"/>
  <c r="AL43" i="12"/>
  <c r="AL44" i="12"/>
  <c r="AL45" i="12"/>
  <c r="AL46" i="12"/>
  <c r="AL47" i="12"/>
  <c r="AL48" i="12"/>
  <c r="AL50" i="12"/>
  <c r="AL52" i="12"/>
  <c r="AL54" i="12"/>
  <c r="AL55" i="12"/>
  <c r="AL56" i="12"/>
  <c r="AL57" i="12"/>
  <c r="AL58" i="12"/>
  <c r="AL59" i="12"/>
  <c r="AL60" i="12"/>
  <c r="AL61" i="12"/>
  <c r="AL62" i="12"/>
  <c r="AL63" i="12"/>
  <c r="AL64" i="12"/>
  <c r="AL65" i="12"/>
  <c r="AL66" i="12"/>
  <c r="AL67" i="12"/>
  <c r="AL68" i="12"/>
  <c r="AL69" i="12"/>
  <c r="AL70" i="12"/>
  <c r="AL71" i="12"/>
  <c r="AL72" i="12"/>
  <c r="AL73" i="12"/>
  <c r="AL74" i="12"/>
  <c r="AL75" i="12"/>
  <c r="AL76" i="12"/>
  <c r="AL78" i="12"/>
  <c r="AL80" i="12"/>
  <c r="AL82" i="12"/>
  <c r="AL83" i="12"/>
  <c r="AL84" i="12"/>
  <c r="AL85" i="12"/>
  <c r="AL86" i="12"/>
  <c r="AL87" i="12"/>
  <c r="AL88" i="12"/>
  <c r="AL89" i="12"/>
  <c r="AL90" i="12"/>
  <c r="AL91" i="12"/>
  <c r="AL92" i="12"/>
  <c r="AL93" i="12"/>
  <c r="AL94" i="12"/>
  <c r="AL95" i="12"/>
  <c r="AL96" i="12"/>
  <c r="AL97" i="12"/>
  <c r="AL98" i="12"/>
  <c r="AL99" i="12"/>
  <c r="AL100" i="12"/>
  <c r="AL101" i="12"/>
  <c r="AL102" i="12"/>
  <c r="AL103" i="12"/>
  <c r="AL104" i="12"/>
  <c r="AL105" i="12"/>
  <c r="AL106" i="12"/>
  <c r="AL108" i="12"/>
  <c r="AL110" i="12"/>
  <c r="AL112" i="12"/>
  <c r="AL113" i="12"/>
  <c r="AL114" i="12"/>
  <c r="AL115" i="12"/>
  <c r="AL116" i="12"/>
  <c r="AL117" i="12"/>
  <c r="AL118" i="12"/>
  <c r="AL119" i="12"/>
  <c r="AL120" i="12"/>
  <c r="AL121" i="12"/>
  <c r="AL122" i="12"/>
  <c r="AL123" i="12"/>
  <c r="AL124" i="12"/>
  <c r="AL125" i="12"/>
  <c r="AL126" i="12"/>
  <c r="AL127" i="12"/>
  <c r="AL128" i="12"/>
  <c r="AL129" i="12"/>
  <c r="AL130" i="12"/>
  <c r="AL131" i="12"/>
  <c r="AL132" i="12"/>
  <c r="AL133" i="12"/>
  <c r="AL134" i="12"/>
  <c r="AL135" i="12"/>
  <c r="AL136" i="12"/>
  <c r="AL137" i="12"/>
  <c r="AL138" i="12"/>
  <c r="AL139" i="12"/>
  <c r="AL140" i="12"/>
  <c r="AL141" i="12"/>
  <c r="AL142" i="12"/>
  <c r="AL143" i="12"/>
  <c r="AL144" i="12"/>
  <c r="AL146" i="12"/>
  <c r="AL148" i="12"/>
  <c r="AL150" i="12"/>
  <c r="AL151" i="12"/>
  <c r="AL152" i="12"/>
  <c r="AL153" i="12"/>
  <c r="AL155" i="12"/>
  <c r="AL157" i="12"/>
  <c r="AL159" i="12"/>
  <c r="AL160" i="12"/>
  <c r="AL161" i="12"/>
  <c r="AL162" i="12"/>
  <c r="AL163" i="12"/>
  <c r="AL164" i="12"/>
  <c r="AL165" i="12"/>
  <c r="AL166" i="12"/>
  <c r="AL167" i="12"/>
  <c r="AL168" i="12"/>
  <c r="AL169" i="12"/>
  <c r="AL170" i="12"/>
  <c r="AL171" i="12"/>
  <c r="AL172" i="12"/>
  <c r="AL173" i="12"/>
  <c r="AL174" i="12"/>
  <c r="AL175" i="12"/>
  <c r="AL176" i="12"/>
  <c r="AL177" i="12"/>
  <c r="AL178" i="12"/>
  <c r="AL179" i="12"/>
  <c r="AL180" i="12"/>
  <c r="AL181" i="12"/>
  <c r="AL182" i="12"/>
  <c r="AL183" i="12"/>
  <c r="AL184" i="12"/>
  <c r="AL185" i="12"/>
  <c r="AL186" i="12"/>
  <c r="AL187" i="12"/>
  <c r="AL188" i="12"/>
  <c r="AL189" i="12"/>
  <c r="AL190" i="12"/>
  <c r="AL191" i="12"/>
  <c r="AL192" i="12"/>
  <c r="AL193" i="12"/>
  <c r="AL194" i="12"/>
  <c r="AL23" i="12"/>
  <c r="B149" i="12"/>
  <c r="B147" i="12"/>
  <c r="D149" i="12"/>
  <c r="AL149" i="12" s="1"/>
  <c r="D147" i="12"/>
  <c r="AL147" i="12" s="1"/>
  <c r="E15" i="20" l="1"/>
  <c r="E77" i="27"/>
  <c r="I56" i="27"/>
  <c r="E83" i="27"/>
  <c r="A49" i="13"/>
  <c r="A47" i="13"/>
  <c r="A43" i="13"/>
  <c r="D158" i="12"/>
  <c r="AL158" i="12" s="1"/>
  <c r="D156" i="12"/>
  <c r="AL156" i="12" s="1"/>
  <c r="D111" i="12"/>
  <c r="AL111" i="12" s="1"/>
  <c r="D109" i="12"/>
  <c r="AL109" i="12" s="1"/>
  <c r="D81" i="12"/>
  <c r="AL81" i="12" s="1"/>
  <c r="D79" i="12"/>
  <c r="AL79" i="12" s="1"/>
  <c r="B8" i="27"/>
  <c r="C8" i="27" s="1"/>
  <c r="D8" i="27" s="1"/>
  <c r="E8" i="27" s="1"/>
  <c r="F8" i="27" s="1"/>
  <c r="G8" i="27" s="1"/>
  <c r="H8" i="27" s="1"/>
  <c r="I8" i="27" s="1"/>
  <c r="J8" i="27" s="1"/>
  <c r="K8" i="27" s="1"/>
  <c r="L8" i="27" s="1"/>
  <c r="M8" i="27" s="1"/>
  <c r="N8" i="27" s="1"/>
  <c r="O8" i="27" s="1"/>
  <c r="P8" i="27" s="1"/>
  <c r="Q8" i="27" s="1"/>
  <c r="T8" i="27" s="1"/>
  <c r="D53" i="12"/>
  <c r="AL53" i="12" s="1"/>
  <c r="B158" i="12"/>
  <c r="B111" i="12"/>
  <c r="B81" i="12"/>
  <c r="B109" i="12"/>
  <c r="B156" i="12"/>
  <c r="B79" i="12"/>
  <c r="AI156" i="12"/>
  <c r="AN156" i="12"/>
  <c r="AP156" i="12"/>
  <c r="AR156" i="12"/>
  <c r="AT156" i="12"/>
  <c r="AV156" i="12"/>
  <c r="AX156" i="12"/>
  <c r="AZ156" i="12"/>
  <c r="BB156" i="12"/>
  <c r="BD156" i="12"/>
  <c r="BF156" i="12"/>
  <c r="BG156" i="12"/>
  <c r="BH156" i="12"/>
  <c r="BI156" i="12"/>
  <c r="BJ156" i="12"/>
  <c r="BK156" i="12"/>
  <c r="BL156" i="12"/>
  <c r="BM156" i="12"/>
  <c r="BN156" i="12"/>
  <c r="BO156" i="12"/>
  <c r="BP156" i="12"/>
  <c r="BQ156" i="12"/>
  <c r="BR156" i="12"/>
  <c r="BS156" i="12"/>
  <c r="BT156" i="12"/>
  <c r="BU156" i="12"/>
  <c r="BV156" i="12"/>
  <c r="BW156" i="12"/>
  <c r="BX156" i="12"/>
  <c r="BY156" i="12"/>
  <c r="BZ156" i="12"/>
  <c r="CA156" i="12"/>
  <c r="CB156" i="12"/>
  <c r="CC156" i="12"/>
  <c r="CD156" i="12"/>
  <c r="CE156" i="12"/>
  <c r="CF156" i="12"/>
  <c r="CG156" i="12"/>
  <c r="CH156" i="12"/>
  <c r="CI156" i="12"/>
  <c r="CJ156" i="12"/>
  <c r="CK156" i="12"/>
  <c r="CL156" i="12"/>
  <c r="CM156" i="12"/>
  <c r="CN156" i="12"/>
  <c r="CO156" i="12"/>
  <c r="CP156" i="12"/>
  <c r="CQ156" i="12"/>
  <c r="CR156" i="12"/>
  <c r="CS156" i="12"/>
  <c r="CT156" i="12"/>
  <c r="CU156" i="12"/>
  <c r="CV156" i="12"/>
  <c r="CW156" i="12"/>
  <c r="CX156" i="12"/>
  <c r="CY156" i="12"/>
  <c r="CZ156" i="12"/>
  <c r="DA156" i="12"/>
  <c r="DB156" i="12"/>
  <c r="DC156" i="12"/>
  <c r="DD156" i="12"/>
  <c r="DE156" i="12"/>
  <c r="DF156" i="12"/>
  <c r="DG156" i="12"/>
  <c r="DH156" i="12"/>
  <c r="DI156" i="12"/>
  <c r="DJ156" i="12"/>
  <c r="DK156" i="12"/>
  <c r="DL156" i="12"/>
  <c r="DM156" i="12"/>
  <c r="DN156" i="12"/>
  <c r="DO156" i="12"/>
  <c r="DP156" i="12"/>
  <c r="DQ156" i="12"/>
  <c r="DR156" i="12"/>
  <c r="DS156" i="12"/>
  <c r="DT156" i="12"/>
  <c r="DU156" i="12"/>
  <c r="DV156" i="12"/>
  <c r="DW156" i="12"/>
  <c r="DZ156" i="12"/>
  <c r="EA156" i="12"/>
  <c r="EB156" i="12"/>
  <c r="ED156" i="12"/>
  <c r="AI157" i="12"/>
  <c r="AN157" i="12"/>
  <c r="AP157" i="12"/>
  <c r="AR157" i="12"/>
  <c r="AT157" i="12"/>
  <c r="AV157" i="12"/>
  <c r="AX157" i="12"/>
  <c r="AZ157" i="12"/>
  <c r="BB157" i="12"/>
  <c r="BD157" i="12"/>
  <c r="BF157" i="12"/>
  <c r="BG157" i="12"/>
  <c r="BH157" i="12"/>
  <c r="BI157" i="12"/>
  <c r="BJ157" i="12"/>
  <c r="BK157" i="12"/>
  <c r="BL157" i="12"/>
  <c r="BM157" i="12"/>
  <c r="BN157" i="12"/>
  <c r="BO157" i="12"/>
  <c r="BP157" i="12"/>
  <c r="BQ157" i="12"/>
  <c r="BR157" i="12"/>
  <c r="BS157" i="12"/>
  <c r="BT157" i="12"/>
  <c r="BU157" i="12"/>
  <c r="BV157" i="12"/>
  <c r="BW157" i="12"/>
  <c r="BX157" i="12"/>
  <c r="BY157" i="12"/>
  <c r="BZ157" i="12"/>
  <c r="CA157" i="12"/>
  <c r="CB157" i="12"/>
  <c r="CC157" i="12"/>
  <c r="CD157" i="12"/>
  <c r="CE157" i="12"/>
  <c r="CF157" i="12"/>
  <c r="CG157" i="12"/>
  <c r="CH157" i="12"/>
  <c r="CI157" i="12"/>
  <c r="CJ157" i="12"/>
  <c r="CK157" i="12"/>
  <c r="CL157" i="12"/>
  <c r="CM157" i="12"/>
  <c r="CN157" i="12"/>
  <c r="CO157" i="12"/>
  <c r="CP157" i="12"/>
  <c r="CQ157" i="12"/>
  <c r="CR157" i="12"/>
  <c r="CS157" i="12"/>
  <c r="CT157" i="12"/>
  <c r="CU157" i="12"/>
  <c r="CV157" i="12"/>
  <c r="CW157" i="12"/>
  <c r="CX157" i="12"/>
  <c r="CY157" i="12"/>
  <c r="CZ157" i="12"/>
  <c r="DA157" i="12"/>
  <c r="DB157" i="12"/>
  <c r="DC157" i="12"/>
  <c r="DD157" i="12"/>
  <c r="DE157" i="12"/>
  <c r="DF157" i="12"/>
  <c r="DG157" i="12"/>
  <c r="DH157" i="12"/>
  <c r="DI157" i="12"/>
  <c r="DJ157" i="12"/>
  <c r="DK157" i="12"/>
  <c r="DL157" i="12"/>
  <c r="DM157" i="12"/>
  <c r="DN157" i="12"/>
  <c r="DO157" i="12"/>
  <c r="DP157" i="12"/>
  <c r="DQ157" i="12"/>
  <c r="DR157" i="12"/>
  <c r="DS157" i="12"/>
  <c r="DT157" i="12"/>
  <c r="DU157" i="12"/>
  <c r="DV157" i="12"/>
  <c r="DW157" i="12"/>
  <c r="DZ157" i="12"/>
  <c r="EA157" i="12"/>
  <c r="EB157" i="12"/>
  <c r="ED157" i="12"/>
  <c r="AI147" i="12"/>
  <c r="AN147" i="12"/>
  <c r="AP147" i="12"/>
  <c r="AR147" i="12"/>
  <c r="AT147" i="12"/>
  <c r="AV147" i="12"/>
  <c r="AX147" i="12"/>
  <c r="AZ147" i="12"/>
  <c r="BB147" i="12"/>
  <c r="BD147" i="12"/>
  <c r="BF147" i="12"/>
  <c r="BG147" i="12"/>
  <c r="BH147" i="12"/>
  <c r="BI147" i="12"/>
  <c r="BJ147" i="12"/>
  <c r="BK147" i="12"/>
  <c r="BL147" i="12"/>
  <c r="BM147" i="12"/>
  <c r="BN147" i="12"/>
  <c r="BO147" i="12"/>
  <c r="BP147" i="12"/>
  <c r="BQ147" i="12"/>
  <c r="BR147" i="12"/>
  <c r="BS147" i="12"/>
  <c r="BT147" i="12"/>
  <c r="BU147" i="12"/>
  <c r="BV147" i="12"/>
  <c r="BW147" i="12"/>
  <c r="BX147" i="12"/>
  <c r="BY147" i="12"/>
  <c r="BZ147" i="12"/>
  <c r="CA147" i="12"/>
  <c r="CB147" i="12"/>
  <c r="CC147" i="12"/>
  <c r="CD147" i="12"/>
  <c r="CE147" i="12"/>
  <c r="CF147" i="12"/>
  <c r="CG147" i="12"/>
  <c r="CH147" i="12"/>
  <c r="CI147" i="12"/>
  <c r="CJ147" i="12"/>
  <c r="CK147" i="12"/>
  <c r="CL147" i="12"/>
  <c r="CM147" i="12"/>
  <c r="CN147" i="12"/>
  <c r="CO147" i="12"/>
  <c r="CP147" i="12"/>
  <c r="CQ147" i="12"/>
  <c r="CR147" i="12"/>
  <c r="CS147" i="12"/>
  <c r="CT147" i="12"/>
  <c r="CU147" i="12"/>
  <c r="CV147" i="12"/>
  <c r="CW147" i="12"/>
  <c r="CX147" i="12"/>
  <c r="CY147" i="12"/>
  <c r="CZ147" i="12"/>
  <c r="DA147" i="12"/>
  <c r="DB147" i="12"/>
  <c r="DC147" i="12"/>
  <c r="DD147" i="12"/>
  <c r="DE147" i="12"/>
  <c r="DF147" i="12"/>
  <c r="DG147" i="12"/>
  <c r="DH147" i="12"/>
  <c r="DI147" i="12"/>
  <c r="DJ147" i="12"/>
  <c r="DK147" i="12"/>
  <c r="DL147" i="12"/>
  <c r="DM147" i="12"/>
  <c r="DN147" i="12"/>
  <c r="DO147" i="12"/>
  <c r="DP147" i="12"/>
  <c r="DQ147" i="12"/>
  <c r="DR147" i="12"/>
  <c r="DS147" i="12"/>
  <c r="DT147" i="12"/>
  <c r="DU147" i="12"/>
  <c r="DV147" i="12"/>
  <c r="DW147" i="12"/>
  <c r="DZ147" i="12"/>
  <c r="EA147" i="12"/>
  <c r="EB147" i="12"/>
  <c r="ED147" i="12"/>
  <c r="AI148" i="12"/>
  <c r="AN148" i="12"/>
  <c r="AP148" i="12"/>
  <c r="AR148" i="12"/>
  <c r="AT148" i="12"/>
  <c r="AV148" i="12"/>
  <c r="AX148" i="12"/>
  <c r="AZ148" i="12"/>
  <c r="BB148" i="12"/>
  <c r="BD148" i="12"/>
  <c r="BF148" i="12"/>
  <c r="BG148" i="12"/>
  <c r="BH148" i="12"/>
  <c r="BI148" i="12"/>
  <c r="BJ148" i="12"/>
  <c r="BK148" i="12"/>
  <c r="BL148" i="12"/>
  <c r="BM148" i="12"/>
  <c r="BN148" i="12"/>
  <c r="BO148" i="12"/>
  <c r="BP148" i="12"/>
  <c r="BQ148" i="12"/>
  <c r="BR148" i="12"/>
  <c r="BS148" i="12"/>
  <c r="BT148" i="12"/>
  <c r="BU148" i="12"/>
  <c r="BV148" i="12"/>
  <c r="BW148" i="12"/>
  <c r="BX148" i="12"/>
  <c r="BY148" i="12"/>
  <c r="BZ148" i="12"/>
  <c r="CA148" i="12"/>
  <c r="CB148" i="12"/>
  <c r="CC148" i="12"/>
  <c r="CD148" i="12"/>
  <c r="CE148" i="12"/>
  <c r="CF148" i="12"/>
  <c r="CG148" i="12"/>
  <c r="CH148" i="12"/>
  <c r="CI148" i="12"/>
  <c r="CJ148" i="12"/>
  <c r="CK148" i="12"/>
  <c r="CL148" i="12"/>
  <c r="CM148" i="12"/>
  <c r="CN148" i="12"/>
  <c r="CO148" i="12"/>
  <c r="CP148" i="12"/>
  <c r="CQ148" i="12"/>
  <c r="CR148" i="12"/>
  <c r="CS148" i="12"/>
  <c r="CT148" i="12"/>
  <c r="CU148" i="12"/>
  <c r="CV148" i="12"/>
  <c r="CW148" i="12"/>
  <c r="CX148" i="12"/>
  <c r="CY148" i="12"/>
  <c r="CZ148" i="12"/>
  <c r="DA148" i="12"/>
  <c r="DB148" i="12"/>
  <c r="DC148" i="12"/>
  <c r="DD148" i="12"/>
  <c r="DE148" i="12"/>
  <c r="DF148" i="12"/>
  <c r="DG148" i="12"/>
  <c r="DH148" i="12"/>
  <c r="DI148" i="12"/>
  <c r="DJ148" i="12"/>
  <c r="DK148" i="12"/>
  <c r="DL148" i="12"/>
  <c r="DM148" i="12"/>
  <c r="DN148" i="12"/>
  <c r="DO148" i="12"/>
  <c r="DP148" i="12"/>
  <c r="DQ148" i="12"/>
  <c r="DR148" i="12"/>
  <c r="DS148" i="12"/>
  <c r="DT148" i="12"/>
  <c r="DU148" i="12"/>
  <c r="DV148" i="12"/>
  <c r="DW148" i="12"/>
  <c r="DZ148" i="12"/>
  <c r="EA148" i="12"/>
  <c r="EB148" i="12"/>
  <c r="ED148" i="12"/>
  <c r="AI109" i="12"/>
  <c r="AN109" i="12"/>
  <c r="AP109" i="12"/>
  <c r="AR109" i="12"/>
  <c r="AT109" i="12"/>
  <c r="AV109" i="12"/>
  <c r="AX109" i="12"/>
  <c r="AZ109" i="12"/>
  <c r="BB109" i="12"/>
  <c r="BD109" i="12"/>
  <c r="BF109" i="12"/>
  <c r="BG109" i="12"/>
  <c r="BH109" i="12"/>
  <c r="BI109" i="12"/>
  <c r="BJ109" i="12"/>
  <c r="BK109" i="12"/>
  <c r="BL109" i="12"/>
  <c r="BM109" i="12"/>
  <c r="BN109" i="12"/>
  <c r="BO109" i="12"/>
  <c r="BP109" i="12"/>
  <c r="BQ109" i="12"/>
  <c r="BR109" i="12"/>
  <c r="BS109" i="12"/>
  <c r="BT109" i="12"/>
  <c r="BU109" i="12"/>
  <c r="BV109" i="12"/>
  <c r="BW109" i="12"/>
  <c r="BX109" i="12"/>
  <c r="BY109" i="12"/>
  <c r="BZ109" i="12"/>
  <c r="CA109" i="12"/>
  <c r="CB109" i="12"/>
  <c r="CC109" i="12"/>
  <c r="CD109" i="12"/>
  <c r="CE109" i="12"/>
  <c r="CF109" i="12"/>
  <c r="CG109" i="12"/>
  <c r="CH109" i="12"/>
  <c r="CI109" i="12"/>
  <c r="CJ109" i="12"/>
  <c r="CK109" i="12"/>
  <c r="CL109" i="12"/>
  <c r="CM109" i="12"/>
  <c r="CN109" i="12"/>
  <c r="CO109" i="12"/>
  <c r="CP109" i="12"/>
  <c r="CQ109" i="12"/>
  <c r="CR109" i="12"/>
  <c r="CS109" i="12"/>
  <c r="CT109" i="12"/>
  <c r="CU109" i="12"/>
  <c r="CV109" i="12"/>
  <c r="CW109" i="12"/>
  <c r="CX109" i="12"/>
  <c r="CY109" i="12"/>
  <c r="CZ109" i="12"/>
  <c r="DA109" i="12"/>
  <c r="DB109" i="12"/>
  <c r="DC109" i="12"/>
  <c r="DD109" i="12"/>
  <c r="DE109" i="12"/>
  <c r="DF109" i="12"/>
  <c r="DG109" i="12"/>
  <c r="DH109" i="12"/>
  <c r="DI109" i="12"/>
  <c r="DJ109" i="12"/>
  <c r="DK109" i="12"/>
  <c r="DL109" i="12"/>
  <c r="DM109" i="12"/>
  <c r="DN109" i="12"/>
  <c r="DO109" i="12"/>
  <c r="DP109" i="12"/>
  <c r="DQ109" i="12"/>
  <c r="DR109" i="12"/>
  <c r="DS109" i="12"/>
  <c r="DT109" i="12"/>
  <c r="DU109" i="12"/>
  <c r="DV109" i="12"/>
  <c r="DW109" i="12"/>
  <c r="DZ109" i="12"/>
  <c r="EA109" i="12"/>
  <c r="EB109" i="12"/>
  <c r="ED109" i="12"/>
  <c r="AI110" i="12"/>
  <c r="AN110" i="12"/>
  <c r="AP110" i="12"/>
  <c r="AR110" i="12"/>
  <c r="AT110" i="12"/>
  <c r="AV110" i="12"/>
  <c r="AX110" i="12"/>
  <c r="AZ110" i="12"/>
  <c r="BB110" i="12"/>
  <c r="BD110" i="12"/>
  <c r="BF110" i="12"/>
  <c r="BG110" i="12"/>
  <c r="BH110" i="12"/>
  <c r="BI110" i="12"/>
  <c r="BJ110" i="12"/>
  <c r="BK110" i="12"/>
  <c r="BL110" i="12"/>
  <c r="BM110" i="12"/>
  <c r="BN110" i="12"/>
  <c r="BO110" i="12"/>
  <c r="BP110" i="12"/>
  <c r="BQ110" i="12"/>
  <c r="BR110" i="12"/>
  <c r="BS110" i="12"/>
  <c r="BT110" i="12"/>
  <c r="BU110" i="12"/>
  <c r="BV110" i="12"/>
  <c r="BW110" i="12"/>
  <c r="BX110" i="12"/>
  <c r="BY110" i="12"/>
  <c r="BZ110" i="12"/>
  <c r="CA110" i="12"/>
  <c r="CB110" i="12"/>
  <c r="CC110" i="12"/>
  <c r="CD110" i="12"/>
  <c r="CE110" i="12"/>
  <c r="CF110" i="12"/>
  <c r="CG110" i="12"/>
  <c r="CH110" i="12"/>
  <c r="CI110" i="12"/>
  <c r="CJ110" i="12"/>
  <c r="CK110" i="12"/>
  <c r="CL110" i="12"/>
  <c r="CM110" i="12"/>
  <c r="CN110" i="12"/>
  <c r="CO110" i="12"/>
  <c r="CP110" i="12"/>
  <c r="CQ110" i="12"/>
  <c r="CR110" i="12"/>
  <c r="CS110" i="12"/>
  <c r="CT110" i="12"/>
  <c r="CU110" i="12"/>
  <c r="CV110" i="12"/>
  <c r="CW110" i="12"/>
  <c r="CX110" i="12"/>
  <c r="CY110" i="12"/>
  <c r="CZ110" i="12"/>
  <c r="DA110" i="12"/>
  <c r="DB110" i="12"/>
  <c r="DC110" i="12"/>
  <c r="DD110" i="12"/>
  <c r="DE110" i="12"/>
  <c r="DF110" i="12"/>
  <c r="DG110" i="12"/>
  <c r="DH110" i="12"/>
  <c r="DI110" i="12"/>
  <c r="DJ110" i="12"/>
  <c r="DK110" i="12"/>
  <c r="DL110" i="12"/>
  <c r="DM110" i="12"/>
  <c r="DN110" i="12"/>
  <c r="DO110" i="12"/>
  <c r="DP110" i="12"/>
  <c r="DQ110" i="12"/>
  <c r="DR110" i="12"/>
  <c r="DS110" i="12"/>
  <c r="DT110" i="12"/>
  <c r="DU110" i="12"/>
  <c r="DV110" i="12"/>
  <c r="DW110" i="12"/>
  <c r="DZ110" i="12"/>
  <c r="EA110" i="12"/>
  <c r="EB110" i="12"/>
  <c r="ED110" i="12"/>
  <c r="AI79" i="12"/>
  <c r="AN79" i="12"/>
  <c r="AP79" i="12"/>
  <c r="AR79" i="12"/>
  <c r="AT79" i="12"/>
  <c r="AV79" i="12"/>
  <c r="AX79" i="12"/>
  <c r="AZ79" i="12"/>
  <c r="BB79" i="12"/>
  <c r="BD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BS79" i="12"/>
  <c r="BT79" i="12"/>
  <c r="BU79" i="12"/>
  <c r="BV79" i="12"/>
  <c r="BW79" i="12"/>
  <c r="BX79" i="12"/>
  <c r="BY79" i="12"/>
  <c r="BZ79" i="12"/>
  <c r="CA79" i="12"/>
  <c r="CB79" i="12"/>
  <c r="CC79" i="12"/>
  <c r="CD79" i="12"/>
  <c r="CE79" i="12"/>
  <c r="CF79" i="12"/>
  <c r="CG79" i="12"/>
  <c r="CH79" i="12"/>
  <c r="CI79" i="12"/>
  <c r="CJ79" i="12"/>
  <c r="CK79" i="12"/>
  <c r="CL79" i="12"/>
  <c r="CM79" i="12"/>
  <c r="CN79" i="12"/>
  <c r="CO79" i="12"/>
  <c r="CP79" i="12"/>
  <c r="CQ79" i="12"/>
  <c r="CR79" i="12"/>
  <c r="CS79" i="12"/>
  <c r="CT79" i="12"/>
  <c r="CU79" i="12"/>
  <c r="CV79" i="12"/>
  <c r="CW79" i="12"/>
  <c r="CX79" i="12"/>
  <c r="CY79" i="12"/>
  <c r="CZ79" i="12"/>
  <c r="DA79" i="12"/>
  <c r="DB79" i="12"/>
  <c r="DC79" i="12"/>
  <c r="DD79" i="12"/>
  <c r="DE79" i="12"/>
  <c r="DF79" i="12"/>
  <c r="DG79" i="12"/>
  <c r="DH79" i="12"/>
  <c r="DI79" i="12"/>
  <c r="DJ79" i="12"/>
  <c r="DK79" i="12"/>
  <c r="DL79" i="12"/>
  <c r="DM79" i="12"/>
  <c r="DN79" i="12"/>
  <c r="DO79" i="12"/>
  <c r="DP79" i="12"/>
  <c r="DQ79" i="12"/>
  <c r="DR79" i="12"/>
  <c r="DS79" i="12"/>
  <c r="DT79" i="12"/>
  <c r="DU79" i="12"/>
  <c r="DV79" i="12"/>
  <c r="DW79" i="12"/>
  <c r="DZ79" i="12"/>
  <c r="EA79" i="12"/>
  <c r="EB79" i="12"/>
  <c r="ED79" i="12"/>
  <c r="AI52" i="12"/>
  <c r="AN52" i="12"/>
  <c r="AP52" i="12"/>
  <c r="AR52" i="12"/>
  <c r="AT52" i="12"/>
  <c r="AV52" i="12"/>
  <c r="AX52" i="12"/>
  <c r="AZ52" i="12"/>
  <c r="BB52" i="12"/>
  <c r="BD52" i="12"/>
  <c r="BF52" i="12"/>
  <c r="BG52" i="12"/>
  <c r="BH52" i="12"/>
  <c r="BI52" i="12"/>
  <c r="BJ52" i="12"/>
  <c r="BK52" i="12"/>
  <c r="BL52" i="12"/>
  <c r="BM52" i="12"/>
  <c r="BN52" i="12"/>
  <c r="BO52" i="12"/>
  <c r="BP52" i="12"/>
  <c r="BQ52" i="12"/>
  <c r="BR52" i="12"/>
  <c r="BS52" i="12"/>
  <c r="BT52" i="12"/>
  <c r="BU52" i="12"/>
  <c r="BV52" i="12"/>
  <c r="BW52" i="12"/>
  <c r="BX52" i="12"/>
  <c r="BY52" i="12"/>
  <c r="BZ52" i="12"/>
  <c r="CA52" i="12"/>
  <c r="CB52" i="12"/>
  <c r="CC52" i="12"/>
  <c r="CD52" i="12"/>
  <c r="CE52" i="12"/>
  <c r="CF52" i="12"/>
  <c r="CG52" i="12"/>
  <c r="CH52" i="12"/>
  <c r="CI52" i="12"/>
  <c r="CJ52" i="12"/>
  <c r="CK52" i="12"/>
  <c r="CL52" i="12"/>
  <c r="CM52" i="12"/>
  <c r="CN52" i="12"/>
  <c r="CO52" i="12"/>
  <c r="CP52" i="12"/>
  <c r="CQ52" i="12"/>
  <c r="CR52" i="12"/>
  <c r="CS52" i="12"/>
  <c r="CT52" i="12"/>
  <c r="CU52" i="12"/>
  <c r="CV52" i="12"/>
  <c r="CW52" i="12"/>
  <c r="CX52" i="12"/>
  <c r="CY52" i="12"/>
  <c r="CZ52" i="12"/>
  <c r="DA52" i="12"/>
  <c r="DB52" i="12"/>
  <c r="DC52" i="12"/>
  <c r="DD52" i="12"/>
  <c r="DE52" i="12"/>
  <c r="DF52" i="12"/>
  <c r="DG52" i="12"/>
  <c r="DH52" i="12"/>
  <c r="DI52" i="12"/>
  <c r="DJ52" i="12"/>
  <c r="DK52" i="12"/>
  <c r="DL52" i="12"/>
  <c r="DM52" i="12"/>
  <c r="DN52" i="12"/>
  <c r="DO52" i="12"/>
  <c r="DP52" i="12"/>
  <c r="DQ52" i="12"/>
  <c r="DR52" i="12"/>
  <c r="DS52" i="12"/>
  <c r="DT52" i="12"/>
  <c r="DU52" i="12"/>
  <c r="DV52" i="12"/>
  <c r="DW52" i="12"/>
  <c r="DZ52" i="12"/>
  <c r="EA52" i="12"/>
  <c r="EB52" i="12"/>
  <c r="ED52" i="12"/>
  <c r="B53" i="12"/>
  <c r="AI80" i="12"/>
  <c r="AN80" i="12"/>
  <c r="AP80" i="12"/>
  <c r="AR80" i="12"/>
  <c r="AT80" i="12"/>
  <c r="AV80" i="12"/>
  <c r="AX80" i="12"/>
  <c r="AZ80" i="12"/>
  <c r="BB80" i="12"/>
  <c r="BD80" i="12"/>
  <c r="BF80" i="12"/>
  <c r="BG80" i="12"/>
  <c r="BH80" i="12"/>
  <c r="BI80" i="12"/>
  <c r="BJ80" i="12"/>
  <c r="BK80" i="12"/>
  <c r="BL80" i="12"/>
  <c r="BM80" i="12"/>
  <c r="BN80" i="12"/>
  <c r="BO80" i="12"/>
  <c r="BP80" i="12"/>
  <c r="BQ80" i="12"/>
  <c r="BR80" i="12"/>
  <c r="BS80" i="12"/>
  <c r="BT80" i="12"/>
  <c r="BU80" i="12"/>
  <c r="BV80" i="12"/>
  <c r="BW80" i="12"/>
  <c r="BX80" i="12"/>
  <c r="BY80" i="12"/>
  <c r="BZ80" i="12"/>
  <c r="CA80" i="12"/>
  <c r="CB80" i="12"/>
  <c r="CC80" i="12"/>
  <c r="CD80" i="12"/>
  <c r="CE80" i="12"/>
  <c r="CF80" i="12"/>
  <c r="CG80" i="12"/>
  <c r="CH80" i="12"/>
  <c r="CI80" i="12"/>
  <c r="CJ80" i="12"/>
  <c r="CK80" i="12"/>
  <c r="CL80" i="12"/>
  <c r="CM80" i="12"/>
  <c r="CN80" i="12"/>
  <c r="CO80" i="12"/>
  <c r="CP80" i="12"/>
  <c r="CQ80" i="12"/>
  <c r="CR80" i="12"/>
  <c r="CS80" i="12"/>
  <c r="CT80" i="12"/>
  <c r="CU80" i="12"/>
  <c r="CV80" i="12"/>
  <c r="CW80" i="12"/>
  <c r="CX80" i="12"/>
  <c r="CY80" i="12"/>
  <c r="CZ80" i="12"/>
  <c r="DA80" i="12"/>
  <c r="DB80" i="12"/>
  <c r="DC80" i="12"/>
  <c r="DD80" i="12"/>
  <c r="DE80" i="12"/>
  <c r="DF80" i="12"/>
  <c r="DG80" i="12"/>
  <c r="DH80" i="12"/>
  <c r="DI80" i="12"/>
  <c r="DJ80" i="12"/>
  <c r="DK80" i="12"/>
  <c r="DL80" i="12"/>
  <c r="DM80" i="12"/>
  <c r="DN80" i="12"/>
  <c r="DO80" i="12"/>
  <c r="DP80" i="12"/>
  <c r="DQ80" i="12"/>
  <c r="DR80" i="12"/>
  <c r="DS80" i="12"/>
  <c r="DT80" i="12"/>
  <c r="DU80" i="12"/>
  <c r="DV80" i="12"/>
  <c r="DW80" i="12"/>
  <c r="DZ80" i="12"/>
  <c r="EA80" i="12"/>
  <c r="EB80" i="12"/>
  <c r="ED80" i="12"/>
  <c r="B51" i="12"/>
  <c r="D51" i="12"/>
  <c r="AI51" i="12"/>
  <c r="AN51" i="12"/>
  <c r="AP51" i="12"/>
  <c r="AR51" i="12"/>
  <c r="AT51" i="12"/>
  <c r="AV51" i="12"/>
  <c r="AX51" i="12"/>
  <c r="AZ51" i="12"/>
  <c r="BB51" i="12"/>
  <c r="BD51" i="12"/>
  <c r="BF51" i="12"/>
  <c r="BG51" i="12"/>
  <c r="BH51" i="12"/>
  <c r="BI51" i="12"/>
  <c r="BJ51" i="12"/>
  <c r="BK51" i="12"/>
  <c r="BL51" i="12"/>
  <c r="BM51" i="12"/>
  <c r="BN51" i="12"/>
  <c r="BO51" i="12"/>
  <c r="BP51" i="12"/>
  <c r="BQ51" i="12"/>
  <c r="BR51" i="12"/>
  <c r="BS51" i="12"/>
  <c r="BT51" i="12"/>
  <c r="BU51" i="12"/>
  <c r="BV51" i="12"/>
  <c r="BW51" i="12"/>
  <c r="BX51" i="12"/>
  <c r="BY51" i="12"/>
  <c r="BZ51" i="12"/>
  <c r="CA51" i="12"/>
  <c r="CB51" i="12"/>
  <c r="CC51" i="12"/>
  <c r="CD51" i="12"/>
  <c r="CE51" i="12"/>
  <c r="CF51" i="12"/>
  <c r="CG51" i="12"/>
  <c r="CH51" i="12"/>
  <c r="CI51" i="12"/>
  <c r="CJ51" i="12"/>
  <c r="CK51" i="12"/>
  <c r="CL51" i="12"/>
  <c r="CM51" i="12"/>
  <c r="CN51" i="12"/>
  <c r="CO51" i="12"/>
  <c r="CP51" i="12"/>
  <c r="CQ51" i="12"/>
  <c r="CR51" i="12"/>
  <c r="CS51" i="12"/>
  <c r="CT51" i="12"/>
  <c r="CU51" i="12"/>
  <c r="CV51" i="12"/>
  <c r="CW51" i="12"/>
  <c r="CX51" i="12"/>
  <c r="CY51" i="12"/>
  <c r="CZ51" i="12"/>
  <c r="DA51" i="12"/>
  <c r="DB51" i="12"/>
  <c r="DC51" i="12"/>
  <c r="DD51" i="12"/>
  <c r="DE51" i="12"/>
  <c r="DF51" i="12"/>
  <c r="DG51" i="12"/>
  <c r="DH51" i="12"/>
  <c r="DI51" i="12"/>
  <c r="DJ51" i="12"/>
  <c r="DK51" i="12"/>
  <c r="DL51" i="12"/>
  <c r="DM51" i="12"/>
  <c r="DN51" i="12"/>
  <c r="DO51" i="12"/>
  <c r="DP51" i="12"/>
  <c r="DQ51" i="12"/>
  <c r="DR51" i="12"/>
  <c r="DS51" i="12"/>
  <c r="DT51" i="12"/>
  <c r="DU51" i="12"/>
  <c r="DV51" i="12"/>
  <c r="DW51" i="12"/>
  <c r="DZ51" i="12"/>
  <c r="EA51" i="12"/>
  <c r="EB51" i="12"/>
  <c r="ED51" i="12"/>
  <c r="D76" i="1"/>
  <c r="D77" i="1"/>
  <c r="D78" i="1"/>
  <c r="D79" i="1"/>
  <c r="F79" i="1" s="1"/>
  <c r="D80" i="1"/>
  <c r="F80" i="1" s="1"/>
  <c r="C229" i="12" l="1"/>
  <c r="E229" i="12" s="1"/>
  <c r="C234" i="12"/>
  <c r="E234" i="12" s="1"/>
  <c r="C230" i="12"/>
  <c r="E230" i="12" s="1"/>
  <c r="C235" i="12"/>
  <c r="E235" i="12" s="1"/>
  <c r="C231" i="12"/>
  <c r="E231" i="12" s="1"/>
  <c r="C236" i="12"/>
  <c r="E236" i="12" s="1"/>
  <c r="C232" i="12"/>
  <c r="E232" i="12" s="1"/>
  <c r="C237" i="12"/>
  <c r="E237" i="12" s="1"/>
  <c r="C233" i="12"/>
  <c r="E233" i="12" s="1"/>
  <c r="C14" i="27"/>
  <c r="K56" i="27"/>
  <c r="AL51" i="12"/>
  <c r="AH79" i="12"/>
  <c r="AH80" i="12"/>
  <c r="AH51" i="12"/>
  <c r="AH109" i="12"/>
  <c r="AH147" i="12"/>
  <c r="AH156" i="12"/>
  <c r="AH52" i="12"/>
  <c r="AH110" i="12"/>
  <c r="AH148" i="12"/>
  <c r="AH157" i="12"/>
  <c r="AH193" i="12"/>
  <c r="AH192" i="12"/>
  <c r="AH191" i="12"/>
  <c r="AH190" i="12"/>
  <c r="AH189" i="12"/>
  <c r="AH188" i="12"/>
  <c r="AH187" i="12"/>
  <c r="AH186" i="12"/>
  <c r="AH185" i="12"/>
  <c r="AH184" i="12"/>
  <c r="AH183" i="12"/>
  <c r="AH182" i="12"/>
  <c r="AH181" i="12"/>
  <c r="AH180" i="12"/>
  <c r="AH179" i="12"/>
  <c r="AH178" i="12"/>
  <c r="AH177" i="12"/>
  <c r="AH176" i="12"/>
  <c r="AH175" i="12"/>
  <c r="AH174" i="12"/>
  <c r="AH173" i="12"/>
  <c r="AH172" i="12"/>
  <c r="AH171" i="12"/>
  <c r="AH170" i="12"/>
  <c r="AH169" i="12"/>
  <c r="AH168" i="12"/>
  <c r="D94" i="20"/>
  <c r="J84" i="20"/>
  <c r="I83" i="20"/>
  <c r="H83" i="20"/>
  <c r="G82" i="20"/>
  <c r="F82" i="20"/>
  <c r="E81" i="20"/>
  <c r="D81" i="20"/>
  <c r="A75" i="20"/>
  <c r="A74" i="20"/>
  <c r="A73" i="20"/>
  <c r="A69" i="20"/>
  <c r="A70" i="20"/>
  <c r="A71" i="20"/>
  <c r="A72" i="20"/>
  <c r="A68" i="20"/>
  <c r="A64" i="20"/>
  <c r="A65" i="20"/>
  <c r="A66" i="20"/>
  <c r="A67" i="20"/>
  <c r="A63" i="20"/>
  <c r="F60" i="20"/>
  <c r="E60" i="20"/>
  <c r="D60" i="20"/>
  <c r="J39" i="20"/>
  <c r="I38" i="20"/>
  <c r="H38" i="20"/>
  <c r="G37" i="20"/>
  <c r="F37" i="20"/>
  <c r="E36" i="20"/>
  <c r="D36" i="20"/>
  <c r="A30" i="20"/>
  <c r="A28" i="20"/>
  <c r="A29" i="20"/>
  <c r="A24" i="20"/>
  <c r="A25" i="20"/>
  <c r="A26" i="20"/>
  <c r="A27" i="20"/>
  <c r="A23" i="20"/>
  <c r="A22" i="20"/>
  <c r="F15" i="20"/>
  <c r="D15" i="20"/>
  <c r="A162" i="13"/>
  <c r="A126" i="13"/>
  <c r="E147" i="13"/>
  <c r="G147" i="13"/>
  <c r="I147" i="13"/>
  <c r="K147" i="13"/>
  <c r="M147" i="13"/>
  <c r="O147" i="13"/>
  <c r="Q147" i="13"/>
  <c r="S147" i="13"/>
  <c r="U147" i="13"/>
  <c r="E148" i="13"/>
  <c r="G148" i="13"/>
  <c r="I148" i="13"/>
  <c r="K148" i="13"/>
  <c r="M148" i="13"/>
  <c r="O148" i="13"/>
  <c r="Q148" i="13"/>
  <c r="S148" i="13"/>
  <c r="U148" i="13"/>
  <c r="E149" i="13"/>
  <c r="G149" i="13"/>
  <c r="I149" i="13"/>
  <c r="K149" i="13"/>
  <c r="M149" i="13"/>
  <c r="O149" i="13"/>
  <c r="Q149" i="13"/>
  <c r="S149" i="13"/>
  <c r="U149" i="13"/>
  <c r="E150" i="13"/>
  <c r="G150" i="13"/>
  <c r="I150" i="13"/>
  <c r="K150" i="13"/>
  <c r="M150" i="13"/>
  <c r="O150" i="13"/>
  <c r="Q150" i="13"/>
  <c r="S150" i="13"/>
  <c r="U150" i="13"/>
  <c r="E151" i="13"/>
  <c r="G151" i="13"/>
  <c r="I151" i="13"/>
  <c r="K151" i="13"/>
  <c r="M151" i="13"/>
  <c r="O151" i="13"/>
  <c r="Q151" i="13"/>
  <c r="S151" i="13"/>
  <c r="U151" i="13"/>
  <c r="E152" i="13"/>
  <c r="G152" i="13"/>
  <c r="I152" i="13"/>
  <c r="K152" i="13"/>
  <c r="M152" i="13"/>
  <c r="O152" i="13"/>
  <c r="Q152" i="13"/>
  <c r="S152" i="13"/>
  <c r="U152" i="13"/>
  <c r="E153" i="13"/>
  <c r="G153" i="13"/>
  <c r="I153" i="13"/>
  <c r="K153" i="13"/>
  <c r="M153" i="13"/>
  <c r="O153" i="13"/>
  <c r="Q153" i="13"/>
  <c r="S153" i="13"/>
  <c r="U153" i="13"/>
  <c r="E154" i="13"/>
  <c r="G154" i="13"/>
  <c r="I154" i="13"/>
  <c r="K154" i="13"/>
  <c r="M154" i="13"/>
  <c r="O154" i="13"/>
  <c r="Q154" i="13"/>
  <c r="S154" i="13"/>
  <c r="U154" i="13"/>
  <c r="E155" i="13"/>
  <c r="G155" i="13"/>
  <c r="I155" i="13"/>
  <c r="K155" i="13"/>
  <c r="M155" i="13"/>
  <c r="O155" i="13"/>
  <c r="Q155" i="13"/>
  <c r="S155" i="13"/>
  <c r="U155" i="13"/>
  <c r="E156" i="13"/>
  <c r="G156" i="13"/>
  <c r="I156" i="13"/>
  <c r="K156" i="13"/>
  <c r="M156" i="13"/>
  <c r="O156" i="13"/>
  <c r="Q156" i="13"/>
  <c r="S156" i="13"/>
  <c r="U156" i="13"/>
  <c r="E157" i="13"/>
  <c r="E164" i="13" s="1"/>
  <c r="G157" i="13"/>
  <c r="H157" i="13" s="1"/>
  <c r="I157" i="13"/>
  <c r="J157" i="13" s="1"/>
  <c r="J164" i="13" s="1"/>
  <c r="K157" i="13"/>
  <c r="L157" i="13" s="1"/>
  <c r="M157" i="13"/>
  <c r="N157" i="13" s="1"/>
  <c r="O157" i="13"/>
  <c r="P157" i="13" s="1"/>
  <c r="Q157" i="13"/>
  <c r="R157" i="13" s="1"/>
  <c r="S157" i="13"/>
  <c r="S164" i="13" s="1"/>
  <c r="U157" i="13"/>
  <c r="U164" i="13" s="1"/>
  <c r="E158" i="13"/>
  <c r="F158" i="13" s="1"/>
  <c r="G158" i="13"/>
  <c r="H158" i="13" s="1"/>
  <c r="I158" i="13"/>
  <c r="J158" i="13" s="1"/>
  <c r="J165" i="13" s="1"/>
  <c r="K158" i="13"/>
  <c r="L158" i="13" s="1"/>
  <c r="L165" i="13" s="1"/>
  <c r="M158" i="13"/>
  <c r="N158" i="13" s="1"/>
  <c r="O158" i="13"/>
  <c r="P158" i="13" s="1"/>
  <c r="Q158" i="13"/>
  <c r="Q165" i="13" s="1"/>
  <c r="S158" i="13"/>
  <c r="S165" i="13" s="1"/>
  <c r="U158" i="13"/>
  <c r="V158" i="13" s="1"/>
  <c r="E159" i="13"/>
  <c r="E166" i="13" s="1"/>
  <c r="G159" i="13"/>
  <c r="G166" i="13" s="1"/>
  <c r="I159" i="13"/>
  <c r="J159" i="13" s="1"/>
  <c r="K159" i="13"/>
  <c r="L159" i="13" s="1"/>
  <c r="M159" i="13"/>
  <c r="N159" i="13" s="1"/>
  <c r="O159" i="13"/>
  <c r="O166" i="13" s="1"/>
  <c r="Q159" i="13"/>
  <c r="Q166" i="13" s="1"/>
  <c r="S159" i="13"/>
  <c r="T159" i="13" s="1"/>
  <c r="U159" i="13"/>
  <c r="U166" i="13" s="1"/>
  <c r="A166" i="13"/>
  <c r="A165" i="13"/>
  <c r="A164" i="13"/>
  <c r="A163" i="13"/>
  <c r="C148" i="13"/>
  <c r="C149" i="13"/>
  <c r="C150" i="13"/>
  <c r="C151" i="13"/>
  <c r="C152" i="13"/>
  <c r="C153" i="13"/>
  <c r="C154" i="13"/>
  <c r="C155" i="13"/>
  <c r="C156" i="13"/>
  <c r="C157" i="13"/>
  <c r="C164" i="13" s="1"/>
  <c r="C158" i="13"/>
  <c r="D158" i="13" s="1"/>
  <c r="D165" i="13" s="1"/>
  <c r="C159" i="13"/>
  <c r="C166" i="13" s="1"/>
  <c r="C147" i="13"/>
  <c r="B146" i="13"/>
  <c r="A159" i="13"/>
  <c r="A157" i="13"/>
  <c r="A158" i="13"/>
  <c r="A153" i="13"/>
  <c r="A154" i="13"/>
  <c r="A155" i="13"/>
  <c r="A156" i="13"/>
  <c r="A152" i="13"/>
  <c r="A151" i="13"/>
  <c r="A148" i="13"/>
  <c r="A149" i="13"/>
  <c r="A150" i="13"/>
  <c r="A147" i="13"/>
  <c r="B131" i="13"/>
  <c r="B109" i="13"/>
  <c r="B193" i="12"/>
  <c r="B192" i="12"/>
  <c r="B226" i="12" s="1"/>
  <c r="B191" i="12"/>
  <c r="B225" i="12" s="1"/>
  <c r="B187" i="12"/>
  <c r="B221" i="12" s="1"/>
  <c r="B188" i="12"/>
  <c r="B222" i="12" s="1"/>
  <c r="B189" i="12"/>
  <c r="B223" i="12" s="1"/>
  <c r="B190" i="12"/>
  <c r="B224" i="12" s="1"/>
  <c r="B186" i="12"/>
  <c r="B220" i="12" s="1"/>
  <c r="B182" i="12"/>
  <c r="B216" i="12" s="1"/>
  <c r="B183" i="12"/>
  <c r="B217" i="12" s="1"/>
  <c r="B184" i="12"/>
  <c r="B218" i="12" s="1"/>
  <c r="B185" i="12"/>
  <c r="B219" i="12" s="1"/>
  <c r="B181" i="12"/>
  <c r="B215" i="12" s="1"/>
  <c r="E110" i="13"/>
  <c r="G110" i="13"/>
  <c r="I110" i="13"/>
  <c r="K110" i="13"/>
  <c r="M110" i="13"/>
  <c r="O110" i="13"/>
  <c r="Q110" i="13"/>
  <c r="S110" i="13"/>
  <c r="U110" i="13"/>
  <c r="E111" i="13"/>
  <c r="G111" i="13"/>
  <c r="I111" i="13"/>
  <c r="K111" i="13"/>
  <c r="M111" i="13"/>
  <c r="O111" i="13"/>
  <c r="Q111" i="13"/>
  <c r="S111" i="13"/>
  <c r="U111" i="13"/>
  <c r="E112" i="13"/>
  <c r="G112" i="13"/>
  <c r="I112" i="13"/>
  <c r="K112" i="13"/>
  <c r="M112" i="13"/>
  <c r="O112" i="13"/>
  <c r="Q112" i="13"/>
  <c r="S112" i="13"/>
  <c r="U112" i="13"/>
  <c r="E113" i="13"/>
  <c r="G113" i="13"/>
  <c r="I113" i="13"/>
  <c r="K113" i="13"/>
  <c r="M113" i="13"/>
  <c r="O113" i="13"/>
  <c r="Q113" i="13"/>
  <c r="S113" i="13"/>
  <c r="U113" i="13"/>
  <c r="E114" i="13"/>
  <c r="G114" i="13"/>
  <c r="I114" i="13"/>
  <c r="K114" i="13"/>
  <c r="M114" i="13"/>
  <c r="O114" i="13"/>
  <c r="Q114" i="13"/>
  <c r="S114" i="13"/>
  <c r="U114" i="13"/>
  <c r="E115" i="13"/>
  <c r="G115" i="13"/>
  <c r="I115" i="13"/>
  <c r="K115" i="13"/>
  <c r="M115" i="13"/>
  <c r="O115" i="13"/>
  <c r="Q115" i="13"/>
  <c r="S115" i="13"/>
  <c r="U115" i="13"/>
  <c r="E116" i="13"/>
  <c r="G116" i="13"/>
  <c r="I116" i="13"/>
  <c r="K116" i="13"/>
  <c r="M116" i="13"/>
  <c r="O116" i="13"/>
  <c r="Q116" i="13"/>
  <c r="S116" i="13"/>
  <c r="U116" i="13"/>
  <c r="E117" i="13"/>
  <c r="G117" i="13"/>
  <c r="I117" i="13"/>
  <c r="K117" i="13"/>
  <c r="M117" i="13"/>
  <c r="O117" i="13"/>
  <c r="Q117" i="13"/>
  <c r="S117" i="13"/>
  <c r="U117" i="13"/>
  <c r="E118" i="13"/>
  <c r="G118" i="13"/>
  <c r="I118" i="13"/>
  <c r="K118" i="13"/>
  <c r="M118" i="13"/>
  <c r="O118" i="13"/>
  <c r="Q118" i="13"/>
  <c r="S118" i="13"/>
  <c r="U118" i="13"/>
  <c r="E119" i="13"/>
  <c r="G119" i="13"/>
  <c r="I119" i="13"/>
  <c r="K119" i="13"/>
  <c r="M119" i="13"/>
  <c r="O119" i="13"/>
  <c r="Q119" i="13"/>
  <c r="S119" i="13"/>
  <c r="U119" i="13"/>
  <c r="E120" i="13"/>
  <c r="F120" i="13" s="1"/>
  <c r="F127" i="13" s="1"/>
  <c r="G120" i="13"/>
  <c r="H120" i="13" s="1"/>
  <c r="H127" i="13" s="1"/>
  <c r="I120" i="13"/>
  <c r="J120" i="13" s="1"/>
  <c r="J127" i="13" s="1"/>
  <c r="K120" i="13"/>
  <c r="K127" i="13" s="1"/>
  <c r="M120" i="13"/>
  <c r="N120" i="13" s="1"/>
  <c r="N127" i="13" s="1"/>
  <c r="O120" i="13"/>
  <c r="P120" i="13" s="1"/>
  <c r="P127" i="13" s="1"/>
  <c r="Q120" i="13"/>
  <c r="R120" i="13" s="1"/>
  <c r="R127" i="13" s="1"/>
  <c r="S120" i="13"/>
  <c r="T120" i="13" s="1"/>
  <c r="T127" i="13" s="1"/>
  <c r="U120" i="13"/>
  <c r="V120" i="13" s="1"/>
  <c r="V127" i="13" s="1"/>
  <c r="E121" i="13"/>
  <c r="F121" i="13" s="1"/>
  <c r="F128" i="13" s="1"/>
  <c r="G121" i="13"/>
  <c r="H121" i="13" s="1"/>
  <c r="H128" i="13" s="1"/>
  <c r="I121" i="13"/>
  <c r="I128" i="13" s="1"/>
  <c r="K121" i="13"/>
  <c r="L121" i="13" s="1"/>
  <c r="L128" i="13" s="1"/>
  <c r="M121" i="13"/>
  <c r="N121" i="13" s="1"/>
  <c r="N128" i="13" s="1"/>
  <c r="O121" i="13"/>
  <c r="P121" i="13" s="1"/>
  <c r="P128" i="13" s="1"/>
  <c r="Q121" i="13"/>
  <c r="Q128" i="13" s="1"/>
  <c r="S121" i="13"/>
  <c r="T121" i="13" s="1"/>
  <c r="T128" i="13" s="1"/>
  <c r="U121" i="13"/>
  <c r="V121" i="13" s="1"/>
  <c r="V128" i="13" s="1"/>
  <c r="E122" i="13"/>
  <c r="F122" i="13" s="1"/>
  <c r="F129" i="13" s="1"/>
  <c r="G122" i="13"/>
  <c r="G129" i="13" s="1"/>
  <c r="I122" i="13"/>
  <c r="J122" i="13" s="1"/>
  <c r="J129" i="13" s="1"/>
  <c r="K122" i="13"/>
  <c r="L122" i="13" s="1"/>
  <c r="L129" i="13" s="1"/>
  <c r="M122" i="13"/>
  <c r="N122" i="13" s="1"/>
  <c r="N129" i="13" s="1"/>
  <c r="O122" i="13"/>
  <c r="O129" i="13" s="1"/>
  <c r="Q122" i="13"/>
  <c r="R122" i="13" s="1"/>
  <c r="R129" i="13" s="1"/>
  <c r="S122" i="13"/>
  <c r="T122" i="13" s="1"/>
  <c r="T129" i="13" s="1"/>
  <c r="U122" i="13"/>
  <c r="V122" i="13" s="1"/>
  <c r="V129" i="13" s="1"/>
  <c r="A129" i="13"/>
  <c r="A128" i="13"/>
  <c r="A127" i="13"/>
  <c r="A125" i="13"/>
  <c r="D116" i="1"/>
  <c r="F116" i="1" s="1"/>
  <c r="B94" i="13"/>
  <c r="E238" i="12" l="1"/>
  <c r="AH8" i="12" s="1"/>
  <c r="M56" i="27"/>
  <c r="M166" i="13"/>
  <c r="O164" i="13"/>
  <c r="K70" i="20"/>
  <c r="M165" i="13"/>
  <c r="M164" i="13"/>
  <c r="I166" i="13"/>
  <c r="K76" i="20"/>
  <c r="K66" i="20"/>
  <c r="K72" i="20"/>
  <c r="K68" i="20"/>
  <c r="K67" i="20"/>
  <c r="K71" i="20"/>
  <c r="K65" i="20"/>
  <c r="K69" i="20"/>
  <c r="K63" i="20"/>
  <c r="K75" i="20"/>
  <c r="Q164" i="13"/>
  <c r="K64" i="20"/>
  <c r="K73" i="20"/>
  <c r="K74" i="20"/>
  <c r="O165" i="13"/>
  <c r="K166" i="13"/>
  <c r="U165" i="13"/>
  <c r="G164" i="13"/>
  <c r="E165" i="13"/>
  <c r="S166" i="13"/>
  <c r="F159" i="13"/>
  <c r="F166" i="13" s="1"/>
  <c r="H159" i="13"/>
  <c r="H166" i="13" s="1"/>
  <c r="T157" i="13"/>
  <c r="T164" i="13" s="1"/>
  <c r="I164" i="13"/>
  <c r="R159" i="13"/>
  <c r="R166" i="13" s="1"/>
  <c r="T158" i="13"/>
  <c r="T165" i="13" s="1"/>
  <c r="V157" i="13"/>
  <c r="V164" i="13" s="1"/>
  <c r="F157" i="13"/>
  <c r="F164" i="13" s="1"/>
  <c r="V159" i="13"/>
  <c r="V166" i="13" s="1"/>
  <c r="K164" i="13"/>
  <c r="P159" i="13"/>
  <c r="P166" i="13" s="1"/>
  <c r="G165" i="13"/>
  <c r="R158" i="13"/>
  <c r="R165" i="13" s="1"/>
  <c r="K165" i="13"/>
  <c r="S162" i="13"/>
  <c r="R164" i="13"/>
  <c r="H165" i="13"/>
  <c r="S163" i="13"/>
  <c r="C163" i="13"/>
  <c r="I162" i="13"/>
  <c r="G162" i="13"/>
  <c r="I163" i="13"/>
  <c r="E163" i="13"/>
  <c r="U163" i="13"/>
  <c r="P165" i="13"/>
  <c r="U162" i="13"/>
  <c r="K162" i="13"/>
  <c r="Q162" i="13"/>
  <c r="O162" i="13"/>
  <c r="Q163" i="13"/>
  <c r="M163" i="13"/>
  <c r="I165" i="13"/>
  <c r="E162" i="13"/>
  <c r="G163" i="13"/>
  <c r="M162" i="13"/>
  <c r="O163" i="13"/>
  <c r="K163" i="13"/>
  <c r="C165" i="13"/>
  <c r="C162" i="13"/>
  <c r="H164" i="13"/>
  <c r="P164" i="13"/>
  <c r="N166" i="13"/>
  <c r="N164" i="13"/>
  <c r="D159" i="13"/>
  <c r="D166" i="13" s="1"/>
  <c r="L166" i="13"/>
  <c r="T166" i="13"/>
  <c r="D157" i="13"/>
  <c r="D164" i="13" s="1"/>
  <c r="L164" i="13"/>
  <c r="J166" i="13"/>
  <c r="F165" i="13"/>
  <c r="N165" i="13"/>
  <c r="V165" i="13"/>
  <c r="S128" i="13"/>
  <c r="Q127" i="13"/>
  <c r="S129" i="13"/>
  <c r="M125" i="13"/>
  <c r="U129" i="13"/>
  <c r="E129" i="13"/>
  <c r="G128" i="13"/>
  <c r="M126" i="13"/>
  <c r="G127" i="13"/>
  <c r="M129" i="13"/>
  <c r="Q126" i="13"/>
  <c r="H122" i="13"/>
  <c r="H129" i="13" s="1"/>
  <c r="M128" i="13"/>
  <c r="P122" i="13"/>
  <c r="P129" i="13" s="1"/>
  <c r="U126" i="13"/>
  <c r="O128" i="13"/>
  <c r="Q125" i="13"/>
  <c r="E125" i="13"/>
  <c r="S125" i="13"/>
  <c r="O125" i="13"/>
  <c r="K125" i="13"/>
  <c r="U125" i="13"/>
  <c r="S126" i="13"/>
  <c r="O126" i="13"/>
  <c r="K126" i="13"/>
  <c r="I126" i="13"/>
  <c r="G126" i="13"/>
  <c r="E126" i="13"/>
  <c r="I125" i="13"/>
  <c r="G125" i="13"/>
  <c r="R121" i="13"/>
  <c r="R128" i="13" s="1"/>
  <c r="K129" i="13"/>
  <c r="U128" i="13"/>
  <c r="E128" i="13"/>
  <c r="O127" i="13"/>
  <c r="L120" i="13"/>
  <c r="L127" i="13" s="1"/>
  <c r="I127" i="13"/>
  <c r="J121" i="13"/>
  <c r="J128" i="13" s="1"/>
  <c r="S127" i="13"/>
  <c r="Q129" i="13"/>
  <c r="I129" i="13"/>
  <c r="K128" i="13"/>
  <c r="U127" i="13"/>
  <c r="M127" i="13"/>
  <c r="E127" i="13"/>
  <c r="D40" i="27"/>
  <c r="C40" i="27"/>
  <c r="C34" i="27"/>
  <c r="D35" i="1"/>
  <c r="F35" i="1" s="1"/>
  <c r="B77" i="13" s="1"/>
  <c r="D34" i="1"/>
  <c r="F34" i="1" s="1"/>
  <c r="B74" i="13" s="1"/>
  <c r="ED158" i="12"/>
  <c r="EB158" i="12"/>
  <c r="EA158" i="12"/>
  <c r="DZ158" i="12"/>
  <c r="DW158" i="12"/>
  <c r="DV158" i="12"/>
  <c r="DU158" i="12"/>
  <c r="DT158" i="12"/>
  <c r="DS158" i="12"/>
  <c r="DR158" i="12"/>
  <c r="DQ158" i="12"/>
  <c r="DP158" i="12"/>
  <c r="DO158" i="12"/>
  <c r="DN158" i="12"/>
  <c r="DM158" i="12"/>
  <c r="DL158" i="12"/>
  <c r="DK158" i="12"/>
  <c r="DJ158" i="12"/>
  <c r="DI158" i="12"/>
  <c r="DH158" i="12"/>
  <c r="DG158" i="12"/>
  <c r="DF158" i="12"/>
  <c r="DE158" i="12"/>
  <c r="DD158" i="12"/>
  <c r="DC158" i="12"/>
  <c r="DB158" i="12"/>
  <c r="DA158" i="12"/>
  <c r="CZ158" i="12"/>
  <c r="CY158" i="12"/>
  <c r="CX158" i="12"/>
  <c r="CW158" i="12"/>
  <c r="CV158" i="12"/>
  <c r="CU158" i="12"/>
  <c r="CT158" i="12"/>
  <c r="CS158" i="12"/>
  <c r="CR158" i="12"/>
  <c r="CQ158" i="12"/>
  <c r="CP158" i="12"/>
  <c r="CO158" i="12"/>
  <c r="CN158" i="12"/>
  <c r="CM158" i="12"/>
  <c r="CL158" i="12"/>
  <c r="CK158" i="12"/>
  <c r="CJ158" i="12"/>
  <c r="CI158" i="12"/>
  <c r="CH158" i="12"/>
  <c r="CG158" i="12"/>
  <c r="CF158" i="12"/>
  <c r="CE158" i="12"/>
  <c r="CD158" i="12"/>
  <c r="CC158" i="12"/>
  <c r="CB158" i="12"/>
  <c r="CA158" i="12"/>
  <c r="BZ158" i="12"/>
  <c r="BY158" i="12"/>
  <c r="BX158" i="12"/>
  <c r="BW158" i="12"/>
  <c r="BV158" i="12"/>
  <c r="BU158" i="12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D158" i="12"/>
  <c r="BB158" i="12"/>
  <c r="AZ158" i="12"/>
  <c r="AX158" i="12"/>
  <c r="AV158" i="12"/>
  <c r="AT158" i="12"/>
  <c r="AR158" i="12"/>
  <c r="AP158" i="12"/>
  <c r="AN158" i="12"/>
  <c r="AI158" i="12"/>
  <c r="ED155" i="12"/>
  <c r="EB155" i="12"/>
  <c r="EA155" i="12"/>
  <c r="DZ155" i="12"/>
  <c r="DW155" i="12"/>
  <c r="DV155" i="12"/>
  <c r="DU155" i="12"/>
  <c r="DT155" i="12"/>
  <c r="DS155" i="12"/>
  <c r="DR155" i="12"/>
  <c r="DQ155" i="12"/>
  <c r="DP155" i="12"/>
  <c r="DO155" i="12"/>
  <c r="DN155" i="12"/>
  <c r="DM155" i="12"/>
  <c r="DL155" i="12"/>
  <c r="DK155" i="12"/>
  <c r="DJ155" i="12"/>
  <c r="DI155" i="12"/>
  <c r="DH155" i="12"/>
  <c r="DG155" i="12"/>
  <c r="DF155" i="12"/>
  <c r="DE155" i="12"/>
  <c r="DD155" i="12"/>
  <c r="DC155" i="12"/>
  <c r="DB155" i="12"/>
  <c r="DA155" i="12"/>
  <c r="CZ155" i="12"/>
  <c r="CY155" i="12"/>
  <c r="CX155" i="12"/>
  <c r="CW155" i="12"/>
  <c r="CV155" i="12"/>
  <c r="CU155" i="12"/>
  <c r="CT155" i="12"/>
  <c r="CS155" i="12"/>
  <c r="CR155" i="12"/>
  <c r="CQ155" i="12"/>
  <c r="CP155" i="12"/>
  <c r="CO155" i="12"/>
  <c r="CN155" i="12"/>
  <c r="CM155" i="12"/>
  <c r="CL155" i="12"/>
  <c r="CK155" i="12"/>
  <c r="CJ155" i="12"/>
  <c r="CI155" i="12"/>
  <c r="CH155" i="12"/>
  <c r="CG155" i="12"/>
  <c r="CF155" i="12"/>
  <c r="CE155" i="12"/>
  <c r="CD155" i="12"/>
  <c r="CC155" i="12"/>
  <c r="CB155" i="12"/>
  <c r="CA155" i="12"/>
  <c r="BZ155" i="12"/>
  <c r="BY155" i="12"/>
  <c r="BX155" i="12"/>
  <c r="BW155" i="12"/>
  <c r="BV155" i="12"/>
  <c r="BU155" i="12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D155" i="12"/>
  <c r="BB155" i="12"/>
  <c r="AZ155" i="12"/>
  <c r="AX155" i="12"/>
  <c r="AV155" i="12"/>
  <c r="AT155" i="12"/>
  <c r="AR155" i="12"/>
  <c r="AP155" i="12"/>
  <c r="AN155" i="12"/>
  <c r="AI155" i="12"/>
  <c r="ED149" i="12"/>
  <c r="EB149" i="12"/>
  <c r="EA149" i="12"/>
  <c r="DZ149" i="12"/>
  <c r="DW149" i="12"/>
  <c r="DV149" i="12"/>
  <c r="DU149" i="12"/>
  <c r="DT149" i="12"/>
  <c r="DS149" i="12"/>
  <c r="DR149" i="12"/>
  <c r="DQ149" i="12"/>
  <c r="DP149" i="12"/>
  <c r="DO149" i="12"/>
  <c r="DN149" i="12"/>
  <c r="DM149" i="12"/>
  <c r="DL149" i="12"/>
  <c r="DK149" i="12"/>
  <c r="DJ149" i="12"/>
  <c r="DI149" i="12"/>
  <c r="DH149" i="12"/>
  <c r="DG149" i="12"/>
  <c r="DF149" i="12"/>
  <c r="DE149" i="12"/>
  <c r="DD149" i="12"/>
  <c r="DC149" i="12"/>
  <c r="DB149" i="12"/>
  <c r="DA149" i="12"/>
  <c r="CZ149" i="12"/>
  <c r="CY149" i="12"/>
  <c r="CX149" i="12"/>
  <c r="CW149" i="12"/>
  <c r="CV149" i="12"/>
  <c r="CU149" i="12"/>
  <c r="CT149" i="12"/>
  <c r="CS149" i="12"/>
  <c r="CR149" i="12"/>
  <c r="CQ149" i="12"/>
  <c r="CP149" i="12"/>
  <c r="CO149" i="12"/>
  <c r="CN149" i="12"/>
  <c r="CM149" i="12"/>
  <c r="CL149" i="12"/>
  <c r="CK149" i="12"/>
  <c r="CJ149" i="12"/>
  <c r="CI149" i="12"/>
  <c r="CH149" i="12"/>
  <c r="CG149" i="12"/>
  <c r="CF149" i="12"/>
  <c r="CE149" i="12"/>
  <c r="CD149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D149" i="12"/>
  <c r="BB149" i="12"/>
  <c r="AZ149" i="12"/>
  <c r="AX149" i="12"/>
  <c r="AV149" i="12"/>
  <c r="AT149" i="12"/>
  <c r="AR149" i="12"/>
  <c r="AP149" i="12"/>
  <c r="AN149" i="12"/>
  <c r="AI149" i="12"/>
  <c r="ED146" i="12"/>
  <c r="EB146" i="12"/>
  <c r="EA146" i="12"/>
  <c r="DZ146" i="12"/>
  <c r="DW146" i="12"/>
  <c r="DV146" i="12"/>
  <c r="DU146" i="12"/>
  <c r="DT146" i="12"/>
  <c r="DS146" i="12"/>
  <c r="DR146" i="12"/>
  <c r="DQ146" i="12"/>
  <c r="DP146" i="12"/>
  <c r="DO146" i="12"/>
  <c r="DN146" i="12"/>
  <c r="DM146" i="12"/>
  <c r="DL146" i="12"/>
  <c r="DK146" i="12"/>
  <c r="DJ146" i="12"/>
  <c r="DI146" i="12"/>
  <c r="DH146" i="12"/>
  <c r="DG146" i="12"/>
  <c r="DF146" i="12"/>
  <c r="DE146" i="12"/>
  <c r="DD146" i="12"/>
  <c r="DC146" i="12"/>
  <c r="DB146" i="12"/>
  <c r="DA146" i="12"/>
  <c r="CZ146" i="12"/>
  <c r="CY146" i="12"/>
  <c r="CX146" i="12"/>
  <c r="CW146" i="12"/>
  <c r="CV146" i="12"/>
  <c r="CU146" i="12"/>
  <c r="CT146" i="12"/>
  <c r="CS146" i="12"/>
  <c r="CR146" i="12"/>
  <c r="CQ146" i="12"/>
  <c r="CP146" i="12"/>
  <c r="CO146" i="12"/>
  <c r="CN146" i="12"/>
  <c r="CM146" i="12"/>
  <c r="CL146" i="12"/>
  <c r="CK146" i="12"/>
  <c r="CJ146" i="12"/>
  <c r="CI146" i="12"/>
  <c r="CH146" i="12"/>
  <c r="CG146" i="12"/>
  <c r="CF146" i="12"/>
  <c r="CE146" i="12"/>
  <c r="CD146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D146" i="12"/>
  <c r="BB146" i="12"/>
  <c r="AZ146" i="12"/>
  <c r="AX146" i="12"/>
  <c r="AV146" i="12"/>
  <c r="AT146" i="12"/>
  <c r="AR146" i="12"/>
  <c r="AP146" i="12"/>
  <c r="AN146" i="12"/>
  <c r="AI146" i="12"/>
  <c r="D103" i="1"/>
  <c r="D104" i="1"/>
  <c r="D105" i="1"/>
  <c r="D106" i="1"/>
  <c r="D107" i="1"/>
  <c r="D108" i="1"/>
  <c r="D109" i="1"/>
  <c r="D110" i="1"/>
  <c r="F110" i="1" s="1"/>
  <c r="C110" i="1"/>
  <c r="C109" i="1"/>
  <c r="C108" i="1"/>
  <c r="C106" i="1"/>
  <c r="C105" i="1"/>
  <c r="C104" i="1"/>
  <c r="C107" i="1" s="1"/>
  <c r="C103" i="1"/>
  <c r="F28" i="12"/>
  <c r="AQ28" i="12" s="1"/>
  <c r="AI28" i="12"/>
  <c r="AN28" i="12"/>
  <c r="AP28" i="12"/>
  <c r="AR28" i="12"/>
  <c r="AT28" i="12"/>
  <c r="AV28" i="12"/>
  <c r="AX28" i="12"/>
  <c r="AZ28" i="12"/>
  <c r="BB28" i="12"/>
  <c r="BD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CL28" i="12"/>
  <c r="CM28" i="12"/>
  <c r="CN28" i="12"/>
  <c r="CO28" i="12"/>
  <c r="CP28" i="12"/>
  <c r="CQ28" i="12"/>
  <c r="CR28" i="12"/>
  <c r="CS28" i="12"/>
  <c r="CT28" i="12"/>
  <c r="CU28" i="12"/>
  <c r="CV28" i="12"/>
  <c r="CW28" i="12"/>
  <c r="CX28" i="12"/>
  <c r="CY28" i="12"/>
  <c r="CZ28" i="12"/>
  <c r="DA28" i="12"/>
  <c r="DB28" i="12"/>
  <c r="DC28" i="12"/>
  <c r="DD28" i="12"/>
  <c r="DE28" i="12"/>
  <c r="DF28" i="12"/>
  <c r="DG28" i="12"/>
  <c r="DH28" i="12"/>
  <c r="DI28" i="12"/>
  <c r="DJ28" i="12"/>
  <c r="DK28" i="12"/>
  <c r="DL28" i="12"/>
  <c r="DM28" i="12"/>
  <c r="DN28" i="12"/>
  <c r="DO28" i="12"/>
  <c r="DP28" i="12"/>
  <c r="DQ28" i="12"/>
  <c r="DR28" i="12"/>
  <c r="DS28" i="12"/>
  <c r="DT28" i="12"/>
  <c r="DU28" i="12"/>
  <c r="DV28" i="12"/>
  <c r="DW28" i="12"/>
  <c r="DZ28" i="12"/>
  <c r="EA28" i="12"/>
  <c r="EB28" i="12"/>
  <c r="ED28" i="12"/>
  <c r="F100" i="12"/>
  <c r="BC100" i="12" s="1"/>
  <c r="AI100" i="12"/>
  <c r="AN100" i="12"/>
  <c r="AP100" i="12"/>
  <c r="AR100" i="12"/>
  <c r="AT100" i="12"/>
  <c r="AV100" i="12"/>
  <c r="AX100" i="12"/>
  <c r="AZ100" i="12"/>
  <c r="BB100" i="12"/>
  <c r="BD100" i="12"/>
  <c r="BF100" i="12"/>
  <c r="BG100" i="12"/>
  <c r="BH100" i="12"/>
  <c r="BI100" i="12"/>
  <c r="BJ100" i="12"/>
  <c r="BK100" i="12"/>
  <c r="BL100" i="12"/>
  <c r="BM100" i="12"/>
  <c r="BN100" i="12"/>
  <c r="BO100" i="12"/>
  <c r="BP100" i="12"/>
  <c r="BQ100" i="12"/>
  <c r="BR100" i="12"/>
  <c r="BS100" i="12"/>
  <c r="BT100" i="12"/>
  <c r="BU100" i="12"/>
  <c r="BV100" i="12"/>
  <c r="BW100" i="12"/>
  <c r="BX100" i="12"/>
  <c r="BY100" i="12"/>
  <c r="BZ100" i="12"/>
  <c r="CA100" i="12"/>
  <c r="CB100" i="12"/>
  <c r="CC100" i="12"/>
  <c r="CD100" i="12"/>
  <c r="CE100" i="12"/>
  <c r="CF100" i="12"/>
  <c r="CG100" i="12"/>
  <c r="CH100" i="12"/>
  <c r="CI100" i="12"/>
  <c r="CJ100" i="12"/>
  <c r="CK100" i="12"/>
  <c r="CL100" i="12"/>
  <c r="CM100" i="12"/>
  <c r="CN100" i="12"/>
  <c r="CO100" i="12"/>
  <c r="CP100" i="12"/>
  <c r="CQ100" i="12"/>
  <c r="CR100" i="12"/>
  <c r="CS100" i="12"/>
  <c r="CT100" i="12"/>
  <c r="CU100" i="12"/>
  <c r="CV100" i="12"/>
  <c r="CW100" i="12"/>
  <c r="CX100" i="12"/>
  <c r="CY100" i="12"/>
  <c r="CZ100" i="12"/>
  <c r="DA100" i="12"/>
  <c r="DB100" i="12"/>
  <c r="DC100" i="12"/>
  <c r="DD100" i="12"/>
  <c r="DE100" i="12"/>
  <c r="DF100" i="12"/>
  <c r="DG100" i="12"/>
  <c r="DH100" i="12"/>
  <c r="DI100" i="12"/>
  <c r="DJ100" i="12"/>
  <c r="DK100" i="12"/>
  <c r="DL100" i="12"/>
  <c r="DM100" i="12"/>
  <c r="DN100" i="12"/>
  <c r="DO100" i="12"/>
  <c r="DP100" i="12"/>
  <c r="DQ100" i="12"/>
  <c r="DR100" i="12"/>
  <c r="DS100" i="12"/>
  <c r="DT100" i="12"/>
  <c r="DU100" i="12"/>
  <c r="DV100" i="12"/>
  <c r="DW100" i="12"/>
  <c r="DZ100" i="12"/>
  <c r="EA100" i="12"/>
  <c r="EB100" i="12"/>
  <c r="ED100" i="12"/>
  <c r="DY24" i="12"/>
  <c r="DY25" i="12" s="1"/>
  <c r="DY26" i="12" s="1"/>
  <c r="DY27" i="12" s="1"/>
  <c r="DY28" i="12" s="1"/>
  <c r="DY29" i="12" s="1"/>
  <c r="DY30" i="12" s="1"/>
  <c r="DY31" i="12" s="1"/>
  <c r="DY32" i="12" s="1"/>
  <c r="DY33" i="12" s="1"/>
  <c r="DY34" i="12" s="1"/>
  <c r="DY35" i="12" s="1"/>
  <c r="DY36" i="12" s="1"/>
  <c r="DY37" i="12" s="1"/>
  <c r="DY38" i="12" s="1"/>
  <c r="DY39" i="12" s="1"/>
  <c r="DY40" i="12" s="1"/>
  <c r="DY41" i="12" s="1"/>
  <c r="DY42" i="12" s="1"/>
  <c r="DY43" i="12" s="1"/>
  <c r="DY44" i="12" s="1"/>
  <c r="DY45" i="12" s="1"/>
  <c r="DY46" i="12" s="1"/>
  <c r="DY47" i="12" s="1"/>
  <c r="DY48" i="12" s="1"/>
  <c r="F137" i="12"/>
  <c r="AQ137" i="12" s="1"/>
  <c r="AI137" i="12"/>
  <c r="AN137" i="12"/>
  <c r="AP137" i="12"/>
  <c r="AR137" i="12"/>
  <c r="AT137" i="12"/>
  <c r="AV137" i="12"/>
  <c r="AX137" i="12"/>
  <c r="AZ137" i="12"/>
  <c r="BB137" i="12"/>
  <c r="BD137" i="12"/>
  <c r="BF137" i="12"/>
  <c r="BG137" i="12"/>
  <c r="BH137" i="12"/>
  <c r="BI137" i="12"/>
  <c r="BJ137" i="12"/>
  <c r="BK137" i="12"/>
  <c r="BL137" i="12"/>
  <c r="BM137" i="12"/>
  <c r="BN137" i="12"/>
  <c r="BO137" i="12"/>
  <c r="BP137" i="12"/>
  <c r="BQ137" i="12"/>
  <c r="BR137" i="12"/>
  <c r="BS137" i="12"/>
  <c r="BT137" i="12"/>
  <c r="BU137" i="12"/>
  <c r="BV137" i="12"/>
  <c r="BW137" i="12"/>
  <c r="BX137" i="12"/>
  <c r="BY137" i="12"/>
  <c r="BZ137" i="12"/>
  <c r="CA137" i="12"/>
  <c r="CB137" i="12"/>
  <c r="CC137" i="12"/>
  <c r="CD137" i="12"/>
  <c r="CE137" i="12"/>
  <c r="CF137" i="12"/>
  <c r="CG137" i="12"/>
  <c r="CH137" i="12"/>
  <c r="CI137" i="12"/>
  <c r="CJ137" i="12"/>
  <c r="CK137" i="12"/>
  <c r="CL137" i="12"/>
  <c r="CM137" i="12"/>
  <c r="CN137" i="12"/>
  <c r="CO137" i="12"/>
  <c r="CP137" i="12"/>
  <c r="CQ137" i="12"/>
  <c r="CR137" i="12"/>
  <c r="CS137" i="12"/>
  <c r="CT137" i="12"/>
  <c r="CU137" i="12"/>
  <c r="CV137" i="12"/>
  <c r="CW137" i="12"/>
  <c r="CX137" i="12"/>
  <c r="CY137" i="12"/>
  <c r="CZ137" i="12"/>
  <c r="DA137" i="12"/>
  <c r="DB137" i="12"/>
  <c r="DC137" i="12"/>
  <c r="DD137" i="12"/>
  <c r="DE137" i="12"/>
  <c r="DF137" i="12"/>
  <c r="DG137" i="12"/>
  <c r="DH137" i="12"/>
  <c r="DI137" i="12"/>
  <c r="DJ137" i="12"/>
  <c r="DK137" i="12"/>
  <c r="DL137" i="12"/>
  <c r="DM137" i="12"/>
  <c r="DN137" i="12"/>
  <c r="DO137" i="12"/>
  <c r="DP137" i="12"/>
  <c r="DQ137" i="12"/>
  <c r="DR137" i="12"/>
  <c r="DS137" i="12"/>
  <c r="DT137" i="12"/>
  <c r="DU137" i="12"/>
  <c r="DV137" i="12"/>
  <c r="DW137" i="12"/>
  <c r="DZ137" i="12"/>
  <c r="EA137" i="12"/>
  <c r="EB137" i="12"/>
  <c r="ED137" i="12"/>
  <c r="AI68" i="12"/>
  <c r="AN68" i="12"/>
  <c r="AP68" i="12"/>
  <c r="AR68" i="12"/>
  <c r="AT68" i="12"/>
  <c r="AV68" i="12"/>
  <c r="AX68" i="12"/>
  <c r="AZ68" i="12"/>
  <c r="BB68" i="12"/>
  <c r="BD68" i="12"/>
  <c r="BF68" i="12"/>
  <c r="BG68" i="12"/>
  <c r="BH68" i="12"/>
  <c r="BI68" i="12"/>
  <c r="BJ68" i="12"/>
  <c r="BK68" i="12"/>
  <c r="BL68" i="12"/>
  <c r="BM68" i="12"/>
  <c r="BN68" i="12"/>
  <c r="BO68" i="12"/>
  <c r="BP68" i="12"/>
  <c r="BQ68" i="12"/>
  <c r="BR68" i="12"/>
  <c r="BS68" i="12"/>
  <c r="BT68" i="12"/>
  <c r="BU68" i="12"/>
  <c r="BV68" i="12"/>
  <c r="BW68" i="12"/>
  <c r="BX68" i="12"/>
  <c r="BY68" i="12"/>
  <c r="BZ68" i="12"/>
  <c r="CA68" i="12"/>
  <c r="CB68" i="12"/>
  <c r="CC68" i="12"/>
  <c r="CD68" i="12"/>
  <c r="CE68" i="12"/>
  <c r="CF68" i="12"/>
  <c r="CG68" i="12"/>
  <c r="CH68" i="12"/>
  <c r="CI68" i="12"/>
  <c r="CJ68" i="12"/>
  <c r="CK68" i="12"/>
  <c r="CL68" i="12"/>
  <c r="CM68" i="12"/>
  <c r="CN68" i="12"/>
  <c r="CO68" i="12"/>
  <c r="CP68" i="12"/>
  <c r="CQ68" i="12"/>
  <c r="CR68" i="12"/>
  <c r="CS68" i="12"/>
  <c r="CT68" i="12"/>
  <c r="CU68" i="12"/>
  <c r="CV68" i="12"/>
  <c r="CW68" i="12"/>
  <c r="CX68" i="12"/>
  <c r="CY68" i="12"/>
  <c r="CZ68" i="12"/>
  <c r="DA68" i="12"/>
  <c r="DB68" i="12"/>
  <c r="DC68" i="12"/>
  <c r="DD68" i="12"/>
  <c r="DE68" i="12"/>
  <c r="DF68" i="12"/>
  <c r="DG68" i="12"/>
  <c r="DH68" i="12"/>
  <c r="DI68" i="12"/>
  <c r="DJ68" i="12"/>
  <c r="DK68" i="12"/>
  <c r="DL68" i="12"/>
  <c r="DM68" i="12"/>
  <c r="DN68" i="12"/>
  <c r="DO68" i="12"/>
  <c r="DP68" i="12"/>
  <c r="DQ68" i="12"/>
  <c r="DR68" i="12"/>
  <c r="DS68" i="12"/>
  <c r="DT68" i="12"/>
  <c r="DU68" i="12"/>
  <c r="DV68" i="12"/>
  <c r="DW68" i="12"/>
  <c r="DZ68" i="12"/>
  <c r="EA68" i="12"/>
  <c r="EB68" i="12"/>
  <c r="ED68" i="12"/>
  <c r="ED67" i="12"/>
  <c r="EB67" i="12"/>
  <c r="EA67" i="12"/>
  <c r="DZ67" i="12"/>
  <c r="DW67" i="12"/>
  <c r="DV67" i="12"/>
  <c r="DU67" i="12"/>
  <c r="DT67" i="12"/>
  <c r="DS67" i="12"/>
  <c r="DR67" i="12"/>
  <c r="DQ67" i="12"/>
  <c r="DP67" i="12"/>
  <c r="DO67" i="12"/>
  <c r="DN67" i="12"/>
  <c r="DM67" i="12"/>
  <c r="DL67" i="12"/>
  <c r="DK67" i="12"/>
  <c r="DJ67" i="12"/>
  <c r="DI67" i="12"/>
  <c r="DH67" i="12"/>
  <c r="DG67" i="12"/>
  <c r="DF67" i="12"/>
  <c r="DE67" i="12"/>
  <c r="DD67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D67" i="12"/>
  <c r="BB67" i="12"/>
  <c r="AZ67" i="12"/>
  <c r="AX67" i="12"/>
  <c r="AV67" i="12"/>
  <c r="AT67" i="12"/>
  <c r="AR67" i="12"/>
  <c r="AP67" i="12"/>
  <c r="AN67" i="12"/>
  <c r="AI67" i="12"/>
  <c r="AI66" i="12"/>
  <c r="AN66" i="12"/>
  <c r="AP66" i="12"/>
  <c r="AR66" i="12"/>
  <c r="AT66" i="12"/>
  <c r="AV66" i="12"/>
  <c r="AX66" i="12"/>
  <c r="AZ66" i="12"/>
  <c r="BB66" i="12"/>
  <c r="BD66" i="12"/>
  <c r="BF66" i="12"/>
  <c r="BG66" i="12"/>
  <c r="BH66" i="12"/>
  <c r="BI66" i="12"/>
  <c r="BJ66" i="12"/>
  <c r="BK66" i="12"/>
  <c r="BL66" i="12"/>
  <c r="BM66" i="12"/>
  <c r="BN66" i="12"/>
  <c r="BO66" i="12"/>
  <c r="BP66" i="12"/>
  <c r="BQ66" i="12"/>
  <c r="BR66" i="12"/>
  <c r="BS66" i="12"/>
  <c r="BT66" i="12"/>
  <c r="BU66" i="12"/>
  <c r="BV66" i="12"/>
  <c r="BW66" i="12"/>
  <c r="BX66" i="12"/>
  <c r="BY66" i="12"/>
  <c r="BZ66" i="12"/>
  <c r="CA66" i="12"/>
  <c r="CB66" i="12"/>
  <c r="CC66" i="12"/>
  <c r="CD66" i="12"/>
  <c r="CE66" i="12"/>
  <c r="CF66" i="12"/>
  <c r="CG66" i="12"/>
  <c r="CH66" i="12"/>
  <c r="CI66" i="12"/>
  <c r="CJ66" i="12"/>
  <c r="CK66" i="12"/>
  <c r="CL66" i="12"/>
  <c r="CM66" i="12"/>
  <c r="CN66" i="12"/>
  <c r="CO66" i="12"/>
  <c r="CP66" i="12"/>
  <c r="CQ66" i="12"/>
  <c r="CR66" i="12"/>
  <c r="CS66" i="12"/>
  <c r="CT66" i="12"/>
  <c r="CU66" i="12"/>
  <c r="CV66" i="12"/>
  <c r="CW66" i="12"/>
  <c r="CX66" i="12"/>
  <c r="CY66" i="12"/>
  <c r="CZ66" i="12"/>
  <c r="DA66" i="12"/>
  <c r="DB66" i="12"/>
  <c r="DC66" i="12"/>
  <c r="DD66" i="12"/>
  <c r="DE66" i="12"/>
  <c r="DF66" i="12"/>
  <c r="DG66" i="12"/>
  <c r="DH66" i="12"/>
  <c r="DI66" i="12"/>
  <c r="DJ66" i="12"/>
  <c r="DK66" i="12"/>
  <c r="DL66" i="12"/>
  <c r="DM66" i="12"/>
  <c r="DN66" i="12"/>
  <c r="DO66" i="12"/>
  <c r="DP66" i="12"/>
  <c r="DQ66" i="12"/>
  <c r="DR66" i="12"/>
  <c r="DS66" i="12"/>
  <c r="DT66" i="12"/>
  <c r="DU66" i="12"/>
  <c r="DV66" i="12"/>
  <c r="DW66" i="12"/>
  <c r="DZ66" i="12"/>
  <c r="EA66" i="12"/>
  <c r="EB66" i="12"/>
  <c r="ED66" i="12"/>
  <c r="AI45" i="12"/>
  <c r="AN45" i="12"/>
  <c r="AP45" i="12"/>
  <c r="AR45" i="12"/>
  <c r="AT45" i="12"/>
  <c r="AV45" i="12"/>
  <c r="AX45" i="12"/>
  <c r="AZ45" i="12"/>
  <c r="BB45" i="12"/>
  <c r="BD45" i="12"/>
  <c r="BF45" i="12"/>
  <c r="BG45" i="12"/>
  <c r="BH45" i="12"/>
  <c r="BI45" i="12"/>
  <c r="BJ45" i="12"/>
  <c r="BK45" i="12"/>
  <c r="BL45" i="12"/>
  <c r="BM45" i="12"/>
  <c r="BN45" i="12"/>
  <c r="BO45" i="12"/>
  <c r="BP45" i="12"/>
  <c r="BQ45" i="12"/>
  <c r="BR45" i="12"/>
  <c r="BS45" i="12"/>
  <c r="BT45" i="12"/>
  <c r="BU45" i="12"/>
  <c r="BV45" i="12"/>
  <c r="BW45" i="12"/>
  <c r="BX45" i="12"/>
  <c r="BY45" i="12"/>
  <c r="BZ45" i="12"/>
  <c r="CA45" i="12"/>
  <c r="CB45" i="12"/>
  <c r="CC45" i="12"/>
  <c r="CD45" i="12"/>
  <c r="CE45" i="12"/>
  <c r="CF45" i="12"/>
  <c r="CG45" i="12"/>
  <c r="CH45" i="12"/>
  <c r="CI45" i="12"/>
  <c r="CJ45" i="12"/>
  <c r="CK45" i="12"/>
  <c r="CL45" i="12"/>
  <c r="CM45" i="12"/>
  <c r="CN45" i="12"/>
  <c r="CO45" i="12"/>
  <c r="CP45" i="12"/>
  <c r="CQ45" i="12"/>
  <c r="CR45" i="12"/>
  <c r="CS45" i="12"/>
  <c r="CT45" i="12"/>
  <c r="CU45" i="12"/>
  <c r="CV45" i="12"/>
  <c r="CW45" i="12"/>
  <c r="CX45" i="12"/>
  <c r="CY45" i="12"/>
  <c r="CZ45" i="12"/>
  <c r="DA45" i="12"/>
  <c r="DB45" i="12"/>
  <c r="DC45" i="12"/>
  <c r="DD45" i="12"/>
  <c r="DE45" i="12"/>
  <c r="DF45" i="12"/>
  <c r="DG45" i="12"/>
  <c r="DH45" i="12"/>
  <c r="DI45" i="12"/>
  <c r="DJ45" i="12"/>
  <c r="DK45" i="12"/>
  <c r="DL45" i="12"/>
  <c r="DM45" i="12"/>
  <c r="DN45" i="12"/>
  <c r="DO45" i="12"/>
  <c r="DP45" i="12"/>
  <c r="DQ45" i="12"/>
  <c r="DR45" i="12"/>
  <c r="DS45" i="12"/>
  <c r="DT45" i="12"/>
  <c r="DU45" i="12"/>
  <c r="DV45" i="12"/>
  <c r="DW45" i="12"/>
  <c r="DZ45" i="12"/>
  <c r="EA45" i="12"/>
  <c r="EB45" i="12"/>
  <c r="ED45" i="12"/>
  <c r="DZ75" i="12"/>
  <c r="EB75" i="12"/>
  <c r="DZ74" i="12"/>
  <c r="EB74" i="12"/>
  <c r="AF73" i="12"/>
  <c r="BD73" i="12" s="1"/>
  <c r="AD73" i="12"/>
  <c r="AB73" i="12"/>
  <c r="DA73" i="12" s="1"/>
  <c r="Z73" i="12"/>
  <c r="CF73" i="12" s="1"/>
  <c r="X73" i="12"/>
  <c r="CO73" i="12" s="1"/>
  <c r="V73" i="12"/>
  <c r="AT73" i="12" s="1"/>
  <c r="T73" i="12"/>
  <c r="AR73" i="12" s="1"/>
  <c r="R73" i="12"/>
  <c r="CL73" i="12" s="1"/>
  <c r="P73" i="12"/>
  <c r="CA73" i="12" s="1"/>
  <c r="N73" i="12"/>
  <c r="BP73" i="12" s="1"/>
  <c r="DZ73" i="12"/>
  <c r="EB73" i="12"/>
  <c r="AF71" i="12"/>
  <c r="DW71" i="12" s="1"/>
  <c r="AD71" i="12"/>
  <c r="CR71" i="12" s="1"/>
  <c r="AB71" i="12"/>
  <c r="CQ71" i="12" s="1"/>
  <c r="Z71" i="12"/>
  <c r="CZ71" i="12" s="1"/>
  <c r="X71" i="12"/>
  <c r="BK71" i="12" s="1"/>
  <c r="V71" i="12"/>
  <c r="AT71" i="12" s="1"/>
  <c r="T71" i="12"/>
  <c r="AR71" i="12" s="1"/>
  <c r="R71" i="12"/>
  <c r="CB71" i="12" s="1"/>
  <c r="P71" i="12"/>
  <c r="BQ71" i="12" s="1"/>
  <c r="N71" i="12"/>
  <c r="BP71" i="12" s="1"/>
  <c r="DZ71" i="12"/>
  <c r="EB71" i="12"/>
  <c r="BD91" i="12"/>
  <c r="BN91" i="12"/>
  <c r="BM91" i="12"/>
  <c r="BL91" i="12"/>
  <c r="BK91" i="12"/>
  <c r="BJ91" i="12"/>
  <c r="AR91" i="12"/>
  <c r="BH91" i="12"/>
  <c r="BQ91" i="12"/>
  <c r="BP91" i="12"/>
  <c r="DZ91" i="12"/>
  <c r="EB91" i="12"/>
  <c r="AI90" i="12"/>
  <c r="AN90" i="12"/>
  <c r="AP90" i="12"/>
  <c r="AR90" i="12"/>
  <c r="AT90" i="12"/>
  <c r="AV90" i="12"/>
  <c r="AX90" i="12"/>
  <c r="AZ90" i="12"/>
  <c r="BB90" i="12"/>
  <c r="BD90" i="12"/>
  <c r="BF90" i="12"/>
  <c r="BG90" i="12"/>
  <c r="BH90" i="12"/>
  <c r="BI90" i="12"/>
  <c r="BJ90" i="12"/>
  <c r="BK90" i="12"/>
  <c r="BL90" i="12"/>
  <c r="BM90" i="12"/>
  <c r="BN90" i="12"/>
  <c r="BO90" i="12"/>
  <c r="BP90" i="12"/>
  <c r="BQ90" i="12"/>
  <c r="BR90" i="12"/>
  <c r="BS90" i="12"/>
  <c r="BT90" i="12"/>
  <c r="BU90" i="12"/>
  <c r="BV90" i="12"/>
  <c r="BW90" i="12"/>
  <c r="BX90" i="12"/>
  <c r="BY90" i="12"/>
  <c r="BZ90" i="12"/>
  <c r="CA90" i="12"/>
  <c r="CB90" i="12"/>
  <c r="CC90" i="12"/>
  <c r="CD90" i="12"/>
  <c r="CE90" i="12"/>
  <c r="CF90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CW90" i="12"/>
  <c r="CX90" i="12"/>
  <c r="CY90" i="12"/>
  <c r="CZ90" i="12"/>
  <c r="DA90" i="12"/>
  <c r="DB90" i="12"/>
  <c r="DC90" i="12"/>
  <c r="DD90" i="12"/>
  <c r="DE90" i="12"/>
  <c r="DF90" i="12"/>
  <c r="DG90" i="12"/>
  <c r="DH90" i="12"/>
  <c r="DI90" i="12"/>
  <c r="DJ90" i="12"/>
  <c r="DK90" i="12"/>
  <c r="DL90" i="12"/>
  <c r="DM90" i="12"/>
  <c r="DN90" i="12"/>
  <c r="DO90" i="12"/>
  <c r="DP90" i="12"/>
  <c r="DQ90" i="12"/>
  <c r="DR90" i="12"/>
  <c r="DS90" i="12"/>
  <c r="DT90" i="12"/>
  <c r="DU90" i="12"/>
  <c r="DV90" i="12"/>
  <c r="DW90" i="12"/>
  <c r="DZ90" i="12"/>
  <c r="EA90" i="12"/>
  <c r="EB90" i="12"/>
  <c r="ED90" i="12"/>
  <c r="C122" i="13"/>
  <c r="K30" i="20" s="1"/>
  <c r="A115" i="13"/>
  <c r="A122" i="13"/>
  <c r="A121" i="13"/>
  <c r="B180" i="12"/>
  <c r="B179" i="12"/>
  <c r="B213" i="12" s="1"/>
  <c r="F28" i="1"/>
  <c r="A120" i="13"/>
  <c r="B178" i="12"/>
  <c r="B212" i="12" s="1"/>
  <c r="F27" i="1"/>
  <c r="A111" i="13"/>
  <c r="A112" i="13"/>
  <c r="A113" i="13"/>
  <c r="A114" i="13"/>
  <c r="B177" i="12"/>
  <c r="B211" i="12" s="1"/>
  <c r="B169" i="12"/>
  <c r="B203" i="12" s="1"/>
  <c r="B170" i="12"/>
  <c r="B204" i="12" s="1"/>
  <c r="B171" i="12"/>
  <c r="B205" i="12" s="1"/>
  <c r="B172" i="12"/>
  <c r="B206" i="12" s="1"/>
  <c r="B168" i="12"/>
  <c r="B202" i="12" s="1"/>
  <c r="A116" i="13"/>
  <c r="A117" i="13"/>
  <c r="A118" i="13"/>
  <c r="D115" i="1"/>
  <c r="F115" i="1" s="1"/>
  <c r="B174" i="12"/>
  <c r="B208" i="12" s="1"/>
  <c r="B175" i="12"/>
  <c r="B209" i="12" s="1"/>
  <c r="B176" i="12"/>
  <c r="B210" i="12" s="1"/>
  <c r="B173" i="12"/>
  <c r="B207" i="12" s="1"/>
  <c r="D114" i="1"/>
  <c r="F114" i="1" s="1"/>
  <c r="B155" i="13" s="1"/>
  <c r="T155" i="13" s="1"/>
  <c r="D113" i="1"/>
  <c r="F113" i="1" s="1"/>
  <c r="B154" i="13" s="1"/>
  <c r="D112" i="1"/>
  <c r="F112" i="1" s="1"/>
  <c r="B153" i="13" s="1"/>
  <c r="D111" i="1"/>
  <c r="F111" i="1" s="1"/>
  <c r="B152" i="13" s="1"/>
  <c r="B116" i="13" l="1"/>
  <c r="B117" i="13"/>
  <c r="B115" i="13"/>
  <c r="B118" i="13"/>
  <c r="O56" i="27"/>
  <c r="DY50" i="12"/>
  <c r="DY51" i="12"/>
  <c r="F108" i="1"/>
  <c r="F109" i="1"/>
  <c r="AH28" i="12"/>
  <c r="AH137" i="12"/>
  <c r="AH149" i="12"/>
  <c r="AH158" i="12"/>
  <c r="AH100" i="12"/>
  <c r="AH45" i="12"/>
  <c r="AH67" i="12"/>
  <c r="AH90" i="12"/>
  <c r="AH66" i="12"/>
  <c r="AH68" i="12"/>
  <c r="AH146" i="12"/>
  <c r="AH155" i="12"/>
  <c r="V155" i="13"/>
  <c r="H155" i="13"/>
  <c r="F154" i="13"/>
  <c r="P154" i="13"/>
  <c r="N154" i="13"/>
  <c r="J154" i="13"/>
  <c r="D154" i="13"/>
  <c r="H154" i="13"/>
  <c r="R154" i="13"/>
  <c r="V154" i="13"/>
  <c r="L154" i="13"/>
  <c r="T154" i="13"/>
  <c r="R152" i="13"/>
  <c r="J152" i="13"/>
  <c r="H152" i="13"/>
  <c r="D152" i="13"/>
  <c r="P152" i="13"/>
  <c r="L152" i="13"/>
  <c r="T152" i="13"/>
  <c r="F152" i="13"/>
  <c r="N152" i="13"/>
  <c r="V152" i="13"/>
  <c r="R153" i="13"/>
  <c r="P153" i="13"/>
  <c r="J153" i="13"/>
  <c r="F153" i="13"/>
  <c r="D153" i="13"/>
  <c r="T153" i="13"/>
  <c r="H153" i="13"/>
  <c r="N153" i="13"/>
  <c r="V153" i="13"/>
  <c r="L153" i="13"/>
  <c r="D155" i="13"/>
  <c r="R155" i="13"/>
  <c r="J155" i="13"/>
  <c r="P155" i="13"/>
  <c r="L155" i="13"/>
  <c r="F155" i="13"/>
  <c r="N155" i="13"/>
  <c r="K77" i="20"/>
  <c r="K92" i="20" s="1"/>
  <c r="D122" i="13"/>
  <c r="D129" i="13" s="1"/>
  <c r="C129" i="13"/>
  <c r="F107" i="1"/>
  <c r="F103" i="1"/>
  <c r="F104" i="1"/>
  <c r="F105" i="1"/>
  <c r="F106" i="1"/>
  <c r="BA28" i="12"/>
  <c r="AS28" i="12"/>
  <c r="BC28" i="12"/>
  <c r="AU28" i="12"/>
  <c r="AM28" i="12"/>
  <c r="BE28" i="12"/>
  <c r="AW28" i="12"/>
  <c r="AO28" i="12"/>
  <c r="AY28" i="12"/>
  <c r="AM100" i="12"/>
  <c r="BE100" i="12"/>
  <c r="AW100" i="12"/>
  <c r="AO100" i="12"/>
  <c r="BA100" i="12"/>
  <c r="AS100" i="12"/>
  <c r="AU100" i="12"/>
  <c r="AY100" i="12"/>
  <c r="AQ100" i="12"/>
  <c r="CS73" i="12"/>
  <c r="CX73" i="12"/>
  <c r="DO71" i="12"/>
  <c r="AU137" i="12"/>
  <c r="AM137" i="12"/>
  <c r="AO137" i="12"/>
  <c r="BA137" i="12"/>
  <c r="BC137" i="12"/>
  <c r="BE137" i="12"/>
  <c r="AW137" i="12"/>
  <c r="AS137" i="12"/>
  <c r="AY137" i="12"/>
  <c r="CI74" i="12"/>
  <c r="AV71" i="12"/>
  <c r="DM73" i="12"/>
  <c r="BN71" i="12"/>
  <c r="DO73" i="12"/>
  <c r="DV71" i="12"/>
  <c r="BQ73" i="12"/>
  <c r="CA75" i="12"/>
  <c r="BX73" i="12"/>
  <c r="BS74" i="12"/>
  <c r="DV73" i="12"/>
  <c r="BO73" i="12"/>
  <c r="CR73" i="12"/>
  <c r="BN74" i="12"/>
  <c r="DL74" i="12"/>
  <c r="BX74" i="12"/>
  <c r="DV75" i="12"/>
  <c r="DP74" i="12"/>
  <c r="BU71" i="12"/>
  <c r="DW73" i="12"/>
  <c r="BY73" i="12"/>
  <c r="DR74" i="12"/>
  <c r="CE71" i="12"/>
  <c r="DB73" i="12"/>
  <c r="CD73" i="12"/>
  <c r="AN73" i="12"/>
  <c r="CT71" i="12"/>
  <c r="DC73" i="12"/>
  <c r="CH73" i="12"/>
  <c r="BB73" i="12"/>
  <c r="CU73" i="12"/>
  <c r="CY71" i="12"/>
  <c r="DE73" i="12"/>
  <c r="CI73" i="12"/>
  <c r="CG74" i="12"/>
  <c r="DI71" i="12"/>
  <c r="DL73" i="12"/>
  <c r="CK73" i="12"/>
  <c r="BN73" i="12"/>
  <c r="CT74" i="12"/>
  <c r="DV74" i="12"/>
  <c r="CH74" i="12"/>
  <c r="CR74" i="12"/>
  <c r="BB74" i="12"/>
  <c r="DB74" i="12"/>
  <c r="CQ73" i="12"/>
  <c r="BW73" i="12"/>
  <c r="DK73" i="12"/>
  <c r="AZ73" i="12"/>
  <c r="CG73" i="12"/>
  <c r="BM73" i="12"/>
  <c r="DU73" i="12"/>
  <c r="AX73" i="12"/>
  <c r="CZ73" i="12"/>
  <c r="BV73" i="12"/>
  <c r="DT73" i="12"/>
  <c r="CP73" i="12"/>
  <c r="BL73" i="12"/>
  <c r="DJ73" i="12"/>
  <c r="DS73" i="12"/>
  <c r="BU73" i="12"/>
  <c r="DI73" i="12"/>
  <c r="BK73" i="12"/>
  <c r="CY73" i="12"/>
  <c r="AV73" i="12"/>
  <c r="CE73" i="12"/>
  <c r="CN73" i="12"/>
  <c r="BJ73" i="12"/>
  <c r="BT73" i="12"/>
  <c r="DR73" i="12"/>
  <c r="DH73" i="12"/>
  <c r="DQ73" i="12"/>
  <c r="DG73" i="12"/>
  <c r="CW73" i="12"/>
  <c r="CM73" i="12"/>
  <c r="CC73" i="12"/>
  <c r="BS73" i="12"/>
  <c r="BI73" i="12"/>
  <c r="CV73" i="12"/>
  <c r="BH73" i="12"/>
  <c r="AP73" i="12"/>
  <c r="CB73" i="12"/>
  <c r="BR73" i="12"/>
  <c r="DF73" i="12"/>
  <c r="DP73" i="12"/>
  <c r="BG73" i="12"/>
  <c r="DN73" i="12"/>
  <c r="AI73" i="12"/>
  <c r="EA73" i="12"/>
  <c r="CT73" i="12"/>
  <c r="BF73" i="12"/>
  <c r="BZ73" i="12"/>
  <c r="ED73" i="12"/>
  <c r="CJ73" i="12"/>
  <c r="DD73" i="12"/>
  <c r="DB71" i="12"/>
  <c r="BZ71" i="12"/>
  <c r="DS71" i="12"/>
  <c r="CO71" i="12"/>
  <c r="BL71" i="12"/>
  <c r="AI71" i="12"/>
  <c r="DK71" i="12"/>
  <c r="CG71" i="12"/>
  <c r="AZ71" i="12"/>
  <c r="DN71" i="12"/>
  <c r="CH71" i="12"/>
  <c r="BF71" i="12"/>
  <c r="CJ71" i="12"/>
  <c r="DM71" i="12"/>
  <c r="BO71" i="12"/>
  <c r="CS71" i="12"/>
  <c r="BY71" i="12"/>
  <c r="DC71" i="12"/>
  <c r="CI71" i="12"/>
  <c r="BD71" i="12"/>
  <c r="BX71" i="12"/>
  <c r="BB71" i="12"/>
  <c r="DL71" i="12"/>
  <c r="BM71" i="12"/>
  <c r="BW71" i="12"/>
  <c r="DU71" i="12"/>
  <c r="DA71" i="12"/>
  <c r="CP71" i="12"/>
  <c r="AX71" i="12"/>
  <c r="DT71" i="12"/>
  <c r="CF71" i="12"/>
  <c r="DJ71" i="12"/>
  <c r="BV71" i="12"/>
  <c r="CX71" i="12"/>
  <c r="CN71" i="12"/>
  <c r="CD71" i="12"/>
  <c r="BT71" i="12"/>
  <c r="BJ71" i="12"/>
  <c r="DR71" i="12"/>
  <c r="DH71" i="12"/>
  <c r="DG71" i="12"/>
  <c r="DQ71" i="12"/>
  <c r="CW71" i="12"/>
  <c r="CM71" i="12"/>
  <c r="CC71" i="12"/>
  <c r="BS71" i="12"/>
  <c r="BI71" i="12"/>
  <c r="DF71" i="12"/>
  <c r="CV71" i="12"/>
  <c r="DP71" i="12"/>
  <c r="BR71" i="12"/>
  <c r="BH71" i="12"/>
  <c r="CL71" i="12"/>
  <c r="AP71" i="12"/>
  <c r="CA71" i="12"/>
  <c r="EA71" i="12"/>
  <c r="CK71" i="12"/>
  <c r="AN71" i="12"/>
  <c r="CU71" i="12"/>
  <c r="DE71" i="12"/>
  <c r="BG71" i="12"/>
  <c r="ED71" i="12"/>
  <c r="DD71" i="12"/>
  <c r="CC91" i="12"/>
  <c r="CV91" i="12"/>
  <c r="DC91" i="12"/>
  <c r="DF91" i="12"/>
  <c r="BR91" i="12"/>
  <c r="CB91" i="12"/>
  <c r="BZ91" i="12"/>
  <c r="DP91" i="12"/>
  <c r="CH91" i="12"/>
  <c r="AI91" i="12"/>
  <c r="DQ91" i="12"/>
  <c r="CL91" i="12"/>
  <c r="AP91" i="12"/>
  <c r="DV91" i="12"/>
  <c r="CR91" i="12"/>
  <c r="BB91" i="12"/>
  <c r="DW91" i="12"/>
  <c r="DL91" i="12"/>
  <c r="DB91" i="12"/>
  <c r="BX91" i="12"/>
  <c r="DM91" i="12"/>
  <c r="CJ91" i="12"/>
  <c r="DN91" i="12"/>
  <c r="CI91" i="12"/>
  <c r="BO91" i="12"/>
  <c r="BY91" i="12"/>
  <c r="CS91" i="12"/>
  <c r="CG91" i="12"/>
  <c r="DA91" i="12"/>
  <c r="BW91" i="12"/>
  <c r="AZ91" i="12"/>
  <c r="DU91" i="12"/>
  <c r="DK91" i="12"/>
  <c r="CQ91" i="12"/>
  <c r="CP91" i="12"/>
  <c r="AX91" i="12"/>
  <c r="CF91" i="12"/>
  <c r="BV91" i="12"/>
  <c r="DT91" i="12"/>
  <c r="DJ91" i="12"/>
  <c r="CZ91" i="12"/>
  <c r="CY91" i="12"/>
  <c r="CO91" i="12"/>
  <c r="DI91" i="12"/>
  <c r="CE91" i="12"/>
  <c r="BU91" i="12"/>
  <c r="DS91" i="12"/>
  <c r="AV91" i="12"/>
  <c r="AT91" i="12"/>
  <c r="DH91" i="12"/>
  <c r="DR91" i="12"/>
  <c r="CX91" i="12"/>
  <c r="BT91" i="12"/>
  <c r="CN91" i="12"/>
  <c r="CD91" i="12"/>
  <c r="DG91" i="12"/>
  <c r="CW91" i="12"/>
  <c r="CM91" i="12"/>
  <c r="EA91" i="12"/>
  <c r="BS91" i="12"/>
  <c r="BI91" i="12"/>
  <c r="CA91" i="12"/>
  <c r="CK91" i="12"/>
  <c r="CU91" i="12"/>
  <c r="DE91" i="12"/>
  <c r="AN91" i="12"/>
  <c r="BG91" i="12"/>
  <c r="DO91" i="12"/>
  <c r="CT91" i="12"/>
  <c r="BF91" i="12"/>
  <c r="ED91" i="12"/>
  <c r="DD91" i="12"/>
  <c r="B182" i="13"/>
  <c r="C120" i="13"/>
  <c r="C121" i="13"/>
  <c r="C118" i="13"/>
  <c r="K26" i="20" s="1"/>
  <c r="C116" i="13"/>
  <c r="K24" i="20" s="1"/>
  <c r="C117" i="13"/>
  <c r="K25" i="20" s="1"/>
  <c r="C115" i="13"/>
  <c r="K23" i="20" s="1"/>
  <c r="C114" i="13"/>
  <c r="K22" i="20" s="1"/>
  <c r="Q56" i="27" l="1"/>
  <c r="DY53" i="12"/>
  <c r="DY54" i="12" s="1"/>
  <c r="DY55" i="12" s="1"/>
  <c r="DY56" i="12" s="1"/>
  <c r="DY57" i="12" s="1"/>
  <c r="DY58" i="12" s="1"/>
  <c r="DY59" i="12" s="1"/>
  <c r="DY60" i="12" s="1"/>
  <c r="DY61" i="12" s="1"/>
  <c r="DY62" i="12" s="1"/>
  <c r="DY63" i="12" s="1"/>
  <c r="DY64" i="12" s="1"/>
  <c r="DY65" i="12" s="1"/>
  <c r="DY66" i="12" s="1"/>
  <c r="DY67" i="12" s="1"/>
  <c r="DY68" i="12" s="1"/>
  <c r="DY69" i="12" s="1"/>
  <c r="DY70" i="12" s="1"/>
  <c r="DY71" i="12" s="1"/>
  <c r="DY72" i="12" s="1"/>
  <c r="DY73" i="12" s="1"/>
  <c r="DY74" i="12" s="1"/>
  <c r="DY75" i="12" s="1"/>
  <c r="DY76" i="12" s="1"/>
  <c r="DY78" i="12" s="1"/>
  <c r="DY52" i="12"/>
  <c r="AH91" i="12"/>
  <c r="AH73" i="12"/>
  <c r="AH71" i="12"/>
  <c r="C127" i="13"/>
  <c r="K28" i="20"/>
  <c r="C128" i="13"/>
  <c r="K29" i="20"/>
  <c r="P117" i="13"/>
  <c r="L117" i="13"/>
  <c r="T117" i="13"/>
  <c r="J117" i="13"/>
  <c r="R117" i="13"/>
  <c r="V117" i="13"/>
  <c r="F117" i="13"/>
  <c r="H117" i="13"/>
  <c r="N117" i="13"/>
  <c r="T116" i="13"/>
  <c r="R116" i="13"/>
  <c r="H116" i="13"/>
  <c r="J116" i="13"/>
  <c r="P116" i="13"/>
  <c r="F116" i="13"/>
  <c r="V116" i="13"/>
  <c r="L116" i="13"/>
  <c r="N116" i="13"/>
  <c r="J115" i="13"/>
  <c r="L115" i="13"/>
  <c r="R115" i="13"/>
  <c r="H115" i="13"/>
  <c r="P115" i="13"/>
  <c r="F115" i="13"/>
  <c r="V115" i="13"/>
  <c r="N115" i="13"/>
  <c r="T115" i="13"/>
  <c r="H118" i="13"/>
  <c r="T118" i="13"/>
  <c r="F118" i="13"/>
  <c r="J118" i="13"/>
  <c r="N118" i="13"/>
  <c r="P118" i="13"/>
  <c r="L118" i="13"/>
  <c r="V118" i="13"/>
  <c r="R118" i="13"/>
  <c r="D118" i="13"/>
  <c r="DM74" i="12"/>
  <c r="BO74" i="12"/>
  <c r="D115" i="13"/>
  <c r="DC74" i="12"/>
  <c r="BD74" i="12"/>
  <c r="CS74" i="12"/>
  <c r="BY74" i="12"/>
  <c r="DW74" i="12"/>
  <c r="CE74" i="12"/>
  <c r="DM75" i="12"/>
  <c r="CY74" i="12"/>
  <c r="AV74" i="12"/>
  <c r="BU74" i="12"/>
  <c r="BK74" i="12"/>
  <c r="DS74" i="12"/>
  <c r="CK74" i="12"/>
  <c r="DO75" i="12"/>
  <c r="DI74" i="12"/>
  <c r="CO74" i="12"/>
  <c r="DA74" i="12"/>
  <c r="BZ74" i="12"/>
  <c r="CK75" i="12"/>
  <c r="BB75" i="12"/>
  <c r="DE74" i="12"/>
  <c r="BQ75" i="12"/>
  <c r="AI74" i="12"/>
  <c r="AN75" i="12"/>
  <c r="BQ74" i="12"/>
  <c r="BG75" i="12"/>
  <c r="AN74" i="12"/>
  <c r="CU75" i="12"/>
  <c r="DO74" i="12"/>
  <c r="CE75" i="12"/>
  <c r="CU74" i="12"/>
  <c r="DE75" i="12"/>
  <c r="DG74" i="12"/>
  <c r="CW74" i="12"/>
  <c r="CM74" i="12"/>
  <c r="BI74" i="12"/>
  <c r="CC75" i="12"/>
  <c r="DQ74" i="12"/>
  <c r="CA74" i="12"/>
  <c r="BG74" i="12"/>
  <c r="CC74" i="12"/>
  <c r="AR74" i="12"/>
  <c r="AP74" i="12"/>
  <c r="BH74" i="12"/>
  <c r="BR74" i="12"/>
  <c r="CV74" i="12"/>
  <c r="DF74" i="12"/>
  <c r="BN75" i="12"/>
  <c r="BX75" i="12"/>
  <c r="DL75" i="12"/>
  <c r="CB74" i="12"/>
  <c r="AZ74" i="12"/>
  <c r="DB75" i="12"/>
  <c r="BF74" i="12"/>
  <c r="ED74" i="12"/>
  <c r="BP74" i="12"/>
  <c r="DD74" i="12"/>
  <c r="DK74" i="12"/>
  <c r="BW74" i="12"/>
  <c r="CF74" i="12"/>
  <c r="BL74" i="12"/>
  <c r="CP74" i="12"/>
  <c r="CZ74" i="12"/>
  <c r="DJ74" i="12"/>
  <c r="DT74" i="12"/>
  <c r="AX74" i="12"/>
  <c r="BV74" i="12"/>
  <c r="CD74" i="12"/>
  <c r="BT74" i="12"/>
  <c r="CX74" i="12"/>
  <c r="DH74" i="12"/>
  <c r="BJ74" i="12"/>
  <c r="CN74" i="12"/>
  <c r="AT74" i="12"/>
  <c r="CJ74" i="12"/>
  <c r="CQ74" i="12"/>
  <c r="BM74" i="12"/>
  <c r="CL74" i="12"/>
  <c r="DU74" i="12"/>
  <c r="CH75" i="12"/>
  <c r="DN74" i="12"/>
  <c r="EA74" i="12"/>
  <c r="CR75" i="12"/>
  <c r="D121" i="13"/>
  <c r="D128" i="13" s="1"/>
  <c r="B181" i="13"/>
  <c r="D117" i="13"/>
  <c r="D116" i="13"/>
  <c r="S56" i="27" l="1"/>
  <c r="DY81" i="12"/>
  <c r="DY82" i="12" s="1"/>
  <c r="DY83" i="12" s="1"/>
  <c r="DY84" i="12" s="1"/>
  <c r="DY85" i="12" s="1"/>
  <c r="DY86" i="12" s="1"/>
  <c r="DY87" i="12" s="1"/>
  <c r="DY88" i="12" s="1"/>
  <c r="DY89" i="12" s="1"/>
  <c r="DY90" i="12" s="1"/>
  <c r="DY91" i="12" s="1"/>
  <c r="DY92" i="12" s="1"/>
  <c r="DY93" i="12" s="1"/>
  <c r="DY94" i="12" s="1"/>
  <c r="DY95" i="12" s="1"/>
  <c r="DY96" i="12" s="1"/>
  <c r="DY97" i="12" s="1"/>
  <c r="DY98" i="12" s="1"/>
  <c r="DY99" i="12" s="1"/>
  <c r="DY100" i="12" s="1"/>
  <c r="DY101" i="12" s="1"/>
  <c r="DY102" i="12" s="1"/>
  <c r="DY103" i="12" s="1"/>
  <c r="DY104" i="12" s="1"/>
  <c r="DY105" i="12" s="1"/>
  <c r="DY106" i="12" s="1"/>
  <c r="DY108" i="12" s="1"/>
  <c r="DY109" i="12" s="1"/>
  <c r="DY110" i="12" s="1"/>
  <c r="DY79" i="12"/>
  <c r="DY80" i="12"/>
  <c r="AH74" i="12"/>
  <c r="BU75" i="12"/>
  <c r="DS75" i="12"/>
  <c r="BS75" i="12"/>
  <c r="BK75" i="12"/>
  <c r="BI75" i="12"/>
  <c r="DI75" i="12"/>
  <c r="DW75" i="12"/>
  <c r="CS75" i="12"/>
  <c r="BD75" i="12"/>
  <c r="CI75" i="12"/>
  <c r="AR75" i="12"/>
  <c r="CM75" i="12"/>
  <c r="AV75" i="12"/>
  <c r="CW75" i="12"/>
  <c r="BY75" i="12"/>
  <c r="CO75" i="12"/>
  <c r="BO75" i="12"/>
  <c r="DQ75" i="12"/>
  <c r="DC75" i="12"/>
  <c r="CY75" i="12"/>
  <c r="DG75" i="12"/>
  <c r="BM75" i="12"/>
  <c r="BW75" i="12"/>
  <c r="DK75" i="12"/>
  <c r="DA75" i="12"/>
  <c r="CQ75" i="12"/>
  <c r="CG75" i="12"/>
  <c r="DU75" i="12"/>
  <c r="AZ75" i="12"/>
  <c r="CD75" i="12"/>
  <c r="DR75" i="12"/>
  <c r="AT75" i="12"/>
  <c r="CN75" i="12"/>
  <c r="BJ75" i="12"/>
  <c r="CX75" i="12"/>
  <c r="BT75" i="12"/>
  <c r="DH75" i="12"/>
  <c r="DT75" i="12"/>
  <c r="AX75" i="12"/>
  <c r="CP75" i="12"/>
  <c r="BL75" i="12"/>
  <c r="BV75" i="12"/>
  <c r="CZ75" i="12"/>
  <c r="DJ75" i="12"/>
  <c r="CF75" i="12"/>
  <c r="BF75" i="12"/>
  <c r="BP75" i="12"/>
  <c r="DD75" i="12"/>
  <c r="ED75" i="12"/>
  <c r="DN75" i="12"/>
  <c r="EA75" i="12"/>
  <c r="CT75" i="12"/>
  <c r="AI75" i="12"/>
  <c r="BZ75" i="12"/>
  <c r="CJ75" i="12"/>
  <c r="AP75" i="12"/>
  <c r="BR75" i="12"/>
  <c r="DF75" i="12"/>
  <c r="BH75" i="12"/>
  <c r="CV75" i="12"/>
  <c r="DP75" i="12"/>
  <c r="CL75" i="12"/>
  <c r="CB75" i="12"/>
  <c r="U56" i="27" l="1"/>
  <c r="DY111" i="12"/>
  <c r="DY112" i="12" s="1"/>
  <c r="DY113" i="12" s="1"/>
  <c r="DY114" i="12" s="1"/>
  <c r="DY115" i="12" s="1"/>
  <c r="DY116" i="12" s="1"/>
  <c r="DY117" i="12" s="1"/>
  <c r="DY118" i="12" s="1"/>
  <c r="DY119" i="12" s="1"/>
  <c r="DY120" i="12" s="1"/>
  <c r="DY121" i="12" s="1"/>
  <c r="DY122" i="12" s="1"/>
  <c r="DY123" i="12" s="1"/>
  <c r="DY124" i="12" s="1"/>
  <c r="DY125" i="12" s="1"/>
  <c r="DY126" i="12" s="1"/>
  <c r="DY127" i="12" s="1"/>
  <c r="DY128" i="12" s="1"/>
  <c r="DY129" i="12" s="1"/>
  <c r="DY130" i="12" s="1"/>
  <c r="DY131" i="12" s="1"/>
  <c r="DY132" i="12" s="1"/>
  <c r="DY133" i="12" s="1"/>
  <c r="DY134" i="12" s="1"/>
  <c r="DY135" i="12" s="1"/>
  <c r="DY136" i="12" s="1"/>
  <c r="DY137" i="12" s="1"/>
  <c r="DY138" i="12" s="1"/>
  <c r="DY139" i="12" s="1"/>
  <c r="DY140" i="12" s="1"/>
  <c r="DY141" i="12" s="1"/>
  <c r="DY142" i="12" s="1"/>
  <c r="DY143" i="12" s="1"/>
  <c r="DY144" i="12" s="1"/>
  <c r="DY146" i="12" s="1"/>
  <c r="DY147" i="12" s="1"/>
  <c r="DY148" i="12" s="1"/>
  <c r="AH75" i="12"/>
  <c r="D24" i="1"/>
  <c r="F24" i="1" s="1"/>
  <c r="B114" i="13" s="1"/>
  <c r="DY149" i="12" l="1"/>
  <c r="DY150" i="12" s="1"/>
  <c r="DY151" i="12" s="1"/>
  <c r="DY152" i="12" s="1"/>
  <c r="DY153" i="12" s="1"/>
  <c r="DY155" i="12" s="1"/>
  <c r="DY156" i="12" s="1"/>
  <c r="DY157" i="12" s="1"/>
  <c r="R114" i="13"/>
  <c r="B151" i="13"/>
  <c r="F99" i="12"/>
  <c r="AQ99" i="12" s="1"/>
  <c r="AI99" i="12"/>
  <c r="AN99" i="12"/>
  <c r="AP99" i="12"/>
  <c r="AR99" i="12"/>
  <c r="AT99" i="12"/>
  <c r="AV99" i="12"/>
  <c r="AX99" i="12"/>
  <c r="AZ99" i="12"/>
  <c r="BB99" i="12"/>
  <c r="BD99" i="12"/>
  <c r="BF99" i="12"/>
  <c r="BG99" i="12"/>
  <c r="BH99" i="12"/>
  <c r="BI99" i="12"/>
  <c r="BJ99" i="12"/>
  <c r="BK99" i="12"/>
  <c r="BL99" i="12"/>
  <c r="BM99" i="12"/>
  <c r="BN99" i="12"/>
  <c r="BO99" i="12"/>
  <c r="BP99" i="12"/>
  <c r="BQ99" i="12"/>
  <c r="BR99" i="12"/>
  <c r="BS99" i="12"/>
  <c r="BT99" i="12"/>
  <c r="BU99" i="12"/>
  <c r="BV99" i="12"/>
  <c r="BW99" i="12"/>
  <c r="BX99" i="12"/>
  <c r="BY99" i="12"/>
  <c r="BZ99" i="12"/>
  <c r="CA99" i="12"/>
  <c r="CB99" i="12"/>
  <c r="CC99" i="12"/>
  <c r="CD99" i="12"/>
  <c r="CE99" i="12"/>
  <c r="CF99" i="12"/>
  <c r="CG99" i="12"/>
  <c r="CH99" i="12"/>
  <c r="CI99" i="12"/>
  <c r="CJ99" i="12"/>
  <c r="CK99" i="12"/>
  <c r="CL99" i="12"/>
  <c r="CM99" i="12"/>
  <c r="CN99" i="12"/>
  <c r="CO99" i="12"/>
  <c r="CP99" i="12"/>
  <c r="CQ99" i="12"/>
  <c r="CR99" i="12"/>
  <c r="CS99" i="12"/>
  <c r="CT99" i="12"/>
  <c r="CU99" i="12"/>
  <c r="CV99" i="12"/>
  <c r="CW99" i="12"/>
  <c r="CX99" i="12"/>
  <c r="CY99" i="12"/>
  <c r="CZ99" i="12"/>
  <c r="DA99" i="12"/>
  <c r="DB99" i="12"/>
  <c r="DC99" i="12"/>
  <c r="DD99" i="12"/>
  <c r="DE99" i="12"/>
  <c r="DF99" i="12"/>
  <c r="DG99" i="12"/>
  <c r="DH99" i="12"/>
  <c r="DI99" i="12"/>
  <c r="DJ99" i="12"/>
  <c r="DK99" i="12"/>
  <c r="DL99" i="12"/>
  <c r="DM99" i="12"/>
  <c r="DN99" i="12"/>
  <c r="DO99" i="12"/>
  <c r="DP99" i="12"/>
  <c r="DQ99" i="12"/>
  <c r="DR99" i="12"/>
  <c r="DS99" i="12"/>
  <c r="DT99" i="12"/>
  <c r="DU99" i="12"/>
  <c r="DV99" i="12"/>
  <c r="DW99" i="12"/>
  <c r="DZ99" i="12"/>
  <c r="EA99" i="12"/>
  <c r="EB99" i="12"/>
  <c r="ED99" i="12"/>
  <c r="DY158" i="12" l="1"/>
  <c r="DY159" i="12" s="1"/>
  <c r="DY160" i="12" s="1"/>
  <c r="DY161" i="12" s="1"/>
  <c r="DY162" i="12" s="1"/>
  <c r="DY163" i="12" s="1"/>
  <c r="DY164" i="12" s="1"/>
  <c r="DY165" i="12" s="1"/>
  <c r="DY166" i="12" s="1"/>
  <c r="DY167" i="12" s="1"/>
  <c r="DY168" i="12" s="1"/>
  <c r="DY169" i="12" s="1"/>
  <c r="DY170" i="12" s="1"/>
  <c r="DY171" i="12" s="1"/>
  <c r="DY172" i="12" s="1"/>
  <c r="DY173" i="12" s="1"/>
  <c r="DY174" i="12" s="1"/>
  <c r="DY175" i="12" s="1"/>
  <c r="DY176" i="12" s="1"/>
  <c r="DY177" i="12" s="1"/>
  <c r="DY178" i="12" s="1"/>
  <c r="DY179" i="12" s="1"/>
  <c r="DY180" i="12" s="1"/>
  <c r="DY194" i="12" s="1"/>
  <c r="AH99" i="12"/>
  <c r="T114" i="13"/>
  <c r="H114" i="13"/>
  <c r="F114" i="13"/>
  <c r="N114" i="13"/>
  <c r="L114" i="13"/>
  <c r="N151" i="13"/>
  <c r="R151" i="13"/>
  <c r="P151" i="13"/>
  <c r="L151" i="13"/>
  <c r="F151" i="13"/>
  <c r="V151" i="13"/>
  <c r="J151" i="13"/>
  <c r="T151" i="13"/>
  <c r="H151" i="13"/>
  <c r="D151" i="13"/>
  <c r="J114" i="13"/>
  <c r="V114" i="13"/>
  <c r="D114" i="13"/>
  <c r="P114" i="13"/>
  <c r="BC99" i="12"/>
  <c r="AU99" i="12"/>
  <c r="AM99" i="12"/>
  <c r="BA99" i="12"/>
  <c r="AS99" i="12"/>
  <c r="BE99" i="12"/>
  <c r="AW99" i="12"/>
  <c r="AO99" i="12"/>
  <c r="AY99" i="12"/>
  <c r="C119" i="13"/>
  <c r="C113" i="13"/>
  <c r="C112" i="13"/>
  <c r="C111" i="13"/>
  <c r="C110" i="13"/>
  <c r="N54" i="12"/>
  <c r="P123" i="12"/>
  <c r="A119" i="13"/>
  <c r="A110" i="13"/>
  <c r="DY181" i="12" l="1"/>
  <c r="DY182" i="12" s="1"/>
  <c r="DY183" i="12" s="1"/>
  <c r="DY184" i="12" s="1"/>
  <c r="DY185" i="12" s="1"/>
  <c r="DY186" i="12" s="1"/>
  <c r="DY187" i="12" s="1"/>
  <c r="DY188" i="12" s="1"/>
  <c r="DY189" i="12" s="1"/>
  <c r="DY190" i="12" s="1"/>
  <c r="DY191" i="12" s="1"/>
  <c r="DY192" i="12" s="1"/>
  <c r="DY193" i="12" s="1"/>
  <c r="C126" i="13"/>
  <c r="K27" i="20"/>
  <c r="C125" i="13"/>
  <c r="I196" i="13"/>
  <c r="G196" i="13"/>
  <c r="M196" i="13"/>
  <c r="C196" i="13"/>
  <c r="S196" i="13"/>
  <c r="E196" i="13"/>
  <c r="U196" i="13"/>
  <c r="K196" i="13"/>
  <c r="O196" i="13"/>
  <c r="Q196" i="13"/>
  <c r="N99" i="15"/>
  <c r="M99" i="15"/>
  <c r="L99" i="15"/>
  <c r="K99" i="15"/>
  <c r="J99" i="15"/>
  <c r="L73" i="15"/>
  <c r="K73" i="15"/>
  <c r="J73" i="15"/>
  <c r="D3" i="1"/>
  <c r="F3" i="1" s="1"/>
  <c r="Q29" i="15" s="1"/>
  <c r="D4" i="1"/>
  <c r="F4" i="1" s="1"/>
  <c r="M29" i="15" s="1"/>
  <c r="D5" i="1"/>
  <c r="F5" i="1" s="1"/>
  <c r="P29" i="15" s="1"/>
  <c r="D6" i="1"/>
  <c r="F6" i="1" s="1"/>
  <c r="N29" i="15" s="1"/>
  <c r="D7" i="1"/>
  <c r="F7" i="1" s="1"/>
  <c r="S29" i="15" s="1"/>
  <c r="D8" i="1"/>
  <c r="F8" i="1" s="1"/>
  <c r="U29" i="15" s="1"/>
  <c r="D9" i="1"/>
  <c r="F9" i="1" s="1"/>
  <c r="M46" i="15" s="1"/>
  <c r="D10" i="1"/>
  <c r="F10" i="1" s="1"/>
  <c r="R29" i="15" s="1"/>
  <c r="D11" i="1"/>
  <c r="F11" i="1" s="1"/>
  <c r="V29" i="15" s="1"/>
  <c r="D12" i="1"/>
  <c r="F12" i="1" s="1"/>
  <c r="T29" i="15" s="1"/>
  <c r="D13" i="1"/>
  <c r="D14" i="1"/>
  <c r="D15" i="1"/>
  <c r="F15" i="1" s="1"/>
  <c r="J29" i="15" s="1"/>
  <c r="D16" i="1"/>
  <c r="F16" i="1" s="1"/>
  <c r="J46" i="15" s="1"/>
  <c r="D17" i="1"/>
  <c r="F17" i="1" s="1"/>
  <c r="K46" i="15" s="1"/>
  <c r="D18" i="1"/>
  <c r="F18" i="1" s="1"/>
  <c r="L46" i="15" s="1"/>
  <c r="D19" i="1"/>
  <c r="F19" i="1" s="1"/>
  <c r="D101" i="13" s="1"/>
  <c r="B101" i="13" s="1"/>
  <c r="D20" i="1"/>
  <c r="F20" i="1" s="1"/>
  <c r="B110" i="13" s="1"/>
  <c r="D21" i="1"/>
  <c r="F21" i="1" s="1"/>
  <c r="B111" i="13" s="1"/>
  <c r="D22" i="1"/>
  <c r="F22" i="1" s="1"/>
  <c r="B112" i="13" s="1"/>
  <c r="D23" i="1"/>
  <c r="F23" i="1" s="1"/>
  <c r="B113" i="13" s="1"/>
  <c r="D25" i="1"/>
  <c r="F25" i="1" s="1"/>
  <c r="B119" i="13" s="1"/>
  <c r="D26" i="1"/>
  <c r="F26" i="1" s="1"/>
  <c r="D29" i="1"/>
  <c r="F29" i="1" s="1"/>
  <c r="F34" i="12" s="1"/>
  <c r="AM34" i="12" s="1"/>
  <c r="D30" i="1"/>
  <c r="F30" i="1" s="1"/>
  <c r="B72" i="13" s="1"/>
  <c r="D31" i="1"/>
  <c r="F31" i="1" s="1"/>
  <c r="B75" i="13" s="1"/>
  <c r="D32" i="1"/>
  <c r="F32" i="1" s="1"/>
  <c r="B73" i="13" s="1"/>
  <c r="D33" i="1"/>
  <c r="F33" i="1" s="1"/>
  <c r="B76" i="13" s="1"/>
  <c r="D36" i="1"/>
  <c r="F36" i="1" s="1"/>
  <c r="I46" i="15" s="1"/>
  <c r="D37" i="1"/>
  <c r="F37" i="1" s="1"/>
  <c r="H29" i="15" s="1"/>
  <c r="D38" i="1"/>
  <c r="F38" i="1" s="1"/>
  <c r="I29" i="15" s="1"/>
  <c r="D39" i="1"/>
  <c r="F39" i="1" s="1"/>
  <c r="D40" i="1"/>
  <c r="F40" i="1" s="1"/>
  <c r="F160" i="12" s="1"/>
  <c r="D41" i="1"/>
  <c r="F41" i="1" s="1"/>
  <c r="F119" i="12" s="1"/>
  <c r="D42" i="1"/>
  <c r="F42" i="1" s="1"/>
  <c r="D43" i="1"/>
  <c r="F43" i="1" s="1"/>
  <c r="F121" i="12" s="1"/>
  <c r="AO121" i="12" s="1"/>
  <c r="D44" i="1"/>
  <c r="F44" i="1" s="1"/>
  <c r="B60" i="13" s="1"/>
  <c r="D45" i="1"/>
  <c r="F45" i="1" s="1"/>
  <c r="B61" i="13" s="1"/>
  <c r="D46" i="1"/>
  <c r="F46" i="1" s="1"/>
  <c r="B62" i="13" s="1"/>
  <c r="D47" i="1"/>
  <c r="F47" i="1" s="1"/>
  <c r="B63" i="13" s="1"/>
  <c r="D48" i="1"/>
  <c r="F48" i="1" s="1"/>
  <c r="B64" i="13" s="1"/>
  <c r="D49" i="1"/>
  <c r="F49" i="1" s="1"/>
  <c r="B65" i="13" s="1"/>
  <c r="D50" i="1"/>
  <c r="F50" i="1" s="1"/>
  <c r="B66" i="13" s="1"/>
  <c r="D51" i="1"/>
  <c r="D52" i="1"/>
  <c r="F135" i="12" s="1"/>
  <c r="D53" i="1"/>
  <c r="D55" i="1"/>
  <c r="D56" i="1"/>
  <c r="D57" i="1"/>
  <c r="F57" i="1" s="1"/>
  <c r="D58" i="1"/>
  <c r="F58" i="1" s="1"/>
  <c r="D59" i="1"/>
  <c r="F59" i="1" s="1"/>
  <c r="F142" i="12" s="1"/>
  <c r="D60" i="1"/>
  <c r="F60" i="1" s="1"/>
  <c r="D61" i="1"/>
  <c r="F61" i="1" s="1"/>
  <c r="F58" i="12" s="1"/>
  <c r="D62" i="1"/>
  <c r="F62" i="1" s="1"/>
  <c r="F59" i="12" s="1"/>
  <c r="D63" i="1"/>
  <c r="F63" i="1" s="1"/>
  <c r="F60" i="12" s="1"/>
  <c r="D64" i="1"/>
  <c r="F64" i="1" s="1"/>
  <c r="D65" i="1"/>
  <c r="F65" i="1" s="1"/>
  <c r="D66" i="1"/>
  <c r="F66" i="1" s="1"/>
  <c r="D67" i="1"/>
  <c r="F67" i="1" s="1"/>
  <c r="D68" i="1"/>
  <c r="F68" i="1" s="1"/>
  <c r="D69" i="1"/>
  <c r="F69" i="1" s="1"/>
  <c r="D70" i="1"/>
  <c r="F70" i="1" s="1"/>
  <c r="D71" i="1"/>
  <c r="F71" i="1" s="1"/>
  <c r="D72" i="1"/>
  <c r="F72" i="1" s="1"/>
  <c r="D73" i="1"/>
  <c r="F73" i="1" s="1"/>
  <c r="D74" i="1"/>
  <c r="D75" i="1"/>
  <c r="D81" i="1"/>
  <c r="F81" i="1" s="1"/>
  <c r="F115" i="12" s="1"/>
  <c r="D82" i="1"/>
  <c r="F82" i="1" s="1"/>
  <c r="F106" i="12" s="1"/>
  <c r="D83" i="1"/>
  <c r="F83" i="1" s="1"/>
  <c r="F48" i="12" s="1"/>
  <c r="D84" i="1"/>
  <c r="F84" i="1" s="1"/>
  <c r="F105" i="12" s="1"/>
  <c r="D85" i="1"/>
  <c r="F85" i="1" s="1"/>
  <c r="F165" i="12" s="1"/>
  <c r="D86" i="1"/>
  <c r="F86" i="1" s="1"/>
  <c r="F194" i="12" s="1"/>
  <c r="D87" i="1"/>
  <c r="F87" i="1" s="1"/>
  <c r="D88" i="1"/>
  <c r="F88" i="1" s="1"/>
  <c r="D89" i="1"/>
  <c r="F89" i="1" s="1"/>
  <c r="D90" i="1"/>
  <c r="F90" i="1" s="1"/>
  <c r="D91" i="1"/>
  <c r="F91" i="1" s="1"/>
  <c r="F41" i="12" s="1"/>
  <c r="AM41" i="12" s="1"/>
  <c r="D92" i="1"/>
  <c r="F92" i="1" s="1"/>
  <c r="F46" i="12" s="1"/>
  <c r="AM46" i="12" s="1"/>
  <c r="D93" i="1"/>
  <c r="F93" i="1" s="1"/>
  <c r="F153" i="12" s="1"/>
  <c r="D94" i="1"/>
  <c r="F94" i="1" s="1"/>
  <c r="D95" i="1"/>
  <c r="F95" i="1" s="1"/>
  <c r="F129" i="12" s="1"/>
  <c r="D96" i="1"/>
  <c r="F96" i="1" s="1"/>
  <c r="D97" i="1"/>
  <c r="F97" i="1" s="1"/>
  <c r="F159" i="12" s="1"/>
  <c r="D98" i="1"/>
  <c r="F98" i="1" s="1"/>
  <c r="B68" i="13" s="1"/>
  <c r="D99" i="1"/>
  <c r="F99" i="1" s="1"/>
  <c r="B69" i="13" s="1"/>
  <c r="D100" i="1"/>
  <c r="F100" i="1" s="1"/>
  <c r="D101" i="1"/>
  <c r="F101" i="1" s="1"/>
  <c r="D102" i="1"/>
  <c r="F102" i="1" s="1"/>
  <c r="D2" i="1"/>
  <c r="F2" i="1" s="1"/>
  <c r="O29" i="15" s="1"/>
  <c r="AI121" i="12"/>
  <c r="AN121" i="12"/>
  <c r="AP121" i="12"/>
  <c r="AR121" i="12"/>
  <c r="AT121" i="12"/>
  <c r="AV121" i="12"/>
  <c r="AX121" i="12"/>
  <c r="AZ121" i="12"/>
  <c r="BB121" i="12"/>
  <c r="BD121" i="12"/>
  <c r="BF121" i="12"/>
  <c r="BG121" i="12"/>
  <c r="BH121" i="12"/>
  <c r="BI121" i="12"/>
  <c r="BJ121" i="12"/>
  <c r="BK121" i="12"/>
  <c r="BL121" i="12"/>
  <c r="BM121" i="12"/>
  <c r="BN121" i="12"/>
  <c r="BO121" i="12"/>
  <c r="BP121" i="12"/>
  <c r="BQ121" i="12"/>
  <c r="BR121" i="12"/>
  <c r="BS121" i="12"/>
  <c r="BT121" i="12"/>
  <c r="BU121" i="12"/>
  <c r="BV121" i="12"/>
  <c r="BW121" i="12"/>
  <c r="BX121" i="12"/>
  <c r="BY121" i="12"/>
  <c r="BZ121" i="12"/>
  <c r="CA121" i="12"/>
  <c r="CB121" i="12"/>
  <c r="CC121" i="12"/>
  <c r="CD121" i="12"/>
  <c r="CE121" i="12"/>
  <c r="CF121" i="12"/>
  <c r="CG121" i="12"/>
  <c r="CH121" i="12"/>
  <c r="CI121" i="12"/>
  <c r="CJ121" i="12"/>
  <c r="CK121" i="12"/>
  <c r="CL121" i="12"/>
  <c r="CM121" i="12"/>
  <c r="CN121" i="12"/>
  <c r="CO121" i="12"/>
  <c r="CP121" i="12"/>
  <c r="CQ121" i="12"/>
  <c r="CR121" i="12"/>
  <c r="CS121" i="12"/>
  <c r="CT121" i="12"/>
  <c r="CU121" i="12"/>
  <c r="CV121" i="12"/>
  <c r="CW121" i="12"/>
  <c r="CX121" i="12"/>
  <c r="CY121" i="12"/>
  <c r="CZ121" i="12"/>
  <c r="DA121" i="12"/>
  <c r="DB121" i="12"/>
  <c r="DC121" i="12"/>
  <c r="DD121" i="12"/>
  <c r="DE121" i="12"/>
  <c r="DF121" i="12"/>
  <c r="DG121" i="12"/>
  <c r="DH121" i="12"/>
  <c r="DI121" i="12"/>
  <c r="DJ121" i="12"/>
  <c r="DK121" i="12"/>
  <c r="DL121" i="12"/>
  <c r="DM121" i="12"/>
  <c r="DN121" i="12"/>
  <c r="DO121" i="12"/>
  <c r="DP121" i="12"/>
  <c r="DQ121" i="12"/>
  <c r="DR121" i="12"/>
  <c r="DS121" i="12"/>
  <c r="DT121" i="12"/>
  <c r="DU121" i="12"/>
  <c r="DV121" i="12"/>
  <c r="DW121" i="12"/>
  <c r="DZ121" i="12"/>
  <c r="EA121" i="12"/>
  <c r="EB121" i="12"/>
  <c r="ED121" i="12"/>
  <c r="AI122" i="12"/>
  <c r="AN122" i="12"/>
  <c r="AP122" i="12"/>
  <c r="AR122" i="12"/>
  <c r="AT122" i="12"/>
  <c r="AV122" i="12"/>
  <c r="AX122" i="12"/>
  <c r="AZ122" i="12"/>
  <c r="BB122" i="12"/>
  <c r="BD122" i="12"/>
  <c r="BF122" i="12"/>
  <c r="BG122" i="12"/>
  <c r="BH122" i="12"/>
  <c r="BI122" i="12"/>
  <c r="BJ122" i="12"/>
  <c r="BK122" i="12"/>
  <c r="BL122" i="12"/>
  <c r="BM122" i="12"/>
  <c r="BN122" i="12"/>
  <c r="BO122" i="12"/>
  <c r="BP122" i="12"/>
  <c r="BQ122" i="12"/>
  <c r="BR122" i="12"/>
  <c r="BS122" i="12"/>
  <c r="BT122" i="12"/>
  <c r="BU122" i="12"/>
  <c r="BV122" i="12"/>
  <c r="BW122" i="12"/>
  <c r="BX122" i="12"/>
  <c r="BY122" i="12"/>
  <c r="BZ122" i="12"/>
  <c r="CA122" i="12"/>
  <c r="CB122" i="12"/>
  <c r="CC122" i="12"/>
  <c r="CD122" i="12"/>
  <c r="CE122" i="12"/>
  <c r="CF122" i="12"/>
  <c r="CG122" i="12"/>
  <c r="CH122" i="12"/>
  <c r="CI122" i="12"/>
  <c r="CJ122" i="12"/>
  <c r="CK122" i="12"/>
  <c r="CL122" i="12"/>
  <c r="CM122" i="12"/>
  <c r="CN122" i="12"/>
  <c r="CO122" i="12"/>
  <c r="CP122" i="12"/>
  <c r="CQ122" i="12"/>
  <c r="CR122" i="12"/>
  <c r="CS122" i="12"/>
  <c r="CT122" i="12"/>
  <c r="CU122" i="12"/>
  <c r="CV122" i="12"/>
  <c r="CW122" i="12"/>
  <c r="CX122" i="12"/>
  <c r="CY122" i="12"/>
  <c r="CZ122" i="12"/>
  <c r="DA122" i="12"/>
  <c r="DB122" i="12"/>
  <c r="DC122" i="12"/>
  <c r="DD122" i="12"/>
  <c r="DE122" i="12"/>
  <c r="DF122" i="12"/>
  <c r="DG122" i="12"/>
  <c r="DH122" i="12"/>
  <c r="DI122" i="12"/>
  <c r="DJ122" i="12"/>
  <c r="DK122" i="12"/>
  <c r="DL122" i="12"/>
  <c r="DM122" i="12"/>
  <c r="DN122" i="12"/>
  <c r="DO122" i="12"/>
  <c r="DP122" i="12"/>
  <c r="DQ122" i="12"/>
  <c r="DR122" i="12"/>
  <c r="DS122" i="12"/>
  <c r="DT122" i="12"/>
  <c r="DU122" i="12"/>
  <c r="DV122" i="12"/>
  <c r="DW122" i="12"/>
  <c r="DZ122" i="12"/>
  <c r="EA122" i="12"/>
  <c r="EB122" i="12"/>
  <c r="ED122" i="12"/>
  <c r="AI39" i="12"/>
  <c r="AN39" i="12"/>
  <c r="AP39" i="12"/>
  <c r="AR39" i="12"/>
  <c r="AT39" i="12"/>
  <c r="AV39" i="12"/>
  <c r="AX39" i="12"/>
  <c r="AZ39" i="12"/>
  <c r="BB39" i="12"/>
  <c r="BD39" i="12"/>
  <c r="BF39" i="12"/>
  <c r="BG39" i="12"/>
  <c r="BH39" i="12"/>
  <c r="BI39" i="12"/>
  <c r="BJ39" i="12"/>
  <c r="BK39" i="12"/>
  <c r="BL39" i="12"/>
  <c r="BM39" i="12"/>
  <c r="BN39" i="12"/>
  <c r="BO39" i="12"/>
  <c r="BP39" i="12"/>
  <c r="BQ39" i="12"/>
  <c r="BR39" i="12"/>
  <c r="BS39" i="12"/>
  <c r="BT39" i="12"/>
  <c r="BU39" i="12"/>
  <c r="BV39" i="12"/>
  <c r="BW39" i="12"/>
  <c r="BX39" i="12"/>
  <c r="BY39" i="12"/>
  <c r="BZ39" i="12"/>
  <c r="CA39" i="12"/>
  <c r="CB39" i="12"/>
  <c r="CC39" i="12"/>
  <c r="CD39" i="12"/>
  <c r="CE39" i="12"/>
  <c r="CF39" i="12"/>
  <c r="CG39" i="12"/>
  <c r="CH39" i="12"/>
  <c r="CI39" i="12"/>
  <c r="CJ39" i="12"/>
  <c r="CK39" i="12"/>
  <c r="CL39" i="12"/>
  <c r="CM39" i="12"/>
  <c r="CN39" i="12"/>
  <c r="CO39" i="12"/>
  <c r="CP39" i="12"/>
  <c r="CQ39" i="12"/>
  <c r="CR39" i="12"/>
  <c r="CS39" i="12"/>
  <c r="CT39" i="12"/>
  <c r="CU39" i="12"/>
  <c r="CV39" i="12"/>
  <c r="CW39" i="12"/>
  <c r="CX39" i="12"/>
  <c r="CY39" i="12"/>
  <c r="CZ39" i="12"/>
  <c r="DA39" i="12"/>
  <c r="DB39" i="12"/>
  <c r="DC39" i="12"/>
  <c r="DD39" i="12"/>
  <c r="DE39" i="12"/>
  <c r="DF39" i="12"/>
  <c r="DG39" i="12"/>
  <c r="DH39" i="12"/>
  <c r="DI39" i="12"/>
  <c r="DJ39" i="12"/>
  <c r="DK39" i="12"/>
  <c r="DL39" i="12"/>
  <c r="DM39" i="12"/>
  <c r="DN39" i="12"/>
  <c r="DO39" i="12"/>
  <c r="DP39" i="12"/>
  <c r="DQ39" i="12"/>
  <c r="DR39" i="12"/>
  <c r="DS39" i="12"/>
  <c r="DT39" i="12"/>
  <c r="DU39" i="12"/>
  <c r="DV39" i="12"/>
  <c r="DW39" i="12"/>
  <c r="DZ39" i="12"/>
  <c r="EA39" i="12"/>
  <c r="EB39" i="12"/>
  <c r="ED39" i="12"/>
  <c r="AI40" i="12"/>
  <c r="AN40" i="12"/>
  <c r="AP40" i="12"/>
  <c r="AR40" i="12"/>
  <c r="AT40" i="12"/>
  <c r="AV40" i="12"/>
  <c r="AX40" i="12"/>
  <c r="AZ40" i="12"/>
  <c r="BB40" i="12"/>
  <c r="BD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BS40" i="12"/>
  <c r="BT40" i="12"/>
  <c r="BU40" i="12"/>
  <c r="BV40" i="12"/>
  <c r="BW40" i="12"/>
  <c r="BX40" i="12"/>
  <c r="BY40" i="12"/>
  <c r="BZ40" i="12"/>
  <c r="CA40" i="12"/>
  <c r="CB40" i="12"/>
  <c r="CC40" i="12"/>
  <c r="CD40" i="12"/>
  <c r="CE40" i="12"/>
  <c r="CF40" i="12"/>
  <c r="CG40" i="12"/>
  <c r="CH40" i="12"/>
  <c r="CI40" i="12"/>
  <c r="CJ40" i="12"/>
  <c r="CK40" i="12"/>
  <c r="CL40" i="12"/>
  <c r="CM40" i="12"/>
  <c r="CN40" i="12"/>
  <c r="CO40" i="12"/>
  <c r="CP40" i="12"/>
  <c r="CQ40" i="12"/>
  <c r="CR40" i="12"/>
  <c r="CS40" i="12"/>
  <c r="CT40" i="12"/>
  <c r="CU40" i="12"/>
  <c r="CV40" i="12"/>
  <c r="CW40" i="12"/>
  <c r="CX40" i="12"/>
  <c r="CY40" i="12"/>
  <c r="CZ40" i="12"/>
  <c r="DA40" i="12"/>
  <c r="DB40" i="12"/>
  <c r="DC40" i="12"/>
  <c r="DD40" i="12"/>
  <c r="DE40" i="12"/>
  <c r="DF40" i="12"/>
  <c r="DG40" i="12"/>
  <c r="DH40" i="12"/>
  <c r="DI40" i="12"/>
  <c r="DJ40" i="12"/>
  <c r="DK40" i="12"/>
  <c r="DL40" i="12"/>
  <c r="DM40" i="12"/>
  <c r="DN40" i="12"/>
  <c r="DO40" i="12"/>
  <c r="DP40" i="12"/>
  <c r="DQ40" i="12"/>
  <c r="DR40" i="12"/>
  <c r="DS40" i="12"/>
  <c r="DT40" i="12"/>
  <c r="DU40" i="12"/>
  <c r="DV40" i="12"/>
  <c r="DW40" i="12"/>
  <c r="DZ40" i="12"/>
  <c r="EA40" i="12"/>
  <c r="EB40" i="12"/>
  <c r="ED40" i="12"/>
  <c r="AI84" i="12"/>
  <c r="AN84" i="12"/>
  <c r="AP84" i="12"/>
  <c r="AR84" i="12"/>
  <c r="AT84" i="12"/>
  <c r="AV84" i="12"/>
  <c r="AX84" i="12"/>
  <c r="AZ84" i="12"/>
  <c r="BB84" i="12"/>
  <c r="BD84" i="12"/>
  <c r="BF84" i="12"/>
  <c r="BG84" i="12"/>
  <c r="BH84" i="12"/>
  <c r="BI84" i="12"/>
  <c r="BJ84" i="12"/>
  <c r="BK84" i="12"/>
  <c r="BL84" i="12"/>
  <c r="BM84" i="12"/>
  <c r="BN84" i="12"/>
  <c r="BO84" i="12"/>
  <c r="BP84" i="12"/>
  <c r="BQ84" i="12"/>
  <c r="BR84" i="12"/>
  <c r="BS84" i="12"/>
  <c r="BT84" i="12"/>
  <c r="BU84" i="12"/>
  <c r="BV84" i="12"/>
  <c r="BW84" i="12"/>
  <c r="BX84" i="12"/>
  <c r="BY84" i="12"/>
  <c r="BZ84" i="12"/>
  <c r="CA84" i="12"/>
  <c r="CB84" i="12"/>
  <c r="CC84" i="12"/>
  <c r="CD84" i="12"/>
  <c r="CE84" i="12"/>
  <c r="CF84" i="12"/>
  <c r="CG84" i="12"/>
  <c r="CH84" i="12"/>
  <c r="CI84" i="12"/>
  <c r="CJ84" i="12"/>
  <c r="CK84" i="12"/>
  <c r="CL84" i="12"/>
  <c r="CM84" i="12"/>
  <c r="CN84" i="12"/>
  <c r="CO84" i="12"/>
  <c r="CP84" i="12"/>
  <c r="CQ84" i="12"/>
  <c r="CR84" i="12"/>
  <c r="CS84" i="12"/>
  <c r="CT84" i="12"/>
  <c r="CU84" i="12"/>
  <c r="CV84" i="12"/>
  <c r="CW84" i="12"/>
  <c r="CX84" i="12"/>
  <c r="CY84" i="12"/>
  <c r="CZ84" i="12"/>
  <c r="DA84" i="12"/>
  <c r="DB84" i="12"/>
  <c r="DC84" i="12"/>
  <c r="DD84" i="12"/>
  <c r="DE84" i="12"/>
  <c r="DF84" i="12"/>
  <c r="DG84" i="12"/>
  <c r="DH84" i="12"/>
  <c r="DI84" i="12"/>
  <c r="DJ84" i="12"/>
  <c r="DK84" i="12"/>
  <c r="DL84" i="12"/>
  <c r="DM84" i="12"/>
  <c r="DN84" i="12"/>
  <c r="DO84" i="12"/>
  <c r="DP84" i="12"/>
  <c r="DQ84" i="12"/>
  <c r="DR84" i="12"/>
  <c r="DS84" i="12"/>
  <c r="DT84" i="12"/>
  <c r="DU84" i="12"/>
  <c r="DV84" i="12"/>
  <c r="DW84" i="12"/>
  <c r="DZ84" i="12"/>
  <c r="EA84" i="12"/>
  <c r="EB84" i="12"/>
  <c r="ED84" i="12"/>
  <c r="ED24" i="12"/>
  <c r="ED25" i="12"/>
  <c r="ED26" i="12"/>
  <c r="ED27" i="12"/>
  <c r="ED29" i="12"/>
  <c r="ED30" i="12"/>
  <c r="ED31" i="12"/>
  <c r="ED32" i="12"/>
  <c r="ED33" i="12"/>
  <c r="ED34" i="12"/>
  <c r="ED35" i="12"/>
  <c r="ED36" i="12"/>
  <c r="ED37" i="12"/>
  <c r="ED38" i="12"/>
  <c r="ED41" i="12"/>
  <c r="ED42" i="12"/>
  <c r="ED43" i="12"/>
  <c r="ED44" i="12"/>
  <c r="ED46" i="12"/>
  <c r="ED47" i="12"/>
  <c r="ED53" i="12"/>
  <c r="ED50" i="12"/>
  <c r="ED48" i="12"/>
  <c r="ED55" i="12"/>
  <c r="ED56" i="12"/>
  <c r="ED57" i="12"/>
  <c r="ED58" i="12"/>
  <c r="ED59" i="12"/>
  <c r="ED60" i="12"/>
  <c r="ED61" i="12"/>
  <c r="ED62" i="12"/>
  <c r="ED63" i="12"/>
  <c r="ED64" i="12"/>
  <c r="ED65" i="12"/>
  <c r="ED69" i="12"/>
  <c r="ED70" i="12"/>
  <c r="ED72" i="12"/>
  <c r="ED76" i="12"/>
  <c r="ED78" i="12"/>
  <c r="ED81" i="12"/>
  <c r="ED82" i="12"/>
  <c r="ED83" i="12"/>
  <c r="ED85" i="12"/>
  <c r="ED86" i="12"/>
  <c r="ED87" i="12"/>
  <c r="ED88" i="12"/>
  <c r="ED89" i="12"/>
  <c r="ED92" i="12"/>
  <c r="ED93" i="12"/>
  <c r="ED94" i="12"/>
  <c r="ED95" i="12"/>
  <c r="ED96" i="12"/>
  <c r="ED97" i="12"/>
  <c r="ED98" i="12"/>
  <c r="ED101" i="12"/>
  <c r="ED102" i="12"/>
  <c r="ED103" i="12"/>
  <c r="ED104" i="12"/>
  <c r="ED105" i="12"/>
  <c r="ED106" i="12"/>
  <c r="ED113" i="12"/>
  <c r="ED112" i="12"/>
  <c r="ED114" i="12"/>
  <c r="ED108" i="12"/>
  <c r="ED111" i="12"/>
  <c r="ED115" i="12"/>
  <c r="ED116" i="12"/>
  <c r="ED117" i="12"/>
  <c r="ED118" i="12"/>
  <c r="ED119" i="12"/>
  <c r="ED120" i="12"/>
  <c r="ED124" i="12"/>
  <c r="ED125" i="12"/>
  <c r="ED126" i="12"/>
  <c r="ED127" i="12"/>
  <c r="ED128" i="12"/>
  <c r="ED129" i="12"/>
  <c r="ED130" i="12"/>
  <c r="ED131" i="12"/>
  <c r="ED132" i="12"/>
  <c r="ED133" i="12"/>
  <c r="ED134" i="12"/>
  <c r="ED135" i="12"/>
  <c r="ED136" i="12"/>
  <c r="ED138" i="12"/>
  <c r="ED139" i="12"/>
  <c r="ED140" i="12"/>
  <c r="ED141" i="12"/>
  <c r="ED142" i="12"/>
  <c r="ED143" i="12"/>
  <c r="ED144" i="12"/>
  <c r="ED150" i="12"/>
  <c r="ED151" i="12"/>
  <c r="ED152" i="12"/>
  <c r="ED153" i="12"/>
  <c r="ED160" i="12"/>
  <c r="ED161" i="12"/>
  <c r="ED162" i="12"/>
  <c r="ED163" i="12"/>
  <c r="ED164" i="12"/>
  <c r="ED165" i="12"/>
  <c r="ED159" i="12"/>
  <c r="ED166" i="12"/>
  <c r="ED167" i="12"/>
  <c r="ED23" i="12"/>
  <c r="EC195" i="12"/>
  <c r="D102" i="25"/>
  <c r="B180" i="13"/>
  <c r="K21" i="20"/>
  <c r="K20" i="20"/>
  <c r="K19" i="20"/>
  <c r="K18" i="20"/>
  <c r="E57" i="25"/>
  <c r="F57" i="25" s="1"/>
  <c r="E58" i="25"/>
  <c r="F58" i="25" s="1"/>
  <c r="E56" i="25"/>
  <c r="F56" i="25" s="1"/>
  <c r="C39" i="25"/>
  <c r="F32" i="12" l="1"/>
  <c r="AM32" i="12" s="1"/>
  <c r="F91" i="12"/>
  <c r="F157" i="12"/>
  <c r="F80" i="12"/>
  <c r="F110" i="12"/>
  <c r="F148" i="12"/>
  <c r="AH122" i="12"/>
  <c r="AH40" i="12"/>
  <c r="AH84" i="12"/>
  <c r="AH39" i="12"/>
  <c r="AH121" i="12"/>
  <c r="F112" i="13"/>
  <c r="B149" i="13"/>
  <c r="N113" i="13"/>
  <c r="B150" i="13"/>
  <c r="B82" i="13"/>
  <c r="B87" i="13"/>
  <c r="F119" i="13"/>
  <c r="F126" i="13" s="1"/>
  <c r="B156" i="13"/>
  <c r="B80" i="13"/>
  <c r="B85" i="13"/>
  <c r="B81" i="13"/>
  <c r="B86" i="13"/>
  <c r="V110" i="13"/>
  <c r="B147" i="13"/>
  <c r="R111" i="13"/>
  <c r="B148" i="13"/>
  <c r="T119" i="13"/>
  <c r="T126" i="13" s="1"/>
  <c r="N119" i="13"/>
  <c r="R119" i="13"/>
  <c r="R126" i="13" s="1"/>
  <c r="V111" i="13"/>
  <c r="N111" i="13"/>
  <c r="P113" i="13"/>
  <c r="L113" i="13"/>
  <c r="F113" i="13"/>
  <c r="T113" i="13"/>
  <c r="R113" i="13"/>
  <c r="H113" i="13"/>
  <c r="J113" i="13"/>
  <c r="F111" i="12"/>
  <c r="F149" i="12"/>
  <c r="F158" i="12"/>
  <c r="F78" i="12"/>
  <c r="F146" i="12"/>
  <c r="F155" i="12"/>
  <c r="F166" i="12"/>
  <c r="F74" i="12"/>
  <c r="F90" i="12"/>
  <c r="F71" i="12"/>
  <c r="F66" i="12"/>
  <c r="F72" i="12"/>
  <c r="F68" i="12"/>
  <c r="F75" i="12"/>
  <c r="F73" i="12"/>
  <c r="F141" i="12"/>
  <c r="F67" i="12"/>
  <c r="F54" i="12"/>
  <c r="F45" i="12"/>
  <c r="AM45" i="12" s="1"/>
  <c r="D119" i="13"/>
  <c r="D126" i="13" s="1"/>
  <c r="F14" i="1"/>
  <c r="L29" i="15" s="1"/>
  <c r="F147" i="12"/>
  <c r="F13" i="1"/>
  <c r="K29" i="15" s="1"/>
  <c r="F132" i="12"/>
  <c r="F25" i="12"/>
  <c r="F23" i="12"/>
  <c r="F118" i="12"/>
  <c r="F69" i="12"/>
  <c r="F61" i="12"/>
  <c r="F112" i="12"/>
  <c r="F42" i="12"/>
  <c r="AM42" i="12" s="1"/>
  <c r="F104" i="12"/>
  <c r="F164" i="12"/>
  <c r="F36" i="12"/>
  <c r="AM36" i="12" s="1"/>
  <c r="F96" i="12"/>
  <c r="F163" i="12"/>
  <c r="F35" i="12"/>
  <c r="AM35" i="12" s="1"/>
  <c r="F92" i="12"/>
  <c r="F151" i="12"/>
  <c r="F84" i="12"/>
  <c r="BE84" i="12" s="1"/>
  <c r="F108" i="12"/>
  <c r="F24" i="12"/>
  <c r="F37" i="12"/>
  <c r="AM37" i="12" s="1"/>
  <c r="F133" i="12"/>
  <c r="F152" i="12"/>
  <c r="F44" i="12"/>
  <c r="AM44" i="12" s="1"/>
  <c r="F128" i="12"/>
  <c r="F30" i="12"/>
  <c r="AM30" i="12" s="1"/>
  <c r="F82" i="12"/>
  <c r="F103" i="12"/>
  <c r="F127" i="12"/>
  <c r="F150" i="12"/>
  <c r="F83" i="12"/>
  <c r="F81" i="12"/>
  <c r="F102" i="12"/>
  <c r="F120" i="12"/>
  <c r="F140" i="12"/>
  <c r="F29" i="12"/>
  <c r="AM29" i="12" s="1"/>
  <c r="F70" i="12"/>
  <c r="F98" i="12"/>
  <c r="F139" i="12"/>
  <c r="F50" i="12"/>
  <c r="F89" i="12"/>
  <c r="F125" i="12"/>
  <c r="F27" i="12"/>
  <c r="AM27" i="12" s="1"/>
  <c r="F33" i="12"/>
  <c r="AM33" i="12" s="1"/>
  <c r="F57" i="12"/>
  <c r="F65" i="12"/>
  <c r="F88" i="12"/>
  <c r="F95" i="12"/>
  <c r="F101" i="12"/>
  <c r="F113" i="12"/>
  <c r="F116" i="12"/>
  <c r="F124" i="12"/>
  <c r="F131" i="12"/>
  <c r="F144" i="12"/>
  <c r="F162" i="12"/>
  <c r="G29" i="15"/>
  <c r="F114" i="12"/>
  <c r="F126" i="12"/>
  <c r="F117" i="12"/>
  <c r="F40" i="12"/>
  <c r="AM40" i="12" s="1"/>
  <c r="F56" i="12"/>
  <c r="F64" i="12"/>
  <c r="F87" i="12"/>
  <c r="F94" i="12"/>
  <c r="F123" i="12"/>
  <c r="F136" i="12"/>
  <c r="F143" i="12"/>
  <c r="F161" i="12"/>
  <c r="F167" i="12"/>
  <c r="F138" i="12"/>
  <c r="F26" i="12"/>
  <c r="AM26" i="12" s="1"/>
  <c r="F31" i="12"/>
  <c r="AM31" i="12" s="1"/>
  <c r="F39" i="12"/>
  <c r="AM39" i="12" s="1"/>
  <c r="F47" i="12"/>
  <c r="AM47" i="12" s="1"/>
  <c r="F55" i="12"/>
  <c r="F63" i="12"/>
  <c r="F76" i="12"/>
  <c r="F86" i="12"/>
  <c r="F122" i="12"/>
  <c r="AQ122" i="12" s="1"/>
  <c r="F130" i="12"/>
  <c r="F43" i="12"/>
  <c r="AM43" i="12" s="1"/>
  <c r="F134" i="12"/>
  <c r="F97" i="12"/>
  <c r="F38" i="12"/>
  <c r="AM38" i="12" s="1"/>
  <c r="F62" i="12"/>
  <c r="F85" i="12"/>
  <c r="F93" i="12"/>
  <c r="AY121" i="12"/>
  <c r="BA121" i="12"/>
  <c r="AQ121" i="12"/>
  <c r="AS121" i="12"/>
  <c r="BC121" i="12"/>
  <c r="AU121" i="12"/>
  <c r="AM121" i="12"/>
  <c r="BE121" i="12"/>
  <c r="AW121" i="12"/>
  <c r="F156" i="12" l="1"/>
  <c r="BA156" i="12" s="1"/>
  <c r="F109" i="12"/>
  <c r="AY109" i="12" s="1"/>
  <c r="F79" i="12"/>
  <c r="AO79" i="12" s="1"/>
  <c r="AU157" i="12"/>
  <c r="AY157" i="12"/>
  <c r="AQ157" i="12"/>
  <c r="BC157" i="12"/>
  <c r="AO157" i="12"/>
  <c r="AW157" i="12"/>
  <c r="AM157" i="12"/>
  <c r="AS157" i="12"/>
  <c r="BE157" i="12"/>
  <c r="BA157" i="12"/>
  <c r="AQ80" i="12"/>
  <c r="AU80" i="12"/>
  <c r="AS80" i="12"/>
  <c r="BC80" i="12"/>
  <c r="BA80" i="12"/>
  <c r="AM80" i="12"/>
  <c r="AO80" i="12"/>
  <c r="AY80" i="12"/>
  <c r="AW80" i="12"/>
  <c r="BE80" i="12"/>
  <c r="AQ147" i="12"/>
  <c r="AW147" i="12"/>
  <c r="AM147" i="12"/>
  <c r="BE147" i="12"/>
  <c r="AU147" i="12"/>
  <c r="AY147" i="12"/>
  <c r="BC147" i="12"/>
  <c r="AS147" i="12"/>
  <c r="BA147" i="12"/>
  <c r="AO147" i="12"/>
  <c r="AO110" i="12"/>
  <c r="AY110" i="12"/>
  <c r="AW110" i="12"/>
  <c r="AS110" i="12"/>
  <c r="BA110" i="12"/>
  <c r="AM110" i="12"/>
  <c r="BE110" i="12"/>
  <c r="AU110" i="12"/>
  <c r="BC110" i="12"/>
  <c r="AQ110" i="12"/>
  <c r="F53" i="12"/>
  <c r="F51" i="12"/>
  <c r="F52" i="12"/>
  <c r="AQ148" i="12"/>
  <c r="AO148" i="12"/>
  <c r="BC148" i="12"/>
  <c r="AY148" i="12"/>
  <c r="AW148" i="12"/>
  <c r="AM148" i="12"/>
  <c r="AU148" i="12"/>
  <c r="BE148" i="12"/>
  <c r="AS148" i="12"/>
  <c r="BA148" i="12"/>
  <c r="F111" i="13"/>
  <c r="J111" i="13"/>
  <c r="T110" i="13"/>
  <c r="V113" i="13"/>
  <c r="J119" i="13"/>
  <c r="J126" i="13" s="1"/>
  <c r="P119" i="13"/>
  <c r="P126" i="13" s="1"/>
  <c r="N110" i="13"/>
  <c r="T111" i="13"/>
  <c r="P110" i="13"/>
  <c r="V119" i="13"/>
  <c r="V126" i="13" s="1"/>
  <c r="R110" i="13"/>
  <c r="H119" i="13"/>
  <c r="H126" i="13" s="1"/>
  <c r="L111" i="13"/>
  <c r="H110" i="13"/>
  <c r="T149" i="13"/>
  <c r="H149" i="13"/>
  <c r="N149" i="13"/>
  <c r="D149" i="13"/>
  <c r="P149" i="13"/>
  <c r="L149" i="13"/>
  <c r="V149" i="13"/>
  <c r="R149" i="13"/>
  <c r="F149" i="13"/>
  <c r="J149" i="13"/>
  <c r="J112" i="13"/>
  <c r="V112" i="13"/>
  <c r="P111" i="13"/>
  <c r="H111" i="13"/>
  <c r="J110" i="13"/>
  <c r="L119" i="13"/>
  <c r="L126" i="13" s="1"/>
  <c r="V147" i="13"/>
  <c r="H147" i="13"/>
  <c r="R147" i="13"/>
  <c r="P147" i="13"/>
  <c r="N147" i="13"/>
  <c r="F147" i="13"/>
  <c r="D147" i="13"/>
  <c r="J147" i="13"/>
  <c r="L147" i="13"/>
  <c r="T147" i="13"/>
  <c r="R112" i="13"/>
  <c r="P112" i="13"/>
  <c r="F110" i="13"/>
  <c r="T150" i="13"/>
  <c r="H150" i="13"/>
  <c r="P150" i="13"/>
  <c r="F150" i="13"/>
  <c r="N150" i="13"/>
  <c r="R150" i="13"/>
  <c r="D150" i="13"/>
  <c r="L150" i="13"/>
  <c r="V150" i="13"/>
  <c r="J150" i="13"/>
  <c r="H112" i="13"/>
  <c r="L112" i="13"/>
  <c r="N112" i="13"/>
  <c r="L110" i="13"/>
  <c r="N148" i="13"/>
  <c r="R148" i="13"/>
  <c r="D148" i="13"/>
  <c r="H148" i="13"/>
  <c r="V148" i="13"/>
  <c r="P148" i="13"/>
  <c r="L148" i="13"/>
  <c r="F148" i="13"/>
  <c r="J148" i="13"/>
  <c r="T148" i="13"/>
  <c r="F156" i="13"/>
  <c r="F163" i="13" s="1"/>
  <c r="V156" i="13"/>
  <c r="V163" i="13" s="1"/>
  <c r="P156" i="13"/>
  <c r="P163" i="13" s="1"/>
  <c r="N156" i="13"/>
  <c r="N163" i="13" s="1"/>
  <c r="L156" i="13"/>
  <c r="L163" i="13" s="1"/>
  <c r="R156" i="13"/>
  <c r="R163" i="13" s="1"/>
  <c r="H156" i="13"/>
  <c r="H163" i="13" s="1"/>
  <c r="D156" i="13"/>
  <c r="D163" i="13" s="1"/>
  <c r="J156" i="13"/>
  <c r="J163" i="13" s="1"/>
  <c r="T156" i="13"/>
  <c r="T163" i="13" s="1"/>
  <c r="T112" i="13"/>
  <c r="N126" i="13"/>
  <c r="BC149" i="12"/>
  <c r="BE149" i="12"/>
  <c r="AM149" i="12"/>
  <c r="AY149" i="12"/>
  <c r="AQ149" i="12"/>
  <c r="AW149" i="12"/>
  <c r="AU149" i="12"/>
  <c r="AS149" i="12"/>
  <c r="AO149" i="12"/>
  <c r="BA149" i="12"/>
  <c r="BE158" i="12"/>
  <c r="BA158" i="12"/>
  <c r="BC158" i="12"/>
  <c r="AS158" i="12"/>
  <c r="AU158" i="12"/>
  <c r="AQ158" i="12"/>
  <c r="AM158" i="12"/>
  <c r="AY158" i="12"/>
  <c r="AW158" i="12"/>
  <c r="AO158" i="12"/>
  <c r="BC146" i="12"/>
  <c r="AY146" i="12"/>
  <c r="AO146" i="12"/>
  <c r="AQ146" i="12"/>
  <c r="BA146" i="12"/>
  <c r="AW146" i="12"/>
  <c r="AS146" i="12"/>
  <c r="BE146" i="12"/>
  <c r="AU146" i="12"/>
  <c r="AM146" i="12"/>
  <c r="AY155" i="12"/>
  <c r="BE155" i="12"/>
  <c r="AM155" i="12"/>
  <c r="AQ155" i="12"/>
  <c r="BC155" i="12"/>
  <c r="AW155" i="12"/>
  <c r="AO155" i="12"/>
  <c r="AU155" i="12"/>
  <c r="BA155" i="12"/>
  <c r="AS155" i="12"/>
  <c r="BC75" i="12"/>
  <c r="AO75" i="12"/>
  <c r="AM75" i="12"/>
  <c r="BE75" i="12"/>
  <c r="AU75" i="12"/>
  <c r="AS75" i="12"/>
  <c r="BA75" i="12"/>
  <c r="AQ75" i="12"/>
  <c r="AW75" i="12"/>
  <c r="AY75" i="12"/>
  <c r="BE74" i="12"/>
  <c r="BC74" i="12"/>
  <c r="BA74" i="12"/>
  <c r="AY74" i="12"/>
  <c r="AQ74" i="12"/>
  <c r="AU74" i="12"/>
  <c r="AO74" i="12"/>
  <c r="AW74" i="12"/>
  <c r="AS74" i="12"/>
  <c r="AM74" i="12"/>
  <c r="AO90" i="12"/>
  <c r="AM90" i="12"/>
  <c r="BE90" i="12"/>
  <c r="BA90" i="12"/>
  <c r="AU90" i="12"/>
  <c r="BC90" i="12"/>
  <c r="AS90" i="12"/>
  <c r="AQ90" i="12"/>
  <c r="AY90" i="12"/>
  <c r="AW90" i="12"/>
  <c r="BA67" i="12"/>
  <c r="AY67" i="12"/>
  <c r="AO67" i="12"/>
  <c r="AQ67" i="12"/>
  <c r="BC67" i="12"/>
  <c r="BE67" i="12"/>
  <c r="AS67" i="12"/>
  <c r="AU67" i="12"/>
  <c r="AM67" i="12"/>
  <c r="AW67" i="12"/>
  <c r="AW71" i="12"/>
  <c r="AY71" i="12"/>
  <c r="AS71" i="12"/>
  <c r="AO71" i="12"/>
  <c r="BE71" i="12"/>
  <c r="AQ71" i="12"/>
  <c r="AM71" i="12"/>
  <c r="AU71" i="12"/>
  <c r="BC71" i="12"/>
  <c r="BA71" i="12"/>
  <c r="AY66" i="12"/>
  <c r="AS66" i="12"/>
  <c r="BE66" i="12"/>
  <c r="AO66" i="12"/>
  <c r="BC66" i="12"/>
  <c r="AQ66" i="12"/>
  <c r="AW66" i="12"/>
  <c r="AU66" i="12"/>
  <c r="BA66" i="12"/>
  <c r="AM66" i="12"/>
  <c r="BA45" i="12"/>
  <c r="AO45" i="12"/>
  <c r="AQ45" i="12"/>
  <c r="AS45" i="12"/>
  <c r="AW45" i="12"/>
  <c r="BE45" i="12"/>
  <c r="AU45" i="12"/>
  <c r="BC45" i="12"/>
  <c r="AY45" i="12"/>
  <c r="BE91" i="12"/>
  <c r="AY91" i="12"/>
  <c r="BC91" i="12"/>
  <c r="AO91" i="12"/>
  <c r="AW91" i="12"/>
  <c r="AU91" i="12"/>
  <c r="AM91" i="12"/>
  <c r="AS91" i="12"/>
  <c r="BA91" i="12"/>
  <c r="AQ91" i="12"/>
  <c r="BA73" i="12"/>
  <c r="AU73" i="12"/>
  <c r="BE73" i="12"/>
  <c r="AQ73" i="12"/>
  <c r="AY73" i="12"/>
  <c r="AM73" i="12"/>
  <c r="AS73" i="12"/>
  <c r="AO73" i="12"/>
  <c r="AW73" i="12"/>
  <c r="BC73" i="12"/>
  <c r="BA68" i="12"/>
  <c r="AU68" i="12"/>
  <c r="BE68" i="12"/>
  <c r="AS68" i="12"/>
  <c r="AM68" i="12"/>
  <c r="BC68" i="12"/>
  <c r="AQ68" i="12"/>
  <c r="AY68" i="12"/>
  <c r="AO68" i="12"/>
  <c r="AW68" i="12"/>
  <c r="AU84" i="12"/>
  <c r="BC84" i="12"/>
  <c r="AQ84" i="12"/>
  <c r="AS84" i="12"/>
  <c r="BA84" i="12"/>
  <c r="AO84" i="12"/>
  <c r="AY84" i="12"/>
  <c r="BE40" i="12"/>
  <c r="AM84" i="12"/>
  <c r="AW84" i="12"/>
  <c r="AU40" i="12"/>
  <c r="AO40" i="12"/>
  <c r="BA40" i="12"/>
  <c r="AW40" i="12"/>
  <c r="AQ40" i="12"/>
  <c r="AY40" i="12"/>
  <c r="BC40" i="12"/>
  <c r="AS40" i="12"/>
  <c r="AY39" i="12"/>
  <c r="BA122" i="12"/>
  <c r="BA39" i="12"/>
  <c r="BC39" i="12"/>
  <c r="AW122" i="12"/>
  <c r="BC122" i="12"/>
  <c r="AW39" i="12"/>
  <c r="AM122" i="12"/>
  <c r="BE39" i="12"/>
  <c r="AY122" i="12"/>
  <c r="AU122" i="12"/>
  <c r="AO39" i="12"/>
  <c r="AO122" i="12"/>
  <c r="AS39" i="12"/>
  <c r="AQ39" i="12"/>
  <c r="AU39" i="12"/>
  <c r="BE122" i="12"/>
  <c r="AS122" i="12"/>
  <c r="A21" i="20"/>
  <c r="A20" i="20"/>
  <c r="A19" i="20"/>
  <c r="A18" i="20"/>
  <c r="D5" i="14"/>
  <c r="H5" i="14" s="1"/>
  <c r="D6" i="14"/>
  <c r="H6" i="14" s="1"/>
  <c r="D7" i="14"/>
  <c r="H7" i="14" s="1"/>
  <c r="F8" i="14"/>
  <c r="H8" i="14"/>
  <c r="D9" i="14"/>
  <c r="F9" i="14" s="1"/>
  <c r="F10" i="14"/>
  <c r="H10" i="14"/>
  <c r="F11" i="14"/>
  <c r="H11" i="14"/>
  <c r="F12" i="14"/>
  <c r="H12" i="14"/>
  <c r="F13" i="14"/>
  <c r="H13" i="14"/>
  <c r="F14" i="14"/>
  <c r="H14" i="14"/>
  <c r="E15" i="14"/>
  <c r="F15" i="14" s="1"/>
  <c r="H15" i="14"/>
  <c r="D18" i="14"/>
  <c r="H18" i="14" s="1"/>
  <c r="F19" i="14"/>
  <c r="H19" i="14"/>
  <c r="F20" i="14"/>
  <c r="H20" i="14"/>
  <c r="F21" i="14"/>
  <c r="H21" i="14"/>
  <c r="E22" i="14"/>
  <c r="F22" i="14" s="1"/>
  <c r="H22" i="14"/>
  <c r="F23" i="14"/>
  <c r="H23" i="14"/>
  <c r="E24" i="14"/>
  <c r="F24" i="14" s="1"/>
  <c r="H24" i="14"/>
  <c r="F25" i="14"/>
  <c r="H25" i="14"/>
  <c r="F26" i="14"/>
  <c r="H26" i="14"/>
  <c r="F29" i="14"/>
  <c r="H29" i="14"/>
  <c r="F30" i="14"/>
  <c r="H30" i="14"/>
  <c r="F31" i="14"/>
  <c r="H31" i="14"/>
  <c r="F32" i="14"/>
  <c r="H32" i="14"/>
  <c r="F33" i="14"/>
  <c r="H33" i="14"/>
  <c r="F34" i="14"/>
  <c r="H34" i="14"/>
  <c r="E35" i="14"/>
  <c r="F35" i="14"/>
  <c r="H35" i="14"/>
  <c r="F36" i="14"/>
  <c r="H36" i="14"/>
  <c r="E37" i="14"/>
  <c r="F37" i="14" s="1"/>
  <c r="H37" i="14"/>
  <c r="F38" i="14"/>
  <c r="H38" i="14"/>
  <c r="F41" i="14"/>
  <c r="H41" i="14"/>
  <c r="F42" i="14"/>
  <c r="H42" i="14"/>
  <c r="F43" i="14"/>
  <c r="H43" i="14"/>
  <c r="F44" i="14"/>
  <c r="H44" i="14"/>
  <c r="F45" i="14"/>
  <c r="H45" i="14"/>
  <c r="F46" i="14"/>
  <c r="H46" i="14"/>
  <c r="D47" i="14"/>
  <c r="H47" i="14" s="1"/>
  <c r="F50" i="14"/>
  <c r="H50" i="14"/>
  <c r="D51" i="14"/>
  <c r="H51" i="14" s="1"/>
  <c r="F52" i="14"/>
  <c r="H52" i="14"/>
  <c r="D53" i="14"/>
  <c r="H53" i="14" s="1"/>
  <c r="D54" i="14"/>
  <c r="H54" i="14" s="1"/>
  <c r="D55" i="14"/>
  <c r="H55" i="14" s="1"/>
  <c r="D56" i="14"/>
  <c r="F56" i="14"/>
  <c r="H56" i="14"/>
  <c r="D57" i="14"/>
  <c r="F57" i="14"/>
  <c r="H57" i="14"/>
  <c r="F58" i="14"/>
  <c r="H58" i="14"/>
  <c r="F59" i="14"/>
  <c r="H59" i="14"/>
  <c r="F60" i="14"/>
  <c r="H60" i="14"/>
  <c r="F61" i="14"/>
  <c r="H61" i="14"/>
  <c r="F64" i="14"/>
  <c r="H64" i="14"/>
  <c r="F65" i="14"/>
  <c r="H65" i="14"/>
  <c r="F66" i="14"/>
  <c r="H66" i="14"/>
  <c r="F67" i="14"/>
  <c r="H67" i="14"/>
  <c r="F68" i="14"/>
  <c r="H68" i="14"/>
  <c r="F69" i="14"/>
  <c r="H69" i="14"/>
  <c r="F70" i="14"/>
  <c r="H70" i="14"/>
  <c r="F71" i="14"/>
  <c r="H71" i="14"/>
  <c r="D72" i="14"/>
  <c r="F72" i="14" s="1"/>
  <c r="F73" i="14"/>
  <c r="H73" i="1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I197" i="4"/>
  <c r="J197" i="4" s="1"/>
  <c r="I198" i="4"/>
  <c r="J198" i="4" s="1"/>
  <c r="I199" i="4"/>
  <c r="J199" i="4" s="1"/>
  <c r="I200" i="4"/>
  <c r="J200" i="4" s="1"/>
  <c r="I201" i="4"/>
  <c r="J201" i="4" s="1"/>
  <c r="I202" i="4"/>
  <c r="J202" i="4"/>
  <c r="AI23" i="12"/>
  <c r="AN23" i="12"/>
  <c r="AP23" i="12"/>
  <c r="AR23" i="12"/>
  <c r="AT23" i="12"/>
  <c r="AV23" i="12"/>
  <c r="AX23" i="12"/>
  <c r="AZ23" i="12"/>
  <c r="BB23" i="12"/>
  <c r="BD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O23" i="12"/>
  <c r="CP23" i="12"/>
  <c r="CQ23" i="12"/>
  <c r="CR23" i="12"/>
  <c r="CS23" i="12"/>
  <c r="CT23" i="12"/>
  <c r="CU23" i="12"/>
  <c r="CV23" i="12"/>
  <c r="CW23" i="12"/>
  <c r="CX23" i="12"/>
  <c r="CY23" i="12"/>
  <c r="CZ23" i="12"/>
  <c r="DA23" i="12"/>
  <c r="DB23" i="12"/>
  <c r="DC23" i="12"/>
  <c r="DD23" i="12"/>
  <c r="DE23" i="12"/>
  <c r="DF23" i="12"/>
  <c r="DG23" i="12"/>
  <c r="DH23" i="12"/>
  <c r="DI23" i="12"/>
  <c r="DJ23" i="12"/>
  <c r="DK23" i="12"/>
  <c r="DL23" i="12"/>
  <c r="DM23" i="12"/>
  <c r="DN23" i="12"/>
  <c r="DO23" i="12"/>
  <c r="DP23" i="12"/>
  <c r="DQ23" i="12"/>
  <c r="DR23" i="12"/>
  <c r="DS23" i="12"/>
  <c r="DT23" i="12"/>
  <c r="DU23" i="12"/>
  <c r="DV23" i="12"/>
  <c r="DW23" i="12"/>
  <c r="DZ23" i="12"/>
  <c r="EA23" i="12"/>
  <c r="EB23" i="12"/>
  <c r="AI24" i="12"/>
  <c r="AN24" i="12"/>
  <c r="AP24" i="12"/>
  <c r="AR24" i="12"/>
  <c r="AT24" i="12"/>
  <c r="AV24" i="12"/>
  <c r="AX24" i="12"/>
  <c r="AZ24" i="12"/>
  <c r="BB24" i="12"/>
  <c r="BD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CL24" i="12"/>
  <c r="CM24" i="12"/>
  <c r="CN24" i="12"/>
  <c r="CO24" i="12"/>
  <c r="CP24" i="12"/>
  <c r="CQ24" i="12"/>
  <c r="CR24" i="12"/>
  <c r="CS24" i="12"/>
  <c r="CT24" i="12"/>
  <c r="CU24" i="12"/>
  <c r="CV24" i="12"/>
  <c r="CW24" i="12"/>
  <c r="CX24" i="12"/>
  <c r="CY24" i="12"/>
  <c r="CZ24" i="12"/>
  <c r="DA24" i="12"/>
  <c r="DB24" i="12"/>
  <c r="DC24" i="12"/>
  <c r="DD24" i="12"/>
  <c r="DE24" i="12"/>
  <c r="DF24" i="12"/>
  <c r="DG24" i="12"/>
  <c r="DH24" i="12"/>
  <c r="DI24" i="12"/>
  <c r="DJ24" i="12"/>
  <c r="DK24" i="12"/>
  <c r="DL24" i="12"/>
  <c r="DM24" i="12"/>
  <c r="DN24" i="12"/>
  <c r="DO24" i="12"/>
  <c r="DP24" i="12"/>
  <c r="DQ24" i="12"/>
  <c r="DR24" i="12"/>
  <c r="DS24" i="12"/>
  <c r="DT24" i="12"/>
  <c r="DU24" i="12"/>
  <c r="DV24" i="12"/>
  <c r="DW24" i="12"/>
  <c r="DZ24" i="12"/>
  <c r="EA24" i="12"/>
  <c r="EB24" i="12"/>
  <c r="E25" i="12"/>
  <c r="AR25" i="12" s="1"/>
  <c r="AQ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CL25" i="12"/>
  <c r="CM25" i="12"/>
  <c r="CN25" i="12"/>
  <c r="CO25" i="12"/>
  <c r="CP25" i="12"/>
  <c r="CQ25" i="12"/>
  <c r="CR25" i="12"/>
  <c r="CS25" i="12"/>
  <c r="CT25" i="12"/>
  <c r="CU25" i="12"/>
  <c r="CV25" i="12"/>
  <c r="CW25" i="12"/>
  <c r="CX25" i="12"/>
  <c r="CY25" i="12"/>
  <c r="CZ25" i="12"/>
  <c r="DA25" i="12"/>
  <c r="DB25" i="12"/>
  <c r="DC25" i="12"/>
  <c r="DD25" i="12"/>
  <c r="DE25" i="12"/>
  <c r="DF25" i="12"/>
  <c r="DG25" i="12"/>
  <c r="DH25" i="12"/>
  <c r="DI25" i="12"/>
  <c r="DJ25" i="12"/>
  <c r="DK25" i="12"/>
  <c r="DL25" i="12"/>
  <c r="DM25" i="12"/>
  <c r="DN25" i="12"/>
  <c r="DO25" i="12"/>
  <c r="DP25" i="12"/>
  <c r="DQ25" i="12"/>
  <c r="DR25" i="12"/>
  <c r="DS25" i="12"/>
  <c r="DT25" i="12"/>
  <c r="DU25" i="12"/>
  <c r="DV25" i="12"/>
  <c r="DW25" i="12"/>
  <c r="DZ25" i="12"/>
  <c r="EA25" i="12"/>
  <c r="EB25" i="12"/>
  <c r="AO26" i="12"/>
  <c r="AI26" i="12"/>
  <c r="AN26" i="12"/>
  <c r="AP26" i="12"/>
  <c r="AR26" i="12"/>
  <c r="AT26" i="12"/>
  <c r="AV26" i="12"/>
  <c r="AX26" i="12"/>
  <c r="AZ26" i="12"/>
  <c r="BB26" i="12"/>
  <c r="BD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CL26" i="12"/>
  <c r="CM26" i="12"/>
  <c r="CN26" i="12"/>
  <c r="CO26" i="12"/>
  <c r="CP26" i="12"/>
  <c r="CQ26" i="12"/>
  <c r="CR26" i="12"/>
  <c r="CS26" i="12"/>
  <c r="CT26" i="12"/>
  <c r="CU26" i="12"/>
  <c r="CV26" i="12"/>
  <c r="CW26" i="12"/>
  <c r="CX26" i="12"/>
  <c r="CY26" i="12"/>
  <c r="CZ26" i="12"/>
  <c r="DA26" i="12"/>
  <c r="DB26" i="12"/>
  <c r="DC26" i="12"/>
  <c r="DD26" i="12"/>
  <c r="DE26" i="12"/>
  <c r="DF26" i="12"/>
  <c r="DG26" i="12"/>
  <c r="DH26" i="12"/>
  <c r="DI26" i="12"/>
  <c r="DJ26" i="12"/>
  <c r="DK26" i="12"/>
  <c r="DL26" i="12"/>
  <c r="DM26" i="12"/>
  <c r="DN26" i="12"/>
  <c r="DO26" i="12"/>
  <c r="DP26" i="12"/>
  <c r="DQ26" i="12"/>
  <c r="DR26" i="12"/>
  <c r="DS26" i="12"/>
  <c r="DT26" i="12"/>
  <c r="DU26" i="12"/>
  <c r="DV26" i="12"/>
  <c r="DW26" i="12"/>
  <c r="DZ26" i="12"/>
  <c r="EA26" i="12"/>
  <c r="EB26" i="12"/>
  <c r="AQ27" i="12"/>
  <c r="AI27" i="12"/>
  <c r="AN27" i="12"/>
  <c r="AP27" i="12"/>
  <c r="AR27" i="12"/>
  <c r="AT27" i="12"/>
  <c r="AV27" i="12"/>
  <c r="AX27" i="12"/>
  <c r="AZ27" i="12"/>
  <c r="BB27" i="12"/>
  <c r="BD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CO27" i="12"/>
  <c r="CP27" i="12"/>
  <c r="CQ27" i="12"/>
  <c r="CR27" i="12"/>
  <c r="CS27" i="12"/>
  <c r="CT27" i="12"/>
  <c r="CU27" i="12"/>
  <c r="CV27" i="12"/>
  <c r="CW27" i="12"/>
  <c r="CX27" i="12"/>
  <c r="CY27" i="12"/>
  <c r="CZ27" i="12"/>
  <c r="DA27" i="12"/>
  <c r="DB27" i="12"/>
  <c r="DC27" i="12"/>
  <c r="DD27" i="12"/>
  <c r="DE27" i="12"/>
  <c r="DF27" i="12"/>
  <c r="DG27" i="12"/>
  <c r="DH27" i="12"/>
  <c r="DI27" i="12"/>
  <c r="DJ27" i="12"/>
  <c r="DK27" i="12"/>
  <c r="DL27" i="12"/>
  <c r="DM27" i="12"/>
  <c r="DN27" i="12"/>
  <c r="DO27" i="12"/>
  <c r="DP27" i="12"/>
  <c r="DQ27" i="12"/>
  <c r="DR27" i="12"/>
  <c r="DS27" i="12"/>
  <c r="DT27" i="12"/>
  <c r="DU27" i="12"/>
  <c r="DV27" i="12"/>
  <c r="DW27" i="12"/>
  <c r="DZ27" i="12"/>
  <c r="EA27" i="12"/>
  <c r="EB27" i="12"/>
  <c r="AO29" i="12"/>
  <c r="AI29" i="12"/>
  <c r="AN29" i="12"/>
  <c r="AP29" i="12"/>
  <c r="AR29" i="12"/>
  <c r="AT29" i="12"/>
  <c r="AV29" i="12"/>
  <c r="AX29" i="12"/>
  <c r="AZ29" i="12"/>
  <c r="BB29" i="12"/>
  <c r="BD29" i="12"/>
  <c r="BF29" i="12"/>
  <c r="BG29" i="12"/>
  <c r="BH29" i="12"/>
  <c r="BI29" i="12"/>
  <c r="BJ29" i="12"/>
  <c r="BK29" i="12"/>
  <c r="BL29" i="12"/>
  <c r="BM29" i="12"/>
  <c r="BN29" i="12"/>
  <c r="BO29" i="12"/>
  <c r="BP29" i="12"/>
  <c r="BQ29" i="12"/>
  <c r="BR29" i="12"/>
  <c r="BS29" i="12"/>
  <c r="BT29" i="12"/>
  <c r="BU29" i="12"/>
  <c r="BV29" i="12"/>
  <c r="BW29" i="12"/>
  <c r="BX29" i="12"/>
  <c r="BY29" i="12"/>
  <c r="BZ29" i="12"/>
  <c r="CA29" i="12"/>
  <c r="CB29" i="12"/>
  <c r="CC29" i="12"/>
  <c r="CD29" i="12"/>
  <c r="CE29" i="12"/>
  <c r="CF29" i="12"/>
  <c r="CG29" i="12"/>
  <c r="CH29" i="12"/>
  <c r="CI29" i="12"/>
  <c r="CJ29" i="12"/>
  <c r="CK29" i="12"/>
  <c r="CL29" i="12"/>
  <c r="CM29" i="12"/>
  <c r="CN29" i="12"/>
  <c r="CO29" i="12"/>
  <c r="CP29" i="12"/>
  <c r="CQ29" i="12"/>
  <c r="CR29" i="12"/>
  <c r="CS29" i="12"/>
  <c r="CT29" i="12"/>
  <c r="CU29" i="12"/>
  <c r="CV29" i="12"/>
  <c r="CW29" i="12"/>
  <c r="CX29" i="12"/>
  <c r="CY29" i="12"/>
  <c r="CZ29" i="12"/>
  <c r="DA29" i="12"/>
  <c r="DB29" i="12"/>
  <c r="DC29" i="12"/>
  <c r="DD29" i="12"/>
  <c r="DE29" i="12"/>
  <c r="DF29" i="12"/>
  <c r="DG29" i="12"/>
  <c r="DH29" i="12"/>
  <c r="DI29" i="12"/>
  <c r="DJ29" i="12"/>
  <c r="DK29" i="12"/>
  <c r="DL29" i="12"/>
  <c r="DM29" i="12"/>
  <c r="DN29" i="12"/>
  <c r="DO29" i="12"/>
  <c r="DP29" i="12"/>
  <c r="DQ29" i="12"/>
  <c r="DR29" i="12"/>
  <c r="DS29" i="12"/>
  <c r="DT29" i="12"/>
  <c r="DU29" i="12"/>
  <c r="DV29" i="12"/>
  <c r="DW29" i="12"/>
  <c r="DZ29" i="12"/>
  <c r="EA29" i="12"/>
  <c r="EB29" i="12"/>
  <c r="AQ30" i="12"/>
  <c r="AI30" i="12"/>
  <c r="AN30" i="12"/>
  <c r="AP30" i="12"/>
  <c r="AR30" i="12"/>
  <c r="AT30" i="12"/>
  <c r="AV30" i="12"/>
  <c r="AX30" i="12"/>
  <c r="AZ30" i="12"/>
  <c r="BB30" i="12"/>
  <c r="BD30" i="12"/>
  <c r="BF30" i="12"/>
  <c r="BG30" i="12"/>
  <c r="BH30" i="12"/>
  <c r="BI30" i="12"/>
  <c r="BJ30" i="12"/>
  <c r="BK30" i="12"/>
  <c r="BL30" i="12"/>
  <c r="BM30" i="12"/>
  <c r="BN30" i="12"/>
  <c r="BO30" i="12"/>
  <c r="BP30" i="12"/>
  <c r="BQ30" i="12"/>
  <c r="BR30" i="12"/>
  <c r="BS30" i="12"/>
  <c r="BT30" i="12"/>
  <c r="BU30" i="12"/>
  <c r="BV30" i="12"/>
  <c r="BW30" i="12"/>
  <c r="BX30" i="12"/>
  <c r="BY30" i="12"/>
  <c r="BZ30" i="12"/>
  <c r="CA30" i="12"/>
  <c r="CB30" i="12"/>
  <c r="CC30" i="12"/>
  <c r="CD30" i="12"/>
  <c r="CE30" i="12"/>
  <c r="CF30" i="12"/>
  <c r="CG30" i="12"/>
  <c r="CH30" i="12"/>
  <c r="CI30" i="12"/>
  <c r="CJ30" i="12"/>
  <c r="CK30" i="12"/>
  <c r="CL30" i="12"/>
  <c r="CM30" i="12"/>
  <c r="CN30" i="12"/>
  <c r="CO30" i="12"/>
  <c r="CP30" i="12"/>
  <c r="CQ30" i="12"/>
  <c r="CR30" i="12"/>
  <c r="CS30" i="12"/>
  <c r="CT30" i="12"/>
  <c r="CU30" i="12"/>
  <c r="CV30" i="12"/>
  <c r="CW30" i="12"/>
  <c r="CX30" i="12"/>
  <c r="CY30" i="12"/>
  <c r="CZ30" i="12"/>
  <c r="DA30" i="12"/>
  <c r="DB30" i="12"/>
  <c r="DC30" i="12"/>
  <c r="DD30" i="12"/>
  <c r="DE30" i="12"/>
  <c r="DF30" i="12"/>
  <c r="DG30" i="12"/>
  <c r="DH30" i="12"/>
  <c r="DI30" i="12"/>
  <c r="DJ30" i="12"/>
  <c r="DK30" i="12"/>
  <c r="DL30" i="12"/>
  <c r="DM30" i="12"/>
  <c r="DN30" i="12"/>
  <c r="DO30" i="12"/>
  <c r="DP30" i="12"/>
  <c r="DQ30" i="12"/>
  <c r="DR30" i="12"/>
  <c r="DS30" i="12"/>
  <c r="DT30" i="12"/>
  <c r="DU30" i="12"/>
  <c r="DV30" i="12"/>
  <c r="DW30" i="12"/>
  <c r="DZ30" i="12"/>
  <c r="EA30" i="12"/>
  <c r="EB30" i="12"/>
  <c r="AO31" i="12"/>
  <c r="AI31" i="12"/>
  <c r="AN31" i="12"/>
  <c r="AP31" i="12"/>
  <c r="AR31" i="12"/>
  <c r="AT31" i="12"/>
  <c r="AV31" i="12"/>
  <c r="AX31" i="12"/>
  <c r="AZ31" i="12"/>
  <c r="BB31" i="12"/>
  <c r="BD31" i="12"/>
  <c r="BF31" i="12"/>
  <c r="BG31" i="12"/>
  <c r="BH31" i="12"/>
  <c r="BI31" i="12"/>
  <c r="BJ31" i="12"/>
  <c r="BK31" i="12"/>
  <c r="BL31" i="12"/>
  <c r="BM31" i="12"/>
  <c r="BN31" i="12"/>
  <c r="BO31" i="12"/>
  <c r="BP31" i="12"/>
  <c r="BQ31" i="12"/>
  <c r="BR31" i="12"/>
  <c r="BS31" i="12"/>
  <c r="BT31" i="12"/>
  <c r="BU31" i="12"/>
  <c r="BV31" i="12"/>
  <c r="BW31" i="12"/>
  <c r="BX31" i="12"/>
  <c r="BY31" i="12"/>
  <c r="BZ31" i="12"/>
  <c r="CA31" i="12"/>
  <c r="CB31" i="12"/>
  <c r="CC31" i="12"/>
  <c r="CD31" i="12"/>
  <c r="CE31" i="12"/>
  <c r="CF31" i="12"/>
  <c r="CG31" i="12"/>
  <c r="CH31" i="12"/>
  <c r="CI31" i="12"/>
  <c r="CJ31" i="12"/>
  <c r="CK31" i="12"/>
  <c r="CL31" i="12"/>
  <c r="CM31" i="12"/>
  <c r="CN31" i="12"/>
  <c r="CO31" i="12"/>
  <c r="CP31" i="12"/>
  <c r="CQ31" i="12"/>
  <c r="CR31" i="12"/>
  <c r="CS31" i="12"/>
  <c r="CT31" i="12"/>
  <c r="CU31" i="12"/>
  <c r="CV31" i="12"/>
  <c r="CW31" i="12"/>
  <c r="CX31" i="12"/>
  <c r="CY31" i="12"/>
  <c r="CZ31" i="12"/>
  <c r="DA31" i="12"/>
  <c r="DB31" i="12"/>
  <c r="DC31" i="12"/>
  <c r="DD31" i="12"/>
  <c r="DE31" i="12"/>
  <c r="DF31" i="12"/>
  <c r="DG31" i="12"/>
  <c r="DH31" i="12"/>
  <c r="DI31" i="12"/>
  <c r="DJ31" i="12"/>
  <c r="DK31" i="12"/>
  <c r="DL31" i="12"/>
  <c r="DM31" i="12"/>
  <c r="DN31" i="12"/>
  <c r="DO31" i="12"/>
  <c r="DP31" i="12"/>
  <c r="DQ31" i="12"/>
  <c r="DR31" i="12"/>
  <c r="DS31" i="12"/>
  <c r="DT31" i="12"/>
  <c r="DU31" i="12"/>
  <c r="DV31" i="12"/>
  <c r="DW31" i="12"/>
  <c r="DZ31" i="12"/>
  <c r="EA31" i="12"/>
  <c r="EB31" i="12"/>
  <c r="AI32" i="12"/>
  <c r="AN32" i="12"/>
  <c r="AP32" i="12"/>
  <c r="AR32" i="12"/>
  <c r="AT32" i="12"/>
  <c r="AV32" i="12"/>
  <c r="AX32" i="12"/>
  <c r="AZ32" i="12"/>
  <c r="BB32" i="12"/>
  <c r="BD32" i="12"/>
  <c r="BF32" i="12"/>
  <c r="BG32" i="12"/>
  <c r="BH32" i="12"/>
  <c r="BI32" i="12"/>
  <c r="BJ32" i="12"/>
  <c r="BK32" i="12"/>
  <c r="BL32" i="12"/>
  <c r="BM32" i="12"/>
  <c r="BN32" i="12"/>
  <c r="BO32" i="12"/>
  <c r="BP32" i="12"/>
  <c r="BQ32" i="12"/>
  <c r="BR32" i="12"/>
  <c r="BS32" i="12"/>
  <c r="BT32" i="12"/>
  <c r="BU32" i="12"/>
  <c r="BV32" i="12"/>
  <c r="BW32" i="12"/>
  <c r="BX32" i="12"/>
  <c r="BY32" i="12"/>
  <c r="BZ32" i="12"/>
  <c r="CA32" i="12"/>
  <c r="CB32" i="12"/>
  <c r="CC32" i="12"/>
  <c r="CD32" i="12"/>
  <c r="CE32" i="12"/>
  <c r="CF32" i="12"/>
  <c r="CG32" i="12"/>
  <c r="CH32" i="12"/>
  <c r="CI32" i="12"/>
  <c r="CJ32" i="12"/>
  <c r="CK32" i="12"/>
  <c r="CL32" i="12"/>
  <c r="CM32" i="12"/>
  <c r="CN32" i="12"/>
  <c r="CO32" i="12"/>
  <c r="CP32" i="12"/>
  <c r="CQ32" i="12"/>
  <c r="CR32" i="12"/>
  <c r="CS32" i="12"/>
  <c r="CT32" i="12"/>
  <c r="CU32" i="12"/>
  <c r="CV32" i="12"/>
  <c r="CW32" i="12"/>
  <c r="CX32" i="12"/>
  <c r="CY32" i="12"/>
  <c r="CZ32" i="12"/>
  <c r="DA32" i="12"/>
  <c r="DB32" i="12"/>
  <c r="DC32" i="12"/>
  <c r="DD32" i="12"/>
  <c r="DE32" i="12"/>
  <c r="DF32" i="12"/>
  <c r="DG32" i="12"/>
  <c r="DH32" i="12"/>
  <c r="DI32" i="12"/>
  <c r="DJ32" i="12"/>
  <c r="DK32" i="12"/>
  <c r="DL32" i="12"/>
  <c r="DM32" i="12"/>
  <c r="DN32" i="12"/>
  <c r="DO32" i="12"/>
  <c r="DP32" i="12"/>
  <c r="DQ32" i="12"/>
  <c r="DR32" i="12"/>
  <c r="DS32" i="12"/>
  <c r="DT32" i="12"/>
  <c r="DU32" i="12"/>
  <c r="DV32" i="12"/>
  <c r="DW32" i="12"/>
  <c r="DZ32" i="12"/>
  <c r="EA32" i="12"/>
  <c r="EB32" i="12"/>
  <c r="AQ33" i="12"/>
  <c r="AI33" i="12"/>
  <c r="AN33" i="12"/>
  <c r="AP33" i="12"/>
  <c r="AR33" i="12"/>
  <c r="AT33" i="12"/>
  <c r="AV33" i="12"/>
  <c r="AX33" i="12"/>
  <c r="AZ33" i="12"/>
  <c r="BB33" i="12"/>
  <c r="BD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CO33" i="12"/>
  <c r="CP33" i="12"/>
  <c r="CQ33" i="12"/>
  <c r="CR33" i="12"/>
  <c r="CS33" i="12"/>
  <c r="CT33" i="12"/>
  <c r="CU33" i="12"/>
  <c r="CV33" i="12"/>
  <c r="CW33" i="12"/>
  <c r="CX33" i="12"/>
  <c r="CY33" i="12"/>
  <c r="CZ33" i="12"/>
  <c r="DA33" i="12"/>
  <c r="DB33" i="12"/>
  <c r="DC33" i="12"/>
  <c r="DD33" i="12"/>
  <c r="DE33" i="12"/>
  <c r="DF33" i="12"/>
  <c r="DG33" i="12"/>
  <c r="DH33" i="12"/>
  <c r="DI33" i="12"/>
  <c r="DJ33" i="12"/>
  <c r="DK33" i="12"/>
  <c r="DL33" i="12"/>
  <c r="DM33" i="12"/>
  <c r="DN33" i="12"/>
  <c r="DO33" i="12"/>
  <c r="DP33" i="12"/>
  <c r="DQ33" i="12"/>
  <c r="DR33" i="12"/>
  <c r="DS33" i="12"/>
  <c r="DT33" i="12"/>
  <c r="DU33" i="12"/>
  <c r="DV33" i="12"/>
  <c r="DW33" i="12"/>
  <c r="DZ33" i="12"/>
  <c r="EA33" i="12"/>
  <c r="EB33" i="12"/>
  <c r="BA34" i="12"/>
  <c r="AI34" i="12"/>
  <c r="AN34" i="12"/>
  <c r="AP34" i="12"/>
  <c r="AR34" i="12"/>
  <c r="AT34" i="12"/>
  <c r="AV34" i="12"/>
  <c r="AX34" i="12"/>
  <c r="AZ34" i="12"/>
  <c r="BB34" i="12"/>
  <c r="BD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BS34" i="12"/>
  <c r="BT34" i="12"/>
  <c r="BU34" i="12"/>
  <c r="BV34" i="12"/>
  <c r="BW34" i="12"/>
  <c r="BX34" i="12"/>
  <c r="BY34" i="12"/>
  <c r="BZ34" i="12"/>
  <c r="CA34" i="12"/>
  <c r="CB34" i="12"/>
  <c r="CC34" i="12"/>
  <c r="CD34" i="12"/>
  <c r="CE34" i="12"/>
  <c r="CF34" i="12"/>
  <c r="CG34" i="12"/>
  <c r="CH34" i="12"/>
  <c r="CI34" i="12"/>
  <c r="CJ34" i="12"/>
  <c r="CK34" i="12"/>
  <c r="CL34" i="12"/>
  <c r="CM34" i="12"/>
  <c r="CN34" i="12"/>
  <c r="CO34" i="12"/>
  <c r="CP34" i="12"/>
  <c r="CQ34" i="12"/>
  <c r="CR34" i="12"/>
  <c r="CS34" i="12"/>
  <c r="CT34" i="12"/>
  <c r="CU34" i="12"/>
  <c r="CV34" i="12"/>
  <c r="CW34" i="12"/>
  <c r="CX34" i="12"/>
  <c r="CY34" i="12"/>
  <c r="CZ34" i="12"/>
  <c r="DA34" i="12"/>
  <c r="DB34" i="12"/>
  <c r="DC34" i="12"/>
  <c r="DD34" i="12"/>
  <c r="DE34" i="12"/>
  <c r="DF34" i="12"/>
  <c r="DG34" i="12"/>
  <c r="DH34" i="12"/>
  <c r="DI34" i="12"/>
  <c r="DJ34" i="12"/>
  <c r="DK34" i="12"/>
  <c r="DL34" i="12"/>
  <c r="DM34" i="12"/>
  <c r="DN34" i="12"/>
  <c r="DO34" i="12"/>
  <c r="DP34" i="12"/>
  <c r="DQ34" i="12"/>
  <c r="DR34" i="12"/>
  <c r="DS34" i="12"/>
  <c r="DT34" i="12"/>
  <c r="DU34" i="12"/>
  <c r="DV34" i="12"/>
  <c r="DW34" i="12"/>
  <c r="DZ34" i="12"/>
  <c r="EA34" i="12"/>
  <c r="EB34" i="12"/>
  <c r="AO35" i="12"/>
  <c r="AI35" i="12"/>
  <c r="AN35" i="12"/>
  <c r="AP35" i="12"/>
  <c r="AR35" i="12"/>
  <c r="AT35" i="12"/>
  <c r="AV35" i="12"/>
  <c r="AX35" i="12"/>
  <c r="AZ35" i="12"/>
  <c r="BB35" i="12"/>
  <c r="BD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Y35" i="12"/>
  <c r="BZ35" i="12"/>
  <c r="CA35" i="12"/>
  <c r="CB35" i="12"/>
  <c r="CC35" i="12"/>
  <c r="CD35" i="12"/>
  <c r="CE35" i="12"/>
  <c r="CF35" i="12"/>
  <c r="CG35" i="12"/>
  <c r="CH35" i="12"/>
  <c r="CI35" i="12"/>
  <c r="CJ35" i="12"/>
  <c r="CK35" i="12"/>
  <c r="CL35" i="12"/>
  <c r="CM35" i="12"/>
  <c r="CN35" i="12"/>
  <c r="CO35" i="12"/>
  <c r="CP35" i="12"/>
  <c r="CQ35" i="12"/>
  <c r="CR35" i="12"/>
  <c r="CS35" i="12"/>
  <c r="CT35" i="12"/>
  <c r="CU35" i="12"/>
  <c r="CV35" i="12"/>
  <c r="CW35" i="12"/>
  <c r="CX35" i="12"/>
  <c r="CY35" i="12"/>
  <c r="CZ35" i="12"/>
  <c r="DA35" i="12"/>
  <c r="DB35" i="12"/>
  <c r="DC35" i="12"/>
  <c r="DD35" i="12"/>
  <c r="DE35" i="12"/>
  <c r="DF35" i="12"/>
  <c r="DG35" i="12"/>
  <c r="DH35" i="12"/>
  <c r="DI35" i="12"/>
  <c r="DJ35" i="12"/>
  <c r="DK35" i="12"/>
  <c r="DL35" i="12"/>
  <c r="DM35" i="12"/>
  <c r="DN35" i="12"/>
  <c r="DO35" i="12"/>
  <c r="DP35" i="12"/>
  <c r="DQ35" i="12"/>
  <c r="DR35" i="12"/>
  <c r="DS35" i="12"/>
  <c r="DT35" i="12"/>
  <c r="DU35" i="12"/>
  <c r="DV35" i="12"/>
  <c r="DW35" i="12"/>
  <c r="DZ35" i="12"/>
  <c r="EA35" i="12"/>
  <c r="EB35" i="12"/>
  <c r="AI36" i="12"/>
  <c r="AN36" i="12"/>
  <c r="AP36" i="12"/>
  <c r="AR36" i="12"/>
  <c r="AT36" i="12"/>
  <c r="AV36" i="12"/>
  <c r="AX36" i="12"/>
  <c r="AZ36" i="12"/>
  <c r="BB36" i="12"/>
  <c r="BD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BS36" i="12"/>
  <c r="BT36" i="12"/>
  <c r="BU36" i="12"/>
  <c r="BV36" i="12"/>
  <c r="BW36" i="12"/>
  <c r="BX36" i="12"/>
  <c r="BY36" i="12"/>
  <c r="BZ36" i="12"/>
  <c r="CA36" i="12"/>
  <c r="CB36" i="12"/>
  <c r="CC36" i="12"/>
  <c r="CD36" i="12"/>
  <c r="CE36" i="12"/>
  <c r="CF36" i="12"/>
  <c r="CG36" i="12"/>
  <c r="CH36" i="12"/>
  <c r="CI36" i="12"/>
  <c r="CJ36" i="12"/>
  <c r="CK36" i="12"/>
  <c r="CL36" i="12"/>
  <c r="CM36" i="12"/>
  <c r="CN36" i="12"/>
  <c r="CO36" i="12"/>
  <c r="CP36" i="12"/>
  <c r="CQ36" i="12"/>
  <c r="CR36" i="12"/>
  <c r="CS36" i="12"/>
  <c r="CT36" i="12"/>
  <c r="CU36" i="12"/>
  <c r="CV36" i="12"/>
  <c r="CW36" i="12"/>
  <c r="CX36" i="12"/>
  <c r="CY36" i="12"/>
  <c r="CZ36" i="12"/>
  <c r="DA36" i="12"/>
  <c r="DB36" i="12"/>
  <c r="DC36" i="12"/>
  <c r="DD36" i="12"/>
  <c r="DE36" i="12"/>
  <c r="DF36" i="12"/>
  <c r="DG36" i="12"/>
  <c r="DH36" i="12"/>
  <c r="DI36" i="12"/>
  <c r="DJ36" i="12"/>
  <c r="DK36" i="12"/>
  <c r="DL36" i="12"/>
  <c r="DM36" i="12"/>
  <c r="DN36" i="12"/>
  <c r="DO36" i="12"/>
  <c r="DP36" i="12"/>
  <c r="DQ36" i="12"/>
  <c r="DR36" i="12"/>
  <c r="DS36" i="12"/>
  <c r="DT36" i="12"/>
  <c r="DU36" i="12"/>
  <c r="DV36" i="12"/>
  <c r="DW36" i="12"/>
  <c r="DZ36" i="12"/>
  <c r="EA36" i="12"/>
  <c r="EB36" i="12"/>
  <c r="AI37" i="12"/>
  <c r="AN37" i="12"/>
  <c r="AP37" i="12"/>
  <c r="AR37" i="12"/>
  <c r="AT37" i="12"/>
  <c r="AV37" i="12"/>
  <c r="AX37" i="12"/>
  <c r="AZ37" i="12"/>
  <c r="BB37" i="12"/>
  <c r="BD37" i="12"/>
  <c r="BF37" i="12"/>
  <c r="BG37" i="12"/>
  <c r="BH37" i="12"/>
  <c r="BI37" i="12"/>
  <c r="BJ37" i="12"/>
  <c r="BK37" i="12"/>
  <c r="BL37" i="12"/>
  <c r="BM37" i="12"/>
  <c r="BN37" i="12"/>
  <c r="BO37" i="12"/>
  <c r="BP37" i="12"/>
  <c r="BQ37" i="12"/>
  <c r="BR37" i="12"/>
  <c r="BS37" i="12"/>
  <c r="BT37" i="12"/>
  <c r="BU37" i="12"/>
  <c r="BV37" i="12"/>
  <c r="BW37" i="12"/>
  <c r="BX37" i="12"/>
  <c r="BY37" i="12"/>
  <c r="BZ37" i="12"/>
  <c r="CA37" i="12"/>
  <c r="CB37" i="12"/>
  <c r="CC37" i="12"/>
  <c r="CD37" i="12"/>
  <c r="CE37" i="12"/>
  <c r="CF37" i="12"/>
  <c r="CG37" i="12"/>
  <c r="CH37" i="12"/>
  <c r="CI37" i="12"/>
  <c r="CJ37" i="12"/>
  <c r="CK37" i="12"/>
  <c r="CL37" i="12"/>
  <c r="CM37" i="12"/>
  <c r="CN37" i="12"/>
  <c r="CO37" i="12"/>
  <c r="CP37" i="12"/>
  <c r="CQ37" i="12"/>
  <c r="CR37" i="12"/>
  <c r="CS37" i="12"/>
  <c r="CT37" i="12"/>
  <c r="CU37" i="12"/>
  <c r="CV37" i="12"/>
  <c r="CW37" i="12"/>
  <c r="CX37" i="12"/>
  <c r="CY37" i="12"/>
  <c r="CZ37" i="12"/>
  <c r="DA37" i="12"/>
  <c r="DB37" i="12"/>
  <c r="DC37" i="12"/>
  <c r="DD37" i="12"/>
  <c r="DE37" i="12"/>
  <c r="DF37" i="12"/>
  <c r="DG37" i="12"/>
  <c r="DH37" i="12"/>
  <c r="DI37" i="12"/>
  <c r="DJ37" i="12"/>
  <c r="DK37" i="12"/>
  <c r="DL37" i="12"/>
  <c r="DM37" i="12"/>
  <c r="DN37" i="12"/>
  <c r="DO37" i="12"/>
  <c r="DP37" i="12"/>
  <c r="DQ37" i="12"/>
  <c r="DR37" i="12"/>
  <c r="DS37" i="12"/>
  <c r="DT37" i="12"/>
  <c r="DU37" i="12"/>
  <c r="DV37" i="12"/>
  <c r="DW37" i="12"/>
  <c r="DZ37" i="12"/>
  <c r="EA37" i="12"/>
  <c r="EB37" i="12"/>
  <c r="BA38" i="12"/>
  <c r="AI38" i="12"/>
  <c r="AN38" i="12"/>
  <c r="AP38" i="12"/>
  <c r="AR38" i="12"/>
  <c r="AT38" i="12"/>
  <c r="AV38" i="12"/>
  <c r="AX38" i="12"/>
  <c r="AZ38" i="12"/>
  <c r="BB38" i="12"/>
  <c r="BD38" i="12"/>
  <c r="BF38" i="12"/>
  <c r="BG38" i="12"/>
  <c r="BH38" i="12"/>
  <c r="BI38" i="12"/>
  <c r="BJ38" i="12"/>
  <c r="BK38" i="12"/>
  <c r="BL38" i="12"/>
  <c r="BM38" i="12"/>
  <c r="BN38" i="12"/>
  <c r="BO38" i="12"/>
  <c r="BP38" i="12"/>
  <c r="BQ38" i="12"/>
  <c r="BR38" i="12"/>
  <c r="BS38" i="12"/>
  <c r="BT38" i="12"/>
  <c r="BU38" i="12"/>
  <c r="BV38" i="12"/>
  <c r="BW38" i="12"/>
  <c r="BX38" i="12"/>
  <c r="BY38" i="12"/>
  <c r="BZ38" i="12"/>
  <c r="CA38" i="12"/>
  <c r="CB38" i="12"/>
  <c r="CC38" i="12"/>
  <c r="CD38" i="12"/>
  <c r="CE38" i="12"/>
  <c r="CF38" i="12"/>
  <c r="CG38" i="12"/>
  <c r="CH38" i="12"/>
  <c r="CI38" i="12"/>
  <c r="CJ38" i="12"/>
  <c r="CK38" i="12"/>
  <c r="CL38" i="12"/>
  <c r="CM38" i="12"/>
  <c r="CN38" i="12"/>
  <c r="CO38" i="12"/>
  <c r="CP38" i="12"/>
  <c r="CQ38" i="12"/>
  <c r="CR38" i="12"/>
  <c r="CS38" i="12"/>
  <c r="CT38" i="12"/>
  <c r="CU38" i="12"/>
  <c r="CV38" i="12"/>
  <c r="CW38" i="12"/>
  <c r="CX38" i="12"/>
  <c r="CY38" i="12"/>
  <c r="CZ38" i="12"/>
  <c r="DA38" i="12"/>
  <c r="DB38" i="12"/>
  <c r="DC38" i="12"/>
  <c r="DD38" i="12"/>
  <c r="DE38" i="12"/>
  <c r="DF38" i="12"/>
  <c r="DG38" i="12"/>
  <c r="DH38" i="12"/>
  <c r="DI38" i="12"/>
  <c r="DJ38" i="12"/>
  <c r="DK38" i="12"/>
  <c r="DL38" i="12"/>
  <c r="DM38" i="12"/>
  <c r="DN38" i="12"/>
  <c r="DO38" i="12"/>
  <c r="DP38" i="12"/>
  <c r="DQ38" i="12"/>
  <c r="DR38" i="12"/>
  <c r="DS38" i="12"/>
  <c r="DT38" i="12"/>
  <c r="DU38" i="12"/>
  <c r="DV38" i="12"/>
  <c r="DW38" i="12"/>
  <c r="DZ38" i="12"/>
  <c r="EA38" i="12"/>
  <c r="EB38" i="12"/>
  <c r="AI41" i="12"/>
  <c r="AN41" i="12"/>
  <c r="AP41" i="12"/>
  <c r="AR41" i="12"/>
  <c r="AT41" i="12"/>
  <c r="AV41" i="12"/>
  <c r="AX41" i="12"/>
  <c r="AZ41" i="12"/>
  <c r="BB41" i="12"/>
  <c r="BD41" i="12"/>
  <c r="BF41" i="12"/>
  <c r="BG41" i="12"/>
  <c r="BH41" i="12"/>
  <c r="BI41" i="12"/>
  <c r="BJ41" i="12"/>
  <c r="BK41" i="12"/>
  <c r="BL41" i="12"/>
  <c r="BM41" i="12"/>
  <c r="BN41" i="12"/>
  <c r="BO41" i="12"/>
  <c r="BP41" i="12"/>
  <c r="BQ41" i="12"/>
  <c r="BR41" i="12"/>
  <c r="BS41" i="12"/>
  <c r="BT41" i="12"/>
  <c r="BU41" i="12"/>
  <c r="BV41" i="12"/>
  <c r="BW41" i="12"/>
  <c r="BX41" i="12"/>
  <c r="BY41" i="12"/>
  <c r="BZ41" i="12"/>
  <c r="CA41" i="12"/>
  <c r="CB41" i="12"/>
  <c r="CC41" i="12"/>
  <c r="CD41" i="12"/>
  <c r="CE41" i="12"/>
  <c r="CF41" i="12"/>
  <c r="CG41" i="12"/>
  <c r="CH41" i="12"/>
  <c r="CI41" i="12"/>
  <c r="CJ41" i="12"/>
  <c r="CK41" i="12"/>
  <c r="CL41" i="12"/>
  <c r="CM41" i="12"/>
  <c r="CN41" i="12"/>
  <c r="CO41" i="12"/>
  <c r="CP41" i="12"/>
  <c r="CQ41" i="12"/>
  <c r="CR41" i="12"/>
  <c r="CS41" i="12"/>
  <c r="CT41" i="12"/>
  <c r="CU41" i="12"/>
  <c r="CV41" i="12"/>
  <c r="CW41" i="12"/>
  <c r="CX41" i="12"/>
  <c r="CY41" i="12"/>
  <c r="CZ41" i="12"/>
  <c r="DA41" i="12"/>
  <c r="DB41" i="12"/>
  <c r="DC41" i="12"/>
  <c r="DD41" i="12"/>
  <c r="DE41" i="12"/>
  <c r="DF41" i="12"/>
  <c r="DG41" i="12"/>
  <c r="DH41" i="12"/>
  <c r="DI41" i="12"/>
  <c r="DJ41" i="12"/>
  <c r="DK41" i="12"/>
  <c r="DL41" i="12"/>
  <c r="DM41" i="12"/>
  <c r="DN41" i="12"/>
  <c r="DO41" i="12"/>
  <c r="DP41" i="12"/>
  <c r="DQ41" i="12"/>
  <c r="DR41" i="12"/>
  <c r="DS41" i="12"/>
  <c r="DT41" i="12"/>
  <c r="DU41" i="12"/>
  <c r="DV41" i="12"/>
  <c r="DW41" i="12"/>
  <c r="DZ41" i="12"/>
  <c r="EA41" i="12"/>
  <c r="EB41" i="12"/>
  <c r="BA42" i="12"/>
  <c r="AI42" i="12"/>
  <c r="AN42" i="12"/>
  <c r="AP42" i="12"/>
  <c r="AR42" i="12"/>
  <c r="AT42" i="12"/>
  <c r="AV42" i="12"/>
  <c r="AX42" i="12"/>
  <c r="AZ42" i="12"/>
  <c r="BB42" i="12"/>
  <c r="BD42" i="12"/>
  <c r="BF42" i="12"/>
  <c r="BG42" i="12"/>
  <c r="BH42" i="12"/>
  <c r="BI42" i="12"/>
  <c r="BJ42" i="12"/>
  <c r="BK42" i="12"/>
  <c r="BL42" i="12"/>
  <c r="BM42" i="12"/>
  <c r="BN42" i="12"/>
  <c r="BO42" i="12"/>
  <c r="BP42" i="12"/>
  <c r="BQ42" i="12"/>
  <c r="BR42" i="12"/>
  <c r="BS42" i="12"/>
  <c r="BT42" i="12"/>
  <c r="BU42" i="12"/>
  <c r="BV42" i="12"/>
  <c r="BW42" i="12"/>
  <c r="BX42" i="12"/>
  <c r="BY42" i="12"/>
  <c r="BZ42" i="12"/>
  <c r="CA42" i="12"/>
  <c r="CB42" i="12"/>
  <c r="CC42" i="12"/>
  <c r="CD42" i="12"/>
  <c r="CE42" i="12"/>
  <c r="CF42" i="12"/>
  <c r="CG42" i="12"/>
  <c r="CH42" i="12"/>
  <c r="CI42" i="12"/>
  <c r="CJ42" i="12"/>
  <c r="CK42" i="12"/>
  <c r="CL42" i="12"/>
  <c r="CM42" i="12"/>
  <c r="CN42" i="12"/>
  <c r="CO42" i="12"/>
  <c r="CP42" i="12"/>
  <c r="CQ42" i="12"/>
  <c r="CR42" i="12"/>
  <c r="CS42" i="12"/>
  <c r="CT42" i="12"/>
  <c r="CU42" i="12"/>
  <c r="CV42" i="12"/>
  <c r="CW42" i="12"/>
  <c r="CX42" i="12"/>
  <c r="CY42" i="12"/>
  <c r="CZ42" i="12"/>
  <c r="DA42" i="12"/>
  <c r="DB42" i="12"/>
  <c r="DC42" i="12"/>
  <c r="DD42" i="12"/>
  <c r="DE42" i="12"/>
  <c r="DF42" i="12"/>
  <c r="DG42" i="12"/>
  <c r="DH42" i="12"/>
  <c r="DI42" i="12"/>
  <c r="DJ42" i="12"/>
  <c r="DK42" i="12"/>
  <c r="DL42" i="12"/>
  <c r="DM42" i="12"/>
  <c r="DN42" i="12"/>
  <c r="DO42" i="12"/>
  <c r="DP42" i="12"/>
  <c r="DQ42" i="12"/>
  <c r="DR42" i="12"/>
  <c r="DS42" i="12"/>
  <c r="DT42" i="12"/>
  <c r="DU42" i="12"/>
  <c r="DV42" i="12"/>
  <c r="DW42" i="12"/>
  <c r="DZ42" i="12"/>
  <c r="EA42" i="12"/>
  <c r="EB42" i="12"/>
  <c r="AO43" i="12"/>
  <c r="AI43" i="12"/>
  <c r="AN43" i="12"/>
  <c r="AP43" i="12"/>
  <c r="AR43" i="12"/>
  <c r="AT43" i="12"/>
  <c r="AV43" i="12"/>
  <c r="AX43" i="12"/>
  <c r="AZ43" i="12"/>
  <c r="BB43" i="12"/>
  <c r="BD43" i="12"/>
  <c r="BF43" i="12"/>
  <c r="BG43" i="12"/>
  <c r="BH43" i="12"/>
  <c r="BI43" i="12"/>
  <c r="BJ43" i="12"/>
  <c r="BK43" i="12"/>
  <c r="BL43" i="12"/>
  <c r="BM43" i="12"/>
  <c r="BN43" i="12"/>
  <c r="BO43" i="12"/>
  <c r="BP43" i="12"/>
  <c r="BQ43" i="12"/>
  <c r="BR43" i="12"/>
  <c r="BS43" i="12"/>
  <c r="BT43" i="12"/>
  <c r="BU43" i="12"/>
  <c r="BV43" i="12"/>
  <c r="BW43" i="12"/>
  <c r="BX43" i="12"/>
  <c r="BY43" i="12"/>
  <c r="BZ43" i="12"/>
  <c r="CA43" i="12"/>
  <c r="CB43" i="12"/>
  <c r="CC43" i="12"/>
  <c r="CD43" i="12"/>
  <c r="CE43" i="12"/>
  <c r="CF43" i="12"/>
  <c r="CG43" i="12"/>
  <c r="CH43" i="12"/>
  <c r="CI43" i="12"/>
  <c r="CJ43" i="12"/>
  <c r="CK43" i="12"/>
  <c r="CL43" i="12"/>
  <c r="CM43" i="12"/>
  <c r="CN43" i="12"/>
  <c r="CO43" i="12"/>
  <c r="CP43" i="12"/>
  <c r="CQ43" i="12"/>
  <c r="CR43" i="12"/>
  <c r="CS43" i="12"/>
  <c r="CT43" i="12"/>
  <c r="CU43" i="12"/>
  <c r="CV43" i="12"/>
  <c r="CW43" i="12"/>
  <c r="CX43" i="12"/>
  <c r="CY43" i="12"/>
  <c r="CZ43" i="12"/>
  <c r="DA43" i="12"/>
  <c r="DB43" i="12"/>
  <c r="DC43" i="12"/>
  <c r="DD43" i="12"/>
  <c r="DE43" i="12"/>
  <c r="DF43" i="12"/>
  <c r="DG43" i="12"/>
  <c r="DH43" i="12"/>
  <c r="DI43" i="12"/>
  <c r="DJ43" i="12"/>
  <c r="DK43" i="12"/>
  <c r="DL43" i="12"/>
  <c r="DM43" i="12"/>
  <c r="DN43" i="12"/>
  <c r="DO43" i="12"/>
  <c r="DP43" i="12"/>
  <c r="DQ43" i="12"/>
  <c r="DR43" i="12"/>
  <c r="DS43" i="12"/>
  <c r="DT43" i="12"/>
  <c r="DU43" i="12"/>
  <c r="DV43" i="12"/>
  <c r="DW43" i="12"/>
  <c r="DZ43" i="12"/>
  <c r="EA43" i="12"/>
  <c r="EB43" i="12"/>
  <c r="AI44" i="12"/>
  <c r="AN44" i="12"/>
  <c r="AP44" i="12"/>
  <c r="AR44" i="12"/>
  <c r="AT44" i="12"/>
  <c r="AV44" i="12"/>
  <c r="AX44" i="12"/>
  <c r="AZ44" i="12"/>
  <c r="BB44" i="12"/>
  <c r="BD44" i="12"/>
  <c r="BF44" i="12"/>
  <c r="BG44" i="12"/>
  <c r="BH44" i="12"/>
  <c r="BI44" i="12"/>
  <c r="BJ44" i="12"/>
  <c r="BK44" i="12"/>
  <c r="BL44" i="12"/>
  <c r="BM44" i="12"/>
  <c r="BN44" i="12"/>
  <c r="BO44" i="12"/>
  <c r="BP44" i="12"/>
  <c r="BQ44" i="12"/>
  <c r="BR44" i="12"/>
  <c r="BS44" i="12"/>
  <c r="BT44" i="12"/>
  <c r="BU44" i="12"/>
  <c r="BV44" i="12"/>
  <c r="BW44" i="12"/>
  <c r="BX44" i="12"/>
  <c r="BY44" i="12"/>
  <c r="BZ44" i="12"/>
  <c r="CA44" i="12"/>
  <c r="CB44" i="12"/>
  <c r="CC44" i="12"/>
  <c r="CD44" i="12"/>
  <c r="CE44" i="12"/>
  <c r="CF44" i="12"/>
  <c r="CG44" i="12"/>
  <c r="CH44" i="12"/>
  <c r="CI44" i="12"/>
  <c r="CJ44" i="12"/>
  <c r="CK44" i="12"/>
  <c r="CL44" i="12"/>
  <c r="CM44" i="12"/>
  <c r="CN44" i="12"/>
  <c r="CO44" i="12"/>
  <c r="CP44" i="12"/>
  <c r="CQ44" i="12"/>
  <c r="CR44" i="12"/>
  <c r="CS44" i="12"/>
  <c r="CT44" i="12"/>
  <c r="CU44" i="12"/>
  <c r="CV44" i="12"/>
  <c r="CW44" i="12"/>
  <c r="CX44" i="12"/>
  <c r="CY44" i="12"/>
  <c r="CZ44" i="12"/>
  <c r="DA44" i="12"/>
  <c r="DB44" i="12"/>
  <c r="DC44" i="12"/>
  <c r="DD44" i="12"/>
  <c r="DE44" i="12"/>
  <c r="DF44" i="12"/>
  <c r="DG44" i="12"/>
  <c r="DH44" i="12"/>
  <c r="DI44" i="12"/>
  <c r="DJ44" i="12"/>
  <c r="DK44" i="12"/>
  <c r="DL44" i="12"/>
  <c r="DM44" i="12"/>
  <c r="DN44" i="12"/>
  <c r="DO44" i="12"/>
  <c r="DP44" i="12"/>
  <c r="DQ44" i="12"/>
  <c r="DR44" i="12"/>
  <c r="DS44" i="12"/>
  <c r="DT44" i="12"/>
  <c r="DU44" i="12"/>
  <c r="DV44" i="12"/>
  <c r="DW44" i="12"/>
  <c r="DZ44" i="12"/>
  <c r="EA44" i="12"/>
  <c r="EB44" i="12"/>
  <c r="AQ46" i="12"/>
  <c r="AI46" i="12"/>
  <c r="AN46" i="12"/>
  <c r="AP46" i="12"/>
  <c r="AR46" i="12"/>
  <c r="AT46" i="12"/>
  <c r="AV46" i="12"/>
  <c r="AX46" i="12"/>
  <c r="AZ46" i="12"/>
  <c r="BB46" i="12"/>
  <c r="BD46" i="12"/>
  <c r="BF46" i="12"/>
  <c r="BG46" i="12"/>
  <c r="BH46" i="12"/>
  <c r="BI46" i="12"/>
  <c r="BJ46" i="12"/>
  <c r="BK46" i="12"/>
  <c r="BL46" i="12"/>
  <c r="BM46" i="12"/>
  <c r="BN46" i="12"/>
  <c r="BO46" i="12"/>
  <c r="BP46" i="12"/>
  <c r="BQ46" i="12"/>
  <c r="BR46" i="12"/>
  <c r="BS46" i="12"/>
  <c r="BT46" i="12"/>
  <c r="BU46" i="12"/>
  <c r="BV46" i="12"/>
  <c r="BW46" i="12"/>
  <c r="BX46" i="12"/>
  <c r="BY46" i="12"/>
  <c r="BZ46" i="12"/>
  <c r="CA46" i="12"/>
  <c r="CB46" i="12"/>
  <c r="CC46" i="12"/>
  <c r="CD46" i="12"/>
  <c r="CE46" i="12"/>
  <c r="CF46" i="12"/>
  <c r="CG46" i="12"/>
  <c r="CH46" i="12"/>
  <c r="CI46" i="12"/>
  <c r="CJ46" i="12"/>
  <c r="CK46" i="12"/>
  <c r="CL46" i="12"/>
  <c r="CM46" i="12"/>
  <c r="CN46" i="12"/>
  <c r="CO46" i="12"/>
  <c r="CP46" i="12"/>
  <c r="CQ46" i="12"/>
  <c r="CR46" i="12"/>
  <c r="CS46" i="12"/>
  <c r="CT46" i="12"/>
  <c r="CU46" i="12"/>
  <c r="CV46" i="12"/>
  <c r="CW46" i="12"/>
  <c r="CX46" i="12"/>
  <c r="CY46" i="12"/>
  <c r="CZ46" i="12"/>
  <c r="DA46" i="12"/>
  <c r="DB46" i="12"/>
  <c r="DC46" i="12"/>
  <c r="DD46" i="12"/>
  <c r="DE46" i="12"/>
  <c r="DF46" i="12"/>
  <c r="DG46" i="12"/>
  <c r="DH46" i="12"/>
  <c r="DI46" i="12"/>
  <c r="DJ46" i="12"/>
  <c r="DK46" i="12"/>
  <c r="DL46" i="12"/>
  <c r="DM46" i="12"/>
  <c r="DN46" i="12"/>
  <c r="DO46" i="12"/>
  <c r="DP46" i="12"/>
  <c r="DQ46" i="12"/>
  <c r="DR46" i="12"/>
  <c r="DS46" i="12"/>
  <c r="DT46" i="12"/>
  <c r="DU46" i="12"/>
  <c r="DV46" i="12"/>
  <c r="DW46" i="12"/>
  <c r="DZ46" i="12"/>
  <c r="EA46" i="12"/>
  <c r="EB46" i="12"/>
  <c r="BA47" i="12"/>
  <c r="AI47" i="12"/>
  <c r="AN47" i="12"/>
  <c r="AP47" i="12"/>
  <c r="AR47" i="12"/>
  <c r="AT47" i="12"/>
  <c r="AV47" i="12"/>
  <c r="AX47" i="12"/>
  <c r="AZ47" i="12"/>
  <c r="BB47" i="12"/>
  <c r="BD47" i="12"/>
  <c r="BF47" i="12"/>
  <c r="BG47" i="12"/>
  <c r="BH47" i="12"/>
  <c r="BI47" i="12"/>
  <c r="BJ47" i="12"/>
  <c r="BK47" i="12"/>
  <c r="BL47" i="12"/>
  <c r="BM47" i="12"/>
  <c r="BN47" i="12"/>
  <c r="BO47" i="12"/>
  <c r="BP47" i="12"/>
  <c r="BQ47" i="12"/>
  <c r="BR47" i="12"/>
  <c r="BS47" i="12"/>
  <c r="BT47" i="12"/>
  <c r="BU47" i="12"/>
  <c r="BV47" i="12"/>
  <c r="BW47" i="12"/>
  <c r="BX47" i="12"/>
  <c r="BY47" i="12"/>
  <c r="BZ47" i="12"/>
  <c r="CA47" i="12"/>
  <c r="CB47" i="12"/>
  <c r="CC47" i="12"/>
  <c r="CD47" i="12"/>
  <c r="CE47" i="12"/>
  <c r="CF47" i="12"/>
  <c r="CG47" i="12"/>
  <c r="CH47" i="12"/>
  <c r="CI47" i="12"/>
  <c r="CJ47" i="12"/>
  <c r="CK47" i="12"/>
  <c r="CL47" i="12"/>
  <c r="CM47" i="12"/>
  <c r="CN47" i="12"/>
  <c r="CO47" i="12"/>
  <c r="CP47" i="12"/>
  <c r="CQ47" i="12"/>
  <c r="CR47" i="12"/>
  <c r="CS47" i="12"/>
  <c r="CT47" i="12"/>
  <c r="CU47" i="12"/>
  <c r="CV47" i="12"/>
  <c r="CW47" i="12"/>
  <c r="CX47" i="12"/>
  <c r="CY47" i="12"/>
  <c r="CZ47" i="12"/>
  <c r="DA47" i="12"/>
  <c r="DB47" i="12"/>
  <c r="DC47" i="12"/>
  <c r="DD47" i="12"/>
  <c r="DE47" i="12"/>
  <c r="DF47" i="12"/>
  <c r="DG47" i="12"/>
  <c r="DH47" i="12"/>
  <c r="DI47" i="12"/>
  <c r="DJ47" i="12"/>
  <c r="DK47" i="12"/>
  <c r="DL47" i="12"/>
  <c r="DM47" i="12"/>
  <c r="DN47" i="12"/>
  <c r="DO47" i="12"/>
  <c r="DP47" i="12"/>
  <c r="DQ47" i="12"/>
  <c r="DR47" i="12"/>
  <c r="DS47" i="12"/>
  <c r="DT47" i="12"/>
  <c r="DU47" i="12"/>
  <c r="DV47" i="12"/>
  <c r="DW47" i="12"/>
  <c r="DZ47" i="12"/>
  <c r="EA47" i="12"/>
  <c r="EB47" i="12"/>
  <c r="AO53" i="12"/>
  <c r="AI53" i="12"/>
  <c r="AN53" i="12"/>
  <c r="AP53" i="12"/>
  <c r="AR53" i="12"/>
  <c r="AT53" i="12"/>
  <c r="AV53" i="12"/>
  <c r="AX53" i="12"/>
  <c r="AZ53" i="12"/>
  <c r="BB53" i="12"/>
  <c r="BD53" i="12"/>
  <c r="BF53" i="12"/>
  <c r="BG53" i="12"/>
  <c r="BH53" i="12"/>
  <c r="BI53" i="12"/>
  <c r="BJ53" i="12"/>
  <c r="BK53" i="12"/>
  <c r="BL53" i="12"/>
  <c r="BM53" i="12"/>
  <c r="BN53" i="12"/>
  <c r="BO53" i="12"/>
  <c r="BP53" i="12"/>
  <c r="BQ53" i="12"/>
  <c r="BR53" i="12"/>
  <c r="BS53" i="12"/>
  <c r="BT53" i="12"/>
  <c r="BU53" i="12"/>
  <c r="BV53" i="12"/>
  <c r="BW53" i="12"/>
  <c r="BX53" i="12"/>
  <c r="BY53" i="12"/>
  <c r="BZ53" i="12"/>
  <c r="CA53" i="12"/>
  <c r="CB53" i="12"/>
  <c r="CC53" i="12"/>
  <c r="CD53" i="12"/>
  <c r="CE53" i="12"/>
  <c r="CF53" i="12"/>
  <c r="CG53" i="12"/>
  <c r="CH53" i="12"/>
  <c r="CI53" i="12"/>
  <c r="CJ53" i="12"/>
  <c r="CK53" i="12"/>
  <c r="CL53" i="12"/>
  <c r="CM53" i="12"/>
  <c r="CN53" i="12"/>
  <c r="CO53" i="12"/>
  <c r="CP53" i="12"/>
  <c r="CQ53" i="12"/>
  <c r="CR53" i="12"/>
  <c r="CS53" i="12"/>
  <c r="CT53" i="12"/>
  <c r="CU53" i="12"/>
  <c r="CV53" i="12"/>
  <c r="CW53" i="12"/>
  <c r="CX53" i="12"/>
  <c r="CY53" i="12"/>
  <c r="CZ53" i="12"/>
  <c r="DA53" i="12"/>
  <c r="DB53" i="12"/>
  <c r="DC53" i="12"/>
  <c r="DD53" i="12"/>
  <c r="DE53" i="12"/>
  <c r="DF53" i="12"/>
  <c r="DG53" i="12"/>
  <c r="DH53" i="12"/>
  <c r="DI53" i="12"/>
  <c r="DJ53" i="12"/>
  <c r="DK53" i="12"/>
  <c r="DL53" i="12"/>
  <c r="DM53" i="12"/>
  <c r="DN53" i="12"/>
  <c r="DO53" i="12"/>
  <c r="DP53" i="12"/>
  <c r="DQ53" i="12"/>
  <c r="DR53" i="12"/>
  <c r="DS53" i="12"/>
  <c r="DT53" i="12"/>
  <c r="DU53" i="12"/>
  <c r="DV53" i="12"/>
  <c r="DW53" i="12"/>
  <c r="DZ53" i="12"/>
  <c r="EA53" i="12"/>
  <c r="EB53" i="12"/>
  <c r="AQ50" i="12"/>
  <c r="AI50" i="12"/>
  <c r="AN50" i="12"/>
  <c r="AP50" i="12"/>
  <c r="AR50" i="12"/>
  <c r="AT50" i="12"/>
  <c r="AV50" i="12"/>
  <c r="AX50" i="12"/>
  <c r="AZ50" i="12"/>
  <c r="BB50" i="12"/>
  <c r="BD50" i="12"/>
  <c r="BF50" i="12"/>
  <c r="BG50" i="12"/>
  <c r="BH50" i="12"/>
  <c r="BI50" i="12"/>
  <c r="BJ50" i="12"/>
  <c r="BK50" i="12"/>
  <c r="BL50" i="12"/>
  <c r="BM50" i="12"/>
  <c r="BN50" i="12"/>
  <c r="BO50" i="12"/>
  <c r="BP50" i="12"/>
  <c r="BQ50" i="12"/>
  <c r="BR50" i="12"/>
  <c r="BS50" i="12"/>
  <c r="BT50" i="12"/>
  <c r="BU50" i="12"/>
  <c r="BV50" i="12"/>
  <c r="BW50" i="12"/>
  <c r="BX50" i="12"/>
  <c r="BY50" i="12"/>
  <c r="BZ50" i="12"/>
  <c r="CA50" i="12"/>
  <c r="CB50" i="12"/>
  <c r="CC50" i="12"/>
  <c r="CD50" i="12"/>
  <c r="CE50" i="12"/>
  <c r="CF50" i="12"/>
  <c r="CG50" i="12"/>
  <c r="CH50" i="12"/>
  <c r="CI50" i="12"/>
  <c r="CJ50" i="12"/>
  <c r="CK50" i="12"/>
  <c r="CL50" i="12"/>
  <c r="CM50" i="12"/>
  <c r="CN50" i="12"/>
  <c r="CO50" i="12"/>
  <c r="CP50" i="12"/>
  <c r="CQ50" i="12"/>
  <c r="CR50" i="12"/>
  <c r="CS50" i="12"/>
  <c r="CT50" i="12"/>
  <c r="CU50" i="12"/>
  <c r="CV50" i="12"/>
  <c r="CW50" i="12"/>
  <c r="CX50" i="12"/>
  <c r="CY50" i="12"/>
  <c r="CZ50" i="12"/>
  <c r="DA50" i="12"/>
  <c r="DB50" i="12"/>
  <c r="DC50" i="12"/>
  <c r="DD50" i="12"/>
  <c r="DE50" i="12"/>
  <c r="DF50" i="12"/>
  <c r="DG50" i="12"/>
  <c r="DH50" i="12"/>
  <c r="DI50" i="12"/>
  <c r="DJ50" i="12"/>
  <c r="DK50" i="12"/>
  <c r="DL50" i="12"/>
  <c r="DM50" i="12"/>
  <c r="DN50" i="12"/>
  <c r="DO50" i="12"/>
  <c r="DP50" i="12"/>
  <c r="DQ50" i="12"/>
  <c r="DR50" i="12"/>
  <c r="DS50" i="12"/>
  <c r="DT50" i="12"/>
  <c r="DU50" i="12"/>
  <c r="DV50" i="12"/>
  <c r="DW50" i="12"/>
  <c r="DZ50" i="12"/>
  <c r="EA50" i="12"/>
  <c r="EB50" i="12"/>
  <c r="AS48" i="12"/>
  <c r="J48" i="12"/>
  <c r="CJ48" i="12" s="1"/>
  <c r="K48" i="12"/>
  <c r="DA48" i="12" s="1"/>
  <c r="AI48" i="12"/>
  <c r="AN48" i="12"/>
  <c r="AP48" i="12"/>
  <c r="AR48" i="12"/>
  <c r="AT48" i="12"/>
  <c r="AV48" i="12"/>
  <c r="AX48" i="12"/>
  <c r="AZ48" i="12"/>
  <c r="BB48" i="12"/>
  <c r="BD48" i="12"/>
  <c r="BF48" i="12"/>
  <c r="BG48" i="12"/>
  <c r="BH48" i="12"/>
  <c r="BI48" i="12"/>
  <c r="BJ48" i="12"/>
  <c r="BK48" i="12"/>
  <c r="BL48" i="12"/>
  <c r="BM48" i="12"/>
  <c r="BN48" i="12"/>
  <c r="BO48" i="12"/>
  <c r="BP48" i="12"/>
  <c r="BQ48" i="12"/>
  <c r="BR48" i="12"/>
  <c r="BS48" i="12"/>
  <c r="BT48" i="12"/>
  <c r="BU48" i="12"/>
  <c r="BV48" i="12"/>
  <c r="BW48" i="12"/>
  <c r="BX48" i="12"/>
  <c r="BY48" i="12"/>
  <c r="BZ48" i="12"/>
  <c r="CA48" i="12"/>
  <c r="CB48" i="12"/>
  <c r="CC48" i="12"/>
  <c r="CD48" i="12"/>
  <c r="CE48" i="12"/>
  <c r="CF48" i="12"/>
  <c r="CG48" i="12"/>
  <c r="CH48" i="12"/>
  <c r="CI48" i="12"/>
  <c r="DD48" i="12"/>
  <c r="DE48" i="12"/>
  <c r="DF48" i="12"/>
  <c r="DG48" i="12"/>
  <c r="DH48" i="12"/>
  <c r="DI48" i="12"/>
  <c r="DJ48" i="12"/>
  <c r="DK48" i="12"/>
  <c r="DL48" i="12"/>
  <c r="DM48" i="12"/>
  <c r="DN48" i="12"/>
  <c r="DO48" i="12"/>
  <c r="DP48" i="12"/>
  <c r="DQ48" i="12"/>
  <c r="DR48" i="12"/>
  <c r="DS48" i="12"/>
  <c r="DT48" i="12"/>
  <c r="DU48" i="12"/>
  <c r="DV48" i="12"/>
  <c r="DW48" i="12"/>
  <c r="DZ48" i="12"/>
  <c r="EA48" i="12"/>
  <c r="EB48" i="12"/>
  <c r="O54" i="12"/>
  <c r="P54" i="12"/>
  <c r="R54" i="12"/>
  <c r="T54" i="12"/>
  <c r="V54" i="12"/>
  <c r="X54" i="12"/>
  <c r="Z54" i="12"/>
  <c r="AB54" i="12"/>
  <c r="AD54" i="12"/>
  <c r="AF54" i="12"/>
  <c r="DZ54" i="12"/>
  <c r="EB54" i="12"/>
  <c r="AO55" i="12"/>
  <c r="AI55" i="12"/>
  <c r="AN55" i="12"/>
  <c r="AP55" i="12"/>
  <c r="AR55" i="12"/>
  <c r="AT55" i="12"/>
  <c r="AV55" i="12"/>
  <c r="AX55" i="12"/>
  <c r="AZ55" i="12"/>
  <c r="BB55" i="12"/>
  <c r="BD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CM55" i="12"/>
  <c r="CN55" i="12"/>
  <c r="CO55" i="12"/>
  <c r="CP55" i="12"/>
  <c r="CQ55" i="12"/>
  <c r="CR55" i="12"/>
  <c r="CS55" i="12"/>
  <c r="CT55" i="12"/>
  <c r="CU55" i="12"/>
  <c r="CV55" i="12"/>
  <c r="CW55" i="12"/>
  <c r="CX55" i="12"/>
  <c r="CY55" i="12"/>
  <c r="CZ55" i="12"/>
  <c r="DA55" i="12"/>
  <c r="DB55" i="12"/>
  <c r="DC55" i="12"/>
  <c r="DD55" i="12"/>
  <c r="DE55" i="12"/>
  <c r="DF55" i="12"/>
  <c r="DG55" i="12"/>
  <c r="DH55" i="12"/>
  <c r="DI55" i="12"/>
  <c r="DJ55" i="12"/>
  <c r="DK55" i="12"/>
  <c r="DL55" i="12"/>
  <c r="DM55" i="12"/>
  <c r="DN55" i="12"/>
  <c r="DO55" i="12"/>
  <c r="DP55" i="12"/>
  <c r="DQ55" i="12"/>
  <c r="DR55" i="12"/>
  <c r="DS55" i="12"/>
  <c r="DT55" i="12"/>
  <c r="DU55" i="12"/>
  <c r="DV55" i="12"/>
  <c r="DW55" i="12"/>
  <c r="DZ55" i="12"/>
  <c r="EA55" i="12"/>
  <c r="EB55" i="12"/>
  <c r="AQ56" i="12"/>
  <c r="AI56" i="12"/>
  <c r="AN56" i="12"/>
  <c r="AP56" i="12"/>
  <c r="AR56" i="12"/>
  <c r="AT56" i="12"/>
  <c r="AV56" i="12"/>
  <c r="AX56" i="12"/>
  <c r="AZ56" i="12"/>
  <c r="BB56" i="12"/>
  <c r="BD56" i="12"/>
  <c r="BF56" i="12"/>
  <c r="BG56" i="12"/>
  <c r="BH56" i="12"/>
  <c r="BI56" i="12"/>
  <c r="BJ56" i="12"/>
  <c r="BK56" i="12"/>
  <c r="BL56" i="12"/>
  <c r="BM56" i="12"/>
  <c r="BN56" i="12"/>
  <c r="BO56" i="12"/>
  <c r="BP56" i="12"/>
  <c r="BQ56" i="12"/>
  <c r="BR56" i="12"/>
  <c r="BS56" i="12"/>
  <c r="BT56" i="12"/>
  <c r="BU56" i="12"/>
  <c r="BV56" i="12"/>
  <c r="BW56" i="12"/>
  <c r="BX56" i="12"/>
  <c r="BY56" i="12"/>
  <c r="BZ56" i="12"/>
  <c r="CA56" i="12"/>
  <c r="CB56" i="12"/>
  <c r="CC56" i="12"/>
  <c r="CD56" i="12"/>
  <c r="CE56" i="12"/>
  <c r="CF56" i="12"/>
  <c r="CG56" i="12"/>
  <c r="CH56" i="12"/>
  <c r="CI56" i="12"/>
  <c r="CJ56" i="12"/>
  <c r="CK56" i="12"/>
  <c r="CL56" i="12"/>
  <c r="CM56" i="12"/>
  <c r="CN56" i="12"/>
  <c r="CO56" i="12"/>
  <c r="CP56" i="12"/>
  <c r="CQ56" i="12"/>
  <c r="CR56" i="12"/>
  <c r="CS56" i="12"/>
  <c r="CT56" i="12"/>
  <c r="CU56" i="12"/>
  <c r="CV56" i="12"/>
  <c r="CW56" i="12"/>
  <c r="CX56" i="12"/>
  <c r="CY56" i="12"/>
  <c r="CZ56" i="12"/>
  <c r="DA56" i="12"/>
  <c r="DB56" i="12"/>
  <c r="DC56" i="12"/>
  <c r="DD56" i="12"/>
  <c r="DE56" i="12"/>
  <c r="DF56" i="12"/>
  <c r="DG56" i="12"/>
  <c r="DH56" i="12"/>
  <c r="DI56" i="12"/>
  <c r="DJ56" i="12"/>
  <c r="DK56" i="12"/>
  <c r="DL56" i="12"/>
  <c r="DM56" i="12"/>
  <c r="DN56" i="12"/>
  <c r="DO56" i="12"/>
  <c r="DP56" i="12"/>
  <c r="DQ56" i="12"/>
  <c r="DR56" i="12"/>
  <c r="DS56" i="12"/>
  <c r="DT56" i="12"/>
  <c r="DU56" i="12"/>
  <c r="DV56" i="12"/>
  <c r="DW56" i="12"/>
  <c r="DZ56" i="12"/>
  <c r="EA56" i="12"/>
  <c r="EB56" i="12"/>
  <c r="AQ57" i="12"/>
  <c r="AI57" i="12"/>
  <c r="AN57" i="12"/>
  <c r="AP57" i="12"/>
  <c r="AR57" i="12"/>
  <c r="AT57" i="12"/>
  <c r="AV57" i="12"/>
  <c r="AX57" i="12"/>
  <c r="AZ57" i="12"/>
  <c r="BB57" i="12"/>
  <c r="BD57" i="12"/>
  <c r="BF57" i="12"/>
  <c r="BG57" i="12"/>
  <c r="BH57" i="12"/>
  <c r="BI57" i="12"/>
  <c r="BJ57" i="12"/>
  <c r="BK57" i="12"/>
  <c r="BL57" i="12"/>
  <c r="BM57" i="12"/>
  <c r="BN57" i="12"/>
  <c r="BO57" i="12"/>
  <c r="BP57" i="12"/>
  <c r="BQ57" i="12"/>
  <c r="BR57" i="12"/>
  <c r="BS57" i="12"/>
  <c r="BT57" i="12"/>
  <c r="BU57" i="12"/>
  <c r="BV57" i="12"/>
  <c r="BW57" i="12"/>
  <c r="BX57" i="12"/>
  <c r="BY57" i="12"/>
  <c r="BZ57" i="12"/>
  <c r="CA57" i="12"/>
  <c r="CB57" i="12"/>
  <c r="CC57" i="12"/>
  <c r="CD57" i="12"/>
  <c r="CE57" i="12"/>
  <c r="CF57" i="12"/>
  <c r="CG57" i="12"/>
  <c r="CH57" i="12"/>
  <c r="CI57" i="12"/>
  <c r="CJ57" i="12"/>
  <c r="CK57" i="12"/>
  <c r="CL57" i="12"/>
  <c r="CM57" i="12"/>
  <c r="CN57" i="12"/>
  <c r="CO57" i="12"/>
  <c r="CP57" i="12"/>
  <c r="CQ57" i="12"/>
  <c r="CR57" i="12"/>
  <c r="CS57" i="12"/>
  <c r="CT57" i="12"/>
  <c r="CU57" i="12"/>
  <c r="CV57" i="12"/>
  <c r="CW57" i="12"/>
  <c r="CX57" i="12"/>
  <c r="CY57" i="12"/>
  <c r="CZ57" i="12"/>
  <c r="DA57" i="12"/>
  <c r="DB57" i="12"/>
  <c r="DC57" i="12"/>
  <c r="DD57" i="12"/>
  <c r="DE57" i="12"/>
  <c r="DF57" i="12"/>
  <c r="DG57" i="12"/>
  <c r="DH57" i="12"/>
  <c r="DI57" i="12"/>
  <c r="DJ57" i="12"/>
  <c r="DK57" i="12"/>
  <c r="DL57" i="12"/>
  <c r="DM57" i="12"/>
  <c r="DN57" i="12"/>
  <c r="DO57" i="12"/>
  <c r="DP57" i="12"/>
  <c r="DQ57" i="12"/>
  <c r="DR57" i="12"/>
  <c r="DS57" i="12"/>
  <c r="DT57" i="12"/>
  <c r="DU57" i="12"/>
  <c r="DV57" i="12"/>
  <c r="DW57" i="12"/>
  <c r="DZ57" i="12"/>
  <c r="EA57" i="12"/>
  <c r="EB57" i="12"/>
  <c r="AO58" i="12"/>
  <c r="AI58" i="12"/>
  <c r="AN58" i="12"/>
  <c r="AP58" i="12"/>
  <c r="AR58" i="12"/>
  <c r="AT58" i="12"/>
  <c r="AV58" i="12"/>
  <c r="AX58" i="12"/>
  <c r="AZ58" i="12"/>
  <c r="BB58" i="12"/>
  <c r="BD58" i="12"/>
  <c r="BF58" i="12"/>
  <c r="BG58" i="12"/>
  <c r="BH58" i="12"/>
  <c r="BI58" i="12"/>
  <c r="BJ58" i="12"/>
  <c r="BK58" i="12"/>
  <c r="BL58" i="12"/>
  <c r="BM58" i="12"/>
  <c r="BN58" i="12"/>
  <c r="BO58" i="12"/>
  <c r="BP58" i="12"/>
  <c r="BQ58" i="12"/>
  <c r="BR58" i="12"/>
  <c r="BS58" i="12"/>
  <c r="BT58" i="12"/>
  <c r="BU58" i="12"/>
  <c r="BV58" i="12"/>
  <c r="BW58" i="12"/>
  <c r="BX58" i="12"/>
  <c r="BY58" i="12"/>
  <c r="BZ58" i="12"/>
  <c r="CA58" i="12"/>
  <c r="CB58" i="12"/>
  <c r="CC58" i="12"/>
  <c r="CD58" i="12"/>
  <c r="CE58" i="12"/>
  <c r="CF58" i="12"/>
  <c r="CG58" i="12"/>
  <c r="CH58" i="12"/>
  <c r="CI58" i="12"/>
  <c r="CJ58" i="12"/>
  <c r="CK58" i="12"/>
  <c r="CL58" i="12"/>
  <c r="CM58" i="12"/>
  <c r="CN58" i="12"/>
  <c r="CO58" i="12"/>
  <c r="CP58" i="12"/>
  <c r="CQ58" i="12"/>
  <c r="CR58" i="12"/>
  <c r="CS58" i="12"/>
  <c r="CT58" i="12"/>
  <c r="CU58" i="12"/>
  <c r="CV58" i="12"/>
  <c r="CW58" i="12"/>
  <c r="CX58" i="12"/>
  <c r="CY58" i="12"/>
  <c r="CZ58" i="12"/>
  <c r="DA58" i="12"/>
  <c r="DB58" i="12"/>
  <c r="DC58" i="12"/>
  <c r="DD58" i="12"/>
  <c r="DE58" i="12"/>
  <c r="DF58" i="12"/>
  <c r="DG58" i="12"/>
  <c r="DH58" i="12"/>
  <c r="DI58" i="12"/>
  <c r="DJ58" i="12"/>
  <c r="DK58" i="12"/>
  <c r="DL58" i="12"/>
  <c r="DM58" i="12"/>
  <c r="DN58" i="12"/>
  <c r="DO58" i="12"/>
  <c r="DP58" i="12"/>
  <c r="DQ58" i="12"/>
  <c r="DR58" i="12"/>
  <c r="DS58" i="12"/>
  <c r="DT58" i="12"/>
  <c r="DU58" i="12"/>
  <c r="DV58" i="12"/>
  <c r="DW58" i="12"/>
  <c r="DZ58" i="12"/>
  <c r="EA58" i="12"/>
  <c r="EB58" i="12"/>
  <c r="AO59" i="12"/>
  <c r="AI59" i="12"/>
  <c r="AN59" i="12"/>
  <c r="AP59" i="12"/>
  <c r="AR59" i="12"/>
  <c r="AT59" i="12"/>
  <c r="AV59" i="12"/>
  <c r="AX59" i="12"/>
  <c r="AZ59" i="12"/>
  <c r="BB59" i="12"/>
  <c r="BD59" i="12"/>
  <c r="BF59" i="12"/>
  <c r="BG59" i="12"/>
  <c r="BH59" i="12"/>
  <c r="BI59" i="12"/>
  <c r="BJ59" i="12"/>
  <c r="BK59" i="12"/>
  <c r="BL59" i="12"/>
  <c r="BM59" i="12"/>
  <c r="BN59" i="12"/>
  <c r="BO59" i="12"/>
  <c r="BP59" i="12"/>
  <c r="BQ59" i="12"/>
  <c r="BR59" i="12"/>
  <c r="BS59" i="12"/>
  <c r="BT59" i="12"/>
  <c r="BU59" i="12"/>
  <c r="BV59" i="12"/>
  <c r="BW59" i="12"/>
  <c r="BX59" i="12"/>
  <c r="BY59" i="12"/>
  <c r="BZ59" i="12"/>
  <c r="CA59" i="12"/>
  <c r="CB59" i="12"/>
  <c r="CC59" i="12"/>
  <c r="CD59" i="12"/>
  <c r="CE59" i="12"/>
  <c r="CF59" i="12"/>
  <c r="CG59" i="12"/>
  <c r="CH59" i="12"/>
  <c r="CI59" i="12"/>
  <c r="CJ59" i="12"/>
  <c r="CK59" i="12"/>
  <c r="CL59" i="12"/>
  <c r="CM59" i="12"/>
  <c r="CN59" i="12"/>
  <c r="CO59" i="12"/>
  <c r="CP59" i="12"/>
  <c r="CQ59" i="12"/>
  <c r="CR59" i="12"/>
  <c r="CS59" i="12"/>
  <c r="CT59" i="12"/>
  <c r="CU59" i="12"/>
  <c r="CV59" i="12"/>
  <c r="CW59" i="12"/>
  <c r="CX59" i="12"/>
  <c r="CY59" i="12"/>
  <c r="CZ59" i="12"/>
  <c r="DA59" i="12"/>
  <c r="DB59" i="12"/>
  <c r="DC59" i="12"/>
  <c r="DD59" i="12"/>
  <c r="DE59" i="12"/>
  <c r="DF59" i="12"/>
  <c r="DG59" i="12"/>
  <c r="DH59" i="12"/>
  <c r="DI59" i="12"/>
  <c r="DJ59" i="12"/>
  <c r="DK59" i="12"/>
  <c r="DL59" i="12"/>
  <c r="DM59" i="12"/>
  <c r="DN59" i="12"/>
  <c r="DO59" i="12"/>
  <c r="DP59" i="12"/>
  <c r="DQ59" i="12"/>
  <c r="DR59" i="12"/>
  <c r="DS59" i="12"/>
  <c r="DT59" i="12"/>
  <c r="DU59" i="12"/>
  <c r="DV59" i="12"/>
  <c r="DW59" i="12"/>
  <c r="DZ59" i="12"/>
  <c r="EA59" i="12"/>
  <c r="EB59" i="12"/>
  <c r="AQ60" i="12"/>
  <c r="AI60" i="12"/>
  <c r="AN60" i="12"/>
  <c r="AP60" i="12"/>
  <c r="AR60" i="12"/>
  <c r="AT60" i="12"/>
  <c r="AV60" i="12"/>
  <c r="AX60" i="12"/>
  <c r="AZ60" i="12"/>
  <c r="BB60" i="12"/>
  <c r="BD60" i="12"/>
  <c r="BF60" i="12"/>
  <c r="BG60" i="12"/>
  <c r="BH60" i="12"/>
  <c r="BI60" i="12"/>
  <c r="BJ60" i="12"/>
  <c r="BK60" i="12"/>
  <c r="BL60" i="12"/>
  <c r="BM60" i="12"/>
  <c r="BN60" i="12"/>
  <c r="BO60" i="12"/>
  <c r="BP60" i="12"/>
  <c r="BQ60" i="12"/>
  <c r="BR60" i="12"/>
  <c r="BS60" i="12"/>
  <c r="BT60" i="12"/>
  <c r="BU60" i="12"/>
  <c r="BV60" i="12"/>
  <c r="BW60" i="12"/>
  <c r="BX60" i="12"/>
  <c r="BY60" i="12"/>
  <c r="BZ60" i="12"/>
  <c r="CA60" i="12"/>
  <c r="CB60" i="12"/>
  <c r="CC60" i="12"/>
  <c r="CD60" i="12"/>
  <c r="CE60" i="12"/>
  <c r="CF60" i="12"/>
  <c r="CG60" i="12"/>
  <c r="CH60" i="12"/>
  <c r="CI60" i="12"/>
  <c r="CJ60" i="12"/>
  <c r="CK60" i="12"/>
  <c r="CL60" i="12"/>
  <c r="CM60" i="12"/>
  <c r="CN60" i="12"/>
  <c r="CO60" i="12"/>
  <c r="CP60" i="12"/>
  <c r="CQ60" i="12"/>
  <c r="CR60" i="12"/>
  <c r="CS60" i="12"/>
  <c r="CT60" i="12"/>
  <c r="CU60" i="12"/>
  <c r="CV60" i="12"/>
  <c r="CW60" i="12"/>
  <c r="CX60" i="12"/>
  <c r="CY60" i="12"/>
  <c r="CZ60" i="12"/>
  <c r="DA60" i="12"/>
  <c r="DB60" i="12"/>
  <c r="DC60" i="12"/>
  <c r="DD60" i="12"/>
  <c r="DE60" i="12"/>
  <c r="DF60" i="12"/>
  <c r="DG60" i="12"/>
  <c r="DH60" i="12"/>
  <c r="DI60" i="12"/>
  <c r="DJ60" i="12"/>
  <c r="DK60" i="12"/>
  <c r="DL60" i="12"/>
  <c r="DM60" i="12"/>
  <c r="DN60" i="12"/>
  <c r="DO60" i="12"/>
  <c r="DP60" i="12"/>
  <c r="DQ60" i="12"/>
  <c r="DR60" i="12"/>
  <c r="DS60" i="12"/>
  <c r="DT60" i="12"/>
  <c r="DU60" i="12"/>
  <c r="DV60" i="12"/>
  <c r="DW60" i="12"/>
  <c r="DZ60" i="12"/>
  <c r="EA60" i="12"/>
  <c r="EB60" i="12"/>
  <c r="AQ61" i="12"/>
  <c r="AI61" i="12"/>
  <c r="AN61" i="12"/>
  <c r="AP61" i="12"/>
  <c r="AR61" i="12"/>
  <c r="AT61" i="12"/>
  <c r="AV61" i="12"/>
  <c r="AX61" i="12"/>
  <c r="AZ61" i="12"/>
  <c r="BB61" i="12"/>
  <c r="BD61" i="12"/>
  <c r="BF61" i="12"/>
  <c r="BG61" i="12"/>
  <c r="BH61" i="12"/>
  <c r="BI61" i="12"/>
  <c r="BJ61" i="12"/>
  <c r="BK61" i="12"/>
  <c r="BL61" i="12"/>
  <c r="BM61" i="12"/>
  <c r="BN61" i="12"/>
  <c r="BO61" i="12"/>
  <c r="BP61" i="12"/>
  <c r="BQ61" i="12"/>
  <c r="BR61" i="12"/>
  <c r="BS61" i="12"/>
  <c r="BT61" i="12"/>
  <c r="BU61" i="12"/>
  <c r="BV61" i="12"/>
  <c r="BW61" i="12"/>
  <c r="BX61" i="12"/>
  <c r="BY61" i="12"/>
  <c r="BZ61" i="12"/>
  <c r="CA61" i="12"/>
  <c r="CB61" i="12"/>
  <c r="CC61" i="12"/>
  <c r="CD61" i="12"/>
  <c r="CE61" i="12"/>
  <c r="CF61" i="12"/>
  <c r="CG61" i="12"/>
  <c r="CH61" i="12"/>
  <c r="CI61" i="12"/>
  <c r="CJ61" i="12"/>
  <c r="CK61" i="12"/>
  <c r="CL61" i="12"/>
  <c r="CM61" i="12"/>
  <c r="CN61" i="12"/>
  <c r="CO61" i="12"/>
  <c r="CP61" i="12"/>
  <c r="CQ61" i="12"/>
  <c r="CR61" i="12"/>
  <c r="CS61" i="12"/>
  <c r="CT61" i="12"/>
  <c r="CU61" i="12"/>
  <c r="CV61" i="12"/>
  <c r="CW61" i="12"/>
  <c r="CX61" i="12"/>
  <c r="CY61" i="12"/>
  <c r="CZ61" i="12"/>
  <c r="DA61" i="12"/>
  <c r="DB61" i="12"/>
  <c r="DC61" i="12"/>
  <c r="DD61" i="12"/>
  <c r="DE61" i="12"/>
  <c r="DF61" i="12"/>
  <c r="DG61" i="12"/>
  <c r="DH61" i="12"/>
  <c r="DI61" i="12"/>
  <c r="DJ61" i="12"/>
  <c r="DK61" i="12"/>
  <c r="DL61" i="12"/>
  <c r="DM61" i="12"/>
  <c r="DN61" i="12"/>
  <c r="DO61" i="12"/>
  <c r="DP61" i="12"/>
  <c r="DQ61" i="12"/>
  <c r="DR61" i="12"/>
  <c r="DS61" i="12"/>
  <c r="DT61" i="12"/>
  <c r="DU61" i="12"/>
  <c r="DV61" i="12"/>
  <c r="DW61" i="12"/>
  <c r="DZ61" i="12"/>
  <c r="EA61" i="12"/>
  <c r="EB61" i="12"/>
  <c r="AO62" i="12"/>
  <c r="AI62" i="12"/>
  <c r="AN62" i="12"/>
  <c r="AP62" i="12"/>
  <c r="AR62" i="12"/>
  <c r="AT62" i="12"/>
  <c r="AV62" i="12"/>
  <c r="AX62" i="12"/>
  <c r="AZ62" i="12"/>
  <c r="BB62" i="12"/>
  <c r="BD62" i="12"/>
  <c r="BF62" i="12"/>
  <c r="BG62" i="12"/>
  <c r="BH62" i="12"/>
  <c r="BI62" i="12"/>
  <c r="BJ62" i="12"/>
  <c r="BK62" i="12"/>
  <c r="BL62" i="12"/>
  <c r="BM62" i="12"/>
  <c r="BN62" i="12"/>
  <c r="BO62" i="12"/>
  <c r="BP62" i="12"/>
  <c r="BQ62" i="12"/>
  <c r="BR62" i="12"/>
  <c r="BS62" i="12"/>
  <c r="BT62" i="12"/>
  <c r="BU62" i="12"/>
  <c r="BV62" i="12"/>
  <c r="BW62" i="12"/>
  <c r="BX62" i="12"/>
  <c r="BY62" i="12"/>
  <c r="BZ62" i="12"/>
  <c r="CA62" i="12"/>
  <c r="CB62" i="12"/>
  <c r="CC62" i="12"/>
  <c r="CD62" i="12"/>
  <c r="CE62" i="12"/>
  <c r="CF62" i="12"/>
  <c r="CG62" i="12"/>
  <c r="CH62" i="12"/>
  <c r="CI62" i="12"/>
  <c r="CJ62" i="12"/>
  <c r="CK62" i="12"/>
  <c r="CL62" i="12"/>
  <c r="CM62" i="12"/>
  <c r="CN62" i="12"/>
  <c r="CO62" i="12"/>
  <c r="CP62" i="12"/>
  <c r="CQ62" i="12"/>
  <c r="CR62" i="12"/>
  <c r="CS62" i="12"/>
  <c r="CT62" i="12"/>
  <c r="CU62" i="12"/>
  <c r="CV62" i="12"/>
  <c r="CW62" i="12"/>
  <c r="CX62" i="12"/>
  <c r="CY62" i="12"/>
  <c r="CZ62" i="12"/>
  <c r="DA62" i="12"/>
  <c r="DB62" i="12"/>
  <c r="DC62" i="12"/>
  <c r="DD62" i="12"/>
  <c r="DE62" i="12"/>
  <c r="DF62" i="12"/>
  <c r="DG62" i="12"/>
  <c r="DH62" i="12"/>
  <c r="DI62" i="12"/>
  <c r="DJ62" i="12"/>
  <c r="DK62" i="12"/>
  <c r="DL62" i="12"/>
  <c r="DM62" i="12"/>
  <c r="DN62" i="12"/>
  <c r="DO62" i="12"/>
  <c r="DP62" i="12"/>
  <c r="DQ62" i="12"/>
  <c r="DR62" i="12"/>
  <c r="DS62" i="12"/>
  <c r="DT62" i="12"/>
  <c r="DU62" i="12"/>
  <c r="DV62" i="12"/>
  <c r="DW62" i="12"/>
  <c r="DZ62" i="12"/>
  <c r="EA62" i="12"/>
  <c r="EB62" i="12"/>
  <c r="AO63" i="12"/>
  <c r="AI63" i="12"/>
  <c r="AN63" i="12"/>
  <c r="AP63" i="12"/>
  <c r="AR63" i="12"/>
  <c r="AT63" i="12"/>
  <c r="AV63" i="12"/>
  <c r="AX63" i="12"/>
  <c r="AZ63" i="12"/>
  <c r="BB63" i="12"/>
  <c r="BD63" i="12"/>
  <c r="BF63" i="12"/>
  <c r="BG63" i="12"/>
  <c r="BH63" i="12"/>
  <c r="BI63" i="12"/>
  <c r="BJ63" i="12"/>
  <c r="BK63" i="12"/>
  <c r="BL63" i="12"/>
  <c r="BM63" i="12"/>
  <c r="BN63" i="12"/>
  <c r="BO63" i="12"/>
  <c r="BP63" i="12"/>
  <c r="BQ63" i="12"/>
  <c r="BR63" i="12"/>
  <c r="BS63" i="12"/>
  <c r="BT63" i="12"/>
  <c r="BU63" i="12"/>
  <c r="BV63" i="12"/>
  <c r="BW63" i="12"/>
  <c r="BX63" i="12"/>
  <c r="BY63" i="12"/>
  <c r="BZ63" i="12"/>
  <c r="CA63" i="12"/>
  <c r="CB63" i="12"/>
  <c r="CC63" i="12"/>
  <c r="CD63" i="12"/>
  <c r="CE63" i="12"/>
  <c r="CF63" i="12"/>
  <c r="CG63" i="12"/>
  <c r="CH63" i="12"/>
  <c r="CI63" i="12"/>
  <c r="CJ63" i="12"/>
  <c r="CK63" i="12"/>
  <c r="CL63" i="12"/>
  <c r="CM63" i="12"/>
  <c r="CN63" i="12"/>
  <c r="CO63" i="12"/>
  <c r="CP63" i="12"/>
  <c r="CQ63" i="12"/>
  <c r="CR63" i="12"/>
  <c r="CS63" i="12"/>
  <c r="CT63" i="12"/>
  <c r="CU63" i="12"/>
  <c r="CV63" i="12"/>
  <c r="CW63" i="12"/>
  <c r="CX63" i="12"/>
  <c r="CY63" i="12"/>
  <c r="CZ63" i="12"/>
  <c r="DA63" i="12"/>
  <c r="DB63" i="12"/>
  <c r="DC63" i="12"/>
  <c r="DD63" i="12"/>
  <c r="DE63" i="12"/>
  <c r="DF63" i="12"/>
  <c r="DG63" i="12"/>
  <c r="DH63" i="12"/>
  <c r="DI63" i="12"/>
  <c r="DJ63" i="12"/>
  <c r="DK63" i="12"/>
  <c r="DL63" i="12"/>
  <c r="DM63" i="12"/>
  <c r="DN63" i="12"/>
  <c r="DO63" i="12"/>
  <c r="DP63" i="12"/>
  <c r="DQ63" i="12"/>
  <c r="DR63" i="12"/>
  <c r="DS63" i="12"/>
  <c r="DT63" i="12"/>
  <c r="DU63" i="12"/>
  <c r="DV63" i="12"/>
  <c r="DW63" i="12"/>
  <c r="DZ63" i="12"/>
  <c r="EA63" i="12"/>
  <c r="EB63" i="12"/>
  <c r="AQ64" i="12"/>
  <c r="AI64" i="12"/>
  <c r="AN64" i="12"/>
  <c r="AP64" i="12"/>
  <c r="AR64" i="12"/>
  <c r="AT64" i="12"/>
  <c r="AV64" i="12"/>
  <c r="AX64" i="12"/>
  <c r="AZ64" i="12"/>
  <c r="BB64" i="12"/>
  <c r="BD64" i="12"/>
  <c r="BF64" i="12"/>
  <c r="BG64" i="12"/>
  <c r="BH64" i="12"/>
  <c r="BI64" i="12"/>
  <c r="BJ64" i="12"/>
  <c r="BK64" i="12"/>
  <c r="BL64" i="12"/>
  <c r="BM64" i="12"/>
  <c r="BN64" i="12"/>
  <c r="BO64" i="12"/>
  <c r="BP64" i="12"/>
  <c r="BQ64" i="12"/>
  <c r="BR64" i="12"/>
  <c r="BS64" i="12"/>
  <c r="BT64" i="12"/>
  <c r="BU64" i="12"/>
  <c r="BV64" i="12"/>
  <c r="BW64" i="12"/>
  <c r="BX64" i="12"/>
  <c r="BY64" i="12"/>
  <c r="BZ64" i="12"/>
  <c r="CA64" i="12"/>
  <c r="CB64" i="12"/>
  <c r="CC64" i="12"/>
  <c r="CD64" i="12"/>
  <c r="CE64" i="12"/>
  <c r="CF64" i="12"/>
  <c r="CG64" i="12"/>
  <c r="CH64" i="12"/>
  <c r="CI64" i="12"/>
  <c r="CJ64" i="12"/>
  <c r="CK64" i="12"/>
  <c r="CL64" i="12"/>
  <c r="CM64" i="12"/>
  <c r="CN64" i="12"/>
  <c r="CO64" i="12"/>
  <c r="CP64" i="12"/>
  <c r="CQ64" i="12"/>
  <c r="CR64" i="12"/>
  <c r="CS64" i="12"/>
  <c r="CT64" i="12"/>
  <c r="CU64" i="12"/>
  <c r="CV64" i="12"/>
  <c r="CW64" i="12"/>
  <c r="CX64" i="12"/>
  <c r="CY64" i="12"/>
  <c r="CZ64" i="12"/>
  <c r="DA64" i="12"/>
  <c r="DB64" i="12"/>
  <c r="DC64" i="12"/>
  <c r="DD64" i="12"/>
  <c r="DE64" i="12"/>
  <c r="DF64" i="12"/>
  <c r="DG64" i="12"/>
  <c r="DH64" i="12"/>
  <c r="DI64" i="12"/>
  <c r="DJ64" i="12"/>
  <c r="DK64" i="12"/>
  <c r="DL64" i="12"/>
  <c r="DM64" i="12"/>
  <c r="DN64" i="12"/>
  <c r="DO64" i="12"/>
  <c r="DP64" i="12"/>
  <c r="DQ64" i="12"/>
  <c r="DR64" i="12"/>
  <c r="DS64" i="12"/>
  <c r="DT64" i="12"/>
  <c r="DU64" i="12"/>
  <c r="DV64" i="12"/>
  <c r="DW64" i="12"/>
  <c r="DZ64" i="12"/>
  <c r="EA64" i="12"/>
  <c r="EB64" i="12"/>
  <c r="AQ65" i="12"/>
  <c r="AI65" i="12"/>
  <c r="AN65" i="12"/>
  <c r="AP65" i="12"/>
  <c r="AR65" i="12"/>
  <c r="AT65" i="12"/>
  <c r="AV65" i="12"/>
  <c r="AX65" i="12"/>
  <c r="AZ65" i="12"/>
  <c r="BB65" i="12"/>
  <c r="BD65" i="12"/>
  <c r="BF65" i="12"/>
  <c r="BG65" i="12"/>
  <c r="BH65" i="12"/>
  <c r="BI65" i="12"/>
  <c r="BJ65" i="12"/>
  <c r="BK65" i="12"/>
  <c r="BL65" i="12"/>
  <c r="BM65" i="12"/>
  <c r="BN65" i="12"/>
  <c r="BO65" i="12"/>
  <c r="BP65" i="12"/>
  <c r="BQ65" i="12"/>
  <c r="BR65" i="12"/>
  <c r="BS65" i="12"/>
  <c r="BT65" i="12"/>
  <c r="BU65" i="12"/>
  <c r="BV65" i="12"/>
  <c r="BW65" i="12"/>
  <c r="BX65" i="12"/>
  <c r="BY65" i="12"/>
  <c r="BZ65" i="12"/>
  <c r="CA65" i="12"/>
  <c r="CB65" i="12"/>
  <c r="CC65" i="12"/>
  <c r="CD65" i="12"/>
  <c r="CE65" i="12"/>
  <c r="CF65" i="12"/>
  <c r="CG65" i="12"/>
  <c r="CH65" i="12"/>
  <c r="CI65" i="12"/>
  <c r="CJ65" i="12"/>
  <c r="CK65" i="12"/>
  <c r="CL65" i="12"/>
  <c r="CM65" i="12"/>
  <c r="CN65" i="12"/>
  <c r="CO65" i="12"/>
  <c r="CP65" i="12"/>
  <c r="CQ65" i="12"/>
  <c r="CR65" i="12"/>
  <c r="CS65" i="12"/>
  <c r="CT65" i="12"/>
  <c r="CU65" i="12"/>
  <c r="CV65" i="12"/>
  <c r="CW65" i="12"/>
  <c r="CX65" i="12"/>
  <c r="CY65" i="12"/>
  <c r="CZ65" i="12"/>
  <c r="DA65" i="12"/>
  <c r="DB65" i="12"/>
  <c r="DC65" i="12"/>
  <c r="DD65" i="12"/>
  <c r="DE65" i="12"/>
  <c r="DF65" i="12"/>
  <c r="DG65" i="12"/>
  <c r="DH65" i="12"/>
  <c r="DI65" i="12"/>
  <c r="DJ65" i="12"/>
  <c r="DK65" i="12"/>
  <c r="DL65" i="12"/>
  <c r="DM65" i="12"/>
  <c r="DN65" i="12"/>
  <c r="DO65" i="12"/>
  <c r="DP65" i="12"/>
  <c r="DQ65" i="12"/>
  <c r="DR65" i="12"/>
  <c r="DS65" i="12"/>
  <c r="DT65" i="12"/>
  <c r="DU65" i="12"/>
  <c r="DV65" i="12"/>
  <c r="DW65" i="12"/>
  <c r="DZ65" i="12"/>
  <c r="EA65" i="12"/>
  <c r="EB65" i="12"/>
  <c r="AO69" i="12"/>
  <c r="AI69" i="12"/>
  <c r="AN69" i="12"/>
  <c r="AP69" i="12"/>
  <c r="AR69" i="12"/>
  <c r="AT69" i="12"/>
  <c r="AV69" i="12"/>
  <c r="AX69" i="12"/>
  <c r="AZ69" i="12"/>
  <c r="BB69" i="12"/>
  <c r="BD69" i="12"/>
  <c r="BF69" i="12"/>
  <c r="BG69" i="12"/>
  <c r="BH69" i="12"/>
  <c r="BI69" i="12"/>
  <c r="BJ69" i="12"/>
  <c r="BK69" i="12"/>
  <c r="BL69" i="12"/>
  <c r="BM69" i="12"/>
  <c r="BN69" i="12"/>
  <c r="BO69" i="12"/>
  <c r="BP69" i="12"/>
  <c r="BQ69" i="12"/>
  <c r="BR69" i="12"/>
  <c r="BS69" i="12"/>
  <c r="BT69" i="12"/>
  <c r="BU69" i="12"/>
  <c r="BV69" i="12"/>
  <c r="BW69" i="12"/>
  <c r="BX69" i="12"/>
  <c r="BY69" i="12"/>
  <c r="BZ69" i="12"/>
  <c r="CA69" i="12"/>
  <c r="CB69" i="12"/>
  <c r="CC69" i="12"/>
  <c r="CD69" i="12"/>
  <c r="CE69" i="12"/>
  <c r="CF69" i="12"/>
  <c r="CG69" i="12"/>
  <c r="CH69" i="12"/>
  <c r="CI69" i="12"/>
  <c r="CJ69" i="12"/>
  <c r="CK69" i="12"/>
  <c r="CL69" i="12"/>
  <c r="CM69" i="12"/>
  <c r="CN69" i="12"/>
  <c r="CO69" i="12"/>
  <c r="CP69" i="12"/>
  <c r="CQ69" i="12"/>
  <c r="CR69" i="12"/>
  <c r="CS69" i="12"/>
  <c r="CT69" i="12"/>
  <c r="CU69" i="12"/>
  <c r="CV69" i="12"/>
  <c r="CW69" i="12"/>
  <c r="CX69" i="12"/>
  <c r="CY69" i="12"/>
  <c r="CZ69" i="12"/>
  <c r="DA69" i="12"/>
  <c r="DB69" i="12"/>
  <c r="DC69" i="12"/>
  <c r="DD69" i="12"/>
  <c r="DE69" i="12"/>
  <c r="DF69" i="12"/>
  <c r="DG69" i="12"/>
  <c r="DH69" i="12"/>
  <c r="DI69" i="12"/>
  <c r="DJ69" i="12"/>
  <c r="DK69" i="12"/>
  <c r="DL69" i="12"/>
  <c r="DM69" i="12"/>
  <c r="DN69" i="12"/>
  <c r="DO69" i="12"/>
  <c r="DP69" i="12"/>
  <c r="DQ69" i="12"/>
  <c r="DR69" i="12"/>
  <c r="DS69" i="12"/>
  <c r="DT69" i="12"/>
  <c r="DU69" i="12"/>
  <c r="DV69" i="12"/>
  <c r="DW69" i="12"/>
  <c r="DZ69" i="12"/>
  <c r="EA69" i="12"/>
  <c r="EB69" i="12"/>
  <c r="AQ70" i="12"/>
  <c r="AI70" i="12"/>
  <c r="AN70" i="12"/>
  <c r="AP70" i="12"/>
  <c r="AR70" i="12"/>
  <c r="AT70" i="12"/>
  <c r="AV70" i="12"/>
  <c r="AX70" i="12"/>
  <c r="AZ70" i="12"/>
  <c r="BB70" i="12"/>
  <c r="BD70" i="12"/>
  <c r="BF70" i="12"/>
  <c r="BG70" i="12"/>
  <c r="BH70" i="12"/>
  <c r="BI70" i="12"/>
  <c r="BJ70" i="12"/>
  <c r="BK70" i="12"/>
  <c r="BL70" i="12"/>
  <c r="BM70" i="12"/>
  <c r="BN70" i="12"/>
  <c r="BO70" i="12"/>
  <c r="BP70" i="12"/>
  <c r="BQ70" i="12"/>
  <c r="BR70" i="12"/>
  <c r="BS70" i="12"/>
  <c r="BT70" i="12"/>
  <c r="BU70" i="12"/>
  <c r="BV70" i="12"/>
  <c r="BW70" i="12"/>
  <c r="BX70" i="12"/>
  <c r="BY70" i="12"/>
  <c r="BZ70" i="12"/>
  <c r="CA70" i="12"/>
  <c r="CB70" i="12"/>
  <c r="CC70" i="12"/>
  <c r="CD70" i="12"/>
  <c r="CE70" i="12"/>
  <c r="CF70" i="12"/>
  <c r="CG70" i="12"/>
  <c r="CH70" i="12"/>
  <c r="CI70" i="12"/>
  <c r="CJ70" i="12"/>
  <c r="CK70" i="12"/>
  <c r="CL70" i="12"/>
  <c r="CM70" i="12"/>
  <c r="CN70" i="12"/>
  <c r="CO70" i="12"/>
  <c r="CP70" i="12"/>
  <c r="CQ70" i="12"/>
  <c r="CR70" i="12"/>
  <c r="CS70" i="12"/>
  <c r="CT70" i="12"/>
  <c r="CU70" i="12"/>
  <c r="CV70" i="12"/>
  <c r="CW70" i="12"/>
  <c r="CX70" i="12"/>
  <c r="CY70" i="12"/>
  <c r="CZ70" i="12"/>
  <c r="DA70" i="12"/>
  <c r="DB70" i="12"/>
  <c r="DC70" i="12"/>
  <c r="DD70" i="12"/>
  <c r="DE70" i="12"/>
  <c r="DF70" i="12"/>
  <c r="DG70" i="12"/>
  <c r="DH70" i="12"/>
  <c r="DI70" i="12"/>
  <c r="DJ70" i="12"/>
  <c r="DK70" i="12"/>
  <c r="DL70" i="12"/>
  <c r="DM70" i="12"/>
  <c r="DN70" i="12"/>
  <c r="DO70" i="12"/>
  <c r="DP70" i="12"/>
  <c r="DQ70" i="12"/>
  <c r="DR70" i="12"/>
  <c r="DS70" i="12"/>
  <c r="DT70" i="12"/>
  <c r="DU70" i="12"/>
  <c r="DV70" i="12"/>
  <c r="DW70" i="12"/>
  <c r="DZ70" i="12"/>
  <c r="EA70" i="12"/>
  <c r="EB70" i="12"/>
  <c r="AO72" i="12"/>
  <c r="AI72" i="12"/>
  <c r="AN72" i="12"/>
  <c r="AP72" i="12"/>
  <c r="AR72" i="12"/>
  <c r="AT72" i="12"/>
  <c r="AV72" i="12"/>
  <c r="AX72" i="12"/>
  <c r="AZ72" i="12"/>
  <c r="BB72" i="12"/>
  <c r="BD72" i="12"/>
  <c r="BF72" i="12"/>
  <c r="BG72" i="12"/>
  <c r="BH72" i="12"/>
  <c r="BI72" i="12"/>
  <c r="BJ72" i="12"/>
  <c r="BK72" i="12"/>
  <c r="BL72" i="12"/>
  <c r="BM72" i="12"/>
  <c r="BN72" i="12"/>
  <c r="BO72" i="12"/>
  <c r="BP72" i="12"/>
  <c r="BQ72" i="12"/>
  <c r="BR72" i="12"/>
  <c r="BS72" i="12"/>
  <c r="BT72" i="12"/>
  <c r="BU72" i="12"/>
  <c r="BV72" i="12"/>
  <c r="BW72" i="12"/>
  <c r="BX72" i="12"/>
  <c r="BY72" i="12"/>
  <c r="BZ72" i="12"/>
  <c r="CA72" i="12"/>
  <c r="CB72" i="12"/>
  <c r="CC72" i="12"/>
  <c r="CD72" i="12"/>
  <c r="CE72" i="12"/>
  <c r="CF72" i="12"/>
  <c r="CG72" i="12"/>
  <c r="CH72" i="12"/>
  <c r="CI72" i="12"/>
  <c r="CJ72" i="12"/>
  <c r="CK72" i="12"/>
  <c r="CL72" i="12"/>
  <c r="CM72" i="12"/>
  <c r="CN72" i="12"/>
  <c r="CO72" i="12"/>
  <c r="CP72" i="12"/>
  <c r="CQ72" i="12"/>
  <c r="CR72" i="12"/>
  <c r="CS72" i="12"/>
  <c r="CT72" i="12"/>
  <c r="CU72" i="12"/>
  <c r="CV72" i="12"/>
  <c r="CW72" i="12"/>
  <c r="CX72" i="12"/>
  <c r="CY72" i="12"/>
  <c r="CZ72" i="12"/>
  <c r="DA72" i="12"/>
  <c r="DB72" i="12"/>
  <c r="DC72" i="12"/>
  <c r="DD72" i="12"/>
  <c r="DE72" i="12"/>
  <c r="DF72" i="12"/>
  <c r="DG72" i="12"/>
  <c r="DH72" i="12"/>
  <c r="DI72" i="12"/>
  <c r="DJ72" i="12"/>
  <c r="DK72" i="12"/>
  <c r="DL72" i="12"/>
  <c r="DM72" i="12"/>
  <c r="DN72" i="12"/>
  <c r="DO72" i="12"/>
  <c r="DP72" i="12"/>
  <c r="DQ72" i="12"/>
  <c r="DR72" i="12"/>
  <c r="DS72" i="12"/>
  <c r="DT72" i="12"/>
  <c r="DU72" i="12"/>
  <c r="DV72" i="12"/>
  <c r="DW72" i="12"/>
  <c r="DZ72" i="12"/>
  <c r="EA72" i="12"/>
  <c r="EB72" i="12"/>
  <c r="AO76" i="12"/>
  <c r="AI76" i="12"/>
  <c r="AN76" i="12"/>
  <c r="AP76" i="12"/>
  <c r="AR76" i="12"/>
  <c r="AT76" i="12"/>
  <c r="AV76" i="12"/>
  <c r="AX76" i="12"/>
  <c r="AZ76" i="12"/>
  <c r="BB76" i="12"/>
  <c r="BD76" i="12"/>
  <c r="BF76" i="12"/>
  <c r="BG76" i="12"/>
  <c r="BH76" i="12"/>
  <c r="BI76" i="12"/>
  <c r="BJ76" i="12"/>
  <c r="BK76" i="12"/>
  <c r="BL76" i="12"/>
  <c r="BM76" i="12"/>
  <c r="BN76" i="12"/>
  <c r="BO76" i="12"/>
  <c r="BP76" i="12"/>
  <c r="BQ76" i="12"/>
  <c r="BR76" i="12"/>
  <c r="BS76" i="12"/>
  <c r="BT76" i="12"/>
  <c r="BU76" i="12"/>
  <c r="BV76" i="12"/>
  <c r="BW76" i="12"/>
  <c r="BX76" i="12"/>
  <c r="BY76" i="12"/>
  <c r="BZ76" i="12"/>
  <c r="CA76" i="12"/>
  <c r="CB76" i="12"/>
  <c r="CC76" i="12"/>
  <c r="CD76" i="12"/>
  <c r="CE76" i="12"/>
  <c r="CF76" i="12"/>
  <c r="CG76" i="12"/>
  <c r="CH76" i="12"/>
  <c r="CI76" i="12"/>
  <c r="CJ76" i="12"/>
  <c r="CK76" i="12"/>
  <c r="CL76" i="12"/>
  <c r="CM76" i="12"/>
  <c r="CN76" i="12"/>
  <c r="CO76" i="12"/>
  <c r="CP76" i="12"/>
  <c r="CQ76" i="12"/>
  <c r="CR76" i="12"/>
  <c r="CS76" i="12"/>
  <c r="CT76" i="12"/>
  <c r="CU76" i="12"/>
  <c r="CV76" i="12"/>
  <c r="CW76" i="12"/>
  <c r="CX76" i="12"/>
  <c r="CY76" i="12"/>
  <c r="CZ76" i="12"/>
  <c r="DA76" i="12"/>
  <c r="DB76" i="12"/>
  <c r="DC76" i="12"/>
  <c r="DD76" i="12"/>
  <c r="DE76" i="12"/>
  <c r="DF76" i="12"/>
  <c r="DG76" i="12"/>
  <c r="DH76" i="12"/>
  <c r="DI76" i="12"/>
  <c r="DJ76" i="12"/>
  <c r="DK76" i="12"/>
  <c r="DL76" i="12"/>
  <c r="DM76" i="12"/>
  <c r="DN76" i="12"/>
  <c r="DO76" i="12"/>
  <c r="DP76" i="12"/>
  <c r="DQ76" i="12"/>
  <c r="DR76" i="12"/>
  <c r="DS76" i="12"/>
  <c r="DT76" i="12"/>
  <c r="DU76" i="12"/>
  <c r="DV76" i="12"/>
  <c r="DW76" i="12"/>
  <c r="DZ76" i="12"/>
  <c r="EA76" i="12"/>
  <c r="EB76" i="12"/>
  <c r="AQ78" i="12"/>
  <c r="AI78" i="12"/>
  <c r="AN78" i="12"/>
  <c r="AP78" i="12"/>
  <c r="AR78" i="12"/>
  <c r="AT78" i="12"/>
  <c r="AV78" i="12"/>
  <c r="AX78" i="12"/>
  <c r="AZ78" i="12"/>
  <c r="BB78" i="12"/>
  <c r="BD78" i="12"/>
  <c r="BF78" i="12"/>
  <c r="BG78" i="12"/>
  <c r="BH78" i="12"/>
  <c r="BI78" i="12"/>
  <c r="BJ78" i="12"/>
  <c r="BK78" i="12"/>
  <c r="BL78" i="12"/>
  <c r="BM78" i="12"/>
  <c r="BN78" i="12"/>
  <c r="BO78" i="12"/>
  <c r="BP78" i="12"/>
  <c r="BQ78" i="12"/>
  <c r="BR78" i="12"/>
  <c r="BS78" i="12"/>
  <c r="BT78" i="12"/>
  <c r="BU78" i="12"/>
  <c r="BV78" i="12"/>
  <c r="BW78" i="12"/>
  <c r="BX78" i="12"/>
  <c r="BY78" i="12"/>
  <c r="BZ78" i="12"/>
  <c r="CA78" i="12"/>
  <c r="CB78" i="12"/>
  <c r="CC78" i="12"/>
  <c r="CD78" i="12"/>
  <c r="CE78" i="12"/>
  <c r="CF78" i="12"/>
  <c r="CG78" i="12"/>
  <c r="CH78" i="12"/>
  <c r="CI78" i="12"/>
  <c r="CJ78" i="12"/>
  <c r="CK78" i="12"/>
  <c r="CL78" i="12"/>
  <c r="CM78" i="12"/>
  <c r="CN78" i="12"/>
  <c r="CO78" i="12"/>
  <c r="CP78" i="12"/>
  <c r="CQ78" i="12"/>
  <c r="CR78" i="12"/>
  <c r="CS78" i="12"/>
  <c r="CT78" i="12"/>
  <c r="CU78" i="12"/>
  <c r="CV78" i="12"/>
  <c r="CW78" i="12"/>
  <c r="CX78" i="12"/>
  <c r="CY78" i="12"/>
  <c r="CZ78" i="12"/>
  <c r="DA78" i="12"/>
  <c r="DB78" i="12"/>
  <c r="DC78" i="12"/>
  <c r="DD78" i="12"/>
  <c r="DE78" i="12"/>
  <c r="DF78" i="12"/>
  <c r="DG78" i="12"/>
  <c r="DH78" i="12"/>
  <c r="DI78" i="12"/>
  <c r="DJ78" i="12"/>
  <c r="DK78" i="12"/>
  <c r="DL78" i="12"/>
  <c r="DM78" i="12"/>
  <c r="DN78" i="12"/>
  <c r="DO78" i="12"/>
  <c r="DP78" i="12"/>
  <c r="DQ78" i="12"/>
  <c r="DR78" i="12"/>
  <c r="DS78" i="12"/>
  <c r="DT78" i="12"/>
  <c r="DU78" i="12"/>
  <c r="DV78" i="12"/>
  <c r="DW78" i="12"/>
  <c r="DZ78" i="12"/>
  <c r="EA78" i="12"/>
  <c r="EB78" i="12"/>
  <c r="AO81" i="12"/>
  <c r="AI81" i="12"/>
  <c r="AN81" i="12"/>
  <c r="AP81" i="12"/>
  <c r="AR81" i="12"/>
  <c r="AT81" i="12"/>
  <c r="AV81" i="12"/>
  <c r="AX81" i="12"/>
  <c r="AZ81" i="12"/>
  <c r="BB81" i="12"/>
  <c r="BD81" i="12"/>
  <c r="BF81" i="12"/>
  <c r="BG81" i="12"/>
  <c r="BH81" i="12"/>
  <c r="BI81" i="12"/>
  <c r="BJ81" i="12"/>
  <c r="BK81" i="12"/>
  <c r="BL81" i="12"/>
  <c r="BM81" i="12"/>
  <c r="BN81" i="12"/>
  <c r="BO81" i="12"/>
  <c r="BP81" i="12"/>
  <c r="BQ81" i="12"/>
  <c r="BR81" i="12"/>
  <c r="BS81" i="12"/>
  <c r="BT81" i="12"/>
  <c r="BU81" i="12"/>
  <c r="BV81" i="12"/>
  <c r="BW81" i="12"/>
  <c r="BX81" i="12"/>
  <c r="BY81" i="12"/>
  <c r="BZ81" i="12"/>
  <c r="CA81" i="12"/>
  <c r="CB81" i="12"/>
  <c r="CC81" i="12"/>
  <c r="CD81" i="12"/>
  <c r="CE81" i="12"/>
  <c r="CF81" i="12"/>
  <c r="CG81" i="12"/>
  <c r="CH81" i="12"/>
  <c r="CI81" i="12"/>
  <c r="CJ81" i="12"/>
  <c r="CK81" i="12"/>
  <c r="CL81" i="12"/>
  <c r="CM81" i="12"/>
  <c r="CN81" i="12"/>
  <c r="CO81" i="12"/>
  <c r="CP81" i="12"/>
  <c r="CQ81" i="12"/>
  <c r="CR81" i="12"/>
  <c r="CS81" i="12"/>
  <c r="CT81" i="12"/>
  <c r="CU81" i="12"/>
  <c r="CV81" i="12"/>
  <c r="CW81" i="12"/>
  <c r="CX81" i="12"/>
  <c r="CY81" i="12"/>
  <c r="CZ81" i="12"/>
  <c r="DA81" i="12"/>
  <c r="DB81" i="12"/>
  <c r="DC81" i="12"/>
  <c r="DD81" i="12"/>
  <c r="DE81" i="12"/>
  <c r="DF81" i="12"/>
  <c r="DG81" i="12"/>
  <c r="DH81" i="12"/>
  <c r="DI81" i="12"/>
  <c r="DJ81" i="12"/>
  <c r="DK81" i="12"/>
  <c r="DL81" i="12"/>
  <c r="DM81" i="12"/>
  <c r="DN81" i="12"/>
  <c r="DO81" i="12"/>
  <c r="DP81" i="12"/>
  <c r="DQ81" i="12"/>
  <c r="DR81" i="12"/>
  <c r="DS81" i="12"/>
  <c r="DT81" i="12"/>
  <c r="DU81" i="12"/>
  <c r="DV81" i="12"/>
  <c r="DW81" i="12"/>
  <c r="DZ81" i="12"/>
  <c r="EA81" i="12"/>
  <c r="EB81" i="12"/>
  <c r="AO82" i="12"/>
  <c r="AI82" i="12"/>
  <c r="AN82" i="12"/>
  <c r="AP82" i="12"/>
  <c r="AR82" i="12"/>
  <c r="AT82" i="12"/>
  <c r="AV82" i="12"/>
  <c r="AX82" i="12"/>
  <c r="AZ82" i="12"/>
  <c r="BB82" i="12"/>
  <c r="BD82" i="12"/>
  <c r="BF82" i="12"/>
  <c r="BG82" i="12"/>
  <c r="BH82" i="12"/>
  <c r="BI82" i="12"/>
  <c r="BJ82" i="12"/>
  <c r="BK82" i="12"/>
  <c r="BL82" i="12"/>
  <c r="BM82" i="12"/>
  <c r="BN82" i="12"/>
  <c r="BO82" i="12"/>
  <c r="BP82" i="12"/>
  <c r="BQ82" i="12"/>
  <c r="BR82" i="12"/>
  <c r="BS82" i="12"/>
  <c r="BT82" i="12"/>
  <c r="BU82" i="12"/>
  <c r="BV82" i="12"/>
  <c r="BW82" i="12"/>
  <c r="BX82" i="12"/>
  <c r="BY82" i="12"/>
  <c r="BZ82" i="12"/>
  <c r="CA82" i="12"/>
  <c r="CB82" i="12"/>
  <c r="CC82" i="12"/>
  <c r="CD82" i="12"/>
  <c r="CE82" i="12"/>
  <c r="CF82" i="12"/>
  <c r="CG82" i="12"/>
  <c r="CH82" i="12"/>
  <c r="CI82" i="12"/>
  <c r="CJ82" i="12"/>
  <c r="CK82" i="12"/>
  <c r="CL82" i="12"/>
  <c r="CM82" i="12"/>
  <c r="CN82" i="12"/>
  <c r="CO82" i="12"/>
  <c r="CP82" i="12"/>
  <c r="CQ82" i="12"/>
  <c r="CR82" i="12"/>
  <c r="CS82" i="12"/>
  <c r="CT82" i="12"/>
  <c r="CU82" i="12"/>
  <c r="CV82" i="12"/>
  <c r="CW82" i="12"/>
  <c r="CX82" i="12"/>
  <c r="CY82" i="12"/>
  <c r="CZ82" i="12"/>
  <c r="DA82" i="12"/>
  <c r="DB82" i="12"/>
  <c r="DC82" i="12"/>
  <c r="DD82" i="12"/>
  <c r="DE82" i="12"/>
  <c r="DF82" i="12"/>
  <c r="DG82" i="12"/>
  <c r="DH82" i="12"/>
  <c r="DI82" i="12"/>
  <c r="DJ82" i="12"/>
  <c r="DK82" i="12"/>
  <c r="DL82" i="12"/>
  <c r="DM82" i="12"/>
  <c r="DN82" i="12"/>
  <c r="DO82" i="12"/>
  <c r="DP82" i="12"/>
  <c r="DQ82" i="12"/>
  <c r="DR82" i="12"/>
  <c r="DS82" i="12"/>
  <c r="DT82" i="12"/>
  <c r="DU82" i="12"/>
  <c r="DV82" i="12"/>
  <c r="DW82" i="12"/>
  <c r="DZ82" i="12"/>
  <c r="EA82" i="12"/>
  <c r="EB82" i="12"/>
  <c r="AQ83" i="12"/>
  <c r="AI83" i="12"/>
  <c r="AN83" i="12"/>
  <c r="AP83" i="12"/>
  <c r="AR83" i="12"/>
  <c r="AT83" i="12"/>
  <c r="AV83" i="12"/>
  <c r="AX83" i="12"/>
  <c r="AZ83" i="12"/>
  <c r="BB83" i="12"/>
  <c r="BD83" i="12"/>
  <c r="BF83" i="12"/>
  <c r="BG83" i="12"/>
  <c r="BH83" i="12"/>
  <c r="BI83" i="12"/>
  <c r="BJ83" i="12"/>
  <c r="BK83" i="12"/>
  <c r="BL83" i="12"/>
  <c r="BM83" i="12"/>
  <c r="BN83" i="12"/>
  <c r="BO83" i="12"/>
  <c r="BP83" i="12"/>
  <c r="BQ83" i="12"/>
  <c r="BR83" i="12"/>
  <c r="BS83" i="12"/>
  <c r="BT83" i="12"/>
  <c r="BU83" i="12"/>
  <c r="BV83" i="12"/>
  <c r="BW83" i="12"/>
  <c r="BX83" i="12"/>
  <c r="BY83" i="12"/>
  <c r="BZ83" i="12"/>
  <c r="CA83" i="12"/>
  <c r="CB83" i="12"/>
  <c r="CC83" i="12"/>
  <c r="CD83" i="12"/>
  <c r="CE83" i="12"/>
  <c r="CF83" i="12"/>
  <c r="CG83" i="12"/>
  <c r="CH83" i="12"/>
  <c r="CI83" i="12"/>
  <c r="CJ83" i="12"/>
  <c r="CK83" i="12"/>
  <c r="CL83" i="12"/>
  <c r="CM83" i="12"/>
  <c r="CN83" i="12"/>
  <c r="CO83" i="12"/>
  <c r="CP83" i="12"/>
  <c r="CQ83" i="12"/>
  <c r="CR83" i="12"/>
  <c r="CS83" i="12"/>
  <c r="CT83" i="12"/>
  <c r="CU83" i="12"/>
  <c r="CV83" i="12"/>
  <c r="CW83" i="12"/>
  <c r="CX83" i="12"/>
  <c r="CY83" i="12"/>
  <c r="CZ83" i="12"/>
  <c r="DA83" i="12"/>
  <c r="DB83" i="12"/>
  <c r="DC83" i="12"/>
  <c r="DD83" i="12"/>
  <c r="DE83" i="12"/>
  <c r="DF83" i="12"/>
  <c r="DG83" i="12"/>
  <c r="DH83" i="12"/>
  <c r="DI83" i="12"/>
  <c r="DJ83" i="12"/>
  <c r="DK83" i="12"/>
  <c r="DL83" i="12"/>
  <c r="DM83" i="12"/>
  <c r="DN83" i="12"/>
  <c r="DO83" i="12"/>
  <c r="DP83" i="12"/>
  <c r="DQ83" i="12"/>
  <c r="DR83" i="12"/>
  <c r="DS83" i="12"/>
  <c r="DT83" i="12"/>
  <c r="DU83" i="12"/>
  <c r="DV83" i="12"/>
  <c r="DW83" i="12"/>
  <c r="DZ83" i="12"/>
  <c r="EA83" i="12"/>
  <c r="EB83" i="12"/>
  <c r="AQ85" i="12"/>
  <c r="AI85" i="12"/>
  <c r="AN85" i="12"/>
  <c r="AP85" i="12"/>
  <c r="AR85" i="12"/>
  <c r="AT85" i="12"/>
  <c r="AV85" i="12"/>
  <c r="AX85" i="12"/>
  <c r="AZ85" i="12"/>
  <c r="BB85" i="12"/>
  <c r="BD85" i="12"/>
  <c r="BF85" i="12"/>
  <c r="BG85" i="12"/>
  <c r="BH85" i="12"/>
  <c r="BI85" i="12"/>
  <c r="BJ85" i="12"/>
  <c r="BK85" i="12"/>
  <c r="BL85" i="12"/>
  <c r="BM85" i="12"/>
  <c r="BN85" i="12"/>
  <c r="BO85" i="12"/>
  <c r="BP85" i="12"/>
  <c r="BQ85" i="12"/>
  <c r="BR85" i="12"/>
  <c r="BS85" i="12"/>
  <c r="BT85" i="12"/>
  <c r="BU85" i="12"/>
  <c r="BV85" i="12"/>
  <c r="BW85" i="12"/>
  <c r="BX85" i="12"/>
  <c r="BY85" i="12"/>
  <c r="BZ85" i="12"/>
  <c r="CA85" i="12"/>
  <c r="CB85" i="12"/>
  <c r="CC85" i="12"/>
  <c r="CD85" i="12"/>
  <c r="CE85" i="12"/>
  <c r="CF85" i="12"/>
  <c r="CG85" i="12"/>
  <c r="CH85" i="12"/>
  <c r="CI85" i="12"/>
  <c r="CJ85" i="12"/>
  <c r="CK85" i="12"/>
  <c r="CL85" i="12"/>
  <c r="CM85" i="12"/>
  <c r="CN85" i="12"/>
  <c r="CO85" i="12"/>
  <c r="CP85" i="12"/>
  <c r="CQ85" i="12"/>
  <c r="CR85" i="12"/>
  <c r="CS85" i="12"/>
  <c r="CT85" i="12"/>
  <c r="CU85" i="12"/>
  <c r="CV85" i="12"/>
  <c r="CW85" i="12"/>
  <c r="CX85" i="12"/>
  <c r="CY85" i="12"/>
  <c r="CZ85" i="12"/>
  <c r="DA85" i="12"/>
  <c r="DB85" i="12"/>
  <c r="DC85" i="12"/>
  <c r="DD85" i="12"/>
  <c r="DE85" i="12"/>
  <c r="DF85" i="12"/>
  <c r="DG85" i="12"/>
  <c r="DH85" i="12"/>
  <c r="DI85" i="12"/>
  <c r="DJ85" i="12"/>
  <c r="DK85" i="12"/>
  <c r="DL85" i="12"/>
  <c r="DM85" i="12"/>
  <c r="DN85" i="12"/>
  <c r="DO85" i="12"/>
  <c r="DP85" i="12"/>
  <c r="DQ85" i="12"/>
  <c r="DR85" i="12"/>
  <c r="DS85" i="12"/>
  <c r="DT85" i="12"/>
  <c r="DU85" i="12"/>
  <c r="DV85" i="12"/>
  <c r="DW85" i="12"/>
  <c r="DZ85" i="12"/>
  <c r="EA85" i="12"/>
  <c r="EB85" i="12"/>
  <c r="AO86" i="12"/>
  <c r="AI86" i="12"/>
  <c r="AN86" i="12"/>
  <c r="AP86" i="12"/>
  <c r="AR86" i="12"/>
  <c r="AT86" i="12"/>
  <c r="AV86" i="12"/>
  <c r="AX86" i="12"/>
  <c r="AZ86" i="12"/>
  <c r="BB86" i="12"/>
  <c r="BD86" i="12"/>
  <c r="BF86" i="12"/>
  <c r="BG86" i="12"/>
  <c r="BH86" i="12"/>
  <c r="BI86" i="12"/>
  <c r="BJ86" i="12"/>
  <c r="BK86" i="12"/>
  <c r="BL86" i="12"/>
  <c r="BM86" i="12"/>
  <c r="BN86" i="12"/>
  <c r="BO86" i="12"/>
  <c r="BP86" i="12"/>
  <c r="BQ86" i="12"/>
  <c r="BR86" i="12"/>
  <c r="BS86" i="12"/>
  <c r="BT86" i="12"/>
  <c r="BU86" i="12"/>
  <c r="BV86" i="12"/>
  <c r="BW86" i="12"/>
  <c r="BX86" i="12"/>
  <c r="BY86" i="12"/>
  <c r="BZ86" i="12"/>
  <c r="CA86" i="12"/>
  <c r="CB86" i="12"/>
  <c r="CC86" i="12"/>
  <c r="CD86" i="12"/>
  <c r="CE86" i="12"/>
  <c r="CF86" i="12"/>
  <c r="CG86" i="12"/>
  <c r="CH86" i="12"/>
  <c r="CI86" i="12"/>
  <c r="CJ86" i="12"/>
  <c r="CK86" i="12"/>
  <c r="CL86" i="12"/>
  <c r="CM86" i="12"/>
  <c r="CN86" i="12"/>
  <c r="CO86" i="12"/>
  <c r="CP86" i="12"/>
  <c r="CQ86" i="12"/>
  <c r="CR86" i="12"/>
  <c r="CS86" i="12"/>
  <c r="CT86" i="12"/>
  <c r="CU86" i="12"/>
  <c r="CV86" i="12"/>
  <c r="CW86" i="12"/>
  <c r="CX86" i="12"/>
  <c r="CY86" i="12"/>
  <c r="CZ86" i="12"/>
  <c r="DA86" i="12"/>
  <c r="DB86" i="12"/>
  <c r="DC86" i="12"/>
  <c r="DD86" i="12"/>
  <c r="DE86" i="12"/>
  <c r="DF86" i="12"/>
  <c r="DG86" i="12"/>
  <c r="DH86" i="12"/>
  <c r="DI86" i="12"/>
  <c r="DJ86" i="12"/>
  <c r="DK86" i="12"/>
  <c r="DL86" i="12"/>
  <c r="DM86" i="12"/>
  <c r="DN86" i="12"/>
  <c r="DO86" i="12"/>
  <c r="DP86" i="12"/>
  <c r="DQ86" i="12"/>
  <c r="DR86" i="12"/>
  <c r="DS86" i="12"/>
  <c r="DT86" i="12"/>
  <c r="DU86" i="12"/>
  <c r="DV86" i="12"/>
  <c r="DW86" i="12"/>
  <c r="DZ86" i="12"/>
  <c r="EA86" i="12"/>
  <c r="EB86" i="12"/>
  <c r="AO87" i="12"/>
  <c r="AI87" i="12"/>
  <c r="AN87" i="12"/>
  <c r="AP87" i="12"/>
  <c r="AR87" i="12"/>
  <c r="AT87" i="12"/>
  <c r="AV87" i="12"/>
  <c r="AX87" i="12"/>
  <c r="AZ87" i="12"/>
  <c r="BB87" i="12"/>
  <c r="BD87" i="12"/>
  <c r="BF87" i="12"/>
  <c r="BG87" i="12"/>
  <c r="BH87" i="12"/>
  <c r="BI87" i="12"/>
  <c r="BJ87" i="12"/>
  <c r="BK87" i="12"/>
  <c r="BL87" i="12"/>
  <c r="BM87" i="12"/>
  <c r="BN87" i="12"/>
  <c r="BO87" i="12"/>
  <c r="BP87" i="12"/>
  <c r="BQ87" i="12"/>
  <c r="BR87" i="12"/>
  <c r="BS87" i="12"/>
  <c r="BT87" i="12"/>
  <c r="BU87" i="12"/>
  <c r="BV87" i="12"/>
  <c r="BW87" i="12"/>
  <c r="BX87" i="12"/>
  <c r="BY87" i="12"/>
  <c r="BZ87" i="12"/>
  <c r="CA87" i="12"/>
  <c r="CB87" i="12"/>
  <c r="CC87" i="12"/>
  <c r="CD87" i="12"/>
  <c r="CE87" i="12"/>
  <c r="CF87" i="12"/>
  <c r="CG87" i="12"/>
  <c r="CH87" i="12"/>
  <c r="CI87" i="12"/>
  <c r="CJ87" i="12"/>
  <c r="CK87" i="12"/>
  <c r="CL87" i="12"/>
  <c r="CM87" i="12"/>
  <c r="CN87" i="12"/>
  <c r="CO87" i="12"/>
  <c r="CP87" i="12"/>
  <c r="CQ87" i="12"/>
  <c r="CR87" i="12"/>
  <c r="CS87" i="12"/>
  <c r="CT87" i="12"/>
  <c r="CU87" i="12"/>
  <c r="CV87" i="12"/>
  <c r="CW87" i="12"/>
  <c r="CX87" i="12"/>
  <c r="CY87" i="12"/>
  <c r="CZ87" i="12"/>
  <c r="DA87" i="12"/>
  <c r="DB87" i="12"/>
  <c r="DC87" i="12"/>
  <c r="DD87" i="12"/>
  <c r="DE87" i="12"/>
  <c r="DF87" i="12"/>
  <c r="DG87" i="12"/>
  <c r="DH87" i="12"/>
  <c r="DI87" i="12"/>
  <c r="DJ87" i="12"/>
  <c r="DK87" i="12"/>
  <c r="DL87" i="12"/>
  <c r="DM87" i="12"/>
  <c r="DN87" i="12"/>
  <c r="DO87" i="12"/>
  <c r="DP87" i="12"/>
  <c r="DQ87" i="12"/>
  <c r="DR87" i="12"/>
  <c r="DS87" i="12"/>
  <c r="DT87" i="12"/>
  <c r="DU87" i="12"/>
  <c r="DV87" i="12"/>
  <c r="DW87" i="12"/>
  <c r="DZ87" i="12"/>
  <c r="EA87" i="12"/>
  <c r="EB87" i="12"/>
  <c r="AQ88" i="12"/>
  <c r="AI88" i="12"/>
  <c r="AN88" i="12"/>
  <c r="AP88" i="12"/>
  <c r="AR88" i="12"/>
  <c r="AT88" i="12"/>
  <c r="AV88" i="12"/>
  <c r="AX88" i="12"/>
  <c r="AZ88" i="12"/>
  <c r="BB88" i="12"/>
  <c r="BD88" i="12"/>
  <c r="BF88" i="12"/>
  <c r="BG88" i="12"/>
  <c r="BH88" i="12"/>
  <c r="BI88" i="12"/>
  <c r="BJ88" i="12"/>
  <c r="BK88" i="12"/>
  <c r="BL88" i="12"/>
  <c r="BM88" i="12"/>
  <c r="BN88" i="12"/>
  <c r="BO88" i="12"/>
  <c r="BP88" i="12"/>
  <c r="BQ88" i="12"/>
  <c r="BR88" i="12"/>
  <c r="BS88" i="12"/>
  <c r="BT88" i="12"/>
  <c r="BU88" i="12"/>
  <c r="BV88" i="12"/>
  <c r="BW88" i="12"/>
  <c r="BX88" i="12"/>
  <c r="BY88" i="12"/>
  <c r="BZ88" i="12"/>
  <c r="CA88" i="12"/>
  <c r="CB88" i="12"/>
  <c r="CC88" i="12"/>
  <c r="CD88" i="12"/>
  <c r="CE88" i="12"/>
  <c r="CF88" i="12"/>
  <c r="CG88" i="12"/>
  <c r="CH88" i="12"/>
  <c r="CI88" i="12"/>
  <c r="CJ88" i="12"/>
  <c r="CK88" i="12"/>
  <c r="CL88" i="12"/>
  <c r="CM88" i="12"/>
  <c r="CN88" i="12"/>
  <c r="CO88" i="12"/>
  <c r="CP88" i="12"/>
  <c r="CQ88" i="12"/>
  <c r="CR88" i="12"/>
  <c r="CS88" i="12"/>
  <c r="CT88" i="12"/>
  <c r="CU88" i="12"/>
  <c r="CV88" i="12"/>
  <c r="CW88" i="12"/>
  <c r="CX88" i="12"/>
  <c r="CY88" i="12"/>
  <c r="CZ88" i="12"/>
  <c r="DA88" i="12"/>
  <c r="DB88" i="12"/>
  <c r="DC88" i="12"/>
  <c r="DD88" i="12"/>
  <c r="DE88" i="12"/>
  <c r="DF88" i="12"/>
  <c r="DG88" i="12"/>
  <c r="DH88" i="12"/>
  <c r="DI88" i="12"/>
  <c r="DJ88" i="12"/>
  <c r="DK88" i="12"/>
  <c r="DL88" i="12"/>
  <c r="DM88" i="12"/>
  <c r="DN88" i="12"/>
  <c r="DO88" i="12"/>
  <c r="DP88" i="12"/>
  <c r="DQ88" i="12"/>
  <c r="DR88" i="12"/>
  <c r="DS88" i="12"/>
  <c r="DT88" i="12"/>
  <c r="DU88" i="12"/>
  <c r="DV88" i="12"/>
  <c r="DW88" i="12"/>
  <c r="DZ88" i="12"/>
  <c r="EA88" i="12"/>
  <c r="EB88" i="12"/>
  <c r="AO89" i="12"/>
  <c r="AI89" i="12"/>
  <c r="AN89" i="12"/>
  <c r="AP89" i="12"/>
  <c r="AR89" i="12"/>
  <c r="AT89" i="12"/>
  <c r="AV89" i="12"/>
  <c r="AX89" i="12"/>
  <c r="AZ89" i="12"/>
  <c r="BB89" i="12"/>
  <c r="BD89" i="12"/>
  <c r="BF89" i="12"/>
  <c r="BG89" i="12"/>
  <c r="BH89" i="12"/>
  <c r="BI89" i="12"/>
  <c r="BJ89" i="12"/>
  <c r="BK89" i="12"/>
  <c r="BL89" i="12"/>
  <c r="BM89" i="12"/>
  <c r="BN89" i="12"/>
  <c r="BO89" i="12"/>
  <c r="BP89" i="12"/>
  <c r="BQ89" i="12"/>
  <c r="BR89" i="12"/>
  <c r="BS89" i="12"/>
  <c r="BT89" i="12"/>
  <c r="BU89" i="12"/>
  <c r="BV89" i="12"/>
  <c r="BW89" i="12"/>
  <c r="BX89" i="12"/>
  <c r="BY89" i="12"/>
  <c r="BZ89" i="12"/>
  <c r="CA89" i="12"/>
  <c r="CB89" i="12"/>
  <c r="CC89" i="12"/>
  <c r="CD89" i="12"/>
  <c r="CE89" i="12"/>
  <c r="CF89" i="12"/>
  <c r="CG89" i="12"/>
  <c r="CH89" i="12"/>
  <c r="CI89" i="12"/>
  <c r="CJ89" i="12"/>
  <c r="CK89" i="12"/>
  <c r="CL89" i="12"/>
  <c r="CM89" i="12"/>
  <c r="CN89" i="12"/>
  <c r="CO89" i="12"/>
  <c r="CP89" i="12"/>
  <c r="CQ89" i="12"/>
  <c r="CR89" i="12"/>
  <c r="CS89" i="12"/>
  <c r="CT89" i="12"/>
  <c r="CU89" i="12"/>
  <c r="CV89" i="12"/>
  <c r="CW89" i="12"/>
  <c r="CX89" i="12"/>
  <c r="CY89" i="12"/>
  <c r="CZ89" i="12"/>
  <c r="DA89" i="12"/>
  <c r="DB89" i="12"/>
  <c r="DC89" i="12"/>
  <c r="DD89" i="12"/>
  <c r="DE89" i="12"/>
  <c r="DF89" i="12"/>
  <c r="DG89" i="12"/>
  <c r="DH89" i="12"/>
  <c r="DI89" i="12"/>
  <c r="DJ89" i="12"/>
  <c r="DK89" i="12"/>
  <c r="DL89" i="12"/>
  <c r="DM89" i="12"/>
  <c r="DN89" i="12"/>
  <c r="DO89" i="12"/>
  <c r="DP89" i="12"/>
  <c r="DQ89" i="12"/>
  <c r="DR89" i="12"/>
  <c r="DS89" i="12"/>
  <c r="DT89" i="12"/>
  <c r="DU89" i="12"/>
  <c r="DV89" i="12"/>
  <c r="DW89" i="12"/>
  <c r="DZ89" i="12"/>
  <c r="EA89" i="12"/>
  <c r="EB89" i="12"/>
  <c r="AQ92" i="12"/>
  <c r="AI92" i="12"/>
  <c r="AN92" i="12"/>
  <c r="AP92" i="12"/>
  <c r="AR92" i="12"/>
  <c r="AT92" i="12"/>
  <c r="AV92" i="12"/>
  <c r="AX92" i="12"/>
  <c r="AZ92" i="12"/>
  <c r="BB92" i="12"/>
  <c r="BD92" i="12"/>
  <c r="BF92" i="12"/>
  <c r="BG92" i="12"/>
  <c r="BH92" i="12"/>
  <c r="BI92" i="12"/>
  <c r="BJ92" i="12"/>
  <c r="BK92" i="12"/>
  <c r="BL92" i="12"/>
  <c r="BM92" i="12"/>
  <c r="BN92" i="12"/>
  <c r="BO92" i="12"/>
  <c r="BP92" i="12"/>
  <c r="BQ92" i="12"/>
  <c r="BR92" i="12"/>
  <c r="BS92" i="12"/>
  <c r="BT92" i="12"/>
  <c r="BU92" i="12"/>
  <c r="BV92" i="12"/>
  <c r="BW92" i="12"/>
  <c r="BX92" i="12"/>
  <c r="BY92" i="12"/>
  <c r="BZ92" i="12"/>
  <c r="CA92" i="12"/>
  <c r="CB92" i="12"/>
  <c r="CC92" i="12"/>
  <c r="CD92" i="12"/>
  <c r="CE92" i="12"/>
  <c r="CF92" i="12"/>
  <c r="CG92" i="12"/>
  <c r="CH92" i="12"/>
  <c r="CI92" i="12"/>
  <c r="CJ92" i="12"/>
  <c r="CK92" i="12"/>
  <c r="CL92" i="12"/>
  <c r="CM92" i="12"/>
  <c r="CN92" i="12"/>
  <c r="CO92" i="12"/>
  <c r="CP92" i="12"/>
  <c r="CQ92" i="12"/>
  <c r="CR92" i="12"/>
  <c r="CS92" i="12"/>
  <c r="CT92" i="12"/>
  <c r="CU92" i="12"/>
  <c r="CV92" i="12"/>
  <c r="CW92" i="12"/>
  <c r="CX92" i="12"/>
  <c r="CY92" i="12"/>
  <c r="CZ92" i="12"/>
  <c r="DA92" i="12"/>
  <c r="DB92" i="12"/>
  <c r="DC92" i="12"/>
  <c r="DD92" i="12"/>
  <c r="DE92" i="12"/>
  <c r="DF92" i="12"/>
  <c r="DG92" i="12"/>
  <c r="DH92" i="12"/>
  <c r="DI92" i="12"/>
  <c r="DJ92" i="12"/>
  <c r="DK92" i="12"/>
  <c r="DL92" i="12"/>
  <c r="DM92" i="12"/>
  <c r="DN92" i="12"/>
  <c r="DO92" i="12"/>
  <c r="DP92" i="12"/>
  <c r="DQ92" i="12"/>
  <c r="DR92" i="12"/>
  <c r="DS92" i="12"/>
  <c r="DT92" i="12"/>
  <c r="DU92" i="12"/>
  <c r="DV92" i="12"/>
  <c r="DW92" i="12"/>
  <c r="DZ92" i="12"/>
  <c r="EA92" i="12"/>
  <c r="EB92" i="12"/>
  <c r="AM93" i="12"/>
  <c r="AI93" i="12"/>
  <c r="AN93" i="12"/>
  <c r="AP93" i="12"/>
  <c r="AR93" i="12"/>
  <c r="AT93" i="12"/>
  <c r="AV93" i="12"/>
  <c r="AX93" i="12"/>
  <c r="AZ93" i="12"/>
  <c r="BB93" i="12"/>
  <c r="BD93" i="12"/>
  <c r="BF93" i="12"/>
  <c r="BG93" i="12"/>
  <c r="BH93" i="12"/>
  <c r="BI93" i="12"/>
  <c r="BJ93" i="12"/>
  <c r="BK93" i="12"/>
  <c r="BL93" i="12"/>
  <c r="BM93" i="12"/>
  <c r="BN93" i="12"/>
  <c r="BO93" i="12"/>
  <c r="BP93" i="12"/>
  <c r="BQ93" i="12"/>
  <c r="BR93" i="12"/>
  <c r="BS93" i="12"/>
  <c r="BT93" i="12"/>
  <c r="BU93" i="12"/>
  <c r="BV93" i="12"/>
  <c r="BW93" i="12"/>
  <c r="BX93" i="12"/>
  <c r="BY93" i="12"/>
  <c r="BZ93" i="12"/>
  <c r="CA93" i="12"/>
  <c r="CB93" i="12"/>
  <c r="CC93" i="12"/>
  <c r="CD93" i="12"/>
  <c r="CE93" i="12"/>
  <c r="CF93" i="12"/>
  <c r="CG93" i="12"/>
  <c r="CH93" i="12"/>
  <c r="CI93" i="12"/>
  <c r="CJ93" i="12"/>
  <c r="CK93" i="12"/>
  <c r="CL93" i="12"/>
  <c r="CM93" i="12"/>
  <c r="CN93" i="12"/>
  <c r="CO93" i="12"/>
  <c r="CP93" i="12"/>
  <c r="CQ93" i="12"/>
  <c r="CR93" i="12"/>
  <c r="CS93" i="12"/>
  <c r="CT93" i="12"/>
  <c r="CU93" i="12"/>
  <c r="CV93" i="12"/>
  <c r="CW93" i="12"/>
  <c r="CX93" i="12"/>
  <c r="CY93" i="12"/>
  <c r="CZ93" i="12"/>
  <c r="DA93" i="12"/>
  <c r="DB93" i="12"/>
  <c r="DC93" i="12"/>
  <c r="DD93" i="12"/>
  <c r="DE93" i="12"/>
  <c r="DF93" i="12"/>
  <c r="DG93" i="12"/>
  <c r="DH93" i="12"/>
  <c r="DI93" i="12"/>
  <c r="DJ93" i="12"/>
  <c r="DK93" i="12"/>
  <c r="DL93" i="12"/>
  <c r="DM93" i="12"/>
  <c r="DN93" i="12"/>
  <c r="DO93" i="12"/>
  <c r="DP93" i="12"/>
  <c r="DQ93" i="12"/>
  <c r="DR93" i="12"/>
  <c r="DS93" i="12"/>
  <c r="DT93" i="12"/>
  <c r="DU93" i="12"/>
  <c r="DV93" i="12"/>
  <c r="DW93" i="12"/>
  <c r="DZ93" i="12"/>
  <c r="EA93" i="12"/>
  <c r="EB93" i="12"/>
  <c r="AO94" i="12"/>
  <c r="AI94" i="12"/>
  <c r="AN94" i="12"/>
  <c r="AP94" i="12"/>
  <c r="AR94" i="12"/>
  <c r="AT94" i="12"/>
  <c r="AV94" i="12"/>
  <c r="AX94" i="12"/>
  <c r="AZ94" i="12"/>
  <c r="BB94" i="12"/>
  <c r="BD94" i="12"/>
  <c r="BF94" i="12"/>
  <c r="BG94" i="12"/>
  <c r="BH94" i="12"/>
  <c r="BI94" i="12"/>
  <c r="BJ94" i="12"/>
  <c r="BK94" i="12"/>
  <c r="BL94" i="12"/>
  <c r="BM94" i="12"/>
  <c r="BN94" i="12"/>
  <c r="BO94" i="12"/>
  <c r="BP94" i="12"/>
  <c r="BQ94" i="12"/>
  <c r="BR94" i="12"/>
  <c r="BS94" i="12"/>
  <c r="BT94" i="12"/>
  <c r="BU94" i="12"/>
  <c r="BV94" i="12"/>
  <c r="BW94" i="12"/>
  <c r="BX94" i="12"/>
  <c r="BY94" i="12"/>
  <c r="BZ94" i="12"/>
  <c r="CA94" i="12"/>
  <c r="CB94" i="12"/>
  <c r="CC94" i="12"/>
  <c r="CD94" i="12"/>
  <c r="CE94" i="12"/>
  <c r="CF94" i="12"/>
  <c r="CG94" i="12"/>
  <c r="CH94" i="12"/>
  <c r="CI94" i="12"/>
  <c r="CJ94" i="12"/>
  <c r="CK94" i="12"/>
  <c r="CL94" i="12"/>
  <c r="CM94" i="12"/>
  <c r="CN94" i="12"/>
  <c r="CO94" i="12"/>
  <c r="CP94" i="12"/>
  <c r="CQ94" i="12"/>
  <c r="CR94" i="12"/>
  <c r="CS94" i="12"/>
  <c r="CT94" i="12"/>
  <c r="CU94" i="12"/>
  <c r="CV94" i="12"/>
  <c r="CW94" i="12"/>
  <c r="CX94" i="12"/>
  <c r="CY94" i="12"/>
  <c r="CZ94" i="12"/>
  <c r="DA94" i="12"/>
  <c r="DB94" i="12"/>
  <c r="DC94" i="12"/>
  <c r="DD94" i="12"/>
  <c r="DE94" i="12"/>
  <c r="DF94" i="12"/>
  <c r="DG94" i="12"/>
  <c r="DH94" i="12"/>
  <c r="DI94" i="12"/>
  <c r="DJ94" i="12"/>
  <c r="DK94" i="12"/>
  <c r="DL94" i="12"/>
  <c r="DM94" i="12"/>
  <c r="DN94" i="12"/>
  <c r="DO94" i="12"/>
  <c r="DP94" i="12"/>
  <c r="DQ94" i="12"/>
  <c r="DR94" i="12"/>
  <c r="DS94" i="12"/>
  <c r="DT94" i="12"/>
  <c r="DU94" i="12"/>
  <c r="DV94" i="12"/>
  <c r="DW94" i="12"/>
  <c r="DZ94" i="12"/>
  <c r="EA94" i="12"/>
  <c r="EB94" i="12"/>
  <c r="AI95" i="12"/>
  <c r="AN95" i="12"/>
  <c r="AP95" i="12"/>
  <c r="AR95" i="12"/>
  <c r="AT95" i="12"/>
  <c r="AV95" i="12"/>
  <c r="AX95" i="12"/>
  <c r="AZ95" i="12"/>
  <c r="BB95" i="12"/>
  <c r="BD95" i="12"/>
  <c r="BF95" i="12"/>
  <c r="BG95" i="12"/>
  <c r="BH95" i="12"/>
  <c r="BI95" i="12"/>
  <c r="BJ95" i="12"/>
  <c r="BK95" i="12"/>
  <c r="BL95" i="12"/>
  <c r="BM95" i="12"/>
  <c r="BN95" i="12"/>
  <c r="BO95" i="12"/>
  <c r="BP95" i="12"/>
  <c r="BQ95" i="12"/>
  <c r="BR95" i="12"/>
  <c r="BS95" i="12"/>
  <c r="BT95" i="12"/>
  <c r="BU95" i="12"/>
  <c r="BV95" i="12"/>
  <c r="BW95" i="12"/>
  <c r="BX95" i="12"/>
  <c r="BY95" i="12"/>
  <c r="BZ95" i="12"/>
  <c r="CA95" i="12"/>
  <c r="CB95" i="12"/>
  <c r="CC95" i="12"/>
  <c r="CD95" i="12"/>
  <c r="CE95" i="12"/>
  <c r="CF95" i="12"/>
  <c r="CG95" i="12"/>
  <c r="CH95" i="12"/>
  <c r="CI95" i="12"/>
  <c r="CJ95" i="12"/>
  <c r="CK95" i="12"/>
  <c r="CL95" i="12"/>
  <c r="CM95" i="12"/>
  <c r="CN95" i="12"/>
  <c r="CO95" i="12"/>
  <c r="CP95" i="12"/>
  <c r="CQ95" i="12"/>
  <c r="CR95" i="12"/>
  <c r="CS95" i="12"/>
  <c r="CT95" i="12"/>
  <c r="CU95" i="12"/>
  <c r="CV95" i="12"/>
  <c r="CW95" i="12"/>
  <c r="CX95" i="12"/>
  <c r="CY95" i="12"/>
  <c r="CZ95" i="12"/>
  <c r="DA95" i="12"/>
  <c r="DB95" i="12"/>
  <c r="DC95" i="12"/>
  <c r="DD95" i="12"/>
  <c r="DE95" i="12"/>
  <c r="DF95" i="12"/>
  <c r="DG95" i="12"/>
  <c r="DH95" i="12"/>
  <c r="DI95" i="12"/>
  <c r="DJ95" i="12"/>
  <c r="DK95" i="12"/>
  <c r="DL95" i="12"/>
  <c r="DM95" i="12"/>
  <c r="DN95" i="12"/>
  <c r="DO95" i="12"/>
  <c r="DP95" i="12"/>
  <c r="DQ95" i="12"/>
  <c r="DR95" i="12"/>
  <c r="DS95" i="12"/>
  <c r="DT95" i="12"/>
  <c r="DU95" i="12"/>
  <c r="DV95" i="12"/>
  <c r="DW95" i="12"/>
  <c r="DZ95" i="12"/>
  <c r="EA95" i="12"/>
  <c r="EB95" i="12"/>
  <c r="AI96" i="12"/>
  <c r="AN96" i="12"/>
  <c r="AP96" i="12"/>
  <c r="AR96" i="12"/>
  <c r="AT96" i="12"/>
  <c r="AV96" i="12"/>
  <c r="AX96" i="12"/>
  <c r="AZ96" i="12"/>
  <c r="BB96" i="12"/>
  <c r="BD96" i="12"/>
  <c r="BF96" i="12"/>
  <c r="BG96" i="12"/>
  <c r="BH96" i="12"/>
  <c r="BI96" i="12"/>
  <c r="BJ96" i="12"/>
  <c r="BK96" i="12"/>
  <c r="BL96" i="12"/>
  <c r="BM96" i="12"/>
  <c r="BN96" i="12"/>
  <c r="BO96" i="12"/>
  <c r="BP96" i="12"/>
  <c r="BQ96" i="12"/>
  <c r="BR96" i="12"/>
  <c r="BS96" i="12"/>
  <c r="BT96" i="12"/>
  <c r="BU96" i="12"/>
  <c r="BV96" i="12"/>
  <c r="BW96" i="12"/>
  <c r="BX96" i="12"/>
  <c r="BY96" i="12"/>
  <c r="BZ96" i="12"/>
  <c r="CA96" i="12"/>
  <c r="CB96" i="12"/>
  <c r="CC96" i="12"/>
  <c r="CD96" i="12"/>
  <c r="CE96" i="12"/>
  <c r="CF96" i="12"/>
  <c r="CG96" i="12"/>
  <c r="CH96" i="12"/>
  <c r="CI96" i="12"/>
  <c r="CJ96" i="12"/>
  <c r="CK96" i="12"/>
  <c r="CL96" i="12"/>
  <c r="CM96" i="12"/>
  <c r="CN96" i="12"/>
  <c r="CO96" i="12"/>
  <c r="CP96" i="12"/>
  <c r="CQ96" i="12"/>
  <c r="CR96" i="12"/>
  <c r="CS96" i="12"/>
  <c r="CT96" i="12"/>
  <c r="CU96" i="12"/>
  <c r="CV96" i="12"/>
  <c r="CW96" i="12"/>
  <c r="CX96" i="12"/>
  <c r="CY96" i="12"/>
  <c r="CZ96" i="12"/>
  <c r="DA96" i="12"/>
  <c r="DB96" i="12"/>
  <c r="DC96" i="12"/>
  <c r="DD96" i="12"/>
  <c r="DE96" i="12"/>
  <c r="DF96" i="12"/>
  <c r="DG96" i="12"/>
  <c r="DH96" i="12"/>
  <c r="DI96" i="12"/>
  <c r="DJ96" i="12"/>
  <c r="DK96" i="12"/>
  <c r="DL96" i="12"/>
  <c r="DM96" i="12"/>
  <c r="DN96" i="12"/>
  <c r="DO96" i="12"/>
  <c r="DP96" i="12"/>
  <c r="DQ96" i="12"/>
  <c r="DR96" i="12"/>
  <c r="DS96" i="12"/>
  <c r="DT96" i="12"/>
  <c r="DU96" i="12"/>
  <c r="DV96" i="12"/>
  <c r="DW96" i="12"/>
  <c r="DZ96" i="12"/>
  <c r="EA96" i="12"/>
  <c r="EB96" i="12"/>
  <c r="E97" i="12"/>
  <c r="AV97" i="12" s="1"/>
  <c r="BF97" i="12"/>
  <c r="BG97" i="12"/>
  <c r="BH97" i="12"/>
  <c r="BI97" i="12"/>
  <c r="BJ97" i="12"/>
  <c r="BK97" i="12"/>
  <c r="BL97" i="12"/>
  <c r="BM97" i="12"/>
  <c r="BN97" i="12"/>
  <c r="BO97" i="12"/>
  <c r="BP97" i="12"/>
  <c r="BQ97" i="12"/>
  <c r="BR97" i="12"/>
  <c r="BS97" i="12"/>
  <c r="BT97" i="12"/>
  <c r="BU97" i="12"/>
  <c r="BV97" i="12"/>
  <c r="BW97" i="12"/>
  <c r="BX97" i="12"/>
  <c r="BY97" i="12"/>
  <c r="BZ97" i="12"/>
  <c r="CA97" i="12"/>
  <c r="CB97" i="12"/>
  <c r="CC97" i="12"/>
  <c r="CD97" i="12"/>
  <c r="CE97" i="12"/>
  <c r="CF97" i="12"/>
  <c r="CG97" i="12"/>
  <c r="CH97" i="12"/>
  <c r="CI97" i="12"/>
  <c r="CJ97" i="12"/>
  <c r="CK97" i="12"/>
  <c r="CL97" i="12"/>
  <c r="CM97" i="12"/>
  <c r="CN97" i="12"/>
  <c r="CO97" i="12"/>
  <c r="CP97" i="12"/>
  <c r="CQ97" i="12"/>
  <c r="CR97" i="12"/>
  <c r="CS97" i="12"/>
  <c r="CT97" i="12"/>
  <c r="CU97" i="12"/>
  <c r="CV97" i="12"/>
  <c r="CW97" i="12"/>
  <c r="CX97" i="12"/>
  <c r="CY97" i="12"/>
  <c r="CZ97" i="12"/>
  <c r="DA97" i="12"/>
  <c r="DB97" i="12"/>
  <c r="DC97" i="12"/>
  <c r="DD97" i="12"/>
  <c r="DE97" i="12"/>
  <c r="DF97" i="12"/>
  <c r="DG97" i="12"/>
  <c r="DH97" i="12"/>
  <c r="DI97" i="12"/>
  <c r="DJ97" i="12"/>
  <c r="DK97" i="12"/>
  <c r="DL97" i="12"/>
  <c r="DM97" i="12"/>
  <c r="DN97" i="12"/>
  <c r="DO97" i="12"/>
  <c r="DP97" i="12"/>
  <c r="DQ97" i="12"/>
  <c r="DR97" i="12"/>
  <c r="DS97" i="12"/>
  <c r="DT97" i="12"/>
  <c r="DU97" i="12"/>
  <c r="DV97" i="12"/>
  <c r="DW97" i="12"/>
  <c r="DZ97" i="12"/>
  <c r="EA97" i="12"/>
  <c r="EB97" i="12"/>
  <c r="AQ98" i="12"/>
  <c r="AI98" i="12"/>
  <c r="AN98" i="12"/>
  <c r="AP98" i="12"/>
  <c r="AR98" i="12"/>
  <c r="AT98" i="12"/>
  <c r="AV98" i="12"/>
  <c r="AX98" i="12"/>
  <c r="AZ98" i="12"/>
  <c r="BB98" i="12"/>
  <c r="BD98" i="12"/>
  <c r="BF98" i="12"/>
  <c r="BG98" i="12"/>
  <c r="BH98" i="12"/>
  <c r="BI98" i="12"/>
  <c r="BJ98" i="12"/>
  <c r="BK98" i="12"/>
  <c r="BL98" i="12"/>
  <c r="BM98" i="12"/>
  <c r="BN98" i="12"/>
  <c r="BO98" i="12"/>
  <c r="BP98" i="12"/>
  <c r="BQ98" i="12"/>
  <c r="BR98" i="12"/>
  <c r="BS98" i="12"/>
  <c r="BT98" i="12"/>
  <c r="BU98" i="12"/>
  <c r="BV98" i="12"/>
  <c r="BW98" i="12"/>
  <c r="BX98" i="12"/>
  <c r="BY98" i="12"/>
  <c r="BZ98" i="12"/>
  <c r="CA98" i="12"/>
  <c r="CB98" i="12"/>
  <c r="CC98" i="12"/>
  <c r="CD98" i="12"/>
  <c r="CE98" i="12"/>
  <c r="CF98" i="12"/>
  <c r="CG98" i="12"/>
  <c r="CH98" i="12"/>
  <c r="CI98" i="12"/>
  <c r="CJ98" i="12"/>
  <c r="CK98" i="12"/>
  <c r="CL98" i="12"/>
  <c r="CM98" i="12"/>
  <c r="CN98" i="12"/>
  <c r="CO98" i="12"/>
  <c r="CP98" i="12"/>
  <c r="CQ98" i="12"/>
  <c r="CR98" i="12"/>
  <c r="CS98" i="12"/>
  <c r="CT98" i="12"/>
  <c r="CU98" i="12"/>
  <c r="CV98" i="12"/>
  <c r="CW98" i="12"/>
  <c r="CX98" i="12"/>
  <c r="CY98" i="12"/>
  <c r="CZ98" i="12"/>
  <c r="DA98" i="12"/>
  <c r="DB98" i="12"/>
  <c r="DC98" i="12"/>
  <c r="DD98" i="12"/>
  <c r="DE98" i="12"/>
  <c r="DF98" i="12"/>
  <c r="DG98" i="12"/>
  <c r="DH98" i="12"/>
  <c r="DI98" i="12"/>
  <c r="DJ98" i="12"/>
  <c r="DK98" i="12"/>
  <c r="DL98" i="12"/>
  <c r="DM98" i="12"/>
  <c r="DN98" i="12"/>
  <c r="DO98" i="12"/>
  <c r="DP98" i="12"/>
  <c r="DQ98" i="12"/>
  <c r="DR98" i="12"/>
  <c r="DS98" i="12"/>
  <c r="DT98" i="12"/>
  <c r="DU98" i="12"/>
  <c r="DV98" i="12"/>
  <c r="DW98" i="12"/>
  <c r="DZ98" i="12"/>
  <c r="EA98" i="12"/>
  <c r="EB98" i="12"/>
  <c r="AQ101" i="12"/>
  <c r="AI101" i="12"/>
  <c r="AN101" i="12"/>
  <c r="AP101" i="12"/>
  <c r="AR101" i="12"/>
  <c r="AT101" i="12"/>
  <c r="AV101" i="12"/>
  <c r="AX101" i="12"/>
  <c r="AZ101" i="12"/>
  <c r="BB101" i="12"/>
  <c r="BD101" i="12"/>
  <c r="BF101" i="12"/>
  <c r="BG101" i="12"/>
  <c r="BH101" i="12"/>
  <c r="BI101" i="12"/>
  <c r="BJ101" i="12"/>
  <c r="BK101" i="12"/>
  <c r="BL101" i="12"/>
  <c r="BM101" i="12"/>
  <c r="BN101" i="12"/>
  <c r="BO101" i="12"/>
  <c r="BP101" i="12"/>
  <c r="BQ101" i="12"/>
  <c r="BR101" i="12"/>
  <c r="BS101" i="12"/>
  <c r="BT101" i="12"/>
  <c r="BU101" i="12"/>
  <c r="BV101" i="12"/>
  <c r="BW101" i="12"/>
  <c r="BX101" i="12"/>
  <c r="BY101" i="12"/>
  <c r="BZ101" i="12"/>
  <c r="CA101" i="12"/>
  <c r="CB101" i="12"/>
  <c r="CC101" i="12"/>
  <c r="CD101" i="12"/>
  <c r="CE101" i="12"/>
  <c r="CF101" i="12"/>
  <c r="CG101" i="12"/>
  <c r="CH101" i="12"/>
  <c r="CI101" i="12"/>
  <c r="CJ101" i="12"/>
  <c r="CK101" i="12"/>
  <c r="CL101" i="12"/>
  <c r="CM101" i="12"/>
  <c r="CN101" i="12"/>
  <c r="CO101" i="12"/>
  <c r="CP101" i="12"/>
  <c r="CQ101" i="12"/>
  <c r="CR101" i="12"/>
  <c r="CS101" i="12"/>
  <c r="CT101" i="12"/>
  <c r="CU101" i="12"/>
  <c r="CV101" i="12"/>
  <c r="CW101" i="12"/>
  <c r="CX101" i="12"/>
  <c r="CY101" i="12"/>
  <c r="CZ101" i="12"/>
  <c r="DA101" i="12"/>
  <c r="DB101" i="12"/>
  <c r="DC101" i="12"/>
  <c r="DD101" i="12"/>
  <c r="DE101" i="12"/>
  <c r="DF101" i="12"/>
  <c r="DG101" i="12"/>
  <c r="DH101" i="12"/>
  <c r="DI101" i="12"/>
  <c r="DJ101" i="12"/>
  <c r="DK101" i="12"/>
  <c r="DL101" i="12"/>
  <c r="DM101" i="12"/>
  <c r="DN101" i="12"/>
  <c r="DO101" i="12"/>
  <c r="DP101" i="12"/>
  <c r="DQ101" i="12"/>
  <c r="DR101" i="12"/>
  <c r="DS101" i="12"/>
  <c r="DT101" i="12"/>
  <c r="DU101" i="12"/>
  <c r="DV101" i="12"/>
  <c r="DW101" i="12"/>
  <c r="DZ101" i="12"/>
  <c r="EA101" i="12"/>
  <c r="EB101" i="12"/>
  <c r="AO102" i="12"/>
  <c r="AI102" i="12"/>
  <c r="AN102" i="12"/>
  <c r="AP102" i="12"/>
  <c r="AR102" i="12"/>
  <c r="AT102" i="12"/>
  <c r="AV102" i="12"/>
  <c r="AX102" i="12"/>
  <c r="AZ102" i="12"/>
  <c r="BB102" i="12"/>
  <c r="BD102" i="12"/>
  <c r="BF102" i="12"/>
  <c r="BG102" i="12"/>
  <c r="BH102" i="12"/>
  <c r="BI102" i="12"/>
  <c r="BJ102" i="12"/>
  <c r="BK102" i="12"/>
  <c r="BL102" i="12"/>
  <c r="BM102" i="12"/>
  <c r="BN102" i="12"/>
  <c r="BO102" i="12"/>
  <c r="BP102" i="12"/>
  <c r="BQ102" i="12"/>
  <c r="BR102" i="12"/>
  <c r="BS102" i="12"/>
  <c r="BT102" i="12"/>
  <c r="BU102" i="12"/>
  <c r="BV102" i="12"/>
  <c r="BW102" i="12"/>
  <c r="BX102" i="12"/>
  <c r="BY102" i="12"/>
  <c r="BZ102" i="12"/>
  <c r="CA102" i="12"/>
  <c r="CB102" i="12"/>
  <c r="CC102" i="12"/>
  <c r="CD102" i="12"/>
  <c r="CE102" i="12"/>
  <c r="CF102" i="12"/>
  <c r="CG102" i="12"/>
  <c r="CH102" i="12"/>
  <c r="CI102" i="12"/>
  <c r="CJ102" i="12"/>
  <c r="CK102" i="12"/>
  <c r="CL102" i="12"/>
  <c r="CM102" i="12"/>
  <c r="CN102" i="12"/>
  <c r="CO102" i="12"/>
  <c r="CP102" i="12"/>
  <c r="CQ102" i="12"/>
  <c r="CR102" i="12"/>
  <c r="CS102" i="12"/>
  <c r="CT102" i="12"/>
  <c r="CU102" i="12"/>
  <c r="CV102" i="12"/>
  <c r="CW102" i="12"/>
  <c r="CX102" i="12"/>
  <c r="CY102" i="12"/>
  <c r="CZ102" i="12"/>
  <c r="DA102" i="12"/>
  <c r="DB102" i="12"/>
  <c r="DC102" i="12"/>
  <c r="DD102" i="12"/>
  <c r="DE102" i="12"/>
  <c r="DF102" i="12"/>
  <c r="DG102" i="12"/>
  <c r="DH102" i="12"/>
  <c r="DI102" i="12"/>
  <c r="DJ102" i="12"/>
  <c r="DK102" i="12"/>
  <c r="DL102" i="12"/>
  <c r="DM102" i="12"/>
  <c r="DN102" i="12"/>
  <c r="DO102" i="12"/>
  <c r="DP102" i="12"/>
  <c r="DQ102" i="12"/>
  <c r="DR102" i="12"/>
  <c r="DS102" i="12"/>
  <c r="DT102" i="12"/>
  <c r="DU102" i="12"/>
  <c r="DV102" i="12"/>
  <c r="DW102" i="12"/>
  <c r="DZ102" i="12"/>
  <c r="EA102" i="12"/>
  <c r="EB102" i="12"/>
  <c r="AQ103" i="12"/>
  <c r="AI103" i="12"/>
  <c r="AN103" i="12"/>
  <c r="AP103" i="12"/>
  <c r="AR103" i="12"/>
  <c r="AT103" i="12"/>
  <c r="AV103" i="12"/>
  <c r="AX103" i="12"/>
  <c r="AZ103" i="12"/>
  <c r="BB103" i="12"/>
  <c r="BD103" i="12"/>
  <c r="BF103" i="12"/>
  <c r="BG103" i="12"/>
  <c r="BH103" i="12"/>
  <c r="BI103" i="12"/>
  <c r="BJ103" i="12"/>
  <c r="BK103" i="12"/>
  <c r="BL103" i="12"/>
  <c r="BM103" i="12"/>
  <c r="BN103" i="12"/>
  <c r="BO103" i="12"/>
  <c r="BP103" i="12"/>
  <c r="BQ103" i="12"/>
  <c r="BR103" i="12"/>
  <c r="BS103" i="12"/>
  <c r="BT103" i="12"/>
  <c r="BU103" i="12"/>
  <c r="BV103" i="12"/>
  <c r="BW103" i="12"/>
  <c r="BX103" i="12"/>
  <c r="BY103" i="12"/>
  <c r="BZ103" i="12"/>
  <c r="CA103" i="12"/>
  <c r="CB103" i="12"/>
  <c r="CC103" i="12"/>
  <c r="CD103" i="12"/>
  <c r="CE103" i="12"/>
  <c r="CF103" i="12"/>
  <c r="CG103" i="12"/>
  <c r="CH103" i="12"/>
  <c r="CI103" i="12"/>
  <c r="CJ103" i="12"/>
  <c r="CK103" i="12"/>
  <c r="CL103" i="12"/>
  <c r="CM103" i="12"/>
  <c r="CN103" i="12"/>
  <c r="CO103" i="12"/>
  <c r="CP103" i="12"/>
  <c r="CQ103" i="12"/>
  <c r="CR103" i="12"/>
  <c r="CS103" i="12"/>
  <c r="CT103" i="12"/>
  <c r="CU103" i="12"/>
  <c r="CV103" i="12"/>
  <c r="CW103" i="12"/>
  <c r="CX103" i="12"/>
  <c r="CY103" i="12"/>
  <c r="CZ103" i="12"/>
  <c r="DA103" i="12"/>
  <c r="DB103" i="12"/>
  <c r="DC103" i="12"/>
  <c r="DD103" i="12"/>
  <c r="DE103" i="12"/>
  <c r="DF103" i="12"/>
  <c r="DG103" i="12"/>
  <c r="DH103" i="12"/>
  <c r="DI103" i="12"/>
  <c r="DJ103" i="12"/>
  <c r="DK103" i="12"/>
  <c r="DL103" i="12"/>
  <c r="DM103" i="12"/>
  <c r="DN103" i="12"/>
  <c r="DO103" i="12"/>
  <c r="DP103" i="12"/>
  <c r="DQ103" i="12"/>
  <c r="DR103" i="12"/>
  <c r="DS103" i="12"/>
  <c r="DT103" i="12"/>
  <c r="DU103" i="12"/>
  <c r="DV103" i="12"/>
  <c r="DW103" i="12"/>
  <c r="DZ103" i="12"/>
  <c r="EA103" i="12"/>
  <c r="EB103" i="12"/>
  <c r="AQ104" i="12"/>
  <c r="AI104" i="12"/>
  <c r="AN104" i="12"/>
  <c r="AP104" i="12"/>
  <c r="AR104" i="12"/>
  <c r="AT104" i="12"/>
  <c r="AV104" i="12"/>
  <c r="AX104" i="12"/>
  <c r="AZ104" i="12"/>
  <c r="BB104" i="12"/>
  <c r="BD104" i="12"/>
  <c r="BF104" i="12"/>
  <c r="BG104" i="12"/>
  <c r="BH104" i="12"/>
  <c r="BI104" i="12"/>
  <c r="BJ104" i="12"/>
  <c r="BK104" i="12"/>
  <c r="BL104" i="12"/>
  <c r="BM104" i="12"/>
  <c r="BN104" i="12"/>
  <c r="BO104" i="12"/>
  <c r="BP104" i="12"/>
  <c r="BQ104" i="12"/>
  <c r="BR104" i="12"/>
  <c r="BS104" i="12"/>
  <c r="BT104" i="12"/>
  <c r="BU104" i="12"/>
  <c r="BV104" i="12"/>
  <c r="BW104" i="12"/>
  <c r="BX104" i="12"/>
  <c r="BY104" i="12"/>
  <c r="BZ104" i="12"/>
  <c r="CA104" i="12"/>
  <c r="CB104" i="12"/>
  <c r="CC104" i="12"/>
  <c r="CD104" i="12"/>
  <c r="CE104" i="12"/>
  <c r="CF104" i="12"/>
  <c r="CG104" i="12"/>
  <c r="CH104" i="12"/>
  <c r="CI104" i="12"/>
  <c r="CJ104" i="12"/>
  <c r="CK104" i="12"/>
  <c r="CL104" i="12"/>
  <c r="CM104" i="12"/>
  <c r="CN104" i="12"/>
  <c r="CO104" i="12"/>
  <c r="CP104" i="12"/>
  <c r="CQ104" i="12"/>
  <c r="CR104" i="12"/>
  <c r="CS104" i="12"/>
  <c r="CT104" i="12"/>
  <c r="CU104" i="12"/>
  <c r="CV104" i="12"/>
  <c r="CW104" i="12"/>
  <c r="CX104" i="12"/>
  <c r="CY104" i="12"/>
  <c r="CZ104" i="12"/>
  <c r="DA104" i="12"/>
  <c r="DB104" i="12"/>
  <c r="DC104" i="12"/>
  <c r="DD104" i="12"/>
  <c r="DE104" i="12"/>
  <c r="DF104" i="12"/>
  <c r="DG104" i="12"/>
  <c r="DH104" i="12"/>
  <c r="DI104" i="12"/>
  <c r="DJ104" i="12"/>
  <c r="DK104" i="12"/>
  <c r="DL104" i="12"/>
  <c r="DM104" i="12"/>
  <c r="DN104" i="12"/>
  <c r="DO104" i="12"/>
  <c r="DP104" i="12"/>
  <c r="DQ104" i="12"/>
  <c r="DR104" i="12"/>
  <c r="DS104" i="12"/>
  <c r="DT104" i="12"/>
  <c r="DU104" i="12"/>
  <c r="DV104" i="12"/>
  <c r="DW104" i="12"/>
  <c r="DZ104" i="12"/>
  <c r="EA104" i="12"/>
  <c r="EB104" i="12"/>
  <c r="AO105" i="12"/>
  <c r="AI105" i="12"/>
  <c r="AN105" i="12"/>
  <c r="AP105" i="12"/>
  <c r="AR105" i="12"/>
  <c r="AT105" i="12"/>
  <c r="AV105" i="12"/>
  <c r="AX105" i="12"/>
  <c r="AZ105" i="12"/>
  <c r="BB105" i="12"/>
  <c r="BD105" i="12"/>
  <c r="BF105" i="12"/>
  <c r="BG105" i="12"/>
  <c r="BH105" i="12"/>
  <c r="BI105" i="12"/>
  <c r="BJ105" i="12"/>
  <c r="BK105" i="12"/>
  <c r="BL105" i="12"/>
  <c r="BM105" i="12"/>
  <c r="BN105" i="12"/>
  <c r="BO105" i="12"/>
  <c r="BP105" i="12"/>
  <c r="BQ105" i="12"/>
  <c r="BR105" i="12"/>
  <c r="BS105" i="12"/>
  <c r="BT105" i="12"/>
  <c r="BU105" i="12"/>
  <c r="BV105" i="12"/>
  <c r="BW105" i="12"/>
  <c r="BX105" i="12"/>
  <c r="BY105" i="12"/>
  <c r="BZ105" i="12"/>
  <c r="CA105" i="12"/>
  <c r="CB105" i="12"/>
  <c r="CC105" i="12"/>
  <c r="CD105" i="12"/>
  <c r="CE105" i="12"/>
  <c r="CF105" i="12"/>
  <c r="CG105" i="12"/>
  <c r="CH105" i="12"/>
  <c r="CI105" i="12"/>
  <c r="CJ105" i="12"/>
  <c r="CK105" i="12"/>
  <c r="CL105" i="12"/>
  <c r="CM105" i="12"/>
  <c r="CN105" i="12"/>
  <c r="CO105" i="12"/>
  <c r="CP105" i="12"/>
  <c r="CQ105" i="12"/>
  <c r="CR105" i="12"/>
  <c r="CS105" i="12"/>
  <c r="CT105" i="12"/>
  <c r="CU105" i="12"/>
  <c r="CV105" i="12"/>
  <c r="CW105" i="12"/>
  <c r="CX105" i="12"/>
  <c r="CY105" i="12"/>
  <c r="CZ105" i="12"/>
  <c r="DA105" i="12"/>
  <c r="DB105" i="12"/>
  <c r="DC105" i="12"/>
  <c r="DD105" i="12"/>
  <c r="DE105" i="12"/>
  <c r="DF105" i="12"/>
  <c r="DG105" i="12"/>
  <c r="DH105" i="12"/>
  <c r="DI105" i="12"/>
  <c r="DJ105" i="12"/>
  <c r="DK105" i="12"/>
  <c r="DL105" i="12"/>
  <c r="DM105" i="12"/>
  <c r="DN105" i="12"/>
  <c r="DO105" i="12"/>
  <c r="DP105" i="12"/>
  <c r="DQ105" i="12"/>
  <c r="DR105" i="12"/>
  <c r="DS105" i="12"/>
  <c r="DT105" i="12"/>
  <c r="DU105" i="12"/>
  <c r="DV105" i="12"/>
  <c r="DW105" i="12"/>
  <c r="DZ105" i="12"/>
  <c r="EA105" i="12"/>
  <c r="EB105" i="12"/>
  <c r="AQ106" i="12"/>
  <c r="AI106" i="12"/>
  <c r="AN106" i="12"/>
  <c r="AP106" i="12"/>
  <c r="AR106" i="12"/>
  <c r="AT106" i="12"/>
  <c r="AV106" i="12"/>
  <c r="AX106" i="12"/>
  <c r="AZ106" i="12"/>
  <c r="BB106" i="12"/>
  <c r="BD106" i="12"/>
  <c r="BF106" i="12"/>
  <c r="BG106" i="12"/>
  <c r="BH106" i="12"/>
  <c r="BI106" i="12"/>
  <c r="BJ106" i="12"/>
  <c r="BK106" i="12"/>
  <c r="BL106" i="12"/>
  <c r="BM106" i="12"/>
  <c r="BN106" i="12"/>
  <c r="BO106" i="12"/>
  <c r="BP106" i="12"/>
  <c r="BQ106" i="12"/>
  <c r="BR106" i="12"/>
  <c r="BS106" i="12"/>
  <c r="BT106" i="12"/>
  <c r="BU106" i="12"/>
  <c r="BV106" i="12"/>
  <c r="BW106" i="12"/>
  <c r="BX106" i="12"/>
  <c r="BY106" i="12"/>
  <c r="BZ106" i="12"/>
  <c r="CA106" i="12"/>
  <c r="CB106" i="12"/>
  <c r="CC106" i="12"/>
  <c r="CD106" i="12"/>
  <c r="CE106" i="12"/>
  <c r="CF106" i="12"/>
  <c r="CG106" i="12"/>
  <c r="CH106" i="12"/>
  <c r="CI106" i="12"/>
  <c r="CJ106" i="12"/>
  <c r="CK106" i="12"/>
  <c r="CL106" i="12"/>
  <c r="CM106" i="12"/>
  <c r="CN106" i="12"/>
  <c r="CO106" i="12"/>
  <c r="CP106" i="12"/>
  <c r="CQ106" i="12"/>
  <c r="CR106" i="12"/>
  <c r="CS106" i="12"/>
  <c r="CT106" i="12"/>
  <c r="CU106" i="12"/>
  <c r="CV106" i="12"/>
  <c r="CW106" i="12"/>
  <c r="CX106" i="12"/>
  <c r="CY106" i="12"/>
  <c r="CZ106" i="12"/>
  <c r="DA106" i="12"/>
  <c r="DB106" i="12"/>
  <c r="DC106" i="12"/>
  <c r="DD106" i="12"/>
  <c r="DE106" i="12"/>
  <c r="DF106" i="12"/>
  <c r="DG106" i="12"/>
  <c r="DH106" i="12"/>
  <c r="DI106" i="12"/>
  <c r="DJ106" i="12"/>
  <c r="DK106" i="12"/>
  <c r="DL106" i="12"/>
  <c r="DM106" i="12"/>
  <c r="DN106" i="12"/>
  <c r="DO106" i="12"/>
  <c r="DP106" i="12"/>
  <c r="DQ106" i="12"/>
  <c r="DR106" i="12"/>
  <c r="DS106" i="12"/>
  <c r="DT106" i="12"/>
  <c r="DU106" i="12"/>
  <c r="DV106" i="12"/>
  <c r="DW106" i="12"/>
  <c r="DZ106" i="12"/>
  <c r="EA106" i="12"/>
  <c r="EB106" i="12"/>
  <c r="AI113" i="12"/>
  <c r="AN113" i="12"/>
  <c r="AP113" i="12"/>
  <c r="AR113" i="12"/>
  <c r="AT113" i="12"/>
  <c r="AV113" i="12"/>
  <c r="AX113" i="12"/>
  <c r="AZ113" i="12"/>
  <c r="BB113" i="12"/>
  <c r="BD113" i="12"/>
  <c r="BF113" i="12"/>
  <c r="BG113" i="12"/>
  <c r="BH113" i="12"/>
  <c r="BI113" i="12"/>
  <c r="BJ113" i="12"/>
  <c r="BK113" i="12"/>
  <c r="BL113" i="12"/>
  <c r="BM113" i="12"/>
  <c r="BN113" i="12"/>
  <c r="BO113" i="12"/>
  <c r="BP113" i="12"/>
  <c r="BQ113" i="12"/>
  <c r="BR113" i="12"/>
  <c r="BS113" i="12"/>
  <c r="BT113" i="12"/>
  <c r="BU113" i="12"/>
  <c r="BV113" i="12"/>
  <c r="BW113" i="12"/>
  <c r="BX113" i="12"/>
  <c r="BY113" i="12"/>
  <c r="BZ113" i="12"/>
  <c r="CA113" i="12"/>
  <c r="CB113" i="12"/>
  <c r="CC113" i="12"/>
  <c r="CD113" i="12"/>
  <c r="CE113" i="12"/>
  <c r="CF113" i="12"/>
  <c r="CG113" i="12"/>
  <c r="CH113" i="12"/>
  <c r="CI113" i="12"/>
  <c r="CJ113" i="12"/>
  <c r="CK113" i="12"/>
  <c r="CL113" i="12"/>
  <c r="CM113" i="12"/>
  <c r="CN113" i="12"/>
  <c r="CO113" i="12"/>
  <c r="CP113" i="12"/>
  <c r="CQ113" i="12"/>
  <c r="CR113" i="12"/>
  <c r="CS113" i="12"/>
  <c r="CT113" i="12"/>
  <c r="CU113" i="12"/>
  <c r="CV113" i="12"/>
  <c r="CW113" i="12"/>
  <c r="CX113" i="12"/>
  <c r="CY113" i="12"/>
  <c r="CZ113" i="12"/>
  <c r="DA113" i="12"/>
  <c r="DB113" i="12"/>
  <c r="DC113" i="12"/>
  <c r="DD113" i="12"/>
  <c r="DE113" i="12"/>
  <c r="DF113" i="12"/>
  <c r="DG113" i="12"/>
  <c r="DH113" i="12"/>
  <c r="DI113" i="12"/>
  <c r="DJ113" i="12"/>
  <c r="DK113" i="12"/>
  <c r="DL113" i="12"/>
  <c r="DM113" i="12"/>
  <c r="DN113" i="12"/>
  <c r="DO113" i="12"/>
  <c r="DP113" i="12"/>
  <c r="DQ113" i="12"/>
  <c r="DR113" i="12"/>
  <c r="DS113" i="12"/>
  <c r="DT113" i="12"/>
  <c r="DU113" i="12"/>
  <c r="DV113" i="12"/>
  <c r="DW113" i="12"/>
  <c r="DZ113" i="12"/>
  <c r="EA113" i="12"/>
  <c r="EB113" i="12"/>
  <c r="AY112" i="12"/>
  <c r="AI112" i="12"/>
  <c r="AN112" i="12"/>
  <c r="AP112" i="12"/>
  <c r="AR112" i="12"/>
  <c r="AT112" i="12"/>
  <c r="AV112" i="12"/>
  <c r="AX112" i="12"/>
  <c r="AZ112" i="12"/>
  <c r="BB112" i="12"/>
  <c r="BD112" i="12"/>
  <c r="BF112" i="12"/>
  <c r="BG112" i="12"/>
  <c r="BH112" i="12"/>
  <c r="BI112" i="12"/>
  <c r="BJ112" i="12"/>
  <c r="BK112" i="12"/>
  <c r="BL112" i="12"/>
  <c r="BM112" i="12"/>
  <c r="BN112" i="12"/>
  <c r="BO112" i="12"/>
  <c r="BP112" i="12"/>
  <c r="BQ112" i="12"/>
  <c r="BR112" i="12"/>
  <c r="BS112" i="12"/>
  <c r="BT112" i="12"/>
  <c r="BU112" i="12"/>
  <c r="BV112" i="12"/>
  <c r="BW112" i="12"/>
  <c r="BX112" i="12"/>
  <c r="BY112" i="12"/>
  <c r="BZ112" i="12"/>
  <c r="CA112" i="12"/>
  <c r="CB112" i="12"/>
  <c r="CC112" i="12"/>
  <c r="CD112" i="12"/>
  <c r="CE112" i="12"/>
  <c r="CF112" i="12"/>
  <c r="CG112" i="12"/>
  <c r="CH112" i="12"/>
  <c r="CI112" i="12"/>
  <c r="CJ112" i="12"/>
  <c r="CK112" i="12"/>
  <c r="CL112" i="12"/>
  <c r="CM112" i="12"/>
  <c r="CN112" i="12"/>
  <c r="CO112" i="12"/>
  <c r="CP112" i="12"/>
  <c r="CQ112" i="12"/>
  <c r="CR112" i="12"/>
  <c r="CS112" i="12"/>
  <c r="CT112" i="12"/>
  <c r="CU112" i="12"/>
  <c r="CV112" i="12"/>
  <c r="CW112" i="12"/>
  <c r="CX112" i="12"/>
  <c r="CY112" i="12"/>
  <c r="CZ112" i="12"/>
  <c r="DA112" i="12"/>
  <c r="DB112" i="12"/>
  <c r="DC112" i="12"/>
  <c r="DD112" i="12"/>
  <c r="DE112" i="12"/>
  <c r="DF112" i="12"/>
  <c r="DG112" i="12"/>
  <c r="DH112" i="12"/>
  <c r="DI112" i="12"/>
  <c r="DJ112" i="12"/>
  <c r="DK112" i="12"/>
  <c r="DL112" i="12"/>
  <c r="DM112" i="12"/>
  <c r="DN112" i="12"/>
  <c r="DO112" i="12"/>
  <c r="DP112" i="12"/>
  <c r="DQ112" i="12"/>
  <c r="DR112" i="12"/>
  <c r="DS112" i="12"/>
  <c r="DT112" i="12"/>
  <c r="DU112" i="12"/>
  <c r="DV112" i="12"/>
  <c r="DW112" i="12"/>
  <c r="DZ112" i="12"/>
  <c r="EA112" i="12"/>
  <c r="EB112" i="12"/>
  <c r="AQ114" i="12"/>
  <c r="AI114" i="12"/>
  <c r="AN114" i="12"/>
  <c r="AP114" i="12"/>
  <c r="AR114" i="12"/>
  <c r="AT114" i="12"/>
  <c r="AV114" i="12"/>
  <c r="AX114" i="12"/>
  <c r="AZ114" i="12"/>
  <c r="BB114" i="12"/>
  <c r="BD114" i="12"/>
  <c r="BF114" i="12"/>
  <c r="BG114" i="12"/>
  <c r="BH114" i="12"/>
  <c r="BI114" i="12"/>
  <c r="BJ114" i="12"/>
  <c r="BK114" i="12"/>
  <c r="BL114" i="12"/>
  <c r="BM114" i="12"/>
  <c r="BN114" i="12"/>
  <c r="BO114" i="12"/>
  <c r="BP114" i="12"/>
  <c r="BQ114" i="12"/>
  <c r="BR114" i="12"/>
  <c r="BS114" i="12"/>
  <c r="BT114" i="12"/>
  <c r="BU114" i="12"/>
  <c r="BV114" i="12"/>
  <c r="BW114" i="12"/>
  <c r="BX114" i="12"/>
  <c r="BY114" i="12"/>
  <c r="BZ114" i="12"/>
  <c r="CA114" i="12"/>
  <c r="CB114" i="12"/>
  <c r="CC114" i="12"/>
  <c r="CD114" i="12"/>
  <c r="CE114" i="12"/>
  <c r="CF114" i="12"/>
  <c r="CG114" i="12"/>
  <c r="CH114" i="12"/>
  <c r="CI114" i="12"/>
  <c r="CJ114" i="12"/>
  <c r="CK114" i="12"/>
  <c r="CL114" i="12"/>
  <c r="CM114" i="12"/>
  <c r="CN114" i="12"/>
  <c r="CO114" i="12"/>
  <c r="CP114" i="12"/>
  <c r="CQ114" i="12"/>
  <c r="CR114" i="12"/>
  <c r="CS114" i="12"/>
  <c r="CT114" i="12"/>
  <c r="CU114" i="12"/>
  <c r="CV114" i="12"/>
  <c r="CW114" i="12"/>
  <c r="CX114" i="12"/>
  <c r="CY114" i="12"/>
  <c r="CZ114" i="12"/>
  <c r="DA114" i="12"/>
  <c r="DB114" i="12"/>
  <c r="DC114" i="12"/>
  <c r="DD114" i="12"/>
  <c r="DE114" i="12"/>
  <c r="DF114" i="12"/>
  <c r="DG114" i="12"/>
  <c r="DH114" i="12"/>
  <c r="DI114" i="12"/>
  <c r="DJ114" i="12"/>
  <c r="DK114" i="12"/>
  <c r="DL114" i="12"/>
  <c r="DM114" i="12"/>
  <c r="DN114" i="12"/>
  <c r="DO114" i="12"/>
  <c r="DP114" i="12"/>
  <c r="DQ114" i="12"/>
  <c r="DR114" i="12"/>
  <c r="DS114" i="12"/>
  <c r="DT114" i="12"/>
  <c r="DU114" i="12"/>
  <c r="DV114" i="12"/>
  <c r="DW114" i="12"/>
  <c r="DZ114" i="12"/>
  <c r="EA114" i="12"/>
  <c r="EB114" i="12"/>
  <c r="AQ108" i="12"/>
  <c r="AI108" i="12"/>
  <c r="AN108" i="12"/>
  <c r="AP108" i="12"/>
  <c r="AR108" i="12"/>
  <c r="AT108" i="12"/>
  <c r="AV108" i="12"/>
  <c r="AX108" i="12"/>
  <c r="AZ108" i="12"/>
  <c r="BB108" i="12"/>
  <c r="BD108" i="12"/>
  <c r="BF108" i="12"/>
  <c r="BG108" i="12"/>
  <c r="BH108" i="12"/>
  <c r="BI108" i="12"/>
  <c r="BJ108" i="12"/>
  <c r="BK108" i="12"/>
  <c r="BL108" i="12"/>
  <c r="BM108" i="12"/>
  <c r="BN108" i="12"/>
  <c r="BO108" i="12"/>
  <c r="BP108" i="12"/>
  <c r="BQ108" i="12"/>
  <c r="BR108" i="12"/>
  <c r="BS108" i="12"/>
  <c r="BT108" i="12"/>
  <c r="BU108" i="12"/>
  <c r="BV108" i="12"/>
  <c r="BW108" i="12"/>
  <c r="BX108" i="12"/>
  <c r="BY108" i="12"/>
  <c r="BZ108" i="12"/>
  <c r="CA108" i="12"/>
  <c r="CB108" i="12"/>
  <c r="CC108" i="12"/>
  <c r="CD108" i="12"/>
  <c r="CE108" i="12"/>
  <c r="CF108" i="12"/>
  <c r="CG108" i="12"/>
  <c r="CH108" i="12"/>
  <c r="CI108" i="12"/>
  <c r="CJ108" i="12"/>
  <c r="CK108" i="12"/>
  <c r="CL108" i="12"/>
  <c r="CM108" i="12"/>
  <c r="CN108" i="12"/>
  <c r="CO108" i="12"/>
  <c r="CP108" i="12"/>
  <c r="CQ108" i="12"/>
  <c r="CR108" i="12"/>
  <c r="CS108" i="12"/>
  <c r="CT108" i="12"/>
  <c r="CU108" i="12"/>
  <c r="CV108" i="12"/>
  <c r="CW108" i="12"/>
  <c r="CX108" i="12"/>
  <c r="CY108" i="12"/>
  <c r="CZ108" i="12"/>
  <c r="DA108" i="12"/>
  <c r="DB108" i="12"/>
  <c r="DC108" i="12"/>
  <c r="DD108" i="12"/>
  <c r="DE108" i="12"/>
  <c r="DF108" i="12"/>
  <c r="DG108" i="12"/>
  <c r="DH108" i="12"/>
  <c r="DI108" i="12"/>
  <c r="DJ108" i="12"/>
  <c r="DK108" i="12"/>
  <c r="DL108" i="12"/>
  <c r="DM108" i="12"/>
  <c r="DN108" i="12"/>
  <c r="DO108" i="12"/>
  <c r="DP108" i="12"/>
  <c r="DQ108" i="12"/>
  <c r="DR108" i="12"/>
  <c r="DS108" i="12"/>
  <c r="DT108" i="12"/>
  <c r="DU108" i="12"/>
  <c r="DV108" i="12"/>
  <c r="DW108" i="12"/>
  <c r="DZ108" i="12"/>
  <c r="EA108" i="12"/>
  <c r="EB108" i="12"/>
  <c r="AO111" i="12"/>
  <c r="AI111" i="12"/>
  <c r="AN111" i="12"/>
  <c r="AP111" i="12"/>
  <c r="AR111" i="12"/>
  <c r="AT111" i="12"/>
  <c r="AV111" i="12"/>
  <c r="AX111" i="12"/>
  <c r="AZ111" i="12"/>
  <c r="BB111" i="12"/>
  <c r="BD111" i="12"/>
  <c r="BF111" i="12"/>
  <c r="BG111" i="12"/>
  <c r="BH111" i="12"/>
  <c r="BI111" i="12"/>
  <c r="BJ111" i="12"/>
  <c r="BK111" i="12"/>
  <c r="BL111" i="12"/>
  <c r="BM111" i="12"/>
  <c r="BN111" i="12"/>
  <c r="BO111" i="12"/>
  <c r="BP111" i="12"/>
  <c r="BQ111" i="12"/>
  <c r="BR111" i="12"/>
  <c r="BS111" i="12"/>
  <c r="BT111" i="12"/>
  <c r="BU111" i="12"/>
  <c r="BV111" i="12"/>
  <c r="BW111" i="12"/>
  <c r="BX111" i="12"/>
  <c r="BY111" i="12"/>
  <c r="BZ111" i="12"/>
  <c r="CA111" i="12"/>
  <c r="CB111" i="12"/>
  <c r="CC111" i="12"/>
  <c r="CD111" i="12"/>
  <c r="CE111" i="12"/>
  <c r="CF111" i="12"/>
  <c r="CG111" i="12"/>
  <c r="CH111" i="12"/>
  <c r="CI111" i="12"/>
  <c r="CJ111" i="12"/>
  <c r="CK111" i="12"/>
  <c r="CL111" i="12"/>
  <c r="CM111" i="12"/>
  <c r="CN111" i="12"/>
  <c r="CO111" i="12"/>
  <c r="CP111" i="12"/>
  <c r="CQ111" i="12"/>
  <c r="CR111" i="12"/>
  <c r="CS111" i="12"/>
  <c r="CT111" i="12"/>
  <c r="CU111" i="12"/>
  <c r="CV111" i="12"/>
  <c r="CW111" i="12"/>
  <c r="CX111" i="12"/>
  <c r="CY111" i="12"/>
  <c r="CZ111" i="12"/>
  <c r="DA111" i="12"/>
  <c r="DB111" i="12"/>
  <c r="DC111" i="12"/>
  <c r="DD111" i="12"/>
  <c r="DE111" i="12"/>
  <c r="DF111" i="12"/>
  <c r="DG111" i="12"/>
  <c r="DH111" i="12"/>
  <c r="DI111" i="12"/>
  <c r="DJ111" i="12"/>
  <c r="DK111" i="12"/>
  <c r="DL111" i="12"/>
  <c r="DM111" i="12"/>
  <c r="DN111" i="12"/>
  <c r="DO111" i="12"/>
  <c r="DP111" i="12"/>
  <c r="DQ111" i="12"/>
  <c r="DR111" i="12"/>
  <c r="DS111" i="12"/>
  <c r="DT111" i="12"/>
  <c r="DU111" i="12"/>
  <c r="DV111" i="12"/>
  <c r="DW111" i="12"/>
  <c r="DZ111" i="12"/>
  <c r="EA111" i="12"/>
  <c r="EB111" i="12"/>
  <c r="E115" i="12"/>
  <c r="AT115" i="12" s="1"/>
  <c r="AQ115" i="12"/>
  <c r="BF115" i="12"/>
  <c r="BG115" i="12"/>
  <c r="BH115" i="12"/>
  <c r="BI115" i="12"/>
  <c r="BJ115" i="12"/>
  <c r="BK115" i="12"/>
  <c r="BL115" i="12"/>
  <c r="BM115" i="12"/>
  <c r="BN115" i="12"/>
  <c r="BO115" i="12"/>
  <c r="BP115" i="12"/>
  <c r="BQ115" i="12"/>
  <c r="BR115" i="12"/>
  <c r="BS115" i="12"/>
  <c r="BT115" i="12"/>
  <c r="BU115" i="12"/>
  <c r="BV115" i="12"/>
  <c r="BW115" i="12"/>
  <c r="BX115" i="12"/>
  <c r="BY115" i="12"/>
  <c r="BZ115" i="12"/>
  <c r="CA115" i="12"/>
  <c r="CB115" i="12"/>
  <c r="CC115" i="12"/>
  <c r="CD115" i="12"/>
  <c r="CE115" i="12"/>
  <c r="CF115" i="12"/>
  <c r="CG115" i="12"/>
  <c r="CH115" i="12"/>
  <c r="CI115" i="12"/>
  <c r="CJ115" i="12"/>
  <c r="CK115" i="12"/>
  <c r="CL115" i="12"/>
  <c r="CM115" i="12"/>
  <c r="CN115" i="12"/>
  <c r="CO115" i="12"/>
  <c r="CP115" i="12"/>
  <c r="CQ115" i="12"/>
  <c r="CR115" i="12"/>
  <c r="CS115" i="12"/>
  <c r="CT115" i="12"/>
  <c r="CU115" i="12"/>
  <c r="CV115" i="12"/>
  <c r="CW115" i="12"/>
  <c r="CX115" i="12"/>
  <c r="CY115" i="12"/>
  <c r="CZ115" i="12"/>
  <c r="DA115" i="12"/>
  <c r="DB115" i="12"/>
  <c r="DC115" i="12"/>
  <c r="DD115" i="12"/>
  <c r="DE115" i="12"/>
  <c r="DF115" i="12"/>
  <c r="DG115" i="12"/>
  <c r="DH115" i="12"/>
  <c r="DI115" i="12"/>
  <c r="DJ115" i="12"/>
  <c r="DK115" i="12"/>
  <c r="DL115" i="12"/>
  <c r="DM115" i="12"/>
  <c r="DN115" i="12"/>
  <c r="DO115" i="12"/>
  <c r="DP115" i="12"/>
  <c r="DQ115" i="12"/>
  <c r="DR115" i="12"/>
  <c r="DS115" i="12"/>
  <c r="DT115" i="12"/>
  <c r="DU115" i="12"/>
  <c r="DV115" i="12"/>
  <c r="DW115" i="12"/>
  <c r="DZ115" i="12"/>
  <c r="EA115" i="12"/>
  <c r="EB115" i="12"/>
  <c r="AI116" i="12"/>
  <c r="AN116" i="12"/>
  <c r="AP116" i="12"/>
  <c r="AR116" i="12"/>
  <c r="AT116" i="12"/>
  <c r="AV116" i="12"/>
  <c r="AX116" i="12"/>
  <c r="AZ116" i="12"/>
  <c r="BB116" i="12"/>
  <c r="BD116" i="12"/>
  <c r="BF116" i="12"/>
  <c r="BG116" i="12"/>
  <c r="BH116" i="12"/>
  <c r="BI116" i="12"/>
  <c r="BJ116" i="12"/>
  <c r="BK116" i="12"/>
  <c r="BL116" i="12"/>
  <c r="BM116" i="12"/>
  <c r="BN116" i="12"/>
  <c r="BO116" i="12"/>
  <c r="BP116" i="12"/>
  <c r="BQ116" i="12"/>
  <c r="BR116" i="12"/>
  <c r="BS116" i="12"/>
  <c r="BT116" i="12"/>
  <c r="BU116" i="12"/>
  <c r="BV116" i="12"/>
  <c r="BW116" i="12"/>
  <c r="BX116" i="12"/>
  <c r="BY116" i="12"/>
  <c r="BZ116" i="12"/>
  <c r="CA116" i="12"/>
  <c r="CB116" i="12"/>
  <c r="CC116" i="12"/>
  <c r="CD116" i="12"/>
  <c r="CE116" i="12"/>
  <c r="CF116" i="12"/>
  <c r="CG116" i="12"/>
  <c r="CH116" i="12"/>
  <c r="CI116" i="12"/>
  <c r="CJ116" i="12"/>
  <c r="CK116" i="12"/>
  <c r="CL116" i="12"/>
  <c r="CM116" i="12"/>
  <c r="CN116" i="12"/>
  <c r="CO116" i="12"/>
  <c r="CP116" i="12"/>
  <c r="CQ116" i="12"/>
  <c r="CR116" i="12"/>
  <c r="CS116" i="12"/>
  <c r="CT116" i="12"/>
  <c r="CU116" i="12"/>
  <c r="CV116" i="12"/>
  <c r="CW116" i="12"/>
  <c r="CX116" i="12"/>
  <c r="CY116" i="12"/>
  <c r="CZ116" i="12"/>
  <c r="DA116" i="12"/>
  <c r="DB116" i="12"/>
  <c r="DC116" i="12"/>
  <c r="DD116" i="12"/>
  <c r="DE116" i="12"/>
  <c r="DF116" i="12"/>
  <c r="DG116" i="12"/>
  <c r="DH116" i="12"/>
  <c r="DI116" i="12"/>
  <c r="DJ116" i="12"/>
  <c r="DK116" i="12"/>
  <c r="DL116" i="12"/>
  <c r="DM116" i="12"/>
  <c r="DN116" i="12"/>
  <c r="DO116" i="12"/>
  <c r="DP116" i="12"/>
  <c r="DQ116" i="12"/>
  <c r="DR116" i="12"/>
  <c r="DS116" i="12"/>
  <c r="DT116" i="12"/>
  <c r="DU116" i="12"/>
  <c r="DV116" i="12"/>
  <c r="DW116" i="12"/>
  <c r="DZ116" i="12"/>
  <c r="EA116" i="12"/>
  <c r="EB116" i="12"/>
  <c r="AQ117" i="12"/>
  <c r="J117" i="12"/>
  <c r="CP117" i="12" s="1"/>
  <c r="AI117" i="12"/>
  <c r="AN117" i="12"/>
  <c r="AP117" i="12"/>
  <c r="AR117" i="12"/>
  <c r="AT117" i="12"/>
  <c r="AV117" i="12"/>
  <c r="AX117" i="12"/>
  <c r="AZ117" i="12"/>
  <c r="BB117" i="12"/>
  <c r="BD117" i="12"/>
  <c r="BF117" i="12"/>
  <c r="BG117" i="12"/>
  <c r="BH117" i="12"/>
  <c r="BI117" i="12"/>
  <c r="BJ117" i="12"/>
  <c r="BK117" i="12"/>
  <c r="BL117" i="12"/>
  <c r="BM117" i="12"/>
  <c r="BN117" i="12"/>
  <c r="BO117" i="12"/>
  <c r="BP117" i="12"/>
  <c r="BQ117" i="12"/>
  <c r="BR117" i="12"/>
  <c r="BS117" i="12"/>
  <c r="BT117" i="12"/>
  <c r="BU117" i="12"/>
  <c r="BV117" i="12"/>
  <c r="BW117" i="12"/>
  <c r="BX117" i="12"/>
  <c r="BY117" i="12"/>
  <c r="BZ117" i="12"/>
  <c r="CA117" i="12"/>
  <c r="CB117" i="12"/>
  <c r="CC117" i="12"/>
  <c r="CD117" i="12"/>
  <c r="CE117" i="12"/>
  <c r="CF117" i="12"/>
  <c r="CG117" i="12"/>
  <c r="CH117" i="12"/>
  <c r="CI117" i="12"/>
  <c r="CT117" i="12"/>
  <c r="CU117" i="12"/>
  <c r="CV117" i="12"/>
  <c r="CW117" i="12"/>
  <c r="CX117" i="12"/>
  <c r="CY117" i="12"/>
  <c r="CZ117" i="12"/>
  <c r="DA117" i="12"/>
  <c r="DB117" i="12"/>
  <c r="DC117" i="12"/>
  <c r="DD117" i="12"/>
  <c r="DE117" i="12"/>
  <c r="DF117" i="12"/>
  <c r="DG117" i="12"/>
  <c r="DH117" i="12"/>
  <c r="DI117" i="12"/>
  <c r="DJ117" i="12"/>
  <c r="DK117" i="12"/>
  <c r="DL117" i="12"/>
  <c r="DM117" i="12"/>
  <c r="DN117" i="12"/>
  <c r="DO117" i="12"/>
  <c r="DP117" i="12"/>
  <c r="DQ117" i="12"/>
  <c r="DR117" i="12"/>
  <c r="DS117" i="12"/>
  <c r="DT117" i="12"/>
  <c r="DU117" i="12"/>
  <c r="DV117" i="12"/>
  <c r="DW117" i="12"/>
  <c r="DZ117" i="12"/>
  <c r="EA117" i="12"/>
  <c r="EB117" i="12"/>
  <c r="AQ118" i="12"/>
  <c r="AI118" i="12"/>
  <c r="AN118" i="12"/>
  <c r="AP118" i="12"/>
  <c r="AR118" i="12"/>
  <c r="AT118" i="12"/>
  <c r="AV118" i="12"/>
  <c r="AX118" i="12"/>
  <c r="AZ118" i="12"/>
  <c r="BB118" i="12"/>
  <c r="BD118" i="12"/>
  <c r="BF118" i="12"/>
  <c r="BG118" i="12"/>
  <c r="BH118" i="12"/>
  <c r="BI118" i="12"/>
  <c r="BJ118" i="12"/>
  <c r="BK118" i="12"/>
  <c r="BL118" i="12"/>
  <c r="BM118" i="12"/>
  <c r="BN118" i="12"/>
  <c r="BO118" i="12"/>
  <c r="BP118" i="12"/>
  <c r="BQ118" i="12"/>
  <c r="BR118" i="12"/>
  <c r="BS118" i="12"/>
  <c r="BT118" i="12"/>
  <c r="BU118" i="12"/>
  <c r="BV118" i="12"/>
  <c r="BW118" i="12"/>
  <c r="BX118" i="12"/>
  <c r="BY118" i="12"/>
  <c r="BZ118" i="12"/>
  <c r="CA118" i="12"/>
  <c r="CB118" i="12"/>
  <c r="CC118" i="12"/>
  <c r="CD118" i="12"/>
  <c r="CE118" i="12"/>
  <c r="CF118" i="12"/>
  <c r="CG118" i="12"/>
  <c r="CH118" i="12"/>
  <c r="CI118" i="12"/>
  <c r="CJ118" i="12"/>
  <c r="CK118" i="12"/>
  <c r="CL118" i="12"/>
  <c r="CM118" i="12"/>
  <c r="CN118" i="12"/>
  <c r="CO118" i="12"/>
  <c r="CP118" i="12"/>
  <c r="CQ118" i="12"/>
  <c r="CR118" i="12"/>
  <c r="CS118" i="12"/>
  <c r="CT118" i="12"/>
  <c r="CU118" i="12"/>
  <c r="CV118" i="12"/>
  <c r="CW118" i="12"/>
  <c r="CX118" i="12"/>
  <c r="CY118" i="12"/>
  <c r="CZ118" i="12"/>
  <c r="DA118" i="12"/>
  <c r="DB118" i="12"/>
  <c r="DC118" i="12"/>
  <c r="DD118" i="12"/>
  <c r="DE118" i="12"/>
  <c r="DF118" i="12"/>
  <c r="DG118" i="12"/>
  <c r="DH118" i="12"/>
  <c r="DI118" i="12"/>
  <c r="DJ118" i="12"/>
  <c r="DK118" i="12"/>
  <c r="DL118" i="12"/>
  <c r="DM118" i="12"/>
  <c r="DN118" i="12"/>
  <c r="DO118" i="12"/>
  <c r="DP118" i="12"/>
  <c r="DQ118" i="12"/>
  <c r="DR118" i="12"/>
  <c r="DS118" i="12"/>
  <c r="DT118" i="12"/>
  <c r="DU118" i="12"/>
  <c r="DV118" i="12"/>
  <c r="DW118" i="12"/>
  <c r="DZ118" i="12"/>
  <c r="EA118" i="12"/>
  <c r="EB118" i="12"/>
  <c r="AO119" i="12"/>
  <c r="AI119" i="12"/>
  <c r="AN119" i="12"/>
  <c r="AP119" i="12"/>
  <c r="AR119" i="12"/>
  <c r="AT119" i="12"/>
  <c r="AV119" i="12"/>
  <c r="AX119" i="12"/>
  <c r="AZ119" i="12"/>
  <c r="BB119" i="12"/>
  <c r="BD119" i="12"/>
  <c r="BF119" i="12"/>
  <c r="BG119" i="12"/>
  <c r="BH119" i="12"/>
  <c r="BI119" i="12"/>
  <c r="BJ119" i="12"/>
  <c r="BK119" i="12"/>
  <c r="BL119" i="12"/>
  <c r="BM119" i="12"/>
  <c r="BN119" i="12"/>
  <c r="BO119" i="12"/>
  <c r="BP119" i="12"/>
  <c r="BQ119" i="12"/>
  <c r="BR119" i="12"/>
  <c r="BS119" i="12"/>
  <c r="BT119" i="12"/>
  <c r="BU119" i="12"/>
  <c r="BV119" i="12"/>
  <c r="BW119" i="12"/>
  <c r="BX119" i="12"/>
  <c r="BY119" i="12"/>
  <c r="BZ119" i="12"/>
  <c r="CA119" i="12"/>
  <c r="CB119" i="12"/>
  <c r="CC119" i="12"/>
  <c r="CD119" i="12"/>
  <c r="CE119" i="12"/>
  <c r="CF119" i="12"/>
  <c r="CG119" i="12"/>
  <c r="CH119" i="12"/>
  <c r="CI119" i="12"/>
  <c r="CJ119" i="12"/>
  <c r="CK119" i="12"/>
  <c r="CL119" i="12"/>
  <c r="CM119" i="12"/>
  <c r="CN119" i="12"/>
  <c r="CO119" i="12"/>
  <c r="CP119" i="12"/>
  <c r="CQ119" i="12"/>
  <c r="CR119" i="12"/>
  <c r="CS119" i="12"/>
  <c r="CT119" i="12"/>
  <c r="CU119" i="12"/>
  <c r="CV119" i="12"/>
  <c r="CW119" i="12"/>
  <c r="CX119" i="12"/>
  <c r="CY119" i="12"/>
  <c r="CZ119" i="12"/>
  <c r="DA119" i="12"/>
  <c r="DB119" i="12"/>
  <c r="DC119" i="12"/>
  <c r="DD119" i="12"/>
  <c r="DE119" i="12"/>
  <c r="DF119" i="12"/>
  <c r="DG119" i="12"/>
  <c r="DH119" i="12"/>
  <c r="DI119" i="12"/>
  <c r="DJ119" i="12"/>
  <c r="DK119" i="12"/>
  <c r="DL119" i="12"/>
  <c r="DM119" i="12"/>
  <c r="DN119" i="12"/>
  <c r="DO119" i="12"/>
  <c r="DP119" i="12"/>
  <c r="DQ119" i="12"/>
  <c r="DR119" i="12"/>
  <c r="DS119" i="12"/>
  <c r="DT119" i="12"/>
  <c r="DU119" i="12"/>
  <c r="DV119" i="12"/>
  <c r="DW119" i="12"/>
  <c r="DZ119" i="12"/>
  <c r="EA119" i="12"/>
  <c r="EB119" i="12"/>
  <c r="AQ120" i="12"/>
  <c r="AI120" i="12"/>
  <c r="AN120" i="12"/>
  <c r="AP120" i="12"/>
  <c r="AR120" i="12"/>
  <c r="AT120" i="12"/>
  <c r="AV120" i="12"/>
  <c r="AX120" i="12"/>
  <c r="AZ120" i="12"/>
  <c r="BB120" i="12"/>
  <c r="BD120" i="12"/>
  <c r="BF120" i="12"/>
  <c r="BG120" i="12"/>
  <c r="BH120" i="12"/>
  <c r="BI120" i="12"/>
  <c r="BJ120" i="12"/>
  <c r="BK120" i="12"/>
  <c r="BL120" i="12"/>
  <c r="BM120" i="12"/>
  <c r="BN120" i="12"/>
  <c r="BO120" i="12"/>
  <c r="BP120" i="12"/>
  <c r="BQ120" i="12"/>
  <c r="BR120" i="12"/>
  <c r="BS120" i="12"/>
  <c r="BT120" i="12"/>
  <c r="BU120" i="12"/>
  <c r="BV120" i="12"/>
  <c r="BW120" i="12"/>
  <c r="BX120" i="12"/>
  <c r="BY120" i="12"/>
  <c r="BZ120" i="12"/>
  <c r="CA120" i="12"/>
  <c r="CB120" i="12"/>
  <c r="CC120" i="12"/>
  <c r="CD120" i="12"/>
  <c r="CE120" i="12"/>
  <c r="CF120" i="12"/>
  <c r="CG120" i="12"/>
  <c r="CH120" i="12"/>
  <c r="CI120" i="12"/>
  <c r="CJ120" i="12"/>
  <c r="CK120" i="12"/>
  <c r="CL120" i="12"/>
  <c r="CM120" i="12"/>
  <c r="CN120" i="12"/>
  <c r="CO120" i="12"/>
  <c r="CP120" i="12"/>
  <c r="CQ120" i="12"/>
  <c r="CR120" i="12"/>
  <c r="CS120" i="12"/>
  <c r="CT120" i="12"/>
  <c r="CU120" i="12"/>
  <c r="CV120" i="12"/>
  <c r="CW120" i="12"/>
  <c r="CX120" i="12"/>
  <c r="CY120" i="12"/>
  <c r="CZ120" i="12"/>
  <c r="DA120" i="12"/>
  <c r="DB120" i="12"/>
  <c r="DC120" i="12"/>
  <c r="DD120" i="12"/>
  <c r="DE120" i="12"/>
  <c r="DF120" i="12"/>
  <c r="DG120" i="12"/>
  <c r="DH120" i="12"/>
  <c r="DI120" i="12"/>
  <c r="DJ120" i="12"/>
  <c r="DK120" i="12"/>
  <c r="DL120" i="12"/>
  <c r="DM120" i="12"/>
  <c r="DN120" i="12"/>
  <c r="DO120" i="12"/>
  <c r="DP120" i="12"/>
  <c r="DQ120" i="12"/>
  <c r="DR120" i="12"/>
  <c r="DS120" i="12"/>
  <c r="DT120" i="12"/>
  <c r="DU120" i="12"/>
  <c r="DV120" i="12"/>
  <c r="DW120" i="12"/>
  <c r="DZ120" i="12"/>
  <c r="EA120" i="12"/>
  <c r="EB120" i="12"/>
  <c r="N123" i="12"/>
  <c r="CK123" i="12"/>
  <c r="R123" i="12"/>
  <c r="CL123" i="12" s="1"/>
  <c r="T123" i="12"/>
  <c r="CC123" i="12" s="1"/>
  <c r="V123" i="12"/>
  <c r="CD123" i="12" s="1"/>
  <c r="X123" i="12"/>
  <c r="BU123" i="12" s="1"/>
  <c r="Z123" i="12"/>
  <c r="BV123" i="12" s="1"/>
  <c r="AB123" i="12"/>
  <c r="AZ123" i="12" s="1"/>
  <c r="AD123" i="12"/>
  <c r="DV123" i="12" s="1"/>
  <c r="AF123" i="12"/>
  <c r="CI123" i="12" s="1"/>
  <c r="CA123" i="12"/>
  <c r="CU123" i="12"/>
  <c r="DZ123" i="12"/>
  <c r="EB123" i="12"/>
  <c r="AQ124" i="12"/>
  <c r="AI124" i="12"/>
  <c r="AN124" i="12"/>
  <c r="AP124" i="12"/>
  <c r="AR124" i="12"/>
  <c r="AT124" i="12"/>
  <c r="AV124" i="12"/>
  <c r="AX124" i="12"/>
  <c r="AZ124" i="12"/>
  <c r="BB124" i="12"/>
  <c r="BD124" i="12"/>
  <c r="BF124" i="12"/>
  <c r="BG124" i="12"/>
  <c r="BH124" i="12"/>
  <c r="BI124" i="12"/>
  <c r="BJ124" i="12"/>
  <c r="BK124" i="12"/>
  <c r="BL124" i="12"/>
  <c r="BM124" i="12"/>
  <c r="BN124" i="12"/>
  <c r="BO124" i="12"/>
  <c r="BP124" i="12"/>
  <c r="BQ124" i="12"/>
  <c r="BR124" i="12"/>
  <c r="BS124" i="12"/>
  <c r="BT124" i="12"/>
  <c r="BU124" i="12"/>
  <c r="BV124" i="12"/>
  <c r="BW124" i="12"/>
  <c r="BX124" i="12"/>
  <c r="BY124" i="12"/>
  <c r="BZ124" i="12"/>
  <c r="CA124" i="12"/>
  <c r="CB124" i="12"/>
  <c r="CC124" i="12"/>
  <c r="CD124" i="12"/>
  <c r="CE124" i="12"/>
  <c r="CF124" i="12"/>
  <c r="CG124" i="12"/>
  <c r="CH124" i="12"/>
  <c r="CI124" i="12"/>
  <c r="CJ124" i="12"/>
  <c r="CK124" i="12"/>
  <c r="CL124" i="12"/>
  <c r="CM124" i="12"/>
  <c r="CN124" i="12"/>
  <c r="CO124" i="12"/>
  <c r="CP124" i="12"/>
  <c r="CQ124" i="12"/>
  <c r="CR124" i="12"/>
  <c r="CS124" i="12"/>
  <c r="CT124" i="12"/>
  <c r="CU124" i="12"/>
  <c r="CV124" i="12"/>
  <c r="CW124" i="12"/>
  <c r="CX124" i="12"/>
  <c r="CY124" i="12"/>
  <c r="CZ124" i="12"/>
  <c r="DA124" i="12"/>
  <c r="DB124" i="12"/>
  <c r="DC124" i="12"/>
  <c r="DD124" i="12"/>
  <c r="DE124" i="12"/>
  <c r="DF124" i="12"/>
  <c r="DG124" i="12"/>
  <c r="DH124" i="12"/>
  <c r="DI124" i="12"/>
  <c r="DJ124" i="12"/>
  <c r="DK124" i="12"/>
  <c r="DL124" i="12"/>
  <c r="DM124" i="12"/>
  <c r="DN124" i="12"/>
  <c r="DO124" i="12"/>
  <c r="DP124" i="12"/>
  <c r="DQ124" i="12"/>
  <c r="DR124" i="12"/>
  <c r="DS124" i="12"/>
  <c r="DT124" i="12"/>
  <c r="DU124" i="12"/>
  <c r="DV124" i="12"/>
  <c r="DW124" i="12"/>
  <c r="DZ124" i="12"/>
  <c r="EA124" i="12"/>
  <c r="EB124" i="12"/>
  <c r="AQ125" i="12"/>
  <c r="AI125" i="12"/>
  <c r="AN125" i="12"/>
  <c r="AP125" i="12"/>
  <c r="AR125" i="12"/>
  <c r="AT125" i="12"/>
  <c r="AV125" i="12"/>
  <c r="AX125" i="12"/>
  <c r="AZ125" i="12"/>
  <c r="BB125" i="12"/>
  <c r="BD125" i="12"/>
  <c r="BF125" i="12"/>
  <c r="BG125" i="12"/>
  <c r="BH125" i="12"/>
  <c r="BI125" i="12"/>
  <c r="BJ125" i="12"/>
  <c r="BK125" i="12"/>
  <c r="BL125" i="12"/>
  <c r="BM125" i="12"/>
  <c r="BN125" i="12"/>
  <c r="BO125" i="12"/>
  <c r="BP125" i="12"/>
  <c r="BQ125" i="12"/>
  <c r="BR125" i="12"/>
  <c r="BS125" i="12"/>
  <c r="BT125" i="12"/>
  <c r="BU125" i="12"/>
  <c r="BV125" i="12"/>
  <c r="BW125" i="12"/>
  <c r="BX125" i="12"/>
  <c r="BY125" i="12"/>
  <c r="BZ125" i="12"/>
  <c r="CA125" i="12"/>
  <c r="CB125" i="12"/>
  <c r="CC125" i="12"/>
  <c r="CD125" i="12"/>
  <c r="CE125" i="12"/>
  <c r="CF125" i="12"/>
  <c r="CG125" i="12"/>
  <c r="CH125" i="12"/>
  <c r="CI125" i="12"/>
  <c r="CJ125" i="12"/>
  <c r="CK125" i="12"/>
  <c r="CL125" i="12"/>
  <c r="CM125" i="12"/>
  <c r="CN125" i="12"/>
  <c r="CO125" i="12"/>
  <c r="CP125" i="12"/>
  <c r="CQ125" i="12"/>
  <c r="CR125" i="12"/>
  <c r="CS125" i="12"/>
  <c r="CT125" i="12"/>
  <c r="CU125" i="12"/>
  <c r="CV125" i="12"/>
  <c r="CW125" i="12"/>
  <c r="CX125" i="12"/>
  <c r="CY125" i="12"/>
  <c r="CZ125" i="12"/>
  <c r="DA125" i="12"/>
  <c r="DB125" i="12"/>
  <c r="DC125" i="12"/>
  <c r="DD125" i="12"/>
  <c r="DE125" i="12"/>
  <c r="DF125" i="12"/>
  <c r="DG125" i="12"/>
  <c r="DH125" i="12"/>
  <c r="DI125" i="12"/>
  <c r="DJ125" i="12"/>
  <c r="DK125" i="12"/>
  <c r="DL125" i="12"/>
  <c r="DM125" i="12"/>
  <c r="DN125" i="12"/>
  <c r="DO125" i="12"/>
  <c r="DP125" i="12"/>
  <c r="DQ125" i="12"/>
  <c r="DR125" i="12"/>
  <c r="DS125" i="12"/>
  <c r="DT125" i="12"/>
  <c r="DU125" i="12"/>
  <c r="DV125" i="12"/>
  <c r="DW125" i="12"/>
  <c r="DZ125" i="12"/>
  <c r="EA125" i="12"/>
  <c r="EB125" i="12"/>
  <c r="AO126" i="12"/>
  <c r="AI126" i="12"/>
  <c r="AN126" i="12"/>
  <c r="AP126" i="12"/>
  <c r="AR126" i="12"/>
  <c r="AT126" i="12"/>
  <c r="AV126" i="12"/>
  <c r="AX126" i="12"/>
  <c r="AZ126" i="12"/>
  <c r="BB126" i="12"/>
  <c r="BD126" i="12"/>
  <c r="BF126" i="12"/>
  <c r="BG126" i="12"/>
  <c r="BH126" i="12"/>
  <c r="BI126" i="12"/>
  <c r="BJ126" i="12"/>
  <c r="BK126" i="12"/>
  <c r="BL126" i="12"/>
  <c r="BM126" i="12"/>
  <c r="BN126" i="12"/>
  <c r="BO126" i="12"/>
  <c r="BP126" i="12"/>
  <c r="BQ126" i="12"/>
  <c r="BR126" i="12"/>
  <c r="BS126" i="12"/>
  <c r="BT126" i="12"/>
  <c r="BU126" i="12"/>
  <c r="BV126" i="12"/>
  <c r="BW126" i="12"/>
  <c r="BX126" i="12"/>
  <c r="BY126" i="12"/>
  <c r="BZ126" i="12"/>
  <c r="CA126" i="12"/>
  <c r="CB126" i="12"/>
  <c r="CC126" i="12"/>
  <c r="CD126" i="12"/>
  <c r="CE126" i="12"/>
  <c r="CF126" i="12"/>
  <c r="CG126" i="12"/>
  <c r="CH126" i="12"/>
  <c r="CI126" i="12"/>
  <c r="CJ126" i="12"/>
  <c r="CK126" i="12"/>
  <c r="CL126" i="12"/>
  <c r="CM126" i="12"/>
  <c r="CN126" i="12"/>
  <c r="CO126" i="12"/>
  <c r="CP126" i="12"/>
  <c r="CQ126" i="12"/>
  <c r="CR126" i="12"/>
  <c r="CS126" i="12"/>
  <c r="CT126" i="12"/>
  <c r="CU126" i="12"/>
  <c r="CV126" i="12"/>
  <c r="CW126" i="12"/>
  <c r="CX126" i="12"/>
  <c r="CY126" i="12"/>
  <c r="CZ126" i="12"/>
  <c r="DA126" i="12"/>
  <c r="DB126" i="12"/>
  <c r="DC126" i="12"/>
  <c r="DD126" i="12"/>
  <c r="DE126" i="12"/>
  <c r="DF126" i="12"/>
  <c r="DG126" i="12"/>
  <c r="DH126" i="12"/>
  <c r="DI126" i="12"/>
  <c r="DJ126" i="12"/>
  <c r="DK126" i="12"/>
  <c r="DL126" i="12"/>
  <c r="DM126" i="12"/>
  <c r="DN126" i="12"/>
  <c r="DO126" i="12"/>
  <c r="DP126" i="12"/>
  <c r="DQ126" i="12"/>
  <c r="DR126" i="12"/>
  <c r="DS126" i="12"/>
  <c r="DT126" i="12"/>
  <c r="DU126" i="12"/>
  <c r="DV126" i="12"/>
  <c r="DW126" i="12"/>
  <c r="DZ126" i="12"/>
  <c r="EA126" i="12"/>
  <c r="EB126" i="12"/>
  <c r="AQ127" i="12"/>
  <c r="AI127" i="12"/>
  <c r="AN127" i="12"/>
  <c r="AP127" i="12"/>
  <c r="AR127" i="12"/>
  <c r="AT127" i="12"/>
  <c r="AV127" i="12"/>
  <c r="AX127" i="12"/>
  <c r="AZ127" i="12"/>
  <c r="BB127" i="12"/>
  <c r="BD127" i="12"/>
  <c r="BF127" i="12"/>
  <c r="BG127" i="12"/>
  <c r="BH127" i="12"/>
  <c r="BI127" i="12"/>
  <c r="BJ127" i="12"/>
  <c r="BK127" i="12"/>
  <c r="BL127" i="12"/>
  <c r="BM127" i="12"/>
  <c r="BN127" i="12"/>
  <c r="BO127" i="12"/>
  <c r="BP127" i="12"/>
  <c r="BQ127" i="12"/>
  <c r="BR127" i="12"/>
  <c r="BS127" i="12"/>
  <c r="BT127" i="12"/>
  <c r="BU127" i="12"/>
  <c r="BV127" i="12"/>
  <c r="BW127" i="12"/>
  <c r="BX127" i="12"/>
  <c r="BY127" i="12"/>
  <c r="BZ127" i="12"/>
  <c r="CA127" i="12"/>
  <c r="CB127" i="12"/>
  <c r="CC127" i="12"/>
  <c r="CD127" i="12"/>
  <c r="CE127" i="12"/>
  <c r="CF127" i="12"/>
  <c r="CG127" i="12"/>
  <c r="CH127" i="12"/>
  <c r="CI127" i="12"/>
  <c r="CJ127" i="12"/>
  <c r="CK127" i="12"/>
  <c r="CL127" i="12"/>
  <c r="CM127" i="12"/>
  <c r="CN127" i="12"/>
  <c r="CO127" i="12"/>
  <c r="CP127" i="12"/>
  <c r="CQ127" i="12"/>
  <c r="CR127" i="12"/>
  <c r="CS127" i="12"/>
  <c r="CT127" i="12"/>
  <c r="CU127" i="12"/>
  <c r="CV127" i="12"/>
  <c r="CW127" i="12"/>
  <c r="CX127" i="12"/>
  <c r="CY127" i="12"/>
  <c r="CZ127" i="12"/>
  <c r="DA127" i="12"/>
  <c r="DB127" i="12"/>
  <c r="DC127" i="12"/>
  <c r="DD127" i="12"/>
  <c r="DE127" i="12"/>
  <c r="DF127" i="12"/>
  <c r="DG127" i="12"/>
  <c r="DH127" i="12"/>
  <c r="DI127" i="12"/>
  <c r="DJ127" i="12"/>
  <c r="DK127" i="12"/>
  <c r="DL127" i="12"/>
  <c r="DM127" i="12"/>
  <c r="DN127" i="12"/>
  <c r="DO127" i="12"/>
  <c r="DP127" i="12"/>
  <c r="DQ127" i="12"/>
  <c r="DR127" i="12"/>
  <c r="DS127" i="12"/>
  <c r="DT127" i="12"/>
  <c r="DU127" i="12"/>
  <c r="DV127" i="12"/>
  <c r="DW127" i="12"/>
  <c r="DZ127" i="12"/>
  <c r="EA127" i="12"/>
  <c r="EB127" i="12"/>
  <c r="AQ128" i="12"/>
  <c r="AI128" i="12"/>
  <c r="AN128" i="12"/>
  <c r="AP128" i="12"/>
  <c r="AR128" i="12"/>
  <c r="AT128" i="12"/>
  <c r="AV128" i="12"/>
  <c r="AX128" i="12"/>
  <c r="AZ128" i="12"/>
  <c r="BB128" i="12"/>
  <c r="BD128" i="12"/>
  <c r="BF128" i="12"/>
  <c r="BG128" i="12"/>
  <c r="BH128" i="12"/>
  <c r="BI128" i="12"/>
  <c r="BJ128" i="12"/>
  <c r="BK128" i="12"/>
  <c r="BL128" i="12"/>
  <c r="BM128" i="12"/>
  <c r="BN128" i="12"/>
  <c r="BO128" i="12"/>
  <c r="BP128" i="12"/>
  <c r="BQ128" i="12"/>
  <c r="BR128" i="12"/>
  <c r="BS128" i="12"/>
  <c r="BT128" i="12"/>
  <c r="BU128" i="12"/>
  <c r="BV128" i="12"/>
  <c r="BW128" i="12"/>
  <c r="BX128" i="12"/>
  <c r="BY128" i="12"/>
  <c r="BZ128" i="12"/>
  <c r="CA128" i="12"/>
  <c r="CB128" i="12"/>
  <c r="CC128" i="12"/>
  <c r="CD128" i="12"/>
  <c r="CE128" i="12"/>
  <c r="CF128" i="12"/>
  <c r="CG128" i="12"/>
  <c r="CH128" i="12"/>
  <c r="CI128" i="12"/>
  <c r="CJ128" i="12"/>
  <c r="CK128" i="12"/>
  <c r="CL128" i="12"/>
  <c r="CM128" i="12"/>
  <c r="CN128" i="12"/>
  <c r="CO128" i="12"/>
  <c r="CP128" i="12"/>
  <c r="CQ128" i="12"/>
  <c r="CR128" i="12"/>
  <c r="CS128" i="12"/>
  <c r="CT128" i="12"/>
  <c r="CU128" i="12"/>
  <c r="CV128" i="12"/>
  <c r="CW128" i="12"/>
  <c r="CX128" i="12"/>
  <c r="CY128" i="12"/>
  <c r="CZ128" i="12"/>
  <c r="DA128" i="12"/>
  <c r="DB128" i="12"/>
  <c r="DC128" i="12"/>
  <c r="DD128" i="12"/>
  <c r="DE128" i="12"/>
  <c r="DF128" i="12"/>
  <c r="DG128" i="12"/>
  <c r="DH128" i="12"/>
  <c r="DI128" i="12"/>
  <c r="DJ128" i="12"/>
  <c r="DK128" i="12"/>
  <c r="DL128" i="12"/>
  <c r="DM128" i="12"/>
  <c r="DN128" i="12"/>
  <c r="DO128" i="12"/>
  <c r="DP128" i="12"/>
  <c r="DQ128" i="12"/>
  <c r="DR128" i="12"/>
  <c r="DS128" i="12"/>
  <c r="DT128" i="12"/>
  <c r="DU128" i="12"/>
  <c r="DV128" i="12"/>
  <c r="DW128" i="12"/>
  <c r="DZ128" i="12"/>
  <c r="EA128" i="12"/>
  <c r="EB128" i="12"/>
  <c r="AQ129" i="12"/>
  <c r="AI129" i="12"/>
  <c r="AN129" i="12"/>
  <c r="AP129" i="12"/>
  <c r="AR129" i="12"/>
  <c r="AT129" i="12"/>
  <c r="AV129" i="12"/>
  <c r="AX129" i="12"/>
  <c r="AZ129" i="12"/>
  <c r="BB129" i="12"/>
  <c r="BD129" i="12"/>
  <c r="BF129" i="12"/>
  <c r="BG129" i="12"/>
  <c r="BH129" i="12"/>
  <c r="BI129" i="12"/>
  <c r="BJ129" i="12"/>
  <c r="BK129" i="12"/>
  <c r="BL129" i="12"/>
  <c r="BM129" i="12"/>
  <c r="BN129" i="12"/>
  <c r="BO129" i="12"/>
  <c r="BP129" i="12"/>
  <c r="BQ129" i="12"/>
  <c r="BR129" i="12"/>
  <c r="BS129" i="12"/>
  <c r="BT129" i="12"/>
  <c r="BU129" i="12"/>
  <c r="BV129" i="12"/>
  <c r="BW129" i="12"/>
  <c r="BX129" i="12"/>
  <c r="BY129" i="12"/>
  <c r="BZ129" i="12"/>
  <c r="CA129" i="12"/>
  <c r="CB129" i="12"/>
  <c r="CC129" i="12"/>
  <c r="CD129" i="12"/>
  <c r="CE129" i="12"/>
  <c r="CF129" i="12"/>
  <c r="CG129" i="12"/>
  <c r="CH129" i="12"/>
  <c r="CI129" i="12"/>
  <c r="CJ129" i="12"/>
  <c r="CK129" i="12"/>
  <c r="CL129" i="12"/>
  <c r="CM129" i="12"/>
  <c r="CN129" i="12"/>
  <c r="CO129" i="12"/>
  <c r="CP129" i="12"/>
  <c r="CQ129" i="12"/>
  <c r="CR129" i="12"/>
  <c r="CS129" i="12"/>
  <c r="CT129" i="12"/>
  <c r="CU129" i="12"/>
  <c r="CV129" i="12"/>
  <c r="CW129" i="12"/>
  <c r="CX129" i="12"/>
  <c r="CY129" i="12"/>
  <c r="CZ129" i="12"/>
  <c r="DA129" i="12"/>
  <c r="DB129" i="12"/>
  <c r="DC129" i="12"/>
  <c r="DD129" i="12"/>
  <c r="DE129" i="12"/>
  <c r="DF129" i="12"/>
  <c r="DG129" i="12"/>
  <c r="DH129" i="12"/>
  <c r="DI129" i="12"/>
  <c r="DJ129" i="12"/>
  <c r="DK129" i="12"/>
  <c r="DL129" i="12"/>
  <c r="DM129" i="12"/>
  <c r="DN129" i="12"/>
  <c r="DO129" i="12"/>
  <c r="DP129" i="12"/>
  <c r="DQ129" i="12"/>
  <c r="DR129" i="12"/>
  <c r="DS129" i="12"/>
  <c r="DT129" i="12"/>
  <c r="DU129" i="12"/>
  <c r="DV129" i="12"/>
  <c r="DW129" i="12"/>
  <c r="DZ129" i="12"/>
  <c r="EA129" i="12"/>
  <c r="EB129" i="12"/>
  <c r="AO130" i="12"/>
  <c r="AI130" i="12"/>
  <c r="AN130" i="12"/>
  <c r="AP130" i="12"/>
  <c r="AR130" i="12"/>
  <c r="AT130" i="12"/>
  <c r="AV130" i="12"/>
  <c r="AX130" i="12"/>
  <c r="AZ130" i="12"/>
  <c r="BB130" i="12"/>
  <c r="BD130" i="12"/>
  <c r="BF130" i="12"/>
  <c r="BG130" i="12"/>
  <c r="BH130" i="12"/>
  <c r="BI130" i="12"/>
  <c r="BJ130" i="12"/>
  <c r="BK130" i="12"/>
  <c r="BL130" i="12"/>
  <c r="BM130" i="12"/>
  <c r="BN130" i="12"/>
  <c r="BO130" i="12"/>
  <c r="BP130" i="12"/>
  <c r="BQ130" i="12"/>
  <c r="BR130" i="12"/>
  <c r="BS130" i="12"/>
  <c r="BT130" i="12"/>
  <c r="BU130" i="12"/>
  <c r="BV130" i="12"/>
  <c r="BW130" i="12"/>
  <c r="BX130" i="12"/>
  <c r="BY130" i="12"/>
  <c r="BZ130" i="12"/>
  <c r="CA130" i="12"/>
  <c r="CB130" i="12"/>
  <c r="CC130" i="12"/>
  <c r="CD130" i="12"/>
  <c r="CE130" i="12"/>
  <c r="CF130" i="12"/>
  <c r="CG130" i="12"/>
  <c r="CH130" i="12"/>
  <c r="CI130" i="12"/>
  <c r="CJ130" i="12"/>
  <c r="CK130" i="12"/>
  <c r="CL130" i="12"/>
  <c r="CM130" i="12"/>
  <c r="CN130" i="12"/>
  <c r="CO130" i="12"/>
  <c r="CP130" i="12"/>
  <c r="CQ130" i="12"/>
  <c r="CR130" i="12"/>
  <c r="CS130" i="12"/>
  <c r="CT130" i="12"/>
  <c r="CU130" i="12"/>
  <c r="CV130" i="12"/>
  <c r="CW130" i="12"/>
  <c r="CX130" i="12"/>
  <c r="CY130" i="12"/>
  <c r="CZ130" i="12"/>
  <c r="DA130" i="12"/>
  <c r="DB130" i="12"/>
  <c r="DC130" i="12"/>
  <c r="DD130" i="12"/>
  <c r="DE130" i="12"/>
  <c r="DF130" i="12"/>
  <c r="DG130" i="12"/>
  <c r="DH130" i="12"/>
  <c r="DI130" i="12"/>
  <c r="DJ130" i="12"/>
  <c r="DK130" i="12"/>
  <c r="DL130" i="12"/>
  <c r="DM130" i="12"/>
  <c r="DN130" i="12"/>
  <c r="DO130" i="12"/>
  <c r="DP130" i="12"/>
  <c r="DQ130" i="12"/>
  <c r="DR130" i="12"/>
  <c r="DS130" i="12"/>
  <c r="DT130" i="12"/>
  <c r="DU130" i="12"/>
  <c r="DV130" i="12"/>
  <c r="DW130" i="12"/>
  <c r="DZ130" i="12"/>
  <c r="EA130" i="12"/>
  <c r="EB130" i="12"/>
  <c r="AQ131" i="12"/>
  <c r="AI131" i="12"/>
  <c r="AN131" i="12"/>
  <c r="AP131" i="12"/>
  <c r="AR131" i="12"/>
  <c r="AT131" i="12"/>
  <c r="AV131" i="12"/>
  <c r="AX131" i="12"/>
  <c r="AZ131" i="12"/>
  <c r="BB131" i="12"/>
  <c r="BD131" i="12"/>
  <c r="BF131" i="12"/>
  <c r="BG131" i="12"/>
  <c r="BH131" i="12"/>
  <c r="BI131" i="12"/>
  <c r="BJ131" i="12"/>
  <c r="BK131" i="12"/>
  <c r="BL131" i="12"/>
  <c r="BM131" i="12"/>
  <c r="BN131" i="12"/>
  <c r="BO131" i="12"/>
  <c r="BP131" i="12"/>
  <c r="BQ131" i="12"/>
  <c r="BR131" i="12"/>
  <c r="BS131" i="12"/>
  <c r="BT131" i="12"/>
  <c r="BU131" i="12"/>
  <c r="BV131" i="12"/>
  <c r="BW131" i="12"/>
  <c r="BX131" i="12"/>
  <c r="BY131" i="12"/>
  <c r="BZ131" i="12"/>
  <c r="CA131" i="12"/>
  <c r="CB131" i="12"/>
  <c r="CC131" i="12"/>
  <c r="CD131" i="12"/>
  <c r="CE131" i="12"/>
  <c r="CF131" i="12"/>
  <c r="CG131" i="12"/>
  <c r="CH131" i="12"/>
  <c r="CI131" i="12"/>
  <c r="CJ131" i="12"/>
  <c r="CK131" i="12"/>
  <c r="CL131" i="12"/>
  <c r="CM131" i="12"/>
  <c r="CN131" i="12"/>
  <c r="CO131" i="12"/>
  <c r="CP131" i="12"/>
  <c r="CQ131" i="12"/>
  <c r="CR131" i="12"/>
  <c r="CS131" i="12"/>
  <c r="CT131" i="12"/>
  <c r="CU131" i="12"/>
  <c r="CV131" i="12"/>
  <c r="CW131" i="12"/>
  <c r="CX131" i="12"/>
  <c r="CY131" i="12"/>
  <c r="CZ131" i="12"/>
  <c r="DA131" i="12"/>
  <c r="DB131" i="12"/>
  <c r="DC131" i="12"/>
  <c r="DD131" i="12"/>
  <c r="DE131" i="12"/>
  <c r="DF131" i="12"/>
  <c r="DG131" i="12"/>
  <c r="DH131" i="12"/>
  <c r="DI131" i="12"/>
  <c r="DJ131" i="12"/>
  <c r="DK131" i="12"/>
  <c r="DL131" i="12"/>
  <c r="DM131" i="12"/>
  <c r="DN131" i="12"/>
  <c r="DO131" i="12"/>
  <c r="DP131" i="12"/>
  <c r="DQ131" i="12"/>
  <c r="DR131" i="12"/>
  <c r="DS131" i="12"/>
  <c r="DT131" i="12"/>
  <c r="DU131" i="12"/>
  <c r="DV131" i="12"/>
  <c r="DW131" i="12"/>
  <c r="DZ131" i="12"/>
  <c r="EA131" i="12"/>
  <c r="EB131" i="12"/>
  <c r="AI132" i="12"/>
  <c r="AN132" i="12"/>
  <c r="AP132" i="12"/>
  <c r="AR132" i="12"/>
  <c r="AT132" i="12"/>
  <c r="AV132" i="12"/>
  <c r="AX132" i="12"/>
  <c r="AZ132" i="12"/>
  <c r="BB132" i="12"/>
  <c r="BD132" i="12"/>
  <c r="BF132" i="12"/>
  <c r="BG132" i="12"/>
  <c r="BH132" i="12"/>
  <c r="BI132" i="12"/>
  <c r="BJ132" i="12"/>
  <c r="BK132" i="12"/>
  <c r="BL132" i="12"/>
  <c r="BM132" i="12"/>
  <c r="BN132" i="12"/>
  <c r="BO132" i="12"/>
  <c r="BP132" i="12"/>
  <c r="BQ132" i="12"/>
  <c r="BR132" i="12"/>
  <c r="BS132" i="12"/>
  <c r="BT132" i="12"/>
  <c r="BU132" i="12"/>
  <c r="BV132" i="12"/>
  <c r="BW132" i="12"/>
  <c r="BX132" i="12"/>
  <c r="BY132" i="12"/>
  <c r="BZ132" i="12"/>
  <c r="CA132" i="12"/>
  <c r="CB132" i="12"/>
  <c r="CC132" i="12"/>
  <c r="CD132" i="12"/>
  <c r="CE132" i="12"/>
  <c r="CF132" i="12"/>
  <c r="CG132" i="12"/>
  <c r="CH132" i="12"/>
  <c r="CI132" i="12"/>
  <c r="CJ132" i="12"/>
  <c r="CK132" i="12"/>
  <c r="CL132" i="12"/>
  <c r="CM132" i="12"/>
  <c r="CN132" i="12"/>
  <c r="CO132" i="12"/>
  <c r="CP132" i="12"/>
  <c r="CQ132" i="12"/>
  <c r="CR132" i="12"/>
  <c r="CS132" i="12"/>
  <c r="CT132" i="12"/>
  <c r="CU132" i="12"/>
  <c r="CV132" i="12"/>
  <c r="CW132" i="12"/>
  <c r="CX132" i="12"/>
  <c r="CY132" i="12"/>
  <c r="CZ132" i="12"/>
  <c r="DA132" i="12"/>
  <c r="DB132" i="12"/>
  <c r="DC132" i="12"/>
  <c r="DD132" i="12"/>
  <c r="DE132" i="12"/>
  <c r="DF132" i="12"/>
  <c r="DG132" i="12"/>
  <c r="DH132" i="12"/>
  <c r="DI132" i="12"/>
  <c r="DJ132" i="12"/>
  <c r="DK132" i="12"/>
  <c r="DL132" i="12"/>
  <c r="DM132" i="12"/>
  <c r="DN132" i="12"/>
  <c r="DO132" i="12"/>
  <c r="DP132" i="12"/>
  <c r="DQ132" i="12"/>
  <c r="DR132" i="12"/>
  <c r="DS132" i="12"/>
  <c r="DT132" i="12"/>
  <c r="DU132" i="12"/>
  <c r="DV132" i="12"/>
  <c r="DW132" i="12"/>
  <c r="DZ132" i="12"/>
  <c r="EA132" i="12"/>
  <c r="EB132" i="12"/>
  <c r="AI133" i="12"/>
  <c r="AN133" i="12"/>
  <c r="AP133" i="12"/>
  <c r="AR133" i="12"/>
  <c r="AT133" i="12"/>
  <c r="AV133" i="12"/>
  <c r="AX133" i="12"/>
  <c r="AZ133" i="12"/>
  <c r="BB133" i="12"/>
  <c r="BD133" i="12"/>
  <c r="BF133" i="12"/>
  <c r="BG133" i="12"/>
  <c r="BH133" i="12"/>
  <c r="BI133" i="12"/>
  <c r="BJ133" i="12"/>
  <c r="BK133" i="12"/>
  <c r="BL133" i="12"/>
  <c r="BM133" i="12"/>
  <c r="BN133" i="12"/>
  <c r="BO133" i="12"/>
  <c r="BP133" i="12"/>
  <c r="BQ133" i="12"/>
  <c r="BR133" i="12"/>
  <c r="BS133" i="12"/>
  <c r="BT133" i="12"/>
  <c r="BU133" i="12"/>
  <c r="BV133" i="12"/>
  <c r="BW133" i="12"/>
  <c r="BX133" i="12"/>
  <c r="BY133" i="12"/>
  <c r="BZ133" i="12"/>
  <c r="CA133" i="12"/>
  <c r="CB133" i="12"/>
  <c r="CC133" i="12"/>
  <c r="CD133" i="12"/>
  <c r="CE133" i="12"/>
  <c r="CF133" i="12"/>
  <c r="CG133" i="12"/>
  <c r="CH133" i="12"/>
  <c r="CI133" i="12"/>
  <c r="CJ133" i="12"/>
  <c r="CK133" i="12"/>
  <c r="CL133" i="12"/>
  <c r="CM133" i="12"/>
  <c r="CN133" i="12"/>
  <c r="CO133" i="12"/>
  <c r="CP133" i="12"/>
  <c r="CQ133" i="12"/>
  <c r="CR133" i="12"/>
  <c r="CS133" i="12"/>
  <c r="CT133" i="12"/>
  <c r="CU133" i="12"/>
  <c r="CV133" i="12"/>
  <c r="CW133" i="12"/>
  <c r="CX133" i="12"/>
  <c r="CY133" i="12"/>
  <c r="CZ133" i="12"/>
  <c r="DA133" i="12"/>
  <c r="DB133" i="12"/>
  <c r="DC133" i="12"/>
  <c r="DD133" i="12"/>
  <c r="DE133" i="12"/>
  <c r="DF133" i="12"/>
  <c r="DG133" i="12"/>
  <c r="DH133" i="12"/>
  <c r="DI133" i="12"/>
  <c r="DJ133" i="12"/>
  <c r="DK133" i="12"/>
  <c r="DL133" i="12"/>
  <c r="DM133" i="12"/>
  <c r="DN133" i="12"/>
  <c r="DO133" i="12"/>
  <c r="DP133" i="12"/>
  <c r="DQ133" i="12"/>
  <c r="DR133" i="12"/>
  <c r="DS133" i="12"/>
  <c r="DT133" i="12"/>
  <c r="DU133" i="12"/>
  <c r="DV133" i="12"/>
  <c r="DW133" i="12"/>
  <c r="DZ133" i="12"/>
  <c r="EA133" i="12"/>
  <c r="EB133" i="12"/>
  <c r="E134" i="12"/>
  <c r="AV134" i="12" s="1"/>
  <c r="AQ134" i="12"/>
  <c r="BF134" i="12"/>
  <c r="BG134" i="12"/>
  <c r="BH134" i="12"/>
  <c r="BI134" i="12"/>
  <c r="BJ134" i="12"/>
  <c r="BK134" i="12"/>
  <c r="BL134" i="12"/>
  <c r="BM134" i="12"/>
  <c r="BN134" i="12"/>
  <c r="BO134" i="12"/>
  <c r="BP134" i="12"/>
  <c r="BQ134" i="12"/>
  <c r="BR134" i="12"/>
  <c r="BS134" i="12"/>
  <c r="BT134" i="12"/>
  <c r="BU134" i="12"/>
  <c r="BV134" i="12"/>
  <c r="BW134" i="12"/>
  <c r="BX134" i="12"/>
  <c r="BY134" i="12"/>
  <c r="BZ134" i="12"/>
  <c r="CA134" i="12"/>
  <c r="CB134" i="12"/>
  <c r="CC134" i="12"/>
  <c r="CD134" i="12"/>
  <c r="CE134" i="12"/>
  <c r="CF134" i="12"/>
  <c r="CG134" i="12"/>
  <c r="CH134" i="12"/>
  <c r="CI134" i="12"/>
  <c r="CJ134" i="12"/>
  <c r="CK134" i="12"/>
  <c r="CL134" i="12"/>
  <c r="CM134" i="12"/>
  <c r="CN134" i="12"/>
  <c r="CO134" i="12"/>
  <c r="CP134" i="12"/>
  <c r="CQ134" i="12"/>
  <c r="CR134" i="12"/>
  <c r="CS134" i="12"/>
  <c r="CT134" i="12"/>
  <c r="CU134" i="12"/>
  <c r="CV134" i="12"/>
  <c r="CW134" i="12"/>
  <c r="CX134" i="12"/>
  <c r="CY134" i="12"/>
  <c r="CZ134" i="12"/>
  <c r="DA134" i="12"/>
  <c r="DB134" i="12"/>
  <c r="DC134" i="12"/>
  <c r="DD134" i="12"/>
  <c r="DE134" i="12"/>
  <c r="DF134" i="12"/>
  <c r="DG134" i="12"/>
  <c r="DH134" i="12"/>
  <c r="DI134" i="12"/>
  <c r="DJ134" i="12"/>
  <c r="DK134" i="12"/>
  <c r="DL134" i="12"/>
  <c r="DM134" i="12"/>
  <c r="DN134" i="12"/>
  <c r="DO134" i="12"/>
  <c r="DP134" i="12"/>
  <c r="DQ134" i="12"/>
  <c r="DR134" i="12"/>
  <c r="DS134" i="12"/>
  <c r="DT134" i="12"/>
  <c r="DU134" i="12"/>
  <c r="DV134" i="12"/>
  <c r="DW134" i="12"/>
  <c r="DZ134" i="12"/>
  <c r="EA134" i="12"/>
  <c r="EB134" i="12"/>
  <c r="E135" i="12"/>
  <c r="AI135" i="12" s="1"/>
  <c r="AQ135" i="12"/>
  <c r="BF135" i="12"/>
  <c r="BG135" i="12"/>
  <c r="BH135" i="12"/>
  <c r="BI135" i="12"/>
  <c r="BJ135" i="12"/>
  <c r="BK135" i="12"/>
  <c r="BL135" i="12"/>
  <c r="BM135" i="12"/>
  <c r="BN135" i="12"/>
  <c r="BO135" i="12"/>
  <c r="BP135" i="12"/>
  <c r="BQ135" i="12"/>
  <c r="BR135" i="12"/>
  <c r="BS135" i="12"/>
  <c r="BT135" i="12"/>
  <c r="BU135" i="12"/>
  <c r="BV135" i="12"/>
  <c r="BW135" i="12"/>
  <c r="BX135" i="12"/>
  <c r="BY135" i="12"/>
  <c r="BZ135" i="12"/>
  <c r="CA135" i="12"/>
  <c r="CB135" i="12"/>
  <c r="CC135" i="12"/>
  <c r="CD135" i="12"/>
  <c r="CE135" i="12"/>
  <c r="CF135" i="12"/>
  <c r="CG135" i="12"/>
  <c r="CH135" i="12"/>
  <c r="CI135" i="12"/>
  <c r="CJ135" i="12"/>
  <c r="CK135" i="12"/>
  <c r="CL135" i="12"/>
  <c r="CM135" i="12"/>
  <c r="CN135" i="12"/>
  <c r="CO135" i="12"/>
  <c r="CP135" i="12"/>
  <c r="CQ135" i="12"/>
  <c r="CR135" i="12"/>
  <c r="CS135" i="12"/>
  <c r="CT135" i="12"/>
  <c r="CU135" i="12"/>
  <c r="CV135" i="12"/>
  <c r="CW135" i="12"/>
  <c r="CX135" i="12"/>
  <c r="CY135" i="12"/>
  <c r="CZ135" i="12"/>
  <c r="DA135" i="12"/>
  <c r="DB135" i="12"/>
  <c r="DC135" i="12"/>
  <c r="DD135" i="12"/>
  <c r="DE135" i="12"/>
  <c r="DF135" i="12"/>
  <c r="DG135" i="12"/>
  <c r="DH135" i="12"/>
  <c r="DI135" i="12"/>
  <c r="DJ135" i="12"/>
  <c r="DK135" i="12"/>
  <c r="DL135" i="12"/>
  <c r="DM135" i="12"/>
  <c r="DN135" i="12"/>
  <c r="DO135" i="12"/>
  <c r="DP135" i="12"/>
  <c r="DQ135" i="12"/>
  <c r="DR135" i="12"/>
  <c r="DS135" i="12"/>
  <c r="DT135" i="12"/>
  <c r="DU135" i="12"/>
  <c r="DV135" i="12"/>
  <c r="DW135" i="12"/>
  <c r="DZ135" i="12"/>
  <c r="EA135" i="12"/>
  <c r="EB135" i="12"/>
  <c r="E136" i="12"/>
  <c r="AX136" i="12" s="1"/>
  <c r="AQ136" i="12"/>
  <c r="BF136" i="12"/>
  <c r="BG136" i="12"/>
  <c r="BH136" i="12"/>
  <c r="BI136" i="12"/>
  <c r="BJ136" i="12"/>
  <c r="BK136" i="12"/>
  <c r="BL136" i="12"/>
  <c r="BM136" i="12"/>
  <c r="BN136" i="12"/>
  <c r="BO136" i="12"/>
  <c r="BP136" i="12"/>
  <c r="BQ136" i="12"/>
  <c r="BR136" i="12"/>
  <c r="BS136" i="12"/>
  <c r="BT136" i="12"/>
  <c r="BU136" i="12"/>
  <c r="BV136" i="12"/>
  <c r="BW136" i="12"/>
  <c r="BX136" i="12"/>
  <c r="BY136" i="12"/>
  <c r="BZ136" i="12"/>
  <c r="CA136" i="12"/>
  <c r="CB136" i="12"/>
  <c r="CC136" i="12"/>
  <c r="CD136" i="12"/>
  <c r="CE136" i="12"/>
  <c r="CF136" i="12"/>
  <c r="CG136" i="12"/>
  <c r="CH136" i="12"/>
  <c r="CI136" i="12"/>
  <c r="CJ136" i="12"/>
  <c r="CK136" i="12"/>
  <c r="CL136" i="12"/>
  <c r="CM136" i="12"/>
  <c r="CN136" i="12"/>
  <c r="CO136" i="12"/>
  <c r="CP136" i="12"/>
  <c r="CQ136" i="12"/>
  <c r="CR136" i="12"/>
  <c r="CS136" i="12"/>
  <c r="CT136" i="12"/>
  <c r="CU136" i="12"/>
  <c r="CV136" i="12"/>
  <c r="CW136" i="12"/>
  <c r="CX136" i="12"/>
  <c r="CY136" i="12"/>
  <c r="CZ136" i="12"/>
  <c r="DA136" i="12"/>
  <c r="DB136" i="12"/>
  <c r="DC136" i="12"/>
  <c r="DD136" i="12"/>
  <c r="DE136" i="12"/>
  <c r="DF136" i="12"/>
  <c r="DG136" i="12"/>
  <c r="DH136" i="12"/>
  <c r="DI136" i="12"/>
  <c r="DJ136" i="12"/>
  <c r="DK136" i="12"/>
  <c r="DL136" i="12"/>
  <c r="DM136" i="12"/>
  <c r="DN136" i="12"/>
  <c r="DO136" i="12"/>
  <c r="DP136" i="12"/>
  <c r="DQ136" i="12"/>
  <c r="DR136" i="12"/>
  <c r="DS136" i="12"/>
  <c r="DT136" i="12"/>
  <c r="DU136" i="12"/>
  <c r="DV136" i="12"/>
  <c r="DW136" i="12"/>
  <c r="DZ136" i="12"/>
  <c r="EA136" i="12"/>
  <c r="EB136" i="12"/>
  <c r="AQ138" i="12"/>
  <c r="AI138" i="12"/>
  <c r="AN138" i="12"/>
  <c r="AP138" i="12"/>
  <c r="AR138" i="12"/>
  <c r="AT138" i="12"/>
  <c r="AV138" i="12"/>
  <c r="AX138" i="12"/>
  <c r="AZ138" i="12"/>
  <c r="BB138" i="12"/>
  <c r="BD138" i="12"/>
  <c r="BF138" i="12"/>
  <c r="BG138" i="12"/>
  <c r="BH138" i="12"/>
  <c r="BI138" i="12"/>
  <c r="BJ138" i="12"/>
  <c r="BK138" i="12"/>
  <c r="BL138" i="12"/>
  <c r="BM138" i="12"/>
  <c r="BN138" i="12"/>
  <c r="BO138" i="12"/>
  <c r="BP138" i="12"/>
  <c r="BQ138" i="12"/>
  <c r="BR138" i="12"/>
  <c r="BS138" i="12"/>
  <c r="BT138" i="12"/>
  <c r="BU138" i="12"/>
  <c r="BV138" i="12"/>
  <c r="BW138" i="12"/>
  <c r="BX138" i="12"/>
  <c r="BY138" i="12"/>
  <c r="BZ138" i="12"/>
  <c r="CA138" i="12"/>
  <c r="CB138" i="12"/>
  <c r="CC138" i="12"/>
  <c r="CD138" i="12"/>
  <c r="CE138" i="12"/>
  <c r="CF138" i="12"/>
  <c r="CG138" i="12"/>
  <c r="CH138" i="12"/>
  <c r="CI138" i="12"/>
  <c r="CJ138" i="12"/>
  <c r="CK138" i="12"/>
  <c r="CL138" i="12"/>
  <c r="CM138" i="12"/>
  <c r="CN138" i="12"/>
  <c r="CO138" i="12"/>
  <c r="CP138" i="12"/>
  <c r="CQ138" i="12"/>
  <c r="CR138" i="12"/>
  <c r="CS138" i="12"/>
  <c r="CT138" i="12"/>
  <c r="CU138" i="12"/>
  <c r="CV138" i="12"/>
  <c r="CW138" i="12"/>
  <c r="CX138" i="12"/>
  <c r="CY138" i="12"/>
  <c r="CZ138" i="12"/>
  <c r="DA138" i="12"/>
  <c r="DB138" i="12"/>
  <c r="DC138" i="12"/>
  <c r="DD138" i="12"/>
  <c r="DE138" i="12"/>
  <c r="DF138" i="12"/>
  <c r="DG138" i="12"/>
  <c r="DH138" i="12"/>
  <c r="DI138" i="12"/>
  <c r="DJ138" i="12"/>
  <c r="DK138" i="12"/>
  <c r="DL138" i="12"/>
  <c r="DM138" i="12"/>
  <c r="DN138" i="12"/>
  <c r="DO138" i="12"/>
  <c r="DP138" i="12"/>
  <c r="DQ138" i="12"/>
  <c r="DR138" i="12"/>
  <c r="DS138" i="12"/>
  <c r="DT138" i="12"/>
  <c r="DU138" i="12"/>
  <c r="DV138" i="12"/>
  <c r="DW138" i="12"/>
  <c r="DZ138" i="12"/>
  <c r="EA138" i="12"/>
  <c r="EB138" i="12"/>
  <c r="AO139" i="12"/>
  <c r="AI139" i="12"/>
  <c r="AN139" i="12"/>
  <c r="AP139" i="12"/>
  <c r="AR139" i="12"/>
  <c r="AT139" i="12"/>
  <c r="AV139" i="12"/>
  <c r="AX139" i="12"/>
  <c r="AZ139" i="12"/>
  <c r="BB139" i="12"/>
  <c r="BD139" i="12"/>
  <c r="BF139" i="12"/>
  <c r="BG139" i="12"/>
  <c r="BH139" i="12"/>
  <c r="BI139" i="12"/>
  <c r="BJ139" i="12"/>
  <c r="BK139" i="12"/>
  <c r="BL139" i="12"/>
  <c r="BM139" i="12"/>
  <c r="BN139" i="12"/>
  <c r="BO139" i="12"/>
  <c r="BP139" i="12"/>
  <c r="BQ139" i="12"/>
  <c r="BR139" i="12"/>
  <c r="BS139" i="12"/>
  <c r="BT139" i="12"/>
  <c r="BU139" i="12"/>
  <c r="BV139" i="12"/>
  <c r="BW139" i="12"/>
  <c r="BX139" i="12"/>
  <c r="BY139" i="12"/>
  <c r="BZ139" i="12"/>
  <c r="CA139" i="12"/>
  <c r="CB139" i="12"/>
  <c r="CC139" i="12"/>
  <c r="CD139" i="12"/>
  <c r="CE139" i="12"/>
  <c r="CF139" i="12"/>
  <c r="CG139" i="12"/>
  <c r="CH139" i="12"/>
  <c r="CI139" i="12"/>
  <c r="CJ139" i="12"/>
  <c r="CK139" i="12"/>
  <c r="CL139" i="12"/>
  <c r="CM139" i="12"/>
  <c r="CN139" i="12"/>
  <c r="CO139" i="12"/>
  <c r="CP139" i="12"/>
  <c r="CQ139" i="12"/>
  <c r="CR139" i="12"/>
  <c r="CS139" i="12"/>
  <c r="CT139" i="12"/>
  <c r="CU139" i="12"/>
  <c r="CV139" i="12"/>
  <c r="CW139" i="12"/>
  <c r="CX139" i="12"/>
  <c r="CY139" i="12"/>
  <c r="CZ139" i="12"/>
  <c r="DA139" i="12"/>
  <c r="DB139" i="12"/>
  <c r="DC139" i="12"/>
  <c r="DD139" i="12"/>
  <c r="DE139" i="12"/>
  <c r="DF139" i="12"/>
  <c r="DG139" i="12"/>
  <c r="DH139" i="12"/>
  <c r="DI139" i="12"/>
  <c r="DJ139" i="12"/>
  <c r="DK139" i="12"/>
  <c r="DL139" i="12"/>
  <c r="DM139" i="12"/>
  <c r="DN139" i="12"/>
  <c r="DO139" i="12"/>
  <c r="DP139" i="12"/>
  <c r="DQ139" i="12"/>
  <c r="DR139" i="12"/>
  <c r="DS139" i="12"/>
  <c r="DT139" i="12"/>
  <c r="DU139" i="12"/>
  <c r="DV139" i="12"/>
  <c r="DW139" i="12"/>
  <c r="DZ139" i="12"/>
  <c r="EA139" i="12"/>
  <c r="EB139" i="12"/>
  <c r="AM140" i="12"/>
  <c r="AI140" i="12"/>
  <c r="AN140" i="12"/>
  <c r="AP140" i="12"/>
  <c r="AR140" i="12"/>
  <c r="AT140" i="12"/>
  <c r="AV140" i="12"/>
  <c r="AX140" i="12"/>
  <c r="AZ140" i="12"/>
  <c r="BB140" i="12"/>
  <c r="BD140" i="12"/>
  <c r="BF140" i="12"/>
  <c r="BG140" i="12"/>
  <c r="BH140" i="12"/>
  <c r="BI140" i="12"/>
  <c r="BJ140" i="12"/>
  <c r="BK140" i="12"/>
  <c r="BL140" i="12"/>
  <c r="BM140" i="12"/>
  <c r="BN140" i="12"/>
  <c r="BO140" i="12"/>
  <c r="BP140" i="12"/>
  <c r="BQ140" i="12"/>
  <c r="BR140" i="12"/>
  <c r="BS140" i="12"/>
  <c r="BT140" i="12"/>
  <c r="BU140" i="12"/>
  <c r="BV140" i="12"/>
  <c r="BW140" i="12"/>
  <c r="BX140" i="12"/>
  <c r="BY140" i="12"/>
  <c r="BZ140" i="12"/>
  <c r="CA140" i="12"/>
  <c r="CB140" i="12"/>
  <c r="CC140" i="12"/>
  <c r="CD140" i="12"/>
  <c r="CE140" i="12"/>
  <c r="CF140" i="12"/>
  <c r="CG140" i="12"/>
  <c r="CH140" i="12"/>
  <c r="CI140" i="12"/>
  <c r="CJ140" i="12"/>
  <c r="CK140" i="12"/>
  <c r="CL140" i="12"/>
  <c r="CM140" i="12"/>
  <c r="CN140" i="12"/>
  <c r="CO140" i="12"/>
  <c r="CP140" i="12"/>
  <c r="CQ140" i="12"/>
  <c r="CR140" i="12"/>
  <c r="CS140" i="12"/>
  <c r="CT140" i="12"/>
  <c r="CU140" i="12"/>
  <c r="CV140" i="12"/>
  <c r="CW140" i="12"/>
  <c r="CX140" i="12"/>
  <c r="CY140" i="12"/>
  <c r="CZ140" i="12"/>
  <c r="DA140" i="12"/>
  <c r="DB140" i="12"/>
  <c r="DC140" i="12"/>
  <c r="DD140" i="12"/>
  <c r="DE140" i="12"/>
  <c r="DF140" i="12"/>
  <c r="DG140" i="12"/>
  <c r="DH140" i="12"/>
  <c r="DI140" i="12"/>
  <c r="DJ140" i="12"/>
  <c r="DK140" i="12"/>
  <c r="DL140" i="12"/>
  <c r="DM140" i="12"/>
  <c r="DN140" i="12"/>
  <c r="DO140" i="12"/>
  <c r="DP140" i="12"/>
  <c r="DQ140" i="12"/>
  <c r="DR140" i="12"/>
  <c r="DS140" i="12"/>
  <c r="DT140" i="12"/>
  <c r="DU140" i="12"/>
  <c r="DV140" i="12"/>
  <c r="DW140" i="12"/>
  <c r="DZ140" i="12"/>
  <c r="EA140" i="12"/>
  <c r="EB140" i="12"/>
  <c r="AQ141" i="12"/>
  <c r="AI141" i="12"/>
  <c r="AN141" i="12"/>
  <c r="AP141" i="12"/>
  <c r="AR141" i="12"/>
  <c r="AT141" i="12"/>
  <c r="AV141" i="12"/>
  <c r="AX141" i="12"/>
  <c r="AZ141" i="12"/>
  <c r="BB141" i="12"/>
  <c r="BD141" i="12"/>
  <c r="BF141" i="12"/>
  <c r="BG141" i="12"/>
  <c r="BH141" i="12"/>
  <c r="BI141" i="12"/>
  <c r="BJ141" i="12"/>
  <c r="BK141" i="12"/>
  <c r="BL141" i="12"/>
  <c r="BM141" i="12"/>
  <c r="BN141" i="12"/>
  <c r="BO141" i="12"/>
  <c r="BP141" i="12"/>
  <c r="BQ141" i="12"/>
  <c r="BR141" i="12"/>
  <c r="BS141" i="12"/>
  <c r="BT141" i="12"/>
  <c r="BU141" i="12"/>
  <c r="BV141" i="12"/>
  <c r="BW141" i="12"/>
  <c r="BX141" i="12"/>
  <c r="BY141" i="12"/>
  <c r="BZ141" i="12"/>
  <c r="CA141" i="12"/>
  <c r="CB141" i="12"/>
  <c r="CC141" i="12"/>
  <c r="CD141" i="12"/>
  <c r="CE141" i="12"/>
  <c r="CF141" i="12"/>
  <c r="CG141" i="12"/>
  <c r="CH141" i="12"/>
  <c r="CI141" i="12"/>
  <c r="CJ141" i="12"/>
  <c r="CK141" i="12"/>
  <c r="CL141" i="12"/>
  <c r="CM141" i="12"/>
  <c r="CN141" i="12"/>
  <c r="CO141" i="12"/>
  <c r="CP141" i="12"/>
  <c r="CQ141" i="12"/>
  <c r="CR141" i="12"/>
  <c r="CS141" i="12"/>
  <c r="CT141" i="12"/>
  <c r="CU141" i="12"/>
  <c r="CV141" i="12"/>
  <c r="CW141" i="12"/>
  <c r="CX141" i="12"/>
  <c r="CY141" i="12"/>
  <c r="CZ141" i="12"/>
  <c r="DA141" i="12"/>
  <c r="DB141" i="12"/>
  <c r="DC141" i="12"/>
  <c r="DD141" i="12"/>
  <c r="DE141" i="12"/>
  <c r="DF141" i="12"/>
  <c r="DG141" i="12"/>
  <c r="DH141" i="12"/>
  <c r="DI141" i="12"/>
  <c r="DJ141" i="12"/>
  <c r="DK141" i="12"/>
  <c r="DL141" i="12"/>
  <c r="DM141" i="12"/>
  <c r="DN141" i="12"/>
  <c r="DO141" i="12"/>
  <c r="DP141" i="12"/>
  <c r="DQ141" i="12"/>
  <c r="DR141" i="12"/>
  <c r="DS141" i="12"/>
  <c r="DT141" i="12"/>
  <c r="DU141" i="12"/>
  <c r="DV141" i="12"/>
  <c r="DW141" i="12"/>
  <c r="DZ141" i="12"/>
  <c r="EA141" i="12"/>
  <c r="EB141" i="12"/>
  <c r="AS142" i="12"/>
  <c r="AI142" i="12"/>
  <c r="AN142" i="12"/>
  <c r="AP142" i="12"/>
  <c r="AR142" i="12"/>
  <c r="AT142" i="12"/>
  <c r="AV142" i="12"/>
  <c r="AX142" i="12"/>
  <c r="AZ142" i="12"/>
  <c r="BB142" i="12"/>
  <c r="BD142" i="12"/>
  <c r="BF142" i="12"/>
  <c r="BG142" i="12"/>
  <c r="BH142" i="12"/>
  <c r="BI142" i="12"/>
  <c r="BJ142" i="12"/>
  <c r="BK142" i="12"/>
  <c r="BL142" i="12"/>
  <c r="BM142" i="12"/>
  <c r="BN142" i="12"/>
  <c r="BO142" i="12"/>
  <c r="BP142" i="12"/>
  <c r="BQ142" i="12"/>
  <c r="BR142" i="12"/>
  <c r="BS142" i="12"/>
  <c r="BT142" i="12"/>
  <c r="BU142" i="12"/>
  <c r="BV142" i="12"/>
  <c r="BW142" i="12"/>
  <c r="BX142" i="12"/>
  <c r="BY142" i="12"/>
  <c r="BZ142" i="12"/>
  <c r="CA142" i="12"/>
  <c r="CB142" i="12"/>
  <c r="CC142" i="12"/>
  <c r="CD142" i="12"/>
  <c r="CE142" i="12"/>
  <c r="CF142" i="12"/>
  <c r="CG142" i="12"/>
  <c r="CH142" i="12"/>
  <c r="CI142" i="12"/>
  <c r="CJ142" i="12"/>
  <c r="CK142" i="12"/>
  <c r="CL142" i="12"/>
  <c r="CM142" i="12"/>
  <c r="CN142" i="12"/>
  <c r="CO142" i="12"/>
  <c r="CP142" i="12"/>
  <c r="CQ142" i="12"/>
  <c r="CR142" i="12"/>
  <c r="CS142" i="12"/>
  <c r="CT142" i="12"/>
  <c r="CU142" i="12"/>
  <c r="CV142" i="12"/>
  <c r="CW142" i="12"/>
  <c r="CX142" i="12"/>
  <c r="CY142" i="12"/>
  <c r="CZ142" i="12"/>
  <c r="DA142" i="12"/>
  <c r="DB142" i="12"/>
  <c r="DC142" i="12"/>
  <c r="DD142" i="12"/>
  <c r="DE142" i="12"/>
  <c r="DF142" i="12"/>
  <c r="DG142" i="12"/>
  <c r="DH142" i="12"/>
  <c r="DI142" i="12"/>
  <c r="DJ142" i="12"/>
  <c r="DK142" i="12"/>
  <c r="DL142" i="12"/>
  <c r="DM142" i="12"/>
  <c r="DN142" i="12"/>
  <c r="DO142" i="12"/>
  <c r="DP142" i="12"/>
  <c r="DQ142" i="12"/>
  <c r="DR142" i="12"/>
  <c r="DS142" i="12"/>
  <c r="DT142" i="12"/>
  <c r="DU142" i="12"/>
  <c r="DV142" i="12"/>
  <c r="DW142" i="12"/>
  <c r="DZ142" i="12"/>
  <c r="EA142" i="12"/>
  <c r="EB142" i="12"/>
  <c r="AO143" i="12"/>
  <c r="AI143" i="12"/>
  <c r="AN143" i="12"/>
  <c r="AP143" i="12"/>
  <c r="AR143" i="12"/>
  <c r="AT143" i="12"/>
  <c r="AV143" i="12"/>
  <c r="AX143" i="12"/>
  <c r="AZ143" i="12"/>
  <c r="BB143" i="12"/>
  <c r="BD143" i="12"/>
  <c r="BF143" i="12"/>
  <c r="BG143" i="12"/>
  <c r="BH143" i="12"/>
  <c r="BI143" i="12"/>
  <c r="BJ143" i="12"/>
  <c r="BK143" i="12"/>
  <c r="BL143" i="12"/>
  <c r="BM143" i="12"/>
  <c r="BN143" i="12"/>
  <c r="BO143" i="12"/>
  <c r="BP143" i="12"/>
  <c r="BQ143" i="12"/>
  <c r="BR143" i="12"/>
  <c r="BS143" i="12"/>
  <c r="BT143" i="12"/>
  <c r="BU143" i="12"/>
  <c r="BV143" i="12"/>
  <c r="BW143" i="12"/>
  <c r="BX143" i="12"/>
  <c r="BY143" i="12"/>
  <c r="BZ143" i="12"/>
  <c r="CA143" i="12"/>
  <c r="CB143" i="12"/>
  <c r="CC143" i="12"/>
  <c r="CD143" i="12"/>
  <c r="CE143" i="12"/>
  <c r="CF143" i="12"/>
  <c r="CG143" i="12"/>
  <c r="CH143" i="12"/>
  <c r="CI143" i="12"/>
  <c r="CJ143" i="12"/>
  <c r="CK143" i="12"/>
  <c r="CL143" i="12"/>
  <c r="CM143" i="12"/>
  <c r="CN143" i="12"/>
  <c r="CO143" i="12"/>
  <c r="CP143" i="12"/>
  <c r="CQ143" i="12"/>
  <c r="CR143" i="12"/>
  <c r="CS143" i="12"/>
  <c r="CT143" i="12"/>
  <c r="CU143" i="12"/>
  <c r="CV143" i="12"/>
  <c r="CW143" i="12"/>
  <c r="CX143" i="12"/>
  <c r="CY143" i="12"/>
  <c r="CZ143" i="12"/>
  <c r="DA143" i="12"/>
  <c r="DB143" i="12"/>
  <c r="DC143" i="12"/>
  <c r="DD143" i="12"/>
  <c r="DE143" i="12"/>
  <c r="DF143" i="12"/>
  <c r="DG143" i="12"/>
  <c r="DH143" i="12"/>
  <c r="DI143" i="12"/>
  <c r="DJ143" i="12"/>
  <c r="DK143" i="12"/>
  <c r="DL143" i="12"/>
  <c r="DM143" i="12"/>
  <c r="DN143" i="12"/>
  <c r="DO143" i="12"/>
  <c r="DP143" i="12"/>
  <c r="DQ143" i="12"/>
  <c r="DR143" i="12"/>
  <c r="DS143" i="12"/>
  <c r="DT143" i="12"/>
  <c r="DU143" i="12"/>
  <c r="DV143" i="12"/>
  <c r="DW143" i="12"/>
  <c r="DZ143" i="12"/>
  <c r="EA143" i="12"/>
  <c r="EB143" i="12"/>
  <c r="AM144" i="12"/>
  <c r="AI144" i="12"/>
  <c r="AN144" i="12"/>
  <c r="AP144" i="12"/>
  <c r="AR144" i="12"/>
  <c r="AT144" i="12"/>
  <c r="AV144" i="12"/>
  <c r="AX144" i="12"/>
  <c r="AZ144" i="12"/>
  <c r="BB144" i="12"/>
  <c r="BD144" i="12"/>
  <c r="BF144" i="12"/>
  <c r="BG144" i="12"/>
  <c r="BH144" i="12"/>
  <c r="BI144" i="12"/>
  <c r="BJ144" i="12"/>
  <c r="BK144" i="12"/>
  <c r="BL144" i="12"/>
  <c r="BM144" i="12"/>
  <c r="BN144" i="12"/>
  <c r="BO144" i="12"/>
  <c r="BP144" i="12"/>
  <c r="BQ144" i="12"/>
  <c r="BR144" i="12"/>
  <c r="BS144" i="12"/>
  <c r="BT144" i="12"/>
  <c r="BU144" i="12"/>
  <c r="BV144" i="12"/>
  <c r="BW144" i="12"/>
  <c r="BX144" i="12"/>
  <c r="BY144" i="12"/>
  <c r="BZ144" i="12"/>
  <c r="CA144" i="12"/>
  <c r="CB144" i="12"/>
  <c r="CC144" i="12"/>
  <c r="CD144" i="12"/>
  <c r="CE144" i="12"/>
  <c r="CF144" i="12"/>
  <c r="CG144" i="12"/>
  <c r="CH144" i="12"/>
  <c r="CI144" i="12"/>
  <c r="CJ144" i="12"/>
  <c r="CK144" i="12"/>
  <c r="CL144" i="12"/>
  <c r="CM144" i="12"/>
  <c r="CN144" i="12"/>
  <c r="CO144" i="12"/>
  <c r="CP144" i="12"/>
  <c r="CQ144" i="12"/>
  <c r="CR144" i="12"/>
  <c r="CS144" i="12"/>
  <c r="CT144" i="12"/>
  <c r="CU144" i="12"/>
  <c r="CV144" i="12"/>
  <c r="CW144" i="12"/>
  <c r="CX144" i="12"/>
  <c r="CY144" i="12"/>
  <c r="CZ144" i="12"/>
  <c r="DA144" i="12"/>
  <c r="DB144" i="12"/>
  <c r="DC144" i="12"/>
  <c r="DD144" i="12"/>
  <c r="DE144" i="12"/>
  <c r="DF144" i="12"/>
  <c r="DG144" i="12"/>
  <c r="DH144" i="12"/>
  <c r="DI144" i="12"/>
  <c r="DJ144" i="12"/>
  <c r="DK144" i="12"/>
  <c r="DL144" i="12"/>
  <c r="DM144" i="12"/>
  <c r="DN144" i="12"/>
  <c r="DO144" i="12"/>
  <c r="DP144" i="12"/>
  <c r="DQ144" i="12"/>
  <c r="DR144" i="12"/>
  <c r="DS144" i="12"/>
  <c r="DT144" i="12"/>
  <c r="DU144" i="12"/>
  <c r="DV144" i="12"/>
  <c r="DW144" i="12"/>
  <c r="DZ144" i="12"/>
  <c r="EA144" i="12"/>
  <c r="EB144" i="12"/>
  <c r="AM150" i="12"/>
  <c r="AI150" i="12"/>
  <c r="AN150" i="12"/>
  <c r="AP150" i="12"/>
  <c r="AR150" i="12"/>
  <c r="AT150" i="12"/>
  <c r="AV150" i="12"/>
  <c r="AX150" i="12"/>
  <c r="AZ150" i="12"/>
  <c r="BB150" i="12"/>
  <c r="BD150" i="12"/>
  <c r="BF150" i="12"/>
  <c r="BG150" i="12"/>
  <c r="BH150" i="12"/>
  <c r="BI150" i="12"/>
  <c r="BJ150" i="12"/>
  <c r="BK150" i="12"/>
  <c r="BL150" i="12"/>
  <c r="BM150" i="12"/>
  <c r="BN150" i="12"/>
  <c r="BO150" i="12"/>
  <c r="BP150" i="12"/>
  <c r="BQ150" i="12"/>
  <c r="BR150" i="12"/>
  <c r="BS150" i="12"/>
  <c r="BT150" i="12"/>
  <c r="BU150" i="12"/>
  <c r="BV150" i="12"/>
  <c r="BW150" i="12"/>
  <c r="BX150" i="12"/>
  <c r="BY150" i="12"/>
  <c r="BZ150" i="12"/>
  <c r="CA150" i="12"/>
  <c r="CB150" i="12"/>
  <c r="CC150" i="12"/>
  <c r="CD150" i="12"/>
  <c r="CE150" i="12"/>
  <c r="CF150" i="12"/>
  <c r="CG150" i="12"/>
  <c r="CH150" i="12"/>
  <c r="CI150" i="12"/>
  <c r="CJ150" i="12"/>
  <c r="CK150" i="12"/>
  <c r="CL150" i="12"/>
  <c r="CM150" i="12"/>
  <c r="CN150" i="12"/>
  <c r="CO150" i="12"/>
  <c r="CP150" i="12"/>
  <c r="CQ150" i="12"/>
  <c r="CR150" i="12"/>
  <c r="CS150" i="12"/>
  <c r="CT150" i="12"/>
  <c r="CU150" i="12"/>
  <c r="CV150" i="12"/>
  <c r="CW150" i="12"/>
  <c r="CX150" i="12"/>
  <c r="CY150" i="12"/>
  <c r="CZ150" i="12"/>
  <c r="DA150" i="12"/>
  <c r="DB150" i="12"/>
  <c r="DC150" i="12"/>
  <c r="DD150" i="12"/>
  <c r="DE150" i="12"/>
  <c r="DF150" i="12"/>
  <c r="DG150" i="12"/>
  <c r="DH150" i="12"/>
  <c r="DI150" i="12"/>
  <c r="DJ150" i="12"/>
  <c r="DK150" i="12"/>
  <c r="DL150" i="12"/>
  <c r="DM150" i="12"/>
  <c r="DN150" i="12"/>
  <c r="DO150" i="12"/>
  <c r="DP150" i="12"/>
  <c r="DQ150" i="12"/>
  <c r="DR150" i="12"/>
  <c r="DS150" i="12"/>
  <c r="DT150" i="12"/>
  <c r="DU150" i="12"/>
  <c r="DV150" i="12"/>
  <c r="DW150" i="12"/>
  <c r="DZ150" i="12"/>
  <c r="EA150" i="12"/>
  <c r="EB150" i="12"/>
  <c r="AO151" i="12"/>
  <c r="AI151" i="12"/>
  <c r="AN151" i="12"/>
  <c r="AP151" i="12"/>
  <c r="AR151" i="12"/>
  <c r="AT151" i="12"/>
  <c r="AV151" i="12"/>
  <c r="AX151" i="12"/>
  <c r="AZ151" i="12"/>
  <c r="BB151" i="12"/>
  <c r="BD151" i="12"/>
  <c r="BF151" i="12"/>
  <c r="BG151" i="12"/>
  <c r="BH151" i="12"/>
  <c r="BI151" i="12"/>
  <c r="BJ151" i="12"/>
  <c r="BK151" i="12"/>
  <c r="BL151" i="12"/>
  <c r="BM151" i="12"/>
  <c r="BN151" i="12"/>
  <c r="BO151" i="12"/>
  <c r="BP151" i="12"/>
  <c r="BQ151" i="12"/>
  <c r="BR151" i="12"/>
  <c r="BS151" i="12"/>
  <c r="BT151" i="12"/>
  <c r="BU151" i="12"/>
  <c r="BV151" i="12"/>
  <c r="BW151" i="12"/>
  <c r="BX151" i="12"/>
  <c r="BY151" i="12"/>
  <c r="BZ151" i="12"/>
  <c r="CA151" i="12"/>
  <c r="CB151" i="12"/>
  <c r="CC151" i="12"/>
  <c r="CD151" i="12"/>
  <c r="CE151" i="12"/>
  <c r="CF151" i="12"/>
  <c r="CG151" i="12"/>
  <c r="CH151" i="12"/>
  <c r="CI151" i="12"/>
  <c r="CJ151" i="12"/>
  <c r="CK151" i="12"/>
  <c r="CL151" i="12"/>
  <c r="CM151" i="12"/>
  <c r="CN151" i="12"/>
  <c r="CO151" i="12"/>
  <c r="CP151" i="12"/>
  <c r="CQ151" i="12"/>
  <c r="CR151" i="12"/>
  <c r="CS151" i="12"/>
  <c r="CT151" i="12"/>
  <c r="CU151" i="12"/>
  <c r="CV151" i="12"/>
  <c r="CW151" i="12"/>
  <c r="CX151" i="12"/>
  <c r="CY151" i="12"/>
  <c r="CZ151" i="12"/>
  <c r="DA151" i="12"/>
  <c r="DB151" i="12"/>
  <c r="DC151" i="12"/>
  <c r="DD151" i="12"/>
  <c r="DE151" i="12"/>
  <c r="DF151" i="12"/>
  <c r="DG151" i="12"/>
  <c r="DH151" i="12"/>
  <c r="DI151" i="12"/>
  <c r="DJ151" i="12"/>
  <c r="DK151" i="12"/>
  <c r="DL151" i="12"/>
  <c r="DM151" i="12"/>
  <c r="DN151" i="12"/>
  <c r="DO151" i="12"/>
  <c r="DP151" i="12"/>
  <c r="DQ151" i="12"/>
  <c r="DR151" i="12"/>
  <c r="DS151" i="12"/>
  <c r="DT151" i="12"/>
  <c r="DU151" i="12"/>
  <c r="DV151" i="12"/>
  <c r="DW151" i="12"/>
  <c r="DZ151" i="12"/>
  <c r="EA151" i="12"/>
  <c r="EB151" i="12"/>
  <c r="AM152" i="12"/>
  <c r="AI152" i="12"/>
  <c r="AN152" i="12"/>
  <c r="AP152" i="12"/>
  <c r="AR152" i="12"/>
  <c r="AT152" i="12"/>
  <c r="AV152" i="12"/>
  <c r="AX152" i="12"/>
  <c r="AZ152" i="12"/>
  <c r="BB152" i="12"/>
  <c r="BD152" i="12"/>
  <c r="BF152" i="12"/>
  <c r="BG152" i="12"/>
  <c r="BH152" i="12"/>
  <c r="BI152" i="12"/>
  <c r="BJ152" i="12"/>
  <c r="BK152" i="12"/>
  <c r="BL152" i="12"/>
  <c r="BM152" i="12"/>
  <c r="BN152" i="12"/>
  <c r="BO152" i="12"/>
  <c r="BP152" i="12"/>
  <c r="BQ152" i="12"/>
  <c r="BR152" i="12"/>
  <c r="BS152" i="12"/>
  <c r="BT152" i="12"/>
  <c r="BU152" i="12"/>
  <c r="BV152" i="12"/>
  <c r="BW152" i="12"/>
  <c r="BX152" i="12"/>
  <c r="BY152" i="12"/>
  <c r="BZ152" i="12"/>
  <c r="CA152" i="12"/>
  <c r="CB152" i="12"/>
  <c r="CC152" i="12"/>
  <c r="CD152" i="12"/>
  <c r="CE152" i="12"/>
  <c r="CF152" i="12"/>
  <c r="CG152" i="12"/>
  <c r="CH152" i="12"/>
  <c r="CI152" i="12"/>
  <c r="CJ152" i="12"/>
  <c r="CK152" i="12"/>
  <c r="CL152" i="12"/>
  <c r="CM152" i="12"/>
  <c r="CN152" i="12"/>
  <c r="CO152" i="12"/>
  <c r="CP152" i="12"/>
  <c r="CQ152" i="12"/>
  <c r="CR152" i="12"/>
  <c r="CS152" i="12"/>
  <c r="CT152" i="12"/>
  <c r="CU152" i="12"/>
  <c r="CV152" i="12"/>
  <c r="CW152" i="12"/>
  <c r="CX152" i="12"/>
  <c r="CY152" i="12"/>
  <c r="CZ152" i="12"/>
  <c r="DA152" i="12"/>
  <c r="DB152" i="12"/>
  <c r="DC152" i="12"/>
  <c r="DD152" i="12"/>
  <c r="DE152" i="12"/>
  <c r="DF152" i="12"/>
  <c r="DG152" i="12"/>
  <c r="DH152" i="12"/>
  <c r="DI152" i="12"/>
  <c r="DJ152" i="12"/>
  <c r="DK152" i="12"/>
  <c r="DL152" i="12"/>
  <c r="DM152" i="12"/>
  <c r="DN152" i="12"/>
  <c r="DO152" i="12"/>
  <c r="DP152" i="12"/>
  <c r="DQ152" i="12"/>
  <c r="DR152" i="12"/>
  <c r="DS152" i="12"/>
  <c r="DT152" i="12"/>
  <c r="DU152" i="12"/>
  <c r="DV152" i="12"/>
  <c r="DW152" i="12"/>
  <c r="DZ152" i="12"/>
  <c r="EA152" i="12"/>
  <c r="EB152" i="12"/>
  <c r="AQ153" i="12"/>
  <c r="AI153" i="12"/>
  <c r="AN153" i="12"/>
  <c r="AP153" i="12"/>
  <c r="AR153" i="12"/>
  <c r="AT153" i="12"/>
  <c r="AV153" i="12"/>
  <c r="AX153" i="12"/>
  <c r="AZ153" i="12"/>
  <c r="BB153" i="12"/>
  <c r="BD153" i="12"/>
  <c r="BF153" i="12"/>
  <c r="BG153" i="12"/>
  <c r="BH153" i="12"/>
  <c r="BI153" i="12"/>
  <c r="BJ153" i="12"/>
  <c r="BK153" i="12"/>
  <c r="BL153" i="12"/>
  <c r="BM153" i="12"/>
  <c r="BN153" i="12"/>
  <c r="BO153" i="12"/>
  <c r="BP153" i="12"/>
  <c r="BQ153" i="12"/>
  <c r="BR153" i="12"/>
  <c r="BS153" i="12"/>
  <c r="BT153" i="12"/>
  <c r="BU153" i="12"/>
  <c r="BV153" i="12"/>
  <c r="BW153" i="12"/>
  <c r="BX153" i="12"/>
  <c r="BY153" i="12"/>
  <c r="BZ153" i="12"/>
  <c r="CA153" i="12"/>
  <c r="CB153" i="12"/>
  <c r="CC153" i="12"/>
  <c r="CD153" i="12"/>
  <c r="CE153" i="12"/>
  <c r="CF153" i="12"/>
  <c r="CG153" i="12"/>
  <c r="CH153" i="12"/>
  <c r="CI153" i="12"/>
  <c r="CJ153" i="12"/>
  <c r="CK153" i="12"/>
  <c r="CL153" i="12"/>
  <c r="CM153" i="12"/>
  <c r="CN153" i="12"/>
  <c r="CO153" i="12"/>
  <c r="CP153" i="12"/>
  <c r="CQ153" i="12"/>
  <c r="CR153" i="12"/>
  <c r="CS153" i="12"/>
  <c r="CT153" i="12"/>
  <c r="CU153" i="12"/>
  <c r="CV153" i="12"/>
  <c r="CW153" i="12"/>
  <c r="CX153" i="12"/>
  <c r="CY153" i="12"/>
  <c r="CZ153" i="12"/>
  <c r="DA153" i="12"/>
  <c r="DB153" i="12"/>
  <c r="DC153" i="12"/>
  <c r="DD153" i="12"/>
  <c r="DE153" i="12"/>
  <c r="DF153" i="12"/>
  <c r="DG153" i="12"/>
  <c r="DH153" i="12"/>
  <c r="DI153" i="12"/>
  <c r="DJ153" i="12"/>
  <c r="DK153" i="12"/>
  <c r="DL153" i="12"/>
  <c r="DM153" i="12"/>
  <c r="DN153" i="12"/>
  <c r="DO153" i="12"/>
  <c r="DP153" i="12"/>
  <c r="DQ153" i="12"/>
  <c r="DR153" i="12"/>
  <c r="DS153" i="12"/>
  <c r="DT153" i="12"/>
  <c r="DU153" i="12"/>
  <c r="DV153" i="12"/>
  <c r="DW153" i="12"/>
  <c r="DZ153" i="12"/>
  <c r="EA153" i="12"/>
  <c r="EB153" i="12"/>
  <c r="AS160" i="12"/>
  <c r="AI160" i="12"/>
  <c r="AN160" i="12"/>
  <c r="AP160" i="12"/>
  <c r="AR160" i="12"/>
  <c r="AT160" i="12"/>
  <c r="AV160" i="12"/>
  <c r="AX160" i="12"/>
  <c r="AZ160" i="12"/>
  <c r="BB160" i="12"/>
  <c r="BD160" i="12"/>
  <c r="BF160" i="12"/>
  <c r="BG160" i="12"/>
  <c r="BH160" i="12"/>
  <c r="BI160" i="12"/>
  <c r="BJ160" i="12"/>
  <c r="BK160" i="12"/>
  <c r="BL160" i="12"/>
  <c r="BM160" i="12"/>
  <c r="BN160" i="12"/>
  <c r="BO160" i="12"/>
  <c r="BP160" i="12"/>
  <c r="BQ160" i="12"/>
  <c r="BR160" i="12"/>
  <c r="BS160" i="12"/>
  <c r="BT160" i="12"/>
  <c r="BU160" i="12"/>
  <c r="BV160" i="12"/>
  <c r="BW160" i="12"/>
  <c r="BX160" i="12"/>
  <c r="BY160" i="12"/>
  <c r="BZ160" i="12"/>
  <c r="CA160" i="12"/>
  <c r="CB160" i="12"/>
  <c r="CC160" i="12"/>
  <c r="CD160" i="12"/>
  <c r="CE160" i="12"/>
  <c r="CF160" i="12"/>
  <c r="CG160" i="12"/>
  <c r="CH160" i="12"/>
  <c r="CI160" i="12"/>
  <c r="CJ160" i="12"/>
  <c r="CK160" i="12"/>
  <c r="CL160" i="12"/>
  <c r="CM160" i="12"/>
  <c r="CN160" i="12"/>
  <c r="CO160" i="12"/>
  <c r="CP160" i="12"/>
  <c r="CQ160" i="12"/>
  <c r="CR160" i="12"/>
  <c r="CS160" i="12"/>
  <c r="CT160" i="12"/>
  <c r="CU160" i="12"/>
  <c r="CV160" i="12"/>
  <c r="CW160" i="12"/>
  <c r="CX160" i="12"/>
  <c r="CY160" i="12"/>
  <c r="CZ160" i="12"/>
  <c r="DA160" i="12"/>
  <c r="DB160" i="12"/>
  <c r="DC160" i="12"/>
  <c r="DD160" i="12"/>
  <c r="DE160" i="12"/>
  <c r="DF160" i="12"/>
  <c r="DG160" i="12"/>
  <c r="DH160" i="12"/>
  <c r="DI160" i="12"/>
  <c r="DJ160" i="12"/>
  <c r="DK160" i="12"/>
  <c r="DL160" i="12"/>
  <c r="DM160" i="12"/>
  <c r="DN160" i="12"/>
  <c r="DO160" i="12"/>
  <c r="DP160" i="12"/>
  <c r="DQ160" i="12"/>
  <c r="DR160" i="12"/>
  <c r="DS160" i="12"/>
  <c r="DT160" i="12"/>
  <c r="DU160" i="12"/>
  <c r="DV160" i="12"/>
  <c r="DW160" i="12"/>
  <c r="DZ160" i="12"/>
  <c r="EA160" i="12"/>
  <c r="EB160" i="12"/>
  <c r="AO161" i="12"/>
  <c r="AI161" i="12"/>
  <c r="AN161" i="12"/>
  <c r="AP161" i="12"/>
  <c r="AR161" i="12"/>
  <c r="AT161" i="12"/>
  <c r="AV161" i="12"/>
  <c r="AX161" i="12"/>
  <c r="AZ161" i="12"/>
  <c r="BB161" i="12"/>
  <c r="BD161" i="12"/>
  <c r="BF161" i="12"/>
  <c r="BG161" i="12"/>
  <c r="BH161" i="12"/>
  <c r="BI161" i="12"/>
  <c r="BJ161" i="12"/>
  <c r="BK161" i="12"/>
  <c r="BL161" i="12"/>
  <c r="BM161" i="12"/>
  <c r="BN161" i="12"/>
  <c r="BO161" i="12"/>
  <c r="BP161" i="12"/>
  <c r="BQ161" i="12"/>
  <c r="BR161" i="12"/>
  <c r="BS161" i="12"/>
  <c r="BT161" i="12"/>
  <c r="BU161" i="12"/>
  <c r="BV161" i="12"/>
  <c r="BW161" i="12"/>
  <c r="BX161" i="12"/>
  <c r="BY161" i="12"/>
  <c r="BZ161" i="12"/>
  <c r="CA161" i="12"/>
  <c r="CB161" i="12"/>
  <c r="CC161" i="12"/>
  <c r="CD161" i="12"/>
  <c r="CE161" i="12"/>
  <c r="CF161" i="12"/>
  <c r="CG161" i="12"/>
  <c r="CH161" i="12"/>
  <c r="CI161" i="12"/>
  <c r="CJ161" i="12"/>
  <c r="CK161" i="12"/>
  <c r="CL161" i="12"/>
  <c r="CM161" i="12"/>
  <c r="CN161" i="12"/>
  <c r="CO161" i="12"/>
  <c r="CP161" i="12"/>
  <c r="CQ161" i="12"/>
  <c r="CR161" i="12"/>
  <c r="CS161" i="12"/>
  <c r="CT161" i="12"/>
  <c r="CU161" i="12"/>
  <c r="CV161" i="12"/>
  <c r="CW161" i="12"/>
  <c r="CX161" i="12"/>
  <c r="CY161" i="12"/>
  <c r="CZ161" i="12"/>
  <c r="DA161" i="12"/>
  <c r="DB161" i="12"/>
  <c r="DC161" i="12"/>
  <c r="DD161" i="12"/>
  <c r="DE161" i="12"/>
  <c r="DF161" i="12"/>
  <c r="DG161" i="12"/>
  <c r="DH161" i="12"/>
  <c r="DI161" i="12"/>
  <c r="DJ161" i="12"/>
  <c r="DK161" i="12"/>
  <c r="DL161" i="12"/>
  <c r="DM161" i="12"/>
  <c r="DN161" i="12"/>
  <c r="DO161" i="12"/>
  <c r="DP161" i="12"/>
  <c r="DQ161" i="12"/>
  <c r="DR161" i="12"/>
  <c r="DS161" i="12"/>
  <c r="DT161" i="12"/>
  <c r="DU161" i="12"/>
  <c r="DV161" i="12"/>
  <c r="DW161" i="12"/>
  <c r="DZ161" i="12"/>
  <c r="EA161" i="12"/>
  <c r="EB161" i="12"/>
  <c r="AM162" i="12"/>
  <c r="AI162" i="12"/>
  <c r="AN162" i="12"/>
  <c r="AP162" i="12"/>
  <c r="AR162" i="12"/>
  <c r="AT162" i="12"/>
  <c r="AV162" i="12"/>
  <c r="AX162" i="12"/>
  <c r="AZ162" i="12"/>
  <c r="BB162" i="12"/>
  <c r="BD162" i="12"/>
  <c r="BF162" i="12"/>
  <c r="BG162" i="12"/>
  <c r="BH162" i="12"/>
  <c r="BI162" i="12"/>
  <c r="BJ162" i="12"/>
  <c r="BK162" i="12"/>
  <c r="BL162" i="12"/>
  <c r="BM162" i="12"/>
  <c r="BN162" i="12"/>
  <c r="BO162" i="12"/>
  <c r="BP162" i="12"/>
  <c r="BQ162" i="12"/>
  <c r="BR162" i="12"/>
  <c r="BS162" i="12"/>
  <c r="BT162" i="12"/>
  <c r="BU162" i="12"/>
  <c r="BV162" i="12"/>
  <c r="BW162" i="12"/>
  <c r="BX162" i="12"/>
  <c r="BY162" i="12"/>
  <c r="BZ162" i="12"/>
  <c r="CA162" i="12"/>
  <c r="CB162" i="12"/>
  <c r="CC162" i="12"/>
  <c r="CD162" i="12"/>
  <c r="CE162" i="12"/>
  <c r="CF162" i="12"/>
  <c r="CG162" i="12"/>
  <c r="CH162" i="12"/>
  <c r="CI162" i="12"/>
  <c r="CJ162" i="12"/>
  <c r="CK162" i="12"/>
  <c r="CL162" i="12"/>
  <c r="CM162" i="12"/>
  <c r="CN162" i="12"/>
  <c r="CO162" i="12"/>
  <c r="CP162" i="12"/>
  <c r="CQ162" i="12"/>
  <c r="CR162" i="12"/>
  <c r="CS162" i="12"/>
  <c r="CT162" i="12"/>
  <c r="CU162" i="12"/>
  <c r="CV162" i="12"/>
  <c r="CW162" i="12"/>
  <c r="CX162" i="12"/>
  <c r="CY162" i="12"/>
  <c r="CZ162" i="12"/>
  <c r="DA162" i="12"/>
  <c r="DB162" i="12"/>
  <c r="DC162" i="12"/>
  <c r="DD162" i="12"/>
  <c r="DE162" i="12"/>
  <c r="DF162" i="12"/>
  <c r="DG162" i="12"/>
  <c r="DH162" i="12"/>
  <c r="DI162" i="12"/>
  <c r="DJ162" i="12"/>
  <c r="DK162" i="12"/>
  <c r="DL162" i="12"/>
  <c r="DM162" i="12"/>
  <c r="DN162" i="12"/>
  <c r="DO162" i="12"/>
  <c r="DP162" i="12"/>
  <c r="DQ162" i="12"/>
  <c r="DR162" i="12"/>
  <c r="DS162" i="12"/>
  <c r="DT162" i="12"/>
  <c r="DU162" i="12"/>
  <c r="DV162" i="12"/>
  <c r="DW162" i="12"/>
  <c r="DZ162" i="12"/>
  <c r="EA162" i="12"/>
  <c r="EB162" i="12"/>
  <c r="AM163" i="12"/>
  <c r="AI163" i="12"/>
  <c r="AN163" i="12"/>
  <c r="AP163" i="12"/>
  <c r="AR163" i="12"/>
  <c r="AT163" i="12"/>
  <c r="AV163" i="12"/>
  <c r="AX163" i="12"/>
  <c r="AZ163" i="12"/>
  <c r="BB163" i="12"/>
  <c r="BD163" i="12"/>
  <c r="BF163" i="12"/>
  <c r="BG163" i="12"/>
  <c r="BH163" i="12"/>
  <c r="BI163" i="12"/>
  <c r="BJ163" i="12"/>
  <c r="BK163" i="12"/>
  <c r="BL163" i="12"/>
  <c r="BM163" i="12"/>
  <c r="BN163" i="12"/>
  <c r="BO163" i="12"/>
  <c r="BP163" i="12"/>
  <c r="BQ163" i="12"/>
  <c r="BR163" i="12"/>
  <c r="BS163" i="12"/>
  <c r="BT163" i="12"/>
  <c r="BU163" i="12"/>
  <c r="BV163" i="12"/>
  <c r="BW163" i="12"/>
  <c r="BX163" i="12"/>
  <c r="BY163" i="12"/>
  <c r="BZ163" i="12"/>
  <c r="CA163" i="12"/>
  <c r="CB163" i="12"/>
  <c r="CC163" i="12"/>
  <c r="CD163" i="12"/>
  <c r="CE163" i="12"/>
  <c r="CF163" i="12"/>
  <c r="CG163" i="12"/>
  <c r="CH163" i="12"/>
  <c r="CI163" i="12"/>
  <c r="CJ163" i="12"/>
  <c r="CK163" i="12"/>
  <c r="CL163" i="12"/>
  <c r="CM163" i="12"/>
  <c r="CN163" i="12"/>
  <c r="CO163" i="12"/>
  <c r="CP163" i="12"/>
  <c r="CQ163" i="12"/>
  <c r="CR163" i="12"/>
  <c r="CS163" i="12"/>
  <c r="CT163" i="12"/>
  <c r="CU163" i="12"/>
  <c r="CV163" i="12"/>
  <c r="CW163" i="12"/>
  <c r="CX163" i="12"/>
  <c r="CY163" i="12"/>
  <c r="CZ163" i="12"/>
  <c r="DA163" i="12"/>
  <c r="DB163" i="12"/>
  <c r="DC163" i="12"/>
  <c r="DD163" i="12"/>
  <c r="DE163" i="12"/>
  <c r="DF163" i="12"/>
  <c r="DG163" i="12"/>
  <c r="DH163" i="12"/>
  <c r="DI163" i="12"/>
  <c r="DJ163" i="12"/>
  <c r="DK163" i="12"/>
  <c r="DL163" i="12"/>
  <c r="DM163" i="12"/>
  <c r="DN163" i="12"/>
  <c r="DO163" i="12"/>
  <c r="DP163" i="12"/>
  <c r="DQ163" i="12"/>
  <c r="DR163" i="12"/>
  <c r="DS163" i="12"/>
  <c r="DT163" i="12"/>
  <c r="DU163" i="12"/>
  <c r="DV163" i="12"/>
  <c r="DW163" i="12"/>
  <c r="DZ163" i="12"/>
  <c r="EA163" i="12"/>
  <c r="EB163" i="12"/>
  <c r="AS164" i="12"/>
  <c r="AI164" i="12"/>
  <c r="AN164" i="12"/>
  <c r="AP164" i="12"/>
  <c r="AR164" i="12"/>
  <c r="AT164" i="12"/>
  <c r="AV164" i="12"/>
  <c r="AX164" i="12"/>
  <c r="AZ164" i="12"/>
  <c r="BB164" i="12"/>
  <c r="BD164" i="12"/>
  <c r="BF164" i="12"/>
  <c r="BG164" i="12"/>
  <c r="BH164" i="12"/>
  <c r="BI164" i="12"/>
  <c r="BJ164" i="12"/>
  <c r="BK164" i="12"/>
  <c r="BL164" i="12"/>
  <c r="BM164" i="12"/>
  <c r="BN164" i="12"/>
  <c r="BO164" i="12"/>
  <c r="BP164" i="12"/>
  <c r="BQ164" i="12"/>
  <c r="BR164" i="12"/>
  <c r="BS164" i="12"/>
  <c r="BT164" i="12"/>
  <c r="BU164" i="12"/>
  <c r="BV164" i="12"/>
  <c r="BW164" i="12"/>
  <c r="BX164" i="12"/>
  <c r="BY164" i="12"/>
  <c r="BZ164" i="12"/>
  <c r="CA164" i="12"/>
  <c r="CB164" i="12"/>
  <c r="CC164" i="12"/>
  <c r="CD164" i="12"/>
  <c r="CE164" i="12"/>
  <c r="CF164" i="12"/>
  <c r="CG164" i="12"/>
  <c r="CH164" i="12"/>
  <c r="CI164" i="12"/>
  <c r="CJ164" i="12"/>
  <c r="CK164" i="12"/>
  <c r="CL164" i="12"/>
  <c r="CM164" i="12"/>
  <c r="CN164" i="12"/>
  <c r="CO164" i="12"/>
  <c r="CP164" i="12"/>
  <c r="CQ164" i="12"/>
  <c r="CR164" i="12"/>
  <c r="CS164" i="12"/>
  <c r="CT164" i="12"/>
  <c r="CU164" i="12"/>
  <c r="CV164" i="12"/>
  <c r="CW164" i="12"/>
  <c r="CX164" i="12"/>
  <c r="CY164" i="12"/>
  <c r="CZ164" i="12"/>
  <c r="DA164" i="12"/>
  <c r="DB164" i="12"/>
  <c r="DC164" i="12"/>
  <c r="DD164" i="12"/>
  <c r="DE164" i="12"/>
  <c r="DF164" i="12"/>
  <c r="DG164" i="12"/>
  <c r="DH164" i="12"/>
  <c r="DI164" i="12"/>
  <c r="DJ164" i="12"/>
  <c r="DK164" i="12"/>
  <c r="DL164" i="12"/>
  <c r="DM164" i="12"/>
  <c r="DN164" i="12"/>
  <c r="DO164" i="12"/>
  <c r="DP164" i="12"/>
  <c r="DQ164" i="12"/>
  <c r="DR164" i="12"/>
  <c r="DS164" i="12"/>
  <c r="DT164" i="12"/>
  <c r="DU164" i="12"/>
  <c r="DV164" i="12"/>
  <c r="DW164" i="12"/>
  <c r="DZ164" i="12"/>
  <c r="EA164" i="12"/>
  <c r="EB164" i="12"/>
  <c r="AO165" i="12"/>
  <c r="AI165" i="12"/>
  <c r="AN165" i="12"/>
  <c r="AP165" i="12"/>
  <c r="AR165" i="12"/>
  <c r="AT165" i="12"/>
  <c r="AV165" i="12"/>
  <c r="AX165" i="12"/>
  <c r="AZ165" i="12"/>
  <c r="BB165" i="12"/>
  <c r="BD165" i="12"/>
  <c r="BF165" i="12"/>
  <c r="BG165" i="12"/>
  <c r="BH165" i="12"/>
  <c r="BI165" i="12"/>
  <c r="BJ165" i="12"/>
  <c r="BK165" i="12"/>
  <c r="BL165" i="12"/>
  <c r="BM165" i="12"/>
  <c r="BN165" i="12"/>
  <c r="BO165" i="12"/>
  <c r="BP165" i="12"/>
  <c r="BQ165" i="12"/>
  <c r="BR165" i="12"/>
  <c r="BS165" i="12"/>
  <c r="BT165" i="12"/>
  <c r="BU165" i="12"/>
  <c r="BV165" i="12"/>
  <c r="BW165" i="12"/>
  <c r="BX165" i="12"/>
  <c r="BY165" i="12"/>
  <c r="BZ165" i="12"/>
  <c r="CA165" i="12"/>
  <c r="CB165" i="12"/>
  <c r="CC165" i="12"/>
  <c r="CD165" i="12"/>
  <c r="CE165" i="12"/>
  <c r="CF165" i="12"/>
  <c r="CG165" i="12"/>
  <c r="CH165" i="12"/>
  <c r="CI165" i="12"/>
  <c r="CJ165" i="12"/>
  <c r="CK165" i="12"/>
  <c r="CL165" i="12"/>
  <c r="CM165" i="12"/>
  <c r="CN165" i="12"/>
  <c r="CO165" i="12"/>
  <c r="CP165" i="12"/>
  <c r="CQ165" i="12"/>
  <c r="CR165" i="12"/>
  <c r="CS165" i="12"/>
  <c r="CT165" i="12"/>
  <c r="CU165" i="12"/>
  <c r="CV165" i="12"/>
  <c r="CW165" i="12"/>
  <c r="CX165" i="12"/>
  <c r="CY165" i="12"/>
  <c r="CZ165" i="12"/>
  <c r="DA165" i="12"/>
  <c r="DB165" i="12"/>
  <c r="DC165" i="12"/>
  <c r="DD165" i="12"/>
  <c r="DE165" i="12"/>
  <c r="DF165" i="12"/>
  <c r="DG165" i="12"/>
  <c r="DH165" i="12"/>
  <c r="DI165" i="12"/>
  <c r="DJ165" i="12"/>
  <c r="DK165" i="12"/>
  <c r="DL165" i="12"/>
  <c r="DM165" i="12"/>
  <c r="DN165" i="12"/>
  <c r="DO165" i="12"/>
  <c r="DP165" i="12"/>
  <c r="DQ165" i="12"/>
  <c r="DR165" i="12"/>
  <c r="DS165" i="12"/>
  <c r="DT165" i="12"/>
  <c r="DU165" i="12"/>
  <c r="DV165" i="12"/>
  <c r="DW165" i="12"/>
  <c r="DZ165" i="12"/>
  <c r="EA165" i="12"/>
  <c r="EB165" i="12"/>
  <c r="AQ159" i="12"/>
  <c r="AI159" i="12"/>
  <c r="AN159" i="12"/>
  <c r="AP159" i="12"/>
  <c r="AR159" i="12"/>
  <c r="AT159" i="12"/>
  <c r="AV159" i="12"/>
  <c r="AX159" i="12"/>
  <c r="AZ159" i="12"/>
  <c r="BB159" i="12"/>
  <c r="BD159" i="12"/>
  <c r="BF159" i="12"/>
  <c r="BG159" i="12"/>
  <c r="BH159" i="12"/>
  <c r="BI159" i="12"/>
  <c r="BJ159" i="12"/>
  <c r="BK159" i="12"/>
  <c r="BL159" i="12"/>
  <c r="BM159" i="12"/>
  <c r="BN159" i="12"/>
  <c r="BO159" i="12"/>
  <c r="BP159" i="12"/>
  <c r="BQ159" i="12"/>
  <c r="BR159" i="12"/>
  <c r="BS159" i="12"/>
  <c r="BT159" i="12"/>
  <c r="BU159" i="12"/>
  <c r="BV159" i="12"/>
  <c r="BW159" i="12"/>
  <c r="BX159" i="12"/>
  <c r="BY159" i="12"/>
  <c r="BZ159" i="12"/>
  <c r="CA159" i="12"/>
  <c r="CB159" i="12"/>
  <c r="CC159" i="12"/>
  <c r="CD159" i="12"/>
  <c r="CE159" i="12"/>
  <c r="CF159" i="12"/>
  <c r="CG159" i="12"/>
  <c r="CH159" i="12"/>
  <c r="CI159" i="12"/>
  <c r="CJ159" i="12"/>
  <c r="CK159" i="12"/>
  <c r="CL159" i="12"/>
  <c r="CM159" i="12"/>
  <c r="CN159" i="12"/>
  <c r="CO159" i="12"/>
  <c r="CP159" i="12"/>
  <c r="CQ159" i="12"/>
  <c r="CR159" i="12"/>
  <c r="CS159" i="12"/>
  <c r="CT159" i="12"/>
  <c r="CU159" i="12"/>
  <c r="CV159" i="12"/>
  <c r="CW159" i="12"/>
  <c r="CX159" i="12"/>
  <c r="CY159" i="12"/>
  <c r="CZ159" i="12"/>
  <c r="DA159" i="12"/>
  <c r="DB159" i="12"/>
  <c r="DC159" i="12"/>
  <c r="DD159" i="12"/>
  <c r="DE159" i="12"/>
  <c r="DF159" i="12"/>
  <c r="DG159" i="12"/>
  <c r="DH159" i="12"/>
  <c r="DI159" i="12"/>
  <c r="DJ159" i="12"/>
  <c r="DK159" i="12"/>
  <c r="DL159" i="12"/>
  <c r="DM159" i="12"/>
  <c r="DN159" i="12"/>
  <c r="DO159" i="12"/>
  <c r="DP159" i="12"/>
  <c r="DQ159" i="12"/>
  <c r="DR159" i="12"/>
  <c r="DS159" i="12"/>
  <c r="DT159" i="12"/>
  <c r="DU159" i="12"/>
  <c r="DV159" i="12"/>
  <c r="DW159" i="12"/>
  <c r="DZ159" i="12"/>
  <c r="EA159" i="12"/>
  <c r="EB159" i="12"/>
  <c r="AS166" i="12"/>
  <c r="AI166" i="12"/>
  <c r="AN166" i="12"/>
  <c r="AP166" i="12"/>
  <c r="AR166" i="12"/>
  <c r="AT166" i="12"/>
  <c r="AV166" i="12"/>
  <c r="AX166" i="12"/>
  <c r="AZ166" i="12"/>
  <c r="BB166" i="12"/>
  <c r="BD166" i="12"/>
  <c r="BF166" i="12"/>
  <c r="BG166" i="12"/>
  <c r="BH166" i="12"/>
  <c r="BI166" i="12"/>
  <c r="BJ166" i="12"/>
  <c r="BK166" i="12"/>
  <c r="BL166" i="12"/>
  <c r="BM166" i="12"/>
  <c r="BN166" i="12"/>
  <c r="BO166" i="12"/>
  <c r="BP166" i="12"/>
  <c r="BQ166" i="12"/>
  <c r="BR166" i="12"/>
  <c r="BS166" i="12"/>
  <c r="BT166" i="12"/>
  <c r="BU166" i="12"/>
  <c r="BV166" i="12"/>
  <c r="BW166" i="12"/>
  <c r="BX166" i="12"/>
  <c r="BY166" i="12"/>
  <c r="BZ166" i="12"/>
  <c r="CA166" i="12"/>
  <c r="CB166" i="12"/>
  <c r="CC166" i="12"/>
  <c r="CD166" i="12"/>
  <c r="CE166" i="12"/>
  <c r="CF166" i="12"/>
  <c r="CG166" i="12"/>
  <c r="CH166" i="12"/>
  <c r="CI166" i="12"/>
  <c r="CJ166" i="12"/>
  <c r="CK166" i="12"/>
  <c r="CL166" i="12"/>
  <c r="CM166" i="12"/>
  <c r="CN166" i="12"/>
  <c r="CO166" i="12"/>
  <c r="CP166" i="12"/>
  <c r="CQ166" i="12"/>
  <c r="CR166" i="12"/>
  <c r="CS166" i="12"/>
  <c r="CT166" i="12"/>
  <c r="CU166" i="12"/>
  <c r="CV166" i="12"/>
  <c r="CW166" i="12"/>
  <c r="CX166" i="12"/>
  <c r="CY166" i="12"/>
  <c r="CZ166" i="12"/>
  <c r="DA166" i="12"/>
  <c r="DB166" i="12"/>
  <c r="DC166" i="12"/>
  <c r="DD166" i="12"/>
  <c r="DE166" i="12"/>
  <c r="DF166" i="12"/>
  <c r="DG166" i="12"/>
  <c r="DH166" i="12"/>
  <c r="DI166" i="12"/>
  <c r="DJ166" i="12"/>
  <c r="DK166" i="12"/>
  <c r="DL166" i="12"/>
  <c r="DM166" i="12"/>
  <c r="DN166" i="12"/>
  <c r="DO166" i="12"/>
  <c r="DP166" i="12"/>
  <c r="DQ166" i="12"/>
  <c r="DR166" i="12"/>
  <c r="DS166" i="12"/>
  <c r="DT166" i="12"/>
  <c r="DU166" i="12"/>
  <c r="DV166" i="12"/>
  <c r="DW166" i="12"/>
  <c r="DZ166" i="12"/>
  <c r="EA166" i="12"/>
  <c r="EB166" i="12"/>
  <c r="AM167" i="12"/>
  <c r="AI167" i="12"/>
  <c r="AN167" i="12"/>
  <c r="AP167" i="12"/>
  <c r="AR167" i="12"/>
  <c r="AT167" i="12"/>
  <c r="AV167" i="12"/>
  <c r="AX167" i="12"/>
  <c r="AZ167" i="12"/>
  <c r="BB167" i="12"/>
  <c r="BD167" i="12"/>
  <c r="BF167" i="12"/>
  <c r="BG167" i="12"/>
  <c r="BH167" i="12"/>
  <c r="BI167" i="12"/>
  <c r="BJ167" i="12"/>
  <c r="BK167" i="12"/>
  <c r="BL167" i="12"/>
  <c r="BM167" i="12"/>
  <c r="BN167" i="12"/>
  <c r="BO167" i="12"/>
  <c r="BP167" i="12"/>
  <c r="BQ167" i="12"/>
  <c r="BR167" i="12"/>
  <c r="BS167" i="12"/>
  <c r="BT167" i="12"/>
  <c r="BU167" i="12"/>
  <c r="BV167" i="12"/>
  <c r="BW167" i="12"/>
  <c r="BX167" i="12"/>
  <c r="BY167" i="12"/>
  <c r="BZ167" i="12"/>
  <c r="CA167" i="12"/>
  <c r="CB167" i="12"/>
  <c r="CC167" i="12"/>
  <c r="CD167" i="12"/>
  <c r="CE167" i="12"/>
  <c r="CF167" i="12"/>
  <c r="CG167" i="12"/>
  <c r="CH167" i="12"/>
  <c r="CI167" i="12"/>
  <c r="CJ167" i="12"/>
  <c r="CK167" i="12"/>
  <c r="CL167" i="12"/>
  <c r="CM167" i="12"/>
  <c r="CN167" i="12"/>
  <c r="CO167" i="12"/>
  <c r="CP167" i="12"/>
  <c r="CQ167" i="12"/>
  <c r="CR167" i="12"/>
  <c r="CS167" i="12"/>
  <c r="CT167" i="12"/>
  <c r="CU167" i="12"/>
  <c r="CV167" i="12"/>
  <c r="CW167" i="12"/>
  <c r="CX167" i="12"/>
  <c r="CY167" i="12"/>
  <c r="CZ167" i="12"/>
  <c r="DA167" i="12"/>
  <c r="DB167" i="12"/>
  <c r="DC167" i="12"/>
  <c r="DD167" i="12"/>
  <c r="DE167" i="12"/>
  <c r="DF167" i="12"/>
  <c r="DG167" i="12"/>
  <c r="DH167" i="12"/>
  <c r="DI167" i="12"/>
  <c r="DJ167" i="12"/>
  <c r="DK167" i="12"/>
  <c r="DL167" i="12"/>
  <c r="DM167" i="12"/>
  <c r="DN167" i="12"/>
  <c r="DO167" i="12"/>
  <c r="DP167" i="12"/>
  <c r="DQ167" i="12"/>
  <c r="DR167" i="12"/>
  <c r="DS167" i="12"/>
  <c r="DT167" i="12"/>
  <c r="DU167" i="12"/>
  <c r="DV167" i="12"/>
  <c r="DW167" i="12"/>
  <c r="DZ167" i="12"/>
  <c r="EA167" i="12"/>
  <c r="EB167" i="12"/>
  <c r="DZ194" i="12"/>
  <c r="EB194" i="12"/>
  <c r="B8" i="20"/>
  <c r="B31" i="20"/>
  <c r="K31" i="20" s="1"/>
  <c r="K32" i="20" s="1"/>
  <c r="K47" i="20" s="1"/>
  <c r="D47" i="20" s="1"/>
  <c r="I75" i="15"/>
  <c r="G75" i="15" s="1"/>
  <c r="G94" i="15" s="1"/>
  <c r="I77" i="15"/>
  <c r="G77" i="15" s="1"/>
  <c r="I79" i="15"/>
  <c r="G79" i="15" s="1"/>
  <c r="I81" i="15"/>
  <c r="G81" i="15" s="1"/>
  <c r="I83" i="15"/>
  <c r="G83" i="15" s="1"/>
  <c r="I85" i="15"/>
  <c r="G85" i="15" s="1"/>
  <c r="I87" i="15"/>
  <c r="G87" i="15" s="1"/>
  <c r="I89" i="15"/>
  <c r="G89" i="15" s="1"/>
  <c r="I91" i="15"/>
  <c r="G91" i="15" s="1"/>
  <c r="I93" i="15"/>
  <c r="G93" i="15" s="1"/>
  <c r="J98" i="15"/>
  <c r="E16" i="17"/>
  <c r="E17" i="17"/>
  <c r="C193" i="13"/>
  <c r="E193" i="13"/>
  <c r="G193" i="13"/>
  <c r="I193" i="13"/>
  <c r="K193" i="13"/>
  <c r="M193" i="13"/>
  <c r="O193" i="13"/>
  <c r="Q193" i="13"/>
  <c r="S193" i="13"/>
  <c r="U193" i="13"/>
  <c r="F39" i="14" l="1"/>
  <c r="G39" i="14" s="1"/>
  <c r="H48" i="14"/>
  <c r="I48" i="14" s="1"/>
  <c r="H9" i="14"/>
  <c r="H39" i="14"/>
  <c r="I39" i="14" s="1"/>
  <c r="AM156" i="12"/>
  <c r="AU156" i="12"/>
  <c r="BC156" i="12"/>
  <c r="AS156" i="12"/>
  <c r="AW156" i="12"/>
  <c r="AQ156" i="12"/>
  <c r="BE156" i="12"/>
  <c r="AO156" i="12"/>
  <c r="AY156" i="12"/>
  <c r="AY79" i="12"/>
  <c r="AU79" i="12"/>
  <c r="BC79" i="12"/>
  <c r="AQ109" i="12"/>
  <c r="AM109" i="12"/>
  <c r="AS79" i="12"/>
  <c r="BE79" i="12"/>
  <c r="BA109" i="12"/>
  <c r="AU109" i="12"/>
  <c r="AW79" i="12"/>
  <c r="AQ79" i="12"/>
  <c r="AW109" i="12"/>
  <c r="AO109" i="12"/>
  <c r="BA79" i="12"/>
  <c r="BC109" i="12"/>
  <c r="AM79" i="12"/>
  <c r="AS109" i="12"/>
  <c r="BE109" i="12"/>
  <c r="AH130" i="12"/>
  <c r="AH128" i="12"/>
  <c r="AO52" i="12"/>
  <c r="AQ52" i="12"/>
  <c r="BC52" i="12"/>
  <c r="AW52" i="12"/>
  <c r="BA52" i="12"/>
  <c r="AS52" i="12"/>
  <c r="AU52" i="12"/>
  <c r="AY52" i="12"/>
  <c r="AM52" i="12"/>
  <c r="BE52" i="12"/>
  <c r="BE51" i="12"/>
  <c r="BC51" i="12"/>
  <c r="AY51" i="12"/>
  <c r="AW51" i="12"/>
  <c r="BA51" i="12"/>
  <c r="AQ51" i="12"/>
  <c r="AO51" i="12"/>
  <c r="AS51" i="12"/>
  <c r="AU51" i="12"/>
  <c r="AM51" i="12"/>
  <c r="AH50" i="12"/>
  <c r="AH47" i="12"/>
  <c r="AH44" i="12"/>
  <c r="AH35" i="12"/>
  <c r="AH33" i="12"/>
  <c r="AH126" i="12"/>
  <c r="AH111" i="12"/>
  <c r="AH114" i="12"/>
  <c r="AH42" i="12"/>
  <c r="AH31" i="12"/>
  <c r="AH29" i="12"/>
  <c r="AH26" i="12"/>
  <c r="AH119" i="12"/>
  <c r="AH105" i="12"/>
  <c r="AH103" i="12"/>
  <c r="AH101" i="12"/>
  <c r="AH94" i="12"/>
  <c r="AH92" i="12"/>
  <c r="AH88" i="12"/>
  <c r="AH86" i="12"/>
  <c r="AH83" i="12"/>
  <c r="AH81" i="12"/>
  <c r="AH76" i="12"/>
  <c r="AH70" i="12"/>
  <c r="AH65" i="12"/>
  <c r="AH63" i="12"/>
  <c r="AH61" i="12"/>
  <c r="AH59" i="12"/>
  <c r="AH57" i="12"/>
  <c r="AH55" i="12"/>
  <c r="AH38" i="12"/>
  <c r="AH160" i="12"/>
  <c r="AH152" i="12"/>
  <c r="AH143" i="12"/>
  <c r="AH139" i="12"/>
  <c r="AH36" i="12"/>
  <c r="AH131" i="12"/>
  <c r="AH129" i="12"/>
  <c r="AH127" i="12"/>
  <c r="AH125" i="12"/>
  <c r="AH117" i="12"/>
  <c r="AH53" i="12"/>
  <c r="AH46" i="12"/>
  <c r="AH34" i="12"/>
  <c r="AH32" i="12"/>
  <c r="AH124" i="12"/>
  <c r="AH159" i="12"/>
  <c r="AH164" i="12"/>
  <c r="AH150" i="12"/>
  <c r="AH141" i="12"/>
  <c r="AH43" i="12"/>
  <c r="AH41" i="12"/>
  <c r="AH30" i="12"/>
  <c r="AH27" i="12"/>
  <c r="AH120" i="12"/>
  <c r="AH118" i="12"/>
  <c r="AH106" i="12"/>
  <c r="AH104" i="12"/>
  <c r="AH102" i="12"/>
  <c r="AH98" i="12"/>
  <c r="AH93" i="12"/>
  <c r="AH89" i="12"/>
  <c r="AH87" i="12"/>
  <c r="AH85" i="12"/>
  <c r="AH82" i="12"/>
  <c r="AH78" i="12"/>
  <c r="AH72" i="12"/>
  <c r="AH69" i="12"/>
  <c r="AH64" i="12"/>
  <c r="AH62" i="12"/>
  <c r="AH60" i="12"/>
  <c r="AH58" i="12"/>
  <c r="AH56" i="12"/>
  <c r="AH48" i="12"/>
  <c r="AH37" i="12"/>
  <c r="AH167" i="12"/>
  <c r="AH162" i="12"/>
  <c r="AH108" i="12"/>
  <c r="AH112" i="12"/>
  <c r="AH166" i="12"/>
  <c r="AH165" i="12"/>
  <c r="AH163" i="12"/>
  <c r="AH161" i="12"/>
  <c r="AH153" i="12"/>
  <c r="AH151" i="12"/>
  <c r="AH144" i="12"/>
  <c r="AH142" i="12"/>
  <c r="AH140" i="12"/>
  <c r="AH138" i="12"/>
  <c r="AH116" i="12"/>
  <c r="AH132" i="12"/>
  <c r="AH23" i="12"/>
  <c r="AH96" i="12"/>
  <c r="AH113" i="12"/>
  <c r="AH133" i="12"/>
  <c r="AH24" i="12"/>
  <c r="AH95" i="12"/>
  <c r="T125" i="13"/>
  <c r="T107" i="13" s="1"/>
  <c r="F125" i="13"/>
  <c r="F107" i="13" s="1"/>
  <c r="H125" i="13"/>
  <c r="H107" i="13" s="1"/>
  <c r="L125" i="13"/>
  <c r="L107" i="13" s="1"/>
  <c r="L162" i="13"/>
  <c r="L144" i="13" s="1"/>
  <c r="P125" i="13"/>
  <c r="P107" i="13" s="1"/>
  <c r="V125" i="13"/>
  <c r="V107" i="13" s="1"/>
  <c r="V162" i="13"/>
  <c r="V144" i="13" s="1"/>
  <c r="N125" i="13"/>
  <c r="N107" i="13" s="1"/>
  <c r="R125" i="13"/>
  <c r="R107" i="13" s="1"/>
  <c r="J125" i="13"/>
  <c r="J107" i="13" s="1"/>
  <c r="T162" i="13"/>
  <c r="T144" i="13" s="1"/>
  <c r="H162" i="13"/>
  <c r="H144" i="13" s="1"/>
  <c r="R162" i="13"/>
  <c r="R144" i="13" s="1"/>
  <c r="P162" i="13"/>
  <c r="P144" i="13" s="1"/>
  <c r="F162" i="13"/>
  <c r="F144" i="13" s="1"/>
  <c r="D162" i="13"/>
  <c r="D144" i="13" s="1"/>
  <c r="N162" i="13"/>
  <c r="N144" i="13" s="1"/>
  <c r="J162" i="13"/>
  <c r="J144" i="13" s="1"/>
  <c r="CC54" i="12"/>
  <c r="DH54" i="12"/>
  <c r="P194" i="12"/>
  <c r="CO117" i="12"/>
  <c r="Z194" i="12"/>
  <c r="CK117" i="12"/>
  <c r="CY54" i="12"/>
  <c r="X194" i="12"/>
  <c r="AB194" i="12"/>
  <c r="CJ123" i="12"/>
  <c r="N194" i="12"/>
  <c r="R194" i="12"/>
  <c r="AD194" i="12"/>
  <c r="AF194" i="12"/>
  <c r="T194" i="12"/>
  <c r="V194" i="12"/>
  <c r="CR123" i="12"/>
  <c r="A11" i="12"/>
  <c r="CV54" i="12"/>
  <c r="DR54" i="12"/>
  <c r="BX123" i="12"/>
  <c r="CF123" i="12"/>
  <c r="BB134" i="12"/>
  <c r="DB48" i="12"/>
  <c r="DC48" i="12"/>
  <c r="CB123" i="12"/>
  <c r="CO48" i="12"/>
  <c r="CV123" i="12"/>
  <c r="AZ134" i="12"/>
  <c r="AR54" i="12"/>
  <c r="DK123" i="12"/>
  <c r="BG123" i="12"/>
  <c r="DP54" i="12"/>
  <c r="CX54" i="12"/>
  <c r="DL123" i="12"/>
  <c r="CG123" i="12"/>
  <c r="BH123" i="12"/>
  <c r="CW54" i="12"/>
  <c r="CO54" i="12"/>
  <c r="DN123" i="12"/>
  <c r="CH123" i="12"/>
  <c r="BN123" i="12"/>
  <c r="BW54" i="12"/>
  <c r="CR54" i="12"/>
  <c r="CF54" i="12"/>
  <c r="BZ123" i="12"/>
  <c r="DC123" i="12"/>
  <c r="BB123" i="12"/>
  <c r="CR117" i="12"/>
  <c r="CS117" i="12"/>
  <c r="DO123" i="12"/>
  <c r="BW123" i="12"/>
  <c r="DG54" i="12"/>
  <c r="ED54" i="12"/>
  <c r="CM123" i="12"/>
  <c r="CG54" i="12"/>
  <c r="BF123" i="12"/>
  <c r="ED123" i="12"/>
  <c r="DP123" i="12"/>
  <c r="CH54" i="12"/>
  <c r="DU123" i="12"/>
  <c r="CL54" i="12"/>
  <c r="CM54" i="12"/>
  <c r="D120" i="13"/>
  <c r="D127" i="13" s="1"/>
  <c r="D112" i="13"/>
  <c r="D111" i="13"/>
  <c r="D110" i="13"/>
  <c r="D113" i="13"/>
  <c r="AR123" i="12"/>
  <c r="CW123" i="12"/>
  <c r="CP48" i="12"/>
  <c r="CN48" i="12"/>
  <c r="DT123" i="12"/>
  <c r="DB123" i="12"/>
  <c r="BO123" i="12"/>
  <c r="DS54" i="12"/>
  <c r="CU54" i="12"/>
  <c r="BI54" i="12"/>
  <c r="CR48" i="12"/>
  <c r="CM48" i="12"/>
  <c r="BI123" i="12"/>
  <c r="BS123" i="12"/>
  <c r="AV115" i="12"/>
  <c r="DU54" i="12"/>
  <c r="BN54" i="12"/>
  <c r="CT48" i="12"/>
  <c r="CL48" i="12"/>
  <c r="DI54" i="12"/>
  <c r="CS48" i="12"/>
  <c r="CQ48" i="12"/>
  <c r="DG123" i="12"/>
  <c r="AX115" i="12"/>
  <c r="DV54" i="12"/>
  <c r="BO54" i="12"/>
  <c r="CU48" i="12"/>
  <c r="BQ54" i="12"/>
  <c r="AP136" i="12"/>
  <c r="AT135" i="12"/>
  <c r="AN134" i="12"/>
  <c r="CM117" i="12"/>
  <c r="BD115" i="12"/>
  <c r="AN115" i="12"/>
  <c r="DL54" i="12"/>
  <c r="CZ54" i="12"/>
  <c r="BR54" i="12"/>
  <c r="AP54" i="12"/>
  <c r="AP135" i="12"/>
  <c r="AT25" i="12"/>
  <c r="AI134" i="12"/>
  <c r="BB115" i="12"/>
  <c r="AV25" i="12"/>
  <c r="AR136" i="12"/>
  <c r="BD135" i="12"/>
  <c r="AP134" i="12"/>
  <c r="CN123" i="12"/>
  <c r="CQ117" i="12"/>
  <c r="AP115" i="12"/>
  <c r="DQ54" i="12"/>
  <c r="DA54" i="12"/>
  <c r="CP54" i="12"/>
  <c r="BS54" i="12"/>
  <c r="BB54" i="12"/>
  <c r="CK48" i="12"/>
  <c r="AZ115" i="12"/>
  <c r="AX97" i="12"/>
  <c r="DJ54" i="12"/>
  <c r="CL117" i="12"/>
  <c r="AZ136" i="12"/>
  <c r="AT134" i="12"/>
  <c r="DQ123" i="12"/>
  <c r="DD123" i="12"/>
  <c r="CO123" i="12"/>
  <c r="BP123" i="12"/>
  <c r="AR115" i="12"/>
  <c r="DB54" i="12"/>
  <c r="CQ54" i="12"/>
  <c r="BX54" i="12"/>
  <c r="BG54" i="12"/>
  <c r="BD134" i="12"/>
  <c r="AR135" i="12"/>
  <c r="AI115" i="12"/>
  <c r="CJ117" i="12"/>
  <c r="CN117" i="12"/>
  <c r="BB136" i="12"/>
  <c r="AX134" i="12"/>
  <c r="DS123" i="12"/>
  <c r="DE123" i="12"/>
  <c r="CQ123" i="12"/>
  <c r="CE123" i="12"/>
  <c r="BQ123" i="12"/>
  <c r="AI123" i="12"/>
  <c r="DF54" i="12"/>
  <c r="CA54" i="12"/>
  <c r="BH54" i="12"/>
  <c r="AY134" i="12"/>
  <c r="AW104" i="12"/>
  <c r="BC63" i="12"/>
  <c r="AY37" i="12"/>
  <c r="BA63" i="12"/>
  <c r="BC59" i="12"/>
  <c r="BC108" i="12"/>
  <c r="AO108" i="12"/>
  <c r="BA98" i="12"/>
  <c r="AU87" i="12"/>
  <c r="BC165" i="12"/>
  <c r="BE134" i="12"/>
  <c r="BA101" i="12"/>
  <c r="BA118" i="12"/>
  <c r="BA43" i="12"/>
  <c r="AM87" i="12"/>
  <c r="BA136" i="12"/>
  <c r="BA128" i="12"/>
  <c r="AU127" i="12"/>
  <c r="AS165" i="12"/>
  <c r="AS134" i="12"/>
  <c r="AO118" i="12"/>
  <c r="BE162" i="12"/>
  <c r="AM143" i="12"/>
  <c r="BE36" i="12"/>
  <c r="AS144" i="12"/>
  <c r="BC117" i="12"/>
  <c r="AS101" i="12"/>
  <c r="AS93" i="12"/>
  <c r="AY87" i="12"/>
  <c r="BA31" i="12"/>
  <c r="AS141" i="12"/>
  <c r="AU136" i="12"/>
  <c r="AU82" i="12"/>
  <c r="BA59" i="12"/>
  <c r="BE50" i="12"/>
  <c r="AQ31" i="12"/>
  <c r="AS143" i="12"/>
  <c r="BC87" i="12"/>
  <c r="AS87" i="12"/>
  <c r="AU63" i="12"/>
  <c r="BA37" i="12"/>
  <c r="BA69" i="12"/>
  <c r="BE131" i="12"/>
  <c r="AM127" i="12"/>
  <c r="AM165" i="12"/>
  <c r="BC136" i="12"/>
  <c r="AM136" i="12"/>
  <c r="BE108" i="12"/>
  <c r="BA76" i="12"/>
  <c r="AS59" i="12"/>
  <c r="AS43" i="12"/>
  <c r="AS36" i="12"/>
  <c r="AY82" i="12"/>
  <c r="AM76" i="12"/>
  <c r="AY165" i="12"/>
  <c r="BA144" i="12"/>
  <c r="BA141" i="12"/>
  <c r="BC53" i="12"/>
  <c r="BC82" i="12"/>
  <c r="AS82" i="12"/>
  <c r="BC76" i="12"/>
  <c r="AQ35" i="12"/>
  <c r="AU31" i="12"/>
  <c r="AU165" i="12"/>
  <c r="AS136" i="12"/>
  <c r="AS76" i="12"/>
  <c r="AW163" i="12"/>
  <c r="AS69" i="12"/>
  <c r="BC35" i="12"/>
  <c r="AU143" i="12"/>
  <c r="BC141" i="12"/>
  <c r="AW138" i="12"/>
  <c r="BE136" i="12"/>
  <c r="AM135" i="12"/>
  <c r="AU134" i="12"/>
  <c r="AO98" i="12"/>
  <c r="AS72" i="12"/>
  <c r="BC69" i="12"/>
  <c r="AS63" i="12"/>
  <c r="AS58" i="12"/>
  <c r="AS47" i="12"/>
  <c r="BC43" i="12"/>
  <c r="AS35" i="12"/>
  <c r="BA33" i="12"/>
  <c r="AO162" i="12"/>
  <c r="AQ150" i="12"/>
  <c r="AW136" i="12"/>
  <c r="BC128" i="12"/>
  <c r="BA127" i="12"/>
  <c r="AS117" i="12"/>
  <c r="AS114" i="12"/>
  <c r="AM69" i="12"/>
  <c r="AS55" i="12"/>
  <c r="AS33" i="12"/>
  <c r="AO150" i="12"/>
  <c r="BC114" i="12"/>
  <c r="AU69" i="12"/>
  <c r="AO138" i="12"/>
  <c r="AU35" i="12"/>
  <c r="BC33" i="12"/>
  <c r="AS163" i="12"/>
  <c r="BC151" i="12"/>
  <c r="AQ143" i="12"/>
  <c r="AS140" i="12"/>
  <c r="BC138" i="12"/>
  <c r="BA134" i="12"/>
  <c r="AM131" i="12"/>
  <c r="AS128" i="12"/>
  <c r="AY69" i="12"/>
  <c r="AM63" i="12"/>
  <c r="AS62" i="12"/>
  <c r="AS38" i="12"/>
  <c r="AQ37" i="12"/>
  <c r="AO163" i="12"/>
  <c r="AY150" i="12"/>
  <c r="BA163" i="12"/>
  <c r="AO152" i="12"/>
  <c r="AW167" i="12"/>
  <c r="BE163" i="12"/>
  <c r="AS150" i="12"/>
  <c r="BC143" i="12"/>
  <c r="AS138" i="12"/>
  <c r="BE135" i="12"/>
  <c r="BC131" i="12"/>
  <c r="AM82" i="12"/>
  <c r="AY63" i="12"/>
  <c r="H62" i="14"/>
  <c r="I62" i="14" s="1"/>
  <c r="BA115" i="12"/>
  <c r="BA153" i="12"/>
  <c r="BE54" i="12"/>
  <c r="F55" i="14"/>
  <c r="BA125" i="12"/>
  <c r="AM124" i="12"/>
  <c r="DM123" i="12"/>
  <c r="BY123" i="12"/>
  <c r="AU123" i="12"/>
  <c r="BA119" i="12"/>
  <c r="BC115" i="12"/>
  <c r="AU115" i="12"/>
  <c r="AM115" i="12"/>
  <c r="BA102" i="12"/>
  <c r="BB97" i="12"/>
  <c r="AI97" i="12"/>
  <c r="AM94" i="12"/>
  <c r="BE93" i="12"/>
  <c r="BA89" i="12"/>
  <c r="BA86" i="12"/>
  <c r="AU55" i="12"/>
  <c r="CI54" i="12"/>
  <c r="CV48" i="12"/>
  <c r="BC42" i="12"/>
  <c r="AU42" i="12"/>
  <c r="AX25" i="12"/>
  <c r="AY163" i="12"/>
  <c r="AQ163" i="12"/>
  <c r="BC153" i="12"/>
  <c r="AU153" i="12"/>
  <c r="AM153" i="12"/>
  <c r="BA150" i="12"/>
  <c r="BE144" i="12"/>
  <c r="AU141" i="12"/>
  <c r="AW140" i="12"/>
  <c r="BA138" i="12"/>
  <c r="AT136" i="12"/>
  <c r="AV135" i="12"/>
  <c r="AR134" i="12"/>
  <c r="AU128" i="12"/>
  <c r="DF123" i="12"/>
  <c r="CX123" i="12"/>
  <c r="CP123" i="12"/>
  <c r="BR123" i="12"/>
  <c r="BJ123" i="12"/>
  <c r="AP123" i="12"/>
  <c r="AV123" i="12"/>
  <c r="AS118" i="12"/>
  <c r="AU117" i="12"/>
  <c r="BA111" i="12"/>
  <c r="AU114" i="12"/>
  <c r="AS105" i="12"/>
  <c r="AS98" i="12"/>
  <c r="BD97" i="12"/>
  <c r="AN97" i="12"/>
  <c r="BA94" i="12"/>
  <c r="AW93" i="12"/>
  <c r="BA87" i="12"/>
  <c r="BA82" i="12"/>
  <c r="AU59" i="12"/>
  <c r="AM55" i="12"/>
  <c r="DT54" i="12"/>
  <c r="DK54" i="12"/>
  <c r="CS54" i="12"/>
  <c r="CK54" i="12"/>
  <c r="CB54" i="12"/>
  <c r="BJ54" i="12"/>
  <c r="AT54" i="12"/>
  <c r="AV54" i="12"/>
  <c r="CW48" i="12"/>
  <c r="AW50" i="12"/>
  <c r="AU43" i="12"/>
  <c r="AS37" i="12"/>
  <c r="AS34" i="12"/>
  <c r="AU33" i="12"/>
  <c r="BC31" i="12"/>
  <c r="AZ25" i="12"/>
  <c r="AI25" i="12"/>
  <c r="F74" i="14"/>
  <c r="G74" i="14" s="1"/>
  <c r="F53" i="14"/>
  <c r="AS42" i="12"/>
  <c r="BC55" i="12"/>
  <c r="BY54" i="12"/>
  <c r="BD54" i="12"/>
  <c r="AU26" i="12"/>
  <c r="AX135" i="12"/>
  <c r="AM128" i="12"/>
  <c r="BE115" i="12"/>
  <c r="AW115" i="12"/>
  <c r="AO115" i="12"/>
  <c r="AP97" i="12"/>
  <c r="BT54" i="12"/>
  <c r="AU54" i="12"/>
  <c r="CX48" i="12"/>
  <c r="AW42" i="12"/>
  <c r="AW36" i="12"/>
  <c r="BE33" i="12"/>
  <c r="AY26" i="12"/>
  <c r="BE153" i="12"/>
  <c r="AW153" i="12"/>
  <c r="AO153" i="12"/>
  <c r="AW144" i="12"/>
  <c r="AW141" i="12"/>
  <c r="AO140" i="12"/>
  <c r="AV136" i="12"/>
  <c r="AZ135" i="12"/>
  <c r="AW128" i="12"/>
  <c r="AS125" i="12"/>
  <c r="DH123" i="12"/>
  <c r="CZ123" i="12"/>
  <c r="BT123" i="12"/>
  <c r="BL123" i="12"/>
  <c r="AX123" i="12"/>
  <c r="AN123" i="12"/>
  <c r="AS119" i="12"/>
  <c r="AU118" i="12"/>
  <c r="AS102" i="12"/>
  <c r="AW101" i="12"/>
  <c r="AR97" i="12"/>
  <c r="BC94" i="12"/>
  <c r="AY93" i="12"/>
  <c r="AS89" i="12"/>
  <c r="AS86" i="12"/>
  <c r="AY55" i="12"/>
  <c r="DM54" i="12"/>
  <c r="DE54" i="12"/>
  <c r="CD54" i="12"/>
  <c r="BU54" i="12"/>
  <c r="BL54" i="12"/>
  <c r="AW54" i="12"/>
  <c r="AN54" i="12"/>
  <c r="CY48" i="12"/>
  <c r="AO41" i="12"/>
  <c r="BE37" i="12"/>
  <c r="AW33" i="12"/>
  <c r="AQ26" i="12"/>
  <c r="BB25" i="12"/>
  <c r="AP25" i="12"/>
  <c r="F47" i="14"/>
  <c r="F48" i="14" s="1"/>
  <c r="G48" i="14" s="1"/>
  <c r="H27" i="14"/>
  <c r="I27" i="14" s="1"/>
  <c r="AS115" i="12"/>
  <c r="BC26" i="12"/>
  <c r="AS153" i="12"/>
  <c r="BD123" i="12"/>
  <c r="AZ97" i="12"/>
  <c r="BE128" i="12"/>
  <c r="BC124" i="12"/>
  <c r="DW123" i="12"/>
  <c r="CY123" i="12"/>
  <c r="BK123" i="12"/>
  <c r="BC118" i="12"/>
  <c r="AO93" i="12"/>
  <c r="AM59" i="12"/>
  <c r="BE42" i="12"/>
  <c r="AO42" i="12"/>
  <c r="BC29" i="12"/>
  <c r="AN25" i="12"/>
  <c r="BZ54" i="12"/>
  <c r="BE150" i="12"/>
  <c r="AO141" i="12"/>
  <c r="BA140" i="12"/>
  <c r="AU138" i="12"/>
  <c r="AN136" i="12"/>
  <c r="BB135" i="12"/>
  <c r="AN135" i="12"/>
  <c r="AO128" i="12"/>
  <c r="BE124" i="12"/>
  <c r="EA123" i="12"/>
  <c r="DI123" i="12"/>
  <c r="DA123" i="12"/>
  <c r="CS123" i="12"/>
  <c r="BM123" i="12"/>
  <c r="BE118" i="12"/>
  <c r="AM118" i="12"/>
  <c r="AO117" i="12"/>
  <c r="AY115" i="12"/>
  <c r="AM108" i="12"/>
  <c r="AW98" i="12"/>
  <c r="AT97" i="12"/>
  <c r="AS94" i="12"/>
  <c r="AQ93" i="12"/>
  <c r="AY59" i="12"/>
  <c r="BA58" i="12"/>
  <c r="AQ55" i="12"/>
  <c r="DW54" i="12"/>
  <c r="DO54" i="12"/>
  <c r="CN54" i="12"/>
  <c r="CE54" i="12"/>
  <c r="BV54" i="12"/>
  <c r="BM54" i="12"/>
  <c r="AX54" i="12"/>
  <c r="AZ54" i="12"/>
  <c r="CZ48" i="12"/>
  <c r="AY53" i="12"/>
  <c r="AY43" i="12"/>
  <c r="AY42" i="12"/>
  <c r="AQ42" i="12"/>
  <c r="BE41" i="12"/>
  <c r="AW37" i="12"/>
  <c r="AO33" i="12"/>
  <c r="BA26" i="12"/>
  <c r="BD25" i="12"/>
  <c r="F54" i="14"/>
  <c r="F51" i="14"/>
  <c r="AY29" i="12"/>
  <c r="BE141" i="12"/>
  <c r="AM141" i="12"/>
  <c r="BD136" i="12"/>
  <c r="AI136" i="12"/>
  <c r="BA130" i="12"/>
  <c r="AO124" i="12"/>
  <c r="AT123" i="12"/>
  <c r="DC54" i="12"/>
  <c r="BK54" i="12"/>
  <c r="BA25" i="12"/>
  <c r="BE167" i="12"/>
  <c r="BC163" i="12"/>
  <c r="AU163" i="12"/>
  <c r="AY153" i="12"/>
  <c r="BE152" i="12"/>
  <c r="AM151" i="12"/>
  <c r="AW150" i="12"/>
  <c r="AO144" i="12"/>
  <c r="BE138" i="12"/>
  <c r="AM138" i="12"/>
  <c r="AO136" i="12"/>
  <c r="BC135" i="12"/>
  <c r="AO135" i="12"/>
  <c r="AS130" i="12"/>
  <c r="BA126" i="12"/>
  <c r="DR123" i="12"/>
  <c r="DJ123" i="12"/>
  <c r="CT123" i="12"/>
  <c r="AW118" i="12"/>
  <c r="BA117" i="12"/>
  <c r="BA114" i="12"/>
  <c r="AS104" i="12"/>
  <c r="AO101" i="12"/>
  <c r="BA93" i="12"/>
  <c r="BA72" i="12"/>
  <c r="BA62" i="12"/>
  <c r="AQ59" i="12"/>
  <c r="BA55" i="12"/>
  <c r="AU48" i="12"/>
  <c r="AM53" i="12"/>
  <c r="AQ43" i="12"/>
  <c r="AO37" i="12"/>
  <c r="BA36" i="12"/>
  <c r="AY31" i="12"/>
  <c r="AS26" i="12"/>
  <c r="AS25" i="12"/>
  <c r="BC139" i="12"/>
  <c r="AU103" i="12"/>
  <c r="AW131" i="12"/>
  <c r="BA129" i="12"/>
  <c r="AS129" i="12"/>
  <c r="AO112" i="12"/>
  <c r="AO113" i="12" s="1"/>
  <c r="AU106" i="12"/>
  <c r="AW88" i="12"/>
  <c r="BA85" i="12"/>
  <c r="AS85" i="12"/>
  <c r="AW83" i="12"/>
  <c r="BE78" i="12"/>
  <c r="AW64" i="12"/>
  <c r="BA61" i="12"/>
  <c r="AS61" i="12"/>
  <c r="AW56" i="12"/>
  <c r="AQ53" i="12"/>
  <c r="BA46" i="12"/>
  <c r="AS46" i="12"/>
  <c r="AQ29" i="12"/>
  <c r="BA27" i="12"/>
  <c r="AS27" i="12"/>
  <c r="AO167" i="12"/>
  <c r="AQ165" i="12"/>
  <c r="AW162" i="12"/>
  <c r="AW152" i="12"/>
  <c r="AY151" i="12"/>
  <c r="AY141" i="12"/>
  <c r="BE140" i="12"/>
  <c r="AM139" i="12"/>
  <c r="BA135" i="12"/>
  <c r="AO131" i="12"/>
  <c r="BC127" i="12"/>
  <c r="AS127" i="12"/>
  <c r="BC125" i="12"/>
  <c r="AU125" i="12"/>
  <c r="AM125" i="12"/>
  <c r="BA124" i="12"/>
  <c r="AM123" i="12"/>
  <c r="AM120" i="12"/>
  <c r="AY118" i="12"/>
  <c r="BE117" i="12"/>
  <c r="AM117" i="12"/>
  <c r="BA108" i="12"/>
  <c r="AU104" i="12"/>
  <c r="AM103" i="12"/>
  <c r="BE101" i="12"/>
  <c r="BE98" i="12"/>
  <c r="AQ94" i="12"/>
  <c r="AQ87" i="12"/>
  <c r="AQ82" i="12"/>
  <c r="AQ76" i="12"/>
  <c r="AQ69" i="12"/>
  <c r="AQ63" i="12"/>
  <c r="BA54" i="12"/>
  <c r="AO50" i="12"/>
  <c r="BA53" i="12"/>
  <c r="AW41" i="12"/>
  <c r="AY33" i="12"/>
  <c r="BE32" i="12"/>
  <c r="AS31" i="12"/>
  <c r="BC30" i="12"/>
  <c r="AU30" i="12"/>
  <c r="BA29" i="12"/>
  <c r="AU120" i="12"/>
  <c r="BA30" i="12"/>
  <c r="AS30" i="12"/>
  <c r="BA159" i="12"/>
  <c r="AS159" i="12"/>
  <c r="AU139" i="12"/>
  <c r="AY123" i="12"/>
  <c r="BC104" i="12"/>
  <c r="BE92" i="12"/>
  <c r="AW70" i="12"/>
  <c r="BA65" i="12"/>
  <c r="AS65" i="12"/>
  <c r="AW60" i="12"/>
  <c r="BA57" i="12"/>
  <c r="AS57" i="12"/>
  <c r="AW44" i="12"/>
  <c r="BA167" i="12"/>
  <c r="BC159" i="12"/>
  <c r="AU159" i="12"/>
  <c r="AM159" i="12"/>
  <c r="BA165" i="12"/>
  <c r="AQ151" i="12"/>
  <c r="AY143" i="12"/>
  <c r="AY138" i="12"/>
  <c r="AY136" i="12"/>
  <c r="AS135" i="12"/>
  <c r="BC129" i="12"/>
  <c r="AU129" i="12"/>
  <c r="AM129" i="12"/>
  <c r="AS126" i="12"/>
  <c r="AS124" i="12"/>
  <c r="AO123" i="12"/>
  <c r="AW117" i="12"/>
  <c r="AS111" i="12"/>
  <c r="AS108" i="12"/>
  <c r="BE112" i="12"/>
  <c r="AQ112" i="12"/>
  <c r="AM106" i="12"/>
  <c r="BE104" i="12"/>
  <c r="AM104" i="12"/>
  <c r="AO88" i="12"/>
  <c r="BC85" i="12"/>
  <c r="AU85" i="12"/>
  <c r="AM85" i="12"/>
  <c r="AO83" i="12"/>
  <c r="AO70" i="12"/>
  <c r="BC65" i="12"/>
  <c r="AU65" i="12"/>
  <c r="AM65" i="12"/>
  <c r="AO64" i="12"/>
  <c r="BC61" i="12"/>
  <c r="AU61" i="12"/>
  <c r="AM61" i="12"/>
  <c r="AO60" i="12"/>
  <c r="BC57" i="12"/>
  <c r="AU57" i="12"/>
  <c r="AM57" i="12"/>
  <c r="AO56" i="12"/>
  <c r="AM48" i="12"/>
  <c r="BA50" i="12"/>
  <c r="AS53" i="12"/>
  <c r="BC46" i="12"/>
  <c r="AU46" i="12"/>
  <c r="AO44" i="12"/>
  <c r="AY35" i="12"/>
  <c r="AS29" i="12"/>
  <c r="BC27" i="12"/>
  <c r="AU27" i="12"/>
  <c r="BA151" i="12"/>
  <c r="AY139" i="12"/>
  <c r="BA131" i="12"/>
  <c r="BE125" i="12"/>
  <c r="AW125" i="12"/>
  <c r="AO125" i="12"/>
  <c r="BA120" i="12"/>
  <c r="BA103" i="12"/>
  <c r="BA88" i="12"/>
  <c r="BA83" i="12"/>
  <c r="BA70" i="12"/>
  <c r="BA64" i="12"/>
  <c r="BA60" i="12"/>
  <c r="BA56" i="12"/>
  <c r="BA44" i="12"/>
  <c r="BE30" i="12"/>
  <c r="AW30" i="12"/>
  <c r="AO30" i="12"/>
  <c r="AS167" i="12"/>
  <c r="BE159" i="12"/>
  <c r="AW159" i="12"/>
  <c r="AO159" i="12"/>
  <c r="BA162" i="12"/>
  <c r="BA152" i="12"/>
  <c r="AS151" i="12"/>
  <c r="BC150" i="12"/>
  <c r="AU150" i="12"/>
  <c r="BA143" i="12"/>
  <c r="AQ139" i="12"/>
  <c r="AU135" i="12"/>
  <c r="AW134" i="12"/>
  <c r="AM134" i="12"/>
  <c r="AS131" i="12"/>
  <c r="BE129" i="12"/>
  <c r="AW129" i="12"/>
  <c r="AO129" i="12"/>
  <c r="AU124" i="12"/>
  <c r="AQ123" i="12"/>
  <c r="AU108" i="12"/>
  <c r="AM114" i="12"/>
  <c r="BA106" i="12"/>
  <c r="BA105" i="12"/>
  <c r="AO104" i="12"/>
  <c r="BC93" i="12"/>
  <c r="AU93" i="12"/>
  <c r="BE85" i="12"/>
  <c r="AW85" i="12"/>
  <c r="AO85" i="12"/>
  <c r="BE65" i="12"/>
  <c r="AW65" i="12"/>
  <c r="AO65" i="12"/>
  <c r="BE61" i="12"/>
  <c r="AW61" i="12"/>
  <c r="AO61" i="12"/>
  <c r="BE57" i="12"/>
  <c r="AW57" i="12"/>
  <c r="AO57" i="12"/>
  <c r="AQ54" i="12"/>
  <c r="BC48" i="12"/>
  <c r="AS50" i="12"/>
  <c r="AU53" i="12"/>
  <c r="BE46" i="12"/>
  <c r="AW46" i="12"/>
  <c r="AO46" i="12"/>
  <c r="BA41" i="12"/>
  <c r="BC37" i="12"/>
  <c r="AU37" i="12"/>
  <c r="AO36" i="12"/>
  <c r="BA35" i="12"/>
  <c r="AU29" i="12"/>
  <c r="BE27" i="12"/>
  <c r="AW27" i="12"/>
  <c r="AO27" i="12"/>
  <c r="BA139" i="12"/>
  <c r="AY125" i="12"/>
  <c r="BC120" i="12"/>
  <c r="AS120" i="12"/>
  <c r="BC103" i="12"/>
  <c r="AS103" i="12"/>
  <c r="AS88" i="12"/>
  <c r="AS83" i="12"/>
  <c r="AS70" i="12"/>
  <c r="AS64" i="12"/>
  <c r="AS60" i="12"/>
  <c r="AS56" i="12"/>
  <c r="AS44" i="12"/>
  <c r="AY30" i="12"/>
  <c r="AY159" i="12"/>
  <c r="AS162" i="12"/>
  <c r="AS152" i="12"/>
  <c r="AU151" i="12"/>
  <c r="AS139" i="12"/>
  <c r="AW135" i="12"/>
  <c r="AU131" i="12"/>
  <c r="AY129" i="12"/>
  <c r="AW124" i="12"/>
  <c r="AW123" i="12"/>
  <c r="AW108" i="12"/>
  <c r="BC106" i="12"/>
  <c r="AS106" i="12"/>
  <c r="BA104" i="12"/>
  <c r="BE88" i="12"/>
  <c r="AY85" i="12"/>
  <c r="BE83" i="12"/>
  <c r="BE70" i="12"/>
  <c r="AY65" i="12"/>
  <c r="BE64" i="12"/>
  <c r="AY61" i="12"/>
  <c r="BE60" i="12"/>
  <c r="AY57" i="12"/>
  <c r="BE56" i="12"/>
  <c r="AY46" i="12"/>
  <c r="BE44" i="12"/>
  <c r="AS41" i="12"/>
  <c r="BA32" i="12"/>
  <c r="AY27" i="12"/>
  <c r="BC161" i="12"/>
  <c r="B3" i="13"/>
  <c r="AU161" i="12"/>
  <c r="AM161" i="12"/>
  <c r="AY94" i="12"/>
  <c r="AW92" i="12"/>
  <c r="BA81" i="12"/>
  <c r="AW78" i="12"/>
  <c r="AY76" i="12"/>
  <c r="AS32" i="12"/>
  <c r="AQ161" i="12"/>
  <c r="BA92" i="12"/>
  <c r="AS81" i="12"/>
  <c r="BA78" i="12"/>
  <c r="AW32" i="12"/>
  <c r="AY161" i="12"/>
  <c r="AO92" i="12"/>
  <c r="AO78" i="12"/>
  <c r="BA161" i="12"/>
  <c r="AS161" i="12"/>
  <c r="AU94" i="12"/>
  <c r="AS92" i="12"/>
  <c r="AS78" i="12"/>
  <c r="AU76" i="12"/>
  <c r="AO32" i="12"/>
  <c r="DN54" i="12"/>
  <c r="EA54" i="12"/>
  <c r="DD54" i="12"/>
  <c r="EB195" i="12"/>
  <c r="D189" i="13" s="1"/>
  <c r="F189" i="13" s="1"/>
  <c r="CT54" i="12"/>
  <c r="DZ195" i="12"/>
  <c r="C187" i="13" s="1"/>
  <c r="D187" i="13" s="1"/>
  <c r="F187" i="13" s="1"/>
  <c r="BP54" i="12"/>
  <c r="AI54" i="12"/>
  <c r="BF54" i="12"/>
  <c r="CJ54" i="12"/>
  <c r="AQ116" i="12"/>
  <c r="AY116" i="12"/>
  <c r="AO116" i="12"/>
  <c r="AW116" i="12"/>
  <c r="BE116" i="12"/>
  <c r="AM116" i="12"/>
  <c r="AU116" i="12"/>
  <c r="BC116" i="12"/>
  <c r="BA116" i="12"/>
  <c r="AS116" i="12"/>
  <c r="AQ97" i="12"/>
  <c r="AY97" i="12"/>
  <c r="AO97" i="12"/>
  <c r="AW97" i="12"/>
  <c r="BE97" i="12"/>
  <c r="AM97" i="12"/>
  <c r="AU97" i="12"/>
  <c r="BC97" i="12"/>
  <c r="BA97" i="12"/>
  <c r="AS97" i="12"/>
  <c r="H16" i="14"/>
  <c r="I16" i="14" s="1"/>
  <c r="AQ166" i="12"/>
  <c r="AY166" i="12"/>
  <c r="AO166" i="12"/>
  <c r="AW166" i="12"/>
  <c r="BE166" i="12"/>
  <c r="AM166" i="12"/>
  <c r="AU166" i="12"/>
  <c r="BC166" i="12"/>
  <c r="AQ164" i="12"/>
  <c r="AY164" i="12"/>
  <c r="AO164" i="12"/>
  <c r="AW164" i="12"/>
  <c r="BE164" i="12"/>
  <c r="AM164" i="12"/>
  <c r="AU164" i="12"/>
  <c r="BC164" i="12"/>
  <c r="AQ160" i="12"/>
  <c r="AY160" i="12"/>
  <c r="AO160" i="12"/>
  <c r="AW160" i="12"/>
  <c r="BE160" i="12"/>
  <c r="AM160" i="12"/>
  <c r="AU160" i="12"/>
  <c r="BC160" i="12"/>
  <c r="AQ142" i="12"/>
  <c r="AY142" i="12"/>
  <c r="AO142" i="12"/>
  <c r="AW142" i="12"/>
  <c r="BE142" i="12"/>
  <c r="AM142" i="12"/>
  <c r="AU142" i="12"/>
  <c r="BC142" i="12"/>
  <c r="AQ47" i="12"/>
  <c r="AY47" i="12"/>
  <c r="AO47" i="12"/>
  <c r="AW47" i="12"/>
  <c r="BE47" i="12"/>
  <c r="AU47" i="12"/>
  <c r="BC47" i="12"/>
  <c r="AQ38" i="12"/>
  <c r="AY38" i="12"/>
  <c r="AO38" i="12"/>
  <c r="AW38" i="12"/>
  <c r="BE38" i="12"/>
  <c r="AU38" i="12"/>
  <c r="BC38" i="12"/>
  <c r="AQ34" i="12"/>
  <c r="AY34" i="12"/>
  <c r="AO34" i="12"/>
  <c r="AW34" i="12"/>
  <c r="BE34" i="12"/>
  <c r="AU34" i="12"/>
  <c r="BC34" i="12"/>
  <c r="BA166" i="12"/>
  <c r="BA164" i="12"/>
  <c r="BA160" i="12"/>
  <c r="BA142" i="12"/>
  <c r="H72" i="14"/>
  <c r="H74" i="14" s="1"/>
  <c r="I74" i="14" s="1"/>
  <c r="AY130" i="12"/>
  <c r="AQ130" i="12"/>
  <c r="AY126" i="12"/>
  <c r="AQ126" i="12"/>
  <c r="AY119" i="12"/>
  <c r="AQ119" i="12"/>
  <c r="AY111" i="12"/>
  <c r="AQ111" i="12"/>
  <c r="AY113" i="12"/>
  <c r="AU112" i="12"/>
  <c r="AY105" i="12"/>
  <c r="AQ105" i="12"/>
  <c r="AY102" i="12"/>
  <c r="AQ102" i="12"/>
  <c r="BC101" i="12"/>
  <c r="AU101" i="12"/>
  <c r="AM101" i="12"/>
  <c r="BC98" i="12"/>
  <c r="AU98" i="12"/>
  <c r="AM98" i="12"/>
  <c r="BC92" i="12"/>
  <c r="AU92" i="12"/>
  <c r="AM92" i="12"/>
  <c r="AY89" i="12"/>
  <c r="AQ89" i="12"/>
  <c r="BC88" i="12"/>
  <c r="AU88" i="12"/>
  <c r="AM88" i="12"/>
  <c r="AY86" i="12"/>
  <c r="AQ86" i="12"/>
  <c r="BC83" i="12"/>
  <c r="AU83" i="12"/>
  <c r="AM83" i="12"/>
  <c r="AY81" i="12"/>
  <c r="AQ81" i="12"/>
  <c r="BC78" i="12"/>
  <c r="AU78" i="12"/>
  <c r="AM78" i="12"/>
  <c r="AY72" i="12"/>
  <c r="AQ72" i="12"/>
  <c r="BC70" i="12"/>
  <c r="AU70" i="12"/>
  <c r="AM70" i="12"/>
  <c r="BC64" i="12"/>
  <c r="AU64" i="12"/>
  <c r="AM64" i="12"/>
  <c r="AY62" i="12"/>
  <c r="AQ62" i="12"/>
  <c r="BC60" i="12"/>
  <c r="AU60" i="12"/>
  <c r="AM60" i="12"/>
  <c r="AY58" i="12"/>
  <c r="AQ58" i="12"/>
  <c r="BC56" i="12"/>
  <c r="AU56" i="12"/>
  <c r="AM56" i="12"/>
  <c r="AM54" i="12"/>
  <c r="BC50" i="12"/>
  <c r="AU50" i="12"/>
  <c r="AM50" i="12"/>
  <c r="BC25" i="12"/>
  <c r="AU25" i="12"/>
  <c r="AM25" i="12"/>
  <c r="AY167" i="12"/>
  <c r="AQ167" i="12"/>
  <c r="BE165" i="12"/>
  <c r="AW165" i="12"/>
  <c r="AY162" i="12"/>
  <c r="AQ162" i="12"/>
  <c r="BE161" i="12"/>
  <c r="AW161" i="12"/>
  <c r="AY152" i="12"/>
  <c r="AQ152" i="12"/>
  <c r="BE151" i="12"/>
  <c r="AW151" i="12"/>
  <c r="AY144" i="12"/>
  <c r="AQ144" i="12"/>
  <c r="BE143" i="12"/>
  <c r="AW143" i="12"/>
  <c r="AY140" i="12"/>
  <c r="AQ140" i="12"/>
  <c r="BE139" i="12"/>
  <c r="AW139" i="12"/>
  <c r="BC134" i="12"/>
  <c r="AO134" i="12"/>
  <c r="BA123" i="12"/>
  <c r="BA112" i="12"/>
  <c r="AY54" i="12"/>
  <c r="AO54" i="12"/>
  <c r="BE48" i="12"/>
  <c r="AW48" i="12"/>
  <c r="AO48" i="12"/>
  <c r="AY44" i="12"/>
  <c r="AQ44" i="12"/>
  <c r="BE43" i="12"/>
  <c r="AW43" i="12"/>
  <c r="AY41" i="12"/>
  <c r="AQ41" i="12"/>
  <c r="AY36" i="12"/>
  <c r="AQ36" i="12"/>
  <c r="BE35" i="12"/>
  <c r="AW35" i="12"/>
  <c r="AY32" i="12"/>
  <c r="AQ32" i="12"/>
  <c r="BE31" i="12"/>
  <c r="AW31" i="12"/>
  <c r="BE29" i="12"/>
  <c r="AW29" i="12"/>
  <c r="BE26" i="12"/>
  <c r="AW26" i="12"/>
  <c r="BE25" i="12"/>
  <c r="AW25" i="12"/>
  <c r="AO25" i="12"/>
  <c r="F18" i="14"/>
  <c r="F27" i="14" s="1"/>
  <c r="G27" i="14" s="1"/>
  <c r="F6" i="14"/>
  <c r="BC123" i="12"/>
  <c r="AS123" i="12"/>
  <c r="AW112" i="12"/>
  <c r="AY48" i="12"/>
  <c r="AQ48" i="12"/>
  <c r="AY135" i="12"/>
  <c r="AY131" i="12"/>
  <c r="BC130" i="12"/>
  <c r="AU130" i="12"/>
  <c r="AM130" i="12"/>
  <c r="AY128" i="12"/>
  <c r="BE127" i="12"/>
  <c r="AW127" i="12"/>
  <c r="AO127" i="12"/>
  <c r="BC126" i="12"/>
  <c r="AU126" i="12"/>
  <c r="AM126" i="12"/>
  <c r="AY124" i="12"/>
  <c r="BE123" i="12"/>
  <c r="BE120" i="12"/>
  <c r="AW120" i="12"/>
  <c r="AO120" i="12"/>
  <c r="BC119" i="12"/>
  <c r="AU119" i="12"/>
  <c r="AM119" i="12"/>
  <c r="AY117" i="12"/>
  <c r="BC111" i="12"/>
  <c r="AU111" i="12"/>
  <c r="AM111" i="12"/>
  <c r="AY108" i="12"/>
  <c r="BE114" i="12"/>
  <c r="AW114" i="12"/>
  <c r="AO114" i="12"/>
  <c r="BC112" i="12"/>
  <c r="AM112" i="12"/>
  <c r="BE106" i="12"/>
  <c r="AW106" i="12"/>
  <c r="AO106" i="12"/>
  <c r="BC105" i="12"/>
  <c r="AU105" i="12"/>
  <c r="AM105" i="12"/>
  <c r="AY104" i="12"/>
  <c r="BE103" i="12"/>
  <c r="AW103" i="12"/>
  <c r="AO103" i="12"/>
  <c r="BC102" i="12"/>
  <c r="AU102" i="12"/>
  <c r="AM102" i="12"/>
  <c r="AY101" i="12"/>
  <c r="AY98" i="12"/>
  <c r="BE94" i="12"/>
  <c r="AW94" i="12"/>
  <c r="AY92" i="12"/>
  <c r="BC89" i="12"/>
  <c r="AU89" i="12"/>
  <c r="AM89" i="12"/>
  <c r="AY88" i="12"/>
  <c r="BE87" i="12"/>
  <c r="AW87" i="12"/>
  <c r="BC86" i="12"/>
  <c r="AU86" i="12"/>
  <c r="AM86" i="12"/>
  <c r="AY83" i="12"/>
  <c r="BE82" i="12"/>
  <c r="AW82" i="12"/>
  <c r="BC81" i="12"/>
  <c r="AU81" i="12"/>
  <c r="AM81" i="12"/>
  <c r="AY78" i="12"/>
  <c r="BE76" i="12"/>
  <c r="AW76" i="12"/>
  <c r="BC72" i="12"/>
  <c r="AU72" i="12"/>
  <c r="AM72" i="12"/>
  <c r="AY70" i="12"/>
  <c r="BE69" i="12"/>
  <c r="AW69" i="12"/>
  <c r="AY64" i="12"/>
  <c r="BE63" i="12"/>
  <c r="AW63" i="12"/>
  <c r="BC62" i="12"/>
  <c r="AU62" i="12"/>
  <c r="AM62" i="12"/>
  <c r="AY60" i="12"/>
  <c r="BE59" i="12"/>
  <c r="AW59" i="12"/>
  <c r="BC58" i="12"/>
  <c r="AU58" i="12"/>
  <c r="AM58" i="12"/>
  <c r="AY56" i="12"/>
  <c r="BE55" i="12"/>
  <c r="AW55" i="12"/>
  <c r="BC54" i="12"/>
  <c r="AS54" i="12"/>
  <c r="AY50" i="12"/>
  <c r="BE53" i="12"/>
  <c r="AW53" i="12"/>
  <c r="AY25" i="12"/>
  <c r="BC167" i="12"/>
  <c r="AU167" i="12"/>
  <c r="BC162" i="12"/>
  <c r="AU162" i="12"/>
  <c r="BC152" i="12"/>
  <c r="AU152" i="12"/>
  <c r="BC144" i="12"/>
  <c r="AU144" i="12"/>
  <c r="BC140" i="12"/>
  <c r="AU140" i="12"/>
  <c r="AS112" i="12"/>
  <c r="BA48" i="12"/>
  <c r="BC44" i="12"/>
  <c r="AU44" i="12"/>
  <c r="BC41" i="12"/>
  <c r="AU41" i="12"/>
  <c r="BC36" i="12"/>
  <c r="AU36" i="12"/>
  <c r="BC32" i="12"/>
  <c r="AU32" i="12"/>
  <c r="F7" i="14"/>
  <c r="F5" i="14"/>
  <c r="BE130" i="12"/>
  <c r="AW130" i="12"/>
  <c r="AY127" i="12"/>
  <c r="BE126" i="12"/>
  <c r="AW126" i="12"/>
  <c r="AY120" i="12"/>
  <c r="BE119" i="12"/>
  <c r="AW119" i="12"/>
  <c r="BE111" i="12"/>
  <c r="AW111" i="12"/>
  <c r="AY114" i="12"/>
  <c r="AY106" i="12"/>
  <c r="BE105" i="12"/>
  <c r="AW105" i="12"/>
  <c r="AY103" i="12"/>
  <c r="BE102" i="12"/>
  <c r="AW102" i="12"/>
  <c r="BE89" i="12"/>
  <c r="AW89" i="12"/>
  <c r="BE86" i="12"/>
  <c r="AW86" i="12"/>
  <c r="BE81" i="12"/>
  <c r="AW81" i="12"/>
  <c r="BE72" i="12"/>
  <c r="AW72" i="12"/>
  <c r="BE62" i="12"/>
  <c r="AW62" i="12"/>
  <c r="BE58" i="12"/>
  <c r="AW58" i="12"/>
  <c r="F62" i="14" l="1"/>
  <c r="G62" i="14" s="1"/>
  <c r="I49" i="13" a="1"/>
  <c r="I49" i="13" s="1"/>
  <c r="I46" i="13" a="1"/>
  <c r="I46" i="13" s="1"/>
  <c r="I41" i="13" a="1"/>
  <c r="I41" i="13" s="1"/>
  <c r="I44" i="13" a="1"/>
  <c r="I44" i="13" s="1"/>
  <c r="I48" i="13" a="1"/>
  <c r="I48" i="13" s="1"/>
  <c r="I42" i="13" a="1"/>
  <c r="I42" i="13" s="1"/>
  <c r="I47" i="13" a="1"/>
  <c r="I47" i="13" s="1"/>
  <c r="I43" i="13" a="1"/>
  <c r="I43" i="13" s="1"/>
  <c r="K46" i="13" a="1"/>
  <c r="K46" i="13" s="1"/>
  <c r="K44" i="13" a="1"/>
  <c r="K44" i="13" s="1"/>
  <c r="K48" i="13" a="1"/>
  <c r="K48" i="13" s="1"/>
  <c r="K41" i="13" a="1"/>
  <c r="K41" i="13" s="1"/>
  <c r="K47" i="13" a="1"/>
  <c r="K47" i="13" s="1"/>
  <c r="K42" i="13" a="1"/>
  <c r="K42" i="13" s="1"/>
  <c r="K43" i="13" a="1"/>
  <c r="K43" i="13" s="1"/>
  <c r="K49" i="13" a="1"/>
  <c r="K49" i="13" s="1"/>
  <c r="G43" i="13" a="1"/>
  <c r="G43" i="13" s="1"/>
  <c r="G44" i="13" a="1"/>
  <c r="G44" i="13" s="1"/>
  <c r="G49" i="13" a="1"/>
  <c r="G49" i="13" s="1"/>
  <c r="G48" i="13" a="1"/>
  <c r="G48" i="13" s="1"/>
  <c r="G42" i="13" a="1"/>
  <c r="G42" i="13" s="1"/>
  <c r="G46" i="13" a="1"/>
  <c r="G46" i="13" s="1"/>
  <c r="G47" i="13" a="1"/>
  <c r="G47" i="13" s="1"/>
  <c r="G41" i="13" a="1"/>
  <c r="G41" i="13" s="1"/>
  <c r="M43" i="13" a="1"/>
  <c r="M43" i="13" s="1"/>
  <c r="M48" i="13" a="1"/>
  <c r="M48" i="13" s="1"/>
  <c r="M47" i="13" a="1"/>
  <c r="M47" i="13" s="1"/>
  <c r="M42" i="13" a="1"/>
  <c r="M42" i="13" s="1"/>
  <c r="M44" i="13" a="1"/>
  <c r="M44" i="13" s="1"/>
  <c r="M41" i="13" a="1"/>
  <c r="M41" i="13" s="1"/>
  <c r="M46" i="13" a="1"/>
  <c r="M46" i="13" s="1"/>
  <c r="M49" i="13" a="1"/>
  <c r="M49" i="13" s="1"/>
  <c r="S48" i="13" a="1"/>
  <c r="S48" i="13" s="1"/>
  <c r="S41" i="13" a="1"/>
  <c r="S41" i="13" s="1"/>
  <c r="S46" i="13" a="1"/>
  <c r="S46" i="13" s="1"/>
  <c r="S47" i="13" a="1"/>
  <c r="S47" i="13" s="1"/>
  <c r="S42" i="13" a="1"/>
  <c r="S42" i="13" s="1"/>
  <c r="S44" i="13" a="1"/>
  <c r="S44" i="13" s="1"/>
  <c r="S49" i="13" a="1"/>
  <c r="S49" i="13" s="1"/>
  <c r="S43" i="13" a="1"/>
  <c r="S43" i="13" s="1"/>
  <c r="Q46" i="13" a="1"/>
  <c r="Q46" i="13" s="1"/>
  <c r="Q49" i="13" a="1"/>
  <c r="Q49" i="13" s="1"/>
  <c r="Q42" i="13" a="1"/>
  <c r="Q42" i="13" s="1"/>
  <c r="Q47" i="13" a="1"/>
  <c r="Q47" i="13" s="1"/>
  <c r="Q44" i="13" a="1"/>
  <c r="Q44" i="13" s="1"/>
  <c r="Q48" i="13" a="1"/>
  <c r="Q48" i="13" s="1"/>
  <c r="Q43" i="13" a="1"/>
  <c r="Q43" i="13" s="1"/>
  <c r="Q41" i="13" a="1"/>
  <c r="Q41" i="13" s="1"/>
  <c r="O43" i="13" a="1"/>
  <c r="O43" i="13" s="1"/>
  <c r="O41" i="13" a="1"/>
  <c r="O41" i="13" s="1"/>
  <c r="O44" i="13" a="1"/>
  <c r="O44" i="13" s="1"/>
  <c r="O49" i="13" a="1"/>
  <c r="O49" i="13" s="1"/>
  <c r="O42" i="13" a="1"/>
  <c r="O42" i="13" s="1"/>
  <c r="O48" i="13" a="1"/>
  <c r="O48" i="13" s="1"/>
  <c r="O47" i="13" a="1"/>
  <c r="O47" i="13" s="1"/>
  <c r="O46" i="13" a="1"/>
  <c r="O46" i="13" s="1"/>
  <c r="U41" i="13" a="1"/>
  <c r="U41" i="13" s="1"/>
  <c r="U44" i="13" a="1"/>
  <c r="U44" i="13" s="1"/>
  <c r="U43" i="13" a="1"/>
  <c r="U43" i="13" s="1"/>
  <c r="U47" i="13" a="1"/>
  <c r="U47" i="13" s="1"/>
  <c r="U48" i="13" a="1"/>
  <c r="U48" i="13" s="1"/>
  <c r="U42" i="13" a="1"/>
  <c r="U42" i="13" s="1"/>
  <c r="U49" i="13" a="1"/>
  <c r="U49" i="13" s="1"/>
  <c r="U46" i="13" a="1"/>
  <c r="U46" i="13" s="1"/>
  <c r="I16" i="15"/>
  <c r="I31" i="15" s="1"/>
  <c r="G16" i="15"/>
  <c r="G31" i="15" s="1"/>
  <c r="H16" i="15"/>
  <c r="H31" i="15" s="1"/>
  <c r="C47" i="13" a="1"/>
  <c r="C47" i="13" s="1"/>
  <c r="C43" i="13" a="1"/>
  <c r="C43" i="13" s="1"/>
  <c r="C48" i="13" a="1"/>
  <c r="C48" i="13" s="1"/>
  <c r="C42" i="13" a="1"/>
  <c r="C42" i="13" s="1"/>
  <c r="C46" i="13" a="1"/>
  <c r="C46" i="13" s="1"/>
  <c r="C44" i="13" a="1"/>
  <c r="C44" i="13" s="1"/>
  <c r="C49" i="13" a="1"/>
  <c r="C49" i="13" s="1"/>
  <c r="C41" i="13" a="1"/>
  <c r="C41" i="13" s="1"/>
  <c r="E47" i="13" a="1"/>
  <c r="E47" i="13" s="1"/>
  <c r="E49" i="13" a="1"/>
  <c r="E49" i="13" s="1"/>
  <c r="E41" i="13" a="1"/>
  <c r="E41" i="13" s="1"/>
  <c r="E43" i="13" a="1"/>
  <c r="E43" i="13" s="1"/>
  <c r="E46" i="13" a="1"/>
  <c r="E46" i="13" s="1"/>
  <c r="E42" i="13" a="1"/>
  <c r="E42" i="13" s="1"/>
  <c r="E48" i="13" a="1"/>
  <c r="E48" i="13" s="1"/>
  <c r="E44" i="13" a="1"/>
  <c r="E44" i="13" s="1"/>
  <c r="C28" i="13" a="1"/>
  <c r="C28" i="13" s="1"/>
  <c r="C29" i="13" a="1"/>
  <c r="C29" i="13" s="1"/>
  <c r="C30" i="13" a="1"/>
  <c r="C30" i="13" s="1"/>
  <c r="K28" i="13" a="1"/>
  <c r="K28" i="13" s="1"/>
  <c r="K29" i="13" a="1"/>
  <c r="K29" i="13" s="1"/>
  <c r="K30" i="13" a="1"/>
  <c r="K30" i="13" s="1"/>
  <c r="M28" i="13" a="1"/>
  <c r="M28" i="13" s="1"/>
  <c r="M30" i="13" a="1"/>
  <c r="M30" i="13" s="1"/>
  <c r="M29" i="13" a="1"/>
  <c r="M29" i="13" s="1"/>
  <c r="G30" i="13" a="1"/>
  <c r="G30" i="13" s="1"/>
  <c r="G29" i="13" a="1"/>
  <c r="G29" i="13" s="1"/>
  <c r="G28" i="13" a="1"/>
  <c r="G28" i="13" s="1"/>
  <c r="S30" i="13" a="1"/>
  <c r="S30" i="13" s="1"/>
  <c r="S28" i="13" a="1"/>
  <c r="S28" i="13" s="1"/>
  <c r="S29" i="13" a="1"/>
  <c r="S29" i="13" s="1"/>
  <c r="O30" i="13" a="1"/>
  <c r="O30" i="13" s="1"/>
  <c r="O29" i="13" a="1"/>
  <c r="O29" i="13" s="1"/>
  <c r="O28" i="13" a="1"/>
  <c r="O28" i="13" s="1"/>
  <c r="Q29" i="13" a="1"/>
  <c r="Q29" i="13" s="1"/>
  <c r="Q28" i="13" a="1"/>
  <c r="Q28" i="13" s="1"/>
  <c r="Q30" i="13" a="1"/>
  <c r="Q30" i="13" s="1"/>
  <c r="BQ194" i="12"/>
  <c r="BQ195" i="12" s="1"/>
  <c r="E30" i="13" a="1"/>
  <c r="E30" i="13" s="1"/>
  <c r="E29" i="13" a="1"/>
  <c r="E29" i="13" s="1"/>
  <c r="E28" i="13" a="1"/>
  <c r="E28" i="13" s="1"/>
  <c r="U30" i="13" a="1"/>
  <c r="U30" i="13" s="1"/>
  <c r="U28" i="13" a="1"/>
  <c r="U28" i="13" s="1"/>
  <c r="U29" i="13" a="1"/>
  <c r="U29" i="13" s="1"/>
  <c r="I29" i="13" a="1"/>
  <c r="I29" i="13" s="1"/>
  <c r="I28" i="13" a="1"/>
  <c r="I28" i="13" s="1"/>
  <c r="I30" i="13" a="1"/>
  <c r="I30" i="13" s="1"/>
  <c r="G6" i="13" a="1"/>
  <c r="G6" i="13" s="1"/>
  <c r="U17" i="13" a="1"/>
  <c r="U17" i="13" s="1"/>
  <c r="K19" i="13" a="1"/>
  <c r="K19" i="13" s="1"/>
  <c r="M16" i="13" a="1"/>
  <c r="M16" i="13" s="1"/>
  <c r="S34" i="13" a="1"/>
  <c r="S34" i="13" s="1"/>
  <c r="I7" i="13" a="1"/>
  <c r="I7" i="13" s="1"/>
  <c r="Q7" i="13" a="1"/>
  <c r="Q7" i="13" s="1"/>
  <c r="E13" i="13" a="1"/>
  <c r="E13" i="13" s="1"/>
  <c r="O22" i="13" a="1"/>
  <c r="O22" i="13" s="1"/>
  <c r="AH135" i="12"/>
  <c r="AH25" i="12"/>
  <c r="AH97" i="12"/>
  <c r="AH115" i="12"/>
  <c r="AH134" i="12"/>
  <c r="AH54" i="12"/>
  <c r="AH136" i="12"/>
  <c r="AH123" i="12"/>
  <c r="BG194" i="12"/>
  <c r="BG195" i="12" s="1"/>
  <c r="E18" i="13" a="1"/>
  <c r="E18" i="13" s="1"/>
  <c r="E6" i="13" a="1"/>
  <c r="E6" i="13" s="1"/>
  <c r="E5" i="13" a="1"/>
  <c r="E5" i="13" s="1"/>
  <c r="E20" i="13" a="1"/>
  <c r="E20" i="13" s="1"/>
  <c r="E21" i="13" a="1"/>
  <c r="E21" i="13" s="1"/>
  <c r="DE194" i="12"/>
  <c r="DE195" i="12" s="1"/>
  <c r="E10" i="13" a="1"/>
  <c r="E10" i="13" s="1"/>
  <c r="E7" i="13" a="1"/>
  <c r="E7" i="13" s="1"/>
  <c r="E34" i="13" a="1"/>
  <c r="E34" i="13" s="1"/>
  <c r="E11" i="13" a="1"/>
  <c r="E11" i="13" s="1"/>
  <c r="DO194" i="12"/>
  <c r="DO195" i="12" s="1"/>
  <c r="CU194" i="12"/>
  <c r="CU195" i="12" s="1"/>
  <c r="CA194" i="12"/>
  <c r="CA195" i="12" s="1"/>
  <c r="E17" i="13" a="1"/>
  <c r="E17" i="13" s="1"/>
  <c r="U9" i="13" a="1"/>
  <c r="U9" i="13" s="1"/>
  <c r="U13" i="13" a="1"/>
  <c r="U13" i="13" s="1"/>
  <c r="U19" i="13" a="1"/>
  <c r="U19" i="13" s="1"/>
  <c r="Q36" i="13" a="1"/>
  <c r="Q36" i="13" s="1"/>
  <c r="O12" i="13" a="1"/>
  <c r="O12" i="13" s="1"/>
  <c r="O37" i="13" a="1"/>
  <c r="O37" i="13" s="1"/>
  <c r="M21" i="13" a="1"/>
  <c r="M21" i="13" s="1"/>
  <c r="M20" i="13" a="1"/>
  <c r="M20" i="13" s="1"/>
  <c r="U8" i="13" a="1"/>
  <c r="U8" i="13" s="1"/>
  <c r="U21" i="13" a="1"/>
  <c r="U21" i="13" s="1"/>
  <c r="S16" i="13" a="1"/>
  <c r="S16" i="13" s="1"/>
  <c r="O7" i="13" a="1"/>
  <c r="O7" i="13" s="1"/>
  <c r="O17" i="13" a="1"/>
  <c r="O17" i="13" s="1"/>
  <c r="M8" i="13" a="1"/>
  <c r="M8" i="13" s="1"/>
  <c r="M22" i="13" a="1"/>
  <c r="M22" i="13" s="1"/>
  <c r="M33" i="13" a="1"/>
  <c r="M33" i="13" s="1"/>
  <c r="U37" i="13" a="1"/>
  <c r="U37" i="13" s="1"/>
  <c r="U23" i="13" a="1"/>
  <c r="U23" i="13" s="1"/>
  <c r="S37" i="13" a="1"/>
  <c r="S37" i="13" s="1"/>
  <c r="O11" i="13" a="1"/>
  <c r="O11" i="13" s="1"/>
  <c r="O19" i="13" a="1"/>
  <c r="O19" i="13" s="1"/>
  <c r="O23" i="13" a="1"/>
  <c r="O23" i="13" s="1"/>
  <c r="M24" i="13" a="1"/>
  <c r="M24" i="13" s="1"/>
  <c r="M9" i="13" a="1"/>
  <c r="M9" i="13" s="1"/>
  <c r="U20" i="13" a="1"/>
  <c r="U20" i="13" s="1"/>
  <c r="U34" i="13" a="1"/>
  <c r="U34" i="13" s="1"/>
  <c r="S18" i="13" a="1"/>
  <c r="S18" i="13" s="1"/>
  <c r="Q5" i="13" a="1"/>
  <c r="Q5" i="13" s="1"/>
  <c r="O20" i="13" a="1"/>
  <c r="O20" i="13" s="1"/>
  <c r="O24" i="13" a="1"/>
  <c r="O24" i="13" s="1"/>
  <c r="M19" i="13" a="1"/>
  <c r="M19" i="13" s="1"/>
  <c r="M11" i="13" a="1"/>
  <c r="M11" i="13" s="1"/>
  <c r="B144" i="13"/>
  <c r="G10" i="13" a="1"/>
  <c r="G10" i="13" s="1"/>
  <c r="S21" i="13" a="1"/>
  <c r="S21" i="13" s="1"/>
  <c r="S20" i="13" a="1"/>
  <c r="S20" i="13" s="1"/>
  <c r="G9" i="13" a="1"/>
  <c r="G9" i="13" s="1"/>
  <c r="E27" i="13" a="1"/>
  <c r="E27" i="13" s="1"/>
  <c r="E9" i="13" a="1"/>
  <c r="E9" i="13" s="1"/>
  <c r="E19" i="13" a="1"/>
  <c r="E19" i="13" s="1"/>
  <c r="E33" i="13" a="1"/>
  <c r="E33" i="13" s="1"/>
  <c r="U33" i="13" a="1"/>
  <c r="U33" i="13" s="1"/>
  <c r="U36" i="13" a="1"/>
  <c r="U36" i="13" s="1"/>
  <c r="S10" i="13" a="1"/>
  <c r="S10" i="13" s="1"/>
  <c r="O33" i="13" a="1"/>
  <c r="O33" i="13" s="1"/>
  <c r="O18" i="13" a="1"/>
  <c r="O18" i="13" s="1"/>
  <c r="M23" i="13" a="1"/>
  <c r="M23" i="13" s="1"/>
  <c r="M18" i="13" a="1"/>
  <c r="M18" i="13" s="1"/>
  <c r="G5" i="13" a="1"/>
  <c r="G5" i="13" s="1"/>
  <c r="G12" i="13" a="1"/>
  <c r="G12" i="13" s="1"/>
  <c r="S17" i="13" a="1"/>
  <c r="S17" i="13" s="1"/>
  <c r="AN194" i="12"/>
  <c r="E58" i="13" s="1" a="1"/>
  <c r="E58" i="13" s="1"/>
  <c r="E22" i="13" a="1"/>
  <c r="E22" i="13" s="1"/>
  <c r="S19" i="13" a="1"/>
  <c r="S19" i="13" s="1"/>
  <c r="K8" i="13" a="1"/>
  <c r="K8" i="13" s="1"/>
  <c r="CK194" i="12"/>
  <c r="CK195" i="12" s="1"/>
  <c r="E12" i="13" a="1"/>
  <c r="E12" i="13" s="1"/>
  <c r="E23" i="13" a="1"/>
  <c r="E23" i="13" s="1"/>
  <c r="E38" i="13" a="1"/>
  <c r="E38" i="13" s="1"/>
  <c r="U22" i="13" a="1"/>
  <c r="U22" i="13" s="1"/>
  <c r="U5" i="13" a="1"/>
  <c r="U5" i="13" s="1"/>
  <c r="S9" i="13" a="1"/>
  <c r="S9" i="13" s="1"/>
  <c r="S36" i="13" a="1"/>
  <c r="S36" i="13" s="1"/>
  <c r="O13" i="13" a="1"/>
  <c r="O13" i="13" s="1"/>
  <c r="O5" i="13" a="1"/>
  <c r="O5" i="13" s="1"/>
  <c r="M36" i="13" a="1"/>
  <c r="M36" i="13" s="1"/>
  <c r="M35" i="13" a="1"/>
  <c r="M35" i="13" s="1"/>
  <c r="K16" i="13" a="1"/>
  <c r="K16" i="13" s="1"/>
  <c r="G11" i="13" a="1"/>
  <c r="G11" i="13" s="1"/>
  <c r="E8" i="13" a="1"/>
  <c r="E8" i="13" s="1"/>
  <c r="E37" i="13" a="1"/>
  <c r="E37" i="13" s="1"/>
  <c r="Q21" i="13" a="1"/>
  <c r="Q21" i="13" s="1"/>
  <c r="AO194" i="12"/>
  <c r="E36" i="13" a="1"/>
  <c r="E36" i="13" s="1"/>
  <c r="E24" i="13" a="1"/>
  <c r="E24" i="13" s="1"/>
  <c r="E16" i="13" a="1"/>
  <c r="E16" i="13" s="1"/>
  <c r="U24" i="13" a="1"/>
  <c r="U24" i="13" s="1"/>
  <c r="U7" i="13" a="1"/>
  <c r="U7" i="13" s="1"/>
  <c r="S13" i="13" a="1"/>
  <c r="S13" i="13" s="1"/>
  <c r="S38" i="13" a="1"/>
  <c r="S38" i="13" s="1"/>
  <c r="O8" i="13" a="1"/>
  <c r="O8" i="13" s="1"/>
  <c r="O6" i="13" a="1"/>
  <c r="O6" i="13" s="1"/>
  <c r="M17" i="13" a="1"/>
  <c r="M17" i="13" s="1"/>
  <c r="M10" i="13" a="1"/>
  <c r="M10" i="13" s="1"/>
  <c r="K34" i="13" a="1"/>
  <c r="K34" i="13" s="1"/>
  <c r="I12" i="13" a="1"/>
  <c r="I12" i="13" s="1"/>
  <c r="Q22" i="13" a="1"/>
  <c r="Q22" i="13" s="1"/>
  <c r="K36" i="13" a="1"/>
  <c r="K36" i="13" s="1"/>
  <c r="I33" i="13" a="1"/>
  <c r="I33" i="13" s="1"/>
  <c r="Q13" i="13" a="1"/>
  <c r="Q13" i="13" s="1"/>
  <c r="K21" i="13" a="1"/>
  <c r="K21" i="13" s="1"/>
  <c r="I35" i="13" a="1"/>
  <c r="I35" i="13" s="1"/>
  <c r="Q12" i="13" a="1"/>
  <c r="Q12" i="13" s="1"/>
  <c r="K11" i="13" a="1"/>
  <c r="K11" i="13" s="1"/>
  <c r="K22" i="13" a="1"/>
  <c r="K22" i="13" s="1"/>
  <c r="K23" i="13" a="1"/>
  <c r="K23" i="13" s="1"/>
  <c r="I20" i="13" a="1"/>
  <c r="I20" i="13" s="1"/>
  <c r="I6" i="13" a="1"/>
  <c r="I6" i="13" s="1"/>
  <c r="I9" i="13" a="1"/>
  <c r="I9" i="13" s="1"/>
  <c r="U12" i="13" a="1"/>
  <c r="U12" i="13" s="1"/>
  <c r="U35" i="13" a="1"/>
  <c r="U35" i="13" s="1"/>
  <c r="U6" i="13" a="1"/>
  <c r="U6" i="13" s="1"/>
  <c r="S23" i="13" a="1"/>
  <c r="S23" i="13" s="1"/>
  <c r="S24" i="13" a="1"/>
  <c r="S24" i="13" s="1"/>
  <c r="S22" i="13" a="1"/>
  <c r="S22" i="13" s="1"/>
  <c r="Q33" i="13" a="1"/>
  <c r="Q33" i="13" s="1"/>
  <c r="Q17" i="13" a="1"/>
  <c r="Q17" i="13" s="1"/>
  <c r="Q35" i="13" a="1"/>
  <c r="Q35" i="13" s="1"/>
  <c r="O9" i="13" a="1"/>
  <c r="O9" i="13" s="1"/>
  <c r="O21" i="13" a="1"/>
  <c r="O21" i="13" s="1"/>
  <c r="O10" i="13" a="1"/>
  <c r="O10" i="13" s="1"/>
  <c r="M5" i="13" a="1"/>
  <c r="M5" i="13" s="1"/>
  <c r="M34" i="13" a="1"/>
  <c r="M34" i="13" s="1"/>
  <c r="M7" i="13" a="1"/>
  <c r="M7" i="13" s="1"/>
  <c r="G7" i="13" a="1"/>
  <c r="G7" i="13" s="1"/>
  <c r="K6" i="13" a="1"/>
  <c r="K6" i="13" s="1"/>
  <c r="K24" i="13" a="1"/>
  <c r="K24" i="13" s="1"/>
  <c r="K33" i="13" a="1"/>
  <c r="K33" i="13" s="1"/>
  <c r="I21" i="13" a="1"/>
  <c r="I21" i="13" s="1"/>
  <c r="I10" i="13" a="1"/>
  <c r="I10" i="13" s="1"/>
  <c r="I13" i="13" a="1"/>
  <c r="I13" i="13" s="1"/>
  <c r="I8" i="13" a="1"/>
  <c r="I8" i="13" s="1"/>
  <c r="Q37" i="13" a="1"/>
  <c r="Q37" i="13" s="1"/>
  <c r="K12" i="13" a="1"/>
  <c r="K12" i="13" s="1"/>
  <c r="I18" i="13" a="1"/>
  <c r="I18" i="13" s="1"/>
  <c r="Q23" i="13" a="1"/>
  <c r="Q23" i="13" s="1"/>
  <c r="K7" i="13" a="1"/>
  <c r="K7" i="13" s="1"/>
  <c r="I5" i="13" a="1"/>
  <c r="I5" i="13" s="1"/>
  <c r="Q24" i="13" a="1"/>
  <c r="Q24" i="13" s="1"/>
  <c r="S11" i="13" a="1"/>
  <c r="S11" i="13" s="1"/>
  <c r="Q11" i="13" a="1"/>
  <c r="Q11" i="13" s="1"/>
  <c r="Q18" i="13" a="1"/>
  <c r="Q18" i="13" s="1"/>
  <c r="K38" i="13" a="1"/>
  <c r="K38" i="13" s="1"/>
  <c r="K35" i="13" a="1"/>
  <c r="K35" i="13" s="1"/>
  <c r="I22" i="13" a="1"/>
  <c r="I22" i="13" s="1"/>
  <c r="I34" i="13" a="1"/>
  <c r="I34" i="13" s="1"/>
  <c r="E35" i="13" a="1"/>
  <c r="E35" i="13" s="1"/>
  <c r="U16" i="13" a="1"/>
  <c r="U16" i="13" s="1"/>
  <c r="U11" i="13" a="1"/>
  <c r="U11" i="13" s="1"/>
  <c r="U38" i="13" a="1"/>
  <c r="U38" i="13" s="1"/>
  <c r="S6" i="13" a="1"/>
  <c r="S6" i="13" s="1"/>
  <c r="S12" i="13" a="1"/>
  <c r="S12" i="13" s="1"/>
  <c r="S35" i="13" a="1"/>
  <c r="S35" i="13" s="1"/>
  <c r="Q19" i="13" a="1"/>
  <c r="Q19" i="13" s="1"/>
  <c r="Q10" i="13" a="1"/>
  <c r="Q10" i="13" s="1"/>
  <c r="Q8" i="13" a="1"/>
  <c r="Q8" i="13" s="1"/>
  <c r="O35" i="13" a="1"/>
  <c r="O35" i="13" s="1"/>
  <c r="O34" i="13" a="1"/>
  <c r="O34" i="13" s="1"/>
  <c r="O38" i="13" a="1"/>
  <c r="O38" i="13" s="1"/>
  <c r="M12" i="13" a="1"/>
  <c r="M12" i="13" s="1"/>
  <c r="M6" i="13" a="1"/>
  <c r="M6" i="13" s="1"/>
  <c r="M37" i="13" a="1"/>
  <c r="M37" i="13" s="1"/>
  <c r="G13" i="13" a="1"/>
  <c r="G13" i="13" s="1"/>
  <c r="K17" i="13" a="1"/>
  <c r="K17" i="13" s="1"/>
  <c r="K9" i="13" a="1"/>
  <c r="K9" i="13" s="1"/>
  <c r="K10" i="13" a="1"/>
  <c r="K10" i="13" s="1"/>
  <c r="I23" i="13" a="1"/>
  <c r="I23" i="13" s="1"/>
  <c r="I38" i="13" a="1"/>
  <c r="I38" i="13" s="1"/>
  <c r="I36" i="13" a="1"/>
  <c r="I36" i="13" s="1"/>
  <c r="I17" i="13" a="1"/>
  <c r="I17" i="13" s="1"/>
  <c r="Q9" i="13" a="1"/>
  <c r="Q9" i="13" s="1"/>
  <c r="K18" i="13" a="1"/>
  <c r="K18" i="13" s="1"/>
  <c r="I11" i="13" a="1"/>
  <c r="I11" i="13" s="1"/>
  <c r="Q38" i="13" a="1"/>
  <c r="Q38" i="13" s="1"/>
  <c r="K20" i="13" a="1"/>
  <c r="K20" i="13" s="1"/>
  <c r="I19" i="13" a="1"/>
  <c r="I19" i="13" s="1"/>
  <c r="Q16" i="13" a="1"/>
  <c r="Q16" i="13" s="1"/>
  <c r="S8" i="13" a="1"/>
  <c r="S8" i="13" s="1"/>
  <c r="S33" i="13" a="1"/>
  <c r="S33" i="13" s="1"/>
  <c r="Q6" i="13" a="1"/>
  <c r="Q6" i="13" s="1"/>
  <c r="K5" i="13" a="1"/>
  <c r="K5" i="13" s="1"/>
  <c r="I37" i="13" a="1"/>
  <c r="I37" i="13" s="1"/>
  <c r="U18" i="13" a="1"/>
  <c r="U18" i="13" s="1"/>
  <c r="U10" i="13" a="1"/>
  <c r="U10" i="13" s="1"/>
  <c r="S5" i="13" a="1"/>
  <c r="S5" i="13" s="1"/>
  <c r="S7" i="13" a="1"/>
  <c r="S7" i="13" s="1"/>
  <c r="Q20" i="13" a="1"/>
  <c r="Q20" i="13" s="1"/>
  <c r="Q34" i="13" a="1"/>
  <c r="Q34" i="13" s="1"/>
  <c r="O36" i="13" a="1"/>
  <c r="O36" i="13" s="1"/>
  <c r="O16" i="13" a="1"/>
  <c r="O16" i="13" s="1"/>
  <c r="M13" i="13" a="1"/>
  <c r="M13" i="13" s="1"/>
  <c r="M38" i="13" a="1"/>
  <c r="M38" i="13" s="1"/>
  <c r="G8" i="13" a="1"/>
  <c r="G8" i="13" s="1"/>
  <c r="K13" i="13" a="1"/>
  <c r="K13" i="13" s="1"/>
  <c r="K37" i="13" a="1"/>
  <c r="K37" i="13" s="1"/>
  <c r="I24" i="13" a="1"/>
  <c r="I24" i="13" s="1"/>
  <c r="I16" i="13" a="1"/>
  <c r="I16" i="13" s="1"/>
  <c r="C10" i="13" a="1"/>
  <c r="C10" i="13" s="1"/>
  <c r="C11" i="13" a="1"/>
  <c r="C11" i="13" s="1"/>
  <c r="C9" i="13" a="1"/>
  <c r="C9" i="13" s="1"/>
  <c r="C8" i="13" a="1"/>
  <c r="C8" i="13" s="1"/>
  <c r="C7" i="13" a="1"/>
  <c r="C7" i="13" s="1"/>
  <c r="C6" i="13" a="1"/>
  <c r="C6" i="13" s="1"/>
  <c r="C13" i="13" a="1"/>
  <c r="C13" i="13" s="1"/>
  <c r="C12" i="13" a="1"/>
  <c r="C12" i="13" s="1"/>
  <c r="G35" i="13" a="1"/>
  <c r="G35" i="13" s="1"/>
  <c r="G36" i="13" a="1"/>
  <c r="G36" i="13" s="1"/>
  <c r="G38" i="13" a="1"/>
  <c r="G38" i="13" s="1"/>
  <c r="G23" i="13" a="1"/>
  <c r="G23" i="13" s="1"/>
  <c r="G21" i="13" a="1"/>
  <c r="G21" i="13" s="1"/>
  <c r="G16" i="13" a="1"/>
  <c r="G16" i="13" s="1"/>
  <c r="G20" i="13" a="1"/>
  <c r="G20" i="13" s="1"/>
  <c r="G24" i="13" a="1"/>
  <c r="G24" i="13" s="1"/>
  <c r="G19" i="13" a="1"/>
  <c r="G19" i="13" s="1"/>
  <c r="G33" i="13" a="1"/>
  <c r="G33" i="13" s="1"/>
  <c r="G37" i="13" a="1"/>
  <c r="G37" i="13" s="1"/>
  <c r="G18" i="13" a="1"/>
  <c r="G18" i="13" s="1"/>
  <c r="G22" i="13" a="1"/>
  <c r="G22" i="13" s="1"/>
  <c r="G34" i="13" a="1"/>
  <c r="G34" i="13" s="1"/>
  <c r="G17" i="13" a="1"/>
  <c r="G17" i="13" s="1"/>
  <c r="C19" i="13" a="1"/>
  <c r="C19" i="13" s="1"/>
  <c r="C23" i="13" a="1"/>
  <c r="C23" i="13" s="1"/>
  <c r="C22" i="13" a="1"/>
  <c r="C22" i="13" s="1"/>
  <c r="C18" i="13" a="1"/>
  <c r="C18" i="13" s="1"/>
  <c r="C24" i="13" a="1"/>
  <c r="C24" i="13" s="1"/>
  <c r="C17" i="13" a="1"/>
  <c r="C17" i="13" s="1"/>
  <c r="C21" i="13" a="1"/>
  <c r="C21" i="13" s="1"/>
  <c r="C20" i="13" a="1"/>
  <c r="C20" i="13" s="1"/>
  <c r="D125" i="13"/>
  <c r="C33" i="13" a="1"/>
  <c r="C33" i="13" s="1"/>
  <c r="C38" i="13" a="1"/>
  <c r="C38" i="13" s="1"/>
  <c r="C37" i="13" a="1"/>
  <c r="C37" i="13" s="1"/>
  <c r="C35" i="13" a="1"/>
  <c r="C35" i="13" s="1"/>
  <c r="C34" i="13" a="1"/>
  <c r="C34" i="13" s="1"/>
  <c r="C36" i="13" a="1"/>
  <c r="C36" i="13" s="1"/>
  <c r="C27" i="13" a="1"/>
  <c r="C27" i="13" s="1"/>
  <c r="AY194" i="12"/>
  <c r="CZ194" i="12"/>
  <c r="CZ195" i="12" s="1"/>
  <c r="I27" i="13" a="1"/>
  <c r="I27" i="13" s="1"/>
  <c r="M27" i="13" a="1"/>
  <c r="M27" i="13" s="1"/>
  <c r="BL194" i="12"/>
  <c r="BL195" i="12" s="1"/>
  <c r="DJ194" i="12"/>
  <c r="DJ195" i="12" s="1"/>
  <c r="DT194" i="12"/>
  <c r="DT195" i="12" s="1"/>
  <c r="CP194" i="12"/>
  <c r="CP195" i="12" s="1"/>
  <c r="O27" i="13" a="1"/>
  <c r="O27" i="13" s="1"/>
  <c r="AX194" i="12"/>
  <c r="O57" i="13" s="1" a="1"/>
  <c r="O57" i="13" s="1"/>
  <c r="BV194" i="12"/>
  <c r="BV195" i="12" s="1"/>
  <c r="AM194" i="12"/>
  <c r="C5" i="13" a="1"/>
  <c r="C5" i="13" s="1"/>
  <c r="CF194" i="12"/>
  <c r="CF195" i="12" s="1"/>
  <c r="C16" i="13" a="1"/>
  <c r="C16" i="13" s="1"/>
  <c r="K27" i="13" a="1"/>
  <c r="K27" i="13" s="1"/>
  <c r="AW194" i="12"/>
  <c r="U27" i="13" a="1"/>
  <c r="U27" i="13" s="1"/>
  <c r="Q27" i="13" a="1"/>
  <c r="Q27" i="13" s="1"/>
  <c r="AS194" i="12"/>
  <c r="CB194" i="12"/>
  <c r="CB195" i="12" s="1"/>
  <c r="DP194" i="12"/>
  <c r="DP195" i="12" s="1"/>
  <c r="BH194" i="12"/>
  <c r="BH195" i="12" s="1"/>
  <c r="AQ194" i="12"/>
  <c r="CV194" i="12"/>
  <c r="CV195" i="12" s="1"/>
  <c r="BR194" i="12"/>
  <c r="BR195" i="12" s="1"/>
  <c r="DF194" i="12"/>
  <c r="DF195" i="12" s="1"/>
  <c r="AP194" i="12"/>
  <c r="CL194" i="12"/>
  <c r="CL195" i="12" s="1"/>
  <c r="CO194" i="12"/>
  <c r="CO195" i="12" s="1"/>
  <c r="BK194" i="12"/>
  <c r="BK195" i="12" s="1"/>
  <c r="CY194" i="12"/>
  <c r="CY195" i="12" s="1"/>
  <c r="DI194" i="12"/>
  <c r="DI195" i="12" s="1"/>
  <c r="AV194" i="12"/>
  <c r="M56" i="13" s="1" a="1"/>
  <c r="M56" i="13" s="1"/>
  <c r="CE194" i="12"/>
  <c r="CE195" i="12" s="1"/>
  <c r="DS194" i="12"/>
  <c r="DS195" i="12" s="1"/>
  <c r="BU194" i="12"/>
  <c r="BU195" i="12" s="1"/>
  <c r="BE194" i="12"/>
  <c r="G27" i="13" a="1"/>
  <c r="G27" i="13" s="1"/>
  <c r="BB194" i="12"/>
  <c r="S91" i="13" s="1"/>
  <c r="CR194" i="12"/>
  <c r="CR195" i="12" s="1"/>
  <c r="BX194" i="12"/>
  <c r="BX195" i="12" s="1"/>
  <c r="CH194" i="12"/>
  <c r="CH195" i="12" s="1"/>
  <c r="DV194" i="12"/>
  <c r="DV195" i="12" s="1"/>
  <c r="DL194" i="12"/>
  <c r="DL195" i="12" s="1"/>
  <c r="BN194" i="12"/>
  <c r="BN195" i="12" s="1"/>
  <c r="DB194" i="12"/>
  <c r="DB195" i="12" s="1"/>
  <c r="BD194" i="12"/>
  <c r="U91" i="13" s="1"/>
  <c r="CS194" i="12"/>
  <c r="CS195" i="12" s="1"/>
  <c r="CI194" i="12"/>
  <c r="CI195" i="12" s="1"/>
  <c r="DW194" i="12"/>
  <c r="DW195" i="12" s="1"/>
  <c r="BY194" i="12"/>
  <c r="BY195" i="12" s="1"/>
  <c r="DM194" i="12"/>
  <c r="DM195" i="12" s="1"/>
  <c r="BO194" i="12"/>
  <c r="BO195" i="12" s="1"/>
  <c r="DC194" i="12"/>
  <c r="DC195" i="12" s="1"/>
  <c r="AZ194" i="12"/>
  <c r="Q54" i="13" s="1" a="1"/>
  <c r="Q54" i="13" s="1"/>
  <c r="CQ194" i="12"/>
  <c r="CQ195" i="12" s="1"/>
  <c r="CG194" i="12"/>
  <c r="CG195" i="12" s="1"/>
  <c r="DU194" i="12"/>
  <c r="DU195" i="12" s="1"/>
  <c r="BM194" i="12"/>
  <c r="BM195" i="12" s="1"/>
  <c r="BW194" i="12"/>
  <c r="BW195" i="12" s="1"/>
  <c r="DK194" i="12"/>
  <c r="DK195" i="12" s="1"/>
  <c r="DA194" i="12"/>
  <c r="DA195" i="12" s="1"/>
  <c r="S27" i="13" a="1"/>
  <c r="S27" i="13" s="1"/>
  <c r="BA194" i="12"/>
  <c r="BC194" i="12"/>
  <c r="BT194" i="12"/>
  <c r="BT195" i="12" s="1"/>
  <c r="DH194" i="12"/>
  <c r="DH195" i="12" s="1"/>
  <c r="CN194" i="12"/>
  <c r="CN195" i="12" s="1"/>
  <c r="BJ194" i="12"/>
  <c r="BJ195" i="12" s="1"/>
  <c r="CX194" i="12"/>
  <c r="CX195" i="12" s="1"/>
  <c r="AT194" i="12"/>
  <c r="K58" i="13" s="1" a="1"/>
  <c r="K58" i="13" s="1"/>
  <c r="CD194" i="12"/>
  <c r="CD195" i="12" s="1"/>
  <c r="DR194" i="12"/>
  <c r="DR195" i="12" s="1"/>
  <c r="BI194" i="12"/>
  <c r="BI195" i="12" s="1"/>
  <c r="CC194" i="12"/>
  <c r="CC195" i="12" s="1"/>
  <c r="BS194" i="12"/>
  <c r="BS195" i="12" s="1"/>
  <c r="DG194" i="12"/>
  <c r="DG195" i="12" s="1"/>
  <c r="CW194" i="12"/>
  <c r="CW195" i="12" s="1"/>
  <c r="DQ194" i="12"/>
  <c r="DQ195" i="12" s="1"/>
  <c r="AR194" i="12"/>
  <c r="I91" i="13" s="1"/>
  <c r="CM194" i="12"/>
  <c r="CM195" i="12" s="1"/>
  <c r="ED194" i="12"/>
  <c r="AI194" i="12"/>
  <c r="C54" i="13" s="1" a="1"/>
  <c r="C54" i="13" s="1"/>
  <c r="CJ194" i="12"/>
  <c r="CJ195" i="12" s="1"/>
  <c r="DD194" i="12"/>
  <c r="DD195" i="12" s="1"/>
  <c r="EA194" i="12"/>
  <c r="EA195" i="12" s="1"/>
  <c r="C188" i="13" s="1"/>
  <c r="D188" i="13" s="1"/>
  <c r="BP194" i="12"/>
  <c r="BP195" i="12" s="1"/>
  <c r="BZ194" i="12"/>
  <c r="BZ195" i="12" s="1"/>
  <c r="DN194" i="12"/>
  <c r="DN195" i="12" s="1"/>
  <c r="BF194" i="12"/>
  <c r="BF195" i="12" s="1"/>
  <c r="CT194" i="12"/>
  <c r="CT195" i="12" s="1"/>
  <c r="AU194" i="12"/>
  <c r="ED195" i="12"/>
  <c r="B9" i="20" s="1"/>
  <c r="AQ23" i="12"/>
  <c r="AS24" i="12"/>
  <c r="BA133" i="12"/>
  <c r="AS133" i="12"/>
  <c r="AS113" i="12"/>
  <c r="BE113" i="12"/>
  <c r="AS132" i="12"/>
  <c r="BA113" i="12"/>
  <c r="AQ113" i="12"/>
  <c r="AU113" i="12"/>
  <c r="BA23" i="12"/>
  <c r="BA24" i="12"/>
  <c r="AU132" i="12"/>
  <c r="AQ24" i="12"/>
  <c r="AM132" i="12"/>
  <c r="BA132" i="12"/>
  <c r="AQ133" i="12"/>
  <c r="AM133" i="12"/>
  <c r="BC113" i="12"/>
  <c r="AU95" i="12"/>
  <c r="AU96" i="12"/>
  <c r="AW24" i="12"/>
  <c r="AW23" i="12"/>
  <c r="BC95" i="12"/>
  <c r="BC96" i="12"/>
  <c r="AO23" i="12"/>
  <c r="AO24" i="12"/>
  <c r="AW133" i="12"/>
  <c r="AW132" i="12"/>
  <c r="BA95" i="12"/>
  <c r="BA96" i="12"/>
  <c r="AQ95" i="12"/>
  <c r="AQ96" i="12"/>
  <c r="F16" i="14"/>
  <c r="G16" i="14" s="1"/>
  <c r="BE133" i="12"/>
  <c r="AM113" i="12"/>
  <c r="AU133" i="12"/>
  <c r="BE23" i="12"/>
  <c r="BE24" i="12"/>
  <c r="BC132" i="12"/>
  <c r="BC133" i="12"/>
  <c r="BC23" i="12"/>
  <c r="BC24" i="12"/>
  <c r="AW95" i="12"/>
  <c r="AW96" i="12"/>
  <c r="BE132" i="12"/>
  <c r="AY132" i="12"/>
  <c r="AY133" i="12"/>
  <c r="AO95" i="12"/>
  <c r="AO96" i="12"/>
  <c r="AO132" i="12"/>
  <c r="AO133" i="12"/>
  <c r="AU23" i="12"/>
  <c r="AU24" i="12"/>
  <c r="AY23" i="12"/>
  <c r="AY24" i="12"/>
  <c r="AM23" i="12"/>
  <c r="AM24" i="12"/>
  <c r="BE95" i="12"/>
  <c r="BE96" i="12"/>
  <c r="AS95" i="12"/>
  <c r="AS96" i="12"/>
  <c r="AY95" i="12"/>
  <c r="AY96" i="12"/>
  <c r="AM95" i="12"/>
  <c r="AM96" i="12"/>
  <c r="AQ132" i="12"/>
  <c r="AW113" i="12"/>
  <c r="AS23" i="12"/>
  <c r="M26" i="13" l="1"/>
  <c r="O26" i="13"/>
  <c r="U26" i="13"/>
  <c r="G26" i="13"/>
  <c r="Q26" i="13"/>
  <c r="S26" i="13"/>
  <c r="K26" i="13"/>
  <c r="C26" i="13"/>
  <c r="T41" i="13" a="1"/>
  <c r="T41" i="13" s="1"/>
  <c r="I26" i="13"/>
  <c r="P46" i="13" a="1"/>
  <c r="P46" i="13" s="1"/>
  <c r="J43" i="13" a="1"/>
  <c r="J43" i="13" s="1"/>
  <c r="L44" i="13" a="1"/>
  <c r="L44" i="13" s="1"/>
  <c r="H44" i="13" a="1"/>
  <c r="H44" i="13" s="1"/>
  <c r="V44" i="13" a="1"/>
  <c r="V44" i="13" s="1"/>
  <c r="F48" i="13" a="1"/>
  <c r="F48" i="13" s="1"/>
  <c r="N47" i="13" a="1"/>
  <c r="N47" i="13" s="1"/>
  <c r="R44" i="13" a="1"/>
  <c r="R44" i="13" s="1"/>
  <c r="E26" i="13"/>
  <c r="H48" i="13" a="1"/>
  <c r="H48" i="13" s="1"/>
  <c r="T47" i="13" a="1"/>
  <c r="T47" i="13" s="1"/>
  <c r="R43" i="13" a="1"/>
  <c r="R43" i="13" s="1"/>
  <c r="R46" i="13" a="1"/>
  <c r="R46" i="13" s="1"/>
  <c r="V48" i="13" a="1"/>
  <c r="V48" i="13" s="1"/>
  <c r="L47" i="13" a="1"/>
  <c r="L47" i="13" s="1"/>
  <c r="J46" i="13" a="1"/>
  <c r="J46" i="13" s="1"/>
  <c r="N46" i="13" a="1"/>
  <c r="N46" i="13" s="1"/>
  <c r="H49" i="13" a="1"/>
  <c r="H49" i="13" s="1"/>
  <c r="P41" i="13" a="1"/>
  <c r="P41" i="13" s="1"/>
  <c r="T42" i="13" a="1"/>
  <c r="T42" i="13" s="1"/>
  <c r="R48" i="13" a="1"/>
  <c r="R48" i="13" s="1"/>
  <c r="V49" i="13" a="1"/>
  <c r="V49" i="13" s="1"/>
  <c r="L42" i="13" a="1"/>
  <c r="L42" i="13" s="1"/>
  <c r="J41" i="13" a="1"/>
  <c r="J41" i="13" s="1"/>
  <c r="H43" i="13" a="1"/>
  <c r="H43" i="13" s="1"/>
  <c r="P43" i="13" a="1"/>
  <c r="P43" i="13" s="1"/>
  <c r="P44" i="13" a="1"/>
  <c r="P44" i="13" s="1"/>
  <c r="T48" i="13" a="1"/>
  <c r="T48" i="13" s="1"/>
  <c r="D48" i="13" a="1"/>
  <c r="D48" i="13" s="1"/>
  <c r="R47" i="13" a="1"/>
  <c r="R47" i="13" s="1"/>
  <c r="V42" i="13" a="1"/>
  <c r="V42" i="13" s="1"/>
  <c r="L43" i="13" a="1"/>
  <c r="L43" i="13" s="1"/>
  <c r="J42" i="13" a="1"/>
  <c r="J42" i="13" s="1"/>
  <c r="J49" i="13" a="1"/>
  <c r="J49" i="13" s="1"/>
  <c r="F43" i="13" a="1"/>
  <c r="F43" i="13" s="1"/>
  <c r="N48" i="13" a="1"/>
  <c r="N48" i="13" s="1"/>
  <c r="H41" i="13" a="1"/>
  <c r="H41" i="13" s="1"/>
  <c r="P42" i="13" a="1"/>
  <c r="P42" i="13" s="1"/>
  <c r="T44" i="13" a="1"/>
  <c r="T44" i="13" s="1"/>
  <c r="D43" i="13" a="1"/>
  <c r="D43" i="13" s="1"/>
  <c r="R49" i="13" a="1"/>
  <c r="R49" i="13" s="1"/>
  <c r="V46" i="13" a="1"/>
  <c r="V46" i="13" s="1"/>
  <c r="J47" i="13" a="1"/>
  <c r="J47" i="13" s="1"/>
  <c r="J44" i="13" a="1"/>
  <c r="J44" i="13" s="1"/>
  <c r="F44" i="13" a="1"/>
  <c r="F44" i="13" s="1"/>
  <c r="N41" i="13" a="1"/>
  <c r="N41" i="13" s="1"/>
  <c r="H42" i="13" a="1"/>
  <c r="H42" i="13" s="1"/>
  <c r="H47" i="13" a="1"/>
  <c r="H47" i="13" s="1"/>
  <c r="P49" i="13" a="1"/>
  <c r="P49" i="13" s="1"/>
  <c r="T46" i="13" a="1"/>
  <c r="T46" i="13" s="1"/>
  <c r="D46" i="13" a="1"/>
  <c r="D46" i="13" s="1"/>
  <c r="R42" i="13" a="1"/>
  <c r="R42" i="13" s="1"/>
  <c r="L48" i="13" a="1"/>
  <c r="L48" i="13" s="1"/>
  <c r="L41" i="13" a="1"/>
  <c r="L41" i="13" s="1"/>
  <c r="J48" i="13" a="1"/>
  <c r="J48" i="13" s="1"/>
  <c r="F47" i="13" a="1"/>
  <c r="F47" i="13" s="1"/>
  <c r="N43" i="13" a="1"/>
  <c r="N43" i="13" s="1"/>
  <c r="H46" i="13" a="1"/>
  <c r="H46" i="13" s="1"/>
  <c r="P47" i="13" a="1"/>
  <c r="P47" i="13" s="1"/>
  <c r="T43" i="13" a="1"/>
  <c r="T43" i="13" s="1"/>
  <c r="D47" i="13" a="1"/>
  <c r="D47" i="13" s="1"/>
  <c r="L49" i="13" a="1"/>
  <c r="L49" i="13" s="1"/>
  <c r="L46" i="13" a="1"/>
  <c r="L46" i="13" s="1"/>
  <c r="D42" i="13" a="1"/>
  <c r="D42" i="13" s="1"/>
  <c r="N42" i="13" a="1"/>
  <c r="N42" i="13" s="1"/>
  <c r="N44" i="13" a="1"/>
  <c r="N44" i="13" s="1"/>
  <c r="P48" i="13" a="1"/>
  <c r="P48" i="13" s="1"/>
  <c r="T49" i="13" a="1"/>
  <c r="T49" i="13" s="1"/>
  <c r="D49" i="13" a="1"/>
  <c r="D49" i="13" s="1"/>
  <c r="R41" i="13" a="1"/>
  <c r="R41" i="13" s="1"/>
  <c r="V47" i="13" a="1"/>
  <c r="V47" i="13" s="1"/>
  <c r="V43" i="13" a="1"/>
  <c r="V43" i="13" s="1"/>
  <c r="F49" i="13" a="1"/>
  <c r="F49" i="13" s="1"/>
  <c r="N49" i="13" a="1"/>
  <c r="N49" i="13" s="1"/>
  <c r="V41" i="13" a="1"/>
  <c r="V41" i="13" s="1"/>
  <c r="D44" i="13" a="1"/>
  <c r="D44" i="13" s="1"/>
  <c r="D41" i="13" a="1"/>
  <c r="D41" i="13" s="1"/>
  <c r="F41" i="13" a="1"/>
  <c r="F41" i="13" s="1"/>
  <c r="F46" i="13" a="1"/>
  <c r="F46" i="13" s="1"/>
  <c r="F42" i="13" a="1"/>
  <c r="F42" i="13" s="1"/>
  <c r="P29" i="13" a="1"/>
  <c r="P29" i="13" s="1"/>
  <c r="T28" i="13" a="1"/>
  <c r="T28" i="13" s="1"/>
  <c r="R28" i="13" a="1"/>
  <c r="R28" i="13" s="1"/>
  <c r="T29" i="13" a="1"/>
  <c r="T29" i="13" s="1"/>
  <c r="H29" i="13" a="1"/>
  <c r="H29" i="13" s="1"/>
  <c r="D28" i="13" a="1"/>
  <c r="D28" i="13" s="1"/>
  <c r="N30" i="13" a="1"/>
  <c r="N30" i="13" s="1"/>
  <c r="P28" i="13" a="1"/>
  <c r="P28" i="13" s="1"/>
  <c r="L30" i="13" a="1"/>
  <c r="L30" i="13" s="1"/>
  <c r="H28" i="13" a="1"/>
  <c r="H28" i="13" s="1"/>
  <c r="V29" i="13" a="1"/>
  <c r="V29" i="13" s="1"/>
  <c r="T30" i="13" a="1"/>
  <c r="T30" i="13" s="1"/>
  <c r="F29" i="13" a="1"/>
  <c r="F29" i="13" s="1"/>
  <c r="R29" i="13" a="1"/>
  <c r="R29" i="13" s="1"/>
  <c r="L28" i="13" a="1"/>
  <c r="L28" i="13" s="1"/>
  <c r="J30" i="13" a="1"/>
  <c r="J30" i="13" s="1"/>
  <c r="P30" i="13" a="1"/>
  <c r="P30" i="13" s="1"/>
  <c r="J28" i="13" a="1"/>
  <c r="J28" i="13" s="1"/>
  <c r="N29" i="13" a="1"/>
  <c r="N29" i="13" s="1"/>
  <c r="V30" i="13" a="1"/>
  <c r="V30" i="13" s="1"/>
  <c r="N28" i="13" a="1"/>
  <c r="N28" i="13" s="1"/>
  <c r="V28" i="13" a="1"/>
  <c r="V28" i="13" s="1"/>
  <c r="H30" i="13" a="1"/>
  <c r="H30" i="13" s="1"/>
  <c r="J29" i="13" a="1"/>
  <c r="J29" i="13" s="1"/>
  <c r="R30" i="13" a="1"/>
  <c r="R30" i="13" s="1"/>
  <c r="D30" i="13" a="1"/>
  <c r="D30" i="13" s="1"/>
  <c r="L29" i="13" a="1"/>
  <c r="L29" i="13" s="1"/>
  <c r="F28" i="13" a="1"/>
  <c r="F28" i="13" s="1"/>
  <c r="D29" i="13" a="1"/>
  <c r="D29" i="13" s="1"/>
  <c r="F30" i="13" a="1"/>
  <c r="F30" i="13" s="1"/>
  <c r="T8" i="12"/>
  <c r="AN195" i="12"/>
  <c r="E53" i="13" a="1"/>
  <c r="E53" i="13" s="1"/>
  <c r="D191" i="13"/>
  <c r="F188" i="13"/>
  <c r="F191" i="13" s="1"/>
  <c r="E15" i="13"/>
  <c r="E32" i="13"/>
  <c r="E7" i="20"/>
  <c r="K37" i="20" s="1"/>
  <c r="E4" i="13"/>
  <c r="U58" i="13" a="1"/>
  <c r="U58" i="13" s="1"/>
  <c r="Q58" i="13" a="1"/>
  <c r="Q58" i="13" s="1"/>
  <c r="M54" i="13" a="1"/>
  <c r="M54" i="13" s="1"/>
  <c r="U54" i="13" a="1"/>
  <c r="U54" i="13" s="1"/>
  <c r="Q57" i="13" a="1"/>
  <c r="Q57" i="13" s="1"/>
  <c r="E55" i="13" a="1"/>
  <c r="E55" i="13" s="1"/>
  <c r="U55" i="13" a="1"/>
  <c r="U55" i="13" s="1"/>
  <c r="U53" i="13" a="1"/>
  <c r="U53" i="13" s="1"/>
  <c r="Q52" i="13" a="1"/>
  <c r="Q52" i="13" s="1"/>
  <c r="S57" i="13" a="1"/>
  <c r="S57" i="13" s="1"/>
  <c r="M52" i="13" a="1"/>
  <c r="M52" i="13" s="1"/>
  <c r="K54" i="13" a="1"/>
  <c r="K54" i="13" s="1"/>
  <c r="S53" i="13" a="1"/>
  <c r="S53" i="13" s="1"/>
  <c r="S58" i="13" a="1"/>
  <c r="S58" i="13" s="1"/>
  <c r="U52" i="13" a="1"/>
  <c r="U52" i="13" s="1"/>
  <c r="E52" i="13" a="1"/>
  <c r="E52" i="13" s="1"/>
  <c r="K55" i="13" a="1"/>
  <c r="K55" i="13" s="1"/>
  <c r="E57" i="13" a="1"/>
  <c r="E57" i="13" s="1"/>
  <c r="E54" i="13" a="1"/>
  <c r="E54" i="13" s="1"/>
  <c r="Q53" i="13" a="1"/>
  <c r="Q53" i="13" s="1"/>
  <c r="E91" i="13"/>
  <c r="Q56" i="13" a="1"/>
  <c r="Q56" i="13" s="1"/>
  <c r="S56" i="13" a="1"/>
  <c r="S56" i="13" s="1"/>
  <c r="S52" i="13" a="1"/>
  <c r="S52" i="13" s="1"/>
  <c r="M58" i="13" a="1"/>
  <c r="M58" i="13" s="1"/>
  <c r="K56" i="13" a="1"/>
  <c r="K56" i="13" s="1"/>
  <c r="K57" i="13" a="1"/>
  <c r="K57" i="13" s="1"/>
  <c r="E56" i="13" a="1"/>
  <c r="E56" i="13" s="1"/>
  <c r="K53" i="13" a="1"/>
  <c r="K53" i="13" s="1"/>
  <c r="U56" i="13" a="1"/>
  <c r="U56" i="13" s="1"/>
  <c r="M53" i="13" a="1"/>
  <c r="M53" i="13" s="1"/>
  <c r="M57" i="13" a="1"/>
  <c r="M57" i="13" s="1"/>
  <c r="K83" i="20"/>
  <c r="K38" i="20"/>
  <c r="N7" i="13" a="1"/>
  <c r="N7" i="13" s="1"/>
  <c r="N11" i="13" a="1"/>
  <c r="N11" i="13" s="1"/>
  <c r="N24" i="13" a="1"/>
  <c r="N24" i="13" s="1"/>
  <c r="N34" i="13" a="1"/>
  <c r="N34" i="13" s="1"/>
  <c r="N5" i="13" a="1"/>
  <c r="N5" i="13" s="1"/>
  <c r="N55" i="13" a="1"/>
  <c r="N55" i="13" s="1"/>
  <c r="N12" i="13" a="1"/>
  <c r="N12" i="13" s="1"/>
  <c r="N52" i="13" a="1"/>
  <c r="N52" i="13" s="1"/>
  <c r="N54" i="13" a="1"/>
  <c r="N54" i="13" s="1"/>
  <c r="N56" i="13" a="1"/>
  <c r="N56" i="13" s="1"/>
  <c r="N57" i="13" a="1"/>
  <c r="N57" i="13" s="1"/>
  <c r="N58" i="13" a="1"/>
  <c r="N58" i="13" s="1"/>
  <c r="N23" i="13" a="1"/>
  <c r="N23" i="13" s="1"/>
  <c r="N9" i="13" a="1"/>
  <c r="N9" i="13" s="1"/>
  <c r="N8" i="13" a="1"/>
  <c r="N8" i="13" s="1"/>
  <c r="N6" i="13" a="1"/>
  <c r="N6" i="13" s="1"/>
  <c r="N10" i="13" a="1"/>
  <c r="N10" i="13" s="1"/>
  <c r="N37" i="13" a="1"/>
  <c r="N37" i="13" s="1"/>
  <c r="N38" i="13" a="1"/>
  <c r="N38" i="13" s="1"/>
  <c r="N16" i="13" a="1"/>
  <c r="N16" i="13" s="1"/>
  <c r="N17" i="13" a="1"/>
  <c r="N17" i="13" s="1"/>
  <c r="N18" i="13" a="1"/>
  <c r="N18" i="13" s="1"/>
  <c r="N19" i="13" a="1"/>
  <c r="N19" i="13" s="1"/>
  <c r="N20" i="13" a="1"/>
  <c r="N20" i="13" s="1"/>
  <c r="N21" i="13" a="1"/>
  <c r="N21" i="13" s="1"/>
  <c r="N22" i="13" a="1"/>
  <c r="N22" i="13" s="1"/>
  <c r="N36" i="13" a="1"/>
  <c r="N36" i="13" s="1"/>
  <c r="N33" i="13" a="1"/>
  <c r="N33" i="13" s="1"/>
  <c r="N35" i="13" a="1"/>
  <c r="N35" i="13" s="1"/>
  <c r="N13" i="13" a="1"/>
  <c r="N13" i="13" s="1"/>
  <c r="N53" i="13" a="1"/>
  <c r="N53" i="13" s="1"/>
  <c r="J5" i="13" a="1"/>
  <c r="J5" i="13" s="1"/>
  <c r="J9" i="13" a="1"/>
  <c r="J9" i="13" s="1"/>
  <c r="J13" i="13" a="1"/>
  <c r="J13" i="13" s="1"/>
  <c r="J34" i="13" a="1"/>
  <c r="J34" i="13" s="1"/>
  <c r="J36" i="13" a="1"/>
  <c r="J36" i="13" s="1"/>
  <c r="J7" i="13" a="1"/>
  <c r="J7" i="13" s="1"/>
  <c r="J33" i="13" a="1"/>
  <c r="J33" i="13" s="1"/>
  <c r="J35" i="13" a="1"/>
  <c r="J35" i="13" s="1"/>
  <c r="J11" i="13" a="1"/>
  <c r="J11" i="13" s="1"/>
  <c r="J58" i="13" a="1"/>
  <c r="J58" i="13" s="1"/>
  <c r="J10" i="13" a="1"/>
  <c r="J10" i="13" s="1"/>
  <c r="J8" i="13" a="1"/>
  <c r="J8" i="13" s="1"/>
  <c r="J12" i="13" a="1"/>
  <c r="J12" i="13" s="1"/>
  <c r="J53" i="13" a="1"/>
  <c r="J53" i="13" s="1"/>
  <c r="J55" i="13" a="1"/>
  <c r="J55" i="13" s="1"/>
  <c r="J57" i="13" a="1"/>
  <c r="J57" i="13" s="1"/>
  <c r="J6" i="13" a="1"/>
  <c r="J6" i="13" s="1"/>
  <c r="J38" i="13" a="1"/>
  <c r="J38" i="13" s="1"/>
  <c r="J17" i="13" a="1"/>
  <c r="J17" i="13" s="1"/>
  <c r="J19" i="13" a="1"/>
  <c r="J19" i="13" s="1"/>
  <c r="J21" i="13" a="1"/>
  <c r="J21" i="13" s="1"/>
  <c r="J23" i="13" a="1"/>
  <c r="J23" i="13" s="1"/>
  <c r="J52" i="13" a="1"/>
  <c r="J52" i="13" s="1"/>
  <c r="J54" i="13" a="1"/>
  <c r="J54" i="13" s="1"/>
  <c r="J56" i="13" a="1"/>
  <c r="J56" i="13" s="1"/>
  <c r="J37" i="13" a="1"/>
  <c r="J37" i="13" s="1"/>
  <c r="J16" i="13" a="1"/>
  <c r="J16" i="13" s="1"/>
  <c r="J18" i="13" a="1"/>
  <c r="J18" i="13" s="1"/>
  <c r="J20" i="13" a="1"/>
  <c r="J20" i="13" s="1"/>
  <c r="J22" i="13" a="1"/>
  <c r="J22" i="13" s="1"/>
  <c r="J24" i="13" a="1"/>
  <c r="J24" i="13" s="1"/>
  <c r="P6" i="13" a="1"/>
  <c r="P6" i="13" s="1"/>
  <c r="P10" i="13" a="1"/>
  <c r="P10" i="13" s="1"/>
  <c r="P37" i="13" a="1"/>
  <c r="P37" i="13" s="1"/>
  <c r="P38" i="13" a="1"/>
  <c r="P38" i="13" s="1"/>
  <c r="P16" i="13" a="1"/>
  <c r="P16" i="13" s="1"/>
  <c r="P17" i="13" a="1"/>
  <c r="P17" i="13" s="1"/>
  <c r="P18" i="13" a="1"/>
  <c r="P18" i="13" s="1"/>
  <c r="P19" i="13" a="1"/>
  <c r="P19" i="13" s="1"/>
  <c r="P20" i="13" a="1"/>
  <c r="P20" i="13" s="1"/>
  <c r="P21" i="13" a="1"/>
  <c r="P21" i="13" s="1"/>
  <c r="P22" i="13" a="1"/>
  <c r="P22" i="13" s="1"/>
  <c r="P23" i="13" a="1"/>
  <c r="P23" i="13" s="1"/>
  <c r="P24" i="13" a="1"/>
  <c r="P24" i="13" s="1"/>
  <c r="P12" i="13" a="1"/>
  <c r="P12" i="13" s="1"/>
  <c r="P52" i="13" a="1"/>
  <c r="P52" i="13" s="1"/>
  <c r="P54" i="13" a="1"/>
  <c r="P54" i="13" s="1"/>
  <c r="P34" i="13" a="1"/>
  <c r="P34" i="13" s="1"/>
  <c r="P36" i="13" a="1"/>
  <c r="P36" i="13" s="1"/>
  <c r="P5" i="13" a="1"/>
  <c r="P5" i="13" s="1"/>
  <c r="P9" i="13" a="1"/>
  <c r="P9" i="13" s="1"/>
  <c r="P13" i="13" a="1"/>
  <c r="P13" i="13" s="1"/>
  <c r="P8" i="13" a="1"/>
  <c r="P8" i="13" s="1"/>
  <c r="P11" i="13" a="1"/>
  <c r="P11" i="13" s="1"/>
  <c r="P56" i="13" a="1"/>
  <c r="P56" i="13" s="1"/>
  <c r="P57" i="13" a="1"/>
  <c r="P57" i="13" s="1"/>
  <c r="P58" i="13" a="1"/>
  <c r="P58" i="13" s="1"/>
  <c r="P53" i="13" a="1"/>
  <c r="P53" i="13" s="1"/>
  <c r="P55" i="13" a="1"/>
  <c r="P55" i="13" s="1"/>
  <c r="P33" i="13" a="1"/>
  <c r="P33" i="13" s="1"/>
  <c r="P35" i="13" a="1"/>
  <c r="P35" i="13" s="1"/>
  <c r="P7" i="13" a="1"/>
  <c r="P7" i="13" s="1"/>
  <c r="V7" i="13" a="1"/>
  <c r="V7" i="13" s="1"/>
  <c r="V11" i="13" a="1"/>
  <c r="V11" i="13" s="1"/>
  <c r="V8" i="13" a="1"/>
  <c r="V8" i="13" s="1"/>
  <c r="V56" i="13" a="1"/>
  <c r="V56" i="13" s="1"/>
  <c r="V57" i="13" a="1"/>
  <c r="V57" i="13" s="1"/>
  <c r="V58" i="13" a="1"/>
  <c r="V58" i="13" s="1"/>
  <c r="V34" i="13" a="1"/>
  <c r="V34" i="13" s="1"/>
  <c r="V24" i="13" a="1"/>
  <c r="V24" i="13" s="1"/>
  <c r="V5" i="13" a="1"/>
  <c r="V5" i="13" s="1"/>
  <c r="V33" i="13" a="1"/>
  <c r="V33" i="13" s="1"/>
  <c r="V35" i="13" a="1"/>
  <c r="V35" i="13" s="1"/>
  <c r="V6" i="13" a="1"/>
  <c r="V6" i="13" s="1"/>
  <c r="V10" i="13" a="1"/>
  <c r="V10" i="13" s="1"/>
  <c r="V36" i="13" a="1"/>
  <c r="V36" i="13" s="1"/>
  <c r="V37" i="13" a="1"/>
  <c r="V37" i="13" s="1"/>
  <c r="V38" i="13" a="1"/>
  <c r="V38" i="13" s="1"/>
  <c r="V16" i="13" a="1"/>
  <c r="V16" i="13" s="1"/>
  <c r="V17" i="13" a="1"/>
  <c r="V17" i="13" s="1"/>
  <c r="V18" i="13" a="1"/>
  <c r="V18" i="13" s="1"/>
  <c r="V19" i="13" a="1"/>
  <c r="V19" i="13" s="1"/>
  <c r="V20" i="13" a="1"/>
  <c r="V20" i="13" s="1"/>
  <c r="V21" i="13" a="1"/>
  <c r="V21" i="13" s="1"/>
  <c r="V22" i="13" a="1"/>
  <c r="V22" i="13" s="1"/>
  <c r="V23" i="13" a="1"/>
  <c r="V23" i="13" s="1"/>
  <c r="V53" i="13" a="1"/>
  <c r="V53" i="13" s="1"/>
  <c r="V55" i="13" a="1"/>
  <c r="V55" i="13" s="1"/>
  <c r="V13" i="13" a="1"/>
  <c r="V13" i="13" s="1"/>
  <c r="V52" i="13" a="1"/>
  <c r="V52" i="13" s="1"/>
  <c r="V54" i="13" a="1"/>
  <c r="V54" i="13" s="1"/>
  <c r="V9" i="13" a="1"/>
  <c r="V9" i="13" s="1"/>
  <c r="V12" i="13" a="1"/>
  <c r="V12" i="13" s="1"/>
  <c r="I53" i="13" a="1"/>
  <c r="I53" i="13" s="1"/>
  <c r="O54" i="13" a="1"/>
  <c r="O54" i="13" s="1"/>
  <c r="O56" i="13" a="1"/>
  <c r="O56" i="13" s="1"/>
  <c r="I55" i="13" a="1"/>
  <c r="I55" i="13" s="1"/>
  <c r="I56" i="13" a="1"/>
  <c r="I56" i="13" s="1"/>
  <c r="U57" i="13" a="1"/>
  <c r="U57" i="13" s="1"/>
  <c r="K52" i="13" a="1"/>
  <c r="K52" i="13" s="1"/>
  <c r="I57" i="13" a="1"/>
  <c r="I57" i="13" s="1"/>
  <c r="F7" i="13" a="1"/>
  <c r="F7" i="13" s="1"/>
  <c r="F11" i="13" a="1"/>
  <c r="F11" i="13" s="1"/>
  <c r="F37" i="13" a="1"/>
  <c r="F37" i="13" s="1"/>
  <c r="F38" i="13" a="1"/>
  <c r="F38" i="13" s="1"/>
  <c r="F16" i="13" a="1"/>
  <c r="F16" i="13" s="1"/>
  <c r="F17" i="13" a="1"/>
  <c r="F17" i="13" s="1"/>
  <c r="F18" i="13" a="1"/>
  <c r="F18" i="13" s="1"/>
  <c r="F19" i="13" a="1"/>
  <c r="F19" i="13" s="1"/>
  <c r="F20" i="13" a="1"/>
  <c r="F20" i="13" s="1"/>
  <c r="F21" i="13" a="1"/>
  <c r="F21" i="13" s="1"/>
  <c r="F22" i="13" a="1"/>
  <c r="F22" i="13" s="1"/>
  <c r="F23" i="13" a="1"/>
  <c r="F23" i="13" s="1"/>
  <c r="F24" i="13" a="1"/>
  <c r="F24" i="13" s="1"/>
  <c r="F9" i="13" a="1"/>
  <c r="F9" i="13" s="1"/>
  <c r="F52" i="13" a="1"/>
  <c r="F52" i="13" s="1"/>
  <c r="F54" i="13" a="1"/>
  <c r="F54" i="13" s="1"/>
  <c r="F56" i="13" a="1"/>
  <c r="F56" i="13" s="1"/>
  <c r="F13" i="13" a="1"/>
  <c r="F13" i="13" s="1"/>
  <c r="F12" i="13" a="1"/>
  <c r="F12" i="13" s="1"/>
  <c r="F6" i="13" a="1"/>
  <c r="F6" i="13" s="1"/>
  <c r="F10" i="13" a="1"/>
  <c r="F10" i="13" s="1"/>
  <c r="F34" i="13" a="1"/>
  <c r="F34" i="13" s="1"/>
  <c r="F36" i="13" a="1"/>
  <c r="F36" i="13" s="1"/>
  <c r="F5" i="13" a="1"/>
  <c r="F5" i="13" s="1"/>
  <c r="F55" i="13" a="1"/>
  <c r="F55" i="13" s="1"/>
  <c r="F8" i="13" a="1"/>
  <c r="F8" i="13" s="1"/>
  <c r="F57" i="13" a="1"/>
  <c r="F57" i="13" s="1"/>
  <c r="F58" i="13" a="1"/>
  <c r="F58" i="13" s="1"/>
  <c r="F33" i="13" a="1"/>
  <c r="F33" i="13" s="1"/>
  <c r="F35" i="13" a="1"/>
  <c r="F35" i="13" s="1"/>
  <c r="F53" i="13" a="1"/>
  <c r="F53" i="13" s="1"/>
  <c r="R5" i="13" a="1"/>
  <c r="R5" i="13" s="1"/>
  <c r="R9" i="13" a="1"/>
  <c r="R9" i="13" s="1"/>
  <c r="R13" i="13" a="1"/>
  <c r="R13" i="13" s="1"/>
  <c r="R53" i="13" a="1"/>
  <c r="R53" i="13" s="1"/>
  <c r="R55" i="13" a="1"/>
  <c r="R55" i="13" s="1"/>
  <c r="R57" i="13" a="1"/>
  <c r="R57" i="13" s="1"/>
  <c r="R10" i="13" a="1"/>
  <c r="R10" i="13" s="1"/>
  <c r="R37" i="13" a="1"/>
  <c r="R37" i="13" s="1"/>
  <c r="R16" i="13" a="1"/>
  <c r="R16" i="13" s="1"/>
  <c r="R18" i="13" a="1"/>
  <c r="R18" i="13" s="1"/>
  <c r="R20" i="13" a="1"/>
  <c r="R20" i="13" s="1"/>
  <c r="R22" i="13" a="1"/>
  <c r="R22" i="13" s="1"/>
  <c r="R24" i="13" a="1"/>
  <c r="R24" i="13" s="1"/>
  <c r="R7" i="13" a="1"/>
  <c r="R7" i="13" s="1"/>
  <c r="R52" i="13" a="1"/>
  <c r="R52" i="13" s="1"/>
  <c r="R6" i="13" a="1"/>
  <c r="R6" i="13" s="1"/>
  <c r="R36" i="13" a="1"/>
  <c r="R36" i="13" s="1"/>
  <c r="R38" i="13" a="1"/>
  <c r="R38" i="13" s="1"/>
  <c r="R17" i="13" a="1"/>
  <c r="R17" i="13" s="1"/>
  <c r="R19" i="13" a="1"/>
  <c r="R19" i="13" s="1"/>
  <c r="R21" i="13" a="1"/>
  <c r="R21" i="13" s="1"/>
  <c r="R23" i="13" a="1"/>
  <c r="R23" i="13" s="1"/>
  <c r="R8" i="13" a="1"/>
  <c r="R8" i="13" s="1"/>
  <c r="R12" i="13" a="1"/>
  <c r="R12" i="13" s="1"/>
  <c r="R33" i="13" a="1"/>
  <c r="R33" i="13" s="1"/>
  <c r="R35" i="13" a="1"/>
  <c r="R35" i="13" s="1"/>
  <c r="R11" i="13" a="1"/>
  <c r="R11" i="13" s="1"/>
  <c r="R54" i="13" a="1"/>
  <c r="R54" i="13" s="1"/>
  <c r="R56" i="13" a="1"/>
  <c r="R56" i="13" s="1"/>
  <c r="R58" i="13" a="1"/>
  <c r="R58" i="13" s="1"/>
  <c r="R34" i="13" a="1"/>
  <c r="R34" i="13" s="1"/>
  <c r="O53" i="13" a="1"/>
  <c r="O53" i="13" s="1"/>
  <c r="O55" i="13" a="1"/>
  <c r="O55" i="13" s="1"/>
  <c r="L8" i="13" a="1"/>
  <c r="L8" i="13" s="1"/>
  <c r="L12" i="13" a="1"/>
  <c r="L12" i="13" s="1"/>
  <c r="L53" i="13" a="1"/>
  <c r="L53" i="13" s="1"/>
  <c r="L55" i="13" a="1"/>
  <c r="L55" i="13" s="1"/>
  <c r="L52" i="13" a="1"/>
  <c r="L52" i="13" s="1"/>
  <c r="L54" i="13" a="1"/>
  <c r="L54" i="13" s="1"/>
  <c r="L56" i="13" a="1"/>
  <c r="L56" i="13" s="1"/>
  <c r="L58" i="13" a="1"/>
  <c r="L58" i="13" s="1"/>
  <c r="L37" i="13" a="1"/>
  <c r="L37" i="13" s="1"/>
  <c r="L16" i="13" a="1"/>
  <c r="L16" i="13" s="1"/>
  <c r="L18" i="13" a="1"/>
  <c r="L18" i="13" s="1"/>
  <c r="L20" i="13" a="1"/>
  <c r="L20" i="13" s="1"/>
  <c r="L22" i="13" a="1"/>
  <c r="L22" i="13" s="1"/>
  <c r="L24" i="13" a="1"/>
  <c r="L24" i="13" s="1"/>
  <c r="L5" i="13" a="1"/>
  <c r="L5" i="13" s="1"/>
  <c r="L33" i="13" a="1"/>
  <c r="L33" i="13" s="1"/>
  <c r="L35" i="13" a="1"/>
  <c r="L35" i="13" s="1"/>
  <c r="L38" i="13" a="1"/>
  <c r="L38" i="13" s="1"/>
  <c r="L17" i="13" a="1"/>
  <c r="L17" i="13" s="1"/>
  <c r="L19" i="13" a="1"/>
  <c r="L19" i="13" s="1"/>
  <c r="L21" i="13" a="1"/>
  <c r="L21" i="13" s="1"/>
  <c r="L23" i="13" a="1"/>
  <c r="L23" i="13" s="1"/>
  <c r="L34" i="13" a="1"/>
  <c r="L34" i="13" s="1"/>
  <c r="L7" i="13" a="1"/>
  <c r="L7" i="13" s="1"/>
  <c r="L11" i="13" a="1"/>
  <c r="L11" i="13" s="1"/>
  <c r="L10" i="13" a="1"/>
  <c r="L10" i="13" s="1"/>
  <c r="L13" i="13" a="1"/>
  <c r="L13" i="13" s="1"/>
  <c r="L36" i="13" a="1"/>
  <c r="L36" i="13" s="1"/>
  <c r="L57" i="13" a="1"/>
  <c r="L57" i="13" s="1"/>
  <c r="L6" i="13" a="1"/>
  <c r="L6" i="13" s="1"/>
  <c r="L9" i="13" a="1"/>
  <c r="L9" i="13" s="1"/>
  <c r="I58" i="13" a="1"/>
  <c r="I58" i="13" s="1"/>
  <c r="I62" i="13"/>
  <c r="J62" i="13" s="1"/>
  <c r="I66" i="13"/>
  <c r="J66" i="13" s="1"/>
  <c r="I63" i="13"/>
  <c r="J63" i="13" s="1"/>
  <c r="I61" i="13"/>
  <c r="J61" i="13" s="1"/>
  <c r="I65" i="13"/>
  <c r="J65" i="13" s="1"/>
  <c r="I60" i="13"/>
  <c r="J60" i="13" s="1"/>
  <c r="I64" i="13"/>
  <c r="J64" i="13" s="1"/>
  <c r="T8" i="13" a="1"/>
  <c r="T8" i="13" s="1"/>
  <c r="T12" i="13" a="1"/>
  <c r="T12" i="13" s="1"/>
  <c r="T10" i="13" a="1"/>
  <c r="T10" i="13" s="1"/>
  <c r="T52" i="13" a="1"/>
  <c r="T52" i="13" s="1"/>
  <c r="T54" i="13" a="1"/>
  <c r="T54" i="13" s="1"/>
  <c r="T56" i="13" a="1"/>
  <c r="T56" i="13" s="1"/>
  <c r="T58" i="13" a="1"/>
  <c r="T58" i="13" s="1"/>
  <c r="T13" i="13" a="1"/>
  <c r="T13" i="13" s="1"/>
  <c r="T53" i="13" a="1"/>
  <c r="T53" i="13" s="1"/>
  <c r="T55" i="13" a="1"/>
  <c r="T55" i="13" s="1"/>
  <c r="T7" i="13" a="1"/>
  <c r="T7" i="13" s="1"/>
  <c r="T11" i="13" a="1"/>
  <c r="T11" i="13" s="1"/>
  <c r="T57" i="13" a="1"/>
  <c r="T57" i="13" s="1"/>
  <c r="T6" i="13" a="1"/>
  <c r="T6" i="13" s="1"/>
  <c r="T34" i="13" a="1"/>
  <c r="T34" i="13" s="1"/>
  <c r="T36" i="13" a="1"/>
  <c r="T36" i="13" s="1"/>
  <c r="T38" i="13" a="1"/>
  <c r="T38" i="13" s="1"/>
  <c r="T17" i="13" a="1"/>
  <c r="T17" i="13" s="1"/>
  <c r="T19" i="13" a="1"/>
  <c r="T19" i="13" s="1"/>
  <c r="T21" i="13" a="1"/>
  <c r="T21" i="13" s="1"/>
  <c r="T23" i="13" a="1"/>
  <c r="T23" i="13" s="1"/>
  <c r="T9" i="13" a="1"/>
  <c r="T9" i="13" s="1"/>
  <c r="T33" i="13" a="1"/>
  <c r="T33" i="13" s="1"/>
  <c r="T35" i="13" a="1"/>
  <c r="T35" i="13" s="1"/>
  <c r="T37" i="13" a="1"/>
  <c r="T37" i="13" s="1"/>
  <c r="T16" i="13" a="1"/>
  <c r="T16" i="13" s="1"/>
  <c r="T18" i="13" a="1"/>
  <c r="T18" i="13" s="1"/>
  <c r="T20" i="13" a="1"/>
  <c r="T20" i="13" s="1"/>
  <c r="T22" i="13" a="1"/>
  <c r="T22" i="13" s="1"/>
  <c r="T24" i="13" a="1"/>
  <c r="T24" i="13" s="1"/>
  <c r="T5" i="13" a="1"/>
  <c r="T5" i="13" s="1"/>
  <c r="H6" i="13" a="1"/>
  <c r="H6" i="13" s="1"/>
  <c r="H10" i="13" a="1"/>
  <c r="H10" i="13" s="1"/>
  <c r="H7" i="13" a="1"/>
  <c r="H7" i="13" s="1"/>
  <c r="H5" i="13" a="1"/>
  <c r="H5" i="13" s="1"/>
  <c r="H9" i="13" a="1"/>
  <c r="H9" i="13" s="1"/>
  <c r="H13" i="13" a="1"/>
  <c r="H13" i="13" s="1"/>
  <c r="H12" i="13" a="1"/>
  <c r="H12" i="13" s="1"/>
  <c r="H8" i="13" a="1"/>
  <c r="H8" i="13" s="1"/>
  <c r="H11" i="13" a="1"/>
  <c r="H11" i="13" s="1"/>
  <c r="Q91" i="13"/>
  <c r="Q55" i="13" a="1"/>
  <c r="Q55" i="13" s="1"/>
  <c r="U62" i="13"/>
  <c r="V62" i="13" s="1"/>
  <c r="U66" i="13"/>
  <c r="V66" i="13" s="1"/>
  <c r="U65" i="13"/>
  <c r="V65" i="13" s="1"/>
  <c r="U63" i="13"/>
  <c r="V63" i="13" s="1"/>
  <c r="U60" i="13"/>
  <c r="V60" i="13" s="1"/>
  <c r="U64" i="13"/>
  <c r="V64" i="13" s="1"/>
  <c r="U61" i="13"/>
  <c r="V61" i="13" s="1"/>
  <c r="S60" i="13"/>
  <c r="T60" i="13" s="1"/>
  <c r="S64" i="13"/>
  <c r="T64" i="13" s="1"/>
  <c r="S63" i="13"/>
  <c r="T63" i="13" s="1"/>
  <c r="S66" i="13"/>
  <c r="T66" i="13" s="1"/>
  <c r="S62" i="13"/>
  <c r="T62" i="13" s="1"/>
  <c r="S61" i="13"/>
  <c r="T61" i="13" s="1"/>
  <c r="S65" i="13"/>
  <c r="T65" i="13" s="1"/>
  <c r="O52" i="13" a="1"/>
  <c r="O52" i="13" s="1"/>
  <c r="S55" i="13" a="1"/>
  <c r="S55" i="13" s="1"/>
  <c r="I54" i="13" a="1"/>
  <c r="I54" i="13" s="1"/>
  <c r="M55" i="13" a="1"/>
  <c r="M55" i="13" s="1"/>
  <c r="I52" i="13" a="1"/>
  <c r="I52" i="13" s="1"/>
  <c r="O58" i="13" a="1"/>
  <c r="O58" i="13" s="1"/>
  <c r="S54" i="13" a="1"/>
  <c r="S54" i="13" s="1"/>
  <c r="D107" i="13"/>
  <c r="G91" i="13"/>
  <c r="G56" i="13" a="1"/>
  <c r="G56" i="13" s="1"/>
  <c r="G53" i="13" a="1"/>
  <c r="G53" i="13" s="1"/>
  <c r="G52" i="13" a="1"/>
  <c r="G52" i="13" s="1"/>
  <c r="G57" i="13" a="1"/>
  <c r="G57" i="13" s="1"/>
  <c r="G55" i="13" a="1"/>
  <c r="G55" i="13" s="1"/>
  <c r="G54" i="13" a="1"/>
  <c r="G54" i="13" s="1"/>
  <c r="G58" i="13" a="1"/>
  <c r="G58" i="13" s="1"/>
  <c r="H53" i="13" a="1"/>
  <c r="H53" i="13" s="1"/>
  <c r="H16" i="13" a="1"/>
  <c r="H16" i="13" s="1"/>
  <c r="H20" i="13" a="1"/>
  <c r="H20" i="13" s="1"/>
  <c r="H24" i="13" a="1"/>
  <c r="H24" i="13" s="1"/>
  <c r="H23" i="13" a="1"/>
  <c r="H23" i="13" s="1"/>
  <c r="H37" i="13" a="1"/>
  <c r="H37" i="13" s="1"/>
  <c r="H22" i="13" a="1"/>
  <c r="H22" i="13" s="1"/>
  <c r="H54" i="13" a="1"/>
  <c r="H54" i="13" s="1"/>
  <c r="H57" i="13" a="1"/>
  <c r="H57" i="13" s="1"/>
  <c r="H36" i="13" a="1"/>
  <c r="H36" i="13" s="1"/>
  <c r="H38" i="13" a="1"/>
  <c r="H38" i="13" s="1"/>
  <c r="H19" i="13" a="1"/>
  <c r="H19" i="13" s="1"/>
  <c r="H55" i="13" a="1"/>
  <c r="H55" i="13" s="1"/>
  <c r="H56" i="13" a="1"/>
  <c r="H56" i="13" s="1"/>
  <c r="H33" i="13" a="1"/>
  <c r="H33" i="13" s="1"/>
  <c r="H18" i="13" a="1"/>
  <c r="H18" i="13" s="1"/>
  <c r="H52" i="13" a="1"/>
  <c r="H52" i="13" s="1"/>
  <c r="H34" i="13" a="1"/>
  <c r="H34" i="13" s="1"/>
  <c r="H17" i="13" a="1"/>
  <c r="H17" i="13" s="1"/>
  <c r="H21" i="13" a="1"/>
  <c r="H21" i="13" s="1"/>
  <c r="H58" i="13" a="1"/>
  <c r="H58" i="13" s="1"/>
  <c r="H35" i="13" a="1"/>
  <c r="H35" i="13" s="1"/>
  <c r="D23" i="13" a="1"/>
  <c r="D23" i="13" s="1"/>
  <c r="D19" i="13" a="1"/>
  <c r="D19" i="13" s="1"/>
  <c r="D18" i="13" a="1"/>
  <c r="D18" i="13" s="1"/>
  <c r="D17" i="13" a="1"/>
  <c r="D17" i="13" s="1"/>
  <c r="D20" i="13" a="1"/>
  <c r="D20" i="13" s="1"/>
  <c r="D22" i="13" a="1"/>
  <c r="D22" i="13" s="1"/>
  <c r="D21" i="13" a="1"/>
  <c r="D21" i="13" s="1"/>
  <c r="D24" i="13" a="1"/>
  <c r="D24" i="13" s="1"/>
  <c r="B30" i="15"/>
  <c r="C91" i="13"/>
  <c r="C61" i="13" s="1"/>
  <c r="D61" i="13" s="1"/>
  <c r="AZ195" i="12"/>
  <c r="O91" i="13"/>
  <c r="M91" i="13"/>
  <c r="K91" i="13"/>
  <c r="AR195" i="12"/>
  <c r="D37" i="13" a="1"/>
  <c r="D37" i="13" s="1"/>
  <c r="D36" i="13" a="1"/>
  <c r="D36" i="13" s="1"/>
  <c r="D35" i="13" a="1"/>
  <c r="D35" i="13" s="1"/>
  <c r="D38" i="13" a="1"/>
  <c r="D38" i="13" s="1"/>
  <c r="D34" i="13" a="1"/>
  <c r="D34" i="13" s="1"/>
  <c r="C55" i="13" a="1"/>
  <c r="C55" i="13" s="1"/>
  <c r="C58" i="13" a="1"/>
  <c r="C58" i="13" s="1"/>
  <c r="O4" i="13"/>
  <c r="AV195" i="12"/>
  <c r="M32" i="13"/>
  <c r="AX195" i="12"/>
  <c r="C15" i="13"/>
  <c r="C4" i="13"/>
  <c r="C75" i="13" s="1"/>
  <c r="O32" i="13"/>
  <c r="O15" i="13"/>
  <c r="C32" i="13"/>
  <c r="C53" i="13" a="1"/>
  <c r="C53" i="13" s="1"/>
  <c r="AI195" i="12"/>
  <c r="S32" i="13"/>
  <c r="I32" i="13"/>
  <c r="U4" i="13"/>
  <c r="I15" i="13"/>
  <c r="I4" i="13"/>
  <c r="G15" i="13"/>
  <c r="S15" i="13"/>
  <c r="Q15" i="13"/>
  <c r="K4" i="13"/>
  <c r="K15" i="13"/>
  <c r="Q32" i="13"/>
  <c r="U32" i="13"/>
  <c r="C56" i="13" a="1"/>
  <c r="C56" i="13" s="1"/>
  <c r="BD195" i="12"/>
  <c r="S4" i="13"/>
  <c r="C52" i="13" a="1"/>
  <c r="C52" i="13" s="1"/>
  <c r="C57" i="13" a="1"/>
  <c r="C57" i="13" s="1"/>
  <c r="G32" i="13"/>
  <c r="U15" i="13"/>
  <c r="M15" i="13"/>
  <c r="BB195" i="12"/>
  <c r="G4" i="13"/>
  <c r="Q4" i="13"/>
  <c r="M4" i="13"/>
  <c r="K32" i="13"/>
  <c r="AT195" i="12"/>
  <c r="AP195" i="12"/>
  <c r="K2" i="15" a="1"/>
  <c r="K11" i="15" s="1"/>
  <c r="O25" i="15" s="1"/>
  <c r="L2" i="15" a="1"/>
  <c r="L9" i="15" s="1"/>
  <c r="D53" i="13" a="1"/>
  <c r="D53" i="13" s="1"/>
  <c r="I2" i="15" a="1"/>
  <c r="I7" i="15" s="1"/>
  <c r="J2" i="15" a="1"/>
  <c r="J6" i="15" s="1"/>
  <c r="O2" i="15" a="1"/>
  <c r="O11" i="15" s="1"/>
  <c r="M2" i="15" a="1"/>
  <c r="M10" i="15" s="1"/>
  <c r="R24" i="15" s="1"/>
  <c r="S24" i="15" s="1"/>
  <c r="N2" i="15" a="1"/>
  <c r="N8" i="15" s="1"/>
  <c r="T22" i="15" s="1"/>
  <c r="AW195" i="12"/>
  <c r="AO195" i="12"/>
  <c r="F27" i="13" a="1"/>
  <c r="F27" i="13" s="1"/>
  <c r="AQ195" i="12"/>
  <c r="D10" i="13" a="1"/>
  <c r="D10" i="13" s="1"/>
  <c r="D54" i="13" a="1"/>
  <c r="D54" i="13" s="1"/>
  <c r="D57" i="13" a="1"/>
  <c r="D57" i="13" s="1"/>
  <c r="D55" i="13" a="1"/>
  <c r="D55" i="13" s="1"/>
  <c r="D58" i="13" a="1"/>
  <c r="D58" i="13" s="1"/>
  <c r="D27" i="13" a="1"/>
  <c r="D27" i="13" s="1"/>
  <c r="D33" i="13" a="1"/>
  <c r="D33" i="13" s="1"/>
  <c r="AU195" i="12"/>
  <c r="D8" i="13" a="1"/>
  <c r="D8" i="13" s="1"/>
  <c r="AY195" i="12"/>
  <c r="T27" i="13" a="1"/>
  <c r="T27" i="13" s="1"/>
  <c r="AM195" i="12"/>
  <c r="D9" i="13" a="1"/>
  <c r="D9" i="13" s="1"/>
  <c r="D12" i="13" a="1"/>
  <c r="D12" i="13" s="1"/>
  <c r="BA195" i="12"/>
  <c r="N27" i="13" a="1"/>
  <c r="N27" i="13" s="1"/>
  <c r="D52" i="13" a="1"/>
  <c r="D52" i="13" s="1"/>
  <c r="V27" i="13" a="1"/>
  <c r="V27" i="13" s="1"/>
  <c r="D5" i="13" a="1"/>
  <c r="D5" i="13" s="1"/>
  <c r="BE195" i="12"/>
  <c r="BC195" i="12"/>
  <c r="D7" i="13" a="1"/>
  <c r="D7" i="13" s="1"/>
  <c r="D16" i="13" a="1"/>
  <c r="D16" i="13" s="1"/>
  <c r="D13" i="13" a="1"/>
  <c r="D13" i="13" s="1"/>
  <c r="P27" i="13" a="1"/>
  <c r="P27" i="13" s="1"/>
  <c r="AS195" i="12"/>
  <c r="J27" i="13" a="1"/>
  <c r="J27" i="13" s="1"/>
  <c r="R27" i="13" a="1"/>
  <c r="R27" i="13" s="1"/>
  <c r="D56" i="13" a="1"/>
  <c r="D56" i="13" s="1"/>
  <c r="L27" i="13" a="1"/>
  <c r="L27" i="13" s="1"/>
  <c r="H27" i="13" a="1"/>
  <c r="H27" i="13" s="1"/>
  <c r="D11" i="13" a="1"/>
  <c r="D11" i="13" s="1"/>
  <c r="D6" i="13" a="1"/>
  <c r="D6" i="13" s="1"/>
  <c r="J98" i="13" l="1"/>
  <c r="J135" i="13"/>
  <c r="T98" i="13"/>
  <c r="T135" i="13"/>
  <c r="V135" i="13"/>
  <c r="V98" i="13"/>
  <c r="K21" i="15"/>
  <c r="V25" i="15"/>
  <c r="U25" i="15" s="1"/>
  <c r="N20" i="15"/>
  <c r="M20" i="15" s="1"/>
  <c r="P23" i="15"/>
  <c r="Q23" i="15" s="1"/>
  <c r="S39" i="15"/>
  <c r="R39" i="15"/>
  <c r="T37" i="15"/>
  <c r="M65" i="15"/>
  <c r="M66" i="15" s="1"/>
  <c r="L118" i="15"/>
  <c r="L119" i="15" s="1"/>
  <c r="O40" i="15"/>
  <c r="L45" i="13"/>
  <c r="L102" i="13" s="1"/>
  <c r="M75" i="13"/>
  <c r="N75" i="13" s="1"/>
  <c r="M72" i="13"/>
  <c r="N72" i="13" s="1"/>
  <c r="U72" i="13"/>
  <c r="V72" i="13" s="1"/>
  <c r="U75" i="13"/>
  <c r="V75" i="13" s="1"/>
  <c r="E76" i="13"/>
  <c r="F76" i="13" s="1"/>
  <c r="E72" i="13"/>
  <c r="F72" i="13" s="1"/>
  <c r="E75" i="13"/>
  <c r="F75" i="13" s="1"/>
  <c r="I75" i="13"/>
  <c r="J75" i="13" s="1"/>
  <c r="I72" i="13"/>
  <c r="J72" i="13" s="1"/>
  <c r="G75" i="13"/>
  <c r="H75" i="13" s="1"/>
  <c r="G72" i="13"/>
  <c r="H72" i="13" s="1"/>
  <c r="O72" i="13"/>
  <c r="P72" i="13" s="1"/>
  <c r="O75" i="13"/>
  <c r="P75" i="13" s="1"/>
  <c r="Q75" i="13"/>
  <c r="R75" i="13" s="1"/>
  <c r="Q72" i="13"/>
  <c r="R72" i="13" s="1"/>
  <c r="S75" i="13"/>
  <c r="T75" i="13" s="1"/>
  <c r="S72" i="13"/>
  <c r="T72" i="13" s="1"/>
  <c r="K72" i="13"/>
  <c r="L72" i="13" s="1"/>
  <c r="K75" i="13"/>
  <c r="L75" i="13" s="1"/>
  <c r="C72" i="13"/>
  <c r="D72" i="13" s="1"/>
  <c r="D75" i="13"/>
  <c r="R50" i="13"/>
  <c r="R139" i="13" s="1"/>
  <c r="F50" i="13"/>
  <c r="F139" i="13" s="1"/>
  <c r="L50" i="13"/>
  <c r="L139" i="13" s="1"/>
  <c r="J50" i="13"/>
  <c r="J139" i="13" s="1"/>
  <c r="R45" i="13"/>
  <c r="R102" i="13" s="1"/>
  <c r="P45" i="13"/>
  <c r="P102" i="13" s="1"/>
  <c r="J45" i="13"/>
  <c r="J102" i="13" s="1"/>
  <c r="P50" i="13"/>
  <c r="P139" i="13" s="1"/>
  <c r="T50" i="13"/>
  <c r="T139" i="13" s="1"/>
  <c r="N45" i="13"/>
  <c r="N102" i="13" s="1"/>
  <c r="V45" i="13"/>
  <c r="V102" i="13" s="1"/>
  <c r="N50" i="13"/>
  <c r="N139" i="13" s="1"/>
  <c r="T45" i="13"/>
  <c r="T102" i="13" s="1"/>
  <c r="H50" i="13"/>
  <c r="H139" i="13" s="1"/>
  <c r="V50" i="13"/>
  <c r="V139" i="13" s="1"/>
  <c r="H45" i="13"/>
  <c r="H102" i="13" s="1"/>
  <c r="D50" i="13"/>
  <c r="D139" i="13" s="1"/>
  <c r="F31" i="13"/>
  <c r="D45" i="13"/>
  <c r="D102" i="13" s="1"/>
  <c r="R31" i="13"/>
  <c r="J31" i="13"/>
  <c r="T31" i="13"/>
  <c r="V31" i="13"/>
  <c r="L31" i="13"/>
  <c r="D31" i="13"/>
  <c r="H31" i="13"/>
  <c r="D25" i="13"/>
  <c r="N31" i="13"/>
  <c r="P31" i="13"/>
  <c r="F45" i="13"/>
  <c r="B142" i="13"/>
  <c r="B105" i="13"/>
  <c r="E86" i="13"/>
  <c r="F86" i="13" s="1"/>
  <c r="E80" i="13"/>
  <c r="F80" i="13" s="1"/>
  <c r="E74" i="13"/>
  <c r="F74" i="13" s="1"/>
  <c r="E85" i="13"/>
  <c r="F85" i="13" s="1"/>
  <c r="E73" i="13"/>
  <c r="F73" i="13" s="1"/>
  <c r="E82" i="13"/>
  <c r="F82" i="13" s="1"/>
  <c r="K82" i="20"/>
  <c r="E87" i="13"/>
  <c r="F87" i="13" s="1"/>
  <c r="E81" i="13"/>
  <c r="F81" i="13" s="1"/>
  <c r="E77" i="13"/>
  <c r="F77" i="13" s="1"/>
  <c r="E63" i="13"/>
  <c r="F63" i="13" s="1"/>
  <c r="E61" i="13"/>
  <c r="F61" i="13" s="1"/>
  <c r="E60" i="13"/>
  <c r="F60" i="13" s="1"/>
  <c r="E66" i="13"/>
  <c r="F66" i="13" s="1"/>
  <c r="E62" i="13"/>
  <c r="F62" i="13" s="1"/>
  <c r="E64" i="13"/>
  <c r="F64" i="13" s="1"/>
  <c r="E65" i="13"/>
  <c r="F65" i="13" s="1"/>
  <c r="F39" i="13"/>
  <c r="P14" i="13"/>
  <c r="C30" i="15"/>
  <c r="B96" i="13" s="1"/>
  <c r="L39" i="13"/>
  <c r="B107" i="13"/>
  <c r="N39" i="13"/>
  <c r="O60" i="13"/>
  <c r="P60" i="13" s="1"/>
  <c r="O64" i="13"/>
  <c r="P64" i="13" s="1"/>
  <c r="O63" i="13"/>
  <c r="P63" i="13" s="1"/>
  <c r="O61" i="13"/>
  <c r="P61" i="13" s="1"/>
  <c r="O65" i="13"/>
  <c r="P65" i="13" s="1"/>
  <c r="O62" i="13"/>
  <c r="P62" i="13" s="1"/>
  <c r="O66" i="13"/>
  <c r="P66" i="13" s="1"/>
  <c r="J25" i="13"/>
  <c r="T14" i="13"/>
  <c r="T39" i="13"/>
  <c r="L14" i="13"/>
  <c r="P39" i="13"/>
  <c r="P25" i="13"/>
  <c r="K63" i="13"/>
  <c r="L63" i="13" s="1"/>
  <c r="K61" i="13"/>
  <c r="L61" i="13" s="1"/>
  <c r="K65" i="13"/>
  <c r="L65" i="13" s="1"/>
  <c r="K60" i="13"/>
  <c r="L60" i="13" s="1"/>
  <c r="K64" i="13"/>
  <c r="L64" i="13" s="1"/>
  <c r="K62" i="13"/>
  <c r="L62" i="13" s="1"/>
  <c r="K66" i="13"/>
  <c r="L66" i="13" s="1"/>
  <c r="Q61" i="13"/>
  <c r="R61" i="13" s="1"/>
  <c r="Q65" i="13"/>
  <c r="R65" i="13" s="1"/>
  <c r="Q63" i="13"/>
  <c r="R63" i="13" s="1"/>
  <c r="Q62" i="13"/>
  <c r="R62" i="13" s="1"/>
  <c r="Q60" i="13"/>
  <c r="R60" i="13" s="1"/>
  <c r="Q64" i="13"/>
  <c r="R64" i="13" s="1"/>
  <c r="Q66" i="13"/>
  <c r="R66" i="13" s="1"/>
  <c r="R25" i="13"/>
  <c r="R14" i="13"/>
  <c r="F14" i="13"/>
  <c r="N25" i="13"/>
  <c r="N14" i="13"/>
  <c r="F25" i="13"/>
  <c r="T25" i="13"/>
  <c r="L25" i="13"/>
  <c r="V25" i="13"/>
  <c r="V39" i="13"/>
  <c r="M61" i="13"/>
  <c r="N61" i="13" s="1"/>
  <c r="M65" i="13"/>
  <c r="N65" i="13" s="1"/>
  <c r="M60" i="13"/>
  <c r="N60" i="13" s="1"/>
  <c r="M64" i="13"/>
  <c r="N64" i="13" s="1"/>
  <c r="M62" i="13"/>
  <c r="N62" i="13" s="1"/>
  <c r="M66" i="13"/>
  <c r="N66" i="13" s="1"/>
  <c r="M63" i="13"/>
  <c r="N63" i="13" s="1"/>
  <c r="R39" i="13"/>
  <c r="V14" i="13"/>
  <c r="J39" i="13"/>
  <c r="J14" i="13"/>
  <c r="C80" i="13"/>
  <c r="K82" i="13"/>
  <c r="L82" i="13" s="1"/>
  <c r="K85" i="13"/>
  <c r="L85" i="13" s="1"/>
  <c r="K73" i="13"/>
  <c r="L73" i="13" s="1"/>
  <c r="K87" i="13"/>
  <c r="L87" i="13" s="1"/>
  <c r="K77" i="13"/>
  <c r="L77" i="13" s="1"/>
  <c r="K81" i="13"/>
  <c r="K86" i="13"/>
  <c r="K76" i="13"/>
  <c r="L76" i="13" s="1"/>
  <c r="K80" i="13"/>
  <c r="L80" i="13" s="1"/>
  <c r="K74" i="13"/>
  <c r="L74" i="13" s="1"/>
  <c r="O86" i="13"/>
  <c r="P86" i="13" s="1"/>
  <c r="O82" i="13"/>
  <c r="P82" i="13" s="1"/>
  <c r="O87" i="13"/>
  <c r="P87" i="13" s="1"/>
  <c r="O77" i="13"/>
  <c r="P77" i="13" s="1"/>
  <c r="O81" i="13"/>
  <c r="P81" i="13" s="1"/>
  <c r="O74" i="13"/>
  <c r="P74" i="13" s="1"/>
  <c r="O76" i="13"/>
  <c r="P76" i="13" s="1"/>
  <c r="O80" i="13"/>
  <c r="O85" i="13"/>
  <c r="O73" i="13"/>
  <c r="P73" i="13" s="1"/>
  <c r="Q80" i="13"/>
  <c r="Q74" i="13"/>
  <c r="R74" i="13" s="1"/>
  <c r="Q87" i="13"/>
  <c r="R87" i="13" s="1"/>
  <c r="Q77" i="13"/>
  <c r="R77" i="13" s="1"/>
  <c r="Q81" i="13"/>
  <c r="R81" i="13" s="1"/>
  <c r="Q86" i="13"/>
  <c r="R86" i="13" s="1"/>
  <c r="Q76" i="13"/>
  <c r="R76" i="13" s="1"/>
  <c r="Q85" i="13"/>
  <c r="Q73" i="13"/>
  <c r="R73" i="13" s="1"/>
  <c r="Q82" i="13"/>
  <c r="R82" i="13" s="1"/>
  <c r="U73" i="13"/>
  <c r="V73" i="13" s="1"/>
  <c r="U86" i="13"/>
  <c r="V86" i="13" s="1"/>
  <c r="U74" i="13"/>
  <c r="V74" i="13" s="1"/>
  <c r="U76" i="13"/>
  <c r="V76" i="13" s="1"/>
  <c r="U80" i="13"/>
  <c r="U85" i="13"/>
  <c r="U82" i="13"/>
  <c r="V82" i="13" s="1"/>
  <c r="U87" i="13"/>
  <c r="V87" i="13" s="1"/>
  <c r="U77" i="13"/>
  <c r="V77" i="13" s="1"/>
  <c r="U81" i="13"/>
  <c r="V81" i="13" s="1"/>
  <c r="M77" i="13"/>
  <c r="N77" i="13" s="1"/>
  <c r="M73" i="13"/>
  <c r="N73" i="13" s="1"/>
  <c r="M82" i="13"/>
  <c r="N82" i="13" s="1"/>
  <c r="M87" i="13"/>
  <c r="N87" i="13" s="1"/>
  <c r="M81" i="13"/>
  <c r="N81" i="13" s="1"/>
  <c r="M86" i="13"/>
  <c r="N86" i="13" s="1"/>
  <c r="M74" i="13"/>
  <c r="N74" i="13" s="1"/>
  <c r="M76" i="13"/>
  <c r="N76" i="13" s="1"/>
  <c r="M80" i="13"/>
  <c r="M85" i="13"/>
  <c r="I80" i="13"/>
  <c r="I74" i="13"/>
  <c r="J74" i="13" s="1"/>
  <c r="I85" i="13"/>
  <c r="I73" i="13"/>
  <c r="J73" i="13" s="1"/>
  <c r="I82" i="13"/>
  <c r="J82" i="13" s="1"/>
  <c r="I87" i="13"/>
  <c r="J87" i="13" s="1"/>
  <c r="I77" i="13"/>
  <c r="J77" i="13" s="1"/>
  <c r="I81" i="13"/>
  <c r="J81" i="13" s="1"/>
  <c r="I86" i="13"/>
  <c r="J86" i="13" s="1"/>
  <c r="I76" i="13"/>
  <c r="J76" i="13" s="1"/>
  <c r="S85" i="13"/>
  <c r="T85" i="13" s="1"/>
  <c r="S81" i="13"/>
  <c r="S86" i="13"/>
  <c r="S76" i="13"/>
  <c r="T76" i="13" s="1"/>
  <c r="S80" i="13"/>
  <c r="T80" i="13" s="1"/>
  <c r="S74" i="13"/>
  <c r="T74" i="13" s="1"/>
  <c r="S73" i="13"/>
  <c r="T73" i="13" s="1"/>
  <c r="S82" i="13"/>
  <c r="T82" i="13" s="1"/>
  <c r="S87" i="13"/>
  <c r="T87" i="13" s="1"/>
  <c r="S77" i="13"/>
  <c r="T77" i="13" s="1"/>
  <c r="H25" i="13"/>
  <c r="G60" i="13"/>
  <c r="H60" i="13" s="1"/>
  <c r="G65" i="13"/>
  <c r="H65" i="13" s="1"/>
  <c r="G66" i="13"/>
  <c r="H66" i="13" s="1"/>
  <c r="G62" i="13"/>
  <c r="H62" i="13" s="1"/>
  <c r="G64" i="13"/>
  <c r="H64" i="13" s="1"/>
  <c r="G61" i="13"/>
  <c r="H61" i="13" s="1"/>
  <c r="G63" i="13"/>
  <c r="H63" i="13" s="1"/>
  <c r="G82" i="13"/>
  <c r="H82" i="13" s="1"/>
  <c r="G76" i="13"/>
  <c r="H76" i="13" s="1"/>
  <c r="G77" i="13"/>
  <c r="H77" i="13" s="1"/>
  <c r="G81" i="13"/>
  <c r="H81" i="13" s="1"/>
  <c r="G85" i="13"/>
  <c r="G74" i="13"/>
  <c r="H74" i="13" s="1"/>
  <c r="G87" i="13"/>
  <c r="H87" i="13" s="1"/>
  <c r="G73" i="13"/>
  <c r="H73" i="13" s="1"/>
  <c r="G80" i="13"/>
  <c r="G86" i="13"/>
  <c r="H86" i="13" s="1"/>
  <c r="H39" i="13"/>
  <c r="H14" i="13"/>
  <c r="C85" i="13"/>
  <c r="D85" i="13" s="1"/>
  <c r="C87" i="13"/>
  <c r="D87" i="13" s="1"/>
  <c r="C81" i="13"/>
  <c r="D81" i="13" s="1"/>
  <c r="C86" i="13"/>
  <c r="D86" i="13" s="1"/>
  <c r="C82" i="13"/>
  <c r="D82" i="13" s="1"/>
  <c r="C77" i="13"/>
  <c r="D77" i="13" s="1"/>
  <c r="C73" i="13"/>
  <c r="D73" i="13" s="1"/>
  <c r="C74" i="13"/>
  <c r="D74" i="13" s="1"/>
  <c r="C76" i="13"/>
  <c r="D76" i="13" s="1"/>
  <c r="C66" i="13"/>
  <c r="D66" i="13" s="1"/>
  <c r="C60" i="13"/>
  <c r="D60" i="13" s="1"/>
  <c r="C62" i="13"/>
  <c r="D62" i="13" s="1"/>
  <c r="C64" i="13"/>
  <c r="D64" i="13" s="1"/>
  <c r="C65" i="13"/>
  <c r="D65" i="13" s="1"/>
  <c r="C63" i="13"/>
  <c r="D63" i="13" s="1"/>
  <c r="B15" i="13"/>
  <c r="N8" i="12" s="1"/>
  <c r="B32" i="13"/>
  <c r="R8" i="12" s="1"/>
  <c r="B4" i="13"/>
  <c r="N7" i="12" s="1"/>
  <c r="K8" i="15"/>
  <c r="O22" i="15" s="1"/>
  <c r="K6" i="15"/>
  <c r="O20" i="15" s="1"/>
  <c r="K2" i="15"/>
  <c r="O16" i="15" s="1"/>
  <c r="K9" i="15"/>
  <c r="O23" i="15" s="1"/>
  <c r="K10" i="15"/>
  <c r="O24" i="15" s="1"/>
  <c r="K5" i="15"/>
  <c r="O19" i="15" s="1"/>
  <c r="K3" i="15"/>
  <c r="O17" i="15" s="1"/>
  <c r="K7" i="15"/>
  <c r="O21" i="15" s="1"/>
  <c r="K4" i="15"/>
  <c r="O18" i="15" s="1"/>
  <c r="K114" i="15"/>
  <c r="K115" i="15" s="1"/>
  <c r="L6" i="15"/>
  <c r="P20" i="15" s="1"/>
  <c r="Q20" i="15" s="1"/>
  <c r="L8" i="15"/>
  <c r="P22" i="15" s="1"/>
  <c r="Q22" i="15" s="1"/>
  <c r="L10" i="15"/>
  <c r="P24" i="15" s="1"/>
  <c r="Q24" i="15" s="1"/>
  <c r="L5" i="15"/>
  <c r="L2" i="15"/>
  <c r="L3" i="15"/>
  <c r="P17" i="15" s="1"/>
  <c r="Q17" i="15" s="1"/>
  <c r="L4" i="15"/>
  <c r="P18" i="15" s="1"/>
  <c r="Q18" i="15" s="1"/>
  <c r="L11" i="15"/>
  <c r="P25" i="15" s="1"/>
  <c r="Q25" i="15" s="1"/>
  <c r="L7" i="15"/>
  <c r="P21" i="15" s="1"/>
  <c r="Q21" i="15" s="1"/>
  <c r="I9" i="15"/>
  <c r="K23" i="15" s="1"/>
  <c r="I8" i="15"/>
  <c r="K22" i="15" s="1"/>
  <c r="I6" i="15"/>
  <c r="I10" i="15"/>
  <c r="I3" i="15"/>
  <c r="K17" i="15" s="1"/>
  <c r="I5" i="15"/>
  <c r="K19" i="15" s="1"/>
  <c r="I2" i="15"/>
  <c r="I4" i="15"/>
  <c r="K18" i="15" s="1"/>
  <c r="I11" i="15"/>
  <c r="K25" i="15" s="1"/>
  <c r="J7" i="15"/>
  <c r="J9" i="15"/>
  <c r="J3" i="15"/>
  <c r="J11" i="15"/>
  <c r="J10" i="15"/>
  <c r="J4" i="15"/>
  <c r="N18" i="15" s="1"/>
  <c r="M18" i="15" s="1"/>
  <c r="J2" i="15"/>
  <c r="J5" i="15"/>
  <c r="J8" i="15"/>
  <c r="N22" i="15" s="1"/>
  <c r="M22" i="15" s="1"/>
  <c r="O4" i="15"/>
  <c r="V18" i="15" s="1"/>
  <c r="U18" i="15" s="1"/>
  <c r="N118" i="15"/>
  <c r="N119" i="15" s="1"/>
  <c r="M92" i="15"/>
  <c r="M93" i="15" s="1"/>
  <c r="O9" i="15"/>
  <c r="O5" i="15"/>
  <c r="O8" i="15"/>
  <c r="V22" i="15" s="1"/>
  <c r="U22" i="15" s="1"/>
  <c r="O10" i="15"/>
  <c r="O6" i="15"/>
  <c r="O7" i="15"/>
  <c r="O3" i="15"/>
  <c r="O2" i="15"/>
  <c r="V16" i="15" s="1"/>
  <c r="U16" i="15" s="1"/>
  <c r="L63" i="15"/>
  <c r="L64" i="15" s="1"/>
  <c r="N6" i="15"/>
  <c r="T20" i="15" s="1"/>
  <c r="M4" i="15"/>
  <c r="R18" i="15" s="1"/>
  <c r="S18" i="15" s="1"/>
  <c r="N9" i="15"/>
  <c r="T23" i="15" s="1"/>
  <c r="M2" i="15"/>
  <c r="M5" i="15"/>
  <c r="R19" i="15" s="1"/>
  <c r="S19" i="15" s="1"/>
  <c r="M116" i="15"/>
  <c r="M117" i="15" s="1"/>
  <c r="M6" i="15"/>
  <c r="R20" i="15" s="1"/>
  <c r="S20" i="15" s="1"/>
  <c r="M11" i="15"/>
  <c r="M7" i="15"/>
  <c r="M3" i="15"/>
  <c r="L90" i="15"/>
  <c r="L91" i="15" s="1"/>
  <c r="M9" i="15"/>
  <c r="R23" i="15" s="1"/>
  <c r="S23" i="15" s="1"/>
  <c r="M8" i="15"/>
  <c r="R22" i="15" s="1"/>
  <c r="S22" i="15" s="1"/>
  <c r="N7" i="15"/>
  <c r="T21" i="15" s="1"/>
  <c r="N11" i="15"/>
  <c r="T25" i="15" s="1"/>
  <c r="N10" i="15"/>
  <c r="T24" i="15" s="1"/>
  <c r="N5" i="15"/>
  <c r="T19" i="15" s="1"/>
  <c r="N3" i="15"/>
  <c r="T17" i="15" s="1"/>
  <c r="N2" i="15"/>
  <c r="T16" i="15" s="1"/>
  <c r="N4" i="15"/>
  <c r="T18" i="15" s="1"/>
  <c r="D39" i="13"/>
  <c r="D14" i="13"/>
  <c r="R98" i="13" l="1"/>
  <c r="D135" i="13"/>
  <c r="D98" i="13"/>
  <c r="F135" i="13"/>
  <c r="N135" i="13"/>
  <c r="L135" i="13"/>
  <c r="P135" i="13"/>
  <c r="F98" i="13"/>
  <c r="N98" i="13"/>
  <c r="H98" i="13"/>
  <c r="R135" i="13"/>
  <c r="L98" i="13"/>
  <c r="P98" i="13"/>
  <c r="H135" i="13"/>
  <c r="L21" i="15"/>
  <c r="L19" i="15"/>
  <c r="L23" i="15"/>
  <c r="R25" i="15"/>
  <c r="S25" i="15" s="1"/>
  <c r="V23" i="15"/>
  <c r="U23" i="15" s="1"/>
  <c r="N24" i="15"/>
  <c r="M24" i="15" s="1"/>
  <c r="R21" i="15"/>
  <c r="S21" i="15" s="1"/>
  <c r="V19" i="15"/>
  <c r="U19" i="15" s="1"/>
  <c r="K36" i="15"/>
  <c r="K16" i="15"/>
  <c r="R17" i="15"/>
  <c r="S17" i="15" s="1"/>
  <c r="S32" i="15" s="1"/>
  <c r="L18" i="15"/>
  <c r="J18" i="15" s="1"/>
  <c r="V24" i="15"/>
  <c r="U24" i="15" s="1"/>
  <c r="N19" i="15"/>
  <c r="M19" i="15" s="1"/>
  <c r="L25" i="15"/>
  <c r="N25" i="15"/>
  <c r="M25" i="15" s="1"/>
  <c r="N21" i="15"/>
  <c r="M21" i="15" s="1"/>
  <c r="L22" i="15"/>
  <c r="J22" i="15" s="1"/>
  <c r="V20" i="15"/>
  <c r="U20" i="15" s="1"/>
  <c r="V21" i="15"/>
  <c r="U21" i="15" s="1"/>
  <c r="N23" i="15"/>
  <c r="M23" i="15" s="1"/>
  <c r="K20" i="15"/>
  <c r="P19" i="15"/>
  <c r="Q19" i="15" s="1"/>
  <c r="Q34" i="15" s="1"/>
  <c r="L17" i="15"/>
  <c r="V17" i="15"/>
  <c r="U17" i="15" s="1"/>
  <c r="N17" i="15"/>
  <c r="M17" i="15" s="1"/>
  <c r="K24" i="15"/>
  <c r="M35" i="15"/>
  <c r="N35" i="15"/>
  <c r="Q32" i="15"/>
  <c r="P32" i="15"/>
  <c r="Q40" i="15"/>
  <c r="P40" i="15"/>
  <c r="S38" i="15"/>
  <c r="R38" i="15"/>
  <c r="Q39" i="15"/>
  <c r="P39" i="15"/>
  <c r="Q38" i="15"/>
  <c r="P38" i="15"/>
  <c r="S34" i="15"/>
  <c r="R34" i="15"/>
  <c r="S33" i="15"/>
  <c r="R33" i="15"/>
  <c r="Q36" i="15"/>
  <c r="P36" i="15"/>
  <c r="Q35" i="15"/>
  <c r="P35" i="15"/>
  <c r="U40" i="15"/>
  <c r="V40" i="15"/>
  <c r="S37" i="15"/>
  <c r="R37" i="15"/>
  <c r="T40" i="15"/>
  <c r="T34" i="15"/>
  <c r="M90" i="15"/>
  <c r="M91" i="15" s="1"/>
  <c r="O34" i="15"/>
  <c r="N16" i="15"/>
  <c r="M16" i="15" s="1"/>
  <c r="M31" i="15" s="1"/>
  <c r="O38" i="15"/>
  <c r="T39" i="15"/>
  <c r="T35" i="15"/>
  <c r="L116" i="15"/>
  <c r="L117" i="15" s="1"/>
  <c r="O39" i="15"/>
  <c r="T32" i="15"/>
  <c r="T38" i="15"/>
  <c r="M82" i="15"/>
  <c r="M83" i="15" s="1"/>
  <c r="P16" i="15"/>
  <c r="Q16" i="15" s="1"/>
  <c r="Q31" i="15" s="1"/>
  <c r="L102" i="15"/>
  <c r="L103" i="15" s="1"/>
  <c r="O32" i="15"/>
  <c r="T36" i="15"/>
  <c r="N112" i="15"/>
  <c r="N113" i="15" s="1"/>
  <c r="T33" i="15"/>
  <c r="R16" i="15"/>
  <c r="S16" i="15" s="1"/>
  <c r="S31" i="15" s="1"/>
  <c r="M84" i="15"/>
  <c r="M85" i="15" s="1"/>
  <c r="O36" i="15"/>
  <c r="L112" i="15"/>
  <c r="L113" i="15" s="1"/>
  <c r="O37" i="15"/>
  <c r="K33" i="15"/>
  <c r="K37" i="15"/>
  <c r="N102" i="15"/>
  <c r="N103" i="15" s="1"/>
  <c r="L104" i="15"/>
  <c r="L105" i="15" s="1"/>
  <c r="O33" i="15"/>
  <c r="O35" i="15"/>
  <c r="K34" i="15"/>
  <c r="V31" i="15"/>
  <c r="T31" i="15"/>
  <c r="K108" i="15"/>
  <c r="K109" i="15" s="1"/>
  <c r="K104" i="15"/>
  <c r="K105" i="15" s="1"/>
  <c r="M118" i="15"/>
  <c r="M119" i="15" s="1"/>
  <c r="K65" i="15"/>
  <c r="K66" i="15" s="1"/>
  <c r="R194" i="13"/>
  <c r="B139" i="13"/>
  <c r="P194" i="13"/>
  <c r="N194" i="13"/>
  <c r="B45" i="13"/>
  <c r="F102" i="13"/>
  <c r="B102" i="13" s="1"/>
  <c r="J194" i="13"/>
  <c r="H194" i="13"/>
  <c r="B26" i="13"/>
  <c r="V194" i="13"/>
  <c r="L194" i="13"/>
  <c r="D194" i="13"/>
  <c r="B196" i="13" s="1"/>
  <c r="EE1" i="12" s="1"/>
  <c r="T194" i="13"/>
  <c r="F194" i="13"/>
  <c r="B31" i="13"/>
  <c r="B133" i="13"/>
  <c r="F88" i="13"/>
  <c r="E88" i="13"/>
  <c r="E83" i="13"/>
  <c r="F83" i="13"/>
  <c r="H8" i="15"/>
  <c r="O68" i="13" s="1"/>
  <c r="H6" i="15"/>
  <c r="K68" i="13" s="1"/>
  <c r="H10" i="15"/>
  <c r="S68" i="13" s="1"/>
  <c r="H7" i="15"/>
  <c r="M68" i="13" s="1"/>
  <c r="H11" i="15"/>
  <c r="U68" i="13" s="1"/>
  <c r="H3" i="15"/>
  <c r="E68" i="13" s="1"/>
  <c r="H5" i="15"/>
  <c r="I68" i="13" s="1"/>
  <c r="H2" i="15"/>
  <c r="C68" i="13" s="1"/>
  <c r="H4" i="15"/>
  <c r="G68" i="13" s="1"/>
  <c r="H9" i="15"/>
  <c r="Q68" i="13" s="1"/>
  <c r="S88" i="13"/>
  <c r="T86" i="13"/>
  <c r="T88" i="13" s="1"/>
  <c r="R85" i="13"/>
  <c r="R88" i="13" s="1"/>
  <c r="Q88" i="13"/>
  <c r="J85" i="13"/>
  <c r="J88" i="13" s="1"/>
  <c r="I88" i="13"/>
  <c r="U83" i="13"/>
  <c r="V80" i="13"/>
  <c r="V83" i="13" s="1"/>
  <c r="M88" i="13"/>
  <c r="N85" i="13"/>
  <c r="N88" i="13" s="1"/>
  <c r="O83" i="13"/>
  <c r="P80" i="13"/>
  <c r="P83" i="13" s="1"/>
  <c r="S83" i="13"/>
  <c r="T81" i="13"/>
  <c r="T83" i="13" s="1"/>
  <c r="K88" i="13"/>
  <c r="L86" i="13"/>
  <c r="L88" i="13" s="1"/>
  <c r="J80" i="13"/>
  <c r="J83" i="13" s="1"/>
  <c r="I83" i="13"/>
  <c r="M83" i="13"/>
  <c r="N80" i="13"/>
  <c r="N83" i="13" s="1"/>
  <c r="O88" i="13"/>
  <c r="P85" i="13"/>
  <c r="P88" i="13" s="1"/>
  <c r="K83" i="13"/>
  <c r="L81" i="13"/>
  <c r="L83" i="13" s="1"/>
  <c r="R80" i="13"/>
  <c r="R83" i="13" s="1"/>
  <c r="Q83" i="13"/>
  <c r="U88" i="13"/>
  <c r="V85" i="13"/>
  <c r="V88" i="13" s="1"/>
  <c r="H85" i="13"/>
  <c r="H88" i="13" s="1"/>
  <c r="G88" i="13"/>
  <c r="H80" i="13"/>
  <c r="H83" i="13" s="1"/>
  <c r="G83" i="13"/>
  <c r="L100" i="15"/>
  <c r="L101" i="15" s="1"/>
  <c r="D80" i="13"/>
  <c r="D83" i="13" s="1"/>
  <c r="C83" i="13"/>
  <c r="D88" i="13"/>
  <c r="C88" i="13"/>
  <c r="K88" i="15"/>
  <c r="K89" i="15" s="1"/>
  <c r="L110" i="15"/>
  <c r="L111" i="15" s="1"/>
  <c r="K116" i="15"/>
  <c r="K117" i="15" s="1"/>
  <c r="L114" i="15"/>
  <c r="L115" i="15" s="1"/>
  <c r="K61" i="15"/>
  <c r="K62" i="15" s="1"/>
  <c r="K90" i="15"/>
  <c r="K63" i="15"/>
  <c r="K64" i="15" s="1"/>
  <c r="K12" i="15"/>
  <c r="L108" i="15"/>
  <c r="L109" i="15" s="1"/>
  <c r="K47" i="15"/>
  <c r="K48" i="15" s="1"/>
  <c r="L106" i="15"/>
  <c r="L107" i="15" s="1"/>
  <c r="K57" i="15"/>
  <c r="K58" i="15" s="1"/>
  <c r="O31" i="15"/>
  <c r="K118" i="15"/>
  <c r="K119" i="15" s="1"/>
  <c r="K84" i="15"/>
  <c r="K85" i="15" s="1"/>
  <c r="K112" i="15"/>
  <c r="K113" i="15" s="1"/>
  <c r="K82" i="15"/>
  <c r="K83" i="15" s="1"/>
  <c r="K110" i="15"/>
  <c r="K111" i="15" s="1"/>
  <c r="K78" i="15"/>
  <c r="K79" i="15" s="1"/>
  <c r="K59" i="15"/>
  <c r="K60" i="15" s="1"/>
  <c r="K86" i="15"/>
  <c r="K87" i="15" s="1"/>
  <c r="K80" i="15"/>
  <c r="K81" i="15" s="1"/>
  <c r="K100" i="15"/>
  <c r="K101" i="15" s="1"/>
  <c r="K74" i="15"/>
  <c r="K75" i="15" s="1"/>
  <c r="K106" i="15"/>
  <c r="K107" i="15" s="1"/>
  <c r="K53" i="15"/>
  <c r="K54" i="15" s="1"/>
  <c r="K51" i="15"/>
  <c r="K52" i="15" s="1"/>
  <c r="K49" i="15"/>
  <c r="K50" i="15" s="1"/>
  <c r="K92" i="15"/>
  <c r="K93" i="15" s="1"/>
  <c r="L12" i="15"/>
  <c r="K76" i="15"/>
  <c r="K77" i="15" s="1"/>
  <c r="K55" i="15"/>
  <c r="K56" i="15" s="1"/>
  <c r="K102" i="15"/>
  <c r="K103" i="15" s="1"/>
  <c r="I12" i="15"/>
  <c r="J12" i="15"/>
  <c r="M47" i="15"/>
  <c r="M48" i="15" s="1"/>
  <c r="M57" i="15"/>
  <c r="M58" i="15" s="1"/>
  <c r="N110" i="15"/>
  <c r="N111" i="15" s="1"/>
  <c r="M49" i="15"/>
  <c r="M50" i="15" s="1"/>
  <c r="M78" i="15"/>
  <c r="M79" i="15" s="1"/>
  <c r="N106" i="15"/>
  <c r="N107" i="15" s="1"/>
  <c r="N104" i="15"/>
  <c r="N105" i="15" s="1"/>
  <c r="M51" i="15"/>
  <c r="M52" i="15" s="1"/>
  <c r="N116" i="15"/>
  <c r="N117" i="15" s="1"/>
  <c r="M76" i="15"/>
  <c r="M77" i="15" s="1"/>
  <c r="M80" i="15"/>
  <c r="M81" i="15" s="1"/>
  <c r="M63" i="15"/>
  <c r="M64" i="15" s="1"/>
  <c r="N108" i="15"/>
  <c r="N109" i="15" s="1"/>
  <c r="O12" i="15"/>
  <c r="N100" i="15"/>
  <c r="N101" i="15" s="1"/>
  <c r="N114" i="15"/>
  <c r="N115" i="15" s="1"/>
  <c r="M55" i="15"/>
  <c r="M56" i="15" s="1"/>
  <c r="M86" i="15"/>
  <c r="M87" i="15" s="1"/>
  <c r="M59" i="15"/>
  <c r="M60" i="15" s="1"/>
  <c r="M88" i="15"/>
  <c r="M89" i="15" s="1"/>
  <c r="M74" i="15"/>
  <c r="M75" i="15" s="1"/>
  <c r="M53" i="15"/>
  <c r="M54" i="15" s="1"/>
  <c r="M61" i="15"/>
  <c r="M62" i="15" s="1"/>
  <c r="M114" i="15"/>
  <c r="M115" i="15" s="1"/>
  <c r="L82" i="15"/>
  <c r="L83" i="15" s="1"/>
  <c r="L92" i="15"/>
  <c r="L93" i="15" s="1"/>
  <c r="L53" i="15"/>
  <c r="L54" i="15" s="1"/>
  <c r="L51" i="15"/>
  <c r="L52" i="15" s="1"/>
  <c r="L61" i="15"/>
  <c r="L62" i="15" s="1"/>
  <c r="L88" i="15"/>
  <c r="L89" i="15" s="1"/>
  <c r="M112" i="15"/>
  <c r="M113" i="15" s="1"/>
  <c r="L74" i="15"/>
  <c r="L75" i="15" s="1"/>
  <c r="L78" i="15"/>
  <c r="L79" i="15" s="1"/>
  <c r="L76" i="15"/>
  <c r="L77" i="15" s="1"/>
  <c r="M100" i="15"/>
  <c r="M101" i="15" s="1"/>
  <c r="M104" i="15"/>
  <c r="M105" i="15" s="1"/>
  <c r="M102" i="15"/>
  <c r="M103" i="15" s="1"/>
  <c r="L49" i="15"/>
  <c r="L50" i="15" s="1"/>
  <c r="L55" i="15"/>
  <c r="L56" i="15" s="1"/>
  <c r="L86" i="15"/>
  <c r="L87" i="15" s="1"/>
  <c r="M108" i="15"/>
  <c r="M109" i="15" s="1"/>
  <c r="L59" i="15"/>
  <c r="L60" i="15" s="1"/>
  <c r="L80" i="15"/>
  <c r="L81" i="15" s="1"/>
  <c r="M106" i="15"/>
  <c r="M107" i="15" s="1"/>
  <c r="L47" i="15"/>
  <c r="L48" i="15" s="1"/>
  <c r="L84" i="15"/>
  <c r="L85" i="15" s="1"/>
  <c r="M12" i="15"/>
  <c r="L65" i="15"/>
  <c r="L66" i="15" s="1"/>
  <c r="M110" i="15"/>
  <c r="M111" i="15" s="1"/>
  <c r="L57" i="15"/>
  <c r="L58" i="15" s="1"/>
  <c r="N12" i="15"/>
  <c r="B25" i="13"/>
  <c r="B39" i="13"/>
  <c r="B14" i="13"/>
  <c r="J23" i="15" l="1"/>
  <c r="J17" i="15"/>
  <c r="J19" i="15"/>
  <c r="F39" i="15"/>
  <c r="D39" i="15"/>
  <c r="D38" i="15"/>
  <c r="F38" i="15"/>
  <c r="J21" i="15"/>
  <c r="L20" i="15"/>
  <c r="J20" i="15" s="1"/>
  <c r="L36" i="15"/>
  <c r="J25" i="15"/>
  <c r="L16" i="15"/>
  <c r="J16" i="15" s="1"/>
  <c r="K35" i="15"/>
  <c r="R32" i="15"/>
  <c r="D32" i="15" s="1"/>
  <c r="P34" i="15"/>
  <c r="L24" i="15"/>
  <c r="J24" i="15" s="1"/>
  <c r="U36" i="15"/>
  <c r="V36" i="15"/>
  <c r="M39" i="15"/>
  <c r="N39" i="15"/>
  <c r="S35" i="15"/>
  <c r="R35" i="15"/>
  <c r="Q37" i="15"/>
  <c r="P37" i="15"/>
  <c r="U37" i="15"/>
  <c r="V37" i="15"/>
  <c r="M32" i="15"/>
  <c r="N32" i="15"/>
  <c r="M37" i="15"/>
  <c r="N37" i="15"/>
  <c r="U32" i="15"/>
  <c r="V32" i="15"/>
  <c r="U39" i="15"/>
  <c r="V39" i="15"/>
  <c r="U34" i="15"/>
  <c r="V34" i="15"/>
  <c r="M38" i="15"/>
  <c r="N38" i="15"/>
  <c r="U33" i="15"/>
  <c r="V33" i="15"/>
  <c r="S36" i="15"/>
  <c r="R36" i="15"/>
  <c r="K39" i="15"/>
  <c r="L40" i="15"/>
  <c r="K40" i="15"/>
  <c r="M33" i="15"/>
  <c r="N33" i="15"/>
  <c r="M40" i="15"/>
  <c r="N40" i="15"/>
  <c r="U35" i="15"/>
  <c r="V35" i="15"/>
  <c r="M36" i="15"/>
  <c r="N36" i="15"/>
  <c r="U38" i="15"/>
  <c r="V38" i="15"/>
  <c r="S40" i="15"/>
  <c r="R40" i="15"/>
  <c r="Q33" i="15"/>
  <c r="P33" i="15"/>
  <c r="L38" i="15"/>
  <c r="K38" i="15"/>
  <c r="M34" i="15"/>
  <c r="N34" i="15"/>
  <c r="L32" i="15"/>
  <c r="K32" i="15"/>
  <c r="K31" i="15"/>
  <c r="J90" i="15"/>
  <c r="J91" i="15" s="1"/>
  <c r="U31" i="15"/>
  <c r="N31" i="15"/>
  <c r="B194" i="13"/>
  <c r="D137" i="13"/>
  <c r="F100" i="13"/>
  <c r="F137" i="13"/>
  <c r="H137" i="13"/>
  <c r="H100" i="13"/>
  <c r="J137" i="13"/>
  <c r="J100" i="13"/>
  <c r="P137" i="13"/>
  <c r="P100" i="13"/>
  <c r="L137" i="13"/>
  <c r="L100" i="13"/>
  <c r="R137" i="13"/>
  <c r="R100" i="13"/>
  <c r="V137" i="13"/>
  <c r="V100" i="13"/>
  <c r="N137" i="13"/>
  <c r="N100" i="13"/>
  <c r="T137" i="13"/>
  <c r="T100" i="13"/>
  <c r="V68" i="13"/>
  <c r="U69" i="13"/>
  <c r="V69" i="13" s="1"/>
  <c r="F68" i="13"/>
  <c r="E69" i="13"/>
  <c r="F69" i="13" s="1"/>
  <c r="R68" i="13"/>
  <c r="Q69" i="13"/>
  <c r="R69" i="13" s="1"/>
  <c r="L68" i="13"/>
  <c r="K69" i="13"/>
  <c r="L69" i="13" s="1"/>
  <c r="H68" i="13"/>
  <c r="G69" i="13"/>
  <c r="H69" i="13" s="1"/>
  <c r="J68" i="13"/>
  <c r="I69" i="13"/>
  <c r="J69" i="13" s="1"/>
  <c r="N68" i="13"/>
  <c r="M69" i="13"/>
  <c r="N69" i="13" s="1"/>
  <c r="P68" i="13"/>
  <c r="O69" i="13"/>
  <c r="P69" i="13" s="1"/>
  <c r="T68" i="13"/>
  <c r="S69" i="13"/>
  <c r="T69" i="13" s="1"/>
  <c r="B98" i="13"/>
  <c r="D100" i="13"/>
  <c r="K91" i="15"/>
  <c r="J63" i="15"/>
  <c r="J64" i="15" s="1"/>
  <c r="G64" i="15" s="1"/>
  <c r="I118" i="15"/>
  <c r="J118" i="15" s="1"/>
  <c r="J119" i="15" s="1"/>
  <c r="G119" i="15" s="1"/>
  <c r="P31" i="15"/>
  <c r="I116" i="15"/>
  <c r="J116" i="15" s="1"/>
  <c r="J117" i="15" s="1"/>
  <c r="G117" i="15" s="1"/>
  <c r="A5" i="12"/>
  <c r="C69" i="13"/>
  <c r="D69" i="13" s="1"/>
  <c r="J92" i="15"/>
  <c r="J93" i="15" s="1"/>
  <c r="J51" i="15"/>
  <c r="J52" i="15" s="1"/>
  <c r="G52" i="15" s="1"/>
  <c r="I114" i="15"/>
  <c r="J114" i="15" s="1"/>
  <c r="J115" i="15" s="1"/>
  <c r="G115" i="15" s="1"/>
  <c r="J82" i="15"/>
  <c r="J83" i="15" s="1"/>
  <c r="J53" i="15"/>
  <c r="J54" i="15" s="1"/>
  <c r="G54" i="15" s="1"/>
  <c r="J88" i="15"/>
  <c r="J89" i="15" s="1"/>
  <c r="I112" i="15"/>
  <c r="J112" i="15" s="1"/>
  <c r="J113" i="15" s="1"/>
  <c r="G113" i="15" s="1"/>
  <c r="I102" i="15"/>
  <c r="J102" i="15" s="1"/>
  <c r="J103" i="15" s="1"/>
  <c r="G103" i="15" s="1"/>
  <c r="J61" i="15"/>
  <c r="J62" i="15" s="1"/>
  <c r="G62" i="15" s="1"/>
  <c r="R31" i="15"/>
  <c r="J74" i="15"/>
  <c r="J75" i="15" s="1"/>
  <c r="I100" i="15"/>
  <c r="J100" i="15" s="1"/>
  <c r="J101" i="15" s="1"/>
  <c r="G101" i="15" s="1"/>
  <c r="G120" i="15" s="1"/>
  <c r="J59" i="15"/>
  <c r="J60" i="15" s="1"/>
  <c r="G60" i="15" s="1"/>
  <c r="J80" i="15"/>
  <c r="J81" i="15" s="1"/>
  <c r="J84" i="15"/>
  <c r="J85" i="15" s="1"/>
  <c r="J86" i="15"/>
  <c r="J87" i="15" s="1"/>
  <c r="J49" i="15"/>
  <c r="J50" i="15" s="1"/>
  <c r="G50" i="15" s="1"/>
  <c r="I106" i="15"/>
  <c r="J106" i="15" s="1"/>
  <c r="J107" i="15" s="1"/>
  <c r="G107" i="15" s="1"/>
  <c r="I108" i="15"/>
  <c r="J108" i="15" s="1"/>
  <c r="J109" i="15" s="1"/>
  <c r="G109" i="15" s="1"/>
  <c r="J78" i="15"/>
  <c r="J79" i="15" s="1"/>
  <c r="J47" i="15"/>
  <c r="J48" i="15" s="1"/>
  <c r="G48" i="15" s="1"/>
  <c r="J65" i="15"/>
  <c r="J66" i="15" s="1"/>
  <c r="G66" i="15" s="1"/>
  <c r="J76" i="15"/>
  <c r="J77" i="15" s="1"/>
  <c r="I104" i="15"/>
  <c r="J104" i="15" s="1"/>
  <c r="J105" i="15" s="1"/>
  <c r="G105" i="15" s="1"/>
  <c r="J55" i="15"/>
  <c r="J56" i="15" s="1"/>
  <c r="G56" i="15" s="1"/>
  <c r="D68" i="13"/>
  <c r="J57" i="15"/>
  <c r="J58" i="15" s="1"/>
  <c r="G58" i="15" s="1"/>
  <c r="I110" i="15"/>
  <c r="J110" i="15" s="1"/>
  <c r="J111" i="15" s="1"/>
  <c r="G111" i="15" s="1"/>
  <c r="C241" i="12" l="1"/>
  <c r="E241" i="12" s="1"/>
  <c r="AD5" i="12"/>
  <c r="AD3" i="12"/>
  <c r="A7" i="12"/>
  <c r="B84" i="20" s="1"/>
  <c r="K84" i="20" s="1"/>
  <c r="D40" i="15"/>
  <c r="F36" i="15"/>
  <c r="F35" i="15"/>
  <c r="D35" i="15"/>
  <c r="F32" i="15"/>
  <c r="F40" i="15"/>
  <c r="F34" i="15"/>
  <c r="D34" i="15"/>
  <c r="F37" i="15"/>
  <c r="D37" i="15"/>
  <c r="F31" i="15"/>
  <c r="D31" i="15"/>
  <c r="D36" i="15"/>
  <c r="D33" i="15"/>
  <c r="F33" i="15"/>
  <c r="L31" i="15"/>
  <c r="L39" i="15"/>
  <c r="J34" i="15"/>
  <c r="L34" i="15"/>
  <c r="J32" i="15"/>
  <c r="B32" i="15" s="1"/>
  <c r="F103" i="13" s="1"/>
  <c r="J38" i="15"/>
  <c r="B38" i="15" s="1"/>
  <c r="R103" i="13" s="1"/>
  <c r="J33" i="15"/>
  <c r="L33" i="15"/>
  <c r="J40" i="15"/>
  <c r="B40" i="15" s="1"/>
  <c r="J35" i="15"/>
  <c r="L35" i="15"/>
  <c r="J37" i="15"/>
  <c r="L37" i="15"/>
  <c r="J36" i="15"/>
  <c r="B36" i="15" s="1"/>
  <c r="N103" i="13" s="1"/>
  <c r="J39" i="15"/>
  <c r="H99" i="13"/>
  <c r="J99" i="13"/>
  <c r="N99" i="13"/>
  <c r="D99" i="13"/>
  <c r="R99" i="13"/>
  <c r="T99" i="13"/>
  <c r="F99" i="13"/>
  <c r="P99" i="13"/>
  <c r="V99" i="13"/>
  <c r="L99" i="13"/>
  <c r="T136" i="13"/>
  <c r="J136" i="13"/>
  <c r="D136" i="13"/>
  <c r="P136" i="13"/>
  <c r="V136" i="13"/>
  <c r="H136" i="13"/>
  <c r="N136" i="13"/>
  <c r="F136" i="13"/>
  <c r="R136" i="13"/>
  <c r="L136" i="13"/>
  <c r="B137" i="13"/>
  <c r="B100" i="13"/>
  <c r="B135" i="13"/>
  <c r="J31" i="15"/>
  <c r="B6" i="20"/>
  <c r="G67" i="15"/>
  <c r="E242" i="12" l="1"/>
  <c r="C4" i="12" s="1"/>
  <c r="V103" i="13"/>
  <c r="B31" i="15"/>
  <c r="C31" i="15" s="1"/>
  <c r="D103" i="13" s="1"/>
  <c r="D170" i="13" s="1"/>
  <c r="B39" i="15"/>
  <c r="B37" i="15"/>
  <c r="B35" i="15"/>
  <c r="B34" i="15"/>
  <c r="B33" i="15"/>
  <c r="B39" i="20"/>
  <c r="K39" i="20" s="1"/>
  <c r="K36" i="20"/>
  <c r="K81" i="20"/>
  <c r="K60" i="20"/>
  <c r="K91" i="20" s="1"/>
  <c r="K15" i="20"/>
  <c r="K46" i="20" s="1"/>
  <c r="C32" i="15"/>
  <c r="F140" i="13" s="1"/>
  <c r="C40" i="15"/>
  <c r="V140" i="13" s="1"/>
  <c r="C38" i="15"/>
  <c r="R140" i="13" s="1"/>
  <c r="B99" i="13"/>
  <c r="C36" i="15"/>
  <c r="N140" i="13" s="1"/>
  <c r="D41" i="15"/>
  <c r="K49" i="20"/>
  <c r="D49" i="20" s="1"/>
  <c r="F41" i="15"/>
  <c r="C35" i="15" l="1"/>
  <c r="L140" i="13" s="1"/>
  <c r="L178" i="13" s="1"/>
  <c r="L179" i="13" s="1"/>
  <c r="L103" i="13"/>
  <c r="L170" i="13" s="1"/>
  <c r="C34" i="15"/>
  <c r="J140" i="13" s="1"/>
  <c r="J178" i="13" s="1"/>
  <c r="J179" i="13" s="1"/>
  <c r="J103" i="13"/>
  <c r="J170" i="13" s="1"/>
  <c r="C33" i="15"/>
  <c r="H103" i="13"/>
  <c r="H170" i="13" s="1"/>
  <c r="C39" i="15"/>
  <c r="T140" i="13" s="1"/>
  <c r="T178" i="13" s="1"/>
  <c r="T179" i="13" s="1"/>
  <c r="T103" i="13"/>
  <c r="T169" i="13" s="1"/>
  <c r="C37" i="15"/>
  <c r="P140" i="13" s="1"/>
  <c r="P178" i="13" s="1"/>
  <c r="P179" i="13" s="1"/>
  <c r="P103" i="13"/>
  <c r="B41" i="15"/>
  <c r="K40" i="20"/>
  <c r="K48" i="20" s="1"/>
  <c r="D48" i="20" s="1"/>
  <c r="AF3" i="12" s="1"/>
  <c r="V178" i="13"/>
  <c r="V179" i="13" s="1"/>
  <c r="D140" i="13"/>
  <c r="D178" i="13" s="1"/>
  <c r="D179" i="13" s="1"/>
  <c r="N178" i="13"/>
  <c r="N179" i="13" s="1"/>
  <c r="R178" i="13"/>
  <c r="R179" i="13" s="1"/>
  <c r="F178" i="13"/>
  <c r="F179" i="13" s="1"/>
  <c r="K85" i="20"/>
  <c r="K93" i="20" s="1"/>
  <c r="D92" i="20"/>
  <c r="D91" i="20"/>
  <c r="AB5" i="12" s="1"/>
  <c r="F170" i="13"/>
  <c r="F169" i="13"/>
  <c r="V106" i="13"/>
  <c r="V172" i="13" s="1"/>
  <c r="V169" i="13"/>
  <c r="V170" i="13"/>
  <c r="R170" i="13"/>
  <c r="R169" i="13"/>
  <c r="N170" i="13"/>
  <c r="N169" i="13"/>
  <c r="F106" i="13"/>
  <c r="F172" i="13" s="1"/>
  <c r="D106" i="13"/>
  <c r="D172" i="13" s="1"/>
  <c r="R106" i="13"/>
  <c r="R172" i="13" s="1"/>
  <c r="N106" i="13"/>
  <c r="N172" i="13" s="1"/>
  <c r="D169" i="13"/>
  <c r="D46" i="20"/>
  <c r="AB3" i="12" s="1"/>
  <c r="B50" i="20" l="1"/>
  <c r="D50" i="20" s="1"/>
  <c r="H169" i="13"/>
  <c r="T143" i="13"/>
  <c r="T183" i="13" s="1"/>
  <c r="J143" i="13"/>
  <c r="J183" i="13" s="1"/>
  <c r="H106" i="13"/>
  <c r="H172" i="13" s="1"/>
  <c r="H140" i="13"/>
  <c r="H178" i="13" s="1"/>
  <c r="H179" i="13" s="1"/>
  <c r="L169" i="13"/>
  <c r="J106" i="13"/>
  <c r="J172" i="13" s="1"/>
  <c r="L106" i="13"/>
  <c r="L172" i="13" s="1"/>
  <c r="J169" i="13"/>
  <c r="C41" i="15"/>
  <c r="T106" i="13"/>
  <c r="T172" i="13" s="1"/>
  <c r="T170" i="13"/>
  <c r="B103" i="13"/>
  <c r="AH3" i="12" s="1"/>
  <c r="P106" i="13"/>
  <c r="P172" i="13" s="1"/>
  <c r="P170" i="13"/>
  <c r="P169" i="13"/>
  <c r="D93" i="20"/>
  <c r="AF5" i="12" s="1"/>
  <c r="K95" i="20"/>
  <c r="V143" i="13"/>
  <c r="V183" i="13" s="1"/>
  <c r="R143" i="13"/>
  <c r="R183" i="13" s="1"/>
  <c r="D143" i="13"/>
  <c r="D183" i="13" s="1"/>
  <c r="L143" i="13"/>
  <c r="L183" i="13" s="1"/>
  <c r="F143" i="13"/>
  <c r="F183" i="13" s="1"/>
  <c r="P143" i="13"/>
  <c r="P183" i="13" s="1"/>
  <c r="N143" i="13"/>
  <c r="N183" i="13" s="1"/>
  <c r="B136" i="13"/>
  <c r="K50" i="20"/>
  <c r="B95" i="20" l="1"/>
  <c r="D95" i="20" s="1"/>
  <c r="B141" i="13" s="1"/>
  <c r="B140" i="13"/>
  <c r="H143" i="13"/>
  <c r="H183" i="13" s="1"/>
  <c r="B184" i="13" s="1"/>
  <c r="B175" i="13"/>
  <c r="B104" i="13"/>
  <c r="B106" i="13" s="1"/>
  <c r="V3" i="12" l="1"/>
  <c r="X3" i="12" s="1"/>
  <c r="Z3" i="12" s="1"/>
  <c r="B143" i="13"/>
  <c r="R10" i="12"/>
  <c r="V5" i="12" l="1"/>
  <c r="X5" i="12" s="1"/>
  <c r="Z5" i="12" s="1"/>
  <c r="V10" i="12"/>
  <c r="R9" i="12"/>
  <c r="N9" i="12"/>
  <c r="V9" i="12" l="1"/>
  <c r="B50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Marino Montalti</author>
    <author>Emiliano Leonardi</author>
  </authors>
  <commentList>
    <comment ref="A7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Marino Montalti:</t>
        </r>
        <r>
          <rPr>
            <sz val="9"/>
            <color indexed="81"/>
            <rFont val="Tahoma"/>
            <family val="2"/>
          </rPr>
          <t xml:space="preserve">
METTERE CASSA 800*600*300 CRITERI &lt;5 MOTORI CAMBIARE AFORMULA SU CELLA C61</t>
        </r>
      </text>
    </comment>
    <comment ref="B119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Emiliano Leonardi:</t>
        </r>
        <r>
          <rPr>
            <sz val="8"/>
            <color indexed="81"/>
            <rFont val="Tahoma"/>
            <family val="2"/>
          </rPr>
          <t xml:space="preserve">
Il costo della licenza deve essere conteggiato nel quadro elettrico?</t>
        </r>
      </text>
    </comment>
    <comment ref="B156" authorId="1" shapeId="0" xr:uid="{00000000-0006-0000-0200-000003000000}">
      <text>
        <r>
          <rPr>
            <b/>
            <sz val="8"/>
            <color indexed="81"/>
            <rFont val="Tahoma"/>
            <family val="2"/>
          </rPr>
          <t>Emiliano Leonardi:</t>
        </r>
        <r>
          <rPr>
            <sz val="8"/>
            <color indexed="81"/>
            <rFont val="Tahoma"/>
            <family val="2"/>
          </rPr>
          <t xml:space="preserve">
Il costo della licenza deve essere conteggiato nel quadro elettrico?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Emiliano Leonardi</author>
  </authors>
  <commentList>
    <comment ref="C7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Emiliano Leonardi:</t>
        </r>
        <r>
          <rPr>
            <sz val="8"/>
            <color indexed="81"/>
            <rFont val="Tahoma"/>
            <family val="2"/>
          </rPr>
          <t xml:space="preserve">
INTRODURRE I PREZZI CORRETTI
</t>
        </r>
      </text>
    </comment>
    <comment ref="C111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Emiliano Leonardi:</t>
        </r>
        <r>
          <rPr>
            <sz val="8"/>
            <color indexed="81"/>
            <rFont val="Tahoma"/>
            <family val="2"/>
          </rPr>
          <t xml:space="preserve">
moltiplicati x 1,07 rispetto prezzi siemens</t>
        </r>
      </text>
    </comment>
  </commentList>
</comments>
</file>

<file path=xl/sharedStrings.xml><?xml version="1.0" encoding="utf-8"?>
<sst xmlns="http://schemas.openxmlformats.org/spreadsheetml/2006/main" count="12594" uniqueCount="2541">
  <si>
    <t>rete etrhernet</t>
  </si>
  <si>
    <t>rete RIO++</t>
  </si>
  <si>
    <t>???</t>
  </si>
  <si>
    <t>CON SCHEDA</t>
  </si>
  <si>
    <t>rete PROFIBUS</t>
  </si>
  <si>
    <t>INTEGRATA, MAX 3 HUB (CON 4 HUB HO 400MT)</t>
  </si>
  <si>
    <t>POWERLINK, 256 nodi (max 100mtx256)</t>
  </si>
  <si>
    <t>SI VELOCISSIMA</t>
  </si>
  <si>
    <t>possibile in CANopen con file EDS occorre utilizzare indirizzi di franme superiori ad id2500??, possibile in MODBUS, sembra di difficile realizzazione. In POWERLINK, protocollo aperto su supporto fisico ethernet.</t>
  </si>
  <si>
    <t>protocoloo PVI proprietario, possibile con una funzione OCX DA VISUALBASIC. DI LIBERO UTILIZZO ???</t>
  </si>
  <si>
    <t>DO</t>
  </si>
  <si>
    <t>DI</t>
  </si>
  <si>
    <t>AO</t>
  </si>
  <si>
    <t>AI</t>
  </si>
  <si>
    <t>DO2</t>
  </si>
  <si>
    <t>SW</t>
  </si>
  <si>
    <t>3RV10210AA10</t>
  </si>
  <si>
    <t>3RV1021-0AA10</t>
  </si>
  <si>
    <t>INT.AUT.3X25A S0 0,11/0,16A 100KA</t>
  </si>
  <si>
    <t>PCE</t>
  </si>
  <si>
    <t>DK</t>
  </si>
  <si>
    <t>GC0 I716</t>
  </si>
  <si>
    <t>3RV10210BA10</t>
  </si>
  <si>
    <t>3RV1021-0BA10</t>
  </si>
  <si>
    <t>INT.AUT.3X25A S0 0,14/0,2A 100KA</t>
  </si>
  <si>
    <t>3RV10210CA10</t>
  </si>
  <si>
    <t>3RV1021-0CA10</t>
  </si>
  <si>
    <t>INT.AUT.3X25A S0 0,18/0,25A 100KA</t>
  </si>
  <si>
    <t>3RV10210DA10</t>
  </si>
  <si>
    <t>3RV1021-0DA10</t>
  </si>
  <si>
    <t>INT.AUT.3X25A S0 0,22/0,32A 100KA</t>
  </si>
  <si>
    <t>3RV10210EA10</t>
  </si>
  <si>
    <t>3RV1021-0EA10</t>
  </si>
  <si>
    <t>INT.AUT.3X25A S0 0,28/0,4A 100KA</t>
  </si>
  <si>
    <t>3RV10210FA10</t>
  </si>
  <si>
    <t>3RV1021-0FA10</t>
  </si>
  <si>
    <t>INT.AUT.3X25A S0 0,35/0,5A 100KA</t>
  </si>
  <si>
    <t>3RV10210GA10</t>
  </si>
  <si>
    <t>3RV1021-0GA10</t>
  </si>
  <si>
    <t>INT.AUT.3X25A S0 0,45/0,63A 100KA</t>
  </si>
  <si>
    <t>3RV10210HA10</t>
  </si>
  <si>
    <t>3RV1021-0HA10</t>
  </si>
  <si>
    <t>INT.AUT.3X25A S0 0,55/0,8A 100KA</t>
  </si>
  <si>
    <t>3RV10210JA10</t>
  </si>
  <si>
    <t>3RV1021-0JA10</t>
  </si>
  <si>
    <t>INT.AUT.3X25A S0 0,7/1A 100KA</t>
  </si>
  <si>
    <t>3RV10210KA10</t>
  </si>
  <si>
    <t>3RV1021-0KA10</t>
  </si>
  <si>
    <t>INT.AUT.3X25A S0 0,9/1,25A 100KA</t>
  </si>
  <si>
    <t>3RV10211AA10</t>
  </si>
  <si>
    <t>3RV1021-1AA10</t>
  </si>
  <si>
    <t>INT.AUT.3X25A S0 1,1/1,6A 100KA</t>
  </si>
  <si>
    <t>3RV10211BA10</t>
  </si>
  <si>
    <t>3RV1021-1BA10</t>
  </si>
  <si>
    <t>INT.AUT.3X25A S0 1,4/2A 100KA</t>
  </si>
  <si>
    <t>3RV10211CA10</t>
  </si>
  <si>
    <t>3RV1021-1CA10</t>
  </si>
  <si>
    <t>INT.AUT.3X25A S0 1,8/2,5A 100KA</t>
  </si>
  <si>
    <t>3RV10211DA10</t>
  </si>
  <si>
    <t>3RV1021-1DA10</t>
  </si>
  <si>
    <t>INT.AUT.3X25A S0 2,2/3,2A 100KA</t>
  </si>
  <si>
    <t>3RV10211EA10</t>
  </si>
  <si>
    <t>3RV1021-1EA10</t>
  </si>
  <si>
    <t>INT.AUT.3X25A S0 2,8/4A 100KA</t>
  </si>
  <si>
    <t>3RV10211FA10</t>
  </si>
  <si>
    <t>3RV1021-1FA10</t>
  </si>
  <si>
    <t>INT.AUT.3X25A S0 3,5/5A 100KA</t>
  </si>
  <si>
    <t>3RV10211GA10</t>
  </si>
  <si>
    <t>3RV1021-1GA10</t>
  </si>
  <si>
    <t>INT.AUT.3X25A S0 4,5/6,3A 100KA</t>
  </si>
  <si>
    <t>3RV10211HA10</t>
  </si>
  <si>
    <t>3RV1021-1HA10</t>
  </si>
  <si>
    <t>INT.AUT.3X25A S0 5,5/8A 100KA</t>
  </si>
  <si>
    <t>3RV10211JA10</t>
  </si>
  <si>
    <t>3RV1021-1JA10</t>
  </si>
  <si>
    <t>INT.AUT.3X25A S0 7/10A 100KA</t>
  </si>
  <si>
    <t>3RV10211KA10</t>
  </si>
  <si>
    <t>3RV1021-1KA10</t>
  </si>
  <si>
    <t>INT.AUT.3X25A S0 9/12,5A 100KA</t>
  </si>
  <si>
    <t>3RV10214AA10</t>
  </si>
  <si>
    <t>3RV1021-4AA10</t>
  </si>
  <si>
    <t>INT.AUT.3X25A S0 11/16A 50KA</t>
  </si>
  <si>
    <t>3RV10214BA10</t>
  </si>
  <si>
    <t>3RV1021-4BA10</t>
  </si>
  <si>
    <t>INT.AUT.3X25A S0 14/20A 50KA</t>
  </si>
  <si>
    <t>3RV10214CA10</t>
  </si>
  <si>
    <t>3RV1021-4CA10</t>
  </si>
  <si>
    <t>INT.AUT.3X25A S0 17/22A 50KA</t>
  </si>
  <si>
    <t>3RV10214DA10</t>
  </si>
  <si>
    <t>3RV1021-4DA10</t>
  </si>
  <si>
    <t>INT.AUT.3X25A S0 20/25A 50KA</t>
  </si>
  <si>
    <t>3RV10314DA10</t>
  </si>
  <si>
    <t>3RV1031-4DA10</t>
  </si>
  <si>
    <t>INT.AUT.3X50A S2 18/25A 50KA</t>
  </si>
  <si>
    <t>DM</t>
  </si>
  <si>
    <t>GC0 I717</t>
  </si>
  <si>
    <t>3RV13211JC10</t>
  </si>
  <si>
    <t>3RV1321-1JC10</t>
  </si>
  <si>
    <t>INT.AUT.3X25A S0 X AVV.10A 100KA</t>
  </si>
  <si>
    <t>DG</t>
  </si>
  <si>
    <t>3RV16110BD10</t>
  </si>
  <si>
    <t>3RV1611-0BD10</t>
  </si>
  <si>
    <t>INT.AUT.SOO X SEGNALAZ.FUSIBILE</t>
  </si>
  <si>
    <t>DJ</t>
  </si>
  <si>
    <t>GC0 I715</t>
  </si>
  <si>
    <t>3RA19211D</t>
  </si>
  <si>
    <t>3RA1921-1D</t>
  </si>
  <si>
    <t>ELEM.COLL. X S0/S00 (1CONF=10PZ)</t>
  </si>
  <si>
    <t>CODICE</t>
  </si>
  <si>
    <t>TRAT</t>
  </si>
  <si>
    <t>DESCR</t>
  </si>
  <si>
    <t>PREZZO</t>
  </si>
  <si>
    <t>UNIPRZ</t>
  </si>
  <si>
    <t>UNIMIS</t>
  </si>
  <si>
    <t>SCO</t>
  </si>
  <si>
    <t>STAT</t>
  </si>
  <si>
    <t>3RV19151AB</t>
  </si>
  <si>
    <t>3RV1915-1AB</t>
  </si>
  <si>
    <t>SBARRA PARAL. X2 S00/S0 45MM FORCH.</t>
  </si>
  <si>
    <t>3RV19151BB</t>
  </si>
  <si>
    <t>3RV1915-1BB</t>
  </si>
  <si>
    <t>SBARRA PARAL. X3 S00/S0 45MM FORCH.</t>
  </si>
  <si>
    <t>3RV19151CB</t>
  </si>
  <si>
    <t>3RV1915-1CB</t>
  </si>
  <si>
    <t>SBARRA PARAL. X4 S00/S0 45MM FORCH.</t>
  </si>
  <si>
    <t>3RV19151DB</t>
  </si>
  <si>
    <t>3RV1915-1DB</t>
  </si>
  <si>
    <t>SBARRA PARAL. X5 S00/S0 45MM FORCH.</t>
  </si>
  <si>
    <t>3RV19155A</t>
  </si>
  <si>
    <t>3RV1915-5A</t>
  </si>
  <si>
    <t>MORS.ALIM.SBARRE X S00/S0 (SUP.)</t>
  </si>
  <si>
    <t>3RV19156AB</t>
  </si>
  <si>
    <t>3RV1915-6AB</t>
  </si>
  <si>
    <t>CALOTTINA ISOL.X SBARRE S00/S0</t>
  </si>
  <si>
    <t>3RT10151BB41</t>
  </si>
  <si>
    <t>3RT1015-1BB41</t>
  </si>
  <si>
    <t>CONT.S00 3KW 1L 24VCC</t>
  </si>
  <si>
    <t>D5</t>
  </si>
  <si>
    <t>G20 I703</t>
  </si>
  <si>
    <t>3RT10161BB41</t>
  </si>
  <si>
    <t>3RT1016-1BB41</t>
  </si>
  <si>
    <t>CONT.S00 4KW 1L 24VCC</t>
  </si>
  <si>
    <t>3RT10171BA41</t>
  </si>
  <si>
    <t>3RT1017-1BA41</t>
  </si>
  <si>
    <t>CONT.S00 5,5KW 1L 12VDC</t>
  </si>
  <si>
    <t>3RT10241BB40</t>
  </si>
  <si>
    <t>3RT1024-1BB40</t>
  </si>
  <si>
    <t>CONT.S0 5,5KW 24VCC</t>
  </si>
  <si>
    <t>G20 I704</t>
  </si>
  <si>
    <t>3RT10261BA40</t>
  </si>
  <si>
    <t>3RT1026-1BA40</t>
  </si>
  <si>
    <t>CONT.S0 11KW 12VCC</t>
  </si>
  <si>
    <t>3RP15741NP30</t>
  </si>
  <si>
    <t>3RP1574-1NP30</t>
  </si>
  <si>
    <t>TEMP.S/T. 1-20S 24/200-240VAC 24VDC</t>
  </si>
  <si>
    <t>D7</t>
  </si>
  <si>
    <t>G40 I817</t>
  </si>
  <si>
    <t>3RA19132B</t>
  </si>
  <si>
    <t>3RA1913-2B</t>
  </si>
  <si>
    <t>COMP. X S/T. S00 3RT1015/17</t>
  </si>
  <si>
    <t>G50 I709</t>
  </si>
  <si>
    <t>3RH19211CA01</t>
  </si>
  <si>
    <t>3RH1921-1CA01</t>
  </si>
  <si>
    <t>BLOC.AUX.1R X S0/S12</t>
  </si>
  <si>
    <t>D3</t>
  </si>
  <si>
    <t>G00 I700</t>
  </si>
  <si>
    <t>3RH19211CA10</t>
  </si>
  <si>
    <t>3RH1921-1CA10</t>
  </si>
  <si>
    <t>BLOC.AUX.1L X S0/S12</t>
  </si>
  <si>
    <t>3RH19211FA11</t>
  </si>
  <si>
    <t>3RH1921-1FA11</t>
  </si>
  <si>
    <t>CONT.AUS. 1L+1R X S0/S12</t>
  </si>
  <si>
    <t>3RH19211FA22</t>
  </si>
  <si>
    <t>3RH1921-1FA22</t>
  </si>
  <si>
    <t>CONT.AUS. 2L+2R X S0/S12</t>
  </si>
  <si>
    <t>3RH19211FA31</t>
  </si>
  <si>
    <t>3RH1921-1FA31</t>
  </si>
  <si>
    <t>BLOC.AUX.3L+1R X S0/S12</t>
  </si>
  <si>
    <t>3RH19111FA11</t>
  </si>
  <si>
    <t>3RH1911-1FA11</t>
  </si>
  <si>
    <t>BLOC.AUX. 1L+1R X CONT.S00</t>
  </si>
  <si>
    <t>3RH19111FA20</t>
  </si>
  <si>
    <t>3RH1911-1FA20</t>
  </si>
  <si>
    <t>BLOC.AUX. 2L X CONT.S00</t>
  </si>
  <si>
    <t>3LD22130TK53</t>
  </si>
  <si>
    <t>3LD2213-0TK53</t>
  </si>
  <si>
    <t>INT.EMER.3X32A FIX FONDO BLP</t>
  </si>
  <si>
    <t>I50 I887</t>
  </si>
  <si>
    <t>3LD25140TK53</t>
  </si>
  <si>
    <t>3LD2514-0TK53</t>
  </si>
  <si>
    <t>INT.EMER.3X63A FIX FONDO BLP</t>
  </si>
  <si>
    <t>3LD27140TK53</t>
  </si>
  <si>
    <t>3LD2714-0TK53</t>
  </si>
  <si>
    <t>INT. EMERG. 3X100A FIX FONDO BLP</t>
  </si>
  <si>
    <t>3LD28140TK53</t>
  </si>
  <si>
    <t>3LD2814-0TK53</t>
  </si>
  <si>
    <t>INT.EMER.3X125A FIX FONDO BLP</t>
  </si>
  <si>
    <t>3LD92200C</t>
  </si>
  <si>
    <t>3LD9220-0C</t>
  </si>
  <si>
    <t>4POLO N FIX FONDO MAX 32A X 3LD2</t>
  </si>
  <si>
    <t>3LD92212A</t>
  </si>
  <si>
    <t>3LD9221-2A</t>
  </si>
  <si>
    <t>CALOTTA 1POLO X 3LD2 25/32A</t>
  </si>
  <si>
    <t>3LD92500C</t>
  </si>
  <si>
    <t>3LD9250-0C</t>
  </si>
  <si>
    <t>4POLO N FIX FONDO 63A X3LD2</t>
  </si>
  <si>
    <t>3LD92512A</t>
  </si>
  <si>
    <t>3LD9251-2A</t>
  </si>
  <si>
    <t>CALOTTA 1POLO X3LD2 63A</t>
  </si>
  <si>
    <t>3LD92800C</t>
  </si>
  <si>
    <t>3LD9280-0C</t>
  </si>
  <si>
    <t>4POLO N FIX FONDO X3LD2 100/125A</t>
  </si>
  <si>
    <t>3LD92812A</t>
  </si>
  <si>
    <t>3LD9281-2A</t>
  </si>
  <si>
    <t>CALOTTA 1POLO X3LD2 100/125A</t>
  </si>
  <si>
    <t>3VF32116BW310AA0</t>
  </si>
  <si>
    <t>3VF3211-6BW31-0AA0</t>
  </si>
  <si>
    <t>INT.AUT.3X160A 160A 70KA PRINC.</t>
  </si>
  <si>
    <t>DE</t>
  </si>
  <si>
    <t>I00 I825</t>
  </si>
  <si>
    <t>3VF32126DW310AA0</t>
  </si>
  <si>
    <t>3VF3212-6DW31-0AA0</t>
  </si>
  <si>
    <t>INT.AUT.4X160A 160A 70KA PRINC.</t>
  </si>
  <si>
    <t>I10 I82C</t>
  </si>
  <si>
    <t>3VF31116BU210AA0</t>
  </si>
  <si>
    <t>3VF3111-6BU21-0AA0</t>
  </si>
  <si>
    <t>INT.AUT.3X100A 100A 65KA AVVIAT.</t>
  </si>
  <si>
    <t>3VF31116BS310AA0</t>
  </si>
  <si>
    <t>3VF3111-6BS31-0AA0</t>
  </si>
  <si>
    <t>INT.AUT.3X100A 100A 70KA PRINC.</t>
  </si>
  <si>
    <t>3VF42116BH210AA0</t>
  </si>
  <si>
    <t>3VF4211-6BH21-0AA0</t>
  </si>
  <si>
    <t>INT.AUT.3X250A 125A 65KA AVVIAT.</t>
  </si>
  <si>
    <t>3VF42116BM210AA0</t>
  </si>
  <si>
    <t>3VF4211-6BM21-0AA0</t>
  </si>
  <si>
    <t>INT.AUT.3X250A 200A 65KA AVVIAT.</t>
  </si>
  <si>
    <t>3VF42125DM310AA0</t>
  </si>
  <si>
    <t>3VF4212-5DM31-0AA0</t>
  </si>
  <si>
    <t>INT.AUT.4X250A 250A 40KA PRINC.</t>
  </si>
  <si>
    <t>3VF93241JA10</t>
  </si>
  <si>
    <t>3VF9324-1JA10</t>
  </si>
  <si>
    <t>ATTACCHI A SBARRA X 3VF3 3P 3PZ.</t>
  </si>
  <si>
    <t>3VF93241JA20</t>
  </si>
  <si>
    <t>3VF9324-1JA20</t>
  </si>
  <si>
    <t>ATTACCHI A SBARRA X 3VF3 4P 4PZ.</t>
  </si>
  <si>
    <t>3VF93241NB10</t>
  </si>
  <si>
    <t>3VF9324-1NB10</t>
  </si>
  <si>
    <t>vibratore elettrico su trimix/bil microsolidi</t>
  </si>
  <si>
    <t>COPRIMORSETTI IP30 X 3VF3 3P 2PZ.</t>
  </si>
  <si>
    <t>3VF93241NB20</t>
  </si>
  <si>
    <t>3VF9324-1NB20</t>
  </si>
  <si>
    <t>COPRIMORSETTI IP30 X 3VF3 4P 2PZ.</t>
  </si>
  <si>
    <t>turbosetaccio con finecorsa</t>
  </si>
  <si>
    <t>boiler riscaldamento acqua:resistenze &lt;= 4 Kw</t>
  </si>
  <si>
    <t>controllo t° acqua riscaldamento/raffredamento camicia tubazioni</t>
  </si>
  <si>
    <t>controllo acqua di riscaldamento/boiler</t>
  </si>
  <si>
    <t>3VF93231EA00</t>
  </si>
  <si>
    <t>3VF9323-1EA00</t>
  </si>
  <si>
    <t>COM.BLOCCOPORTA NORM.8UC X 3VF3</t>
  </si>
  <si>
    <t>3VF94231EA00</t>
  </si>
  <si>
    <t>3VF9423-1EA00</t>
  </si>
  <si>
    <t>COM.BLOCCOPORTA NORM.8UC X 3VF4</t>
  </si>
  <si>
    <t>6ES73071BA000AA0</t>
  </si>
  <si>
    <t>6ES7307-1BA00-0AA0</t>
  </si>
  <si>
    <t>ALIMENTATORE  PS 307 PER S7-300 2A</t>
  </si>
  <si>
    <t>AF</t>
  </si>
  <si>
    <t>200 I0HD</t>
  </si>
  <si>
    <t>6ES73071EA000AA0</t>
  </si>
  <si>
    <t>6ES7307-1EA00-0AA0</t>
  </si>
  <si>
    <t>ALIMENTATORE PS 307 PER S7-300 5A</t>
  </si>
  <si>
    <t>6ES73071KA000AA0</t>
  </si>
  <si>
    <t>6ES7307-1KA00-0AA0</t>
  </si>
  <si>
    <t>ALIMENTATORE PS 307 PER S7-300 10A</t>
  </si>
  <si>
    <t>6ES73141AE040AB0</t>
  </si>
  <si>
    <t>6ES7314-1AE04-0AB0</t>
  </si>
  <si>
    <t>SCHEDA ELETTR. CPU S7-314 24KB</t>
  </si>
  <si>
    <t>030 I0GD</t>
  </si>
  <si>
    <t>6ES73141AF100AB0</t>
  </si>
  <si>
    <t>6ES7314-1AF10-0AB0</t>
  </si>
  <si>
    <t>6ES73146BF000AB0</t>
  </si>
  <si>
    <t>6ES7314-6BF00-0AB0</t>
  </si>
  <si>
    <t>SCHEDA ELETTR. CPU 314C-2 PTP - 48KB</t>
  </si>
  <si>
    <t>6ES73146CF000AB0</t>
  </si>
  <si>
    <t>6ES7314-6CF00-0AB0</t>
  </si>
  <si>
    <t>SCHEDA ELETTR. CPU 314C-2 DP - 48KB</t>
  </si>
  <si>
    <t>SIMATIC S7-300 CPU 314, 48KBYTE RAM (necessita di micro memory card)</t>
  </si>
  <si>
    <t>6ES73131AD030AB0</t>
  </si>
  <si>
    <t>6ES7313-1AD03-0AB0</t>
  </si>
  <si>
    <t>UNITA'CENTRALE CPU 313-12 KBYTE</t>
  </si>
  <si>
    <t>6ES73135BE000AB0</t>
  </si>
  <si>
    <t>6ES7313-5BE00-0AB0</t>
  </si>
  <si>
    <t>SCHEDA ELETTR. CPU 313C-PT100 -32 KB</t>
  </si>
  <si>
    <t>6ES73136BE000AB0</t>
  </si>
  <si>
    <t>6ES7313-6BE00-0AB0</t>
  </si>
  <si>
    <t>SCHEDA ELETTR. CPU 313C-2 PTP  - 32KB</t>
  </si>
  <si>
    <t>6ES73136CE000AB0</t>
  </si>
  <si>
    <t>6ES7313-6CE00-0AB0</t>
  </si>
  <si>
    <t>SCHEDA ELETTR. CPU 313C-3DP - 32KB</t>
  </si>
  <si>
    <t>6ES73151AF030AB0</t>
  </si>
  <si>
    <t>6ES7315-1AF03-0AB0</t>
  </si>
  <si>
    <t>UNITA' CENTRALE CPU 315 - 48 KB</t>
  </si>
  <si>
    <t>6ES73152AF030AB0</t>
  </si>
  <si>
    <t>6ES7315-2AF03-0AB0</t>
  </si>
  <si>
    <t>UNITA'CENTRALE CPU 315-2 DP-64KBYTE</t>
  </si>
  <si>
    <t>6ES73152AG100AB0</t>
  </si>
  <si>
    <t>6ES7315-2AG10-0AB0</t>
  </si>
  <si>
    <t>SIMATIC S7-300 CPU 315-2DP, 128KBYTE RAM (necessita di micro memory card)</t>
  </si>
  <si>
    <t>6ES73162AG000AB0</t>
  </si>
  <si>
    <t>6ES7316-2AG00-0AB0</t>
  </si>
  <si>
    <t>UNITA' CENTRALE CPU 316-2DP-128KBY</t>
  </si>
  <si>
    <t>6ES73182AJ000AB0</t>
  </si>
  <si>
    <t>6ES7318-2AJ00-0AB0</t>
  </si>
  <si>
    <t>UNITA' CENTRALE CPU 318-2 DP</t>
  </si>
  <si>
    <t>6ES79510KF000AA0</t>
  </si>
  <si>
    <t>6ES7951-0KF00-0AA0</t>
  </si>
  <si>
    <t>MEMORY CARD MC 951 FLASH EPROM 64KB</t>
  </si>
  <si>
    <t>010 I0GA</t>
  </si>
  <si>
    <t>6ES79510KG000AA0</t>
  </si>
  <si>
    <t>6ES7951-0KG00-0AA0</t>
  </si>
  <si>
    <t>MEMORY CARD MC951 FLASH EPROM 128KB</t>
  </si>
  <si>
    <t>6ES79511KH000AA0</t>
  </si>
  <si>
    <t>6ES7951-1KH00-0AA0</t>
  </si>
  <si>
    <t>MEMORY CARD S7-300FLASH EPROM 256KB</t>
  </si>
  <si>
    <t>6ES79511AJ000AA0</t>
  </si>
  <si>
    <t>6ES7951-1AJ00-0AA0</t>
  </si>
  <si>
    <t>MODULO MEMORY CARD S7-300-512 KBYTE</t>
  </si>
  <si>
    <t xml:space="preserve">Prezzi PLC -  Panop </t>
  </si>
  <si>
    <t>Progetto</t>
  </si>
  <si>
    <t>6ES79538LF000AA0</t>
  </si>
  <si>
    <t>6ES7953-8LF00-0AA0</t>
  </si>
  <si>
    <t>6ES79538LG000AA0</t>
  </si>
  <si>
    <t>6ES7953-8LG00-0AA0</t>
  </si>
  <si>
    <t>6ES79538LJ000AA0</t>
  </si>
  <si>
    <t>6ES7953-8LJ00-0AA0</t>
  </si>
  <si>
    <t>6ES79538LL000AA0</t>
  </si>
  <si>
    <t>6ES7953-8LL00-0AA0</t>
  </si>
  <si>
    <t>6ES79538LM000AA0</t>
  </si>
  <si>
    <t>6ES7953-8LM00-0AA0</t>
  </si>
  <si>
    <t>SIMATIC S7, MICRO MEMORY CARD PER ET 200S IM151 CPU 3,3 V NFLASH, 64 KBYTE</t>
  </si>
  <si>
    <t>SIMATIC S7, MICRO MEMORY CARD PER ET 200S IM151 CPU 3,3 V NFLASH, 128 KBYTE</t>
  </si>
  <si>
    <t>SIMATIC S7, MICRO MEMORY CARD PER ET 200S IM151 CPU 3,3 V NFLASH, 512 KBYTE</t>
  </si>
  <si>
    <t>SIMATIC S7, MICRO MEMORY CARD PER ET 200S IM151 CPU 3,3 V NFLASH, 2 MBYTE</t>
  </si>
  <si>
    <t>8 DI WAGO</t>
  </si>
  <si>
    <t>8 DO WAGO</t>
  </si>
  <si>
    <t>CLIENTE</t>
  </si>
  <si>
    <t>2 DIV WAGO</t>
  </si>
  <si>
    <t>2 AO WAGO</t>
  </si>
  <si>
    <t>controller CANopn WAGO</t>
  </si>
  <si>
    <t>nr byte</t>
  </si>
  <si>
    <t>SIMATIC S7, MICRO MEMORY CARD PER ET 200S IM151 CPU 3,3 V NFLASH, 4 MBYTE</t>
  </si>
  <si>
    <t>6ES79711AA000AA0</t>
  </si>
  <si>
    <t>6ES7971-1AA00-0AA0</t>
  </si>
  <si>
    <t>BATTERIA TAMPONE  3,4V/1AH</t>
  </si>
  <si>
    <t>6ES73211BH020AA0</t>
  </si>
  <si>
    <t>6ES7321-1BH02-0AA0</t>
  </si>
  <si>
    <t>2AO PROFIBUS</t>
  </si>
  <si>
    <t>UNITA' ELETTR. SM 321 16DIDC24V-20P</t>
  </si>
  <si>
    <t>6ES73211BL000AA0</t>
  </si>
  <si>
    <t>6ES7321-1BL00-0AA0</t>
  </si>
  <si>
    <t>UNITA' ELETTR. SM 321 32DI DC 24V</t>
  </si>
  <si>
    <t>7MH46011AA01</t>
  </si>
  <si>
    <t>7MH4601-1AA01</t>
  </si>
  <si>
    <t>UNITA'PESAT.SIWAREX U/1CAN.X S7-300</t>
  </si>
  <si>
    <t>F3</t>
  </si>
  <si>
    <t>500 I08F</t>
  </si>
  <si>
    <t>7MH46011BA01</t>
  </si>
  <si>
    <t>7MH4601-1BA01</t>
  </si>
  <si>
    <t>UNITA'PESAT.SIWAREX U/2CAN.X S7-300</t>
  </si>
  <si>
    <t>6ES73317KB020AB0</t>
  </si>
  <si>
    <t>6ES7331-7KB02-0AB0</t>
  </si>
  <si>
    <t>6ES73317KF020AB0</t>
  </si>
  <si>
    <t>6ES7331-7KF02-0AB0</t>
  </si>
  <si>
    <t>6ES73317NF000AB0</t>
  </si>
  <si>
    <t>6ES7331-7NF00-0AB0</t>
  </si>
  <si>
    <t>SIMATIC S7-300, UNITA' ANALOGICA SM 331, CON SEPAR.DI POTENZIALE, 2 AI, RISOL. 9/12/14 BIT, U/I/TERMOCOPPIE/RESISTENZE, INTERRUPT, DIAGNOSTICA, 20 POLI, DISINS./INSERZ. CON BUS ATTIVO</t>
  </si>
  <si>
    <t>SIMATIC S7-300, UNITA' ANALOGICA SM 331, CON SEPAR.DI POTENZIALE, 8 AI, RISOL. 9/12/14 BIT, U/I/TERMOCOPPIE/RESISTENZE, INTERRUPT, DIAGNOSTICA, 20 POLI, DISINS./INSER. CON BUS ATTIVO</t>
  </si>
  <si>
    <t>SIMATIC S7-300, UNITA' ANALOGICA SM 331, CON SEPAR.DI POTENZIALE 8 AI ; +/-5/10V, 1-5 V, +/-20MA, 0/4...20MA, 16 BIT (55 MS), GRUPPI DI 1 (50V COM.)</t>
  </si>
  <si>
    <t>6ES73325HB010AB0</t>
  </si>
  <si>
    <t>6ES7332-5HB01-0AB0</t>
  </si>
  <si>
    <t>6ES73325HD010AB0</t>
  </si>
  <si>
    <t>6ES7332-5HD01-0AB0</t>
  </si>
  <si>
    <t>SIMATIC S7-300, UNITA' ANALOGICA SM 332, CON SEPAR.DI POTENZIALE U/I; RISOLUZ. 11/12 BIT, 2AO, FUNZIONE DISINS./INSER. CON BUS ATTIVO</t>
  </si>
  <si>
    <t>SIMATIC S7-300, UNITA' ANALOGICA SM 332, CON SEPAR.DI POTENZIALE U/I; DIAGNOSTICA; RISOL.11/12 BIT 4AO, FUNZIONE DISINS./INSER. CON BUS ATTIVO</t>
  </si>
  <si>
    <t>6ES73221BF010AA0</t>
  </si>
  <si>
    <t>6ES7322-1BF01-0AA0</t>
  </si>
  <si>
    <t>UNITA' ELETTR.SM 322 8DO DC 24V 2A</t>
  </si>
  <si>
    <t>6ES73221BH010AA0</t>
  </si>
  <si>
    <t>6ES7322-1BH01-0AA0</t>
  </si>
  <si>
    <t>UNITA' ELETT.SM 322 16DO DC24V 0,5A</t>
  </si>
  <si>
    <t>6ES73221BL000AA0</t>
  </si>
  <si>
    <t>6ES7322-1BL00-0AA0</t>
  </si>
  <si>
    <t>UNITA' ELET.SM 322 32DO DC 24V,0,5A</t>
  </si>
  <si>
    <t>6ES73221HH010AA0</t>
  </si>
  <si>
    <t>6ES7322-1HH01-0AA0</t>
  </si>
  <si>
    <t>6ES73221HF010AA0</t>
  </si>
  <si>
    <t>6ES7322-1HF01-0AA0</t>
  </si>
  <si>
    <t>SIMATIC S7-300, UNITA' DIGITALE SM 322, CON SEPAR.DI POTENZIALE 8DO (USCITE A RELE') DC 24V, 2A OPPURE AC 230V, 2A</t>
  </si>
  <si>
    <t>SIMATIC S7-300, UNITA' DIGITALE SM 322, CON SEPAR.DI POTENZIALE 16DO, CONTATTO RELE' (2 X 8 DO), 20 POLI</t>
  </si>
  <si>
    <t>6ES73231BH010AA0</t>
  </si>
  <si>
    <t>6ES7323-1BH01-0AA0</t>
  </si>
  <si>
    <t>UNITA' ELETTR.SM 323 8DI/8DO DC24V</t>
  </si>
  <si>
    <t>6ES71531AA030XB0</t>
  </si>
  <si>
    <t>6ES7153-1AA03-0XB0</t>
  </si>
  <si>
    <t>AJ</t>
  </si>
  <si>
    <t>070 I0GS</t>
  </si>
  <si>
    <t>SIMATIC DP, ET 200M SISTEMA DI PERIFERIA DECENTRATA PER MAX. 8 UNITA' S7-300</t>
  </si>
  <si>
    <t>6ES73906BA000AA0</t>
  </si>
  <si>
    <t>6ES7390-6BA00-0AA0</t>
  </si>
  <si>
    <t>ADATTATORE DI MONTAGGIO PER PS 307</t>
  </si>
  <si>
    <t>6ES73901AB600AA0</t>
  </si>
  <si>
    <t>6ES7390-1AB60-0AA0</t>
  </si>
  <si>
    <t>GUIDA PROFILATA 160MM X S7-300</t>
  </si>
  <si>
    <t>6ES73901AE800AA0</t>
  </si>
  <si>
    <t>6ES7390-1AE80-0AA0</t>
  </si>
  <si>
    <t>GUIDA PROFILATA PER S7 300 480 MM</t>
  </si>
  <si>
    <t>6ES73901AF300AA0</t>
  </si>
  <si>
    <t>6ES7390-1AF30-0AA0</t>
  </si>
  <si>
    <t>GUIDA PROFILATA 530MM X S7-300</t>
  </si>
  <si>
    <t>6ES73901AJ300AA0</t>
  </si>
  <si>
    <t>6ES7390-1AJ30-0AA0</t>
  </si>
  <si>
    <t>GUIDA PROFILATA 830MM X S7-300</t>
  </si>
  <si>
    <t>6ES73901BC000AA0</t>
  </si>
  <si>
    <t>6ES7390-1BC00-0AA0</t>
  </si>
  <si>
    <t>GUIDA PROFILATA PER S7-300 2000 MM</t>
  </si>
  <si>
    <t>6ES73905AA000AA0</t>
  </si>
  <si>
    <t>6ES7390-5AA00-0AA0</t>
  </si>
  <si>
    <t>ELEMENTO DI  SCHERMATURA</t>
  </si>
  <si>
    <t>6ES73905AB000AA0</t>
  </si>
  <si>
    <t>6ES7390-5AB00-0AA0</t>
  </si>
  <si>
    <t>MORSETTI SCHERM.,2 PEZZI,X 2 CAVI</t>
  </si>
  <si>
    <t>6ES79720BA410XA0</t>
  </si>
  <si>
    <t>6ES7972-0BA41-0XA0</t>
  </si>
  <si>
    <t>SPINA COLL.SENZA PRESA PG 12 MB</t>
  </si>
  <si>
    <t>6ES79720BB410XA0</t>
  </si>
  <si>
    <t>6ES7972-0BB41-0XA0</t>
  </si>
  <si>
    <t>CONNETTORE P. PROFIBUS CONNETT. PG</t>
  </si>
  <si>
    <t>6GK15000EA02</t>
  </si>
  <si>
    <t>6GK1500-0EA02</t>
  </si>
  <si>
    <t>BUS TERMINALE</t>
  </si>
  <si>
    <t>P3</t>
  </si>
  <si>
    <t>300 I0NA</t>
  </si>
  <si>
    <t>6AV36171JC200AX1</t>
  </si>
  <si>
    <t>6AV3617-1JC20-0AX1</t>
  </si>
  <si>
    <t>PANNELLO OPERAT. OP17/DP 4X20/8X40</t>
  </si>
  <si>
    <t>P1</t>
  </si>
  <si>
    <t>310 I04V</t>
  </si>
  <si>
    <t>6AV36171JC300AX1</t>
  </si>
  <si>
    <t>6AV3617-1JC30-0AX1</t>
  </si>
  <si>
    <t>PANNELLO OPER.OP17/DP12 4X20/8X40</t>
  </si>
  <si>
    <t>6XV18300EH10</t>
  </si>
  <si>
    <t>6XV1830-0EH10</t>
  </si>
  <si>
    <t>CAVO PROFIBUS   A METRI</t>
  </si>
  <si>
    <t>LM</t>
  </si>
  <si>
    <t>6XV18300EN20</t>
  </si>
  <si>
    <t>6XV1830-0EN20</t>
  </si>
  <si>
    <t>SIMATIC NET - CAVO PROFIBUS  20 M</t>
  </si>
  <si>
    <t>6XV18300EN50</t>
  </si>
  <si>
    <t>6XV1830-0EN50</t>
  </si>
  <si>
    <t>CAVO PROFIBUS  50 M</t>
  </si>
  <si>
    <t>6XV18300ET10</t>
  </si>
  <si>
    <t>6XV1830-0ET10</t>
  </si>
  <si>
    <t>CAVO PROFIBUS SCHERMATO 100M</t>
  </si>
  <si>
    <t>6XV18300ET20</t>
  </si>
  <si>
    <t>6XV1830-0ET20</t>
  </si>
  <si>
    <t>CAVO PROFIBUS SCHERMATO 200M</t>
  </si>
  <si>
    <t>6XV18300ET50</t>
  </si>
  <si>
    <t>6XV1830-0ET50</t>
  </si>
  <si>
    <t>CAVO PROFIBUS SCHERMATO 500M</t>
  </si>
  <si>
    <t>6AV65450BB152AX0</t>
  </si>
  <si>
    <t>6AV6545-0BB15-2AX0</t>
  </si>
  <si>
    <t>TOUCH PANEL TP170B BLUEMODE STNDISP</t>
  </si>
  <si>
    <t>6AV65450BC152AX0</t>
  </si>
  <si>
    <t>6AV6545-0BC15-2AX0</t>
  </si>
  <si>
    <t>TOUCH PANEL TP170B COL-STN V5.2+SP2</t>
  </si>
  <si>
    <t>6AV65420BB152AX0</t>
  </si>
  <si>
    <t>6AV6542-0BB15-2AX0</t>
  </si>
  <si>
    <t>PANNELLO OP170B V5.2+SP2</t>
  </si>
  <si>
    <t>6AV65420AG100AX0</t>
  </si>
  <si>
    <t>6AV6542-0AG10-0AX0</t>
  </si>
  <si>
    <t>6AV65420CA100AX0</t>
  </si>
  <si>
    <t>6AV6542-0CA10-0AX0</t>
  </si>
  <si>
    <t>6AV65420CC100AX0</t>
  </si>
  <si>
    <t>6AV6542-0CC10-0AX0</t>
  </si>
  <si>
    <t>6AV65420DA100AX0</t>
  </si>
  <si>
    <t>6AV6542-0DA10-0AX0</t>
  </si>
  <si>
    <t>SIMATIC MP270B MULTIPANEL E TASTI 10,4" TFTDISPLAY 4 MB PROGETT.CON PROTOOL DA VERSIONE V6.0</t>
  </si>
  <si>
    <t>SIMATIC OP270-6 OPERATOR PANEL 5,7" DISPLAY A COLORI STN 2 MB PROGETT.CON PROTOOL DA VERSIONE V6.0</t>
  </si>
  <si>
    <t>SIMATIC OP270-10 OPERATOR PANEL 10,4" DISPLAY A COLORI STN 2 MB PROGETT.CON PROTOOL DA VERSIONE V6.0</t>
  </si>
  <si>
    <t>SIMATIC MULTIPANEL MP370 12" TFT-DISPLAY, TASTi WINDOWS CE 3.0 PROGETTABILE CON PROTOOL DA VERSIONE V5.2+SP3</t>
  </si>
  <si>
    <t>6AV65450AG100AX0</t>
  </si>
  <si>
    <t>6AV6545-0AG10-0AX0</t>
  </si>
  <si>
    <t>SIMATIC MP270B TOUCH MULTIPANEL DISPLAY TFT 10,4" 4 MB PROGETT.CON PROTOOL AB DA VERSIONE V6.0</t>
  </si>
  <si>
    <t>6AV6574-2AC00-2AA0</t>
  </si>
  <si>
    <t>6AV6574-2AC00-2AF0</t>
  </si>
  <si>
    <t>6AV65742AC002AA0</t>
  </si>
  <si>
    <t>CF CARD  16MB</t>
  </si>
  <si>
    <t>6AV65742AC002AF0</t>
  </si>
  <si>
    <t>CF CARD  48MB (SCHEDA PC (ATA-FLASH) 64 MB)</t>
  </si>
  <si>
    <t>6EP14342BA00</t>
  </si>
  <si>
    <t>6EP1434-2BA00</t>
  </si>
  <si>
    <t>ALIMENTATORE SITOP 10 -500V 24V/10A</t>
  </si>
  <si>
    <t>F1</t>
  </si>
  <si>
    <t>6EP14363BA00</t>
  </si>
  <si>
    <t>6EP1436-3BA00</t>
  </si>
  <si>
    <t>6EP14372BA00</t>
  </si>
  <si>
    <t>6EP1437-2BA00</t>
  </si>
  <si>
    <t>6EP14372BA10</t>
  </si>
  <si>
    <t>6EP1437-2BA10</t>
  </si>
  <si>
    <t>6EP14362BA00</t>
  </si>
  <si>
    <t>6EP1436-2BA00</t>
  </si>
  <si>
    <t>ALIMENT.SITOP 3AC 400-500V 24V/20A (vecchio modello)</t>
  </si>
  <si>
    <t>6EP13312BA00</t>
  </si>
  <si>
    <t>6EP1331-2BA00</t>
  </si>
  <si>
    <t>valvola a stella/coclea &lt;= 0,25Kw</t>
  </si>
  <si>
    <t>buratto &lt;= 3Kw</t>
  </si>
  <si>
    <t>valvola a stella/coclea &gt; 0,25Kw  &lt;= 3Kw</t>
  </si>
  <si>
    <t>jolly</t>
  </si>
  <si>
    <t>acqua miscelata a perdere: nr miscelatori</t>
  </si>
  <si>
    <t>acqua con ricircolo: nr miscelatori</t>
  </si>
  <si>
    <t>ALIMENTATORE SITOP 24V/30A 500V (vecchio modello)</t>
  </si>
  <si>
    <t>ALIMENT.SITOP 3XAC 400-500V 24V 40A (vecchio modello)</t>
  </si>
  <si>
    <t>SITOP POWER ALIMENTATORE STABILIZZATO (SWITCHING) INGRESSO: 3 X AC 400-500V USCITA: 24 V DC/20 A (nuovo modello)</t>
  </si>
  <si>
    <t>6EP13332AA00</t>
  </si>
  <si>
    <t>6EP1333-2AA00</t>
  </si>
  <si>
    <t>ALIMENTATORE SITOP 24V/5A BASICLINE</t>
  </si>
  <si>
    <t>6EP14373BA00</t>
  </si>
  <si>
    <t>6EP1437-3BA00</t>
  </si>
  <si>
    <t>ALIMENTATORE SITOP 24V/2A BASICLINE</t>
  </si>
  <si>
    <t>sconto</t>
  </si>
  <si>
    <t>prezzo unit</t>
  </si>
  <si>
    <t>6ES79223BC505AB0</t>
  </si>
  <si>
    <t>6ES7922-3BC50-5AB0</t>
  </si>
  <si>
    <t>CONNETTORE FRONTALE PER SIMATIC S7-300 (6ES7 392-1AJ00-0AA0),20 COND. SINGOLI 0.5 MMQ, MORSETTI A VITE CONFEZ. = 5 PZ. L = 2.5 M</t>
  </si>
  <si>
    <t>210 I0HE</t>
  </si>
  <si>
    <t>6ES79223BD205AB0</t>
  </si>
  <si>
    <t>6ES7922-3BD20-5AB0</t>
  </si>
  <si>
    <t>CONNETTORE FRONTALE PER SIMATIC S7-300 (6ES7 392-1AJ00-0AA0),20 COND. SINGOLI 0.5 MMQ, MORSETTI A VITE CONFEZ. = 5 PZ. L = 3.2 M</t>
  </si>
  <si>
    <t>6ES73921AJ000AA0</t>
  </si>
  <si>
    <t>6ES7392-1AJ00-0AA0</t>
  </si>
  <si>
    <t>CONNETTORE A VITE 20 POLI S7-300</t>
  </si>
  <si>
    <t>6ES73921AM000AA0</t>
  </si>
  <si>
    <t>6ES7392-1AM00-0AA0</t>
  </si>
  <si>
    <t>CONNETTORE FRONTALE 40 POLI</t>
  </si>
  <si>
    <t>6ES79223BC505AC0</t>
  </si>
  <si>
    <t>6ES7922-3BC50-5AC0</t>
  </si>
  <si>
    <t>CONNETTORE FRONTALE PER SIMATIC S7-300 (6ES7 392-1AM00-0AA0),40 COND. SINGOLI 0.5 MMQ, MORSETTI A VITE CONFEZ. = 5 PZ. L = 2.5 M</t>
  </si>
  <si>
    <t>6ES79223BD205AC0</t>
  </si>
  <si>
    <t>6ES7922-3BD20-5AC0</t>
  </si>
  <si>
    <t>CONNETTORE FRONTALE PER SIMATIC S7-300 (6ES7 392-1AM00-0AA0),40 COND. SINGOLI 0.5 MMQ, MORSETTI A VITE CONFEZ. = 5 PZ. L = 3.2 M</t>
  </si>
  <si>
    <t>motore = 5,5Kw</t>
  </si>
  <si>
    <t>motore = 7,5Kw</t>
  </si>
  <si>
    <t>Qtà</t>
  </si>
  <si>
    <t>Collegamento per motore</t>
  </si>
  <si>
    <t>Collegamento per  Ausiliari/secondari</t>
  </si>
  <si>
    <t>motore = 11Kw</t>
  </si>
  <si>
    <t>motore = 15Kw</t>
  </si>
  <si>
    <t>motore = 22Kw</t>
  </si>
  <si>
    <t>motore = 30Kw</t>
  </si>
  <si>
    <t>motore &lt;= 0,25Kw</t>
  </si>
  <si>
    <t>3RV19011E</t>
  </si>
  <si>
    <t>3RV1901-1E</t>
  </si>
  <si>
    <t>CONT.AUX.FRON.1L+1R X S00/S0/S2/S3</t>
  </si>
  <si>
    <t>SIEMENS</t>
  </si>
  <si>
    <t>motore &lt;0,25 e &lt;3 Kw</t>
  </si>
  <si>
    <t>motore &gt;=3 e &lt;= 4Kw</t>
  </si>
  <si>
    <t>3RA19232B</t>
  </si>
  <si>
    <t>3RA1923-2B</t>
  </si>
  <si>
    <t>COMP. X S/T S0 3RT1024/26</t>
  </si>
  <si>
    <t>3ZT19161BB00</t>
  </si>
  <si>
    <t>3ZT1916-1BB00</t>
  </si>
  <si>
    <t>VARIS.X CONT.S00 24-48VCA/24-70VCC</t>
  </si>
  <si>
    <t>3ZT19261BB00</t>
  </si>
  <si>
    <t>3ZT1926-1BB00</t>
  </si>
  <si>
    <t>VAR.X CONT.S0/2/3 24-48VCA/24-70VCC</t>
  </si>
  <si>
    <t>3RV10314EA10</t>
  </si>
  <si>
    <t>3RV1031-4EA10</t>
  </si>
  <si>
    <t>INT.AUT.3X50A S2 22/32A 50KA</t>
  </si>
  <si>
    <t>3RV10314HA10</t>
  </si>
  <si>
    <t>3RV1031-4HA10</t>
  </si>
  <si>
    <t>INT.AUT.3X50A S2 40/50A 50KA</t>
  </si>
  <si>
    <t>3RT10341BB40</t>
  </si>
  <si>
    <t>3RT1034-1BB40</t>
  </si>
  <si>
    <t>CONT.S2 15KW 24VCC</t>
  </si>
  <si>
    <t>G20 I705</t>
  </si>
  <si>
    <t>3RV10414JA10</t>
  </si>
  <si>
    <t>3RV1041-4JA10</t>
  </si>
  <si>
    <t>INT.AUT.3X100A S3 45/63A 50KA</t>
  </si>
  <si>
    <t>tipo</t>
  </si>
  <si>
    <t>3VF31126DS310AA0</t>
  </si>
  <si>
    <t>3VF3112-6DS31-0AA0</t>
  </si>
  <si>
    <t>INT.AUT.4X100A 100A 70KA PRINC.</t>
  </si>
  <si>
    <t>3VF42115BM310AA0</t>
  </si>
  <si>
    <t>3VF4211-5BM31-0AA0</t>
  </si>
  <si>
    <t>INT.AUT.3X250A 250A 40KA PRINC.</t>
  </si>
  <si>
    <t>3VF42116BM310AA0</t>
  </si>
  <si>
    <t>3VF4211-6BM31-0AA0</t>
  </si>
  <si>
    <t>INT.AUT.3X250A 250A 70KA PRINC.</t>
  </si>
  <si>
    <t>3VF94241JA10</t>
  </si>
  <si>
    <t>3VF9424-1JA10</t>
  </si>
  <si>
    <t>ATTACCHI A SBARRA X 3VF4 3P 3PZ.</t>
  </si>
  <si>
    <t>3VF94241JA20</t>
  </si>
  <si>
    <t>3VF9424-1JA20</t>
  </si>
  <si>
    <t>ATTACCHI A SBARRA X 3VF4 4P 4PZ.</t>
  </si>
  <si>
    <t>3VF52115BM310AA0</t>
  </si>
  <si>
    <t>3VF5211-5BM31-0AA0</t>
  </si>
  <si>
    <t>INT.AUT.3X400A 40KA PRINC.</t>
  </si>
  <si>
    <t>3VF52125DM310AA0</t>
  </si>
  <si>
    <t>3VF5212-5DM31-0AA0</t>
  </si>
  <si>
    <t>INT.AUT.4X400A 40KA PRINC.</t>
  </si>
  <si>
    <t>3VF95241JA10</t>
  </si>
  <si>
    <t>3VF9524-1JA10</t>
  </si>
  <si>
    <t>ATTACCHI A SBARRA X 3VF5 3P 3PZ.</t>
  </si>
  <si>
    <t>3VF95241JA20</t>
  </si>
  <si>
    <t>3VF9524-1JA20</t>
  </si>
  <si>
    <t>ATTACCHI A SBARRA X 3VF5 4P 4PZ.</t>
  </si>
  <si>
    <t>3VF95241NB10</t>
  </si>
  <si>
    <t>3VF9524-1NB10</t>
  </si>
  <si>
    <t>COPRIMORSETTI IP30 X 3VF5 3P 2PZ.</t>
  </si>
  <si>
    <t>3VF95241NB20</t>
  </si>
  <si>
    <t>3VF9524-1NB20</t>
  </si>
  <si>
    <t>COPRIMORSETTI IP30 X 3VF5 4P 2PZ.</t>
  </si>
  <si>
    <t>3VF95231EA00</t>
  </si>
  <si>
    <t>3VF9523-1EA00</t>
  </si>
  <si>
    <t>COM.BLOCCOPORTA NORM.8UC X 3VF5</t>
  </si>
  <si>
    <t>3NW7021</t>
  </si>
  <si>
    <t>BASE SEZ.X FUS. CILINDR. 10X38 2P</t>
  </si>
  <si>
    <t>CG</t>
  </si>
  <si>
    <t>LB0 I21B</t>
  </si>
  <si>
    <t>3NW7031</t>
  </si>
  <si>
    <t>BASE SEZ. X FUS.CILINDR.10X38 3P</t>
  </si>
  <si>
    <t>q.tà/costo pos.</t>
  </si>
  <si>
    <t>4AO CANopen TECHMARK</t>
  </si>
  <si>
    <t>q.tà</t>
  </si>
  <si>
    <t>pompa di dosaggio &lt;= 0,25Kw</t>
  </si>
  <si>
    <t>pompa di ricircolo &lt;= 0,25Kw</t>
  </si>
  <si>
    <t>pompa di dosaggio &gt;0,25 e &lt;=3 Kw</t>
  </si>
  <si>
    <t>boiler riscaldamento acqua:resistenze &gt;0,25 e &lt;= 3 Kw</t>
  </si>
  <si>
    <t>QUADRO ELETTRICO</t>
  </si>
  <si>
    <t>ALIMENTATORE SITOP: 3AC 400-500V, 40A DC 24V (nuovo modello)</t>
  </si>
  <si>
    <t>3RV14211EA10</t>
  </si>
  <si>
    <t>3RV1421-1EA10</t>
  </si>
  <si>
    <t>INT.AUT.3X20A S0 X TRAF 4A 100KA</t>
  </si>
  <si>
    <t>cpu 315 2dp MMC</t>
  </si>
  <si>
    <t>DIV</t>
  </si>
  <si>
    <t>quadro carico silo</t>
  </si>
  <si>
    <t>euro</t>
  </si>
  <si>
    <t>interruttore manovra 32A 4P</t>
  </si>
  <si>
    <t>interruttore manovra 63A 4P</t>
  </si>
  <si>
    <t>interruttore manovra 100A 4P</t>
  </si>
  <si>
    <t>interruttore manovra 125A 4P</t>
  </si>
  <si>
    <t>inverter trifase =0,75 Kw</t>
  </si>
  <si>
    <t>inverter trifase = 1,5 Kw</t>
  </si>
  <si>
    <t>Q1</t>
  </si>
  <si>
    <t>costo UNIT</t>
  </si>
  <si>
    <t xml:space="preserve">comando PLC </t>
  </si>
  <si>
    <t>inverter/silo</t>
  </si>
  <si>
    <t>posizionatore</t>
  </si>
  <si>
    <t>pulsante</t>
  </si>
  <si>
    <t>temperatura PLC</t>
  </si>
  <si>
    <t>peso SIWAREX</t>
  </si>
  <si>
    <t>TRASPORTO</t>
  </si>
  <si>
    <t>pressostato</t>
  </si>
  <si>
    <t>SILO</t>
  </si>
  <si>
    <t>DESCRIZIONE1</t>
  </si>
  <si>
    <t>DESCRIZIONE2</t>
  </si>
  <si>
    <t>TRIMIX</t>
  </si>
  <si>
    <t>PUNTO DOSAGGIO</t>
  </si>
  <si>
    <t>SERBATOIO LIQUIDI</t>
  </si>
  <si>
    <t>DOSA LIQUIDI</t>
  </si>
  <si>
    <t>6AV36071JC200AX1</t>
  </si>
  <si>
    <t>6AV3607-1JC20-0AX1</t>
  </si>
  <si>
    <t>PANNELLO OPERAT.OP7/DP 4X20</t>
  </si>
  <si>
    <t>6AV36071JC300AX1</t>
  </si>
  <si>
    <t>6AV3607-1JC30-0AX1</t>
  </si>
  <si>
    <t>PANNELLO OPERAT. OP7/DP12 4X20</t>
  </si>
  <si>
    <t>temperatura con scheda in rete</t>
  </si>
  <si>
    <t>10,4" touch colore mp270</t>
  </si>
  <si>
    <t>8WD43080DA</t>
  </si>
  <si>
    <t>8WD4308-0DA</t>
  </si>
  <si>
    <t>COL LUM BASE TUBO 100MM</t>
  </si>
  <si>
    <t>DT</t>
  </si>
  <si>
    <t>H20 I833</t>
  </si>
  <si>
    <t>8WD43281XX</t>
  </si>
  <si>
    <t>8WD4328-1XX</t>
  </si>
  <si>
    <t>LAMPADA 24V BA15D 5W(CONF.10 PZ.)</t>
  </si>
  <si>
    <t>8WD44001AB</t>
  </si>
  <si>
    <t>8WD4400-1AB</t>
  </si>
  <si>
    <t>COL.LUM.LUCE FISSA ROSSA 12-240V</t>
  </si>
  <si>
    <t>8WD44200FA</t>
  </si>
  <si>
    <t>8WD4420-0FA</t>
  </si>
  <si>
    <t>EL.SONORO TONO REGOLABILE 24V AC/DC</t>
  </si>
  <si>
    <t>cassa fino 5,7" touch</t>
  </si>
  <si>
    <t>cassa da  5,7" touch</t>
  </si>
  <si>
    <t>finecorsa</t>
  </si>
  <si>
    <t>valvola bistabile + 2 finecorsa</t>
  </si>
  <si>
    <t>valvola monostabile + 2 finecorsa</t>
  </si>
  <si>
    <t>valvola monostabile + 1 finecorsa</t>
  </si>
  <si>
    <t>valvola monostabile</t>
  </si>
  <si>
    <t>livello minimo</t>
  </si>
  <si>
    <t>livello massimo</t>
  </si>
  <si>
    <t>pos</t>
  </si>
  <si>
    <t>id</t>
  </si>
  <si>
    <t>settore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</si>
  <si>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</si>
  <si>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</si>
  <si>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</si>
  <si>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</si>
  <si>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</si>
  <si>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</si>
  <si>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</si>
  <si>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</si>
  <si>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</si>
  <si>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32 USCITE DIGITALI</t>
  </si>
  <si>
    <t>8 USCITE DIGITALI POTENZIATE</t>
  </si>
  <si>
    <t>2 USCITE ANALOGICHE</t>
  </si>
  <si>
    <t>4 USCITE ANALOGICHE</t>
  </si>
  <si>
    <t>16 USCITE DIGITALI</t>
  </si>
  <si>
    <t>SIWAREX 1 CANALE</t>
  </si>
  <si>
    <t>SIWAREX 2 CANALE</t>
  </si>
  <si>
    <t>6ES7350-1AH02-0AE0</t>
  </si>
  <si>
    <t>SCHEDA EL.CONTEGGIO 500KHZ FM350-1</t>
  </si>
  <si>
    <t>6ES73501AH020AE0</t>
  </si>
  <si>
    <t>INTERRUTTORE GENERALE</t>
  </si>
  <si>
    <t>ARMADIO</t>
  </si>
  <si>
    <t xml:space="preserve"> </t>
  </si>
  <si>
    <t>progetto ed esecuzione schema</t>
  </si>
  <si>
    <t>preparazione materiale cablaggio</t>
  </si>
  <si>
    <t>preparazione piastra interna</t>
  </si>
  <si>
    <t>posizionamento apparecchiature</t>
  </si>
  <si>
    <t>cablaggio ausiliari</t>
  </si>
  <si>
    <t>cablaggio potenza</t>
  </si>
  <si>
    <t>preparazione carpenteria quadro</t>
  </si>
  <si>
    <t>preparazione portella</t>
  </si>
  <si>
    <t>preparazione casse locali</t>
  </si>
  <si>
    <t>trimix</t>
  </si>
  <si>
    <t>collaudo finale</t>
  </si>
  <si>
    <t>ore</t>
  </si>
  <si>
    <t>costo unitario I/O</t>
  </si>
  <si>
    <t>16 ore</t>
  </si>
  <si>
    <t>ore/I_O</t>
  </si>
  <si>
    <t>200 I/O</t>
  </si>
  <si>
    <t>costo unitario motori</t>
  </si>
  <si>
    <t>1ora</t>
  </si>
  <si>
    <t>28 motori</t>
  </si>
  <si>
    <t>ore/motore</t>
  </si>
  <si>
    <t>costo unitario per area</t>
  </si>
  <si>
    <t>preparazione e cabalggio piastra</t>
  </si>
  <si>
    <t>potenza Q1</t>
  </si>
  <si>
    <t>potenza Q2</t>
  </si>
  <si>
    <t>potenza Q3</t>
  </si>
  <si>
    <t>potenza Q4</t>
  </si>
  <si>
    <t>potenza Q5</t>
  </si>
  <si>
    <t>potenza Q6</t>
  </si>
  <si>
    <t>potenza Q7</t>
  </si>
  <si>
    <t>potenza Q8</t>
  </si>
  <si>
    <t>potenza Q9</t>
  </si>
  <si>
    <t>potenza Q10</t>
  </si>
  <si>
    <t>costo pos. Q1</t>
  </si>
  <si>
    <t>costo pos. Q2</t>
  </si>
  <si>
    <t>costo pos. Q3</t>
  </si>
  <si>
    <t>costo pos. Q4</t>
  </si>
  <si>
    <t>costo pos. Q5</t>
  </si>
  <si>
    <t>costo pos. Q6</t>
  </si>
  <si>
    <t>costo pos. Q7</t>
  </si>
  <si>
    <t>costo pos. Q8</t>
  </si>
  <si>
    <t>costo pos. Q9</t>
  </si>
  <si>
    <t>costo pos. Q10</t>
  </si>
  <si>
    <t>SW_Q1</t>
  </si>
  <si>
    <t>SW_Q2</t>
  </si>
  <si>
    <t>SW_Q3</t>
  </si>
  <si>
    <t>SW_Q4</t>
  </si>
  <si>
    <t>SW_Q5</t>
  </si>
  <si>
    <t>SW_Q6</t>
  </si>
  <si>
    <t>SW_Q7</t>
  </si>
  <si>
    <t>SW_Q8</t>
  </si>
  <si>
    <t>SW_Q9</t>
  </si>
  <si>
    <t>SW_Q10</t>
  </si>
  <si>
    <t>AI_Q1</t>
  </si>
  <si>
    <t>AI_Q2</t>
  </si>
  <si>
    <t>AI_Q3</t>
  </si>
  <si>
    <t>AI_Q4</t>
  </si>
  <si>
    <t>AI_Q5</t>
  </si>
  <si>
    <t>AI_Q6</t>
  </si>
  <si>
    <t>AI_Q7</t>
  </si>
  <si>
    <t>AI_Q8</t>
  </si>
  <si>
    <t>AI_Q9</t>
  </si>
  <si>
    <t>AI_Q10</t>
  </si>
  <si>
    <t>DIV_Q1</t>
  </si>
  <si>
    <t>DIV_Q2</t>
  </si>
  <si>
    <t>DIV_Q3</t>
  </si>
  <si>
    <t>DIV_Q4</t>
  </si>
  <si>
    <t>DIV_Q5</t>
  </si>
  <si>
    <t>DIV_Q6</t>
  </si>
  <si>
    <t>DIV_Q7</t>
  </si>
  <si>
    <t>DIV_Q8</t>
  </si>
  <si>
    <t>DIV_Q9</t>
  </si>
  <si>
    <t>DIV_Q10</t>
  </si>
  <si>
    <t>DI_Q1</t>
  </si>
  <si>
    <t>DI_Q2</t>
  </si>
  <si>
    <t>DI_Q3</t>
  </si>
  <si>
    <t>Punti dosaggio</t>
  </si>
  <si>
    <t xml:space="preserve">Tot I/O </t>
  </si>
  <si>
    <t>il presente foglio di lavoro è adatto al calcolo per impianti in cui il layout è diverso dalla configurazione standard di 4 silbox 1 punto di pesatura con acqua mix.</t>
  </si>
  <si>
    <t>linea: gruppo di punti di dosaggio omogenei</t>
  </si>
  <si>
    <t>impianto: insieme di più linee</t>
  </si>
  <si>
    <t>numero</t>
  </si>
  <si>
    <t>ingressi/uscite totali</t>
  </si>
  <si>
    <t>Nr punti di dosaggio totali</t>
  </si>
  <si>
    <t>n_medio</t>
  </si>
  <si>
    <t>Nr linee</t>
  </si>
  <si>
    <t>ORE</t>
  </si>
  <si>
    <t>pannelli operatore</t>
  </si>
  <si>
    <t>numero pagine di sinottico impianto attive/speciali</t>
  </si>
  <si>
    <t>programma PLC</t>
  </si>
  <si>
    <t>programma PLC su misura: numero nuove funzionalità</t>
  </si>
  <si>
    <t>collaudo impianto escluso viaggio ad impianto finito</t>
  </si>
  <si>
    <t>totale ore</t>
  </si>
  <si>
    <t>totale collaudo [h]</t>
  </si>
  <si>
    <t>totale [h]</t>
  </si>
  <si>
    <t>Descrizione funzionalità standard</t>
  </si>
  <si>
    <t>pannello operatore master</t>
  </si>
  <si>
    <t>pagina produzione di una linea</t>
  </si>
  <si>
    <t>pagina report produzione di una linea</t>
  </si>
  <si>
    <t>pagina introduzione ricette di impianto</t>
  </si>
  <si>
    <t>pagina pesi sili e fluidificazione di impianto</t>
  </si>
  <si>
    <t>pagina parametri prodotto di impianto</t>
  </si>
  <si>
    <t>pagina consumi e giacenze prodotto di impianto</t>
  </si>
  <si>
    <t>pagina calibrazione bilancia di impianto</t>
  </si>
  <si>
    <t>pagina parametri bilancia di impianto</t>
  </si>
  <si>
    <t>pagine parametri impianto (tempi, valori, ecc) di impianto</t>
  </si>
  <si>
    <t>pagina stato di sistema</t>
  </si>
  <si>
    <t>visualizzazione/gestione allarmi di una linea</t>
  </si>
  <si>
    <t>pannello operatore slave</t>
  </si>
  <si>
    <t xml:space="preserve">programma standard per linea (max 4 linee) </t>
  </si>
  <si>
    <t>32 prodotti automatici</t>
  </si>
  <si>
    <t>68 manuali</t>
  </si>
  <si>
    <t xml:space="preserve">5 punti di pesatutra </t>
  </si>
  <si>
    <t>100 ricette max con PLC</t>
  </si>
  <si>
    <t>lettura contalitri</t>
  </si>
  <si>
    <t>lettura peso punto di pesatura da WP104/ANALOGICA/SIWAREX</t>
  </si>
  <si>
    <t>pesatura in addizione con scarico parziale</t>
  </si>
  <si>
    <t>pesatura in addizione con scarico parziale e controllo acqua miscelata</t>
  </si>
  <si>
    <t>pesatura in sottrazione e ricarico automatico</t>
  </si>
  <si>
    <t>dosaggio con trasporto pneumatico aspirazione/compressione con preset</t>
  </si>
  <si>
    <t>dosaggio con coclee con preset</t>
  </si>
  <si>
    <t>dosaggio trimix con preset</t>
  </si>
  <si>
    <t>dosaggio liquidi a circuito aperto senza prenotazione con preset</t>
  </si>
  <si>
    <t>dosaggio con piatti manuali</t>
  </si>
  <si>
    <t>trasporto a coclee/nastri elevatori</t>
  </si>
  <si>
    <t>gestione carico silo con/senza cepatic</t>
  </si>
  <si>
    <t>gestione allarmi</t>
  </si>
  <si>
    <t>gestione miscelazione polveri a velocità variabile</t>
  </si>
  <si>
    <t>comandi manuali utenze</t>
  </si>
  <si>
    <t>report consumi e giacenze per prodotto</t>
  </si>
  <si>
    <t>fluidificazione ON-OFF automatica</t>
  </si>
  <si>
    <t>pesatura e gestione livelli silo con WP104 in profibus/analogica</t>
  </si>
  <si>
    <t>trasporto prodotto su più linee ( &gt; 2)</t>
  </si>
  <si>
    <t>Base</t>
  </si>
  <si>
    <t>Differenze</t>
  </si>
  <si>
    <t>Costo orario</t>
  </si>
  <si>
    <t>Progettista interno</t>
  </si>
  <si>
    <t>Manodopera std interna</t>
  </si>
  <si>
    <t>Totale M Opera</t>
  </si>
  <si>
    <t>Linee ( Gruppo di dosaggio omogeneo ) SE più di una modificare</t>
  </si>
  <si>
    <t>OFFERTA</t>
  </si>
  <si>
    <t>totale</t>
  </si>
  <si>
    <t>Cavi e collegamenti</t>
  </si>
  <si>
    <t>costo unit</t>
  </si>
  <si>
    <t>Totale</t>
  </si>
  <si>
    <t>Cavi/cablaggi motori</t>
  </si>
  <si>
    <t>Cablaggi ausiliairi</t>
  </si>
  <si>
    <t>m</t>
  </si>
  <si>
    <t>a</t>
  </si>
  <si>
    <t>m/a/r</t>
  </si>
  <si>
    <t>r</t>
  </si>
  <si>
    <t>Cablaggi rete</t>
  </si>
  <si>
    <t>TOTALE inverter/posizionatori</t>
  </si>
  <si>
    <t>n° inverter/posizionatori</t>
  </si>
  <si>
    <t>n° valvole/elettrovalvole</t>
  </si>
  <si>
    <t>TOTALE valvole/elettrovalvole</t>
  </si>
  <si>
    <t>TOTALE motori</t>
  </si>
  <si>
    <t>DI_Q4</t>
  </si>
  <si>
    <t>DI_Q5</t>
  </si>
  <si>
    <t>DI_Q6</t>
  </si>
  <si>
    <t>DI_Q7</t>
  </si>
  <si>
    <t>DI_Q8</t>
  </si>
  <si>
    <t>DI_Q9</t>
  </si>
  <si>
    <t>DI_Q10</t>
  </si>
  <si>
    <t>DO_Q1</t>
  </si>
  <si>
    <t>DO_Q2</t>
  </si>
  <si>
    <t>DO_Q3</t>
  </si>
  <si>
    <t>DO_Q4</t>
  </si>
  <si>
    <t>DO_Q5</t>
  </si>
  <si>
    <t>DO_Q6</t>
  </si>
  <si>
    <t>DO_Q7</t>
  </si>
  <si>
    <t>DO_Q8</t>
  </si>
  <si>
    <t>DO_Q9</t>
  </si>
  <si>
    <t>DO_Q10</t>
  </si>
  <si>
    <t>DO2_Q1</t>
  </si>
  <si>
    <t>DO2_Q2</t>
  </si>
  <si>
    <t>DO2_Q3</t>
  </si>
  <si>
    <t>DO2_Q4</t>
  </si>
  <si>
    <t>DO2_Q5</t>
  </si>
  <si>
    <t>DO2_Q6</t>
  </si>
  <si>
    <t>DO2_Q7</t>
  </si>
  <si>
    <t>DO2_Q8</t>
  </si>
  <si>
    <t>DO2_Q9</t>
  </si>
  <si>
    <t>DO2_Q10</t>
  </si>
  <si>
    <t>AO_Q1</t>
  </si>
  <si>
    <t>AO_Q2</t>
  </si>
  <si>
    <t>AO_Q3</t>
  </si>
  <si>
    <t>AO_Q4</t>
  </si>
  <si>
    <t>AO_Q5</t>
  </si>
  <si>
    <t>AO_Q6</t>
  </si>
  <si>
    <t>AO_Q7</t>
  </si>
  <si>
    <t>AO_Q8</t>
  </si>
  <si>
    <t>AO_Q9</t>
  </si>
  <si>
    <t>AO_Q10</t>
  </si>
  <si>
    <t>peso PRECISE -&gt; PLC</t>
  </si>
  <si>
    <t>costo orario cablaggio</t>
  </si>
  <si>
    <t>costo</t>
  </si>
  <si>
    <t>n° motori</t>
  </si>
  <si>
    <t>B&amp;R</t>
  </si>
  <si>
    <t>connettore CANopen</t>
  </si>
  <si>
    <t>modulo 16DI+16DO</t>
  </si>
  <si>
    <t>connettore a molla per modulo</t>
  </si>
  <si>
    <t>modulo 8 DI/DO configurabilii</t>
  </si>
  <si>
    <t>controller CANopen x 4 moduli</t>
  </si>
  <si>
    <t xml:space="preserve">pannello 5,7 touch </t>
  </si>
  <si>
    <t>memoria Compact flash 32 Mb</t>
  </si>
  <si>
    <t>cpu con 4 slot 1,5Mb memoria utente RS232+CAN (max 16 slot)</t>
  </si>
  <si>
    <t>scheda interfaccia ethernet + RS232</t>
  </si>
  <si>
    <t>cavo CAN bus</t>
  </si>
  <si>
    <t>cavo ETHERNET</t>
  </si>
  <si>
    <t>Panel PC RTV640 con pannello 8,4" TFT + 24 tasti + licenza RT</t>
  </si>
  <si>
    <t>CONFIGURAZIONE B&amp;R CON PANEL PC rete CANopen</t>
  </si>
  <si>
    <t>CONFIGURAZIONE SIEMENS PLC + PANNELLO  5,7" touch a colori completo di cassa inox rete MPI (MAX 50mt)</t>
  </si>
  <si>
    <t>CONFIGURAZIONE B&amp;R PLC + PANNELLO  5,7" touch a colori completo di cassa inox rete CANopen</t>
  </si>
  <si>
    <t>CONFIGURAZIONE FAR CON PANEL PC rete ethernet (max 100mt)</t>
  </si>
  <si>
    <t>alimentatore 220/24vdc 5A</t>
  </si>
  <si>
    <t>FAR</t>
  </si>
  <si>
    <t>controller di rete ethernet</t>
  </si>
  <si>
    <t>controller profibus IM151 (max 12 moduli)</t>
  </si>
  <si>
    <t>connettore PROFIBUS</t>
  </si>
  <si>
    <t>modulo terminale</t>
  </si>
  <si>
    <t>modulo alimentazione</t>
  </si>
  <si>
    <t>modulo 4 DI (5 pz)</t>
  </si>
  <si>
    <t>modulo 4 DO 24 VDC/0,5A (5 pz)</t>
  </si>
  <si>
    <t>blocco terminale (5pz)</t>
  </si>
  <si>
    <t>4 SILO + ACQUA MIX UN PUNTO DI DOSAGGIO</t>
  </si>
  <si>
    <t>TECHMARK</t>
  </si>
  <si>
    <t>CONFIGURAZIONE TECHMARK CON PC rete CANopen</t>
  </si>
  <si>
    <t xml:space="preserve">monitor 6,4" </t>
  </si>
  <si>
    <t>tastiera</t>
  </si>
  <si>
    <t>scheda CPU con scheda CANopen</t>
  </si>
  <si>
    <t>controller CANopen SENZA DIAGNOSTICA</t>
  </si>
  <si>
    <t>modulo 16DI ethernet</t>
  </si>
  <si>
    <t>modulo 16DO ethernet</t>
  </si>
  <si>
    <t>modulo 16DI CANopen</t>
  </si>
  <si>
    <t>modulo 16DO CANopen</t>
  </si>
  <si>
    <t>alimentatore interno</t>
  </si>
  <si>
    <t>LICENZA WINDOWS 2000</t>
  </si>
  <si>
    <t>LICENZA RT ISAGRAF</t>
  </si>
  <si>
    <t>cavo profibus</t>
  </si>
  <si>
    <t>1 SILO + UN PUNTO DI DOSAGGIO</t>
  </si>
  <si>
    <t>ASSEMBLAGGIO PC</t>
  </si>
  <si>
    <t>costo quadro + PRECISE per misura peso + scatola giunzione temperatura in rete</t>
  </si>
  <si>
    <t>TOTALE</t>
  </si>
  <si>
    <t>PUNTO COMANDO</t>
  </si>
  <si>
    <t>torretta di segnalazione verde/rossa/sirena</t>
  </si>
  <si>
    <t>6ES71511CA000AB0</t>
  </si>
  <si>
    <t>6ES7151-1CA00-0AB0</t>
  </si>
  <si>
    <t>INTERFACCIA IM 151 X ET200S MAX 12 MODULI, NO MODULI F</t>
  </si>
  <si>
    <t>6ES71934CC200AA0</t>
  </si>
  <si>
    <t>6ES7193-4CC20-0AA0</t>
  </si>
  <si>
    <t>MODULO TERMINALE ET200S CON AUX1</t>
  </si>
  <si>
    <t>6ES71384CA000AA0</t>
  </si>
  <si>
    <t>6ES7138-4CA00-0AA0</t>
  </si>
  <si>
    <t>MODULO ALIMENTAZIONE ET200S DIAGN.</t>
  </si>
  <si>
    <t>6ES71314BD000AA0</t>
  </si>
  <si>
    <t>6ES7131-4BD00-0AA0</t>
  </si>
  <si>
    <t>SIMATIC DP-MODULO X ET200  4DI   5PZ</t>
  </si>
  <si>
    <t>6ES71324BD000AA0</t>
  </si>
  <si>
    <t>6ES7132-4BD00-0AA0</t>
  </si>
  <si>
    <t>SIMATIC DP- MODULO X ET200S  4DO 5PZ</t>
  </si>
  <si>
    <t>6ES71934CA400AA0</t>
  </si>
  <si>
    <t>6ES7193-4CA40-0AA0</t>
  </si>
  <si>
    <t>BLOCC.TERM.TM-E15S26-A1(ET200S)(5P)</t>
  </si>
  <si>
    <t>controller CANopen TECHMARK</t>
  </si>
  <si>
    <t>16DI CANopen TECHMARK</t>
  </si>
  <si>
    <t>16DO CANopen TECHMARK</t>
  </si>
  <si>
    <t>4 DI PROFIBUS</t>
  </si>
  <si>
    <t>4 DO PROFIBUS</t>
  </si>
  <si>
    <t>numero punti di dosaggio</t>
  </si>
  <si>
    <t>inverter monofase =0,37 Kw</t>
  </si>
  <si>
    <t>inverter monofase =0,75 Kw</t>
  </si>
  <si>
    <t>OMRON</t>
  </si>
  <si>
    <t>CJ1W-PA202</t>
  </si>
  <si>
    <t>alimentatore esterno CJ1 100-230 5VDC/2,8A</t>
  </si>
  <si>
    <t>CPU PLC</t>
  </si>
  <si>
    <t>CJ1M-CPU22</t>
  </si>
  <si>
    <t>HMC-EF861</t>
  </si>
  <si>
    <t>Memory card 8 Mbyte</t>
  </si>
  <si>
    <t>CJ1W-DRM21</t>
  </si>
  <si>
    <t>Modulo master per rete Compobus D (DeviceNET)</t>
  </si>
  <si>
    <t>DRT2-ID16-1</t>
  </si>
  <si>
    <t>PROFACE</t>
  </si>
  <si>
    <t>WAGO</t>
  </si>
  <si>
    <t>Accoppiatore DEVICE-NET</t>
  </si>
  <si>
    <t>750-430</t>
  </si>
  <si>
    <t>modulo 8 DI</t>
  </si>
  <si>
    <t>modulo 8 DO</t>
  </si>
  <si>
    <t>GP 2300-TC41-24V</t>
  </si>
  <si>
    <t>Pannello operatore touch screen 5,7” TFT Ethernet, CF card, 2 seriali, 1 centronics (stampa)</t>
  </si>
  <si>
    <t xml:space="preserve">CONFIGURAZIONE OMRON+WAGO+PROFACE rete DEVICEnet </t>
  </si>
  <si>
    <t>750-600</t>
  </si>
  <si>
    <t>terminazione nodo</t>
  </si>
  <si>
    <t>fluidificazione: nr elettrovalvole</t>
  </si>
  <si>
    <t>anticondensa gestito/visualizzato dal PLC</t>
  </si>
  <si>
    <t>finecorsa su tubo di carico</t>
  </si>
  <si>
    <t>livello minimo su silo</t>
  </si>
  <si>
    <t>livello massimo su silo</t>
  </si>
  <si>
    <t>sonda di livello massimo</t>
  </si>
  <si>
    <t>sonda di livello minimo</t>
  </si>
  <si>
    <t>Profibus PANOP/PLC costo al metro</t>
  </si>
  <si>
    <t>stellare/coclea di scarico fino 0,25Kw</t>
  </si>
  <si>
    <t>stellare/coclea di scarico da 0,25Kw a 3Kw</t>
  </si>
  <si>
    <t>sonda temperatura su bilancia</t>
  </si>
  <si>
    <t>pulsante scarico</t>
  </si>
  <si>
    <t>posizionatore carrello microcompact</t>
  </si>
  <si>
    <t>vibratore pneumatico su trimix</t>
  </si>
  <si>
    <t>livello minimo trimix</t>
  </si>
  <si>
    <t>livello massimo trimix</t>
  </si>
  <si>
    <t>compressore carico trimix 4Kw</t>
  </si>
  <si>
    <t>compressore carico trimix 2,2Kw</t>
  </si>
  <si>
    <t>TRASPORTO LIQUIDI</t>
  </si>
  <si>
    <t>PANEL PLC 10,4" + TASTIERA B&amp;R</t>
  </si>
  <si>
    <t>torretta</t>
  </si>
  <si>
    <t>cepi</t>
  </si>
  <si>
    <t>Scheda CANopen</t>
  </si>
  <si>
    <t>MODIFICHE ON-LINE</t>
  </si>
  <si>
    <t>SI</t>
  </si>
  <si>
    <t>MOELLER</t>
  </si>
  <si>
    <t>NON SO</t>
  </si>
  <si>
    <t>TELEASSISTENZA</t>
  </si>
  <si>
    <t>Visualizzazione dell'automazione attraverso modem seriale, router+isdn, modem gsm. Nel caso di modifiche si deve fermare l'impianto. Visualizzazione con appposito software delle pagine grafiche attive anche su PC</t>
  </si>
  <si>
    <t>inidirizzamento indiretto</t>
  </si>
  <si>
    <t>si</t>
  </si>
  <si>
    <t xml:space="preserve">no </t>
  </si>
  <si>
    <t>si in linguaggio C</t>
  </si>
  <si>
    <t>Visualizzazione dell'automazione attraverso modem seriale, router+isdn. Nel caso di modifiche si deve fermare l'impianto. Visualizzazione con INTERNET EXPLORER delle pagine grafiche (non so se sono attive)</t>
  </si>
  <si>
    <t>Visualizzazione dell'automazione attraverso modem seriale, router+isdn. Nel caso di modifiche si deve fermare l'impianto.</t>
  </si>
  <si>
    <t>BACK UP</t>
  </si>
  <si>
    <t>Il backup avviene su una memoria allo stato solido con porta USB. Per crearlo è necessario un pannello. Non può registrare dati</t>
  </si>
  <si>
    <t>MMC su PLC e CF-CARD su PANNELLO, unica CF-CARD nel caso di MP370. Nel PLC si salvano solo i dati inziali, mentre sul pannello si salva progetto sisetma operativo e dati. Per creare la MMC è necessario un programmatore esternoo un PC, per la CF-CARD è necessario il pannello. può registrare dati</t>
  </si>
  <si>
    <t>CF-CARD è il disco rigido del PANEL-PLC, quindi si salva il sistema operativo, programma pcl, programma pannello. Si può generare con il PC e con il pannello. E' necessario compare CF-CARD della MOELLER. E' possibile collegare un programmatore di CF-CARD esterno. può registrae dati</t>
  </si>
  <si>
    <t>CF-CARD è il disco rigido del PANEL-PLC, quindi si salva il sistema operativo, programma pcl, programma pannello. Si può generare con il solo pannello.</t>
  </si>
  <si>
    <t>NO</t>
  </si>
  <si>
    <t>CROSS REFERENCE</t>
  </si>
  <si>
    <t>DEBUGGER</t>
  </si>
  <si>
    <t>SIMULAZIONE</t>
  </si>
  <si>
    <t>PLC  PANNELO DA MP IN SU</t>
  </si>
  <si>
    <t>PLC E PANNELLO</t>
  </si>
  <si>
    <t>PLC PANNELLO NON SO</t>
  </si>
  <si>
    <t>SOLO PLC</t>
  </si>
  <si>
    <t>NO: Devo trasferire tutto il programma, in quanto è un compilato</t>
  </si>
  <si>
    <t>?????? dispende dall'entità, dopo la modifica ti prorpone automaticamente se devo trasferire il solo "blocco"?</t>
  </si>
  <si>
    <t>PROGRAMMAZIONE IN KOP</t>
  </si>
  <si>
    <t xml:space="preserve">SI </t>
  </si>
  <si>
    <t>SI non si sa se il debugg possa passare da una ruotine in "C" ad una routine in KOP</t>
  </si>
  <si>
    <t>GENERAZIONE DI MENU' A TENDINA</t>
  </si>
  <si>
    <t>Solo a scorrimento con artifizi di visualizzazione, senza ricerca per nome, ma solo scorrimento per numero. Si deve scrivere un semplice codice nel plc</t>
  </si>
  <si>
    <t>GRAFICA PANNELLO</t>
  </si>
  <si>
    <t>di alto livello</t>
  </si>
  <si>
    <t>di alo livello</t>
  </si>
  <si>
    <t>TABELLA VARIABILI PANNELLO</t>
  </si>
  <si>
    <t>collegata a quella del PLC  ma con nomi diversi</t>
  </si>
  <si>
    <t>unica per pannello e plc</t>
  </si>
  <si>
    <t>separata da PLC collegata con indirizzi in esadecimale. MOLTO potente per la connessione di più pannelli in rete.</t>
  </si>
  <si>
    <t>molto integrata nella programmazione in C, con le fuznioni VISAPI. di alto livello</t>
  </si>
  <si>
    <t>si possono definire delle variabili globali, un po’ complessa.</t>
  </si>
  <si>
    <t>COLLEGAMENTO ETHERNET</t>
  </si>
  <si>
    <t>procollo TCP/IP</t>
  </si>
  <si>
    <t xml:space="preserve">procollo TCP/IP </t>
  </si>
  <si>
    <t>procollo UDP e TCP/IP</t>
  </si>
  <si>
    <t>possibile tra pannelli con aree dati condivise con indirizzi per le variabili</t>
  </si>
  <si>
    <t>possibile tra pannelli con apposite librerie di comandi da scrivi in "C". Occorre creare un'architettura master/slave.</t>
  </si>
  <si>
    <t>COLLEGAMENTO ETHERNET CON PC</t>
  </si>
  <si>
    <t>le ricette sono memorizzate in fomato testo con un checksum finale direttamente sulla CF-CARD, si possono leggere da rete ethernet, il WINDOWS COMMANDER. IL pennlo è visto come un PC in rete. Esisteb ed è una tantum OPC server per leggere le varaibili direttamente dal PLC.</t>
  </si>
  <si>
    <t>è possibile leggere in rete, creare file csv con bufferizazione del peso, ricette e report. E' possibile importare ricette da file csv. Il pannnello è visto come un PC in rete. Esiste da pagare per ogni stazione OPC server per leggere le varaibili direttamente dal PLC.</t>
  </si>
  <si>
    <t>COLLEGAMENTO ETHERNET TRA PANNEL-PLC</t>
  </si>
  <si>
    <t>Via MPI/PROFIBUS</t>
  </si>
  <si>
    <t>Posso definire dei gruppi di variabili con classe di comunicazione tra i vari pannelli</t>
  </si>
  <si>
    <t>esistono delle funzioni DLLL richiamabili da visual basic per la lettura e la scrittura delle variabili PLC. Di libero utilizzo</t>
  </si>
  <si>
    <t>Via CANopen scrivendo delle apposite funzioni di lettura e scrittura (pannelli sono uniop) definisco aree di emmeoria sul pannelo da leggere  e scrivere</t>
  </si>
  <si>
    <t>di difficile realizzazione, occorre vedere ??????</t>
  </si>
  <si>
    <t>COLLEGAMENTO TRA PANNEL-PLC ED ALTRI PANNELLI</t>
  </si>
  <si>
    <t>si può in maiera semplice con un solo tipo di pannello PP100 in CANopen, altrimenti in ethernet con apposite librerie di comandi da scrivi in "C". Occorre creare un'architettura master/slave.</t>
  </si>
  <si>
    <t>STAMPANTE</t>
  </si>
  <si>
    <t>Via seriale con driver già caricati</t>
  </si>
  <si>
    <t>occorre scrivere i comandi di stampa</t>
  </si>
  <si>
    <t>????</t>
  </si>
  <si>
    <t>occrre scrivere i comandi di stampa</t>
  </si>
  <si>
    <t>PORTE SERIALI</t>
  </si>
  <si>
    <t>liberamente configurabile, anche MODBUS e protocollo ASCII</t>
  </si>
  <si>
    <t>?????</t>
  </si>
  <si>
    <t>BLOCCATE una MPI, per l'altra occorre verificare</t>
  </si>
  <si>
    <t>composizione attraverso file EXCEL. Molto potente per pagine ripetitive</t>
  </si>
  <si>
    <t>COMUNICAZIONE CON WP104</t>
  </si>
  <si>
    <t>possibile in PROFIBUS con file GSD</t>
  </si>
  <si>
    <t>possibile in CANopen con file EDS</t>
  </si>
  <si>
    <t>possibile in CANopen con file EDS, possibile in MODBUS</t>
  </si>
  <si>
    <t>rete CANopen</t>
  </si>
  <si>
    <t>no</t>
  </si>
  <si>
    <t>500kb/s estensione ???</t>
  </si>
  <si>
    <t>Softwerista esterno</t>
  </si>
  <si>
    <t xml:space="preserve">Prezzi PLC -  WP </t>
  </si>
  <si>
    <t>Pannello WP300</t>
  </si>
  <si>
    <t>netto database</t>
  </si>
  <si>
    <t>posizionatori</t>
  </si>
  <si>
    <t>SIEMENS: moduli I/O ed espansioni di rete</t>
  </si>
  <si>
    <t>UC_MODA</t>
  </si>
  <si>
    <t>UC_CPU</t>
  </si>
  <si>
    <t>Lenze: inverter</t>
  </si>
  <si>
    <t>ALLEN BRADLEY: moduli I/O ed espansioni di rete</t>
  </si>
  <si>
    <t>SIEMENS/ALLEN BRADLEY cpu</t>
  </si>
  <si>
    <t>SIEMENS/ALLEN BRADLEY pannelli operatori</t>
  </si>
  <si>
    <t xml:space="preserve">EATON partenze motori fino a 3 Kw </t>
  </si>
  <si>
    <t>Carpenteria 800x1800x400 verniciata</t>
  </si>
  <si>
    <t>Carpenteria 800x1800x400 inox</t>
  </si>
  <si>
    <t>Elettromeccanica: Timer modulari</t>
  </si>
  <si>
    <t>UC_REL1</t>
  </si>
  <si>
    <t>UC_REL2</t>
  </si>
  <si>
    <t>Elettromeccanica: rele 1 contatto scambio</t>
  </si>
  <si>
    <t>Elettromeccanica: rele 2 contatti scambio</t>
  </si>
  <si>
    <t>UC_REL4</t>
  </si>
  <si>
    <t>Elettromeccanica: rele 4 contatti scambio</t>
  </si>
  <si>
    <t>UC_REL2T</t>
  </si>
  <si>
    <t>Elettromeccanica: rele 2 contatti scambio temporizzato</t>
  </si>
  <si>
    <t>UC_WP104_DP</t>
  </si>
  <si>
    <t xml:space="preserve">WP104 PESATURA IN PROFIBUS    </t>
  </si>
  <si>
    <t>UC_WP104_MOD</t>
  </si>
  <si>
    <t xml:space="preserve">WP104 PESATURA IN MODBUS    </t>
  </si>
  <si>
    <t>b</t>
  </si>
  <si>
    <t>c</t>
  </si>
  <si>
    <t>linee</t>
  </si>
  <si>
    <t>punti dosaggio</t>
  </si>
  <si>
    <t>I/O PLC</t>
  </si>
  <si>
    <t>schaller</t>
  </si>
  <si>
    <t>fette di sole</t>
  </si>
  <si>
    <t>nigeria</t>
  </si>
  <si>
    <t>punti dosaggio/linea</t>
  </si>
  <si>
    <t>punti dosaggio reali</t>
  </si>
  <si>
    <t>ore comandi manuali plc</t>
  </si>
  <si>
    <t>ore dosaggio plc</t>
  </si>
  <si>
    <t>ore complessità</t>
  </si>
  <si>
    <t>coefficiente di complessità</t>
  </si>
  <si>
    <t>ore/pannello</t>
  </si>
  <si>
    <t>TOTALE moduli I/O</t>
  </si>
  <si>
    <t>CPU 315 2PN/DP</t>
  </si>
  <si>
    <t>CPU 317 2PN/DP</t>
  </si>
  <si>
    <t>CPU 319 3PN/DP</t>
  </si>
  <si>
    <t xml:space="preserve">TOTALE WP300 CON QUADRO </t>
  </si>
  <si>
    <t>Relé 2 contatti</t>
  </si>
  <si>
    <t>Relé 4 contatti</t>
  </si>
  <si>
    <t>Timer</t>
  </si>
  <si>
    <t>Totale numero WP300</t>
  </si>
  <si>
    <t>motori/rele2c</t>
  </si>
  <si>
    <t>motori/rele4c</t>
  </si>
  <si>
    <t>motori/Timer</t>
  </si>
  <si>
    <t>valvole/rele2c</t>
  </si>
  <si>
    <t>valvole/rele4c</t>
  </si>
  <si>
    <t>valvole/Timer</t>
  </si>
  <si>
    <t>PARAMETRI CABLAGGIO/QUADRO</t>
  </si>
  <si>
    <t>ore progetto plc</t>
  </si>
  <si>
    <t>ore progetto wp300</t>
  </si>
  <si>
    <t>progettazione quadro e realizzazione schema elettrico</t>
  </si>
  <si>
    <t>k_plc</t>
  </si>
  <si>
    <t>offset_plc</t>
  </si>
  <si>
    <t>Complessità</t>
  </si>
  <si>
    <t>Complessità coefficiente</t>
  </si>
  <si>
    <t>programma PLC dosaggio</t>
  </si>
  <si>
    <t>programma PLC base</t>
  </si>
  <si>
    <t>programma PLC complessità</t>
  </si>
  <si>
    <t>WP300</t>
  </si>
  <si>
    <t>PLC</t>
  </si>
  <si>
    <t>k_complex</t>
  </si>
  <si>
    <t>k_i_o</t>
  </si>
  <si>
    <t>offset_i_o</t>
  </si>
  <si>
    <t>k_wp</t>
  </si>
  <si>
    <t>offset_wp</t>
  </si>
  <si>
    <t>totale PLC [h]</t>
  </si>
  <si>
    <t>totale pannelli [h]</t>
  </si>
  <si>
    <t>UC_MOTE_</t>
  </si>
  <si>
    <t>UC_ARMV800_1800</t>
  </si>
  <si>
    <t>UC_ARMI800_1800</t>
  </si>
  <si>
    <t>UC_TIM1</t>
  </si>
  <si>
    <t>UC_REL4T</t>
  </si>
  <si>
    <t>Elettromeccanica: rele 4 contatti scambio temporizzato</t>
  </si>
  <si>
    <t>UC_PAN_</t>
  </si>
  <si>
    <t>UC_MODS_</t>
  </si>
  <si>
    <t>UC_POSL</t>
  </si>
  <si>
    <t>UC_INVL_</t>
  </si>
  <si>
    <t>codice ADHOC</t>
  </si>
  <si>
    <t>UC_MODS_1C</t>
  </si>
  <si>
    <t>UC_MODS_16DI</t>
  </si>
  <si>
    <t>UC_MODS_2AI</t>
  </si>
  <si>
    <t>UC_MODS_32DI</t>
  </si>
  <si>
    <t>UC_MODS_16DO</t>
  </si>
  <si>
    <t>UC_MODS_2AO</t>
  </si>
  <si>
    <t>UC_MODS_2AOS</t>
  </si>
  <si>
    <t>UC_MODS_32DO</t>
  </si>
  <si>
    <t>UC_MODS_4AO</t>
  </si>
  <si>
    <t>UC_MODS_8DO2A</t>
  </si>
  <si>
    <t>UC_MODS_SW1U</t>
  </si>
  <si>
    <t>UC_MODS_SW2U</t>
  </si>
  <si>
    <t>UC_MODS_ET200M</t>
  </si>
  <si>
    <t>UC_MODS_ET200S</t>
  </si>
  <si>
    <t>ESPANSIONE RETE ET200M</t>
  </si>
  <si>
    <t>ESPANSIONE RETE ET200S</t>
  </si>
  <si>
    <t>UC_MODS_4DI</t>
  </si>
  <si>
    <t>UC_MODS_4DO</t>
  </si>
  <si>
    <t>UC_MODS_8AI</t>
  </si>
  <si>
    <t>UC_PAN_KP400</t>
  </si>
  <si>
    <t>UC_PAN_TP700</t>
  </si>
  <si>
    <t>UC_PAN_TP900</t>
  </si>
  <si>
    <t>UC_PAN_TP1200</t>
  </si>
  <si>
    <t>cassa 800x1200x300</t>
  </si>
  <si>
    <t>cassa 800x1200x300 inox</t>
  </si>
  <si>
    <t>armadio 800x1800x400</t>
  </si>
  <si>
    <t>armadio 800x1800x400 inox</t>
  </si>
  <si>
    <t>UC_CPU315_2PNDP</t>
  </si>
  <si>
    <t>UC_CPU317_2PNDP</t>
  </si>
  <si>
    <t>UC_CPU319_3PNDP</t>
  </si>
  <si>
    <t>1 INGRESSO VELOCE</t>
  </si>
  <si>
    <t>16 INGRESSI DIGITALI</t>
  </si>
  <si>
    <t>32 INGRESSI DIGITALI</t>
  </si>
  <si>
    <t>2 INGRESSI ANALOGICI</t>
  </si>
  <si>
    <t>8 INGRESSI ANALOGICI</t>
  </si>
  <si>
    <t>interruttore manovra 160 4P</t>
  </si>
  <si>
    <t>interruttore manovra 250 4P</t>
  </si>
  <si>
    <t>interruttore manovra 400 4P</t>
  </si>
  <si>
    <t>UC_SEZS_100A4P</t>
  </si>
  <si>
    <t>UC_SEZS_63A4P</t>
  </si>
  <si>
    <t>UC_SEZM_125A4P</t>
  </si>
  <si>
    <t>UC_SEZM_160A4P</t>
  </si>
  <si>
    <t>UC_SEZM_250A4P</t>
  </si>
  <si>
    <t>UC_SEZM_400A4P</t>
  </si>
  <si>
    <t>UC_INVL_037M</t>
  </si>
  <si>
    <t>UC_INVL_075M</t>
  </si>
  <si>
    <t>UC_INVL_075T</t>
  </si>
  <si>
    <t>UC_MOTE_0,25KW</t>
  </si>
  <si>
    <t>UC_MOTE_3KW</t>
  </si>
  <si>
    <t>UC_MOTE_4KW</t>
  </si>
  <si>
    <t>UC_MOTE_5,5KW</t>
  </si>
  <si>
    <t>UC_MOTE_7,5KW</t>
  </si>
  <si>
    <t>UC_MOTE_11KW</t>
  </si>
  <si>
    <t>UC_MOTE_15KW</t>
  </si>
  <si>
    <t>peso wp104 rete PROFIBUS</t>
  </si>
  <si>
    <t>peso wp104 non collegata</t>
  </si>
  <si>
    <t>peso wp104 uscita analogica</t>
  </si>
  <si>
    <t>UC_MODS_MODBUS</t>
  </si>
  <si>
    <t>ESPANSIONE RETE MODBUS</t>
  </si>
  <si>
    <t>UC_QS1</t>
  </si>
  <si>
    <t>anticondensa</t>
  </si>
  <si>
    <t>anticondensa modulo standard</t>
  </si>
  <si>
    <t>UC_MOTE_22KW</t>
  </si>
  <si>
    <t>UC_MOTE_30KW</t>
  </si>
  <si>
    <t>morsetto per I/O dgitali e analogici</t>
  </si>
  <si>
    <t>ciclofiltro con scheda esterna 4 valvole</t>
  </si>
  <si>
    <t>ciclofiltro con scheda esterna 8 valvole</t>
  </si>
  <si>
    <t>ciclofiltro</t>
  </si>
  <si>
    <t>elettrovalvole fluidifcazione</t>
  </si>
  <si>
    <t>miscelatori acqua mix</t>
  </si>
  <si>
    <t>UC_CASV800_1200</t>
  </si>
  <si>
    <t>UC_CASI800_1200</t>
  </si>
  <si>
    <t>Carpenteria 800x1200x300 inox</t>
  </si>
  <si>
    <t>Carpenteria 800x1200x300 verniciata</t>
  </si>
  <si>
    <t>UC_QUAV800_1200</t>
  </si>
  <si>
    <t>Armadio 800x1800x400 verniciato completo di accessori</t>
  </si>
  <si>
    <t>UC_QUAV800_1800</t>
  </si>
  <si>
    <t>Armadio 800x1800x400 inox completo di accessori</t>
  </si>
  <si>
    <t>Cassa 800x1200x300 verniciato completo di accessori</t>
  </si>
  <si>
    <t>Cassa 800x1200x300 inox completo di accessori</t>
  </si>
  <si>
    <t>UC_QUAI800_1800</t>
  </si>
  <si>
    <t>UC_QUAI800_1200</t>
  </si>
  <si>
    <t>contalitri</t>
  </si>
  <si>
    <t>offset</t>
  </si>
  <si>
    <t xml:space="preserve">UC_PANS_LICENZA_RT                </t>
  </si>
  <si>
    <t>pc con sinottico (escluso hardware)</t>
  </si>
  <si>
    <t>UC_SEZS_32A4P</t>
  </si>
  <si>
    <t>UC_INVL_15T</t>
  </si>
  <si>
    <t>pagina comandi manuali utenze di impianto</t>
  </si>
  <si>
    <t>moduli wp104 e convertitori temperatura</t>
  </si>
  <si>
    <t>UC_WP104_ANA</t>
  </si>
  <si>
    <t>UC_PULS</t>
  </si>
  <si>
    <t>UC_MOTE_CONT_3KW</t>
  </si>
  <si>
    <t>UC_FILTRO_PLC</t>
  </si>
  <si>
    <t>UC_FILTRO_SCHEDA_4V</t>
  </si>
  <si>
    <t>UC_FILTRO_SCHEDA_8V</t>
  </si>
  <si>
    <t>UC_FLUID_PLC</t>
  </si>
  <si>
    <t>UC_ANTICOND_RELE</t>
  </si>
  <si>
    <t>UC_WP300_V6</t>
  </si>
  <si>
    <t>UC_TEMP_PLC</t>
  </si>
  <si>
    <t>UC_TEMP_WP140</t>
  </si>
  <si>
    <t>UC_TORRETTA</t>
  </si>
  <si>
    <t>UC LISTINO</t>
  </si>
  <si>
    <t>COEFF</t>
  </si>
  <si>
    <t>cacodice</t>
  </si>
  <si>
    <t>cadesart</t>
  </si>
  <si>
    <t>cacodart</t>
  </si>
  <si>
    <t>cacodvar</t>
  </si>
  <si>
    <t>caoperat</t>
  </si>
  <si>
    <t>caconfig</t>
  </si>
  <si>
    <t>caconato</t>
  </si>
  <si>
    <t>artipart</t>
  </si>
  <si>
    <t>corifdis</t>
  </si>
  <si>
    <t>cprownum</t>
  </si>
  <si>
    <t>cproword</t>
  </si>
  <si>
    <t>cocodcom</t>
  </si>
  <si>
    <t>cocodart</t>
  </si>
  <si>
    <t>cocodvar</t>
  </si>
  <si>
    <t>counimis</t>
  </si>
  <si>
    <t>cocoeimp</t>
  </si>
  <si>
    <t>cocoeum1</t>
  </si>
  <si>
    <t>coscapro</t>
  </si>
  <si>
    <t>lfcodfor</t>
  </si>
  <si>
    <t>corecsca</t>
  </si>
  <si>
    <t>cosfrido</t>
  </si>
  <si>
    <t>corecsfr</t>
  </si>
  <si>
    <t>coidegru</t>
  </si>
  <si>
    <t>coopelog</t>
  </si>
  <si>
    <t>coflpref</t>
  </si>
  <si>
    <t>coriffas</t>
  </si>
  <si>
    <t>cocorlea</t>
  </si>
  <si>
    <t>coperric</t>
  </si>
  <si>
    <t>coattges</t>
  </si>
  <si>
    <t>codisges</t>
  </si>
  <si>
    <t>coultges</t>
  </si>
  <si>
    <t>tippro</t>
  </si>
  <si>
    <t>dplotmed</t>
  </si>
  <si>
    <t>lvlkey</t>
  </si>
  <si>
    <t>qtacomp</t>
  </si>
  <si>
    <t>qtacompn</t>
  </si>
  <si>
    <t>dpoverhe</t>
  </si>
  <si>
    <t>qtacompl</t>
  </si>
  <si>
    <t>stadis</t>
  </si>
  <si>
    <t>evasocl</t>
  </si>
  <si>
    <t>livello</t>
  </si>
  <si>
    <t>cstandr</t>
  </si>
  <si>
    <t>cmedio</t>
  </si>
  <si>
    <t>cultim</t>
  </si>
  <si>
    <t>raggrup</t>
  </si>
  <si>
    <t>UC_LISTINO_QUADPLC</t>
  </si>
  <si>
    <t>LISTINO PER COSTIFICAZIONE QUADRI (COMM)</t>
  </si>
  <si>
    <t/>
  </si>
  <si>
    <t>*</t>
  </si>
  <si>
    <t>N</t>
  </si>
  <si>
    <t>PH</t>
  </si>
  <si>
    <t>NR</t>
  </si>
  <si>
    <t xml:space="preserve">  -   -  : :</t>
  </si>
  <si>
    <t>AAB</t>
  </si>
  <si>
    <t>R</t>
  </si>
  <si>
    <t>SIEMENS: MODULO CONTEGGIO 500KHZ ET200M</t>
  </si>
  <si>
    <t>AAB.  1</t>
  </si>
  <si>
    <t>SIE6ES73501AH030AE0</t>
  </si>
  <si>
    <t>6ES7-350-1AH03-0AE0</t>
  </si>
  <si>
    <t>MP</t>
  </si>
  <si>
    <t>AAB.  1.  1</t>
  </si>
  <si>
    <t>SIE6ES73921AJ000AA0</t>
  </si>
  <si>
    <t>CONNETT. FRONTALE 20 POLI</t>
  </si>
  <si>
    <t>AAB.  1.  2</t>
  </si>
  <si>
    <t>SIEMENS: MODULO DI16xDC24V ET200M</t>
  </si>
  <si>
    <t>AAB.  2</t>
  </si>
  <si>
    <t>SIE6ES73211BH020AA0</t>
  </si>
  <si>
    <t>ET200M DI16xDC24V</t>
  </si>
  <si>
    <t>AAB.  2.  1</t>
  </si>
  <si>
    <t>SIE6ES79223BD200AB0</t>
  </si>
  <si>
    <t>CAVO FLESSIBILE 20 COND. 3,2 m</t>
  </si>
  <si>
    <t>AAB.  2.  2</t>
  </si>
  <si>
    <t>SIEMENS: MODULO AI2x12bit ET200M</t>
  </si>
  <si>
    <t>AAB.  3</t>
  </si>
  <si>
    <t>SIE6ES73317KB020AB0</t>
  </si>
  <si>
    <t>UNITA' ANALOGICA SM 331</t>
  </si>
  <si>
    <t>AAB.  3.  1</t>
  </si>
  <si>
    <t>AAB.  3.  2</t>
  </si>
  <si>
    <t>SIEMENS: MODULO DI32xDC24V ET200M</t>
  </si>
  <si>
    <t>AAB.  4</t>
  </si>
  <si>
    <t>SIE6ES73211BL000AA0</t>
  </si>
  <si>
    <t>SIMATIC S7-300 32DI 24VDC</t>
  </si>
  <si>
    <t>AAB.  4.  1</t>
  </si>
  <si>
    <t>SIE6ES79223BD200AC0</t>
  </si>
  <si>
    <t>CAVO FLESSIBILE 40 COND. 3,2 m</t>
  </si>
  <si>
    <t>AAB.  4.  2</t>
  </si>
  <si>
    <t>SIEMENS: MODULO AI8x12bit 12/14b ET200M</t>
  </si>
  <si>
    <t>AAB.  5</t>
  </si>
  <si>
    <t>SIE6ES73317KF020AB0</t>
  </si>
  <si>
    <t>AAB.  5.  1</t>
  </si>
  <si>
    <t>AAB.  5.  2</t>
  </si>
  <si>
    <t>SIEMENS: MODULO DO16xDC24V/0,5A ET200M</t>
  </si>
  <si>
    <t>AAB.  6</t>
  </si>
  <si>
    <t>SIE6ES73221BH010AA0</t>
  </si>
  <si>
    <t>SIMATIC S7-300 16DO 24V/0.5A</t>
  </si>
  <si>
    <t>AAB.  6.  1</t>
  </si>
  <si>
    <t>AAB.  6.  2</t>
  </si>
  <si>
    <t>SIEMENS: MODULO AO2x12bit ET200M</t>
  </si>
  <si>
    <t>AAB.  7</t>
  </si>
  <si>
    <t>SIE6ES73325HB010AB0</t>
  </si>
  <si>
    <t>SIMATIC S7-300, UNITA' ANALOGICA 2AO</t>
  </si>
  <si>
    <t>AAB.  7.  1</t>
  </si>
  <si>
    <t>AAB.  7.  2</t>
  </si>
  <si>
    <t>SIEMENS: MODULO AO2 ET200S</t>
  </si>
  <si>
    <t>AAB.  8</t>
  </si>
  <si>
    <t>SIE6ES71354FB010AB0</t>
  </si>
  <si>
    <t>MODULO DI ELETTRON. PER ET200-S, 2AO</t>
  </si>
  <si>
    <t>AAB.  8.  1</t>
  </si>
  <si>
    <t>SIE6ES71934CB300AA0</t>
  </si>
  <si>
    <t>MODULO ET200S TERMINALE</t>
  </si>
  <si>
    <t>AAB.  8.  2</t>
  </si>
  <si>
    <t>SIEMENS: MODULO DO32xDC24V/0,5A ET200M</t>
  </si>
  <si>
    <t>AAB.  9</t>
  </si>
  <si>
    <t>SIE6ES73221BL000AA0</t>
  </si>
  <si>
    <t>SIMATIC S7-300 32DO 24VDC/0,5A</t>
  </si>
  <si>
    <t>AAB.  9.  1</t>
  </si>
  <si>
    <t>AAB.  9.  2</t>
  </si>
  <si>
    <t>SIEMENS: MODULO AO4x12bit ET200M</t>
  </si>
  <si>
    <t>AAB. 10</t>
  </si>
  <si>
    <t>SIE6ES73325HD010AB0</t>
  </si>
  <si>
    <t>SIMATIC S7-300, UNITA' ANALOGICA 4AO</t>
  </si>
  <si>
    <t>AAB. 10.  1</t>
  </si>
  <si>
    <t>AAB. 10.  2</t>
  </si>
  <si>
    <t>MODELLO COMMERCIALE PER UTE</t>
  </si>
  <si>
    <t>AAB. 11</t>
  </si>
  <si>
    <t>SIE6ES73221BF010AA0</t>
  </si>
  <si>
    <t>SIMATIC S7-300 8DO 24VDC/2A</t>
  </si>
  <si>
    <t>AAB. 11.  1</t>
  </si>
  <si>
    <t>AAB. 11.  2</t>
  </si>
  <si>
    <t>SIEMENS: MODULO SIWAREX U 1CH ET200M</t>
  </si>
  <si>
    <t>AAB. 12</t>
  </si>
  <si>
    <t>SIE7MH49501AA01</t>
  </si>
  <si>
    <t>SIWAREX U  1 CANALE CELLA</t>
  </si>
  <si>
    <t>AAB. 12.  1</t>
  </si>
  <si>
    <t>AAB. 12.  2</t>
  </si>
  <si>
    <t>SIEMENS: MODULO SIWAREX U 2CH ET200M</t>
  </si>
  <si>
    <t>AAB. 13</t>
  </si>
  <si>
    <t>SIE7MH49502AA01</t>
  </si>
  <si>
    <t>SIWAREX 2 CANALI</t>
  </si>
  <si>
    <t>AAB. 13.  1</t>
  </si>
  <si>
    <t>AAB. 13.  2</t>
  </si>
  <si>
    <t>SIEMENS: MODULO PROFIBUS ET200M</t>
  </si>
  <si>
    <t>AAB. 14</t>
  </si>
  <si>
    <t>P</t>
  </si>
  <si>
    <t>SIEMENS: MODULO PROFIBUS ET200S</t>
  </si>
  <si>
    <t>AAB. 15</t>
  </si>
  <si>
    <t>SIE6ES71511AA050AB0</t>
  </si>
  <si>
    <t>MODULO D'INTERFACCIA IM151-1</t>
  </si>
  <si>
    <t>AAB. 15.  1</t>
  </si>
  <si>
    <t>SIE6ES79720BA600XA0</t>
  </si>
  <si>
    <t>CONNETTORE PER PROFIBUS FINO A 12 MBIT/S</t>
  </si>
  <si>
    <t>AAB. 15.  2</t>
  </si>
  <si>
    <t>SIE6ES71384CB110AB0</t>
  </si>
  <si>
    <t>MODULO POWER PM-E PER ET200</t>
  </si>
  <si>
    <t>AAB. 15.  3</t>
  </si>
  <si>
    <t>SIE6ES71934CE100AA0</t>
  </si>
  <si>
    <t>AAB. 15.  4</t>
  </si>
  <si>
    <t>SIEMENS: MODULO 4DI DC24V ST ET200S</t>
  </si>
  <si>
    <t>AAB. 16</t>
  </si>
  <si>
    <t>SIE6ES71314BD010AA0</t>
  </si>
  <si>
    <t>MODULO ET200S 4DI  24VDC 5 PZ.</t>
  </si>
  <si>
    <t>AAB. 16.  1</t>
  </si>
  <si>
    <t>AAB. 16.  2</t>
  </si>
  <si>
    <t>SIEMENS: MODULO 4DO DC24V ST ET200S</t>
  </si>
  <si>
    <t>AAB. 17</t>
  </si>
  <si>
    <t>SIE6ES71324BD320AA0</t>
  </si>
  <si>
    <t>MODULO ET200S 4DO DC 24V/2A (5 PZ)</t>
  </si>
  <si>
    <t>AAB. 17.  1</t>
  </si>
  <si>
    <t>AAB. 17.  2</t>
  </si>
  <si>
    <t>SIEMENS: MODULO ET200-S MODBUS</t>
  </si>
  <si>
    <t>AAB. 18</t>
  </si>
  <si>
    <t>SIE6ES71384DF110AB0</t>
  </si>
  <si>
    <t>MODULO ET200S INTERFACCIA SERIALE</t>
  </si>
  <si>
    <t>AAB. 18.  1</t>
  </si>
  <si>
    <t>AAB. 18.  2</t>
  </si>
  <si>
    <t>AAB. 18.  3</t>
  </si>
  <si>
    <t>AAB. 18.  3.  1</t>
  </si>
  <si>
    <t>AAB. 18.  3.  2</t>
  </si>
  <si>
    <t>AAB. 18.  3.  3</t>
  </si>
  <si>
    <t>AAB. 18.  3.  4</t>
  </si>
  <si>
    <t>SIEMENS: PANNELLO KTP400 COMFORT 4"</t>
  </si>
  <si>
    <t>AAB. 19</t>
  </si>
  <si>
    <t>SIE6AV21242DC010AX0</t>
  </si>
  <si>
    <t>SIMATIC HMI KTP400 COMFORT</t>
  </si>
  <si>
    <t>AAB. 19.  1</t>
  </si>
  <si>
    <t>WP003004</t>
  </si>
  <si>
    <t>SCATOLA INOX CIECA BASSA</t>
  </si>
  <si>
    <t>AAB. 19.  2</t>
  </si>
  <si>
    <t>WAG20021611/1000541</t>
  </si>
  <si>
    <t>MORSETTO SEZ. CON FUSIBILE X 2 COND.</t>
  </si>
  <si>
    <t>AAB. 19.  3</t>
  </si>
  <si>
    <t>MOE216374</t>
  </si>
  <si>
    <t>M22-A ADATTATORE FISSAGGIO</t>
  </si>
  <si>
    <t>AAB. 19.  4</t>
  </si>
  <si>
    <t>MOE216378</t>
  </si>
  <si>
    <t>M22-K01 CONTATTO</t>
  </si>
  <si>
    <t>AAB. 19.  5</t>
  </si>
  <si>
    <t>MOE216483</t>
  </si>
  <si>
    <t>M22-XBK1  ETICHETTA</t>
  </si>
  <si>
    <t>AAB. 19.  6</t>
  </si>
  <si>
    <t>MOE216876</t>
  </si>
  <si>
    <t>M22-PV  PULSANTE DI EMERGENZA</t>
  </si>
  <si>
    <t>AAB. 19.  7</t>
  </si>
  <si>
    <t>WAG51139028</t>
  </si>
  <si>
    <t>870-501 MORS.2 PIANI CF 4VIE GRI/GRI 2,5</t>
  </si>
  <si>
    <t>AAB. 19.  8</t>
  </si>
  <si>
    <t>SIE8WD43281XX</t>
  </si>
  <si>
    <t>LAMPADA 24V BA15D 5W</t>
  </si>
  <si>
    <t>AAB. 19.  9</t>
  </si>
  <si>
    <t>SIE8WD44001AB</t>
  </si>
  <si>
    <t>AAB. 19. 10</t>
  </si>
  <si>
    <t>SIE8WD44001AC</t>
  </si>
  <si>
    <t>8WD4400-1AC</t>
  </si>
  <si>
    <t>AAB. 19. 11</t>
  </si>
  <si>
    <t>SIE8WD44080AB</t>
  </si>
  <si>
    <t>8WD4408-0AB</t>
  </si>
  <si>
    <t>AAB. 19. 12</t>
  </si>
  <si>
    <t>SIE8WD44200FA</t>
  </si>
  <si>
    <t>EL. SONORO TONO REGOLABILE 24V AC/ DC</t>
  </si>
  <si>
    <t>AAB. 19. 13</t>
  </si>
  <si>
    <t>SIEMENS: PANNELLO TP700 COMFORT 7"</t>
  </si>
  <si>
    <t>AAB. 20</t>
  </si>
  <si>
    <t>SIE6AV21240GC010AX0</t>
  </si>
  <si>
    <t>SIMATIC HMI TP700 COMFORT</t>
  </si>
  <si>
    <t>AAB. 20.  1</t>
  </si>
  <si>
    <t>AAB. 20.  2</t>
  </si>
  <si>
    <t>AAB. 20.  3</t>
  </si>
  <si>
    <t>AAB. 20.  4</t>
  </si>
  <si>
    <t>AAB. 20.  5</t>
  </si>
  <si>
    <t>AAB. 20.  6</t>
  </si>
  <si>
    <t>AAB. 20.  7</t>
  </si>
  <si>
    <t>AAB. 20.  8</t>
  </si>
  <si>
    <t>AAB. 20.  9</t>
  </si>
  <si>
    <t>AAB. 20. 10</t>
  </si>
  <si>
    <t>AAB. 20. 11</t>
  </si>
  <si>
    <t>AAB. 20. 12</t>
  </si>
  <si>
    <t>SIEMENS: PANNELLO TP900 COMFORT 9"</t>
  </si>
  <si>
    <t>AAB. 21</t>
  </si>
  <si>
    <t>SIE6AV21240JC010AX0</t>
  </si>
  <si>
    <t>SIMATIC HMI TP900 COMFORT</t>
  </si>
  <si>
    <t>AAB. 21.  1</t>
  </si>
  <si>
    <t>IRI013110610</t>
  </si>
  <si>
    <t>CASSA INOX EKO 454525 - 450x450x250</t>
  </si>
  <si>
    <t>AAB. 21.  2</t>
  </si>
  <si>
    <t>AAB. 21.  3</t>
  </si>
  <si>
    <t>AAB. 21.  4</t>
  </si>
  <si>
    <t>AAB. 21.  5</t>
  </si>
  <si>
    <t>AAB. 21.  6</t>
  </si>
  <si>
    <t>AAB. 21.  7</t>
  </si>
  <si>
    <t>AAB. 21.  8</t>
  </si>
  <si>
    <t>AAB. 21.  9</t>
  </si>
  <si>
    <t>AAB. 21. 10</t>
  </si>
  <si>
    <t>AAB. 21. 11</t>
  </si>
  <si>
    <t>AAB. 21. 12</t>
  </si>
  <si>
    <t>AAB. 21. 13</t>
  </si>
  <si>
    <t>SIEMENS: PANNELLO TP1200 COMFORT 12"</t>
  </si>
  <si>
    <t>AAB. 22</t>
  </si>
  <si>
    <t>SIE6AV21240MC010AX0</t>
  </si>
  <si>
    <t>SIMATIC HMI TP1200 COMFORT</t>
  </si>
  <si>
    <t>AAB. 22.  1</t>
  </si>
  <si>
    <t>AAB. 22.  2</t>
  </si>
  <si>
    <t>AAB. 22.  3</t>
  </si>
  <si>
    <t>AAB. 22.  4</t>
  </si>
  <si>
    <t>AAB. 22.  5</t>
  </si>
  <si>
    <t>AAB. 22.  6</t>
  </si>
  <si>
    <t>AAB. 22.  7</t>
  </si>
  <si>
    <t>AAB. 22.  8</t>
  </si>
  <si>
    <t>AAB. 22.  9</t>
  </si>
  <si>
    <t>AAB. 22. 10</t>
  </si>
  <si>
    <t>AAB. 22. 11</t>
  </si>
  <si>
    <t>AAB. 22. 12</t>
  </si>
  <si>
    <t>AAB. 22. 13</t>
  </si>
  <si>
    <t>UC_PANS_LICENZA_RT</t>
  </si>
  <si>
    <t>SIEMENS: LICENZA RUN-TIME PER PC (512PT)</t>
  </si>
  <si>
    <t>AAB. 23</t>
  </si>
  <si>
    <t>SIE6AV66131DA513CA0</t>
  </si>
  <si>
    <t>WINCC ADVANCED SOFTWARE</t>
  </si>
  <si>
    <t>AAB. 23.  1</t>
  </si>
  <si>
    <t>PANNELLO WP300</t>
  </si>
  <si>
    <t>AAB. 24</t>
  </si>
  <si>
    <t>RELE CAREL ANTICONDENSA</t>
  </si>
  <si>
    <t>AAB. 25</t>
  </si>
  <si>
    <t>CARDN33W9MR20</t>
  </si>
  <si>
    <t>TERMOSTATO 2/DIGIT. 24Va DC MULTI-ING.</t>
  </si>
  <si>
    <t>AAB. 25.  1</t>
  </si>
  <si>
    <t>ARMADIO 800x1800x400 VERNICIATO COMPLETO</t>
  </si>
  <si>
    <t>AAB. 26</t>
  </si>
  <si>
    <t>UC_ARMV_800_1800</t>
  </si>
  <si>
    <t>ETA: ARMADIO 800X1800X400 VERNICIATO</t>
  </si>
  <si>
    <t>AAB. 26.  1</t>
  </si>
  <si>
    <t>ETAENUX081804PR</t>
  </si>
  <si>
    <t>PORTA + RETRO 800x1800x400</t>
  </si>
  <si>
    <t>AAB. 26.  1.  1</t>
  </si>
  <si>
    <t>ETAEUPL-080180</t>
  </si>
  <si>
    <t>PIASTRA INS. LATERALE ENUX 800X1800</t>
  </si>
  <si>
    <t>AAB. 26.  1.  2</t>
  </si>
  <si>
    <t>ETAEUZE-A200</t>
  </si>
  <si>
    <t>ANGOLARI UNIV. ENUX ZOCCOLO H=200</t>
  </si>
  <si>
    <t>AAB. 26.  1.  3</t>
  </si>
  <si>
    <t>ETAEUZE-T0400</t>
  </si>
  <si>
    <t>TRAVERSA ZOCCOLO ENUX  L=400 (2 PZ.)</t>
  </si>
  <si>
    <t>AAB. 26.  1.  4</t>
  </si>
  <si>
    <t>ETAEUZE-T0800</t>
  </si>
  <si>
    <t>TRAVERSA ZOCCOLO ENUX  L=800 (2 PZ.)</t>
  </si>
  <si>
    <t>AAB. 26.  1.  5</t>
  </si>
  <si>
    <t>ETAEUFI-040180</t>
  </si>
  <si>
    <t>PARETI LATERALI ENUX 400x1800</t>
  </si>
  <si>
    <t>AAB. 26.  1.  6</t>
  </si>
  <si>
    <t>ETAWTGS-001</t>
  </si>
  <si>
    <t>GOLFARI DI SOLLEVAMENTO 4PZ.</t>
  </si>
  <si>
    <t>AAB. 26.  1.  7</t>
  </si>
  <si>
    <t>LUM17210</t>
  </si>
  <si>
    <t>VENTILATORE 230VCA 50/60 HZ 20W</t>
  </si>
  <si>
    <t>AAB. 26.  1.  8</t>
  </si>
  <si>
    <t>LUM17220</t>
  </si>
  <si>
    <t>GRIGLIA DI RIPRESA 150X150MM</t>
  </si>
  <si>
    <t>AAB. 26.  1.  9</t>
  </si>
  <si>
    <t>LEG48231</t>
  </si>
  <si>
    <t>LAMPADA DA QUADRO</t>
  </si>
  <si>
    <t>AAB. 26.  1. 10</t>
  </si>
  <si>
    <t>LEG47628</t>
  </si>
  <si>
    <t>INTERRUTTORE FINECORSA WH9131</t>
  </si>
  <si>
    <t>AAB. 26.  1. 11</t>
  </si>
  <si>
    <t>UC_ARM_ACCESSORI</t>
  </si>
  <si>
    <t>ACCESSORI ARMADI (SU PIASTRA)</t>
  </si>
  <si>
    <t>AAB. 26.  2</t>
  </si>
  <si>
    <t>MOE276880</t>
  </si>
  <si>
    <t>DILM12-01(24VDC)</t>
  </si>
  <si>
    <t>AAB. 26.  2.  1</t>
  </si>
  <si>
    <t>PILPNOZs3-24Vdc</t>
  </si>
  <si>
    <t>MODULO X ARRESTO DI EMERGENZA</t>
  </si>
  <si>
    <t>AAB. 26.  2.  2</t>
  </si>
  <si>
    <t>SIE3NW7053</t>
  </si>
  <si>
    <t>BASE SEZ.X FUS.CILIND.10x38 32A 1P+N 1U</t>
  </si>
  <si>
    <t>AAB. 26.  2.  3</t>
  </si>
  <si>
    <t>SIE5SU13561KK10</t>
  </si>
  <si>
    <t>MAG. DIFF. 6000A 1P+N C 10 TIPO AC 30mA</t>
  </si>
  <si>
    <t>AAB. 26.  2.  4</t>
  </si>
  <si>
    <t>VIM09967</t>
  </si>
  <si>
    <t>PRESA QUADRO 2P+T 16A UNIV. DIN</t>
  </si>
  <si>
    <t>AAB. 26.  2.  5</t>
  </si>
  <si>
    <t>MOE088914</t>
  </si>
  <si>
    <t>PKZM0-4-T INTERR. PROT. TRAFO</t>
  </si>
  <si>
    <t>AAB. 26.  2.  6</t>
  </si>
  <si>
    <t>SIE6EP14363BA10</t>
  </si>
  <si>
    <t>ALIMENTATORE  24VDC 20A</t>
  </si>
  <si>
    <t>AAB. 26.  2.  7</t>
  </si>
  <si>
    <t>SIE3NW7013</t>
  </si>
  <si>
    <t>BASE SEZ.X FUS.CILINDR.10x38 32A 1P 1UM</t>
  </si>
  <si>
    <t>AAB. 26.  2.  8</t>
  </si>
  <si>
    <t>SIE6GK50080BA001AB2</t>
  </si>
  <si>
    <t>SCALANCE XB008 8 Porte elettriche RJ45</t>
  </si>
  <si>
    <t>AAB. 26.  2.  9</t>
  </si>
  <si>
    <t>UC_ARM_PULSANTI</t>
  </si>
  <si>
    <t>PULSANTERIA ARMADI (FRONTE QUADRO)</t>
  </si>
  <si>
    <t>AAB. 26.  3</t>
  </si>
  <si>
    <t>AAB. 26.  3.  1</t>
  </si>
  <si>
    <t>MOE216559</t>
  </si>
  <si>
    <t>M22-LED-G LED 12-30V AC/DC VE</t>
  </si>
  <si>
    <t>AAB. 26.  3.  2</t>
  </si>
  <si>
    <t>MOE216773</t>
  </si>
  <si>
    <t>M22-L-G INDICATORE LUM. VERDE</t>
  </si>
  <si>
    <t>AAB. 26.  3.  3</t>
  </si>
  <si>
    <t>MOE216376</t>
  </si>
  <si>
    <t>M22-K10  CONTATTO</t>
  </si>
  <si>
    <t>AAB. 26.  3.  4</t>
  </si>
  <si>
    <t>MOE216607</t>
  </si>
  <si>
    <t>M22-D-G-X1 PULSANTE IMP. VERDE</t>
  </si>
  <si>
    <t>AAB. 26.  3.  5</t>
  </si>
  <si>
    <t>AAB. 26.  3.  6</t>
  </si>
  <si>
    <t>AAB. 26.  3.  7</t>
  </si>
  <si>
    <t>AAB. 26.  3.  8</t>
  </si>
  <si>
    <t>ARMADIO 800x1800x400 INOX COMPLETO</t>
  </si>
  <si>
    <t>AAB. 27</t>
  </si>
  <si>
    <t>UC_ARMI_800_1800</t>
  </si>
  <si>
    <t>IRINOX: ARMADIO 800X1800X400 INOX</t>
  </si>
  <si>
    <t>AAB. 27.  1</t>
  </si>
  <si>
    <t>IRI013310020</t>
  </si>
  <si>
    <t>ARMADIO  AZ8018040 Z200STD</t>
  </si>
  <si>
    <t>AAB. 27.  1.  1</t>
  </si>
  <si>
    <t>IRI013730720</t>
  </si>
  <si>
    <t>KIT FLANGIA GHIGLIOTTINA  AZ 08040</t>
  </si>
  <si>
    <t>AAB. 27.  1.  2</t>
  </si>
  <si>
    <t>IRI013700178</t>
  </si>
  <si>
    <t>ZOCCOLO INOX 800x400 H200 ZT 824</t>
  </si>
  <si>
    <t>AAB. 27.  1.  3</t>
  </si>
  <si>
    <t>IRI013707440</t>
  </si>
  <si>
    <t>KIT PIEDINI INOX 4 PZ.</t>
  </si>
  <si>
    <t>AAB. 27.  1.  4</t>
  </si>
  <si>
    <t>IRI013354050</t>
  </si>
  <si>
    <t>COPPIA LATERALI 1800x400 AZPL 180 40</t>
  </si>
  <si>
    <t>AAB. 27.  1.  5</t>
  </si>
  <si>
    <t>IRI013703010</t>
  </si>
  <si>
    <t>CUFFIA INOX A PARETE PER S5900</t>
  </si>
  <si>
    <t>AAB. 27.  1.  6</t>
  </si>
  <si>
    <t>IRI013703410</t>
  </si>
  <si>
    <t>PORTAFILTRO INOX + 2 FILTRI</t>
  </si>
  <si>
    <t>AAB. 27.  1.  7</t>
  </si>
  <si>
    <t>IRI013703710</t>
  </si>
  <si>
    <t>VENTILATORE 18W 180MC/H S5900</t>
  </si>
  <si>
    <t>AAB. 27.  1.  8</t>
  </si>
  <si>
    <t>AAB. 27.  1.  9</t>
  </si>
  <si>
    <t>AAB. 27.  1. 10</t>
  </si>
  <si>
    <t>AAB. 27.  2</t>
  </si>
  <si>
    <t>AAB. 27.  2.  1</t>
  </si>
  <si>
    <t>AAB. 27.  2.  2</t>
  </si>
  <si>
    <t>AAB. 27.  2.  3</t>
  </si>
  <si>
    <t>AAB. 27.  2.  4</t>
  </si>
  <si>
    <t>AAB. 27.  2.  5</t>
  </si>
  <si>
    <t>AAB. 27.  2.  6</t>
  </si>
  <si>
    <t>AAB. 27.  2.  7</t>
  </si>
  <si>
    <t>AAB. 27.  2.  8</t>
  </si>
  <si>
    <t>AAB. 27.  2.  9</t>
  </si>
  <si>
    <t>AAB. 27.  3</t>
  </si>
  <si>
    <t>AAB. 27.  3.  1</t>
  </si>
  <si>
    <t>AAB. 27.  3.  2</t>
  </si>
  <si>
    <t>AAB. 27.  3.  3</t>
  </si>
  <si>
    <t>AAB. 27.  3.  4</t>
  </si>
  <si>
    <t>AAB. 27.  3.  5</t>
  </si>
  <si>
    <t>AAB. 27.  3.  6</t>
  </si>
  <si>
    <t>AAB. 27.  3.  7</t>
  </si>
  <si>
    <t>AAB. 27.  3.  8</t>
  </si>
  <si>
    <t>CASSA 800x1200x300 VERNICIATA COMPLETA</t>
  </si>
  <si>
    <t>AAB. 28</t>
  </si>
  <si>
    <t>UC_CASV_800_1200</t>
  </si>
  <si>
    <t>ETA: CASSA 800X1200X300 VERNICIATA</t>
  </si>
  <si>
    <t>AAB. 28.  1</t>
  </si>
  <si>
    <t>ETAST8-1230</t>
  </si>
  <si>
    <t>CASSA STAGNA 800X1200X300</t>
  </si>
  <si>
    <t>AAB. 28.  1.  1</t>
  </si>
  <si>
    <t>AAB. 28.  2</t>
  </si>
  <si>
    <t>AAB. 28.  2.  1</t>
  </si>
  <si>
    <t>AAB. 28.  2.  2</t>
  </si>
  <si>
    <t>AAB. 28.  2.  3</t>
  </si>
  <si>
    <t>AAB. 28.  2.  4</t>
  </si>
  <si>
    <t>AAB. 28.  2.  5</t>
  </si>
  <si>
    <t>AAB. 28.  2.  6</t>
  </si>
  <si>
    <t>AAB. 28.  2.  7</t>
  </si>
  <si>
    <t>AAB. 28.  2.  8</t>
  </si>
  <si>
    <t>AAB. 28.  2.  9</t>
  </si>
  <si>
    <t>AAB. 28.  3</t>
  </si>
  <si>
    <t>AAB. 28.  3.  1</t>
  </si>
  <si>
    <t>AAB. 28.  3.  2</t>
  </si>
  <si>
    <t>AAB. 28.  3.  3</t>
  </si>
  <si>
    <t>AAB. 28.  3.  4</t>
  </si>
  <si>
    <t>AAB. 28.  3.  5</t>
  </si>
  <si>
    <t>AAB. 28.  3.  6</t>
  </si>
  <si>
    <t>AAB. 28.  3.  7</t>
  </si>
  <si>
    <t>AAB. 28.  3.  8</t>
  </si>
  <si>
    <t>CASSA 800x1200x300 INOX COMPLETA</t>
  </si>
  <si>
    <t>AAB. 29</t>
  </si>
  <si>
    <t>UC_CASI_800_1200</t>
  </si>
  <si>
    <t>INOX: CASSA 800X1200X300 INOX</t>
  </si>
  <si>
    <t>AAB. 29.  1</t>
  </si>
  <si>
    <t>IRI013110420</t>
  </si>
  <si>
    <t>CASSA INOX EKO 813  - 800x1200x300</t>
  </si>
  <si>
    <t>AAB. 29.  1.  1</t>
  </si>
  <si>
    <t>AAB. 29.  2</t>
  </si>
  <si>
    <t>AAB. 29.  2.  1</t>
  </si>
  <si>
    <t>AAB. 29.  2.  2</t>
  </si>
  <si>
    <t>AAB. 29.  2.  3</t>
  </si>
  <si>
    <t>AAB. 29.  2.  4</t>
  </si>
  <si>
    <t>AAB. 29.  2.  5</t>
  </si>
  <si>
    <t>AAB. 29.  2.  6</t>
  </si>
  <si>
    <t>AAB. 29.  2.  7</t>
  </si>
  <si>
    <t>AAB. 29.  2.  8</t>
  </si>
  <si>
    <t>AAB. 29.  2.  9</t>
  </si>
  <si>
    <t>AAB. 29.  3</t>
  </si>
  <si>
    <t>AAB. 29.  3.  1</t>
  </si>
  <si>
    <t>AAB. 29.  3.  2</t>
  </si>
  <si>
    <t>AAB. 29.  3.  3</t>
  </si>
  <si>
    <t>AAB. 29.  3.  4</t>
  </si>
  <si>
    <t>AAB. 29.  3.  5</t>
  </si>
  <si>
    <t>AAB. 29.  3.  6</t>
  </si>
  <si>
    <t>AAB. 29.  3.  7</t>
  </si>
  <si>
    <t>AAB. 29.  3.  8</t>
  </si>
  <si>
    <t>SIMATIC S7- 300 CPU 315- 2 PN/ DP</t>
  </si>
  <si>
    <t>AAB. 30</t>
  </si>
  <si>
    <t>SIE6ES73152EH140AB0</t>
  </si>
  <si>
    <t>CPU 315-2PN/DP, 384KBYTE RAM</t>
  </si>
  <si>
    <t>AAB. 30.  1</t>
  </si>
  <si>
    <t>SIE6ES79538LL310AA0</t>
  </si>
  <si>
    <t>MICRO MEMORY CARD, 2 MB</t>
  </si>
  <si>
    <t>AAB. 30.  2</t>
  </si>
  <si>
    <t>SIE6GK19011BB102AB0</t>
  </si>
  <si>
    <t>CONNETTORE RJ45  10 PZ.</t>
  </si>
  <si>
    <t>AAB. 30.  3</t>
  </si>
  <si>
    <t>SIE6ES79720BB600XA0</t>
  </si>
  <si>
    <t>CONNETTORE PROFIBUS</t>
  </si>
  <si>
    <t>AAB. 30.  4</t>
  </si>
  <si>
    <t>SIMATIC S7- 300 CPU 317- 2 PN/ DP</t>
  </si>
  <si>
    <t>AAB. 31</t>
  </si>
  <si>
    <t>SIE6ES73172EK140AB0</t>
  </si>
  <si>
    <t>CPU 317-2 PN/DP</t>
  </si>
  <si>
    <t>AAB. 31.  1</t>
  </si>
  <si>
    <t>SIE6ES79538LM200AA0</t>
  </si>
  <si>
    <t>MICRO MEMORY CARD</t>
  </si>
  <si>
    <t>AAB. 31.  2</t>
  </si>
  <si>
    <t>AAB. 31.  3</t>
  </si>
  <si>
    <t>AAB. 31.  4</t>
  </si>
  <si>
    <t>SIMATIC S7-300 CPU 319-3 PN/DP</t>
  </si>
  <si>
    <t>AAB. 32</t>
  </si>
  <si>
    <t>SIE6ES73183EL010AB0</t>
  </si>
  <si>
    <t>CPU 319-3 PN/DP</t>
  </si>
  <si>
    <t>AAB. 32.  1</t>
  </si>
  <si>
    <t>SIE6ES79538LP200AA0</t>
  </si>
  <si>
    <t>MICRO MEMORY CARD 8 MBYTE</t>
  </si>
  <si>
    <t>AAB. 32.  2</t>
  </si>
  <si>
    <t>AAB. 32.  3</t>
  </si>
  <si>
    <t>AAB. 32.  4</t>
  </si>
  <si>
    <t>ELETTROVALVOLE FLUIDIFICAZIONE</t>
  </si>
  <si>
    <t>AAB. 33</t>
  </si>
  <si>
    <t>AAB. 33.  1</t>
  </si>
  <si>
    <t>AAB. 34</t>
  </si>
  <si>
    <t>AAB. 34.  1</t>
  </si>
  <si>
    <t>AAB. 34.  2</t>
  </si>
  <si>
    <t>AAB. 34.  3</t>
  </si>
  <si>
    <t>AAB. 34.  4</t>
  </si>
  <si>
    <t>CICLOFILTRO CON SCHEDA ESTERNA 4 VALVOLE</t>
  </si>
  <si>
    <t>AAB. 35</t>
  </si>
  <si>
    <t>ESAEX22PB4UU1.20</t>
  </si>
  <si>
    <t>SEQUENZ. SENZA CONT. dP n.4 USCITE 24VDC</t>
  </si>
  <si>
    <t>AAB. 35.  1</t>
  </si>
  <si>
    <t>CICLOFILTRO CON SCHEDA ESTERNA 8 VALVOLE</t>
  </si>
  <si>
    <t>AAB. 36</t>
  </si>
  <si>
    <t>ESAEX22PB8UU1.20</t>
  </si>
  <si>
    <t>SEQUENZ. SENZA CONT. dP n.8 USCITE 24VDC</t>
  </si>
  <si>
    <t>AAB. 36.  1</t>
  </si>
  <si>
    <t>CICLOFILTRO PLC</t>
  </si>
  <si>
    <t>AAB. 37</t>
  </si>
  <si>
    <t>AAB. 37.  1</t>
  </si>
  <si>
    <t>SIEMENS: SEZIONATORE GENERALE 32A 4P</t>
  </si>
  <si>
    <t>AAB. 38</t>
  </si>
  <si>
    <t>SIE3LD22130TK51</t>
  </si>
  <si>
    <t>INTERRUTTORE PRINCIPALE 3-P 32A</t>
  </si>
  <si>
    <t>AAB. 38.  1</t>
  </si>
  <si>
    <t>SIE3LD92200C</t>
  </si>
  <si>
    <t>4° POLO (N)</t>
  </si>
  <si>
    <t>AAB. 38.  2</t>
  </si>
  <si>
    <t>SIE3LD92212A</t>
  </si>
  <si>
    <t>CALOTTE COPRIMORSETTI 1-POLO</t>
  </si>
  <si>
    <t>AAB. 38.  3</t>
  </si>
  <si>
    <t>SIEMENS: SEZIONATORE GENERALE 63A 4P</t>
  </si>
  <si>
    <t>AAB. 39</t>
  </si>
  <si>
    <t>SIE3LD25140TK51</t>
  </si>
  <si>
    <t>INTERRUTTORE PRINCIPALE 3-P 63A</t>
  </si>
  <si>
    <t>AAB. 39.  1</t>
  </si>
  <si>
    <t>SIE3LD92500C</t>
  </si>
  <si>
    <t>4 POLO NEUTRO</t>
  </si>
  <si>
    <t>AAB. 39.  2</t>
  </si>
  <si>
    <t>SIE3LD92512A</t>
  </si>
  <si>
    <t>CALOTTA 4° POLO</t>
  </si>
  <si>
    <t>AAB. 39.  3</t>
  </si>
  <si>
    <t>SIEMENS: SEZIONATORE GENERALE 100A 4P</t>
  </si>
  <si>
    <t>AAB. 40</t>
  </si>
  <si>
    <t>SIE3LD27140TK51</t>
  </si>
  <si>
    <t>INTERRUTTORE PRINCIPALE 3-P 100A</t>
  </si>
  <si>
    <t>AAB. 40.  1</t>
  </si>
  <si>
    <t>SIE3LD92800C</t>
  </si>
  <si>
    <t>4° POLO</t>
  </si>
  <si>
    <t>AAB. 40.  2</t>
  </si>
  <si>
    <t>SIE3LD92812A</t>
  </si>
  <si>
    <t>CALOTTA 1POLO X 3LD2 100/125A (1conf.=4</t>
  </si>
  <si>
    <t>AAB. 40.  3</t>
  </si>
  <si>
    <t>MERLIN GERIN: SEZIONATORE 125A 4P</t>
  </si>
  <si>
    <t>AAB. 41</t>
  </si>
  <si>
    <t>MGN28911</t>
  </si>
  <si>
    <t>INTERPACT INS125 4P MANOP. NERA</t>
  </si>
  <si>
    <t>AAB. 41.  1</t>
  </si>
  <si>
    <t>MGN28941</t>
  </si>
  <si>
    <t>MANOVRA RINVIATA FRONTALE NERA INS4</t>
  </si>
  <si>
    <t>AAB. 41.  2</t>
  </si>
  <si>
    <t>MGN28956</t>
  </si>
  <si>
    <t>2 COPRIVITI INS100/INS160</t>
  </si>
  <si>
    <t>AAB. 41.  3</t>
  </si>
  <si>
    <t>MERLIN GERIN: SEZIONATORE 160A 4P</t>
  </si>
  <si>
    <t>AAB. 42</t>
  </si>
  <si>
    <t>MGN28913</t>
  </si>
  <si>
    <t>INTERPACT INS 160 4P MAN. NERA</t>
  </si>
  <si>
    <t>AAB. 42.  1</t>
  </si>
  <si>
    <t>AAB. 42.  2</t>
  </si>
  <si>
    <t>AAB. 42.  3</t>
  </si>
  <si>
    <t>MERLIN GERIN: SEZIONATORE 250A 4P</t>
  </si>
  <si>
    <t>AAB. 43</t>
  </si>
  <si>
    <t>MGN31107</t>
  </si>
  <si>
    <t>INTERPACT INS250 4P MAN.FRONT.NERA</t>
  </si>
  <si>
    <t>AAB. 43.  1</t>
  </si>
  <si>
    <t>MGN31050</t>
  </si>
  <si>
    <t>COMANDO PROLUNG. INS250-630</t>
  </si>
  <si>
    <t>AAB. 43.  2</t>
  </si>
  <si>
    <t>MGN29322</t>
  </si>
  <si>
    <t>COPRIMORSETTI CORTI 4P NS100/NS250</t>
  </si>
  <si>
    <t>AAB. 43.  3</t>
  </si>
  <si>
    <t>MERLIN GERIN: SEZIONATORE 400A 4P</t>
  </si>
  <si>
    <t>AAB. 44</t>
  </si>
  <si>
    <t>MGN31111</t>
  </si>
  <si>
    <t>INTERPAC INS400 4P</t>
  </si>
  <si>
    <t>AAB. 44.  1</t>
  </si>
  <si>
    <t>MGN31052</t>
  </si>
  <si>
    <t>MANOP.RINV.FRONT.INS320/INS630</t>
  </si>
  <si>
    <t>AAB. 44.  2</t>
  </si>
  <si>
    <t>MGN32563</t>
  </si>
  <si>
    <t>COPRIMORSETTI CORTI 4P NS400/NS630</t>
  </si>
  <si>
    <t>AAB. 44.  3</t>
  </si>
  <si>
    <t>LENZE: INVERTER 0,37 KW MONOFASE</t>
  </si>
  <si>
    <t>AAB. 45</t>
  </si>
  <si>
    <t>LEN-ESMD371X2SFA</t>
  </si>
  <si>
    <t>INVERTER DIGITALE 0, 37 KW</t>
  </si>
  <si>
    <t>AAB. 45.  1</t>
  </si>
  <si>
    <t>MOE088915</t>
  </si>
  <si>
    <t>PKZM0-6,3-T INTERR. PROT. TRAFO</t>
  </si>
  <si>
    <t>AAB. 45.  2</t>
  </si>
  <si>
    <t>LENZE: INVERTER 0,75 KW MONOFASE</t>
  </si>
  <si>
    <t>AAB. 46</t>
  </si>
  <si>
    <t>LEN-ESMD751X2SFA</t>
  </si>
  <si>
    <t>INVERTER DIGITALE 0, 75 KW</t>
  </si>
  <si>
    <t>AAB. 46.  1</t>
  </si>
  <si>
    <t>MOE088916</t>
  </si>
  <si>
    <t>PKZM0-10-T  INTERR. PROTETTORE</t>
  </si>
  <si>
    <t>AAB. 46.  2</t>
  </si>
  <si>
    <t>LENZE: INVERTER 1,5 KW TRIFASE</t>
  </si>
  <si>
    <t>AAB. 47</t>
  </si>
  <si>
    <t>LEN-ESMD152L4TXA</t>
  </si>
  <si>
    <t>INVERTER DIGITALE 1,5 KW</t>
  </si>
  <si>
    <t>AAB. 47.  1</t>
  </si>
  <si>
    <t>AAB. 47.  2</t>
  </si>
  <si>
    <t>INVERTER/SILO</t>
  </si>
  <si>
    <t>AAB. 48</t>
  </si>
  <si>
    <t>LENZE: INVERTER 0,75 KW TRIFASE</t>
  </si>
  <si>
    <t>AAB. 49</t>
  </si>
  <si>
    <t>LEN-ESMD751L4TXA</t>
  </si>
  <si>
    <t>INVERTER DIGITALE 0,75 KW</t>
  </si>
  <si>
    <t>AAB. 49.  1</t>
  </si>
  <si>
    <t>AAB. 49.  2</t>
  </si>
  <si>
    <t>EATON:PARTENZA MOTORE 0,12-0,25KW</t>
  </si>
  <si>
    <t>AAB. 50</t>
  </si>
  <si>
    <t>MOE276565</t>
  </si>
  <si>
    <t>DILM7-10(24VDC) CNT 3KW</t>
  </si>
  <si>
    <t>AAB. 50.  1</t>
  </si>
  <si>
    <t>MOE072734</t>
  </si>
  <si>
    <t>PKZM0-1  INTER. PROTETTORE</t>
  </si>
  <si>
    <t>AAB. 50.  2</t>
  </si>
  <si>
    <t>MOE082882</t>
  </si>
  <si>
    <t>NHI-E-11-PKZ0 CONTATTO AUS.</t>
  </si>
  <si>
    <t>AAB. 50.  3</t>
  </si>
  <si>
    <t>MOE283149</t>
  </si>
  <si>
    <t>PKZM0-XDM12 KIT AVV. DIRETTO</t>
  </si>
  <si>
    <t>AAB. 50.  4</t>
  </si>
  <si>
    <t>WAG20021201</t>
  </si>
  <si>
    <t>MORSETTO PASSANTE X 2 CONDUT. 2,5MMQ EX</t>
  </si>
  <si>
    <t>AAB. 50.  5</t>
  </si>
  <si>
    <t>EATON:PARTENZA MOTORE 0,25-3KW</t>
  </si>
  <si>
    <t>AAB. 51</t>
  </si>
  <si>
    <t>MOE276705</t>
  </si>
  <si>
    <t>DILM9-10(24VDC) CNT 4KW</t>
  </si>
  <si>
    <t>AAB. 51.  1</t>
  </si>
  <si>
    <t>MOE072739</t>
  </si>
  <si>
    <t>PKZM0-10 INTERR. PROTEZIONE</t>
  </si>
  <si>
    <t>AAB. 51.  2</t>
  </si>
  <si>
    <t>AAB. 51.  3</t>
  </si>
  <si>
    <t>AAB. 51.  4</t>
  </si>
  <si>
    <t>WAG20041201</t>
  </si>
  <si>
    <t>MORSETTO PASSANTE X 2 CONDUT.4/6 MMQ EX</t>
  </si>
  <si>
    <t>AAB. 51.  5</t>
  </si>
  <si>
    <t>EATON:PARTENZA MOTORE 3-4KW</t>
  </si>
  <si>
    <t>AAB. 52</t>
  </si>
  <si>
    <t>MOE276845</t>
  </si>
  <si>
    <t>DILM12-10(24VDC) CNT 5.5 KW</t>
  </si>
  <si>
    <t>AAB. 52.  1</t>
  </si>
  <si>
    <t>AAB. 52.  2</t>
  </si>
  <si>
    <t>AAB. 52.  3</t>
  </si>
  <si>
    <t>AAB. 52.  4</t>
  </si>
  <si>
    <t>AAB. 52.  5</t>
  </si>
  <si>
    <t>EATON:PARTENZA MOTORE 4-5,5KW</t>
  </si>
  <si>
    <t>AAB. 53</t>
  </si>
  <si>
    <t>MOE277018</t>
  </si>
  <si>
    <t>DILM17-10(RDC24) CNT 7.5 KW</t>
  </si>
  <si>
    <t>AAB. 53.  1</t>
  </si>
  <si>
    <t>MOE046938</t>
  </si>
  <si>
    <t>PKZM0-16 INTERR. PROTETTORE</t>
  </si>
  <si>
    <t>AAB. 53.  2</t>
  </si>
  <si>
    <t>AAB. 53.  3</t>
  </si>
  <si>
    <t>AAB. 53.  4</t>
  </si>
  <si>
    <t>EATON:PARTENZA MOTORE 5,5-7,5KW</t>
  </si>
  <si>
    <t>AAB. 54</t>
  </si>
  <si>
    <t>FIN40.52.9.024.0000</t>
  </si>
  <si>
    <t>MINIRELE' TYPE 40.52.9.024</t>
  </si>
  <si>
    <t>AAB. 54.  1</t>
  </si>
  <si>
    <t>FIN95.05</t>
  </si>
  <si>
    <t>ZOCCOLO MORSETTO TYPE 9505</t>
  </si>
  <si>
    <t>AAB. 54.  2</t>
  </si>
  <si>
    <t>FIN99.02.0.024.98</t>
  </si>
  <si>
    <t>MODULO LED TYPE 9902.0024.98</t>
  </si>
  <si>
    <t>AAB. 54.  3</t>
  </si>
  <si>
    <t>MOE276421</t>
  </si>
  <si>
    <t>DILA-XHI11 CONTATTO AUSILIARE</t>
  </si>
  <si>
    <t>AAB. 54.  4</t>
  </si>
  <si>
    <t>AAB. 54.  5</t>
  </si>
  <si>
    <t>AAB. 54.  6</t>
  </si>
  <si>
    <t>MOE283130</t>
  </si>
  <si>
    <t>DILM12-XSL</t>
  </si>
  <si>
    <t>AAB. 54.  7</t>
  </si>
  <si>
    <t>SIE3RP15741NQ30</t>
  </si>
  <si>
    <t>TEMP.S/T. 1-20S 24/100-127VAC</t>
  </si>
  <si>
    <t>AAB. 54.  8</t>
  </si>
  <si>
    <t>AAB. 54.  9</t>
  </si>
  <si>
    <t>MOE046988</t>
  </si>
  <si>
    <t>PKZM0-20 INTERR. PROT.</t>
  </si>
  <si>
    <t>AAB. 54. 10</t>
  </si>
  <si>
    <t>AAB. 54. 11</t>
  </si>
  <si>
    <t>EATON:PARTENZA MOTORE 7,5-11KW</t>
  </si>
  <si>
    <t>AAB. 55</t>
  </si>
  <si>
    <t>AAB. 55.  1</t>
  </si>
  <si>
    <t>AAB. 55.  2</t>
  </si>
  <si>
    <t>AAB. 55.  3</t>
  </si>
  <si>
    <t>AAB. 55.  4</t>
  </si>
  <si>
    <t>AAB. 55.  5</t>
  </si>
  <si>
    <t>MOE283131</t>
  </si>
  <si>
    <t>DILM32-XSL</t>
  </si>
  <si>
    <t>AAB. 55.  6</t>
  </si>
  <si>
    <t>AAB. 55.  7</t>
  </si>
  <si>
    <t>AAB. 55.  8</t>
  </si>
  <si>
    <t>MOE222352</t>
  </si>
  <si>
    <t>PKZM4-25  INTERRUTTORE</t>
  </si>
  <si>
    <t>AAB. 55.  9</t>
  </si>
  <si>
    <t>EATON:PARTENZA MOTORE 11-15KW</t>
  </si>
  <si>
    <t>AAB. 56</t>
  </si>
  <si>
    <t>EATON:PARTENZA MOTORE 15-22KW</t>
  </si>
  <si>
    <t>AAB. 57</t>
  </si>
  <si>
    <t>EATON:PARTENZA MOTORE 22-30KW</t>
  </si>
  <si>
    <t>AAB. 58</t>
  </si>
  <si>
    <t>FINDER: RELE' 2 CONTATTI SCAMBIO</t>
  </si>
  <si>
    <t>AAB. 59</t>
  </si>
  <si>
    <t>AAB. 59.  1</t>
  </si>
  <si>
    <t>AAB. 59.  2</t>
  </si>
  <si>
    <t>AAB. 59.  3</t>
  </si>
  <si>
    <t>FINDER: RELE' 4 CONTATTI SCAMBIO</t>
  </si>
  <si>
    <t>AAB. 60</t>
  </si>
  <si>
    <t>FIN94.04</t>
  </si>
  <si>
    <t>ZOCCOLO MORSETTO TYPE 9404</t>
  </si>
  <si>
    <t>AAB. 60.  1</t>
  </si>
  <si>
    <t>FIN55.34.9.024.0094</t>
  </si>
  <si>
    <t>RELE' 24VCC  55.34.9.024.0094</t>
  </si>
  <si>
    <t>AAB. 60.  2</t>
  </si>
  <si>
    <t>FINDER: TIMER ALLA DISECCITAZIONE</t>
  </si>
  <si>
    <t>AAB. 61</t>
  </si>
  <si>
    <t>FIN83.41.0.240.0000</t>
  </si>
  <si>
    <t>RELE' TEMPOR. TYPE 83.41.0.240</t>
  </si>
  <si>
    <t>AAB. 61.  1</t>
  </si>
  <si>
    <t>WP104 PESATURA IN MODBUS</t>
  </si>
  <si>
    <t>AAB. 62</t>
  </si>
  <si>
    <t>WP104001</t>
  </si>
  <si>
    <t>WP104 PESATURA MODBUS COMPLETA</t>
  </si>
  <si>
    <t>AAB. 62.  1</t>
  </si>
  <si>
    <t>WP001040</t>
  </si>
  <si>
    <t>SCATOLA WP 104</t>
  </si>
  <si>
    <t>AAB. 62.  1.  1</t>
  </si>
  <si>
    <t>WP002104</t>
  </si>
  <si>
    <t>TASTIERA PER WP 104</t>
  </si>
  <si>
    <t>AAB. 62.  1.  2</t>
  </si>
  <si>
    <t>WP1040000000ELE</t>
  </si>
  <si>
    <t>ELETTR. WP 104</t>
  </si>
  <si>
    <t>AAB. 62.  1.  3</t>
  </si>
  <si>
    <t>GEW26409</t>
  </si>
  <si>
    <t>SUPPORTO FRUTTO DIN 1P</t>
  </si>
  <si>
    <t>AAB. 62.  1.  4</t>
  </si>
  <si>
    <t>GEW20503</t>
  </si>
  <si>
    <t>INTERRUTTORE BIPOLARE 16A</t>
  </si>
  <si>
    <t>AAB. 62.  1.  5</t>
  </si>
  <si>
    <t>GEW40102</t>
  </si>
  <si>
    <t>CENTRALINO DA PARETE 8M IP65</t>
  </si>
  <si>
    <t>AAB. 62.  1.  6</t>
  </si>
  <si>
    <t>WAG20021307</t>
  </si>
  <si>
    <t>MORS. X COND. DI PROT. X 3 CONDUT, EX</t>
  </si>
  <si>
    <t>AAB. 62.  1.  7</t>
  </si>
  <si>
    <t>DEL3J50625PASWEXSI</t>
  </si>
  <si>
    <t>PRESSACAVO M25X1,5 EX-50°C PA6</t>
  </si>
  <si>
    <t>AAB. 62.  1.  8</t>
  </si>
  <si>
    <t>REI5311-9030</t>
  </si>
  <si>
    <t>DADO GMP-GL M 25X1,5 RAL 7035  ISO25</t>
  </si>
  <si>
    <t>AAB. 62.  1.  9</t>
  </si>
  <si>
    <t>DELWJDM25/3X7</t>
  </si>
  <si>
    <t>GUARNIZIONE PRESSACAVO M25 3x7</t>
  </si>
  <si>
    <t>AAB. 62.  1. 10</t>
  </si>
  <si>
    <t>WP104  USCITA ANALOGICA</t>
  </si>
  <si>
    <t>AAB. 63</t>
  </si>
  <si>
    <t>WP104003</t>
  </si>
  <si>
    <t>WP104 ANALOGICA COMPLETA</t>
  </si>
  <si>
    <t>AAB. 63.  1</t>
  </si>
  <si>
    <t>AAB. 63.  1.  1</t>
  </si>
  <si>
    <t>AAB. 63.  1.  2</t>
  </si>
  <si>
    <t>WP1040000010ELE</t>
  </si>
  <si>
    <t>ELETTR. WP 104 CON USCITA ANALOGICA</t>
  </si>
  <si>
    <t>AAB. 63.  1.  3</t>
  </si>
  <si>
    <t>AAB. 63.  1.  4</t>
  </si>
  <si>
    <t>AAB. 63.  1.  5</t>
  </si>
  <si>
    <t>AAB. 63.  1.  6</t>
  </si>
  <si>
    <t>WEIN066116</t>
  </si>
  <si>
    <t>MORSETTO TERRA EK4/35 WEI</t>
  </si>
  <si>
    <t>AAB. 63.  1.  7</t>
  </si>
  <si>
    <t>WP104 PESATURA IN PROFIBUS</t>
  </si>
  <si>
    <t>AAB. 64</t>
  </si>
  <si>
    <t>WP104002</t>
  </si>
  <si>
    <t>WP104 PESATURA PROFIBUS COMPLETA</t>
  </si>
  <si>
    <t>AAB. 64.  1</t>
  </si>
  <si>
    <t>AAB. 64.  1.  1</t>
  </si>
  <si>
    <t>AAB. 64.  1.  2</t>
  </si>
  <si>
    <t>WP1040000020ELE</t>
  </si>
  <si>
    <t>ELETTR. WP 104 PROFIBUS</t>
  </si>
  <si>
    <t>AAB. 64.  1.  3</t>
  </si>
  <si>
    <t>AAB. 64.  1.  4</t>
  </si>
  <si>
    <t>AAB. 64.  1.  5</t>
  </si>
  <si>
    <t>AAB. 64.  1.  6</t>
  </si>
  <si>
    <t>AAB. 64.  1.  7</t>
  </si>
  <si>
    <t>AAB. 64.  2</t>
  </si>
  <si>
    <t>AAB. 65</t>
  </si>
  <si>
    <t>AAB. 65.  1</t>
  </si>
  <si>
    <t>AAB. 65.  1.  1</t>
  </si>
  <si>
    <t>AAB. 65.  1.  2</t>
  </si>
  <si>
    <t>AAB. 65.  1.  3</t>
  </si>
  <si>
    <t>AAB. 65.  1.  4</t>
  </si>
  <si>
    <t>AAB. 65.  1.  5</t>
  </si>
  <si>
    <t>AAB. 65.  1.  6</t>
  </si>
  <si>
    <t>AAB. 65.  1.  7</t>
  </si>
  <si>
    <t>AAB. 65.  1.  8</t>
  </si>
  <si>
    <t>AAB. 65.  1.  9</t>
  </si>
  <si>
    <t>AAB. 65.  1. 10</t>
  </si>
  <si>
    <t>LENZE: POSIZIONATORE TRIFASE</t>
  </si>
  <si>
    <t>AAB. 66</t>
  </si>
  <si>
    <t>LEN-E84AVHCE371SX0</t>
  </si>
  <si>
    <t>INVERTER DRIVES 8400 HIGHLINE C</t>
  </si>
  <si>
    <t>AAB. 66.  1</t>
  </si>
  <si>
    <t>LEN-EZAEBK1001</t>
  </si>
  <si>
    <t>TASTIERINA X400</t>
  </si>
  <si>
    <t>AAB. 66.  2</t>
  </si>
  <si>
    <t>LEN-EPM S110</t>
  </si>
  <si>
    <t>GATEWAY CAN</t>
  </si>
  <si>
    <t>AAB. 66.  3</t>
  </si>
  <si>
    <t>LEN-EPM S202</t>
  </si>
  <si>
    <t>MODULO  8 DI</t>
  </si>
  <si>
    <t>AAB. 66.  4</t>
  </si>
  <si>
    <t>DIS334802</t>
  </si>
  <si>
    <t>FERRITE TOROIDALE</t>
  </si>
  <si>
    <t>AAB. 66.  5</t>
  </si>
  <si>
    <t>MATERIALE PULSANTE</t>
  </si>
  <si>
    <t>AAB. 67</t>
  </si>
  <si>
    <t>TELXAPM1501</t>
  </si>
  <si>
    <t>PULSANTIERA METALLICA XAPM1501</t>
  </si>
  <si>
    <t>AAB. 67.  1</t>
  </si>
  <si>
    <t>AAB. 67.  2</t>
  </si>
  <si>
    <t>AAB. 67.  3</t>
  </si>
  <si>
    <t>AAB. 67.  4</t>
  </si>
  <si>
    <t>AAB. 67.  5</t>
  </si>
  <si>
    <t>QUADRO CARICO SILI STANDARD</t>
  </si>
  <si>
    <t>AAB. 68</t>
  </si>
  <si>
    <t>MOE029368</t>
  </si>
  <si>
    <t>T0-4-15602/E  COMM. A CAMME</t>
  </si>
  <si>
    <t>AAB. 68.  1</t>
  </si>
  <si>
    <t>AAB. 68.  2</t>
  </si>
  <si>
    <t>AAB. 68.  3</t>
  </si>
  <si>
    <t>MOE216557</t>
  </si>
  <si>
    <t>M22-LED-W LED 12-30V AC/DC BIA</t>
  </si>
  <si>
    <t>AAB. 68.  4</t>
  </si>
  <si>
    <t>MOE216558</t>
  </si>
  <si>
    <t>M22-LED-R  12-30V AC/DC ROSSO</t>
  </si>
  <si>
    <t>AAB. 68.  5</t>
  </si>
  <si>
    <t>AAB. 68.  6</t>
  </si>
  <si>
    <t>AAB. 68.  7</t>
  </si>
  <si>
    <t>MOE216718</t>
  </si>
  <si>
    <t>M22-DP-Y FUNGO NEUTRO GIALLO</t>
  </si>
  <si>
    <t>AAB. 68.  8</t>
  </si>
  <si>
    <t>MOE216771</t>
  </si>
  <si>
    <t>M22-L-W  INDICAT. LUM. BIANCO</t>
  </si>
  <si>
    <t>AAB. 68.  9</t>
  </si>
  <si>
    <t>MOE216772</t>
  </si>
  <si>
    <t>M22-L-R INDICAT. LUM. ROSSO</t>
  </si>
  <si>
    <t>AAB. 68. 10</t>
  </si>
  <si>
    <t>MOE216774</t>
  </si>
  <si>
    <t>M22-L-Y INDICATORE LUM. GIALLO</t>
  </si>
  <si>
    <t>AAB. 68. 11</t>
  </si>
  <si>
    <t>WAG51128896</t>
  </si>
  <si>
    <t>870-911 MORSETTO GRIGIO 2C 2,5MM2</t>
  </si>
  <si>
    <t>AAB. 68. 12</t>
  </si>
  <si>
    <t>SIR54081</t>
  </si>
  <si>
    <t>SIRENA CEADEL 165 24VCC</t>
  </si>
  <si>
    <t>AAB. 68. 13</t>
  </si>
  <si>
    <t>GEW44621</t>
  </si>
  <si>
    <t>STAFFA  DI FISSAGGIO A PARETE</t>
  </si>
  <si>
    <t>AAB. 68. 14</t>
  </si>
  <si>
    <t>GEW44636</t>
  </si>
  <si>
    <t>PIASTRA DI FONDO GEWISS</t>
  </si>
  <si>
    <t>AAB. 68. 15</t>
  </si>
  <si>
    <t>GEW44818</t>
  </si>
  <si>
    <t>SCATOLA GEWISS 240X190X135</t>
  </si>
  <si>
    <t>AAB. 68. 16</t>
  </si>
  <si>
    <t>TEMPERATURA PLC</t>
  </si>
  <si>
    <t>AAB. 69</t>
  </si>
  <si>
    <t>SIE6ES71344GB010AB0</t>
  </si>
  <si>
    <t>SIMATIC DP, ET200-S 2AI 2 WIRE ST</t>
  </si>
  <si>
    <t>AAB. 69.  1</t>
  </si>
  <si>
    <t>AAB. 69.  2</t>
  </si>
  <si>
    <t>TEMPERATURA CON SCHEDA IN RETE</t>
  </si>
  <si>
    <t>AAB. 70</t>
  </si>
  <si>
    <t>SAES139</t>
  </si>
  <si>
    <t>SCHEDA TEMPERATURE WP140</t>
  </si>
  <si>
    <t>AAB. 70.  1</t>
  </si>
  <si>
    <t>TORRETTA</t>
  </si>
  <si>
    <t>AAB. 71</t>
  </si>
  <si>
    <t>AAB. 71.  1</t>
  </si>
  <si>
    <t>AAB. 71.  2</t>
  </si>
  <si>
    <t>AAB. 71.  3</t>
  </si>
  <si>
    <t>AAB. 71.  4</t>
  </si>
  <si>
    <t>AAB. 71.  5</t>
  </si>
  <si>
    <t>ELETTRICA INTERNA</t>
  </si>
  <si>
    <t>Preparazione di base quadro 800x1200x300</t>
  </si>
  <si>
    <t>HR</t>
  </si>
  <si>
    <t>AABþ_x0001__x0002_UC_QUAI800_1200</t>
  </si>
  <si>
    <t>Preparazione di base quadro 800x1800x400</t>
  </si>
  <si>
    <t>AABþ_x0001__x0002_UC_QUAI800_1800</t>
  </si>
  <si>
    <t>AABþ_x0001__x0002_UC_QUAV800_1200</t>
  </si>
  <si>
    <t>AABþ_x0001__x0002_UC_QUAV800_1800</t>
  </si>
  <si>
    <t>AABÿ 1</t>
  </si>
  <si>
    <t>AABÿ 2</t>
  </si>
  <si>
    <t>AABÿ 3</t>
  </si>
  <si>
    <t>AABÿ 4</t>
  </si>
  <si>
    <t>AABÿ 5</t>
  </si>
  <si>
    <t>AABÿ 6</t>
  </si>
  <si>
    <t>AABÿ 7</t>
  </si>
  <si>
    <t>netto (OLD)</t>
  </si>
  <si>
    <t xml:space="preserve">Rilevatori di peso Siwarex vs wp 104 </t>
  </si>
  <si>
    <t>WP 104/PES/DOS</t>
  </si>
  <si>
    <t>Somma</t>
  </si>
  <si>
    <t>AMPLIAMENTO IMPIANTO UTILIZZANDO CPU ESISTENTE</t>
  </si>
  <si>
    <t>UC_MODR_1C</t>
  </si>
  <si>
    <t xml:space="preserve">ROCKWELL: MODULO 16 INPUT VELOCI 1769   </t>
  </si>
  <si>
    <t>UC_MODR_16DI</t>
  </si>
  <si>
    <t>ROCKWELL: 16 INPUT 1769</t>
  </si>
  <si>
    <t>UC_MODR_4AI</t>
  </si>
  <si>
    <t>ROCKWELL: 4 INPUT ANALOGICI 1769</t>
  </si>
  <si>
    <t>UC_MODR_32DI</t>
  </si>
  <si>
    <t>ROCKWELL: 32 INPUT 1769</t>
  </si>
  <si>
    <t>UC_MODR_8AI</t>
  </si>
  <si>
    <t>ROCKWELL: 8 INPUT ANALOGICI 1769</t>
  </si>
  <si>
    <t>UC_MODR_16DO</t>
  </si>
  <si>
    <t>ROCKWELL: 16 OUTPUT 1769</t>
  </si>
  <si>
    <t>UC_MODR_2AO</t>
  </si>
  <si>
    <t>ROCKWELL: 2 OUTPUT ANALOGICHE 1769</t>
  </si>
  <si>
    <t>UC_MODR_2AOP</t>
  </si>
  <si>
    <t>ROCKWELL: 2 OUTPUT ANALOGICHE POINT_IO</t>
  </si>
  <si>
    <r>
      <t xml:space="preserve">inverter </t>
    </r>
    <r>
      <rPr>
        <b/>
        <sz val="11"/>
        <rFont val="Arial"/>
        <family val="2"/>
      </rPr>
      <t>monofase</t>
    </r>
    <r>
      <rPr>
        <sz val="11"/>
        <rFont val="Arial"/>
        <family val="2"/>
      </rPr>
      <t xml:space="preserve"> su stellare/coclea di scarico &lt;=0,37Kw</t>
    </r>
  </si>
  <si>
    <r>
      <t xml:space="preserve">inverter </t>
    </r>
    <r>
      <rPr>
        <b/>
        <sz val="11"/>
        <rFont val="Arial"/>
        <family val="2"/>
      </rPr>
      <t>monofase</t>
    </r>
    <r>
      <rPr>
        <sz val="11"/>
        <rFont val="Arial"/>
        <family val="2"/>
      </rPr>
      <t xml:space="preserve"> su stellare/coclea di scarico &lt;= 0,75Kw</t>
    </r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</si>
  <si>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su stellare/coclea di scarico &lt;=0,75Kw</t>
    </r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</si>
  <si>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su stellare/coclea di scarico &lt;=1,5Kw</t>
    </r>
  </si>
  <si>
    <r>
      <t xml:space="preserve">inverter </t>
    </r>
    <r>
      <rPr>
        <b/>
        <sz val="11"/>
        <rFont val="Arial"/>
        <family val="2"/>
      </rPr>
      <t>monofase</t>
    </r>
    <r>
      <rPr>
        <sz val="11"/>
        <rFont val="Arial"/>
        <family val="2"/>
      </rPr>
      <t xml:space="preserve"> per motore  &lt;= 0,37 Kw</t>
    </r>
  </si>
  <si>
    <r>
      <t xml:space="preserve">inverter </t>
    </r>
    <r>
      <rPr>
        <b/>
        <sz val="11"/>
        <rFont val="Arial"/>
        <family val="2"/>
      </rPr>
      <t>monofase</t>
    </r>
    <r>
      <rPr>
        <sz val="11"/>
        <rFont val="Arial"/>
        <family val="2"/>
      </rPr>
      <t xml:space="preserve"> per motore  &lt;=0,75 Kw</t>
    </r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</si>
  <si>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per motore  &lt;=0,75 Kw</t>
    </r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</si>
  <si>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per motore  &lt;=1,5Kw</t>
    </r>
  </si>
  <si>
    <r>
      <t xml:space="preserve">inverter </t>
    </r>
    <r>
      <rPr>
        <b/>
        <sz val="11"/>
        <rFont val="Arial"/>
        <family val="2"/>
      </rPr>
      <t>monofase</t>
    </r>
    <r>
      <rPr>
        <sz val="11"/>
        <rFont val="Arial"/>
        <family val="2"/>
      </rPr>
      <t xml:space="preserve"> per pompa  &lt;= 0,37 Kw</t>
    </r>
  </si>
  <si>
    <r>
      <t xml:space="preserve">inverter </t>
    </r>
    <r>
      <rPr>
        <b/>
        <sz val="11"/>
        <rFont val="Arial"/>
        <family val="2"/>
      </rPr>
      <t>monofase</t>
    </r>
    <r>
      <rPr>
        <sz val="11"/>
        <rFont val="Arial"/>
        <family val="2"/>
      </rPr>
      <t xml:space="preserve"> per pompa  &lt;=0,75 Kw</t>
    </r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</si>
  <si>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per pompa  &lt;=0,75 Kw</t>
    </r>
  </si>
  <si>
    <t>TIPO CONTROLLORE</t>
  </si>
  <si>
    <t>tipo di controllo</t>
  </si>
  <si>
    <t>WP140-Elettromeccanico</t>
  </si>
  <si>
    <t>PLC Siemens S7</t>
  </si>
  <si>
    <t>PLC AllenBradley CompactLogix</t>
  </si>
  <si>
    <t>TIPO DI MATERIALE ELETTROMECCANICO</t>
  </si>
  <si>
    <t>tipo di materiale elettromeccanico</t>
  </si>
  <si>
    <t>Eaton</t>
  </si>
  <si>
    <t>AllenBradley</t>
  </si>
  <si>
    <t>Schneider</t>
  </si>
  <si>
    <t>Siemens</t>
  </si>
  <si>
    <t>PLC + moduli I/O</t>
  </si>
  <si>
    <t xml:space="preserve">SUBTOTALE PLC+PANNELLO </t>
  </si>
  <si>
    <t>UC_PAN_TP1500</t>
  </si>
  <si>
    <t xml:space="preserve">UC_PANR_LICENZA_RT                </t>
  </si>
  <si>
    <t>UC_PAN_PV7</t>
  </si>
  <si>
    <t>UC_PAN_PV9</t>
  </si>
  <si>
    <t>UC_PAN_PV12</t>
  </si>
  <si>
    <t>UC_PAN_PV15</t>
  </si>
  <si>
    <t>AllenBradley-Pannello PanelView 7" touch colore</t>
  </si>
  <si>
    <t>AllenBradley-Pannello PanelView 9" touch colore</t>
  </si>
  <si>
    <t>AllenBradley-Pannello PanelView 12" touch colore</t>
  </si>
  <si>
    <t>AllenBradley-Pannello PanelView 15" touch colore</t>
  </si>
  <si>
    <t>Siemens-Pannello KTP400 4" touch colore</t>
  </si>
  <si>
    <t>Siemens-Pannello TP700 7" touch colore</t>
  </si>
  <si>
    <t>Siemens-Pannello TP900 9" touch colore</t>
  </si>
  <si>
    <t>Siemens-Pannello TP1200 12" touch colore</t>
  </si>
  <si>
    <t>Siemens-Pannello TP1500 15" touch colore</t>
  </si>
  <si>
    <t>UC_WP500</t>
  </si>
  <si>
    <t>Pannello WP500</t>
  </si>
  <si>
    <t>WP500</t>
  </si>
  <si>
    <t>UC_WP140</t>
  </si>
  <si>
    <t>Pannello WP140</t>
  </si>
  <si>
    <t>WP/ELETTROMECCANICO</t>
  </si>
  <si>
    <t>TOTALE PER QUADRO</t>
  </si>
  <si>
    <t>SUBTOTALE moduli I/O</t>
  </si>
  <si>
    <t>TOTALE PER QUADRO WP500</t>
  </si>
  <si>
    <t>Totale numero WP500</t>
  </si>
  <si>
    <t>Totale numero WP140</t>
  </si>
  <si>
    <r>
      <t xml:space="preserve">deviatore </t>
    </r>
    <r>
      <rPr>
        <b/>
        <sz val="11"/>
        <rFont val="Arial"/>
        <family val="2"/>
      </rPr>
      <t>bistabile</t>
    </r>
    <r>
      <rPr>
        <sz val="11"/>
        <rFont val="Arial"/>
        <family val="2"/>
      </rPr>
      <t xml:space="preserve"> di scarico con finecorsa</t>
    </r>
  </si>
  <si>
    <r>
      <t xml:space="preserve">deviatore </t>
    </r>
    <r>
      <rPr>
        <b/>
        <sz val="11"/>
        <rFont val="Arial"/>
        <family val="2"/>
      </rPr>
      <t>monostabile</t>
    </r>
    <r>
      <rPr>
        <sz val="11"/>
        <rFont val="Arial"/>
        <family val="2"/>
      </rPr>
      <t xml:space="preserve"> di scarico con finecorsa</t>
    </r>
  </si>
  <si>
    <t>innesto compressore sempre in marcia (2 valvole con finecorsa)</t>
  </si>
  <si>
    <r>
      <t xml:space="preserve">valvola </t>
    </r>
    <r>
      <rPr>
        <sz val="11"/>
        <rFont val="Arial"/>
        <family val="2"/>
      </rPr>
      <t xml:space="preserve">dosaggio/carico valvola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finecorsa</t>
    </r>
  </si>
  <si>
    <r>
      <t xml:space="preserve">deviatore dosaggio/carico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finecorsa</t>
    </r>
  </si>
  <si>
    <r>
      <t xml:space="preserve">valvola dosaggio/carico </t>
    </r>
    <r>
      <rPr>
        <b/>
        <sz val="11"/>
        <rFont val="Arial"/>
        <family val="2"/>
      </rPr>
      <t>no</t>
    </r>
    <r>
      <rPr>
        <sz val="11"/>
        <rFont val="Arial"/>
        <family val="2"/>
      </rPr>
      <t xml:space="preserve"> finecorsa </t>
    </r>
  </si>
  <si>
    <r>
      <t xml:space="preserve">valvola dosaggio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finecorsa</t>
    </r>
  </si>
  <si>
    <r>
      <t xml:space="preserve">valvola dosaggio </t>
    </r>
    <r>
      <rPr>
        <b/>
        <sz val="11"/>
        <rFont val="Arial"/>
        <family val="2"/>
      </rPr>
      <t>no</t>
    </r>
    <r>
      <rPr>
        <sz val="11"/>
        <rFont val="Arial"/>
        <family val="2"/>
      </rPr>
      <t xml:space="preserve"> finecorsa</t>
    </r>
  </si>
  <si>
    <t>acqua rete: controllo temperatura</t>
  </si>
  <si>
    <t>acqua calda: controllo temperatura</t>
  </si>
  <si>
    <t>acqua fredda: controllo temperatura</t>
  </si>
  <si>
    <t>aspiratore fumi scarico</t>
  </si>
  <si>
    <r>
      <t xml:space="preserve">valvola di scarico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finecorsa</t>
    </r>
  </si>
  <si>
    <r>
      <t xml:space="preserve">valvola di scarico </t>
    </r>
    <r>
      <rPr>
        <b/>
        <sz val="11"/>
        <rFont val="Arial"/>
        <family val="2"/>
      </rPr>
      <t>no</t>
    </r>
    <r>
      <rPr>
        <sz val="11"/>
        <rFont val="Arial"/>
        <family val="2"/>
      </rPr>
      <t xml:space="preserve"> finecorsa</t>
    </r>
  </si>
  <si>
    <r>
      <t xml:space="preserve">valvola commutatrice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finecorsa</t>
    </r>
  </si>
  <si>
    <r>
      <t xml:space="preserve">valvola commutatrice </t>
    </r>
    <r>
      <rPr>
        <b/>
        <sz val="11"/>
        <rFont val="Arial"/>
        <family val="2"/>
      </rPr>
      <t>no</t>
    </r>
    <r>
      <rPr>
        <sz val="11"/>
        <rFont val="Arial"/>
        <family val="2"/>
      </rPr>
      <t xml:space="preserve"> finecorsa</t>
    </r>
  </si>
  <si>
    <r>
      <t xml:space="preserve">Innesto con 2 valvole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finecorsa</t>
    </r>
  </si>
  <si>
    <t>Deviatore LIFT</t>
  </si>
  <si>
    <r>
      <t xml:space="preserve">Innesto con 2 valvole </t>
    </r>
    <r>
      <rPr>
        <b/>
        <sz val="11"/>
        <rFont val="Arial"/>
        <family val="2"/>
      </rPr>
      <t>no</t>
    </r>
    <r>
      <rPr>
        <sz val="11"/>
        <rFont val="Arial"/>
        <family val="2"/>
      </rPr>
      <t xml:space="preserve"> finecorsa</t>
    </r>
  </si>
  <si>
    <r>
      <t xml:space="preserve">valvola CEPATIC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finecorsa</t>
    </r>
  </si>
  <si>
    <r>
      <t xml:space="preserve">valvola CEPATIC </t>
    </r>
    <r>
      <rPr>
        <b/>
        <sz val="11"/>
        <rFont val="Arial"/>
        <family val="2"/>
      </rPr>
      <t>no</t>
    </r>
    <r>
      <rPr>
        <sz val="11"/>
        <rFont val="Arial"/>
        <family val="2"/>
      </rPr>
      <t xml:space="preserve"> finecorsa</t>
    </r>
  </si>
  <si>
    <t>pressostato/vacuostato linea trasporto pneumatico</t>
  </si>
  <si>
    <t>coclea estrazione = nr trimix</t>
  </si>
  <si>
    <t>valvola tampone = nr trimix</t>
  </si>
  <si>
    <t>aspiratore fumi</t>
  </si>
  <si>
    <t>selettore/segnalazioni carico trimix (obbligatorio)</t>
  </si>
  <si>
    <t>fluidificazione: nr compressori</t>
  </si>
  <si>
    <t>aspiratore silo</t>
  </si>
  <si>
    <t>pressostato interno silo</t>
  </si>
  <si>
    <t>pressostato tubo carico silo</t>
  </si>
  <si>
    <r>
      <t xml:space="preserve">cabina fonoassorbente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ventilatore</t>
    </r>
  </si>
  <si>
    <r>
      <t xml:space="preserve">vibrovaglio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valvola di pulizia</t>
    </r>
  </si>
  <si>
    <r>
      <t xml:space="preserve">vibrovaglio </t>
    </r>
    <r>
      <rPr>
        <b/>
        <sz val="11"/>
        <rFont val="Arial"/>
        <family val="2"/>
      </rPr>
      <t>no</t>
    </r>
    <r>
      <rPr>
        <sz val="11"/>
        <rFont val="Arial"/>
        <family val="2"/>
      </rPr>
      <t xml:space="preserve"> valvola di pulizia</t>
    </r>
  </si>
  <si>
    <t>inverter trifase = 3 Kw</t>
  </si>
  <si>
    <t>UC_INVL_3T</t>
  </si>
  <si>
    <t>pompa di ricircolo &lt;=3 Kw</t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</si>
  <si>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su stellare/coclea di scarico &lt;=3Kw</t>
    </r>
  </si>
  <si>
    <r>
      <t xml:space="preserve">ciclofiltro autopulente filtro standard: nr filtri (solo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WP)</t>
    </r>
  </si>
  <si>
    <r>
      <t xml:space="preserve">ciclofiltro autopulente / kit pulizia - 2 valvole Ø 650: nr filtri (solo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PLC)</t>
    </r>
  </si>
  <si>
    <r>
      <t xml:space="preserve">ciclofiltro autopulente / kit pulizia - 4 valvole Ø 900: nr filtri (solo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PLC)</t>
    </r>
  </si>
  <si>
    <r>
      <t xml:space="preserve">ciclofiltro autopulente / kit pulizia - 8 valvole: Ø 1200: nr filtri (solo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PLC)</t>
    </r>
  </si>
  <si>
    <t>Deviatore 4 vie carosello con finecorsa: nr deviatori</t>
  </si>
  <si>
    <t>Compressore 2,2Kw</t>
  </si>
  <si>
    <t>Compressore 4Kw</t>
  </si>
  <si>
    <t>Compressore 5,5Kw</t>
  </si>
  <si>
    <t>Compressore 7,5Kw</t>
  </si>
  <si>
    <t>Compressore 11Kw</t>
  </si>
  <si>
    <t>Compressore 15Kw</t>
  </si>
  <si>
    <t>Compressore 22Kw</t>
  </si>
  <si>
    <t>Compressore 30Kw</t>
  </si>
  <si>
    <t>mescolatore &lt;=1,5Kw</t>
  </si>
  <si>
    <t xml:space="preserve">vibratore per carico serbatoio </t>
  </si>
  <si>
    <t>livello minimo serbatoio</t>
  </si>
  <si>
    <t>livello massimo serbatoio</t>
  </si>
  <si>
    <t>bilancia con SIWAREX</t>
  </si>
  <si>
    <t>bilancia trimix con SIWAREX</t>
  </si>
  <si>
    <t>pesatura serbatoio con SIWAREX</t>
  </si>
  <si>
    <t>bilancia liquidi con SIWAREX</t>
  </si>
  <si>
    <r>
      <t xml:space="preserve">controllo temperatura acqua con scheda (solo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WP140)</t>
    </r>
  </si>
  <si>
    <t>Vibratore</t>
  </si>
  <si>
    <t>Peso silo con SIWAREX (no visualizzazione locale)</t>
  </si>
  <si>
    <t>UC_QUAI600_800</t>
  </si>
  <si>
    <t>UC_QUAV600_800</t>
  </si>
  <si>
    <t>cassa 600x800x250</t>
  </si>
  <si>
    <t>cassa 600x800x250 inox</t>
  </si>
  <si>
    <t>numero motori armadio 800x1800x400</t>
  </si>
  <si>
    <t>numero massimo motori cassa 800x1200x300</t>
  </si>
  <si>
    <t>numero massimo motori cassa 600x800x250</t>
  </si>
  <si>
    <t>Tipo quadro</t>
  </si>
  <si>
    <t>Verniciato</t>
  </si>
  <si>
    <t>Inox</t>
  </si>
  <si>
    <t>TIPO DI QUADRO</t>
  </si>
  <si>
    <t>TOTALE PER QUADRO INOX</t>
  </si>
  <si>
    <t>TOTALE PER QUADRO SELEZIONATO</t>
  </si>
  <si>
    <t>WP300/WP140</t>
  </si>
  <si>
    <t>POTENZA</t>
  </si>
  <si>
    <t>CARPENTERIA</t>
  </si>
  <si>
    <t>rele2c base</t>
  </si>
  <si>
    <t>rele4c base</t>
  </si>
  <si>
    <t>timer base</t>
  </si>
  <si>
    <t>INTERFACCIA UOMO MACCHINA</t>
  </si>
  <si>
    <t>Coefficiente plc AllenBradley</t>
  </si>
  <si>
    <t>Coefficiente elettromeccanica</t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</si>
  <si>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per motore  &lt;=3Kw</t>
    </r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</si>
  <si>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per pompa  &lt;=1,5 Kw</t>
    </r>
  </si>
  <si>
    <r>
      <t xml:space="preserve">inverter </t>
    </r>
    <r>
      <rPr>
        <b/>
        <sz val="11"/>
        <rFont val="Arial"/>
        <family val="2"/>
      </rPr>
      <t>trifase</t>
    </r>
    <r>
      <rPr>
        <sz val="11"/>
        <rFont val="Arial"/>
        <family val="2"/>
      </rPr>
      <t xml:space="preserve"> per pompa  &lt;=3 Kw</t>
    </r>
  </si>
  <si>
    <t>CARPENTERIA -  MORSETTI - CABLAGGIO</t>
  </si>
  <si>
    <t>RELE'</t>
  </si>
  <si>
    <t>tipo controllore</t>
  </si>
  <si>
    <t>Coordinata modulo i_o</t>
  </si>
  <si>
    <t>UC_GW_WP500</t>
  </si>
  <si>
    <t>modulo gateway wp500</t>
  </si>
  <si>
    <t>TOTALE PANNELLI OPERATORI</t>
  </si>
  <si>
    <t>Coordinata modulo QUADRO</t>
  </si>
  <si>
    <t>TOTALE QUADRI</t>
  </si>
  <si>
    <t>MATERIALE ELETTROMECCANICO</t>
  </si>
  <si>
    <t>MODULI I/O</t>
  </si>
  <si>
    <t>CONFIGURAZIONE1</t>
  </si>
  <si>
    <t>CONFIGURAZIONE2</t>
  </si>
  <si>
    <t xml:space="preserve">TOTALE PLC CON QUADRO E PANNELLO </t>
  </si>
  <si>
    <t>ID</t>
  </si>
  <si>
    <t>k_IO</t>
  </si>
  <si>
    <t>totale schema elettrico [h]</t>
  </si>
  <si>
    <t>ORE SCHEMA ELETTRICO</t>
  </si>
  <si>
    <t>ORE PROGRAMMA PLC</t>
  </si>
  <si>
    <t>K_complex</t>
  </si>
  <si>
    <t>offset_complex</t>
  </si>
  <si>
    <t>k_funzioni</t>
  </si>
  <si>
    <t>Schema elettrico</t>
  </si>
  <si>
    <t>Collegamenti Cavi/canala</t>
  </si>
  <si>
    <t>Collegamenti cavi/canala</t>
  </si>
  <si>
    <t>DATA</t>
  </si>
  <si>
    <t>Cavi Dati</t>
  </si>
  <si>
    <t>Di cui progetto</t>
  </si>
  <si>
    <t>Schema El</t>
  </si>
  <si>
    <t>Panop</t>
  </si>
  <si>
    <t>Plc</t>
  </si>
  <si>
    <t>Pannelli /H</t>
  </si>
  <si>
    <t>PLC/H</t>
  </si>
  <si>
    <t>Blocca</t>
  </si>
  <si>
    <t>Pot Unit</t>
  </si>
  <si>
    <t>Nome/desc quadro</t>
  </si>
  <si>
    <t>POT Tot</t>
  </si>
  <si>
    <t>Blocca valore = ctrlb - Sblocca Valore= ctrls</t>
  </si>
  <si>
    <r>
      <t xml:space="preserve">valvola on off </t>
    </r>
    <r>
      <rPr>
        <b/>
        <sz val="11"/>
        <rFont val="Arial"/>
        <family val="2"/>
      </rPr>
      <t>con</t>
    </r>
    <r>
      <rPr>
        <sz val="11"/>
        <rFont val="Arial"/>
        <family val="2"/>
      </rPr>
      <t xml:space="preserve"> finecorsa</t>
    </r>
  </si>
  <si>
    <r>
      <t xml:space="preserve">valvola on off </t>
    </r>
    <r>
      <rPr>
        <b/>
        <sz val="11"/>
        <rFont val="Arial"/>
        <family val="2"/>
      </rPr>
      <t>no</t>
    </r>
    <r>
      <rPr>
        <sz val="11"/>
        <rFont val="Arial"/>
        <family val="2"/>
      </rPr>
      <t xml:space="preserve"> finecorsa</t>
    </r>
  </si>
  <si>
    <t>AMPLIAMENTO SU CASSE/QUADRI ESISTENTI</t>
  </si>
  <si>
    <t>Motori</t>
  </si>
  <si>
    <t>Valv/eva</t>
  </si>
  <si>
    <t>Inverter/pos</t>
  </si>
  <si>
    <t>Posti Dosaggio</t>
  </si>
  <si>
    <t>GATEWAY</t>
  </si>
  <si>
    <t>PROFIBUS</t>
  </si>
  <si>
    <t>ETHERNET IP</t>
  </si>
  <si>
    <t>NO RETE</t>
  </si>
  <si>
    <t>MODBUS RTU</t>
  </si>
  <si>
    <t>tipo di rete WP104 DOSAGGIO</t>
  </si>
  <si>
    <t>tipo di rete WP104 PESATURA SILO</t>
  </si>
  <si>
    <t>peso silos WP104 calcolato in foglio quadro</t>
  </si>
  <si>
    <t>peso dosaggio WP104 calcolato in foglio quadro</t>
  </si>
  <si>
    <t>descrizione base prezzi pesatura silo</t>
  </si>
  <si>
    <t>descrizione base prezzi pesatura bilancia</t>
  </si>
  <si>
    <t>peso wp104 rete MODBUS RTU</t>
  </si>
  <si>
    <t>peso wp104 rete MODBUS TCP</t>
  </si>
  <si>
    <t>peso wp104 rete ETHERNET IP</t>
  </si>
  <si>
    <t>peso wp104 rete PROFINET</t>
  </si>
  <si>
    <t>selezione configurazione</t>
  </si>
  <si>
    <t>descrzione2_1</t>
  </si>
  <si>
    <t>WP104 PER PESATURA/DOSAGGIO</t>
  </si>
  <si>
    <t>GATEWAY PESATURA SILOS</t>
  </si>
  <si>
    <t xml:space="preserve">TOTALE WP104 </t>
  </si>
  <si>
    <t xml:space="preserve">TOTALE WP104 analogiche/temperatura </t>
  </si>
  <si>
    <t>AMPLIAMENTO CPU</t>
  </si>
  <si>
    <t>set_ampliamento_offset_plc</t>
  </si>
  <si>
    <t>set_nuovo_offset_plc</t>
  </si>
  <si>
    <t>tipo di pesatura possibile</t>
  </si>
  <si>
    <t>set_nuovo_offset_wp</t>
  </si>
  <si>
    <t>set_ampliamento_offset_wp</t>
  </si>
  <si>
    <t>PRESENZA WP CONFIGURAZIONE1</t>
  </si>
  <si>
    <t>PRESENZA WP CONFIGURAZIONE2</t>
  </si>
  <si>
    <t>Coefficiente plc Seneca</t>
  </si>
  <si>
    <t>10DI</t>
  </si>
  <si>
    <t>Costo punto</t>
  </si>
  <si>
    <t>24DI</t>
  </si>
  <si>
    <t>10DO</t>
  </si>
  <si>
    <t>24DO</t>
  </si>
  <si>
    <t>Seneca</t>
  </si>
  <si>
    <t>16DI</t>
  </si>
  <si>
    <t>32DI</t>
  </si>
  <si>
    <t>16DO</t>
  </si>
  <si>
    <t>32DO</t>
  </si>
  <si>
    <t>Peso %</t>
  </si>
  <si>
    <t>SWS</t>
  </si>
  <si>
    <t xml:space="preserve">relais </t>
  </si>
  <si>
    <t>perche se metto un solo motore vengone fuori tati relais e perche ce ne sono di partenza 20 da 2c + 10 da 4c + 5 timer ?</t>
  </si>
  <si>
    <t>WP</t>
  </si>
  <si>
    <t>nel caso di scelata wp140 o quadro senza wp104 : nella casella  materiale elettromeccanico non deve esser aggiunto la wp 104 - fose aggiunegre una riga per le sole wp 104 ???</t>
  </si>
  <si>
    <t>punto dosaggio</t>
  </si>
  <si>
    <t>punto pesatura</t>
  </si>
  <si>
    <t>N panop</t>
  </si>
  <si>
    <t>Pagine Panop : 1 = 1 gg/ 8 ore tecnico</t>
  </si>
  <si>
    <t>Nuove funzionalità (calcolo in base a numero i/o) -  aumentare se necessario</t>
  </si>
  <si>
    <t>Sezionatori</t>
  </si>
  <si>
    <t>d1</t>
  </si>
  <si>
    <t>d2</t>
  </si>
  <si>
    <t>p1</t>
  </si>
  <si>
    <t>p2</t>
  </si>
  <si>
    <t>SIWAREX</t>
  </si>
  <si>
    <t>Totale punti dosaggi</t>
  </si>
  <si>
    <t>PESATURE SILO/SERBATOI/CISTERNE</t>
  </si>
  <si>
    <t>Totale pesature silo/serbatoi/cisterne</t>
  </si>
  <si>
    <t>Punti di dosaggio/bilance</t>
  </si>
  <si>
    <t>Totale punti dosaggi Tmx/tme</t>
  </si>
  <si>
    <t>Punti di dosaggio Tmx/tme</t>
  </si>
  <si>
    <t>punti di pesatura serbatoio liquidi</t>
  </si>
  <si>
    <t xml:space="preserve">punti di pesatura serbatoio </t>
  </si>
  <si>
    <t xml:space="preserve">punti di dosaggio/ bilancia serbatoio </t>
  </si>
  <si>
    <t>Totale punti di dosaggio/bilance liquidi</t>
  </si>
  <si>
    <t>rete</t>
  </si>
  <si>
    <t>Totale punti un rete</t>
  </si>
  <si>
    <t xml:space="preserve">TotaleKw </t>
  </si>
  <si>
    <t>Cavi Pot aux</t>
  </si>
  <si>
    <t>Distanze collegamenti utenze</t>
  </si>
  <si>
    <t>Corto</t>
  </si>
  <si>
    <t>lungo</t>
  </si>
  <si>
    <t>30/40</t>
  </si>
  <si>
    <t>20/30</t>
  </si>
  <si>
    <t>Oltre 40</t>
  </si>
  <si>
    <t>Tipo dist</t>
  </si>
  <si>
    <t>Standard</t>
  </si>
  <si>
    <t xml:space="preserve"> Mt Lung Cavi X utenza</t>
  </si>
  <si>
    <t>RP</t>
  </si>
  <si>
    <t>Leonardo</t>
  </si>
  <si>
    <t>I/O</t>
  </si>
  <si>
    <t>Ante 15/6/17</t>
  </si>
  <si>
    <t>Supervisor processo base</t>
  </si>
  <si>
    <t>I/o</t>
  </si>
  <si>
    <t>Supervisore di processo</t>
  </si>
  <si>
    <t>SPV PROC</t>
  </si>
  <si>
    <t>Supervisore di gestione  base</t>
  </si>
  <si>
    <t>Sws Silo e Srb</t>
  </si>
  <si>
    <t>WP/PANOP in +</t>
  </si>
  <si>
    <t>Collegamenti metri per wp/sws</t>
  </si>
  <si>
    <t>Prezzo al metro</t>
  </si>
  <si>
    <t>Totale collegamento</t>
  </si>
  <si>
    <t>Totale supervisore</t>
  </si>
  <si>
    <t>Spv Gest</t>
  </si>
  <si>
    <t>Tot panop config 1</t>
  </si>
  <si>
    <t>VEDI ACCESS</t>
  </si>
  <si>
    <t>Dos volum</t>
  </si>
  <si>
    <t>Kw</t>
  </si>
  <si>
    <t>5% giugno 2021</t>
  </si>
  <si>
    <t>10% febb 2022</t>
  </si>
  <si>
    <t>10% aprile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</si>
</sst>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3" formatCode="_-* #,##0.00_-;\-* #,##0.00_-;_-* &quot;-&quot;??_-;_-@_-"/>
    <numFmt numFmtId="164" formatCode="_-&quot;€&quot;\ * #,##0.00_-;\-&quot;€&quot;\ * #,##0.00_-;_-&quot;€&quot;\ * &quot;-&quot;??_-;_-@_-"/>
    <numFmt numFmtId="165" formatCode="_-&quot;L.&quot;\ * #,##0_-;\-&quot;L.&quot;\ * #,##0_-;_-&quot;L.&quot;\ * &quot;-&quot;_-;_-@_-"/>
    <numFmt numFmtId="166" formatCode="0.0"/>
    <numFmt numFmtId="167" formatCode="_-[$€-2]\ * #,##0.00_-;\-[$€-2]\ * #,##0.00_-;_-[$€-2]\ * &quot;-&quot;??_-"/>
    <numFmt numFmtId="168" formatCode="_-[$€-2]\ * #,##0.00_-;\-[$€-2]\ * #,##0.00_-;_-[$€-2]\ * &quot;-&quot;??_-;_-@_-"/>
    <numFmt numFmtId="169" formatCode="#,##0.00_ ;\-#,##0.00\ "/>
    <numFmt numFmtId="170" formatCode="#,##0_ ;\-#,##0\ "/>
    <numFmt numFmtId="171" formatCode="0.00\ \K\w"/>
    <numFmt numFmtId="172" formatCode="&quot;€&quot;\ #,##0.00"/>
    <numFmt numFmtId="173" formatCode="_-[$€-410]\ * #,##0.00_-;\-[$€-410]\ * #,##0.00_-;_-[$€-410]\ * &quot;-&quot;??_-;_-@_-"/>
    <numFmt numFmtId="174" formatCode="&quot;€&quot;\ #,##0"/>
    <numFmt numFmtId="175" formatCode="_-[$€-2]\ * #,##0_-;\-[$€-2]\ * #,##0_-;_-[$€-2]\ * &quot;-&quot;_-;_-@_-"/>
    <numFmt numFmtId="176" formatCode="dd/mm/yy;@"/>
    <numFmt numFmtId="177" formatCode="_-[$€-2]\ * #,##0.00_-;\-[$€-2]\ * #,##0.00_-;_-[$€-2]\ * &quot;-&quot;_-;_-@_-"/>
    <numFmt numFmtId="178" formatCode="_-* #,##0_-;\-* #,##0_-;_-* &quot;-&quot;??_-;_-@_-"/>
  </numFmts>
  <fonts count="4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b/>
      <i/>
      <sz val="8"/>
      <name val="Arial"/>
      <family val="2"/>
    </font>
    <font>
      <b/>
      <sz val="8"/>
      <name val="Arial"/>
      <family val="2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i/>
      <sz val="12"/>
      <name val="Times New Roman"/>
      <family val="1"/>
    </font>
    <font>
      <b/>
      <i/>
      <sz val="10"/>
      <name val="Times New Roman"/>
      <family val="1"/>
    </font>
    <font>
      <b/>
      <i/>
      <u/>
      <sz val="12"/>
      <name val="Times New Roman"/>
      <family val="1"/>
    </font>
    <font>
      <b/>
      <i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u/>
      <sz val="8"/>
      <name val="Times New Roman"/>
      <family val="1"/>
    </font>
    <font>
      <i/>
      <sz val="11"/>
      <name val="Arial"/>
      <family val="2"/>
    </font>
    <font>
      <i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name val="Times New Roman"/>
      <family val="1"/>
    </font>
    <font>
      <b/>
      <sz val="8"/>
      <name val="Times New Roman"/>
      <family val="1"/>
    </font>
    <font>
      <b/>
      <i/>
      <sz val="12"/>
      <color theme="0"/>
      <name val="Cambria"/>
      <family val="1"/>
    </font>
    <font>
      <b/>
      <sz val="10"/>
      <color theme="0"/>
      <name val="Times New Roman"/>
      <family val="1"/>
    </font>
    <font>
      <b/>
      <sz val="12"/>
      <name val="Times New Roman"/>
      <family val="1"/>
    </font>
    <font>
      <b/>
      <i/>
      <u/>
      <sz val="10"/>
      <name val="Times New Roman"/>
      <family val="1"/>
    </font>
    <font>
      <sz val="8"/>
      <name val="Cambria"/>
      <family val="1"/>
    </font>
    <font>
      <i/>
      <sz val="8"/>
      <name val="Times New Roman"/>
      <family val="1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9"/>
      <name val="Arial"/>
      <family val="2"/>
    </font>
    <font>
      <sz val="8"/>
      <color theme="1"/>
      <name val="Arial"/>
      <family val="2"/>
    </font>
    <font>
      <b/>
      <sz val="10"/>
      <color rgb="FF000000"/>
      <name val="Arial"/>
      <family val="2"/>
    </font>
    <font>
      <b/>
      <i/>
      <sz val="10"/>
      <color rgb="FF00000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/>
    <xf numFmtId="167" fontId="3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23" fillId="0" borderId="0" applyFont="0" applyFill="0" applyBorder="0" applyAlignment="0" applyProtection="0"/>
    <xf numFmtId="167" fontId="24" fillId="0" borderId="0" applyFont="0" applyFill="0" applyBorder="0" applyAlignment="0" applyProtection="0"/>
    <xf numFmtId="9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1" fillId="0" borderId="0"/>
    <xf numFmtId="43" fontId="40" fillId="0" borderId="0" applyFont="0" applyFill="0" applyBorder="0" applyAlignment="0" applyProtection="0"/>
    <xf numFmtId="0" fontId="42" fillId="0" borderId="0"/>
  </cellStyleXfs>
  <cellXfs count="906">
    <xf numFmtId="0" fontId="0" fillId="0" borderId="0" xfId="0"/>
    <xf numFmtId="0" fontId="2" fillId="0" borderId="0" xfId="0" applyFont="1"/>
    <xf numFmtId="167" fontId="2" fillId="0" borderId="0" xfId="1" applyFont="1"/>
    <xf numFmtId="10" fontId="2" fillId="0" borderId="0" xfId="4" applyNumberFormat="1" applyFont="1"/>
    <xf numFmtId="168" fontId="0" fillId="0" borderId="0" xfId="0" applyNumberFormat="1"/>
    <xf numFmtId="167" fontId="0" fillId="0" borderId="0" xfId="1" applyFont="1"/>
    <xf numFmtId="0" fontId="4" fillId="0" borderId="0" xfId="0" applyFont="1" applyAlignment="1">
      <alignment horizontal="justify"/>
    </xf>
    <xf numFmtId="0" fontId="2" fillId="0" borderId="0" xfId="0" applyFont="1" applyAlignment="1">
      <alignment horizontal="justify"/>
    </xf>
    <xf numFmtId="0" fontId="0" fillId="0" borderId="0" xfId="0" applyAlignment="1">
      <alignment horizontal="justify"/>
    </xf>
    <xf numFmtId="0" fontId="2" fillId="0" borderId="0" xfId="0" applyFont="1" applyAlignment="1">
      <alignment horizontal="justify" vertical="top" wrapText="1"/>
    </xf>
    <xf numFmtId="0" fontId="2" fillId="0" borderId="0" xfId="0" applyFont="1" applyAlignment="1">
      <alignment horizontal="justify" vertical="top"/>
    </xf>
    <xf numFmtId="0" fontId="4" fillId="0" borderId="1" xfId="0" applyFont="1" applyBorder="1" applyAlignment="1">
      <alignment horizontal="center"/>
    </xf>
    <xf numFmtId="170" fontId="0" fillId="0" borderId="0" xfId="1" applyNumberFormat="1" applyFont="1"/>
    <xf numFmtId="0" fontId="4" fillId="0" borderId="2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167" fontId="2" fillId="0" borderId="0" xfId="1" applyFont="1" applyAlignment="1"/>
    <xf numFmtId="167" fontId="2" fillId="0" borderId="0" xfId="0" applyNumberFormat="1" applyFont="1"/>
    <xf numFmtId="1" fontId="4" fillId="0" borderId="2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68" fontId="2" fillId="0" borderId="0" xfId="0" applyNumberFormat="1" applyFont="1"/>
    <xf numFmtId="167" fontId="7" fillId="0" borderId="3" xfId="1" applyFont="1" applyBorder="1"/>
    <xf numFmtId="0" fontId="0" fillId="0" borderId="4" xfId="0" applyBorder="1"/>
    <xf numFmtId="0" fontId="0" fillId="0" borderId="4" xfId="0" applyBorder="1" applyAlignment="1">
      <alignment horizontal="justify"/>
    </xf>
    <xf numFmtId="167" fontId="0" fillId="0" borderId="4" xfId="1" applyFont="1" applyBorder="1"/>
    <xf numFmtId="167" fontId="7" fillId="0" borderId="4" xfId="0" applyNumberFormat="1" applyFont="1" applyBorder="1"/>
    <xf numFmtId="168" fontId="7" fillId="0" borderId="4" xfId="0" applyNumberFormat="1" applyFont="1" applyBorder="1"/>
    <xf numFmtId="167" fontId="7" fillId="0" borderId="4" xfId="1" applyFont="1" applyBorder="1"/>
    <xf numFmtId="0" fontId="4" fillId="0" borderId="4" xfId="0" applyFont="1" applyBorder="1" applyAlignment="1">
      <alignment horizontal="justify"/>
    </xf>
    <xf numFmtId="0" fontId="0" fillId="0" borderId="5" xfId="0" applyBorder="1"/>
    <xf numFmtId="0" fontId="0" fillId="2" borderId="0" xfId="0" applyFill="1" applyAlignment="1">
      <alignment horizontal="centerContinuous"/>
    </xf>
    <xf numFmtId="167" fontId="0" fillId="2" borderId="0" xfId="1" applyFont="1" applyFill="1" applyAlignment="1">
      <alignment horizontal="centerContinuous"/>
    </xf>
    <xf numFmtId="167" fontId="7" fillId="2" borderId="0" xfId="1" applyFont="1" applyFill="1" applyAlignment="1">
      <alignment horizontal="centerContinuous"/>
    </xf>
    <xf numFmtId="0" fontId="0" fillId="0" borderId="6" xfId="0" applyBorder="1" applyAlignment="1">
      <alignment horizontal="centerContinuous"/>
    </xf>
    <xf numFmtId="167" fontId="0" fillId="0" borderId="6" xfId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Alignment="1">
      <alignment horizontal="centerContinuous"/>
    </xf>
    <xf numFmtId="167" fontId="0" fillId="0" borderId="0" xfId="1" applyFont="1" applyBorder="1" applyAlignment="1">
      <alignment horizontal="centerContinuous"/>
    </xf>
    <xf numFmtId="167" fontId="7" fillId="0" borderId="0" xfId="1" applyFont="1" applyBorder="1"/>
    <xf numFmtId="0" fontId="0" fillId="0" borderId="8" xfId="0" applyBorder="1"/>
    <xf numFmtId="167" fontId="2" fillId="0" borderId="9" xfId="0" applyNumberFormat="1" applyFont="1" applyBorder="1" applyAlignment="1">
      <alignment horizontal="right"/>
    </xf>
    <xf numFmtId="0" fontId="0" fillId="0" borderId="9" xfId="0" applyBorder="1"/>
    <xf numFmtId="167" fontId="4" fillId="0" borderId="10" xfId="1" applyFont="1" applyBorder="1"/>
    <xf numFmtId="0" fontId="1" fillId="0" borderId="0" xfId="0" applyFont="1"/>
    <xf numFmtId="0" fontId="1" fillId="0" borderId="0" xfId="0" applyFont="1" applyAlignment="1">
      <alignment horizontal="justify"/>
    </xf>
    <xf numFmtId="167" fontId="1" fillId="0" borderId="0" xfId="1" applyFont="1"/>
    <xf numFmtId="1" fontId="1" fillId="0" borderId="0" xfId="1" applyNumberFormat="1" applyFont="1"/>
    <xf numFmtId="10" fontId="1" fillId="0" borderId="0" xfId="4" applyNumberFormat="1" applyFont="1"/>
    <xf numFmtId="1" fontId="1" fillId="0" borderId="0" xfId="0" applyNumberFormat="1" applyFont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vertical="top" wrapText="1"/>
    </xf>
    <xf numFmtId="167" fontId="2" fillId="0" borderId="0" xfId="1" applyFont="1" applyFill="1" applyBorder="1" applyAlignment="1">
      <alignment horizontal="right" wrapText="1"/>
    </xf>
    <xf numFmtId="0" fontId="2" fillId="0" borderId="9" xfId="0" applyFont="1" applyBorder="1" applyAlignment="1">
      <alignment horizontal="right"/>
    </xf>
    <xf numFmtId="0" fontId="2" fillId="0" borderId="0" xfId="0" applyFont="1" applyAlignment="1">
      <alignment horizontal="center" textRotation="90"/>
    </xf>
    <xf numFmtId="168" fontId="0" fillId="0" borderId="9" xfId="0" applyNumberFormat="1" applyBorder="1"/>
    <xf numFmtId="167" fontId="2" fillId="0" borderId="9" xfId="1" applyFont="1" applyBorder="1" applyAlignment="1"/>
    <xf numFmtId="0" fontId="2" fillId="0" borderId="0" xfId="0" applyFont="1" applyAlignment="1">
      <alignment horizontal="left" textRotation="9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centerContinuous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171" fontId="2" fillId="0" borderId="0" xfId="0" applyNumberFormat="1" applyFont="1" applyAlignment="1">
      <alignment horizontal="center"/>
    </xf>
    <xf numFmtId="167" fontId="5" fillId="0" borderId="9" xfId="1" applyFont="1" applyBorder="1"/>
    <xf numFmtId="0" fontId="4" fillId="0" borderId="0" xfId="0" applyFont="1"/>
    <xf numFmtId="0" fontId="2" fillId="0" borderId="11" xfId="0" applyFont="1" applyBorder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textRotation="90"/>
    </xf>
    <xf numFmtId="0" fontId="2" fillId="0" borderId="0" xfId="0" applyFont="1" applyAlignment="1">
      <alignment horizontal="center"/>
    </xf>
    <xf numFmtId="171" fontId="8" fillId="0" borderId="12" xfId="0" applyNumberFormat="1" applyFont="1" applyBorder="1" applyAlignment="1">
      <alignment horizontal="center"/>
    </xf>
    <xf numFmtId="171" fontId="8" fillId="0" borderId="13" xfId="0" applyNumberFormat="1" applyFont="1" applyBorder="1" applyAlignment="1">
      <alignment horizontal="center"/>
    </xf>
    <xf numFmtId="171" fontId="8" fillId="0" borderId="14" xfId="0" applyNumberFormat="1" applyFont="1" applyBorder="1" applyAlignment="1">
      <alignment horizontal="center"/>
    </xf>
    <xf numFmtId="171" fontId="8" fillId="0" borderId="11" xfId="0" applyNumberFormat="1" applyFont="1" applyBorder="1" applyAlignment="1">
      <alignment horizontal="center"/>
    </xf>
    <xf numFmtId="171" fontId="8" fillId="0" borderId="15" xfId="0" applyNumberFormat="1" applyFont="1" applyBorder="1" applyAlignment="1">
      <alignment horizontal="center"/>
    </xf>
    <xf numFmtId="167" fontId="2" fillId="0" borderId="0" xfId="1" applyFont="1" applyBorder="1"/>
    <xf numFmtId="167" fontId="2" fillId="2" borderId="0" xfId="1" applyFont="1" applyFill="1" applyBorder="1"/>
    <xf numFmtId="171" fontId="8" fillId="0" borderId="8" xfId="0" applyNumberFormat="1" applyFont="1" applyBorder="1" applyAlignment="1">
      <alignment horizontal="center"/>
    </xf>
    <xf numFmtId="171" fontId="8" fillId="0" borderId="9" xfId="0" applyNumberFormat="1" applyFont="1" applyBorder="1" applyAlignment="1">
      <alignment horizontal="center"/>
    </xf>
    <xf numFmtId="171" fontId="8" fillId="0" borderId="17" xfId="0" applyNumberFormat="1" applyFont="1" applyBorder="1" applyAlignment="1">
      <alignment horizontal="center"/>
    </xf>
    <xf numFmtId="0" fontId="11" fillId="0" borderId="20" xfId="0" applyFont="1" applyBorder="1" applyAlignment="1">
      <alignment horizontal="justify"/>
    </xf>
    <xf numFmtId="0" fontId="12" fillId="0" borderId="2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21" xfId="1" applyNumberFormat="1" applyFont="1" applyFill="1" applyBorder="1" applyAlignment="1" applyProtection="1">
      <alignment horizontal="center"/>
    </xf>
    <xf numFmtId="167" fontId="12" fillId="0" borderId="11" xfId="1" applyFont="1" applyFill="1" applyBorder="1" applyAlignment="1" applyProtection="1"/>
    <xf numFmtId="167" fontId="12" fillId="0" borderId="0" xfId="1" applyFont="1" applyFill="1" applyBorder="1" applyAlignment="1" applyProtection="1"/>
    <xf numFmtId="167" fontId="12" fillId="0" borderId="22" xfId="1" applyFont="1" applyFill="1" applyBorder="1" applyAlignment="1" applyProtection="1"/>
    <xf numFmtId="0" fontId="11" fillId="0" borderId="20" xfId="0" applyFont="1" applyBorder="1" applyAlignment="1">
      <alignment horizontal="right"/>
    </xf>
    <xf numFmtId="0" fontId="12" fillId="0" borderId="0" xfId="1" applyNumberFormat="1" applyFont="1" applyFill="1" applyBorder="1" applyAlignment="1" applyProtection="1">
      <alignment horizontal="center"/>
    </xf>
    <xf numFmtId="0" fontId="11" fillId="0" borderId="23" xfId="0" applyFont="1" applyBorder="1" applyAlignment="1">
      <alignment horizontal="justify"/>
    </xf>
    <xf numFmtId="0" fontId="12" fillId="0" borderId="19" xfId="0" applyFont="1" applyBorder="1" applyAlignment="1">
      <alignment horizontal="center"/>
    </xf>
    <xf numFmtId="0" fontId="12" fillId="0" borderId="19" xfId="1" applyNumberFormat="1" applyFont="1" applyFill="1" applyBorder="1" applyAlignment="1" applyProtection="1">
      <alignment horizontal="center"/>
    </xf>
    <xf numFmtId="167" fontId="12" fillId="0" borderId="18" xfId="1" applyFont="1" applyFill="1" applyBorder="1" applyAlignment="1" applyProtection="1"/>
    <xf numFmtId="167" fontId="12" fillId="0" borderId="6" xfId="1" applyFont="1" applyFill="1" applyBorder="1" applyAlignment="1" applyProtection="1"/>
    <xf numFmtId="167" fontId="12" fillId="0" borderId="7" xfId="1" applyFont="1" applyFill="1" applyBorder="1" applyAlignment="1" applyProtection="1"/>
    <xf numFmtId="0" fontId="12" fillId="0" borderId="6" xfId="0" applyFont="1" applyBorder="1" applyAlignment="1">
      <alignment horizontal="center"/>
    </xf>
    <xf numFmtId="171" fontId="12" fillId="0" borderId="21" xfId="1" applyNumberFormat="1" applyFont="1" applyFill="1" applyBorder="1" applyAlignment="1" applyProtection="1">
      <alignment horizontal="center"/>
    </xf>
    <xf numFmtId="167" fontId="12" fillId="0" borderId="21" xfId="1" applyFont="1" applyFill="1" applyBorder="1" applyAlignment="1" applyProtection="1">
      <alignment horizontal="center"/>
    </xf>
    <xf numFmtId="166" fontId="12" fillId="0" borderId="0" xfId="0" applyNumberFormat="1" applyFont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2" fillId="2" borderId="0" xfId="0" applyFont="1" applyFill="1"/>
    <xf numFmtId="0" fontId="15" fillId="2" borderId="0" xfId="0" applyFont="1" applyFill="1"/>
    <xf numFmtId="0" fontId="15" fillId="0" borderId="0" xfId="0" applyFont="1"/>
    <xf numFmtId="0" fontId="12" fillId="0" borderId="25" xfId="0" applyFont="1" applyBorder="1" applyAlignment="1">
      <alignment horizontal="center"/>
    </xf>
    <xf numFmtId="167" fontId="12" fillId="0" borderId="26" xfId="1" applyFont="1" applyFill="1" applyBorder="1" applyAlignment="1" applyProtection="1">
      <alignment horizontal="center"/>
    </xf>
    <xf numFmtId="0" fontId="12" fillId="0" borderId="26" xfId="0" applyFont="1" applyBorder="1" applyAlignment="1">
      <alignment horizontal="center"/>
    </xf>
    <xf numFmtId="0" fontId="11" fillId="0" borderId="23" xfId="0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1" fillId="0" borderId="24" xfId="0" applyFont="1" applyBorder="1" applyAlignment="1">
      <alignment horizontal="right"/>
    </xf>
    <xf numFmtId="167" fontId="12" fillId="0" borderId="16" xfId="1" applyFont="1" applyFill="1" applyBorder="1" applyAlignment="1" applyProtection="1"/>
    <xf numFmtId="0" fontId="13" fillId="0" borderId="0" xfId="0" applyFont="1"/>
    <xf numFmtId="0" fontId="11" fillId="0" borderId="32" xfId="0" applyFont="1" applyBorder="1" applyAlignment="1">
      <alignment horizontal="justify"/>
    </xf>
    <xf numFmtId="0" fontId="12" fillId="0" borderId="1" xfId="0" applyFont="1" applyBorder="1" applyAlignment="1">
      <alignment horizontal="center"/>
    </xf>
    <xf numFmtId="167" fontId="12" fillId="0" borderId="33" xfId="1" applyFont="1" applyFill="1" applyBorder="1" applyAlignment="1" applyProtection="1"/>
    <xf numFmtId="0" fontId="12" fillId="0" borderId="2" xfId="0" applyFont="1" applyBorder="1" applyAlignment="1">
      <alignment horizontal="center"/>
    </xf>
    <xf numFmtId="167" fontId="12" fillId="0" borderId="2" xfId="1" applyFont="1" applyFill="1" applyBorder="1" applyAlignment="1" applyProtection="1"/>
    <xf numFmtId="167" fontId="12" fillId="0" borderId="34" xfId="1" applyFont="1" applyFill="1" applyBorder="1" applyAlignment="1" applyProtection="1"/>
    <xf numFmtId="0" fontId="12" fillId="2" borderId="36" xfId="0" applyFont="1" applyFill="1" applyBorder="1" applyAlignment="1">
      <alignment horizontal="center"/>
    </xf>
    <xf numFmtId="0" fontId="11" fillId="0" borderId="0" xfId="0" applyFont="1" applyAlignment="1">
      <alignment horizontal="justify"/>
    </xf>
    <xf numFmtId="167" fontId="12" fillId="0" borderId="0" xfId="1" applyFont="1" applyBorder="1" applyProtection="1"/>
    <xf numFmtId="0" fontId="12" fillId="0" borderId="37" xfId="1" applyNumberFormat="1" applyFont="1" applyFill="1" applyBorder="1" applyAlignment="1" applyProtection="1">
      <alignment horizontal="center"/>
    </xf>
    <xf numFmtId="0" fontId="11" fillId="0" borderId="27" xfId="0" applyFont="1" applyBorder="1" applyAlignment="1">
      <alignment horizontal="justify"/>
    </xf>
    <xf numFmtId="0" fontId="12" fillId="0" borderId="40" xfId="0" applyFont="1" applyBorder="1" applyAlignment="1">
      <alignment horizontal="center"/>
    </xf>
    <xf numFmtId="0" fontId="12" fillId="0" borderId="40" xfId="1" applyNumberFormat="1" applyFont="1" applyFill="1" applyBorder="1" applyAlignment="1" applyProtection="1">
      <alignment horizontal="center"/>
    </xf>
    <xf numFmtId="167" fontId="12" fillId="0" borderId="41" xfId="1" applyFont="1" applyFill="1" applyBorder="1" applyAlignment="1" applyProtection="1"/>
    <xf numFmtId="0" fontId="12" fillId="0" borderId="25" xfId="1" applyNumberFormat="1" applyFont="1" applyFill="1" applyBorder="1" applyAlignment="1" applyProtection="1">
      <alignment horizontal="center"/>
    </xf>
    <xf numFmtId="167" fontId="12" fillId="0" borderId="25" xfId="1" applyFont="1" applyFill="1" applyBorder="1" applyAlignment="1" applyProtection="1"/>
    <xf numFmtId="167" fontId="12" fillId="0" borderId="29" xfId="1" applyFont="1" applyFill="1" applyBorder="1" applyAlignment="1" applyProtection="1"/>
    <xf numFmtId="0" fontId="11" fillId="0" borderId="42" xfId="0" applyFont="1" applyBorder="1" applyAlignment="1">
      <alignment horizontal="right"/>
    </xf>
    <xf numFmtId="0" fontId="11" fillId="2" borderId="20" xfId="0" applyFont="1" applyFill="1" applyBorder="1" applyAlignment="1">
      <alignment horizontal="justify"/>
    </xf>
    <xf numFmtId="0" fontId="12" fillId="2" borderId="21" xfId="0" applyFont="1" applyFill="1" applyBorder="1" applyAlignment="1">
      <alignment horizontal="center"/>
    </xf>
    <xf numFmtId="167" fontId="12" fillId="2" borderId="11" xfId="1" applyFont="1" applyFill="1" applyBorder="1" applyAlignment="1" applyProtection="1"/>
    <xf numFmtId="0" fontId="12" fillId="2" borderId="0" xfId="0" applyFont="1" applyFill="1" applyAlignment="1">
      <alignment horizontal="center"/>
    </xf>
    <xf numFmtId="167" fontId="12" fillId="2" borderId="0" xfId="1" applyFont="1" applyFill="1" applyBorder="1" applyAlignment="1" applyProtection="1"/>
    <xf numFmtId="167" fontId="12" fillId="2" borderId="22" xfId="1" applyFont="1" applyFill="1" applyBorder="1" applyAlignment="1" applyProtection="1"/>
    <xf numFmtId="0" fontId="14" fillId="2" borderId="43" xfId="0" applyFont="1" applyFill="1" applyBorder="1" applyAlignment="1">
      <alignment horizontal="justify"/>
    </xf>
    <xf numFmtId="0" fontId="13" fillId="2" borderId="40" xfId="0" applyFont="1" applyFill="1" applyBorder="1" applyAlignment="1">
      <alignment horizontal="centerContinuous"/>
    </xf>
    <xf numFmtId="167" fontId="13" fillId="2" borderId="41" xfId="1" applyFont="1" applyFill="1" applyBorder="1" applyAlignment="1" applyProtection="1">
      <alignment horizontal="centerContinuous"/>
    </xf>
    <xf numFmtId="0" fontId="13" fillId="2" borderId="36" xfId="0" applyFont="1" applyFill="1" applyBorder="1" applyAlignment="1">
      <alignment horizontal="centerContinuous"/>
    </xf>
    <xf numFmtId="167" fontId="12" fillId="2" borderId="44" xfId="1" applyFont="1" applyFill="1" applyBorder="1" applyAlignment="1" applyProtection="1">
      <alignment horizontal="centerContinuous"/>
    </xf>
    <xf numFmtId="0" fontId="12" fillId="2" borderId="21" xfId="1" applyNumberFormat="1" applyFont="1" applyFill="1" applyBorder="1" applyAlignment="1" applyProtection="1">
      <alignment horizontal="center"/>
    </xf>
    <xf numFmtId="167" fontId="12" fillId="2" borderId="11" xfId="1" applyFont="1" applyFill="1" applyBorder="1" applyAlignment="1" applyProtection="1">
      <alignment horizontal="center"/>
    </xf>
    <xf numFmtId="167" fontId="12" fillId="2" borderId="0" xfId="1" applyFont="1" applyFill="1" applyBorder="1" applyAlignment="1" applyProtection="1">
      <alignment horizontal="center"/>
    </xf>
    <xf numFmtId="167" fontId="12" fillId="2" borderId="22" xfId="1" applyFont="1" applyFill="1" applyBorder="1" applyAlignment="1" applyProtection="1">
      <alignment horizontal="center"/>
    </xf>
    <xf numFmtId="167" fontId="16" fillId="0" borderId="45" xfId="1" applyFont="1" applyFill="1" applyBorder="1" applyAlignment="1" applyProtection="1">
      <alignment horizontal="center"/>
    </xf>
    <xf numFmtId="167" fontId="16" fillId="0" borderId="46" xfId="1" applyFont="1" applyFill="1" applyBorder="1" applyAlignment="1" applyProtection="1">
      <alignment horizontal="center"/>
    </xf>
    <xf numFmtId="0" fontId="9" fillId="0" borderId="25" xfId="0" applyFont="1" applyBorder="1"/>
    <xf numFmtId="0" fontId="4" fillId="0" borderId="25" xfId="0" applyFont="1" applyBorder="1"/>
    <xf numFmtId="171" fontId="9" fillId="0" borderId="6" xfId="0" applyNumberFormat="1" applyFont="1" applyBorder="1" applyAlignment="1">
      <alignment horizontal="center" textRotation="90"/>
    </xf>
    <xf numFmtId="167" fontId="9" fillId="0" borderId="18" xfId="1" applyFont="1" applyFill="1" applyBorder="1" applyAlignment="1" applyProtection="1">
      <alignment horizontal="center" textRotation="90"/>
    </xf>
    <xf numFmtId="0" fontId="9" fillId="0" borderId="6" xfId="0" applyFont="1" applyBorder="1" applyAlignment="1">
      <alignment textRotation="90"/>
    </xf>
    <xf numFmtId="0" fontId="9" fillId="0" borderId="18" xfId="0" applyFont="1" applyBorder="1" applyAlignment="1">
      <alignment textRotation="90"/>
    </xf>
    <xf numFmtId="0" fontId="4" fillId="0" borderId="0" xfId="0" applyFont="1" applyAlignment="1">
      <alignment textRotation="90"/>
    </xf>
    <xf numFmtId="167" fontId="2" fillId="0" borderId="11" xfId="1" applyFont="1" applyFill="1" applyBorder="1" applyAlignment="1" applyProtection="1">
      <alignment horizontal="center"/>
    </xf>
    <xf numFmtId="0" fontId="2" fillId="0" borderId="2" xfId="0" applyFont="1" applyBorder="1"/>
    <xf numFmtId="0" fontId="2" fillId="0" borderId="33" xfId="0" applyFont="1" applyBorder="1"/>
    <xf numFmtId="171" fontId="2" fillId="0" borderId="2" xfId="0" applyNumberFormat="1" applyFont="1" applyBorder="1" applyAlignment="1">
      <alignment horizontal="center"/>
    </xf>
    <xf numFmtId="0" fontId="8" fillId="0" borderId="13" xfId="0" applyFont="1" applyBorder="1"/>
    <xf numFmtId="0" fontId="8" fillId="0" borderId="12" xfId="0" applyFont="1" applyBorder="1"/>
    <xf numFmtId="0" fontId="8" fillId="0" borderId="35" xfId="0" applyFont="1" applyBorder="1"/>
    <xf numFmtId="0" fontId="8" fillId="0" borderId="18" xfId="0" applyFont="1" applyBorder="1"/>
    <xf numFmtId="0" fontId="8" fillId="0" borderId="16" xfId="0" applyFont="1" applyBorder="1"/>
    <xf numFmtId="0" fontId="8" fillId="0" borderId="19" xfId="0" applyFont="1" applyBorder="1"/>
    <xf numFmtId="0" fontId="2" fillId="0" borderId="21" xfId="0" applyFont="1" applyBorder="1"/>
    <xf numFmtId="0" fontId="8" fillId="0" borderId="17" xfId="0" applyFont="1" applyBorder="1"/>
    <xf numFmtId="0" fontId="8" fillId="0" borderId="14" xfId="0" applyFont="1" applyBorder="1"/>
    <xf numFmtId="0" fontId="8" fillId="0" borderId="26" xfId="0" applyFont="1" applyBorder="1"/>
    <xf numFmtId="0" fontId="2" fillId="0" borderId="47" xfId="0" applyFont="1" applyBorder="1"/>
    <xf numFmtId="171" fontId="2" fillId="0" borderId="28" xfId="0" applyNumberFormat="1" applyFont="1" applyBorder="1" applyAlignment="1">
      <alignment horizontal="center"/>
    </xf>
    <xf numFmtId="167" fontId="2" fillId="0" borderId="48" xfId="1" applyFont="1" applyFill="1" applyBorder="1" applyAlignment="1" applyProtection="1">
      <alignment horizontal="center"/>
    </xf>
    <xf numFmtId="0" fontId="2" fillId="0" borderId="28" xfId="0" applyFont="1" applyBorder="1"/>
    <xf numFmtId="0" fontId="2" fillId="0" borderId="48" xfId="0" applyFont="1" applyBorder="1"/>
    <xf numFmtId="0" fontId="9" fillId="0" borderId="0" xfId="0" applyFont="1"/>
    <xf numFmtId="171" fontId="4" fillId="0" borderId="0" xfId="0" applyNumberFormat="1" applyFont="1"/>
    <xf numFmtId="0" fontId="4" fillId="0" borderId="0" xfId="0" applyFont="1" applyAlignment="1">
      <alignment horizontal="center"/>
    </xf>
    <xf numFmtId="171" fontId="4" fillId="0" borderId="0" xfId="0" applyNumberFormat="1" applyFont="1" applyAlignment="1">
      <alignment horizontal="center"/>
    </xf>
    <xf numFmtId="168" fontId="4" fillId="0" borderId="0" xfId="0" applyNumberFormat="1" applyFont="1" applyAlignment="1">
      <alignment horizontal="center"/>
    </xf>
    <xf numFmtId="0" fontId="4" fillId="0" borderId="11" xfId="0" applyFont="1" applyBorder="1"/>
    <xf numFmtId="0" fontId="6" fillId="0" borderId="0" xfId="0" applyFont="1"/>
    <xf numFmtId="171" fontId="2" fillId="0" borderId="0" xfId="0" applyNumberFormat="1" applyFont="1"/>
    <xf numFmtId="167" fontId="2" fillId="0" borderId="30" xfId="1" applyFont="1" applyBorder="1"/>
    <xf numFmtId="167" fontId="2" fillId="0" borderId="49" xfId="1" applyFont="1" applyBorder="1"/>
    <xf numFmtId="167" fontId="2" fillId="0" borderId="31" xfId="1" applyFont="1" applyBorder="1"/>
    <xf numFmtId="0" fontId="0" fillId="0" borderId="2" xfId="0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4" fillId="0" borderId="0" xfId="0" applyFont="1" applyAlignment="1">
      <alignment horizontal="right"/>
    </xf>
    <xf numFmtId="1" fontId="4" fillId="0" borderId="0" xfId="0" applyNumberFormat="1" applyFont="1" applyAlignment="1">
      <alignment horizontal="center"/>
    </xf>
    <xf numFmtId="0" fontId="0" fillId="0" borderId="0" xfId="0" applyProtection="1">
      <protection locked="0"/>
    </xf>
    <xf numFmtId="0" fontId="6" fillId="0" borderId="9" xfId="0" applyFont="1" applyBorder="1"/>
    <xf numFmtId="0" fontId="6" fillId="0" borderId="8" xfId="0" applyFont="1" applyBorder="1"/>
    <xf numFmtId="0" fontId="6" fillId="0" borderId="6" xfId="0" applyFont="1" applyBorder="1"/>
    <xf numFmtId="0" fontId="6" fillId="0" borderId="2" xfId="0" applyFont="1" applyBorder="1"/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39" xfId="0" applyFont="1" applyBorder="1"/>
    <xf numFmtId="0" fontId="6" fillId="0" borderId="0" xfId="0" applyFont="1" applyAlignment="1">
      <alignment horizontal="left"/>
    </xf>
    <xf numFmtId="0" fontId="6" fillId="0" borderId="39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2" fillId="5" borderId="0" xfId="0" applyFont="1" applyFill="1"/>
    <xf numFmtId="0" fontId="4" fillId="4" borderId="16" xfId="0" applyFont="1" applyFill="1" applyBorder="1" applyAlignment="1">
      <alignment horizontal="center"/>
    </xf>
    <xf numFmtId="0" fontId="17" fillId="0" borderId="25" xfId="0" applyFont="1" applyBorder="1"/>
    <xf numFmtId="0" fontId="17" fillId="0" borderId="0" xfId="0" applyFont="1"/>
    <xf numFmtId="0" fontId="18" fillId="0" borderId="0" xfId="0" applyFont="1"/>
    <xf numFmtId="0" fontId="0" fillId="0" borderId="16" xfId="0" applyBorder="1"/>
    <xf numFmtId="0" fontId="18" fillId="0" borderId="20" xfId="0" applyFont="1" applyBorder="1" applyAlignment="1">
      <alignment shrinkToFit="1"/>
    </xf>
    <xf numFmtId="0" fontId="18" fillId="0" borderId="20" xfId="0" applyFont="1" applyBorder="1" applyAlignment="1">
      <alignment vertical="top" shrinkToFit="1"/>
    </xf>
    <xf numFmtId="0" fontId="18" fillId="0" borderId="32" xfId="0" applyFont="1" applyBorder="1" applyAlignment="1">
      <alignment vertical="top" shrinkToFit="1"/>
    </xf>
    <xf numFmtId="0" fontId="18" fillId="0" borderId="32" xfId="0" applyFont="1" applyBorder="1" applyAlignment="1">
      <alignment shrinkToFit="1"/>
    </xf>
    <xf numFmtId="0" fontId="17" fillId="0" borderId="0" xfId="0" applyFont="1" applyAlignment="1">
      <alignment shrinkToFit="1"/>
    </xf>
    <xf numFmtId="0" fontId="18" fillId="0" borderId="0" xfId="0" applyFont="1" applyAlignment="1">
      <alignment shrinkToFit="1"/>
    </xf>
    <xf numFmtId="0" fontId="2" fillId="0" borderId="0" xfId="0" applyFont="1" applyAlignment="1">
      <alignment vertical="top"/>
    </xf>
    <xf numFmtId="0" fontId="18" fillId="4" borderId="20" xfId="0" applyFont="1" applyFill="1" applyBorder="1" applyAlignment="1">
      <alignment shrinkToFit="1"/>
    </xf>
    <xf numFmtId="171" fontId="2" fillId="4" borderId="0" xfId="0" applyNumberFormat="1" applyFont="1" applyFill="1" applyAlignment="1">
      <alignment horizontal="center"/>
    </xf>
    <xf numFmtId="0" fontId="2" fillId="4" borderId="16" xfId="0" applyFont="1" applyFill="1" applyBorder="1" applyAlignment="1" applyProtection="1">
      <alignment horizontal="center"/>
      <protection locked="0"/>
    </xf>
    <xf numFmtId="167" fontId="2" fillId="4" borderId="11" xfId="1" applyFont="1" applyFill="1" applyBorder="1" applyAlignment="1" applyProtection="1">
      <alignment horizontal="center"/>
    </xf>
    <xf numFmtId="0" fontId="2" fillId="4" borderId="0" xfId="0" applyFont="1" applyFill="1"/>
    <xf numFmtId="0" fontId="2" fillId="4" borderId="11" xfId="0" applyFont="1" applyFill="1" applyBorder="1"/>
    <xf numFmtId="0" fontId="6" fillId="4" borderId="9" xfId="0" applyFont="1" applyFill="1" applyBorder="1" applyAlignment="1">
      <alignment horizontal="left"/>
    </xf>
    <xf numFmtId="0" fontId="6" fillId="4" borderId="0" xfId="0" applyFont="1" applyFill="1"/>
    <xf numFmtId="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1" fontId="2" fillId="4" borderId="16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22" fillId="2" borderId="16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5" fillId="0" borderId="2" xfId="0" applyFont="1" applyBorder="1" applyAlignment="1">
      <alignment horizontal="left"/>
    </xf>
    <xf numFmtId="166" fontId="22" fillId="2" borderId="0" xfId="0" applyNumberFormat="1" applyFont="1" applyFill="1" applyAlignment="1">
      <alignment horizontal="center"/>
    </xf>
    <xf numFmtId="0" fontId="0" fillId="0" borderId="14" xfId="0" applyBorder="1"/>
    <xf numFmtId="166" fontId="0" fillId="0" borderId="0" xfId="0" applyNumberFormat="1" applyAlignment="1">
      <alignment horizontal="center"/>
    </xf>
    <xf numFmtId="166" fontId="0" fillId="0" borderId="2" xfId="0" applyNumberFormat="1" applyBorder="1" applyAlignment="1">
      <alignment horizontal="center"/>
    </xf>
    <xf numFmtId="0" fontId="0" fillId="0" borderId="2" xfId="0" applyBorder="1"/>
    <xf numFmtId="166" fontId="22" fillId="6" borderId="16" xfId="0" applyNumberFormat="1" applyFont="1" applyFill="1" applyBorder="1" applyAlignment="1" applyProtection="1">
      <alignment horizontal="center"/>
      <protection locked="0"/>
    </xf>
    <xf numFmtId="166" fontId="22" fillId="7" borderId="16" xfId="0" applyNumberFormat="1" applyFont="1" applyFill="1" applyBorder="1" applyAlignment="1" applyProtection="1">
      <alignment horizontal="center"/>
      <protection locked="0"/>
    </xf>
    <xf numFmtId="0" fontId="0" fillId="7" borderId="16" xfId="0" applyFill="1" applyBorder="1"/>
    <xf numFmtId="0" fontId="5" fillId="0" borderId="0" xfId="0" applyFont="1" applyAlignment="1">
      <alignment horizontal="center"/>
    </xf>
    <xf numFmtId="166" fontId="4" fillId="3" borderId="16" xfId="0" applyNumberFormat="1" applyFont="1" applyFill="1" applyBorder="1" applyAlignment="1" applyProtection="1">
      <alignment horizontal="center"/>
      <protection locked="0"/>
    </xf>
    <xf numFmtId="0" fontId="5" fillId="3" borderId="16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18" fillId="0" borderId="16" xfId="0" applyFont="1" applyBorder="1"/>
    <xf numFmtId="0" fontId="5" fillId="5" borderId="0" xfId="0" applyFont="1" applyFill="1" applyAlignment="1">
      <alignment horizontal="left"/>
    </xf>
    <xf numFmtId="0" fontId="2" fillId="4" borderId="16" xfId="0" applyFont="1" applyFill="1" applyBorder="1" applyAlignment="1" applyProtection="1">
      <alignment horizontal="right"/>
      <protection locked="0"/>
    </xf>
    <xf numFmtId="1" fontId="18" fillId="3" borderId="16" xfId="0" applyNumberFormat="1" applyFont="1" applyFill="1" applyBorder="1" applyAlignment="1">
      <alignment horizontal="right" shrinkToFit="1"/>
    </xf>
    <xf numFmtId="0" fontId="18" fillId="4" borderId="51" xfId="0" applyFont="1" applyFill="1" applyBorder="1" applyProtection="1">
      <protection locked="0"/>
    </xf>
    <xf numFmtId="0" fontId="18" fillId="3" borderId="16" xfId="0" applyFont="1" applyFill="1" applyBorder="1" applyAlignment="1">
      <alignment horizontal="right"/>
    </xf>
    <xf numFmtId="0" fontId="10" fillId="2" borderId="25" xfId="0" applyFont="1" applyFill="1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10" fillId="0" borderId="45" xfId="0" applyFont="1" applyBorder="1" applyAlignment="1">
      <alignment horizontal="center"/>
    </xf>
    <xf numFmtId="0" fontId="2" fillId="2" borderId="16" xfId="0" applyFont="1" applyFill="1" applyBorder="1" applyAlignment="1" applyProtection="1">
      <alignment horizontal="center"/>
      <protection locked="0"/>
    </xf>
    <xf numFmtId="0" fontId="2" fillId="0" borderId="16" xfId="0" applyFont="1" applyBorder="1" applyAlignment="1" applyProtection="1">
      <alignment horizontal="center"/>
      <protection locked="0"/>
    </xf>
    <xf numFmtId="0" fontId="2" fillId="2" borderId="14" xfId="0" applyFont="1" applyFill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2" borderId="54" xfId="0" applyFont="1" applyFill="1" applyBorder="1" applyAlignment="1" applyProtection="1">
      <alignment horizontal="center"/>
      <protection locked="0"/>
    </xf>
    <xf numFmtId="0" fontId="2" fillId="0" borderId="54" xfId="0" applyFont="1" applyBorder="1" applyAlignment="1" applyProtection="1">
      <alignment horizontal="center"/>
      <protection locked="0"/>
    </xf>
    <xf numFmtId="0" fontId="2" fillId="2" borderId="1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169" fontId="12" fillId="0" borderId="0" xfId="0" applyNumberFormat="1" applyFont="1"/>
    <xf numFmtId="4" fontId="2" fillId="3" borderId="25" xfId="0" applyNumberFormat="1" applyFont="1" applyFill="1" applyBorder="1" applyAlignment="1">
      <alignment horizontal="center"/>
    </xf>
    <xf numFmtId="0" fontId="7" fillId="4" borderId="16" xfId="0" applyFont="1" applyFill="1" applyBorder="1" applyAlignment="1" applyProtection="1">
      <alignment horizontal="center"/>
      <protection locked="0"/>
    </xf>
    <xf numFmtId="0" fontId="4" fillId="0" borderId="40" xfId="0" applyFont="1" applyBorder="1" applyAlignment="1">
      <alignment vertical="top" textRotation="90"/>
    </xf>
    <xf numFmtId="0" fontId="4" fillId="0" borderId="25" xfId="0" applyFont="1" applyBorder="1" applyAlignment="1">
      <alignment vertical="top" textRotation="90"/>
    </xf>
    <xf numFmtId="0" fontId="1" fillId="0" borderId="0" xfId="0" applyFont="1" applyAlignment="1">
      <alignment horizontal="left"/>
    </xf>
    <xf numFmtId="0" fontId="1" fillId="0" borderId="0" xfId="0" applyFont="1" applyProtection="1">
      <protection locked="0"/>
    </xf>
    <xf numFmtId="0" fontId="1" fillId="0" borderId="0" xfId="10"/>
    <xf numFmtId="0" fontId="1" fillId="0" borderId="0" xfId="10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171" fontId="16" fillId="0" borderId="0" xfId="0" applyNumberFormat="1" applyFont="1" applyAlignment="1">
      <alignment horizontal="center"/>
    </xf>
    <xf numFmtId="167" fontId="16" fillId="0" borderId="0" xfId="1" applyFont="1" applyFill="1" applyBorder="1" applyAlignment="1" applyProtection="1"/>
    <xf numFmtId="0" fontId="12" fillId="10" borderId="21" xfId="0" applyFont="1" applyFill="1" applyBorder="1" applyAlignment="1">
      <alignment horizontal="center"/>
    </xf>
    <xf numFmtId="1" fontId="12" fillId="0" borderId="0" xfId="0" applyNumberFormat="1" applyFont="1" applyAlignment="1">
      <alignment horizontal="center"/>
    </xf>
    <xf numFmtId="0" fontId="12" fillId="0" borderId="3" xfId="0" applyFont="1" applyBorder="1" applyAlignment="1" applyProtection="1">
      <alignment horizontal="center"/>
      <protection locked="0"/>
    </xf>
    <xf numFmtId="2" fontId="12" fillId="0" borderId="26" xfId="0" applyNumberFormat="1" applyFont="1" applyBorder="1" applyAlignment="1">
      <alignment horizontal="center"/>
    </xf>
    <xf numFmtId="164" fontId="0" fillId="0" borderId="0" xfId="6" applyFont="1" applyAlignment="1">
      <alignment horizontal="left"/>
    </xf>
    <xf numFmtId="0" fontId="2" fillId="9" borderId="0" xfId="0" applyFont="1" applyFill="1" applyAlignment="1">
      <alignment horizontal="center"/>
    </xf>
    <xf numFmtId="0" fontId="4" fillId="9" borderId="0" xfId="0" applyFont="1" applyFill="1" applyAlignment="1">
      <alignment horizontal="center" textRotation="90"/>
    </xf>
    <xf numFmtId="0" fontId="4" fillId="9" borderId="0" xfId="0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2" fillId="9" borderId="0" xfId="0" applyFont="1" applyFill="1"/>
    <xf numFmtId="0" fontId="7" fillId="8" borderId="16" xfId="0" applyFont="1" applyFill="1" applyBorder="1" applyAlignment="1">
      <alignment horizontal="center"/>
    </xf>
    <xf numFmtId="1" fontId="7" fillId="4" borderId="16" xfId="0" applyNumberFormat="1" applyFont="1" applyFill="1" applyBorder="1" applyAlignment="1" applyProtection="1">
      <alignment horizontal="center"/>
      <protection locked="0"/>
    </xf>
    <xf numFmtId="0" fontId="1" fillId="11" borderId="16" xfId="0" applyFont="1" applyFill="1" applyBorder="1" applyAlignment="1">
      <alignment horizontal="left"/>
    </xf>
    <xf numFmtId="166" fontId="22" fillId="11" borderId="16" xfId="0" applyNumberFormat="1" applyFont="1" applyFill="1" applyBorder="1" applyAlignment="1" applyProtection="1">
      <alignment horizontal="center"/>
      <protection locked="0"/>
    </xf>
    <xf numFmtId="166" fontId="0" fillId="11" borderId="16" xfId="0" applyNumberFormat="1" applyFill="1" applyBorder="1" applyAlignment="1">
      <alignment horizontal="center"/>
    </xf>
    <xf numFmtId="0" fontId="1" fillId="0" borderId="0" xfId="0" applyFont="1" applyAlignment="1">
      <alignment horizontal="left" textRotation="90"/>
    </xf>
    <xf numFmtId="0" fontId="1" fillId="4" borderId="11" xfId="0" applyFont="1" applyFill="1" applyBorder="1"/>
    <xf numFmtId="167" fontId="1" fillId="2" borderId="0" xfId="1" applyFont="1" applyFill="1" applyBorder="1"/>
    <xf numFmtId="22" fontId="0" fillId="0" borderId="0" xfId="0" applyNumberFormat="1"/>
    <xf numFmtId="0" fontId="0" fillId="8" borderId="0" xfId="0" applyFill="1"/>
    <xf numFmtId="22" fontId="0" fillId="8" borderId="0" xfId="0" applyNumberFormat="1" applyFill="1"/>
    <xf numFmtId="173" fontId="0" fillId="0" borderId="0" xfId="0" applyNumberFormat="1"/>
    <xf numFmtId="167" fontId="1" fillId="0" borderId="0" xfId="1" applyFont="1" applyBorder="1"/>
    <xf numFmtId="172" fontId="1" fillId="0" borderId="0" xfId="0" applyNumberFormat="1" applyFont="1" applyAlignment="1">
      <alignment horizontal="center" textRotation="90"/>
    </xf>
    <xf numFmtId="172" fontId="0" fillId="0" borderId="0" xfId="0" applyNumberFormat="1" applyAlignment="1">
      <alignment horizontal="center"/>
    </xf>
    <xf numFmtId="0" fontId="1" fillId="4" borderId="16" xfId="0" applyFont="1" applyFill="1" applyBorder="1" applyAlignment="1" applyProtection="1">
      <alignment horizontal="right"/>
      <protection locked="0"/>
    </xf>
    <xf numFmtId="167" fontId="12" fillId="0" borderId="0" xfId="0" applyNumberFormat="1" applyFont="1" applyAlignment="1">
      <alignment horizontal="center"/>
    </xf>
    <xf numFmtId="167" fontId="12" fillId="0" borderId="16" xfId="0" applyNumberFormat="1" applyFont="1" applyBorder="1" applyAlignment="1">
      <alignment horizontal="center"/>
    </xf>
    <xf numFmtId="167" fontId="12" fillId="0" borderId="3" xfId="0" applyNumberFormat="1" applyFont="1" applyBorder="1"/>
    <xf numFmtId="0" fontId="12" fillId="12" borderId="0" xfId="0" applyFont="1" applyFill="1" applyAlignment="1">
      <alignment horizontal="center"/>
    </xf>
    <xf numFmtId="0" fontId="2" fillId="12" borderId="0" xfId="0" applyFont="1" applyFill="1"/>
    <xf numFmtId="0" fontId="22" fillId="0" borderId="4" xfId="0" applyFont="1" applyBorder="1"/>
    <xf numFmtId="0" fontId="22" fillId="0" borderId="56" xfId="0" applyFont="1" applyBorder="1"/>
    <xf numFmtId="4" fontId="2" fillId="8" borderId="16" xfId="0" applyNumberFormat="1" applyFont="1" applyFill="1" applyBorder="1" applyAlignment="1">
      <alignment horizontal="center"/>
    </xf>
    <xf numFmtId="0" fontId="17" fillId="0" borderId="24" xfId="0" applyFont="1" applyBorder="1" applyAlignment="1">
      <alignment shrinkToFit="1"/>
    </xf>
    <xf numFmtId="4" fontId="22" fillId="8" borderId="16" xfId="0" applyNumberFormat="1" applyFont="1" applyFill="1" applyBorder="1" applyAlignment="1" applyProtection="1">
      <alignment horizontal="center"/>
      <protection locked="0"/>
    </xf>
    <xf numFmtId="167" fontId="2" fillId="12" borderId="0" xfId="1" applyFont="1" applyFill="1" applyBorder="1"/>
    <xf numFmtId="173" fontId="0" fillId="12" borderId="0" xfId="0" applyNumberFormat="1" applyFill="1"/>
    <xf numFmtId="0" fontId="1" fillId="12" borderId="0" xfId="0" applyFont="1" applyFill="1"/>
    <xf numFmtId="172" fontId="0" fillId="12" borderId="0" xfId="0" applyNumberFormat="1" applyFill="1" applyAlignment="1">
      <alignment horizontal="center"/>
    </xf>
    <xf numFmtId="168" fontId="0" fillId="12" borderId="0" xfId="0" applyNumberFormat="1" applyFill="1"/>
    <xf numFmtId="0" fontId="1" fillId="12" borderId="0" xfId="0" applyFont="1" applyFill="1" applyAlignment="1">
      <alignment horizontal="left"/>
    </xf>
    <xf numFmtId="0" fontId="0" fillId="12" borderId="0" xfId="0" applyFill="1"/>
    <xf numFmtId="0" fontId="2" fillId="10" borderId="16" xfId="0" applyFont="1" applyFill="1" applyBorder="1" applyAlignment="1" applyProtection="1">
      <alignment horizontal="center"/>
      <protection locked="0"/>
    </xf>
    <xf numFmtId="0" fontId="2" fillId="14" borderId="16" xfId="0" applyFont="1" applyFill="1" applyBorder="1" applyAlignment="1" applyProtection="1">
      <alignment horizontal="center"/>
      <protection locked="0"/>
    </xf>
    <xf numFmtId="0" fontId="2" fillId="14" borderId="0" xfId="0" applyFont="1" applyFill="1"/>
    <xf numFmtId="171" fontId="2" fillId="14" borderId="0" xfId="0" applyNumberFormat="1" applyFont="1" applyFill="1" applyAlignment="1">
      <alignment horizontal="center"/>
    </xf>
    <xf numFmtId="0" fontId="2" fillId="14" borderId="11" xfId="0" applyFont="1" applyFill="1" applyBorder="1"/>
    <xf numFmtId="0" fontId="2" fillId="14" borderId="0" xfId="0" applyFont="1" applyFill="1" applyAlignment="1">
      <alignment horizontal="center"/>
    </xf>
    <xf numFmtId="0" fontId="18" fillId="14" borderId="20" xfId="0" applyFont="1" applyFill="1" applyBorder="1" applyAlignment="1">
      <alignment vertical="top" shrinkToFit="1"/>
    </xf>
    <xf numFmtId="0" fontId="6" fillId="14" borderId="0" xfId="0" applyFont="1" applyFill="1"/>
    <xf numFmtId="0" fontId="8" fillId="13" borderId="13" xfId="0" applyFont="1" applyFill="1" applyBorder="1"/>
    <xf numFmtId="0" fontId="8" fillId="13" borderId="12" xfId="0" applyFont="1" applyFill="1" applyBorder="1"/>
    <xf numFmtId="0" fontId="8" fillId="13" borderId="35" xfId="0" applyFont="1" applyFill="1" applyBorder="1"/>
    <xf numFmtId="0" fontId="8" fillId="13" borderId="18" xfId="0" applyFont="1" applyFill="1" applyBorder="1"/>
    <xf numFmtId="0" fontId="8" fillId="13" borderId="16" xfId="0" applyFont="1" applyFill="1" applyBorder="1"/>
    <xf numFmtId="0" fontId="8" fillId="13" borderId="19" xfId="0" applyFont="1" applyFill="1" applyBorder="1"/>
    <xf numFmtId="0" fontId="18" fillId="0" borderId="60" xfId="0" applyFont="1" applyBorder="1" applyAlignment="1">
      <alignment shrinkToFit="1"/>
    </xf>
    <xf numFmtId="0" fontId="1" fillId="12" borderId="0" xfId="0" applyFont="1" applyFill="1" applyProtection="1">
      <protection locked="0"/>
    </xf>
    <xf numFmtId="0" fontId="1" fillId="0" borderId="17" xfId="0" applyFont="1" applyBorder="1" applyAlignment="1">
      <alignment horizontal="left"/>
    </xf>
    <xf numFmtId="0" fontId="17" fillId="0" borderId="20" xfId="0" applyFont="1" applyBorder="1" applyAlignment="1">
      <alignment shrinkToFit="1"/>
    </xf>
    <xf numFmtId="171" fontId="4" fillId="0" borderId="0" xfId="0" applyNumberFormat="1" applyFont="1" applyAlignment="1">
      <alignment vertical="top" textRotation="90"/>
    </xf>
    <xf numFmtId="0" fontId="4" fillId="0" borderId="21" xfId="0" applyFont="1" applyBorder="1" applyAlignment="1">
      <alignment vertical="top" textRotation="90"/>
    </xf>
    <xf numFmtId="0" fontId="4" fillId="0" borderId="0" xfId="0" applyFont="1" applyAlignment="1">
      <alignment vertical="top" textRotation="90"/>
    </xf>
    <xf numFmtId="0" fontId="9" fillId="0" borderId="0" xfId="0" applyFont="1" applyAlignment="1">
      <alignment textRotation="90"/>
    </xf>
    <xf numFmtId="0" fontId="9" fillId="0" borderId="11" xfId="0" applyFont="1" applyBorder="1" applyAlignment="1">
      <alignment textRotation="90"/>
    </xf>
    <xf numFmtId="0" fontId="2" fillId="0" borderId="0" xfId="0" applyFont="1" applyAlignment="1" applyProtection="1">
      <alignment horizontal="center"/>
      <protection locked="0"/>
    </xf>
    <xf numFmtId="171" fontId="9" fillId="0" borderId="0" xfId="0" applyNumberFormat="1" applyFont="1" applyAlignment="1">
      <alignment horizontal="center" textRotation="90"/>
    </xf>
    <xf numFmtId="167" fontId="9" fillId="0" borderId="11" xfId="1" applyFont="1" applyFill="1" applyBorder="1" applyAlignment="1" applyProtection="1">
      <alignment horizontal="center" textRotation="90"/>
    </xf>
    <xf numFmtId="0" fontId="17" fillId="0" borderId="0" xfId="0" applyFont="1" applyAlignment="1">
      <alignment horizontal="right"/>
    </xf>
    <xf numFmtId="0" fontId="2" fillId="3" borderId="0" xfId="0" applyFont="1" applyFill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14" borderId="17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2" fillId="12" borderId="3" xfId="0" applyFont="1" applyFill="1" applyBorder="1" applyAlignment="1" applyProtection="1">
      <alignment horizontal="center"/>
      <protection locked="0"/>
    </xf>
    <xf numFmtId="2" fontId="12" fillId="0" borderId="0" xfId="0" applyNumberFormat="1" applyFont="1" applyAlignment="1">
      <alignment horizontal="center"/>
    </xf>
    <xf numFmtId="167" fontId="12" fillId="0" borderId="19" xfId="1" applyFont="1" applyFill="1" applyBorder="1" applyAlignment="1" applyProtection="1">
      <alignment horizontal="center"/>
    </xf>
    <xf numFmtId="2" fontId="12" fillId="0" borderId="6" xfId="0" applyNumberFormat="1" applyFont="1" applyBorder="1" applyAlignment="1">
      <alignment horizontal="center"/>
    </xf>
    <xf numFmtId="0" fontId="15" fillId="0" borderId="20" xfId="0" applyFont="1" applyBorder="1" applyAlignment="1">
      <alignment horizontal="right" wrapText="1"/>
    </xf>
    <xf numFmtId="1" fontId="12" fillId="0" borderId="9" xfId="0" applyNumberFormat="1" applyFont="1" applyBorder="1" applyAlignment="1">
      <alignment horizontal="center"/>
    </xf>
    <xf numFmtId="1" fontId="13" fillId="0" borderId="0" xfId="0" applyNumberFormat="1" applyFont="1" applyAlignment="1">
      <alignment horizontal="center"/>
    </xf>
    <xf numFmtId="174" fontId="13" fillId="0" borderId="0" xfId="0" applyNumberFormat="1" applyFont="1" applyAlignment="1">
      <alignment horizontal="center"/>
    </xf>
    <xf numFmtId="0" fontId="11" fillId="0" borderId="20" xfId="0" applyFont="1" applyBorder="1" applyAlignment="1">
      <alignment horizontal="left"/>
    </xf>
    <xf numFmtId="167" fontId="14" fillId="0" borderId="0" xfId="1" applyFont="1" applyFill="1" applyBorder="1" applyAlignment="1" applyProtection="1"/>
    <xf numFmtId="171" fontId="14" fillId="0" borderId="0" xfId="0" applyNumberFormat="1" applyFont="1" applyAlignment="1">
      <alignment horizontal="center"/>
    </xf>
    <xf numFmtId="167" fontId="4" fillId="0" borderId="0" xfId="1" applyFont="1" applyBorder="1"/>
    <xf numFmtId="0" fontId="11" fillId="0" borderId="12" xfId="0" applyFont="1" applyBorder="1" applyAlignment="1">
      <alignment horizontal="right"/>
    </xf>
    <xf numFmtId="0" fontId="12" fillId="0" borderId="62" xfId="0" applyFont="1" applyBorder="1" applyAlignment="1" applyProtection="1">
      <alignment horizontal="center"/>
      <protection locked="0"/>
    </xf>
    <xf numFmtId="0" fontId="18" fillId="4" borderId="61" xfId="0" applyFont="1" applyFill="1" applyBorder="1" applyProtection="1">
      <protection locked="0"/>
    </xf>
    <xf numFmtId="0" fontId="13" fillId="0" borderId="0" xfId="0" applyFont="1" applyAlignment="1">
      <alignment horizontal="center"/>
    </xf>
    <xf numFmtId="167" fontId="13" fillId="0" borderId="0" xfId="1" applyFont="1" applyFill="1" applyBorder="1" applyAlignment="1" applyProtection="1">
      <alignment horizontal="center"/>
    </xf>
    <xf numFmtId="0" fontId="22" fillId="13" borderId="0" xfId="0" applyFont="1" applyFill="1"/>
    <xf numFmtId="0" fontId="34" fillId="15" borderId="0" xfId="0" applyFont="1" applyFill="1" applyAlignment="1">
      <alignment horizontal="center"/>
    </xf>
    <xf numFmtId="167" fontId="33" fillId="0" borderId="0" xfId="1" applyFont="1" applyFill="1" applyBorder="1" applyAlignment="1" applyProtection="1">
      <alignment horizontal="center"/>
    </xf>
    <xf numFmtId="0" fontId="32" fillId="0" borderId="0" xfId="0" applyFont="1"/>
    <xf numFmtId="175" fontId="12" fillId="0" borderId="11" xfId="1" applyNumberFormat="1" applyFont="1" applyFill="1" applyBorder="1" applyAlignment="1" applyProtection="1"/>
    <xf numFmtId="175" fontId="12" fillId="0" borderId="18" xfId="1" applyNumberFormat="1" applyFont="1" applyFill="1" applyBorder="1" applyAlignment="1" applyProtection="1"/>
    <xf numFmtId="171" fontId="37" fillId="0" borderId="0" xfId="0" applyNumberFormat="1" applyFont="1" applyAlignment="1">
      <alignment horizontal="center"/>
    </xf>
    <xf numFmtId="0" fontId="1" fillId="13" borderId="0" xfId="0" applyFont="1" applyFill="1" applyAlignment="1">
      <alignment horizontal="right"/>
    </xf>
    <xf numFmtId="1" fontId="2" fillId="13" borderId="0" xfId="0" applyNumberFormat="1" applyFont="1" applyFill="1" applyAlignment="1">
      <alignment horizontal="right"/>
    </xf>
    <xf numFmtId="0" fontId="18" fillId="17" borderId="0" xfId="0" applyFont="1" applyFill="1" applyAlignment="1">
      <alignment vertical="center" shrinkToFit="1"/>
    </xf>
    <xf numFmtId="0" fontId="1" fillId="17" borderId="0" xfId="0" applyFont="1" applyFill="1" applyAlignment="1">
      <alignment vertical="center"/>
    </xf>
    <xf numFmtId="171" fontId="1" fillId="17" borderId="0" xfId="0" applyNumberFormat="1" applyFont="1" applyFill="1" applyAlignment="1">
      <alignment vertical="center"/>
    </xf>
    <xf numFmtId="0" fontId="1" fillId="17" borderId="21" xfId="0" applyFont="1" applyFill="1" applyBorder="1" applyAlignment="1">
      <alignment vertical="center"/>
    </xf>
    <xf numFmtId="0" fontId="18" fillId="16" borderId="0" xfId="0" applyFont="1" applyFill="1" applyAlignment="1">
      <alignment vertical="center" shrinkToFit="1"/>
    </xf>
    <xf numFmtId="0" fontId="18" fillId="16" borderId="58" xfId="0" applyFont="1" applyFill="1" applyBorder="1" applyAlignment="1">
      <alignment shrinkToFit="1"/>
    </xf>
    <xf numFmtId="0" fontId="18" fillId="16" borderId="59" xfId="0" applyFont="1" applyFill="1" applyBorder="1" applyAlignment="1">
      <alignment shrinkToFit="1"/>
    </xf>
    <xf numFmtId="0" fontId="18" fillId="17" borderId="59" xfId="0" applyFont="1" applyFill="1" applyBorder="1" applyAlignment="1">
      <alignment shrinkToFit="1"/>
    </xf>
    <xf numFmtId="0" fontId="11" fillId="16" borderId="27" xfId="0" applyFont="1" applyFill="1" applyBorder="1" applyAlignment="1">
      <alignment horizontal="justify"/>
    </xf>
    <xf numFmtId="0" fontId="12" fillId="16" borderId="28" xfId="0" applyFont="1" applyFill="1" applyBorder="1" applyAlignment="1">
      <alignment horizontal="center"/>
    </xf>
    <xf numFmtId="167" fontId="12" fillId="16" borderId="25" xfId="1" applyFont="1" applyFill="1" applyBorder="1" applyAlignment="1" applyProtection="1"/>
    <xf numFmtId="0" fontId="12" fillId="16" borderId="25" xfId="0" applyFont="1" applyFill="1" applyBorder="1" applyAlignment="1">
      <alignment horizontal="center"/>
    </xf>
    <xf numFmtId="167" fontId="12" fillId="16" borderId="29" xfId="1" applyFont="1" applyFill="1" applyBorder="1" applyAlignment="1" applyProtection="1"/>
    <xf numFmtId="0" fontId="18" fillId="4" borderId="53" xfId="0" applyFont="1" applyFill="1" applyBorder="1" applyProtection="1">
      <protection locked="0"/>
    </xf>
    <xf numFmtId="0" fontId="18" fillId="16" borderId="60" xfId="0" applyFont="1" applyFill="1" applyBorder="1" applyAlignment="1">
      <alignment shrinkToFit="1"/>
    </xf>
    <xf numFmtId="0" fontId="6" fillId="4" borderId="2" xfId="0" applyFont="1" applyFill="1" applyBorder="1"/>
    <xf numFmtId="0" fontId="1" fillId="4" borderId="33" xfId="0" applyFont="1" applyFill="1" applyBorder="1"/>
    <xf numFmtId="0" fontId="14" fillId="17" borderId="43" xfId="0" applyFont="1" applyFill="1" applyBorder="1" applyAlignment="1">
      <alignment horizontal="justify"/>
    </xf>
    <xf numFmtId="0" fontId="12" fillId="17" borderId="36" xfId="0" applyFont="1" applyFill="1" applyBorder="1" applyAlignment="1">
      <alignment horizontal="center"/>
    </xf>
    <xf numFmtId="0" fontId="13" fillId="17" borderId="40" xfId="0" applyFont="1" applyFill="1" applyBorder="1" applyAlignment="1">
      <alignment horizontal="center"/>
    </xf>
    <xf numFmtId="167" fontId="13" fillId="17" borderId="41" xfId="1" applyFont="1" applyFill="1" applyBorder="1" applyAlignment="1" applyProtection="1">
      <alignment horizontal="center"/>
    </xf>
    <xf numFmtId="0" fontId="13" fillId="17" borderId="36" xfId="0" applyFont="1" applyFill="1" applyBorder="1" applyAlignment="1">
      <alignment horizontal="center"/>
    </xf>
    <xf numFmtId="167" fontId="12" fillId="17" borderId="44" xfId="1" applyFont="1" applyFill="1" applyBorder="1" applyAlignment="1" applyProtection="1">
      <alignment horizontal="center"/>
    </xf>
    <xf numFmtId="0" fontId="14" fillId="16" borderId="43" xfId="0" applyFont="1" applyFill="1" applyBorder="1" applyAlignment="1">
      <alignment horizontal="justify"/>
    </xf>
    <xf numFmtId="0" fontId="12" fillId="16" borderId="36" xfId="0" applyFont="1" applyFill="1" applyBorder="1" applyAlignment="1">
      <alignment horizontal="center"/>
    </xf>
    <xf numFmtId="0" fontId="13" fillId="16" borderId="40" xfId="0" applyFont="1" applyFill="1" applyBorder="1" applyAlignment="1">
      <alignment horizontal="center"/>
    </xf>
    <xf numFmtId="167" fontId="13" fillId="16" borderId="41" xfId="1" applyFont="1" applyFill="1" applyBorder="1" applyAlignment="1" applyProtection="1">
      <alignment horizontal="center"/>
    </xf>
    <xf numFmtId="0" fontId="13" fillId="16" borderId="36" xfId="0" applyFont="1" applyFill="1" applyBorder="1" applyAlignment="1">
      <alignment horizontal="center"/>
    </xf>
    <xf numFmtId="167" fontId="12" fillId="16" borderId="44" xfId="1" applyFont="1" applyFill="1" applyBorder="1" applyAlignment="1" applyProtection="1">
      <alignment horizontal="center"/>
    </xf>
    <xf numFmtId="0" fontId="38" fillId="16" borderId="0" xfId="0" applyFont="1" applyFill="1" applyAlignment="1">
      <alignment horizontal="left" shrinkToFit="1"/>
    </xf>
    <xf numFmtId="167" fontId="35" fillId="16" borderId="0" xfId="1" applyFont="1" applyFill="1" applyBorder="1" applyAlignment="1" applyProtection="1">
      <alignment horizontal="center"/>
    </xf>
    <xf numFmtId="0" fontId="11" fillId="16" borderId="0" xfId="0" applyFont="1" applyFill="1" applyAlignment="1">
      <alignment horizontal="right"/>
    </xf>
    <xf numFmtId="0" fontId="38" fillId="17" borderId="0" xfId="0" applyFont="1" applyFill="1" applyAlignment="1">
      <alignment horizontal="left" shrinkToFit="1"/>
    </xf>
    <xf numFmtId="0" fontId="11" fillId="17" borderId="0" xfId="0" applyFont="1" applyFill="1" applyAlignment="1">
      <alignment horizontal="right"/>
    </xf>
    <xf numFmtId="167" fontId="35" fillId="17" borderId="0" xfId="1" applyFont="1" applyFill="1" applyBorder="1" applyAlignment="1" applyProtection="1">
      <alignment horizontal="center"/>
    </xf>
    <xf numFmtId="0" fontId="11" fillId="17" borderId="27" xfId="0" applyFont="1" applyFill="1" applyBorder="1" applyAlignment="1">
      <alignment horizontal="justify"/>
    </xf>
    <xf numFmtId="0" fontId="12" fillId="17" borderId="28" xfId="0" applyFont="1" applyFill="1" applyBorder="1" applyAlignment="1">
      <alignment horizontal="center"/>
    </xf>
    <xf numFmtId="167" fontId="12" fillId="17" borderId="25" xfId="1" applyFont="1" applyFill="1" applyBorder="1" applyAlignment="1" applyProtection="1"/>
    <xf numFmtId="0" fontId="12" fillId="17" borderId="25" xfId="0" applyFont="1" applyFill="1" applyBorder="1" applyAlignment="1">
      <alignment horizontal="center"/>
    </xf>
    <xf numFmtId="167" fontId="12" fillId="17" borderId="29" xfId="1" applyFont="1" applyFill="1" applyBorder="1" applyAlignment="1" applyProtection="1"/>
    <xf numFmtId="167" fontId="13" fillId="0" borderId="0" xfId="1" applyFont="1" applyFill="1" applyBorder="1" applyAlignment="1" applyProtection="1"/>
    <xf numFmtId="0" fontId="11" fillId="16" borderId="23" xfId="0" applyFont="1" applyFill="1" applyBorder="1" applyAlignment="1">
      <alignment horizontal="right"/>
    </xf>
    <xf numFmtId="0" fontId="11" fillId="16" borderId="24" xfId="0" applyFont="1" applyFill="1" applyBorder="1" applyAlignment="1">
      <alignment horizontal="right"/>
    </xf>
    <xf numFmtId="167" fontId="16" fillId="0" borderId="0" xfId="1" applyFont="1" applyFill="1" applyBorder="1" applyAlignment="1" applyProtection="1">
      <alignment horizontal="center"/>
    </xf>
    <xf numFmtId="0" fontId="11" fillId="17" borderId="0" xfId="0" applyFont="1" applyFill="1" applyAlignment="1">
      <alignment horizontal="justify"/>
    </xf>
    <xf numFmtId="0" fontId="12" fillId="17" borderId="0" xfId="0" applyFont="1" applyFill="1" applyAlignment="1">
      <alignment horizontal="center"/>
    </xf>
    <xf numFmtId="0" fontId="12" fillId="17" borderId="2" xfId="0" applyFont="1" applyFill="1" applyBorder="1" applyAlignment="1">
      <alignment horizontal="center"/>
    </xf>
    <xf numFmtId="167" fontId="12" fillId="17" borderId="2" xfId="1" applyFont="1" applyFill="1" applyBorder="1" applyAlignment="1" applyProtection="1"/>
    <xf numFmtId="167" fontId="12" fillId="17" borderId="0" xfId="1" applyFont="1" applyFill="1" applyBorder="1" applyAlignment="1" applyProtection="1"/>
    <xf numFmtId="167" fontId="12" fillId="17" borderId="22" xfId="1" applyFont="1" applyFill="1" applyBorder="1" applyAlignment="1" applyProtection="1"/>
    <xf numFmtId="171" fontId="37" fillId="0" borderId="63" xfId="0" applyNumberFormat="1" applyFont="1" applyBorder="1" applyAlignment="1">
      <alignment horizontal="center"/>
    </xf>
    <xf numFmtId="0" fontId="13" fillId="16" borderId="0" xfId="0" applyFont="1" applyFill="1" applyAlignment="1">
      <alignment horizontal="right" shrinkToFit="1"/>
    </xf>
    <xf numFmtId="0" fontId="13" fillId="16" borderId="63" xfId="0" applyFont="1" applyFill="1" applyBorder="1" applyAlignment="1">
      <alignment horizontal="right"/>
    </xf>
    <xf numFmtId="0" fontId="36" fillId="16" borderId="0" xfId="0" applyFont="1" applyFill="1" applyAlignment="1">
      <alignment horizontal="right"/>
    </xf>
    <xf numFmtId="0" fontId="13" fillId="17" borderId="0" xfId="0" applyFont="1" applyFill="1" applyAlignment="1">
      <alignment horizontal="right" shrinkToFit="1"/>
    </xf>
    <xf numFmtId="0" fontId="13" fillId="17" borderId="63" xfId="0" applyFont="1" applyFill="1" applyBorder="1" applyAlignment="1">
      <alignment horizontal="right"/>
    </xf>
    <xf numFmtId="0" fontId="36" fillId="17" borderId="0" xfId="0" applyFont="1" applyFill="1" applyAlignment="1">
      <alignment horizontal="right"/>
    </xf>
    <xf numFmtId="168" fontId="12" fillId="0" borderId="11" xfId="1" applyNumberFormat="1" applyFont="1" applyFill="1" applyBorder="1" applyAlignment="1" applyProtection="1"/>
    <xf numFmtId="168" fontId="12" fillId="0" borderId="38" xfId="1" applyNumberFormat="1" applyFont="1" applyFill="1" applyBorder="1" applyAlignment="1" applyProtection="1"/>
    <xf numFmtId="168" fontId="12" fillId="0" borderId="37" xfId="1" applyNumberFormat="1" applyFont="1" applyFill="1" applyBorder="1" applyAlignment="1" applyProtection="1">
      <alignment horizontal="center"/>
    </xf>
    <xf numFmtId="168" fontId="12" fillId="0" borderId="0" xfId="1" applyNumberFormat="1" applyFont="1" applyFill="1" applyBorder="1" applyAlignment="1" applyProtection="1"/>
    <xf numFmtId="168" fontId="12" fillId="0" borderId="21" xfId="1" applyNumberFormat="1" applyFont="1" applyFill="1" applyBorder="1" applyAlignment="1" applyProtection="1">
      <alignment horizontal="center"/>
    </xf>
    <xf numFmtId="168" fontId="12" fillId="0" borderId="17" xfId="1" applyNumberFormat="1" applyFont="1" applyFill="1" applyBorder="1" applyAlignment="1" applyProtection="1"/>
    <xf numFmtId="168" fontId="13" fillId="0" borderId="0" xfId="0" applyNumberFormat="1" applyFont="1"/>
    <xf numFmtId="168" fontId="13" fillId="0" borderId="63" xfId="0" applyNumberFormat="1" applyFont="1" applyBorder="1"/>
    <xf numFmtId="168" fontId="36" fillId="0" borderId="0" xfId="0" applyNumberFormat="1" applyFont="1"/>
    <xf numFmtId="168" fontId="13" fillId="0" borderId="0" xfId="1" applyNumberFormat="1" applyFont="1" applyFill="1" applyBorder="1" applyAlignment="1" applyProtection="1">
      <alignment horizontal="center"/>
    </xf>
    <xf numFmtId="168" fontId="13" fillId="0" borderId="63" xfId="1" applyNumberFormat="1" applyFont="1" applyFill="1" applyBorder="1" applyAlignment="1" applyProtection="1">
      <alignment horizontal="center"/>
    </xf>
    <xf numFmtId="168" fontId="36" fillId="0" borderId="0" xfId="1" applyNumberFormat="1" applyFont="1" applyFill="1" applyBorder="1" applyAlignment="1" applyProtection="1">
      <alignment horizontal="center"/>
    </xf>
    <xf numFmtId="168" fontId="12" fillId="0" borderId="0" xfId="0" applyNumberFormat="1" applyFont="1"/>
    <xf numFmtId="168" fontId="12" fillId="0" borderId="18" xfId="1" applyNumberFormat="1" applyFont="1" applyFill="1" applyBorder="1" applyAlignment="1" applyProtection="1"/>
    <xf numFmtId="0" fontId="33" fillId="17" borderId="23" xfId="0" applyFont="1" applyFill="1" applyBorder="1" applyAlignment="1">
      <alignment horizontal="right"/>
    </xf>
    <xf numFmtId="0" fontId="33" fillId="16" borderId="23" xfId="0" applyFont="1" applyFill="1" applyBorder="1" applyAlignment="1">
      <alignment horizontal="right"/>
    </xf>
    <xf numFmtId="0" fontId="7" fillId="8" borderId="0" xfId="0" applyFont="1" applyFill="1" applyAlignment="1">
      <alignment horizontal="center"/>
    </xf>
    <xf numFmtId="0" fontId="0" fillId="16" borderId="0" xfId="0" applyFill="1" applyAlignment="1">
      <alignment horizontal="left"/>
    </xf>
    <xf numFmtId="0" fontId="21" fillId="16" borderId="0" xfId="0" applyFont="1" applyFill="1" applyAlignment="1">
      <alignment horizontal="left"/>
    </xf>
    <xf numFmtId="1" fontId="2" fillId="16" borderId="14" xfId="0" applyNumberFormat="1" applyFont="1" applyFill="1" applyBorder="1" applyAlignment="1" applyProtection="1">
      <alignment horizontal="center"/>
      <protection locked="0"/>
    </xf>
    <xf numFmtId="1" fontId="2" fillId="16" borderId="16" xfId="0" applyNumberFormat="1" applyFont="1" applyFill="1" applyBorder="1" applyAlignment="1" applyProtection="1">
      <alignment horizontal="center"/>
      <protection locked="0"/>
    </xf>
    <xf numFmtId="0" fontId="0" fillId="16" borderId="0" xfId="0" applyFill="1" applyAlignment="1">
      <alignment horizontal="center"/>
    </xf>
    <xf numFmtId="166" fontId="22" fillId="16" borderId="0" xfId="0" applyNumberFormat="1" applyFont="1" applyFill="1" applyAlignment="1">
      <alignment horizontal="center"/>
    </xf>
    <xf numFmtId="0" fontId="7" fillId="16" borderId="0" xfId="0" applyFon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1" fillId="11" borderId="0" xfId="0" applyFont="1" applyFill="1" applyAlignment="1">
      <alignment horizontal="left"/>
    </xf>
    <xf numFmtId="0" fontId="1" fillId="18" borderId="0" xfId="0" applyFont="1" applyFill="1" applyAlignment="1">
      <alignment horizontal="centerContinuous"/>
    </xf>
    <xf numFmtId="0" fontId="0" fillId="18" borderId="0" xfId="0" applyFill="1" applyAlignment="1">
      <alignment horizontal="centerContinuous"/>
    </xf>
    <xf numFmtId="0" fontId="1" fillId="9" borderId="9" xfId="0" applyFont="1" applyFill="1" applyBorder="1" applyAlignment="1">
      <alignment horizontal="centerContinuous"/>
    </xf>
    <xf numFmtId="0" fontId="0" fillId="9" borderId="9" xfId="0" applyFill="1" applyBorder="1" applyAlignment="1">
      <alignment horizontal="centerContinuous"/>
    </xf>
    <xf numFmtId="0" fontId="21" fillId="17" borderId="0" xfId="0" applyFont="1" applyFill="1" applyAlignment="1">
      <alignment horizontal="left"/>
    </xf>
    <xf numFmtId="0" fontId="7" fillId="17" borderId="0" xfId="0" applyFont="1" applyFill="1" applyAlignment="1">
      <alignment horizontal="center"/>
    </xf>
    <xf numFmtId="0" fontId="0" fillId="17" borderId="0" xfId="0" applyFill="1" applyAlignment="1">
      <alignment horizontal="left"/>
    </xf>
    <xf numFmtId="1" fontId="2" fillId="17" borderId="14" xfId="0" applyNumberFormat="1" applyFont="1" applyFill="1" applyBorder="1" applyAlignment="1" applyProtection="1">
      <alignment horizontal="center"/>
      <protection locked="0"/>
    </xf>
    <xf numFmtId="166" fontId="22" fillId="17" borderId="0" xfId="0" applyNumberFormat="1" applyFont="1" applyFill="1" applyAlignment="1">
      <alignment horizontal="center"/>
    </xf>
    <xf numFmtId="0" fontId="11" fillId="0" borderId="0" xfId="0" applyFont="1" applyAlignment="1">
      <alignment horizontal="right"/>
    </xf>
    <xf numFmtId="168" fontId="12" fillId="0" borderId="0" xfId="1" applyNumberFormat="1" applyFont="1" applyFill="1" applyBorder="1" applyAlignment="1" applyProtection="1">
      <alignment horizontal="center"/>
    </xf>
    <xf numFmtId="0" fontId="11" fillId="0" borderId="2" xfId="0" applyFont="1" applyBorder="1" applyAlignment="1">
      <alignment horizontal="right"/>
    </xf>
    <xf numFmtId="168" fontId="12" fillId="0" borderId="2" xfId="1" applyNumberFormat="1" applyFont="1" applyFill="1" applyBorder="1" applyAlignment="1" applyProtection="1">
      <alignment horizontal="center"/>
    </xf>
    <xf numFmtId="168" fontId="12" fillId="0" borderId="2" xfId="1" applyNumberFormat="1" applyFont="1" applyFill="1" applyBorder="1" applyAlignment="1" applyProtection="1"/>
    <xf numFmtId="0" fontId="11" fillId="19" borderId="0" xfId="0" applyFont="1" applyFill="1" applyAlignment="1">
      <alignment horizontal="right"/>
    </xf>
    <xf numFmtId="168" fontId="12" fillId="19" borderId="0" xfId="1" applyNumberFormat="1" applyFont="1" applyFill="1" applyBorder="1" applyAlignment="1" applyProtection="1">
      <alignment horizontal="center"/>
    </xf>
    <xf numFmtId="0" fontId="12" fillId="19" borderId="0" xfId="0" applyFont="1" applyFill="1" applyAlignment="1">
      <alignment horizontal="center"/>
    </xf>
    <xf numFmtId="168" fontId="12" fillId="19" borderId="0" xfId="1" applyNumberFormat="1" applyFont="1" applyFill="1" applyBorder="1" applyAlignment="1" applyProtection="1"/>
    <xf numFmtId="0" fontId="11" fillId="0" borderId="19" xfId="0" applyFont="1" applyBorder="1" applyAlignment="1">
      <alignment horizontal="right"/>
    </xf>
    <xf numFmtId="167" fontId="39" fillId="13" borderId="0" xfId="1" applyFont="1" applyFill="1" applyBorder="1" applyAlignment="1" applyProtection="1">
      <alignment horizontal="right"/>
    </xf>
    <xf numFmtId="0" fontId="39" fillId="13" borderId="0" xfId="0" applyFont="1" applyFill="1"/>
    <xf numFmtId="0" fontId="0" fillId="0" borderId="4" xfId="0" applyBorder="1" applyAlignment="1">
      <alignment horizontal="center"/>
    </xf>
    <xf numFmtId="0" fontId="38" fillId="0" borderId="0" xfId="0" applyFont="1" applyAlignment="1">
      <alignment horizontal="left" shrinkToFit="1"/>
    </xf>
    <xf numFmtId="0" fontId="1" fillId="11" borderId="18" xfId="0" applyFont="1" applyFill="1" applyBorder="1" applyAlignment="1">
      <alignment horizontal="left"/>
    </xf>
    <xf numFmtId="0" fontId="5" fillId="0" borderId="4" xfId="0" applyFont="1" applyBorder="1" applyAlignment="1">
      <alignment horizontal="left"/>
    </xf>
    <xf numFmtId="0" fontId="5" fillId="0" borderId="28" xfId="0" applyFont="1" applyBorder="1" applyAlignment="1">
      <alignment horizontal="left"/>
    </xf>
    <xf numFmtId="0" fontId="0" fillId="0" borderId="28" xfId="0" applyBorder="1" applyAlignment="1">
      <alignment horizontal="center"/>
    </xf>
    <xf numFmtId="0" fontId="0" fillId="17" borderId="28" xfId="0" applyFill="1" applyBorder="1" applyAlignment="1">
      <alignment horizontal="center"/>
    </xf>
    <xf numFmtId="0" fontId="5" fillId="0" borderId="4" xfId="0" applyFont="1" applyBorder="1" applyAlignment="1">
      <alignment horizontal="left" shrinkToFit="1"/>
    </xf>
    <xf numFmtId="0" fontId="0" fillId="0" borderId="4" xfId="0" applyBorder="1" applyAlignment="1">
      <alignment horizontal="left"/>
    </xf>
    <xf numFmtId="0" fontId="21" fillId="0" borderId="4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1" fillId="0" borderId="28" xfId="0" applyFont="1" applyBorder="1" applyAlignment="1">
      <alignment horizontal="left"/>
    </xf>
    <xf numFmtId="0" fontId="18" fillId="16" borderId="2" xfId="0" applyFont="1" applyFill="1" applyBorder="1" applyAlignment="1">
      <alignment shrinkToFit="1"/>
    </xf>
    <xf numFmtId="0" fontId="18" fillId="17" borderId="2" xfId="0" applyFont="1" applyFill="1" applyBorder="1" applyAlignment="1">
      <alignment shrinkToFit="1"/>
    </xf>
    <xf numFmtId="0" fontId="1" fillId="17" borderId="2" xfId="0" applyFont="1" applyFill="1" applyBorder="1" applyAlignment="1">
      <alignment vertical="center"/>
    </xf>
    <xf numFmtId="171" fontId="1" fillId="17" borderId="2" xfId="0" applyNumberFormat="1" applyFont="1" applyFill="1" applyBorder="1" applyAlignment="1">
      <alignment vertical="center"/>
    </xf>
    <xf numFmtId="0" fontId="1" fillId="17" borderId="1" xfId="0" applyFont="1" applyFill="1" applyBorder="1" applyAlignment="1">
      <alignment vertical="center"/>
    </xf>
    <xf numFmtId="0" fontId="18" fillId="16" borderId="63" xfId="0" applyFont="1" applyFill="1" applyBorder="1" applyAlignment="1">
      <alignment vertical="center" shrinkToFit="1"/>
    </xf>
    <xf numFmtId="0" fontId="13" fillId="16" borderId="0" xfId="0" applyFont="1" applyFill="1" applyAlignment="1">
      <alignment horizontal="right"/>
    </xf>
    <xf numFmtId="0" fontId="13" fillId="17" borderId="0" xfId="0" applyFont="1" applyFill="1" applyAlignment="1">
      <alignment horizontal="right"/>
    </xf>
    <xf numFmtId="0" fontId="0" fillId="0" borderId="46" xfId="0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1" fillId="0" borderId="0" xfId="0" applyFont="1" applyAlignment="1">
      <alignment horizontal="center"/>
    </xf>
    <xf numFmtId="176" fontId="1" fillId="4" borderId="55" xfId="0" applyNumberFormat="1" applyFont="1" applyFill="1" applyBorder="1" applyAlignment="1" applyProtection="1">
      <alignment horizontal="center"/>
      <protection locked="0"/>
    </xf>
    <xf numFmtId="0" fontId="0" fillId="0" borderId="67" xfId="0" applyBorder="1" applyAlignment="1">
      <alignment horizontal="center"/>
    </xf>
    <xf numFmtId="164" fontId="0" fillId="0" borderId="0" xfId="0" applyNumberFormat="1" applyAlignment="1">
      <alignment horizontal="left"/>
    </xf>
    <xf numFmtId="0" fontId="2" fillId="0" borderId="16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2" fontId="2" fillId="11" borderId="16" xfId="0" applyNumberFormat="1" applyFont="1" applyFill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14" borderId="0" xfId="0" applyFont="1" applyFill="1" applyAlignment="1">
      <alignment horizontal="center"/>
    </xf>
    <xf numFmtId="0" fontId="9" fillId="0" borderId="25" xfId="0" applyFont="1" applyBorder="1" applyAlignment="1">
      <alignment horizontal="center" vertical="center" wrapText="1"/>
    </xf>
    <xf numFmtId="0" fontId="10" fillId="2" borderId="9" xfId="0" applyFont="1" applyFill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2" fillId="0" borderId="2" xfId="0" applyFont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2" fillId="14" borderId="0" xfId="0" applyFont="1" applyFill="1" applyProtection="1">
      <protection locked="0"/>
    </xf>
    <xf numFmtId="171" fontId="2" fillId="4" borderId="0" xfId="0" applyNumberFormat="1" applyFont="1" applyFill="1" applyProtection="1">
      <protection locked="0"/>
    </xf>
    <xf numFmtId="0" fontId="2" fillId="4" borderId="21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171" fontId="2" fillId="4" borderId="2" xfId="0" applyNumberFormat="1" applyFont="1" applyFill="1" applyBorder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4" borderId="33" xfId="0" applyFont="1" applyFill="1" applyBorder="1" applyAlignment="1" applyProtection="1">
      <alignment horizontal="center"/>
      <protection locked="0"/>
    </xf>
    <xf numFmtId="171" fontId="2" fillId="0" borderId="4" xfId="0" applyNumberFormat="1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0" fillId="0" borderId="39" xfId="0" applyBorder="1"/>
    <xf numFmtId="0" fontId="22" fillId="0" borderId="57" xfId="0" applyFont="1" applyBorder="1"/>
    <xf numFmtId="4" fontId="2" fillId="0" borderId="0" xfId="0" applyNumberFormat="1" applyFont="1" applyAlignment="1">
      <alignment horizontal="centerContinuous"/>
    </xf>
    <xf numFmtId="4" fontId="2" fillId="16" borderId="2" xfId="0" applyNumberFormat="1" applyFont="1" applyFill="1" applyBorder="1" applyAlignment="1">
      <alignment horizontal="centerContinuous"/>
    </xf>
    <xf numFmtId="4" fontId="1" fillId="16" borderId="0" xfId="0" applyNumberFormat="1" applyFont="1" applyFill="1" applyAlignment="1">
      <alignment horizontal="center" vertical="center"/>
    </xf>
    <xf numFmtId="3" fontId="1" fillId="17" borderId="2" xfId="0" applyNumberFormat="1" applyFont="1" applyFill="1" applyBorder="1" applyAlignment="1">
      <alignment horizontal="center" vertical="center"/>
    </xf>
    <xf numFmtId="4" fontId="1" fillId="17" borderId="2" xfId="0" applyNumberFormat="1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4" fontId="1" fillId="17" borderId="0" xfId="0" applyNumberFormat="1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2" fillId="0" borderId="8" xfId="0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8" fillId="4" borderId="51" xfId="0" applyFont="1" applyFill="1" applyBorder="1"/>
    <xf numFmtId="0" fontId="2" fillId="0" borderId="13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18" fillId="0" borderId="1" xfId="0" applyFont="1" applyBorder="1"/>
    <xf numFmtId="0" fontId="2" fillId="2" borderId="28" xfId="0" applyFont="1" applyFill="1" applyBorder="1" applyAlignment="1">
      <alignment horizontal="center"/>
    </xf>
    <xf numFmtId="171" fontId="2" fillId="0" borderId="0" xfId="0" applyNumberFormat="1" applyFont="1" applyProtection="1">
      <protection locked="0"/>
    </xf>
    <xf numFmtId="3" fontId="1" fillId="16" borderId="0" xfId="0" applyNumberFormat="1" applyFont="1" applyFill="1" applyAlignment="1" applyProtection="1">
      <alignment horizontal="center" vertical="center"/>
      <protection locked="0"/>
    </xf>
    <xf numFmtId="3" fontId="1" fillId="17" borderId="0" xfId="0" applyNumberFormat="1" applyFont="1" applyFill="1" applyAlignment="1" applyProtection="1">
      <alignment horizontal="center" vertical="center"/>
      <protection locked="0"/>
    </xf>
    <xf numFmtId="0" fontId="18" fillId="16" borderId="63" xfId="0" applyFont="1" applyFill="1" applyBorder="1" applyAlignment="1" applyProtection="1">
      <alignment horizontal="center" vertical="center" shrinkToFit="1"/>
      <protection locked="0"/>
    </xf>
    <xf numFmtId="0" fontId="26" fillId="0" borderId="16" xfId="0" applyFont="1" applyBorder="1" applyAlignment="1">
      <alignment shrinkToFit="1"/>
    </xf>
    <xf numFmtId="0" fontId="0" fillId="0" borderId="0" xfId="0" applyAlignment="1">
      <alignment vertical="center"/>
    </xf>
    <xf numFmtId="0" fontId="10" fillId="14" borderId="17" xfId="0" applyFont="1" applyFill="1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18" borderId="64" xfId="0" applyFont="1" applyFill="1" applyBorder="1" applyAlignment="1" applyProtection="1">
      <alignment horizontal="center"/>
      <protection locked="0"/>
    </xf>
    <xf numFmtId="0" fontId="4" fillId="18" borderId="65" xfId="0" applyFont="1" applyFill="1" applyBorder="1" applyAlignment="1" applyProtection="1">
      <alignment horizontal="center"/>
      <protection locked="0"/>
    </xf>
    <xf numFmtId="0" fontId="5" fillId="18" borderId="66" xfId="0" applyFont="1" applyFill="1" applyBorder="1" applyAlignment="1" applyProtection="1">
      <alignment horizontal="center"/>
      <protection locked="0"/>
    </xf>
    <xf numFmtId="0" fontId="4" fillId="9" borderId="2" xfId="0" applyFont="1" applyFill="1" applyBorder="1" applyAlignment="1" applyProtection="1">
      <alignment horizontal="center"/>
      <protection locked="0"/>
    </xf>
    <xf numFmtId="0" fontId="5" fillId="9" borderId="2" xfId="0" applyFont="1" applyFill="1" applyBorder="1" applyAlignment="1" applyProtection="1">
      <alignment horizontal="center"/>
      <protection locked="0"/>
    </xf>
    <xf numFmtId="0" fontId="22" fillId="18" borderId="0" xfId="0" applyFont="1" applyFill="1" applyAlignment="1" applyProtection="1">
      <alignment horizontal="center"/>
      <protection locked="0"/>
    </xf>
    <xf numFmtId="0" fontId="2" fillId="18" borderId="0" xfId="0" applyFont="1" applyFill="1" applyAlignment="1" applyProtection="1">
      <alignment horizontal="center"/>
      <protection locked="0"/>
    </xf>
    <xf numFmtId="166" fontId="0" fillId="18" borderId="0" xfId="0" applyNumberFormat="1" applyFill="1" applyAlignment="1" applyProtection="1">
      <alignment horizontal="center"/>
      <protection locked="0"/>
    </xf>
    <xf numFmtId="0" fontId="22" fillId="9" borderId="0" xfId="0" applyFont="1" applyFill="1" applyAlignment="1" applyProtection="1">
      <alignment horizont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1" fillId="18" borderId="0" xfId="0" applyFont="1" applyFill="1" applyAlignment="1" applyProtection="1">
      <alignment horizontal="center"/>
      <protection locked="0"/>
    </xf>
    <xf numFmtId="0" fontId="0" fillId="18" borderId="0" xfId="0" applyFill="1" applyAlignment="1" applyProtection="1">
      <alignment horizontal="center"/>
      <protection locked="0"/>
    </xf>
    <xf numFmtId="0" fontId="25" fillId="9" borderId="20" xfId="0" applyFont="1" applyFill="1" applyBorder="1" applyAlignment="1" applyProtection="1">
      <alignment horizontal="right"/>
      <protection locked="0"/>
    </xf>
    <xf numFmtId="167" fontId="12" fillId="0" borderId="8" xfId="1" applyFont="1" applyFill="1" applyBorder="1" applyAlignment="1" applyProtection="1">
      <protection locked="0"/>
    </xf>
    <xf numFmtId="0" fontId="11" fillId="9" borderId="20" xfId="0" applyFont="1" applyFill="1" applyBorder="1" applyAlignment="1" applyProtection="1">
      <alignment horizontal="right"/>
      <protection locked="0"/>
    </xf>
    <xf numFmtId="166" fontId="12" fillId="0" borderId="0" xfId="0" applyNumberFormat="1" applyFont="1" applyAlignment="1" applyProtection="1">
      <alignment horizontal="center"/>
      <protection locked="0"/>
    </xf>
    <xf numFmtId="167" fontId="12" fillId="0" borderId="0" xfId="1" applyFont="1" applyFill="1" applyBorder="1" applyAlignment="1" applyProtection="1">
      <protection locked="0"/>
    </xf>
    <xf numFmtId="0" fontId="25" fillId="9" borderId="20" xfId="0" applyFont="1" applyFill="1" applyBorder="1" applyAlignment="1" applyProtection="1">
      <alignment horizontal="center"/>
      <protection locked="0"/>
    </xf>
    <xf numFmtId="0" fontId="25" fillId="12" borderId="20" xfId="0" applyFont="1" applyFill="1" applyBorder="1" applyAlignment="1" applyProtection="1">
      <alignment horizontal="center"/>
      <protection locked="0"/>
    </xf>
    <xf numFmtId="0" fontId="27" fillId="13" borderId="0" xfId="0" applyFont="1" applyFill="1" applyAlignment="1" applyProtection="1">
      <alignment horizontal="center"/>
      <protection locked="0"/>
    </xf>
    <xf numFmtId="0" fontId="4" fillId="0" borderId="0" xfId="0" applyFont="1" applyAlignment="1" applyProtection="1">
      <alignment horizontal="right"/>
      <protection locked="0"/>
    </xf>
    <xf numFmtId="0" fontId="12" fillId="0" borderId="21" xfId="1" applyNumberFormat="1" applyFont="1" applyFill="1" applyBorder="1" applyAlignment="1" applyProtection="1">
      <alignment horizontal="center"/>
      <protection locked="0"/>
    </xf>
    <xf numFmtId="0" fontId="19" fillId="20" borderId="16" xfId="0" applyFont="1" applyFill="1" applyBorder="1"/>
    <xf numFmtId="0" fontId="1" fillId="0" borderId="12" xfId="0" applyFont="1" applyBorder="1" applyAlignment="1">
      <alignment horizontal="center"/>
    </xf>
    <xf numFmtId="171" fontId="1" fillId="0" borderId="16" xfId="0" applyNumberFormat="1" applyFont="1" applyBorder="1"/>
    <xf numFmtId="0" fontId="1" fillId="0" borderId="16" xfId="0" applyFont="1" applyBorder="1"/>
    <xf numFmtId="0" fontId="0" fillId="21" borderId="0" xfId="0" applyFill="1"/>
    <xf numFmtId="0" fontId="4" fillId="21" borderId="2" xfId="0" applyFont="1" applyFill="1" applyBorder="1" applyAlignment="1" applyProtection="1">
      <alignment horizontal="center"/>
      <protection locked="0"/>
    </xf>
    <xf numFmtId="0" fontId="1" fillId="21" borderId="0" xfId="0" applyFont="1" applyFill="1" applyAlignment="1" applyProtection="1">
      <alignment horizontal="center"/>
      <protection locked="0"/>
    </xf>
    <xf numFmtId="167" fontId="41" fillId="2" borderId="0" xfId="1" applyFont="1" applyFill="1" applyBorder="1"/>
    <xf numFmtId="0" fontId="1" fillId="21" borderId="0" xfId="0" applyFont="1" applyFill="1"/>
    <xf numFmtId="0" fontId="6" fillId="16" borderId="8" xfId="0" applyFont="1" applyFill="1" applyBorder="1"/>
    <xf numFmtId="0" fontId="2" fillId="16" borderId="0" xfId="0" applyFont="1" applyFill="1" applyProtection="1">
      <protection locked="0"/>
    </xf>
    <xf numFmtId="0" fontId="2" fillId="16" borderId="14" xfId="0" applyFont="1" applyFill="1" applyBorder="1" applyAlignment="1" applyProtection="1">
      <alignment horizontal="center"/>
      <protection locked="0"/>
    </xf>
    <xf numFmtId="0" fontId="2" fillId="16" borderId="0" xfId="0" applyFont="1" applyFill="1" applyAlignment="1">
      <alignment horizontal="center"/>
    </xf>
    <xf numFmtId="2" fontId="2" fillId="16" borderId="8" xfId="0" applyNumberFormat="1" applyFont="1" applyFill="1" applyBorder="1" applyAlignment="1">
      <alignment horizontal="center"/>
    </xf>
    <xf numFmtId="171" fontId="2" fillId="16" borderId="0" xfId="0" applyNumberFormat="1" applyFont="1" applyFill="1" applyAlignment="1">
      <alignment horizontal="center"/>
    </xf>
    <xf numFmtId="0" fontId="2" fillId="16" borderId="0" xfId="0" applyFont="1" applyFill="1"/>
    <xf numFmtId="0" fontId="2" fillId="16" borderId="11" xfId="0" applyFont="1" applyFill="1" applyBorder="1"/>
    <xf numFmtId="0" fontId="18" fillId="17" borderId="53" xfId="0" applyFont="1" applyFill="1" applyBorder="1"/>
    <xf numFmtId="0" fontId="18" fillId="17" borderId="51" xfId="0" applyFont="1" applyFill="1" applyBorder="1"/>
    <xf numFmtId="0" fontId="18" fillId="16" borderId="51" xfId="0" applyFont="1" applyFill="1" applyBorder="1"/>
    <xf numFmtId="0" fontId="0" fillId="0" borderId="9" xfId="0" applyBorder="1" applyProtection="1">
      <protection locked="0"/>
    </xf>
    <xf numFmtId="0" fontId="1" fillId="0" borderId="9" xfId="0" applyFont="1" applyBorder="1" applyProtection="1">
      <protection locked="0"/>
    </xf>
    <xf numFmtId="0" fontId="1" fillId="18" borderId="9" xfId="0" applyFont="1" applyFill="1" applyBorder="1" applyAlignment="1" applyProtection="1">
      <alignment horizontal="center"/>
      <protection locked="0"/>
    </xf>
    <xf numFmtId="0" fontId="0" fillId="18" borderId="9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" fillId="21" borderId="9" xfId="0" applyFont="1" applyFill="1" applyBorder="1" applyAlignment="1" applyProtection="1">
      <alignment horizontal="center"/>
      <protection locked="0"/>
    </xf>
    <xf numFmtId="0" fontId="1" fillId="21" borderId="9" xfId="0" applyFont="1" applyFill="1" applyBorder="1"/>
    <xf numFmtId="164" fontId="1" fillId="17" borderId="2" xfId="6" applyFont="1" applyFill="1" applyBorder="1" applyAlignment="1" applyProtection="1">
      <alignment horizontal="center" vertical="center"/>
    </xf>
    <xf numFmtId="164" fontId="22" fillId="0" borderId="4" xfId="6" applyFont="1" applyFill="1" applyBorder="1" applyProtection="1"/>
    <xf numFmtId="164" fontId="1" fillId="17" borderId="2" xfId="6" applyFont="1" applyFill="1" applyBorder="1" applyAlignment="1" applyProtection="1">
      <alignment vertical="center"/>
    </xf>
    <xf numFmtId="164" fontId="1" fillId="17" borderId="0" xfId="6" applyFont="1" applyFill="1" applyAlignment="1" applyProtection="1">
      <alignment vertical="center"/>
    </xf>
    <xf numFmtId="164" fontId="4" fillId="0" borderId="25" xfId="6" applyFont="1" applyFill="1" applyBorder="1" applyAlignment="1" applyProtection="1">
      <alignment vertical="top" textRotation="90"/>
    </xf>
    <xf numFmtId="164" fontId="4" fillId="0" borderId="0" xfId="6" applyFont="1" applyFill="1" applyBorder="1" applyAlignment="1" applyProtection="1">
      <alignment vertical="top" textRotation="90"/>
    </xf>
    <xf numFmtId="164" fontId="8" fillId="0" borderId="0" xfId="6" applyFont="1" applyFill="1" applyBorder="1" applyAlignment="1" applyProtection="1">
      <protection locked="0"/>
    </xf>
    <xf numFmtId="164" fontId="8" fillId="0" borderId="0" xfId="6" applyFont="1" applyFill="1" applyBorder="1" applyProtection="1">
      <protection locked="0"/>
    </xf>
    <xf numFmtId="164" fontId="4" fillId="0" borderId="0" xfId="6" applyFont="1" applyFill="1" applyBorder="1" applyProtection="1"/>
    <xf numFmtId="164" fontId="1" fillId="16" borderId="0" xfId="6" applyFont="1" applyFill="1" applyAlignment="1" applyProtection="1">
      <alignment vertical="center" shrinkToFit="1"/>
    </xf>
    <xf numFmtId="164" fontId="1" fillId="0" borderId="0" xfId="6" applyFont="1" applyFill="1" applyProtection="1"/>
    <xf numFmtId="164" fontId="1" fillId="16" borderId="63" xfId="6" applyFont="1" applyFill="1" applyBorder="1" applyAlignment="1" applyProtection="1">
      <alignment vertical="center" shrinkToFit="1"/>
    </xf>
    <xf numFmtId="164" fontId="1" fillId="0" borderId="0" xfId="6" applyFont="1"/>
    <xf numFmtId="164" fontId="1" fillId="0" borderId="0" xfId="6" applyFont="1" applyFill="1" applyBorder="1" applyAlignment="1" applyProtection="1">
      <protection locked="0"/>
    </xf>
    <xf numFmtId="164" fontId="1" fillId="0" borderId="2" xfId="6" applyFont="1" applyFill="1" applyBorder="1" applyAlignment="1" applyProtection="1">
      <protection locked="0"/>
    </xf>
    <xf numFmtId="164" fontId="1" fillId="4" borderId="51" xfId="6" applyFont="1" applyFill="1" applyBorder="1" applyProtection="1"/>
    <xf numFmtId="164" fontId="1" fillId="16" borderId="0" xfId="6" applyFont="1" applyFill="1" applyBorder="1" applyAlignment="1" applyProtection="1">
      <protection locked="0"/>
    </xf>
    <xf numFmtId="164" fontId="1" fillId="17" borderId="51" xfId="6" applyFont="1" applyFill="1" applyBorder="1" applyProtection="1"/>
    <xf numFmtId="164" fontId="1" fillId="17" borderId="53" xfId="6" applyFont="1" applyFill="1" applyBorder="1" applyProtection="1"/>
    <xf numFmtId="164" fontId="1" fillId="14" borderId="0" xfId="6" applyFont="1" applyFill="1" applyBorder="1" applyAlignment="1" applyProtection="1">
      <protection locked="0"/>
    </xf>
    <xf numFmtId="164" fontId="1" fillId="16" borderId="51" xfId="6" applyFont="1" applyFill="1" applyBorder="1" applyProtection="1"/>
    <xf numFmtId="164" fontId="1" fillId="0" borderId="0" xfId="6" applyFont="1" applyFill="1" applyBorder="1" applyProtection="1">
      <protection locked="0"/>
    </xf>
    <xf numFmtId="164" fontId="1" fillId="0" borderId="2" xfId="6" applyFont="1" applyFill="1" applyBorder="1" applyProtection="1">
      <protection locked="0"/>
    </xf>
    <xf numFmtId="164" fontId="1" fillId="4" borderId="0" xfId="6" applyFont="1" applyFill="1" applyBorder="1" applyProtection="1">
      <protection locked="0"/>
    </xf>
    <xf numFmtId="164" fontId="1" fillId="4" borderId="2" xfId="6" applyFont="1" applyFill="1" applyBorder="1" applyProtection="1">
      <protection locked="0"/>
    </xf>
    <xf numFmtId="164" fontId="1" fillId="0" borderId="4" xfId="6" applyFont="1" applyFill="1" applyBorder="1" applyProtection="1">
      <protection locked="0"/>
    </xf>
    <xf numFmtId="0" fontId="6" fillId="17" borderId="53" xfId="0" applyFont="1" applyFill="1" applyBorder="1"/>
    <xf numFmtId="0" fontId="6" fillId="16" borderId="51" xfId="0" applyFont="1" applyFill="1" applyBorder="1"/>
    <xf numFmtId="0" fontId="1" fillId="16" borderId="51" xfId="0" applyFont="1" applyFill="1" applyBorder="1"/>
    <xf numFmtId="0" fontId="1" fillId="17" borderId="51" xfId="0" applyFont="1" applyFill="1" applyBorder="1"/>
    <xf numFmtId="0" fontId="1" fillId="17" borderId="53" xfId="0" applyFont="1" applyFill="1" applyBorder="1"/>
    <xf numFmtId="0" fontId="1" fillId="4" borderId="51" xfId="0" applyFont="1" applyFill="1" applyBorder="1"/>
    <xf numFmtId="0" fontId="1" fillId="0" borderId="18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33" xfId="0" applyFont="1" applyBorder="1" applyAlignment="1">
      <alignment horizontal="left"/>
    </xf>
    <xf numFmtId="0" fontId="1" fillId="16" borderId="13" xfId="0" applyFont="1" applyFill="1" applyBorder="1" applyAlignment="1">
      <alignment horizontal="left"/>
    </xf>
    <xf numFmtId="0" fontId="1" fillId="17" borderId="53" xfId="0" applyFont="1" applyFill="1" applyBorder="1" applyAlignment="1">
      <alignment horizontal="left"/>
    </xf>
    <xf numFmtId="0" fontId="1" fillId="14" borderId="11" xfId="0" applyFont="1" applyFill="1" applyBorder="1" applyAlignment="1">
      <alignment horizontal="left"/>
    </xf>
    <xf numFmtId="0" fontId="1" fillId="4" borderId="17" xfId="0" applyFont="1" applyFill="1" applyBorder="1" applyAlignment="1">
      <alignment horizontal="left"/>
    </xf>
    <xf numFmtId="0" fontId="1" fillId="16" borderId="0" xfId="0" applyFont="1" applyFill="1" applyAlignment="1">
      <alignment horizontal="center" vertical="center" shrinkToFit="1"/>
    </xf>
    <xf numFmtId="0" fontId="1" fillId="16" borderId="63" xfId="0" applyFont="1" applyFill="1" applyBorder="1" applyAlignment="1">
      <alignment horizontal="center" vertical="center" shrinkToFit="1"/>
    </xf>
    <xf numFmtId="0" fontId="5" fillId="20" borderId="16" xfId="0" applyFont="1" applyFill="1" applyBorder="1" applyAlignment="1">
      <alignment horizontal="center"/>
    </xf>
    <xf numFmtId="0" fontId="5" fillId="2" borderId="25" xfId="0" applyFont="1" applyFill="1" applyBorder="1" applyAlignment="1">
      <alignment horizontal="center"/>
    </xf>
    <xf numFmtId="0" fontId="5" fillId="2" borderId="9" xfId="0" applyFont="1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1" fillId="2" borderId="54" xfId="0" applyFont="1" applyFill="1" applyBorder="1" applyAlignment="1" applyProtection="1">
      <alignment horizontal="center"/>
      <protection locked="0"/>
    </xf>
    <xf numFmtId="0" fontId="1" fillId="16" borderId="14" xfId="0" applyFont="1" applyFill="1" applyBorder="1" applyAlignment="1" applyProtection="1">
      <alignment horizontal="center"/>
      <protection locked="0"/>
    </xf>
    <xf numFmtId="0" fontId="1" fillId="3" borderId="10" xfId="0" applyFont="1" applyFill="1" applyBorder="1" applyAlignment="1" applyProtection="1">
      <alignment horizontal="center"/>
      <protection locked="0"/>
    </xf>
    <xf numFmtId="0" fontId="1" fillId="2" borderId="14" xfId="0" applyFont="1" applyFill="1" applyBorder="1" applyAlignment="1" applyProtection="1">
      <alignment horizontal="center"/>
      <protection locked="0"/>
    </xf>
    <xf numFmtId="0" fontId="1" fillId="14" borderId="16" xfId="0" applyFont="1" applyFill="1" applyBorder="1" applyAlignment="1" applyProtection="1">
      <alignment horizontal="center"/>
      <protection locked="0"/>
    </xf>
    <xf numFmtId="0" fontId="1" fillId="10" borderId="16" xfId="0" applyFont="1" applyFill="1" applyBorder="1" applyAlignment="1" applyProtection="1">
      <alignment horizontal="center"/>
      <protection locked="0"/>
    </xf>
    <xf numFmtId="0" fontId="1" fillId="2" borderId="12" xfId="0" applyFont="1" applyFill="1" applyBorder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alignment horizontal="center"/>
      <protection locked="0"/>
    </xf>
    <xf numFmtId="0" fontId="1" fillId="4" borderId="16" xfId="0" applyFont="1" applyFill="1" applyBorder="1" applyAlignment="1" applyProtection="1">
      <alignment horizontal="center"/>
      <protection locked="0"/>
    </xf>
    <xf numFmtId="0" fontId="1" fillId="4" borderId="51" xfId="0" applyFont="1" applyFill="1" applyBorder="1" applyAlignment="1" applyProtection="1">
      <alignment horizontal="center"/>
      <protection locked="0"/>
    </xf>
    <xf numFmtId="0" fontId="1" fillId="4" borderId="61" xfId="0" applyFont="1" applyFill="1" applyBorder="1" applyAlignment="1" applyProtection="1">
      <alignment horizontal="center"/>
      <protection locked="0"/>
    </xf>
    <xf numFmtId="0" fontId="1" fillId="4" borderId="53" xfId="0" applyFont="1" applyFill="1" applyBorder="1" applyAlignment="1" applyProtection="1">
      <alignment horizontal="center"/>
      <protection locked="0"/>
    </xf>
    <xf numFmtId="0" fontId="12" fillId="16" borderId="21" xfId="1" applyNumberFormat="1" applyFont="1" applyFill="1" applyBorder="1" applyAlignment="1" applyProtection="1">
      <alignment horizontal="center"/>
    </xf>
    <xf numFmtId="0" fontId="12" fillId="17" borderId="21" xfId="1" applyNumberFormat="1" applyFont="1" applyFill="1" applyBorder="1" applyAlignment="1" applyProtection="1">
      <alignment horizontal="center"/>
    </xf>
    <xf numFmtId="171" fontId="1" fillId="0" borderId="8" xfId="0" applyNumberFormat="1" applyFont="1" applyBorder="1" applyAlignment="1">
      <alignment horizontal="center"/>
    </xf>
    <xf numFmtId="171" fontId="1" fillId="0" borderId="0" xfId="0" applyNumberFormat="1" applyFont="1" applyAlignment="1">
      <alignment horizontal="center"/>
    </xf>
    <xf numFmtId="171" fontId="1" fillId="16" borderId="0" xfId="0" applyNumberFormat="1" applyFont="1" applyFill="1" applyAlignment="1">
      <alignment horizontal="center"/>
    </xf>
    <xf numFmtId="171" fontId="1" fillId="14" borderId="0" xfId="0" applyNumberFormat="1" applyFont="1" applyFill="1" applyAlignment="1">
      <alignment horizontal="center"/>
    </xf>
    <xf numFmtId="167" fontId="1" fillId="0" borderId="33" xfId="1" applyFont="1" applyFill="1" applyBorder="1" applyAlignment="1" applyProtection="1">
      <alignment horizontal="center"/>
    </xf>
    <xf numFmtId="171" fontId="1" fillId="0" borderId="2" xfId="0" applyNumberFormat="1" applyFont="1" applyBorder="1" applyAlignment="1">
      <alignment horizontal="center"/>
    </xf>
    <xf numFmtId="171" fontId="1" fillId="4" borderId="0" xfId="0" applyNumberFormat="1" applyFont="1" applyFill="1" applyAlignment="1">
      <alignment horizontal="center"/>
    </xf>
    <xf numFmtId="164" fontId="1" fillId="16" borderId="11" xfId="6" applyFont="1" applyFill="1" applyBorder="1" applyAlignment="1" applyProtection="1">
      <alignment horizontal="center"/>
    </xf>
    <xf numFmtId="164" fontId="8" fillId="0" borderId="12" xfId="6" applyFont="1" applyFill="1" applyBorder="1" applyAlignment="1" applyProtection="1">
      <alignment horizontal="center"/>
    </xf>
    <xf numFmtId="164" fontId="8" fillId="0" borderId="14" xfId="6" applyFont="1" applyFill="1" applyBorder="1" applyAlignment="1" applyProtection="1">
      <alignment horizontal="center"/>
    </xf>
    <xf numFmtId="164" fontId="1" fillId="0" borderId="0" xfId="6" applyFont="1" applyFill="1" applyBorder="1" applyAlignment="1" applyProtection="1">
      <alignment horizontal="center"/>
    </xf>
    <xf numFmtId="164" fontId="1" fillId="0" borderId="11" xfId="6" applyFont="1" applyFill="1" applyBorder="1" applyAlignment="1" applyProtection="1">
      <alignment horizontal="center"/>
    </xf>
    <xf numFmtId="164" fontId="1" fillId="14" borderId="11" xfId="6" applyFont="1" applyFill="1" applyBorder="1" applyAlignment="1" applyProtection="1">
      <alignment horizontal="center"/>
    </xf>
    <xf numFmtId="164" fontId="1" fillId="0" borderId="33" xfId="6" applyFont="1" applyFill="1" applyBorder="1" applyAlignment="1" applyProtection="1">
      <alignment horizontal="center"/>
    </xf>
    <xf numFmtId="164" fontId="1" fillId="4" borderId="11" xfId="6" applyFont="1" applyFill="1" applyBorder="1" applyAlignment="1" applyProtection="1">
      <alignment horizontal="center"/>
    </xf>
    <xf numFmtId="164" fontId="1" fillId="0" borderId="13" xfId="6" applyFont="1" applyFill="1" applyBorder="1" applyAlignment="1" applyProtection="1">
      <alignment horizontal="center"/>
    </xf>
    <xf numFmtId="177" fontId="12" fillId="0" borderId="11" xfId="1" applyNumberFormat="1" applyFont="1" applyFill="1" applyBorder="1" applyAlignment="1" applyProtection="1"/>
    <xf numFmtId="177" fontId="12" fillId="0" borderId="38" xfId="1" applyNumberFormat="1" applyFont="1" applyFill="1" applyBorder="1" applyAlignment="1" applyProtection="1"/>
    <xf numFmtId="177" fontId="12" fillId="0" borderId="41" xfId="1" applyNumberFormat="1" applyFont="1" applyFill="1" applyBorder="1" applyAlignment="1" applyProtection="1"/>
    <xf numFmtId="177" fontId="12" fillId="16" borderId="11" xfId="1" applyNumberFormat="1" applyFont="1" applyFill="1" applyBorder="1" applyAlignment="1" applyProtection="1"/>
    <xf numFmtId="177" fontId="12" fillId="17" borderId="11" xfId="1" applyNumberFormat="1" applyFont="1" applyFill="1" applyBorder="1" applyAlignment="1" applyProtection="1"/>
    <xf numFmtId="0" fontId="1" fillId="0" borderId="21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16" borderId="21" xfId="0" applyFont="1" applyFill="1" applyBorder="1" applyProtection="1">
      <protection locked="0"/>
    </xf>
    <xf numFmtId="0" fontId="1" fillId="14" borderId="21" xfId="0" applyFont="1" applyFill="1" applyBorder="1" applyProtection="1">
      <protection locked="0"/>
    </xf>
    <xf numFmtId="0" fontId="1" fillId="14" borderId="0" xfId="0" applyFont="1" applyFill="1" applyProtection="1">
      <protection locked="0"/>
    </xf>
    <xf numFmtId="0" fontId="1" fillId="0" borderId="1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4" borderId="21" xfId="0" applyFont="1" applyFill="1" applyBorder="1" applyAlignment="1" applyProtection="1">
      <alignment horizontal="center"/>
      <protection locked="0"/>
    </xf>
    <xf numFmtId="0" fontId="15" fillId="16" borderId="21" xfId="0" applyFont="1" applyFill="1" applyBorder="1" applyAlignment="1">
      <alignment horizontal="center"/>
    </xf>
    <xf numFmtId="0" fontId="15" fillId="17" borderId="21" xfId="0" applyFont="1" applyFill="1" applyBorder="1" applyAlignment="1">
      <alignment horizontal="center"/>
    </xf>
    <xf numFmtId="178" fontId="2" fillId="22" borderId="0" xfId="11" applyNumberFormat="1" applyFont="1" applyFill="1" applyBorder="1" applyAlignment="1" applyProtection="1">
      <alignment horizontal="center"/>
    </xf>
    <xf numFmtId="171" fontId="2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0" fontId="11" fillId="17" borderId="42" xfId="0" applyFont="1" applyFill="1" applyBorder="1" applyAlignment="1">
      <alignment horizontal="right"/>
    </xf>
    <xf numFmtId="168" fontId="12" fillId="17" borderId="37" xfId="1" applyNumberFormat="1" applyFont="1" applyFill="1" applyBorder="1" applyAlignment="1" applyProtection="1">
      <alignment horizontal="center"/>
    </xf>
    <xf numFmtId="0" fontId="12" fillId="17" borderId="37" xfId="1" applyNumberFormat="1" applyFont="1" applyFill="1" applyBorder="1" applyAlignment="1" applyProtection="1">
      <alignment horizontal="center"/>
    </xf>
    <xf numFmtId="177" fontId="12" fillId="17" borderId="38" xfId="1" applyNumberFormat="1" applyFont="1" applyFill="1" applyBorder="1" applyAlignment="1" applyProtection="1"/>
    <xf numFmtId="0" fontId="11" fillId="16" borderId="42" xfId="0" applyFont="1" applyFill="1" applyBorder="1" applyAlignment="1">
      <alignment horizontal="right"/>
    </xf>
    <xf numFmtId="168" fontId="12" fillId="16" borderId="37" xfId="1" applyNumberFormat="1" applyFont="1" applyFill="1" applyBorder="1" applyAlignment="1" applyProtection="1">
      <alignment horizontal="center"/>
    </xf>
    <xf numFmtId="0" fontId="12" fillId="16" borderId="37" xfId="1" applyNumberFormat="1" applyFont="1" applyFill="1" applyBorder="1" applyAlignment="1" applyProtection="1">
      <alignment horizontal="center"/>
    </xf>
    <xf numFmtId="177" fontId="12" fillId="16" borderId="38" xfId="1" applyNumberFormat="1" applyFont="1" applyFill="1" applyBorder="1" applyAlignment="1" applyProtection="1"/>
    <xf numFmtId="171" fontId="12" fillId="0" borderId="26" xfId="1" applyNumberFormat="1" applyFont="1" applyFill="1" applyBorder="1" applyAlignment="1" applyProtection="1">
      <alignment horizontal="center"/>
    </xf>
    <xf numFmtId="0" fontId="12" fillId="12" borderId="0" xfId="0" applyFont="1" applyFill="1" applyAlignment="1" applyProtection="1">
      <alignment horizontal="center"/>
      <protection locked="0"/>
    </xf>
    <xf numFmtId="4" fontId="0" fillId="0" borderId="0" xfId="0" applyNumberFormat="1" applyProtection="1">
      <protection locked="0"/>
    </xf>
    <xf numFmtId="0" fontId="11" fillId="9" borderId="0" xfId="0" applyFont="1" applyFill="1" applyAlignment="1" applyProtection="1">
      <alignment horizontal="right"/>
      <protection locked="0"/>
    </xf>
    <xf numFmtId="4" fontId="0" fillId="22" borderId="0" xfId="0" applyNumberFormat="1" applyFill="1" applyProtection="1">
      <protection locked="0"/>
    </xf>
    <xf numFmtId="0" fontId="2" fillId="18" borderId="9" xfId="0" applyFont="1" applyFill="1" applyBorder="1" applyAlignment="1" applyProtection="1">
      <alignment horizontal="center"/>
      <protection locked="0"/>
    </xf>
    <xf numFmtId="0" fontId="11" fillId="16" borderId="20" xfId="0" applyFont="1" applyFill="1" applyBorder="1" applyAlignment="1" applyProtection="1">
      <alignment horizontal="right"/>
      <protection locked="0"/>
    </xf>
    <xf numFmtId="0" fontId="12" fillId="16" borderId="21" xfId="0" applyFont="1" applyFill="1" applyBorder="1" applyAlignment="1" applyProtection="1">
      <alignment horizontal="center"/>
      <protection locked="0"/>
    </xf>
    <xf numFmtId="0" fontId="11" fillId="23" borderId="20" xfId="0" applyFont="1" applyFill="1" applyBorder="1" applyAlignment="1" applyProtection="1">
      <alignment horizontal="right"/>
      <protection locked="0"/>
    </xf>
    <xf numFmtId="0" fontId="12" fillId="23" borderId="21" xfId="0" applyFont="1" applyFill="1" applyBorder="1" applyAlignment="1" applyProtection="1">
      <alignment horizontal="center"/>
      <protection locked="0"/>
    </xf>
    <xf numFmtId="167" fontId="2" fillId="19" borderId="9" xfId="1" applyFont="1" applyFill="1" applyBorder="1" applyAlignment="1">
      <alignment horizontal="center"/>
    </xf>
    <xf numFmtId="0" fontId="0" fillId="19" borderId="8" xfId="0" applyFill="1" applyBorder="1"/>
    <xf numFmtId="0" fontId="0" fillId="19" borderId="0" xfId="0" applyFill="1"/>
    <xf numFmtId="1" fontId="0" fillId="19" borderId="0" xfId="0" applyNumberFormat="1" applyFill="1" applyAlignment="1">
      <alignment horizontal="center"/>
    </xf>
    <xf numFmtId="0" fontId="6" fillId="19" borderId="28" xfId="0" applyFont="1" applyFill="1" applyBorder="1" applyAlignment="1">
      <alignment horizontal="center" textRotation="90"/>
    </xf>
    <xf numFmtId="0" fontId="1" fillId="19" borderId="28" xfId="0" applyFont="1" applyFill="1" applyBorder="1" applyAlignment="1">
      <alignment horizontal="center" textRotation="90"/>
    </xf>
    <xf numFmtId="0" fontId="6" fillId="19" borderId="44" xfId="0" applyFont="1" applyFill="1" applyBorder="1" applyAlignment="1">
      <alignment horizontal="center" textRotation="90"/>
    </xf>
    <xf numFmtId="167" fontId="2" fillId="19" borderId="0" xfId="1" applyFont="1" applyFill="1" applyBorder="1" applyAlignment="1"/>
    <xf numFmtId="167" fontId="2" fillId="19" borderId="0" xfId="1" applyFont="1" applyFill="1" applyBorder="1" applyAlignment="1">
      <alignment horizontal="center"/>
    </xf>
    <xf numFmtId="167" fontId="2" fillId="19" borderId="22" xfId="1" applyFont="1" applyFill="1" applyBorder="1" applyAlignment="1"/>
    <xf numFmtId="0" fontId="0" fillId="19" borderId="68" xfId="0" applyFill="1" applyBorder="1"/>
    <xf numFmtId="0" fontId="0" fillId="19" borderId="20" xfId="0" applyFill="1" applyBorder="1"/>
    <xf numFmtId="0" fontId="0" fillId="19" borderId="22" xfId="0" applyFill="1" applyBorder="1"/>
    <xf numFmtId="0" fontId="20" fillId="19" borderId="0" xfId="0" applyFont="1" applyFill="1" applyAlignment="1">
      <alignment horizontal="centerContinuous"/>
    </xf>
    <xf numFmtId="1" fontId="0" fillId="19" borderId="8" xfId="0" applyNumberFormat="1" applyFill="1" applyBorder="1"/>
    <xf numFmtId="1" fontId="0" fillId="19" borderId="0" xfId="0" applyNumberFormat="1" applyFill="1"/>
    <xf numFmtId="0" fontId="1" fillId="12" borderId="8" xfId="0" applyFont="1" applyFill="1" applyBorder="1"/>
    <xf numFmtId="164" fontId="0" fillId="19" borderId="8" xfId="6" applyFont="1" applyFill="1" applyBorder="1"/>
    <xf numFmtId="164" fontId="0" fillId="19" borderId="68" xfId="6" applyFont="1" applyFill="1" applyBorder="1"/>
    <xf numFmtId="164" fontId="0" fillId="19" borderId="9" xfId="6" applyFont="1" applyFill="1" applyBorder="1"/>
    <xf numFmtId="164" fontId="0" fillId="19" borderId="9" xfId="6" applyFont="1" applyFill="1" applyBorder="1" applyAlignment="1">
      <alignment horizontal="center"/>
    </xf>
    <xf numFmtId="164" fontId="0" fillId="19" borderId="2" xfId="6" applyFont="1" applyFill="1" applyBorder="1"/>
    <xf numFmtId="164" fontId="0" fillId="19" borderId="2" xfId="6" applyFont="1" applyFill="1" applyBorder="1" applyAlignment="1">
      <alignment horizontal="center"/>
    </xf>
    <xf numFmtId="0" fontId="1" fillId="0" borderId="0" xfId="0" applyFont="1" applyAlignment="1">
      <alignment horizontal="right" textRotation="90"/>
    </xf>
    <xf numFmtId="164" fontId="0" fillId="0" borderId="0" xfId="6" applyFont="1"/>
    <xf numFmtId="9" fontId="0" fillId="0" borderId="0" xfId="4" applyFont="1"/>
    <xf numFmtId="164" fontId="0" fillId="0" borderId="0" xfId="0" applyNumberFormat="1"/>
    <xf numFmtId="164" fontId="0" fillId="0" borderId="2" xfId="6" applyFont="1" applyBorder="1"/>
    <xf numFmtId="9" fontId="0" fillId="0" borderId="2" xfId="4" applyFont="1" applyBorder="1"/>
    <xf numFmtId="164" fontId="0" fillId="0" borderId="2" xfId="0" applyNumberFormat="1" applyBorder="1"/>
    <xf numFmtId="0" fontId="1" fillId="13" borderId="0" xfId="0" applyFont="1" applyFill="1"/>
    <xf numFmtId="0" fontId="0" fillId="13" borderId="0" xfId="0" applyFill="1"/>
    <xf numFmtId="0" fontId="1" fillId="25" borderId="0" xfId="0" applyFont="1" applyFill="1"/>
    <xf numFmtId="0" fontId="0" fillId="25" borderId="0" xfId="0" applyFill="1"/>
    <xf numFmtId="0" fontId="0" fillId="0" borderId="3" xfId="0" applyBorder="1" applyProtection="1">
      <protection locked="0"/>
    </xf>
    <xf numFmtId="2" fontId="0" fillId="0" borderId="3" xfId="0" applyNumberFormat="1" applyBorder="1" applyProtection="1">
      <protection locked="0"/>
    </xf>
    <xf numFmtId="0" fontId="22" fillId="13" borderId="16" xfId="0" applyFont="1" applyFill="1" applyBorder="1" applyProtection="1">
      <protection locked="0"/>
    </xf>
    <xf numFmtId="0" fontId="0" fillId="13" borderId="16" xfId="0" applyFill="1" applyBorder="1" applyProtection="1">
      <protection locked="0"/>
    </xf>
    <xf numFmtId="0" fontId="0" fillId="0" borderId="16" xfId="0" applyBorder="1" applyProtection="1">
      <protection locked="0"/>
    </xf>
    <xf numFmtId="164" fontId="0" fillId="12" borderId="16" xfId="6" applyFont="1" applyFill="1" applyBorder="1"/>
    <xf numFmtId="167" fontId="2" fillId="9" borderId="16" xfId="0" applyNumberFormat="1" applyFont="1" applyFill="1" applyBorder="1" applyAlignment="1">
      <alignment horizontal="right"/>
    </xf>
    <xf numFmtId="0" fontId="6" fillId="25" borderId="16" xfId="0" applyFont="1" applyFill="1" applyBorder="1" applyAlignment="1">
      <alignment horizontal="center" textRotation="90"/>
    </xf>
    <xf numFmtId="167" fontId="0" fillId="25" borderId="16" xfId="0" applyNumberFormat="1" applyFill="1" applyBorder="1"/>
    <xf numFmtId="167" fontId="2" fillId="25" borderId="16" xfId="0" applyNumberFormat="1" applyFont="1" applyFill="1" applyBorder="1" applyAlignment="1">
      <alignment horizontal="right"/>
    </xf>
    <xf numFmtId="167" fontId="4" fillId="25" borderId="16" xfId="1" applyFont="1" applyFill="1" applyBorder="1"/>
    <xf numFmtId="168" fontId="0" fillId="24" borderId="16" xfId="0" applyNumberFormat="1" applyFill="1" applyBorder="1"/>
    <xf numFmtId="167" fontId="2" fillId="24" borderId="16" xfId="0" applyNumberFormat="1" applyFont="1" applyFill="1" applyBorder="1" applyAlignment="1">
      <alignment horizontal="right"/>
    </xf>
    <xf numFmtId="167" fontId="4" fillId="24" borderId="16" xfId="1" applyFont="1" applyFill="1" applyBorder="1"/>
    <xf numFmtId="164" fontId="0" fillId="23" borderId="16" xfId="6" applyFont="1" applyFill="1" applyBorder="1"/>
    <xf numFmtId="167" fontId="2" fillId="23" borderId="16" xfId="0" applyNumberFormat="1" applyFont="1" applyFill="1" applyBorder="1" applyAlignment="1">
      <alignment horizontal="right"/>
    </xf>
    <xf numFmtId="167" fontId="4" fillId="23" borderId="16" xfId="1" applyFont="1" applyFill="1" applyBorder="1"/>
    <xf numFmtId="164" fontId="0" fillId="9" borderId="16" xfId="6" applyFont="1" applyFill="1" applyBorder="1"/>
    <xf numFmtId="167" fontId="4" fillId="9" borderId="16" xfId="1" applyFont="1" applyFill="1" applyBorder="1"/>
    <xf numFmtId="167" fontId="2" fillId="12" borderId="16" xfId="0" applyNumberFormat="1" applyFont="1" applyFill="1" applyBorder="1" applyAlignment="1">
      <alignment horizontal="right"/>
    </xf>
    <xf numFmtId="167" fontId="4" fillId="12" borderId="16" xfId="1" applyFont="1" applyFill="1" applyBorder="1"/>
    <xf numFmtId="0" fontId="10" fillId="25" borderId="16" xfId="0" applyFont="1" applyFill="1" applyBorder="1" applyAlignment="1">
      <alignment horizontal="center" textRotation="90"/>
    </xf>
    <xf numFmtId="0" fontId="10" fillId="24" borderId="16" xfId="0" applyFont="1" applyFill="1" applyBorder="1" applyAlignment="1">
      <alignment horizontal="center" textRotation="90"/>
    </xf>
    <xf numFmtId="0" fontId="10" fillId="9" borderId="16" xfId="0" applyFont="1" applyFill="1" applyBorder="1" applyAlignment="1">
      <alignment horizontal="center" textRotation="90"/>
    </xf>
    <xf numFmtId="0" fontId="10" fillId="23" borderId="16" xfId="0" applyFont="1" applyFill="1" applyBorder="1" applyAlignment="1">
      <alignment horizontal="center" textRotation="90"/>
    </xf>
    <xf numFmtId="0" fontId="10" fillId="12" borderId="16" xfId="0" applyFont="1" applyFill="1" applyBorder="1" applyAlignment="1">
      <alignment horizontal="center" textRotation="90"/>
    </xf>
    <xf numFmtId="0" fontId="22" fillId="0" borderId="16" xfId="0" applyFont="1" applyBorder="1" applyAlignment="1">
      <alignment horizontal="center"/>
    </xf>
    <xf numFmtId="171" fontId="8" fillId="0" borderId="0" xfId="0" applyNumberFormat="1" applyFont="1" applyAlignment="1">
      <alignment horizontal="center"/>
    </xf>
    <xf numFmtId="1" fontId="22" fillId="2" borderId="16" xfId="0" applyNumberFormat="1" applyFont="1" applyFill="1" applyBorder="1" applyAlignment="1">
      <alignment horizontal="center"/>
    </xf>
    <xf numFmtId="0" fontId="43" fillId="0" borderId="69" xfId="12" applyFont="1" applyBorder="1" applyAlignment="1">
      <alignment wrapText="1"/>
    </xf>
    <xf numFmtId="2" fontId="43" fillId="0" borderId="70" xfId="12" applyNumberFormat="1" applyFont="1" applyBorder="1" applyAlignment="1">
      <alignment horizontal="right" wrapText="1"/>
    </xf>
    <xf numFmtId="2" fontId="43" fillId="0" borderId="0" xfId="12" applyNumberFormat="1" applyFont="1" applyAlignment="1">
      <alignment horizontal="right" wrapText="1"/>
    </xf>
    <xf numFmtId="0" fontId="11" fillId="0" borderId="16" xfId="0" applyFont="1" applyBorder="1" applyAlignment="1">
      <alignment horizontal="right"/>
    </xf>
    <xf numFmtId="0" fontId="2" fillId="0" borderId="16" xfId="0" applyFont="1" applyBorder="1"/>
    <xf numFmtId="0" fontId="18" fillId="0" borderId="16" xfId="0" applyFont="1" applyBorder="1" applyAlignment="1">
      <alignment horizontal="right"/>
    </xf>
    <xf numFmtId="0" fontId="6" fillId="0" borderId="16" xfId="0" applyFont="1" applyBorder="1"/>
    <xf numFmtId="0" fontId="18" fillId="0" borderId="16" xfId="0" applyFont="1" applyBorder="1" applyAlignment="1">
      <alignment shrinkToFit="1"/>
    </xf>
    <xf numFmtId="0" fontId="18" fillId="16" borderId="51" xfId="0" applyFont="1" applyFill="1" applyBorder="1" applyProtection="1">
      <protection locked="0"/>
    </xf>
    <xf numFmtId="0" fontId="18" fillId="17" borderId="53" xfId="0" applyFont="1" applyFill="1" applyBorder="1" applyProtection="1">
      <protection locked="0"/>
    </xf>
    <xf numFmtId="0" fontId="18" fillId="0" borderId="50" xfId="0" applyFont="1" applyBorder="1" applyProtection="1">
      <protection locked="0"/>
    </xf>
    <xf numFmtId="0" fontId="18" fillId="0" borderId="51" xfId="0" applyFont="1" applyBorder="1" applyProtection="1">
      <protection locked="0"/>
    </xf>
    <xf numFmtId="0" fontId="18" fillId="0" borderId="19" xfId="0" applyFont="1" applyBorder="1" applyProtection="1">
      <protection locked="0"/>
    </xf>
    <xf numFmtId="0" fontId="18" fillId="0" borderId="52" xfId="0" applyFont="1" applyBorder="1" applyProtection="1">
      <protection locked="0"/>
    </xf>
    <xf numFmtId="0" fontId="18" fillId="0" borderId="61" xfId="0" applyFont="1" applyBorder="1" applyProtection="1">
      <protection locked="0"/>
    </xf>
    <xf numFmtId="0" fontId="18" fillId="16" borderId="50" xfId="0" applyFont="1" applyFill="1" applyBorder="1" applyProtection="1">
      <protection locked="0"/>
    </xf>
    <xf numFmtId="0" fontId="18" fillId="0" borderId="26" xfId="0" applyFont="1" applyBorder="1" applyProtection="1">
      <protection locked="0"/>
    </xf>
    <xf numFmtId="0" fontId="18" fillId="0" borderId="37" xfId="0" applyFont="1" applyBorder="1" applyProtection="1">
      <protection locked="0"/>
    </xf>
    <xf numFmtId="0" fontId="18" fillId="0" borderId="50" xfId="0" applyFont="1" applyBorder="1" applyAlignment="1" applyProtection="1">
      <alignment horizontal="left"/>
      <protection locked="0"/>
    </xf>
    <xf numFmtId="0" fontId="18" fillId="0" borderId="52" xfId="0" applyFont="1" applyBorder="1" applyAlignment="1" applyProtection="1">
      <alignment horizontal="left"/>
      <protection locked="0"/>
    </xf>
    <xf numFmtId="0" fontId="18" fillId="0" borderId="26" xfId="0" applyFont="1" applyBorder="1" applyAlignment="1" applyProtection="1">
      <alignment horizontal="left"/>
      <protection locked="0"/>
    </xf>
    <xf numFmtId="0" fontId="18" fillId="0" borderId="53" xfId="0" applyFont="1" applyBorder="1" applyAlignment="1" applyProtection="1">
      <alignment horizontal="left"/>
      <protection locked="0"/>
    </xf>
    <xf numFmtId="0" fontId="18" fillId="0" borderId="51" xfId="0" applyFont="1" applyBorder="1" applyAlignment="1" applyProtection="1">
      <alignment horizontal="left"/>
      <protection locked="0"/>
    </xf>
    <xf numFmtId="0" fontId="18" fillId="0" borderId="37" xfId="0" applyFont="1" applyBorder="1" applyAlignment="1" applyProtection="1">
      <alignment horizontal="left"/>
      <protection locked="0"/>
    </xf>
    <xf numFmtId="0" fontId="18" fillId="0" borderId="53" xfId="0" applyFont="1" applyBorder="1" applyProtection="1">
      <protection locked="0"/>
    </xf>
    <xf numFmtId="0" fontId="18" fillId="0" borderId="35" xfId="0" applyFont="1" applyBorder="1" applyAlignment="1" applyProtection="1">
      <alignment horizontal="left"/>
      <protection locked="0"/>
    </xf>
    <xf numFmtId="0" fontId="18" fillId="0" borderId="35" xfId="0" applyFont="1" applyBorder="1" applyProtection="1">
      <protection locked="0"/>
    </xf>
    <xf numFmtId="0" fontId="18" fillId="4" borderId="52" xfId="0" applyFont="1" applyFill="1" applyBorder="1" applyAlignment="1" applyProtection="1">
      <alignment horizontal="left"/>
      <protection locked="0"/>
    </xf>
    <xf numFmtId="0" fontId="1" fillId="4" borderId="51" xfId="0" applyFont="1" applyFill="1" applyBorder="1" applyProtection="1">
      <protection locked="0"/>
    </xf>
    <xf numFmtId="164" fontId="1" fillId="17" borderId="53" xfId="6" applyFont="1" applyFill="1" applyBorder="1" applyProtection="1">
      <protection locked="0"/>
    </xf>
    <xf numFmtId="0" fontId="1" fillId="17" borderId="53" xfId="0" applyFont="1" applyFill="1" applyBorder="1" applyProtection="1">
      <protection locked="0"/>
    </xf>
    <xf numFmtId="0" fontId="1" fillId="17" borderId="53" xfId="0" applyFont="1" applyFill="1" applyBorder="1" applyAlignment="1" applyProtection="1">
      <alignment horizontal="center"/>
      <protection locked="0"/>
    </xf>
    <xf numFmtId="164" fontId="1" fillId="16" borderId="51" xfId="6" applyFont="1" applyFill="1" applyBorder="1" applyProtection="1">
      <protection locked="0"/>
    </xf>
    <xf numFmtId="0" fontId="1" fillId="16" borderId="51" xfId="0" applyFont="1" applyFill="1" applyBorder="1" applyProtection="1">
      <protection locked="0"/>
    </xf>
    <xf numFmtId="0" fontId="1" fillId="16" borderId="51" xfId="0" applyFont="1" applyFill="1" applyBorder="1" applyAlignment="1" applyProtection="1">
      <alignment horizontal="center"/>
      <protection locked="0"/>
    </xf>
    <xf numFmtId="0" fontId="11" fillId="4" borderId="51" xfId="0" applyFont="1" applyFill="1" applyBorder="1" applyAlignment="1">
      <alignment horizontal="right"/>
    </xf>
    <xf numFmtId="0" fontId="12" fillId="4" borderId="30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1" fillId="0" borderId="51" xfId="0" applyFont="1" applyBorder="1" applyAlignment="1">
      <alignment horizontal="right"/>
    </xf>
    <xf numFmtId="1" fontId="0" fillId="0" borderId="0" xfId="0" applyNumberFormat="1"/>
    <xf numFmtId="41" fontId="0" fillId="0" borderId="0" xfId="3" applyFont="1" applyProtection="1"/>
    <xf numFmtId="0" fontId="2" fillId="0" borderId="21" xfId="0" applyFont="1" applyBorder="1" applyAlignment="1" applyProtection="1">
      <alignment horizontal="center"/>
      <protection locked="0"/>
    </xf>
    <xf numFmtId="2" fontId="2" fillId="0" borderId="0" xfId="0" applyNumberFormat="1" applyFont="1" applyAlignment="1">
      <alignment horizontal="center"/>
    </xf>
    <xf numFmtId="0" fontId="18" fillId="26" borderId="51" xfId="0" applyFont="1" applyFill="1" applyBorder="1"/>
    <xf numFmtId="0" fontId="18" fillId="26" borderId="21" xfId="0" applyFont="1" applyFill="1" applyBorder="1" applyProtection="1">
      <protection locked="0"/>
    </xf>
    <xf numFmtId="0" fontId="6" fillId="26" borderId="0" xfId="0" applyFont="1" applyFill="1"/>
    <xf numFmtId="0" fontId="1" fillId="26" borderId="0" xfId="0" applyFont="1" applyFill="1" applyAlignment="1">
      <alignment horizontal="left"/>
    </xf>
    <xf numFmtId="0" fontId="2" fillId="2" borderId="0" xfId="0" applyFont="1" applyFill="1" applyAlignment="1">
      <alignment horizontal="center"/>
    </xf>
    <xf numFmtId="0" fontId="2" fillId="10" borderId="12" xfId="0" applyFont="1" applyFill="1" applyBorder="1" applyAlignment="1" applyProtection="1">
      <alignment horizontal="center"/>
      <protection locked="0"/>
    </xf>
    <xf numFmtId="0" fontId="1" fillId="26" borderId="16" xfId="0" applyFont="1" applyFill="1" applyBorder="1" applyAlignment="1" applyProtection="1">
      <alignment horizontal="center"/>
      <protection locked="0"/>
    </xf>
    <xf numFmtId="0" fontId="18" fillId="27" borderId="51" xfId="0" applyFont="1" applyFill="1" applyBorder="1" applyAlignment="1" applyProtection="1">
      <alignment horizontal="center"/>
      <protection locked="0"/>
    </xf>
    <xf numFmtId="0" fontId="2" fillId="27" borderId="21" xfId="0" applyFont="1" applyFill="1" applyBorder="1" applyAlignment="1" applyProtection="1">
      <alignment horizontal="center"/>
      <protection locked="0"/>
    </xf>
    <xf numFmtId="0" fontId="18" fillId="27" borderId="51" xfId="0" applyFont="1" applyFill="1" applyBorder="1"/>
    <xf numFmtId="0" fontId="18" fillId="27" borderId="21" xfId="0" applyFont="1" applyFill="1" applyBorder="1" applyProtection="1">
      <protection locked="0"/>
    </xf>
    <xf numFmtId="0" fontId="6" fillId="27" borderId="0" xfId="0" applyFont="1" applyFill="1"/>
    <xf numFmtId="0" fontId="1" fillId="27" borderId="0" xfId="0" applyFont="1" applyFill="1" applyAlignment="1">
      <alignment horizontal="left"/>
    </xf>
    <xf numFmtId="0" fontId="1" fillId="27" borderId="16" xfId="0" applyFont="1" applyFill="1" applyBorder="1" applyAlignment="1" applyProtection="1">
      <alignment horizontal="center"/>
      <protection locked="0"/>
    </xf>
    <xf numFmtId="0" fontId="18" fillId="9" borderId="51" xfId="0" applyFont="1" applyFill="1" applyBorder="1"/>
    <xf numFmtId="0" fontId="1" fillId="9" borderId="16" xfId="0" applyFont="1" applyFill="1" applyBorder="1" applyAlignment="1" applyProtection="1">
      <alignment horizontal="center"/>
      <protection locked="0"/>
    </xf>
    <xf numFmtId="0" fontId="2" fillId="9" borderId="21" xfId="0" applyFont="1" applyFill="1" applyBorder="1" applyAlignment="1" applyProtection="1">
      <alignment horizontal="center"/>
      <protection locked="0"/>
    </xf>
    <xf numFmtId="0" fontId="1" fillId="0" borderId="71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1" fillId="0" borderId="73" xfId="0" applyFont="1" applyBorder="1" applyAlignment="1">
      <alignment horizontal="right"/>
    </xf>
    <xf numFmtId="0" fontId="1" fillId="0" borderId="74" xfId="0" applyFont="1" applyBorder="1" applyAlignment="1">
      <alignment horizontal="left"/>
    </xf>
    <xf numFmtId="0" fontId="1" fillId="0" borderId="75" xfId="0" applyFont="1" applyBorder="1" applyAlignment="1">
      <alignment horizontal="right"/>
    </xf>
    <xf numFmtId="0" fontId="0" fillId="0" borderId="54" xfId="0" applyBorder="1"/>
    <xf numFmtId="0" fontId="1" fillId="0" borderId="55" xfId="0" applyFont="1" applyBorder="1" applyAlignment="1">
      <alignment horizontal="left"/>
    </xf>
    <xf numFmtId="0" fontId="44" fillId="0" borderId="72" xfId="0" applyFont="1" applyBorder="1" applyAlignment="1">
      <alignment horizontal="left"/>
    </xf>
    <xf numFmtId="9" fontId="5" fillId="0" borderId="0" xfId="0" applyNumberFormat="1" applyFont="1" applyAlignment="1">
      <alignment horizontal="center"/>
    </xf>
    <xf numFmtId="9" fontId="0" fillId="0" borderId="0" xfId="4" applyFont="1" applyAlignment="1">
      <alignment horizontal="left"/>
    </xf>
    <xf numFmtId="0" fontId="1" fillId="8" borderId="16" xfId="0" applyFont="1" applyFill="1" applyBorder="1" applyAlignment="1" applyProtection="1">
      <alignment horizontal="center"/>
      <protection locked="0"/>
    </xf>
    <xf numFmtId="4" fontId="2" fillId="0" borderId="16" xfId="0" applyNumberFormat="1" applyFont="1" applyBorder="1"/>
    <xf numFmtId="0" fontId="6" fillId="8" borderId="0" xfId="0" applyFont="1" applyFill="1"/>
    <xf numFmtId="0" fontId="18" fillId="0" borderId="19" xfId="0" applyFont="1" applyBorder="1"/>
    <xf numFmtId="1" fontId="6" fillId="8" borderId="16" xfId="0" applyNumberFormat="1" applyFont="1" applyFill="1" applyBorder="1"/>
    <xf numFmtId="43" fontId="5" fillId="0" borderId="0" xfId="11" applyFont="1" applyFill="1" applyBorder="1" applyProtection="1"/>
    <xf numFmtId="0" fontId="45" fillId="8" borderId="0" xfId="0" applyFont="1" applyFill="1"/>
    <xf numFmtId="0" fontId="10" fillId="0" borderId="0" xfId="0" applyFont="1" applyAlignment="1">
      <alignment horizontal="center" wrapText="1"/>
    </xf>
    <xf numFmtId="0" fontId="18" fillId="0" borderId="12" xfId="0" applyFont="1" applyBorder="1" applyAlignment="1">
      <alignment shrinkToFit="1"/>
    </xf>
    <xf numFmtId="0" fontId="18" fillId="8" borderId="3" xfId="0" applyFont="1" applyFill="1" applyBorder="1" applyAlignment="1">
      <alignment shrinkToFit="1"/>
    </xf>
    <xf numFmtId="0" fontId="18" fillId="0" borderId="14" xfId="0" applyFont="1" applyBorder="1" applyAlignment="1">
      <alignment shrinkToFit="1"/>
    </xf>
    <xf numFmtId="0" fontId="6" fillId="29" borderId="0" xfId="0" applyFont="1" applyFill="1"/>
    <xf numFmtId="43" fontId="10" fillId="8" borderId="3" xfId="0" applyNumberFormat="1" applyFont="1" applyFill="1" applyBorder="1" applyAlignment="1">
      <alignment vertical="center"/>
    </xf>
    <xf numFmtId="0" fontId="18" fillId="0" borderId="19" xfId="0" applyFont="1" applyBorder="1" applyAlignment="1">
      <alignment vertical="center"/>
    </xf>
    <xf numFmtId="170" fontId="1" fillId="16" borderId="0" xfId="11" applyNumberFormat="1" applyFont="1" applyFill="1" applyBorder="1" applyAlignment="1" applyProtection="1">
      <alignment horizontal="center" vertical="center"/>
    </xf>
    <xf numFmtId="3" fontId="2" fillId="11" borderId="16" xfId="0" applyNumberFormat="1" applyFont="1" applyFill="1" applyBorder="1" applyAlignment="1">
      <alignment horizontal="center"/>
    </xf>
    <xf numFmtId="3" fontId="2" fillId="28" borderId="16" xfId="0" applyNumberFormat="1" applyFont="1" applyFill="1" applyBorder="1" applyAlignment="1">
      <alignment horizontal="center"/>
    </xf>
    <xf numFmtId="3" fontId="0" fillId="28" borderId="16" xfId="0" applyNumberFormat="1" applyFill="1" applyBorder="1"/>
    <xf numFmtId="0" fontId="7" fillId="30" borderId="0" xfId="0" applyFont="1" applyFill="1"/>
    <xf numFmtId="0" fontId="5" fillId="0" borderId="59" xfId="0" applyFont="1" applyBorder="1" applyAlignment="1">
      <alignment horizontal="right"/>
    </xf>
    <xf numFmtId="169" fontId="5" fillId="12" borderId="0" xfId="11" applyNumberFormat="1" applyFont="1" applyFill="1" applyBorder="1" applyProtection="1"/>
    <xf numFmtId="4" fontId="2" fillId="8" borderId="0" xfId="0" applyNumberFormat="1" applyFont="1" applyFill="1"/>
    <xf numFmtId="4" fontId="2" fillId="8" borderId="16" xfId="0" applyNumberFormat="1" applyFont="1" applyFill="1" applyBorder="1"/>
    <xf numFmtId="169" fontId="5" fillId="16" borderId="0" xfId="11" applyNumberFormat="1" applyFont="1" applyFill="1" applyBorder="1" applyProtection="1"/>
    <xf numFmtId="170" fontId="1" fillId="17" borderId="0" xfId="11" applyNumberFormat="1" applyFont="1" applyFill="1" applyBorder="1" applyAlignment="1" applyProtection="1">
      <alignment horizontal="center" vertical="center"/>
    </xf>
    <xf numFmtId="170" fontId="1" fillId="17" borderId="0" xfId="11" applyNumberFormat="1" applyFont="1" applyFill="1" applyBorder="1" applyAlignment="1" applyProtection="1">
      <alignment horizontal="center" vertical="center"/>
      <protection locked="0"/>
    </xf>
    <xf numFmtId="170" fontId="1" fillId="16" borderId="0" xfId="11" applyNumberFormat="1" applyFont="1" applyFill="1" applyBorder="1" applyAlignment="1" applyProtection="1">
      <alignment horizontal="center" vertical="center"/>
      <protection locked="0"/>
    </xf>
    <xf numFmtId="4" fontId="2" fillId="11" borderId="16" xfId="0" applyNumberFormat="1" applyFont="1" applyFill="1" applyBorder="1" applyAlignment="1">
      <alignment horizontal="center"/>
    </xf>
    <xf numFmtId="171" fontId="4" fillId="0" borderId="0" xfId="0" applyNumberFormat="1" applyFont="1" applyAlignment="1">
      <alignment vertical="distributed" textRotation="255" justifyLastLine="1"/>
    </xf>
    <xf numFmtId="2" fontId="2" fillId="0" borderId="0" xfId="0" applyNumberFormat="1" applyFont="1" applyAlignment="1" applyProtection="1">
      <alignment horizontal="center"/>
      <protection locked="0"/>
    </xf>
    <xf numFmtId="0" fontId="26" fillId="0" borderId="21" xfId="0" applyFont="1" applyBorder="1" applyAlignment="1">
      <alignment shrinkToFit="1"/>
    </xf>
    <xf numFmtId="0" fontId="26" fillId="0" borderId="0" xfId="0" applyFont="1" applyAlignment="1">
      <alignment shrinkToFit="1"/>
    </xf>
    <xf numFmtId="4" fontId="2" fillId="7" borderId="37" xfId="0" applyNumberFormat="1" applyFont="1" applyFill="1" applyBorder="1" applyAlignment="1" applyProtection="1">
      <alignment horizontal="center"/>
      <protection locked="0"/>
    </xf>
    <xf numFmtId="4" fontId="2" fillId="7" borderId="39" xfId="0" applyNumberFormat="1" applyFont="1" applyFill="1" applyBorder="1" applyAlignment="1" applyProtection="1">
      <alignment horizontal="center"/>
      <protection locked="0"/>
    </xf>
    <xf numFmtId="4" fontId="2" fillId="7" borderId="38" xfId="0" applyNumberFormat="1" applyFont="1" applyFill="1" applyBorder="1" applyAlignment="1" applyProtection="1">
      <alignment horizontal="center"/>
      <protection locked="0"/>
    </xf>
    <xf numFmtId="4" fontId="2" fillId="3" borderId="19" xfId="0" applyNumberFormat="1" applyFont="1" applyFill="1" applyBorder="1" applyAlignment="1">
      <alignment horizontal="center"/>
    </xf>
    <xf numFmtId="4" fontId="2" fillId="3" borderId="6" xfId="0" applyNumberFormat="1" applyFont="1" applyFill="1" applyBorder="1" applyAlignment="1">
      <alignment horizontal="center"/>
    </xf>
    <xf numFmtId="4" fontId="2" fillId="3" borderId="18" xfId="0" applyNumberFormat="1" applyFont="1" applyFill="1" applyBorder="1" applyAlignment="1">
      <alignment horizontal="center"/>
    </xf>
    <xf numFmtId="4" fontId="2" fillId="3" borderId="37" xfId="0" applyNumberFormat="1" applyFont="1" applyFill="1" applyBorder="1" applyAlignment="1">
      <alignment horizontal="center"/>
    </xf>
    <xf numFmtId="4" fontId="2" fillId="3" borderId="39" xfId="0" applyNumberFormat="1" applyFont="1" applyFill="1" applyBorder="1" applyAlignment="1">
      <alignment horizontal="center"/>
    </xf>
    <xf numFmtId="4" fontId="2" fillId="3" borderId="38" xfId="0" applyNumberFormat="1" applyFont="1" applyFill="1" applyBorder="1" applyAlignment="1">
      <alignment horizontal="center"/>
    </xf>
    <xf numFmtId="4" fontId="2" fillId="7" borderId="1" xfId="0" applyNumberFormat="1" applyFont="1" applyFill="1" applyBorder="1" applyAlignment="1" applyProtection="1">
      <alignment horizontal="center"/>
      <protection locked="0"/>
    </xf>
    <xf numFmtId="4" fontId="2" fillId="7" borderId="2" xfId="0" applyNumberFormat="1" applyFont="1" applyFill="1" applyBorder="1" applyAlignment="1" applyProtection="1">
      <alignment horizontal="center"/>
      <protection locked="0"/>
    </xf>
    <xf numFmtId="4" fontId="2" fillId="7" borderId="33" xfId="0" applyNumberFormat="1" applyFont="1" applyFill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13">
    <cellStyle name="Euro" xfId="1" xr:uid="{00000000-0005-0000-0000-000000000000}"/>
    <cellStyle name="Euro 2" xfId="7" xr:uid="{00000000-0005-0000-0000-000001000000}"/>
    <cellStyle name="Migliaia" xfId="11" builtinId="3"/>
    <cellStyle name="Migliaia (0)_quelcc1" xfId="2" xr:uid="{00000000-0005-0000-0000-000003000000}"/>
    <cellStyle name="Migliaia [0]" xfId="3" builtinId="6"/>
    <cellStyle name="Normale" xfId="0" builtinId="0"/>
    <cellStyle name="Normale 2" xfId="10" xr:uid="{00000000-0005-0000-0000-000006000000}"/>
    <cellStyle name="Normale_Foglio1" xfId="12" xr:uid="{00000000-0005-0000-0000-000007000000}"/>
    <cellStyle name="Percentuale" xfId="4" builtinId="5"/>
    <cellStyle name="Percentuale 2" xfId="8" xr:uid="{00000000-0005-0000-0000-000009000000}"/>
    <cellStyle name="Valuta" xfId="6" builtinId="4"/>
    <cellStyle name="Valuta (0)_quelcc1" xfId="5" xr:uid="{00000000-0005-0000-0000-00000B000000}"/>
    <cellStyle name="Valuta [0] 2" xfId="9" xr:uid="{00000000-0005-0000-0000-00000C000000}"/>
  </cellStyles>
  <dxfs count="66">
    <dxf>
      <fill>
        <patternFill>
          <bgColor indexed="42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  <border>
        <left style="thin">
          <color indexed="9"/>
        </left>
        <right style="thin">
          <color indexed="64"/>
        </right>
        <top style="thin">
          <color indexed="64"/>
        </top>
        <bottom style="thin">
          <color indexed="9"/>
        </bottom>
      </border>
    </dxf>
    <dxf>
      <fill>
        <patternFill>
          <bgColor rgb="FF92D050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3743705557422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14993743705557422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ill>
        <patternFill>
          <bgColor theme="8" tint="0.39994506668294322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14993743705557422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3743705557422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 val="0"/>
        <i/>
        <color theme="0" tint="-0.14993743705557422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color theme="0" tint="-0.14996795556505021"/>
      </font>
      <fill>
        <patternFill>
          <bgColor theme="0" tint="-0.34998626667073579"/>
        </patternFill>
      </fill>
    </dxf>
    <dxf>
      <fill>
        <patternFill>
          <bgColor theme="8" tint="0.39994506668294322"/>
        </patternFill>
      </fill>
    </dxf>
    <dxf>
      <font>
        <b val="0"/>
        <i/>
        <color theme="0" tint="-0.14996795556505021"/>
      </font>
      <fill>
        <patternFill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12136297680855"/>
          <c:y val="0.11886334903744003"/>
          <c:w val="0.67789802022223911"/>
          <c:h val="0.7571078536515422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it-IT"/>
                </a:p>
              </c:txPr>
            </c:trendlineLbl>
          </c:trendline>
          <c:xVal>
            <c:numRef>
              <c:f>SimulazioneManodopera!$A$5:$A$9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SimulazioneManodopera!$B$5:$B$9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1.5</c:v>
                </c:pt>
                <c:pt idx="3">
                  <c:v>1.7</c:v>
                </c:pt>
                <c:pt idx="4">
                  <c:v>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70-4956-9611-2E70CC8F3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72480"/>
        <c:axId val="257974272"/>
      </c:scatterChart>
      <c:valAx>
        <c:axId val="25797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57974272"/>
        <c:crosses val="autoZero"/>
        <c:crossBetween val="midCat"/>
      </c:valAx>
      <c:valAx>
        <c:axId val="257974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2579724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072390697201578"/>
          <c:y val="0.56487218634279501"/>
          <c:w val="0.2028050402602169"/>
          <c:h val="0.13772502069842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000000000001121" r="0.75000000000001121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5.8099518810149013E-2"/>
          <c:y val="7.4548702245552642E-2"/>
          <c:w val="0.69875459317585364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SimulazioneManodopera!$D$36</c:f>
              <c:strCache>
                <c:ptCount val="1"/>
                <c:pt idx="0">
                  <c:v>ore comandi manuali plc</c:v>
                </c:pt>
              </c:strCache>
            </c:strRef>
          </c:tx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SimulazioneManodopera!$C$37:$C$39</c:f>
              <c:numCache>
                <c:formatCode>General</c:formatCode>
                <c:ptCount val="3"/>
                <c:pt idx="0">
                  <c:v>120</c:v>
                </c:pt>
                <c:pt idx="1">
                  <c:v>600</c:v>
                </c:pt>
                <c:pt idx="2">
                  <c:v>1484</c:v>
                </c:pt>
              </c:numCache>
            </c:numRef>
          </c:xVal>
          <c:yVal>
            <c:numRef>
              <c:f>SimulazioneManodopera!$D$37:$D$39</c:f>
              <c:numCache>
                <c:formatCode>General</c:formatCode>
                <c:ptCount val="3"/>
                <c:pt idx="0">
                  <c:v>16</c:v>
                </c:pt>
                <c:pt idx="1">
                  <c:v>40</c:v>
                </c:pt>
                <c:pt idx="2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9B-4BCD-A07E-BFB64B313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90016"/>
        <c:axId val="258000000"/>
      </c:scatterChart>
      <c:valAx>
        <c:axId val="25799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8000000"/>
        <c:crosses val="autoZero"/>
        <c:crossBetween val="midCat"/>
      </c:valAx>
      <c:valAx>
        <c:axId val="25800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990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8055555555555456E-2"/>
          <c:y val="2.18150087260044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2182852143482079E-2"/>
          <c:y val="2.8252405949256338E-2"/>
          <c:w val="0.69875459317585364"/>
          <c:h val="0.83261956838728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SimulazioneManodopera!$G$54</c:f>
              <c:strCache>
                <c:ptCount val="1"/>
                <c:pt idx="0">
                  <c:v>ore dosaggio plc</c:v>
                </c:pt>
              </c:strCache>
            </c:strRef>
          </c:tx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SimulazioneManodopera!$F$55:$F$58</c:f>
              <c:numCache>
                <c:formatCode>General</c:formatCode>
                <c:ptCount val="4"/>
                <c:pt idx="1">
                  <c:v>2</c:v>
                </c:pt>
                <c:pt idx="2">
                  <c:v>14</c:v>
                </c:pt>
                <c:pt idx="3">
                  <c:v>24</c:v>
                </c:pt>
              </c:numCache>
            </c:numRef>
          </c:xVal>
          <c:yVal>
            <c:numRef>
              <c:f>SimulazioneManodopera!$G$55:$G$58</c:f>
              <c:numCache>
                <c:formatCode>General</c:formatCode>
                <c:ptCount val="4"/>
                <c:pt idx="1">
                  <c:v>28</c:v>
                </c:pt>
                <c:pt idx="2">
                  <c:v>50</c:v>
                </c:pt>
                <c:pt idx="3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50-4DD2-8B67-D7B107B84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65920"/>
        <c:axId val="258067456"/>
      </c:scatterChart>
      <c:valAx>
        <c:axId val="2580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8067456"/>
        <c:crosses val="autoZero"/>
        <c:crossBetween val="midCat"/>
      </c:valAx>
      <c:valAx>
        <c:axId val="25806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065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0884033245844746"/>
          <c:y val="0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SimulazioneManodopera!$E$74</c:f>
              <c:strCache>
                <c:ptCount val="1"/>
                <c:pt idx="0">
                  <c:v>ore complessità</c:v>
                </c:pt>
              </c:strCache>
            </c:strRef>
          </c:tx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SimulazioneManodopera!$D$76:$D$78</c:f>
              <c:numCache>
                <c:formatCode>General</c:formatCode>
                <c:ptCount val="3"/>
                <c:pt idx="0">
                  <c:v>1</c:v>
                </c:pt>
                <c:pt idx="1">
                  <c:v>11</c:v>
                </c:pt>
                <c:pt idx="2">
                  <c:v>20</c:v>
                </c:pt>
              </c:numCache>
            </c:numRef>
          </c:xVal>
          <c:yVal>
            <c:numRef>
              <c:f>SimulazioneManodopera!$E$76:$E$78</c:f>
              <c:numCache>
                <c:formatCode>General</c:formatCode>
                <c:ptCount val="3"/>
                <c:pt idx="0">
                  <c:v>8</c:v>
                </c:pt>
                <c:pt idx="1">
                  <c:v>24</c:v>
                </c:pt>
                <c:pt idx="2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D1-4B71-97E5-30D1A5AB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156160"/>
        <c:axId val="254170240"/>
      </c:scatterChart>
      <c:valAx>
        <c:axId val="25415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4170240"/>
        <c:crosses val="autoZero"/>
        <c:crossBetween val="midCat"/>
      </c:valAx>
      <c:valAx>
        <c:axId val="25417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4156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SimulazioneManodopera!$E$99</c:f>
              <c:strCache>
                <c:ptCount val="1"/>
                <c:pt idx="0">
                  <c:v>ore progetto plc</c:v>
                </c:pt>
              </c:strCache>
            </c:strRef>
          </c:tx>
          <c:trendline>
            <c:trendlineType val="linear"/>
            <c:dispRSqr val="0"/>
            <c:dispEq val="1"/>
            <c:trendlineLbl>
              <c:layout>
                <c:manualLayout>
                  <c:x val="0.51173337707786526"/>
                  <c:y val="-5.1001020705745116E-2"/>
                </c:manualLayout>
              </c:layout>
              <c:numFmt formatCode="General" sourceLinked="0"/>
            </c:trendlineLbl>
          </c:trendline>
          <c:xVal>
            <c:numRef>
              <c:f>SimulazioneManodopera!$D$100:$D$102</c:f>
              <c:numCache>
                <c:formatCode>General</c:formatCode>
                <c:ptCount val="3"/>
                <c:pt idx="0">
                  <c:v>120</c:v>
                </c:pt>
                <c:pt idx="1">
                  <c:v>600</c:v>
                </c:pt>
                <c:pt idx="2">
                  <c:v>1484</c:v>
                </c:pt>
              </c:numCache>
            </c:numRef>
          </c:xVal>
          <c:yVal>
            <c:numRef>
              <c:f>SimulazioneManodopera!$E$100:$E$102</c:f>
              <c:numCache>
                <c:formatCode>General</c:formatCode>
                <c:ptCount val="3"/>
                <c:pt idx="0">
                  <c:v>38</c:v>
                </c:pt>
                <c:pt idx="1">
                  <c:v>129</c:v>
                </c:pt>
                <c:pt idx="2">
                  <c:v>230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C3-4A69-AE0A-A153C3552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41344"/>
        <c:axId val="258042880"/>
      </c:scatterChart>
      <c:valAx>
        <c:axId val="25804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8042880"/>
        <c:crosses val="autoZero"/>
        <c:crossBetween val="midCat"/>
      </c:valAx>
      <c:valAx>
        <c:axId val="25804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041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SimulazioneManodopera!$F$99</c:f>
              <c:strCache>
                <c:ptCount val="1"/>
                <c:pt idx="0">
                  <c:v>ore progetto wp300</c:v>
                </c:pt>
              </c:strCache>
            </c:strRef>
          </c:tx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SimulazioneManodopera!$D$100:$D$102</c:f>
              <c:numCache>
                <c:formatCode>General</c:formatCode>
                <c:ptCount val="3"/>
                <c:pt idx="0">
                  <c:v>120</c:v>
                </c:pt>
                <c:pt idx="1">
                  <c:v>600</c:v>
                </c:pt>
                <c:pt idx="2">
                  <c:v>1484</c:v>
                </c:pt>
              </c:numCache>
            </c:numRef>
          </c:xVal>
          <c:yVal>
            <c:numRef>
              <c:f>SimulazioneManodopera!$F$100:$F$102</c:f>
              <c:numCache>
                <c:formatCode>General</c:formatCode>
                <c:ptCount val="3"/>
                <c:pt idx="0">
                  <c:v>38</c:v>
                </c:pt>
                <c:pt idx="1">
                  <c:v>150</c:v>
                </c:pt>
                <c:pt idx="2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DB-4308-A463-B0C1DDF4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00608"/>
        <c:axId val="258114688"/>
      </c:scatterChart>
      <c:valAx>
        <c:axId val="25810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8114688"/>
        <c:crosses val="autoZero"/>
        <c:crossBetween val="midCat"/>
      </c:valAx>
      <c:valAx>
        <c:axId val="25811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100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22" fmlaLink="tipo_controllore1" fmlaRange="'Elenchi controllo_Parametri'!$B$3:$B$7" sel="3" val="0"/>
</file>

<file path=xl/ctrlProps/ctrlProp2.xml><?xml version="1.0" encoding="utf-8"?>
<formControlPr xmlns="http://schemas.microsoft.com/office/spreadsheetml/2009/9/main" objectType="Drop" dropStyle="combo" dx="22" fmlaLink="tipo_em1" fmlaRange="'Elenchi controllo_Parametri'!$B$20:$B$23" sel="1" val="0"/>
</file>

<file path=xl/ctrlProps/ctrlProp3.xml><?xml version="1.0" encoding="utf-8"?>
<formControlPr xmlns="http://schemas.microsoft.com/office/spreadsheetml/2009/9/main" objectType="Drop" dropStyle="combo" dx="22" fmlaLink="$O$22" fmlaRange="'Elenchi controllo_Parametri'!$B$10:$B$11" noThreeD="1" sel="1" val="0"/>
</file>

<file path=xl/ctrlProps/ctrlProp4.xml><?xml version="1.0" encoding="utf-8"?>
<formControlPr xmlns="http://schemas.microsoft.com/office/spreadsheetml/2009/9/main" objectType="Drop" dropStyle="combo" dx="22" fmlaLink="$Q$22" fmlaRange="'Elenchi controllo_Parametri'!$B$10:$B$11" noThreeD="1" sel="1" val="0"/>
</file>

<file path=xl/ctrlProps/ctrlProp5.xml><?xml version="1.0" encoding="utf-8"?>
<formControlPr xmlns="http://schemas.microsoft.com/office/spreadsheetml/2009/9/main" objectType="Drop" dropStyle="combo" dx="22" fmlaLink="$S$22" fmlaRange="'Elenchi controllo_Parametri'!$B$10:$B$11" noThreeD="1" sel="1" val="0"/>
</file>

<file path=xl/ctrlProps/ctrlProp6.xml><?xml version="1.0" encoding="utf-8"?>
<formControlPr xmlns="http://schemas.microsoft.com/office/spreadsheetml/2009/9/main" objectType="Drop" dropStyle="combo" dx="22" fmlaLink="$U$22" fmlaRange="'Elenchi controllo_Parametri'!$B$10:$B$11" noThreeD="1" sel="1" val="0"/>
</file>

<file path=xl/ctrlProps/ctrlProp7.xml><?xml version="1.0" encoding="utf-8"?>
<formControlPr xmlns="http://schemas.microsoft.com/office/spreadsheetml/2009/9/main" objectType="Drop" dropStyle="combo" dx="22" fmlaLink="$W$22" fmlaRange="'Elenchi controllo_Parametri'!$B$10:$B$11" noThreeD="1" sel="1" val="0"/>
</file>

<file path=xl/ctrlProps/ctrlProp8.xml><?xml version="1.0" encoding="utf-8"?>
<formControlPr xmlns="http://schemas.microsoft.com/office/spreadsheetml/2009/9/main" objectType="Drop" dropStyle="combo" dx="22" fmlaLink="$Y$22" fmlaRange="'Elenchi controllo_Parametri'!$B$10:$B$11" noThreeD="1" sel="1" val="0"/>
</file>

<file path=xl/ctrlProps/ctrlProp9.xml><?xml version="1.0" encoding="utf-8"?>
<formControlPr xmlns="http://schemas.microsoft.com/office/spreadsheetml/2009/9/main" objectType="Drop" dropStyle="combo" dx="22" fmlaLink="$AA$22" fmlaRange="'Elenchi controllo_Parametri'!$B$10:$B$11" noThreeD="1" sel="1" val="0"/>
</file>

<file path=xl/ctrlProps/ctrlProp10.xml><?xml version="1.0" encoding="utf-8"?>
<formControlPr xmlns="http://schemas.microsoft.com/office/spreadsheetml/2009/9/main" objectType="Drop" dropStyle="combo" dx="22" fmlaLink="$AC$22" fmlaRange="'Elenchi controllo_Parametri'!$B$10:$B$11" noThreeD="1" sel="1" val="0"/>
</file>

<file path=xl/ctrlProps/ctrlProp11.xml><?xml version="1.0" encoding="utf-8"?>
<formControlPr xmlns="http://schemas.microsoft.com/office/spreadsheetml/2009/9/main" objectType="Drop" dropStyle="combo" dx="22" fmlaLink="$AE$22" fmlaRange="'Elenchi controllo_Parametri'!$B$10:$B$11" noThreeD="1" sel="1" val="0"/>
</file>

<file path=xl/ctrlProps/ctrlProp12.xml><?xml version="1.0" encoding="utf-8"?>
<formControlPr xmlns="http://schemas.microsoft.com/office/spreadsheetml/2009/9/main" objectType="Drop" dropStyle="combo" dx="22" fmlaLink="$AG$22" fmlaRange="'Elenchi controllo_Parametri'!$B$10:$B$11" noThreeD="1" sel="1" val="0"/>
</file>

<file path=xl/ctrlProps/ctrlProp13.xml><?xml version="1.0" encoding="utf-8"?>
<formControlPr xmlns="http://schemas.microsoft.com/office/spreadsheetml/2009/9/main" objectType="Drop" dropStyle="combo" dx="22" fmlaLink="tipo_controllore2" fmlaRange="'Elenchi controllo_Parametri'!$B$3:$B$7" sel="1" val="0"/>
</file>

<file path=xl/ctrlProps/ctrlProp14.xml><?xml version="1.0" encoding="utf-8"?>
<formControlPr xmlns="http://schemas.microsoft.com/office/spreadsheetml/2009/9/main" objectType="Drop" dropStyle="combo" dx="22" fmlaLink="tipo_em2" fmlaRange="'Elenchi controllo_Parametri'!$B$20:$B$23" sel="1" val="0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Drop" dropStyle="combo" dx="22" fmlaLink="tipo_controllore1" fmlaRange="'Elenchi controllo_Parametri'!$B$3:$B$7" sel="3" val="0"/>
</file>

<file path=xl/ctrlProps/ctrlProp18.xml><?xml version="1.0" encoding="utf-8"?>
<formControlPr xmlns="http://schemas.microsoft.com/office/spreadsheetml/2009/9/main" objectType="Drop" dropStyle="combo" dx="22" fmlaLink="tipo_controllore2" fmlaRange="'Elenchi controllo_Parametri'!$B$3:$B$7" sel="1" val="0"/>
</file>

<file path=xl/ctrlProps/ctrlProp19.xml><?xml version="1.0" encoding="utf-8"?>
<formControlPr xmlns="http://schemas.microsoft.com/office/spreadsheetml/2009/9/main" objectType="Drop" dropStyle="combo" dx="22" fmlaLink="tipo_controllore1" fmlaRange="'Elenchi controllo_Parametri'!$B$3:$B$7" sel="3" val="0"/>
</file>

<file path=xl/ctrlProps/ctrlProp20.xml><?xml version="1.0" encoding="utf-8"?>
<formControlPr xmlns="http://schemas.microsoft.com/office/spreadsheetml/2009/9/main" objectType="Drop" dropStyle="combo" dx="22" fmlaLink="tipo_em1" fmlaRange="'Elenchi controllo_Parametri'!$B$20:$B$23" sel="1" val="0"/>
</file>

<file path=xl/ctrlProps/ctrlProp21.xml><?xml version="1.0" encoding="utf-8"?>
<formControlPr xmlns="http://schemas.microsoft.com/office/spreadsheetml/2009/9/main" objectType="Drop" dropStyle="combo" dx="22" fmlaLink="impianto!$O$22" fmlaRange="'Elenchi controllo_Parametri'!$B$10:$B$11" noThreeD="1" sel="1" val="0"/>
</file>

<file path=xl/ctrlProps/ctrlProp22.xml><?xml version="1.0" encoding="utf-8"?>
<formControlPr xmlns="http://schemas.microsoft.com/office/spreadsheetml/2009/9/main" objectType="Drop" dropStyle="combo" dx="22" fmlaLink="impianto!$Q$22" fmlaRange="'Elenchi controllo_Parametri'!$B$10:$B$11" noThreeD="1" sel="1" val="0"/>
</file>

<file path=xl/ctrlProps/ctrlProp23.xml><?xml version="1.0" encoding="utf-8"?>
<formControlPr xmlns="http://schemas.microsoft.com/office/spreadsheetml/2009/9/main" objectType="Drop" dropStyle="combo" dx="22" fmlaLink="impianto!$S$22" fmlaRange="'Elenchi controllo_Parametri'!$B$10:$B$11" noThreeD="1" sel="1" val="0"/>
</file>

<file path=xl/ctrlProps/ctrlProp24.xml><?xml version="1.0" encoding="utf-8"?>
<formControlPr xmlns="http://schemas.microsoft.com/office/spreadsheetml/2009/9/main" objectType="Drop" dropStyle="combo" dx="22" fmlaLink="impianto!$U$22" fmlaRange="'Elenchi controllo_Parametri'!$B$10:$B$11" noThreeD="1" sel="1" val="0"/>
</file>

<file path=xl/ctrlProps/ctrlProp25.xml><?xml version="1.0" encoding="utf-8"?>
<formControlPr xmlns="http://schemas.microsoft.com/office/spreadsheetml/2009/9/main" objectType="Drop" dropStyle="combo" dx="22" fmlaLink="impianto!$W$22" fmlaRange="'Elenchi controllo_Parametri'!$B$10:$B$11" noThreeD="1" sel="1" val="0"/>
</file>

<file path=xl/ctrlProps/ctrlProp26.xml><?xml version="1.0" encoding="utf-8"?>
<formControlPr xmlns="http://schemas.microsoft.com/office/spreadsheetml/2009/9/main" objectType="Drop" dropStyle="combo" dx="22" fmlaLink="impianto!$Y$22" fmlaRange="'Elenchi controllo_Parametri'!$B$10:$B$11" noThreeD="1" sel="1" val="0"/>
</file>

<file path=xl/ctrlProps/ctrlProp27.xml><?xml version="1.0" encoding="utf-8"?>
<formControlPr xmlns="http://schemas.microsoft.com/office/spreadsheetml/2009/9/main" objectType="Drop" dropStyle="combo" dx="22" fmlaLink="impianto!$AA$22" fmlaRange="'Elenchi controllo_Parametri'!$B$10:$B$11" noThreeD="1" sel="1" val="0"/>
</file>

<file path=xl/ctrlProps/ctrlProp28.xml><?xml version="1.0" encoding="utf-8"?>
<formControlPr xmlns="http://schemas.microsoft.com/office/spreadsheetml/2009/9/main" objectType="Drop" dropStyle="combo" dx="22" fmlaLink="impianto!$AC$22" fmlaRange="'Elenchi controllo_Parametri'!$B$10:$B$11" noThreeD="1" sel="1" val="0"/>
</file>

<file path=xl/ctrlProps/ctrlProp29.xml><?xml version="1.0" encoding="utf-8"?>
<formControlPr xmlns="http://schemas.microsoft.com/office/spreadsheetml/2009/9/main" objectType="Drop" dropStyle="combo" dx="22" fmlaLink="impianto!$AE$22" fmlaRange="'Elenchi controllo_Parametri'!$B$10:$B$11" noThreeD="1" sel="1" val="0"/>
</file>

<file path=xl/ctrlProps/ctrlProp30.xml><?xml version="1.0" encoding="utf-8"?>
<formControlPr xmlns="http://schemas.microsoft.com/office/spreadsheetml/2009/9/main" objectType="Drop" dropStyle="combo" dx="22" fmlaLink="impianto!$AG$22" fmlaRange="'Elenchi controllo_Parametri'!$B$10:$B$11" noThreeD="1" sel="1" val="0"/>
</file>

<file path=xl/ctrlProps/ctrlProp31.xml><?xml version="1.0" encoding="utf-8"?>
<formControlPr xmlns="http://schemas.microsoft.com/office/spreadsheetml/2009/9/main" objectType="Drop" dropStyle="combo" dx="22" fmlaLink="tipo_controllore2" fmlaRange="'Elenchi controllo_Parametri'!$B$3:$B$7" sel="1" val="0"/>
</file>

<file path=xl/ctrlProps/ctrlProp32.xml><?xml version="1.0" encoding="utf-8"?>
<formControlPr xmlns="http://schemas.microsoft.com/office/spreadsheetml/2009/9/main" objectType="Drop" dropStyle="combo" dx="22" fmlaLink="tipo_em2" fmlaRange="'Elenchi controllo_Parametri'!$B$20:$B$23" sel="1" val="0"/>
</file>

<file path=xl/ctrlProps/ctrlProp33.xml><?xml version="1.0" encoding="utf-8"?>
<formControlPr xmlns="http://schemas.microsoft.com/office/spreadsheetml/2009/9/main" objectType="Drop" dropStyle="combo" dx="22" fmlaLink="impianto!$O$22" fmlaRange="'Elenchi controllo_Parametri'!$B$10:$B$11" noThreeD="1" sel="1" val="0"/>
</file>

<file path=xl/ctrlProps/ctrlProp34.xml><?xml version="1.0" encoding="utf-8"?>
<formControlPr xmlns="http://schemas.microsoft.com/office/spreadsheetml/2009/9/main" objectType="Drop" dropStyle="combo" dx="22" fmlaLink="impianto!$Q$22" fmlaRange="'Elenchi controllo_Parametri'!$B$10:$B$11" noThreeD="1" sel="1" val="0"/>
</file>

<file path=xl/ctrlProps/ctrlProp35.xml><?xml version="1.0" encoding="utf-8"?>
<formControlPr xmlns="http://schemas.microsoft.com/office/spreadsheetml/2009/9/main" objectType="Drop" dropStyle="combo" dx="22" fmlaLink="impianto!$S$22" fmlaRange="'Elenchi controllo_Parametri'!$B$10:$B$11" noThreeD="1" sel="1" val="0"/>
</file>

<file path=xl/ctrlProps/ctrlProp36.xml><?xml version="1.0" encoding="utf-8"?>
<formControlPr xmlns="http://schemas.microsoft.com/office/spreadsheetml/2009/9/main" objectType="Drop" dropStyle="combo" dx="22" fmlaLink="impianto!$U$22" fmlaRange="'Elenchi controllo_Parametri'!$B$10:$B$11" noThreeD="1" sel="1" val="0"/>
</file>

<file path=xl/ctrlProps/ctrlProp37.xml><?xml version="1.0" encoding="utf-8"?>
<formControlPr xmlns="http://schemas.microsoft.com/office/spreadsheetml/2009/9/main" objectType="Drop" dropStyle="combo" dx="22" fmlaLink="impianto!$W$22" fmlaRange="'Elenchi controllo_Parametri'!$B$10:$B$11" noThreeD="1" sel="1" val="0"/>
</file>

<file path=xl/ctrlProps/ctrlProp38.xml><?xml version="1.0" encoding="utf-8"?>
<formControlPr xmlns="http://schemas.microsoft.com/office/spreadsheetml/2009/9/main" objectType="Drop" dropStyle="combo" dx="22" fmlaLink="impianto!$Y$22" fmlaRange="'Elenchi controllo_Parametri'!$B$10:$B$11" noThreeD="1" sel="1" val="0"/>
</file>

<file path=xl/ctrlProps/ctrlProp39.xml><?xml version="1.0" encoding="utf-8"?>
<formControlPr xmlns="http://schemas.microsoft.com/office/spreadsheetml/2009/9/main" objectType="Drop" dropStyle="combo" dx="22" fmlaLink="impianto!$AA$22" fmlaRange="'Elenchi controllo_Parametri'!$B$10:$B$11" noThreeD="1" sel="1" val="0"/>
</file>

<file path=xl/ctrlProps/ctrlProp40.xml><?xml version="1.0" encoding="utf-8"?>
<formControlPr xmlns="http://schemas.microsoft.com/office/spreadsheetml/2009/9/main" objectType="Drop" dropStyle="combo" dx="22" fmlaLink="impianto!$AC$22" fmlaRange="'Elenchi controllo_Parametri'!$B$10:$B$11" noThreeD="1" sel="1" val="0"/>
</file>

<file path=xl/ctrlProps/ctrlProp41.xml><?xml version="1.0" encoding="utf-8"?>
<formControlPr xmlns="http://schemas.microsoft.com/office/spreadsheetml/2009/9/main" objectType="Drop" dropStyle="combo" dx="22" fmlaLink="impianto!$AE$22" fmlaRange="'Elenchi controllo_Parametri'!$B$10:$B$11" noThreeD="1" sel="1" val="0"/>
</file>

<file path=xl/ctrlProps/ctrlProp42.xml><?xml version="1.0" encoding="utf-8"?>
<formControlPr xmlns="http://schemas.microsoft.com/office/spreadsheetml/2009/9/main" objectType="Drop" dropStyle="combo" dx="22" fmlaLink="impianto!$AG$22" fmlaRange="'Elenchi controllo_Parametri'!$B$10:$B$11" noThreeD="1" sel="1" val="0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</xdr:row>
          <xdr:rowOff>38100</xdr:rowOff>
        </xdr:from>
        <xdr:to>
          <xdr:col>15</xdr:col>
          <xdr:colOff>695325</xdr:colOff>
          <xdr:row>2</xdr:row>
          <xdr:rowOff>9525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38100</xdr:rowOff>
        </xdr:from>
        <xdr:to>
          <xdr:col>15</xdr:col>
          <xdr:colOff>676275</xdr:colOff>
          <xdr:row>2</xdr:row>
          <xdr:rowOff>342900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9525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2060" name="Drop Dow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21</xdr:row>
          <xdr:rowOff>9525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9525</xdr:rowOff>
        </xdr:from>
        <xdr:to>
          <xdr:col>19</xdr:col>
          <xdr:colOff>0</xdr:colOff>
          <xdr:row>22</xdr:row>
          <xdr:rowOff>0</xdr:rowOff>
        </xdr:to>
        <xdr:sp macro="" textlink="">
          <xdr:nvSpPr>
            <xdr:cNvPr id="2063" name="Drop Dow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21</xdr:row>
          <xdr:rowOff>9525</xdr:rowOff>
        </xdr:from>
        <xdr:to>
          <xdr:col>21</xdr:col>
          <xdr:colOff>0</xdr:colOff>
          <xdr:row>22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21</xdr:row>
          <xdr:rowOff>9525</xdr:rowOff>
        </xdr:from>
        <xdr:to>
          <xdr:col>23</xdr:col>
          <xdr:colOff>0</xdr:colOff>
          <xdr:row>22</xdr:row>
          <xdr:rowOff>0</xdr:rowOff>
        </xdr:to>
        <xdr:sp macro="" textlink="">
          <xdr:nvSpPr>
            <xdr:cNvPr id="2065" name="Drop Dow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21</xdr:row>
          <xdr:rowOff>9525</xdr:rowOff>
        </xdr:from>
        <xdr:to>
          <xdr:col>25</xdr:col>
          <xdr:colOff>0</xdr:colOff>
          <xdr:row>22</xdr:row>
          <xdr:rowOff>0</xdr:rowOff>
        </xdr:to>
        <xdr:sp macro="" textlink="">
          <xdr:nvSpPr>
            <xdr:cNvPr id="2066" name="Drop Dow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21</xdr:row>
          <xdr:rowOff>9525</xdr:rowOff>
        </xdr:from>
        <xdr:to>
          <xdr:col>27</xdr:col>
          <xdr:colOff>0</xdr:colOff>
          <xdr:row>22</xdr:row>
          <xdr:rowOff>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21</xdr:row>
          <xdr:rowOff>9525</xdr:rowOff>
        </xdr:from>
        <xdr:to>
          <xdr:col>29</xdr:col>
          <xdr:colOff>0</xdr:colOff>
          <xdr:row>22</xdr:row>
          <xdr:rowOff>0</xdr:rowOff>
        </xdr:to>
        <xdr:sp macro="" textlink="">
          <xdr:nvSpPr>
            <xdr:cNvPr id="2068" name="Drop Dow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21</xdr:row>
          <xdr:rowOff>9525</xdr:rowOff>
        </xdr:from>
        <xdr:to>
          <xdr:col>31</xdr:col>
          <xdr:colOff>0</xdr:colOff>
          <xdr:row>22</xdr:row>
          <xdr:rowOff>0</xdr:rowOff>
        </xdr:to>
        <xdr:sp macro="" textlink="">
          <xdr:nvSpPr>
            <xdr:cNvPr id="2069" name="Drop Dow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21</xdr:row>
          <xdr:rowOff>9525</xdr:rowOff>
        </xdr:from>
        <xdr:to>
          <xdr:col>33</xdr:col>
          <xdr:colOff>0</xdr:colOff>
          <xdr:row>22</xdr:row>
          <xdr:rowOff>0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38100</xdr:rowOff>
        </xdr:from>
        <xdr:to>
          <xdr:col>15</xdr:col>
          <xdr:colOff>685800</xdr:colOff>
          <xdr:row>5</xdr:row>
          <xdr:rowOff>38100</xdr:rowOff>
        </xdr:to>
        <xdr:sp macro="" textlink="">
          <xdr:nvSpPr>
            <xdr:cNvPr id="2071" name="Drop Dow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5</xdr:row>
          <xdr:rowOff>47625</xdr:rowOff>
        </xdr:from>
        <xdr:to>
          <xdr:col>15</xdr:col>
          <xdr:colOff>685800</xdr:colOff>
          <xdr:row>6</xdr:row>
          <xdr:rowOff>0</xdr:rowOff>
        </xdr:to>
        <xdr:sp macro="" textlink="">
          <xdr:nvSpPr>
            <xdr:cNvPr id="2072" name="Drop Dow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3</xdr:row>
          <xdr:rowOff>38100</xdr:rowOff>
        </xdr:from>
        <xdr:to>
          <xdr:col>23</xdr:col>
          <xdr:colOff>495300</xdr:colOff>
          <xdr:row>3</xdr:row>
          <xdr:rowOff>323850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BLOCCA VALORE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552450</xdr:colOff>
          <xdr:row>3</xdr:row>
          <xdr:rowOff>57150</xdr:rowOff>
        </xdr:from>
        <xdr:to>
          <xdr:col>27</xdr:col>
          <xdr:colOff>276225</xdr:colOff>
          <xdr:row>3</xdr:row>
          <xdr:rowOff>285750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SBLOCCA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3152775</xdr:colOff>
          <xdr:row>11</xdr:row>
          <xdr:rowOff>38100</xdr:rowOff>
        </xdr:from>
        <xdr:to>
          <xdr:col>0</xdr:col>
          <xdr:colOff>5372100</xdr:colOff>
          <xdr:row>11</xdr:row>
          <xdr:rowOff>304800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3152775</xdr:colOff>
          <xdr:row>56</xdr:row>
          <xdr:rowOff>38100</xdr:rowOff>
        </xdr:from>
        <xdr:to>
          <xdr:col>0</xdr:col>
          <xdr:colOff>5372100</xdr:colOff>
          <xdr:row>56</xdr:row>
          <xdr:rowOff>304800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2000250</xdr:colOff>
          <xdr:row>94</xdr:row>
          <xdr:rowOff>0</xdr:rowOff>
        </xdr:from>
        <xdr:to>
          <xdr:col>1</xdr:col>
          <xdr:colOff>504825</xdr:colOff>
          <xdr:row>95</xdr:row>
          <xdr:rowOff>9525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96</xdr:row>
          <xdr:rowOff>19050</xdr:rowOff>
        </xdr:from>
        <xdr:to>
          <xdr:col>1</xdr:col>
          <xdr:colOff>1257300</xdr:colOff>
          <xdr:row>97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93</xdr:row>
          <xdr:rowOff>0</xdr:rowOff>
        </xdr:from>
        <xdr:to>
          <xdr:col>3</xdr:col>
          <xdr:colOff>1123950</xdr:colOff>
          <xdr:row>94</xdr:row>
          <xdr:rowOff>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93</xdr:row>
          <xdr:rowOff>0</xdr:rowOff>
        </xdr:from>
        <xdr:to>
          <xdr:col>5</xdr:col>
          <xdr:colOff>1114425</xdr:colOff>
          <xdr:row>94</xdr:row>
          <xdr:rowOff>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93</xdr:row>
          <xdr:rowOff>0</xdr:rowOff>
        </xdr:from>
        <xdr:to>
          <xdr:col>7</xdr:col>
          <xdr:colOff>1114425</xdr:colOff>
          <xdr:row>94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93</xdr:row>
          <xdr:rowOff>0</xdr:rowOff>
        </xdr:from>
        <xdr:to>
          <xdr:col>9</xdr:col>
          <xdr:colOff>1104900</xdr:colOff>
          <xdr:row>94</xdr:row>
          <xdr:rowOff>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93</xdr:row>
          <xdr:rowOff>9525</xdr:rowOff>
        </xdr:from>
        <xdr:to>
          <xdr:col>11</xdr:col>
          <xdr:colOff>1123950</xdr:colOff>
          <xdr:row>94</xdr:row>
          <xdr:rowOff>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93</xdr:row>
          <xdr:rowOff>0</xdr:rowOff>
        </xdr:from>
        <xdr:to>
          <xdr:col>13</xdr:col>
          <xdr:colOff>1123950</xdr:colOff>
          <xdr:row>94</xdr:row>
          <xdr:rowOff>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1076325</xdr:colOff>
          <xdr:row>93</xdr:row>
          <xdr:rowOff>0</xdr:rowOff>
        </xdr:from>
        <xdr:to>
          <xdr:col>15</xdr:col>
          <xdr:colOff>1104900</xdr:colOff>
          <xdr:row>94</xdr:row>
          <xdr:rowOff>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1076325</xdr:colOff>
          <xdr:row>93</xdr:row>
          <xdr:rowOff>0</xdr:rowOff>
        </xdr:from>
        <xdr:to>
          <xdr:col>17</xdr:col>
          <xdr:colOff>1104900</xdr:colOff>
          <xdr:row>94</xdr:row>
          <xdr:rowOff>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93</xdr:row>
          <xdr:rowOff>0</xdr:rowOff>
        </xdr:from>
        <xdr:to>
          <xdr:col>19</xdr:col>
          <xdr:colOff>1123950</xdr:colOff>
          <xdr:row>94</xdr:row>
          <xdr:rowOff>0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93</xdr:row>
          <xdr:rowOff>0</xdr:rowOff>
        </xdr:from>
        <xdr:to>
          <xdr:col>21</xdr:col>
          <xdr:colOff>1133475</xdr:colOff>
          <xdr:row>94</xdr:row>
          <xdr:rowOff>0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2000250</xdr:colOff>
          <xdr:row>131</xdr:row>
          <xdr:rowOff>0</xdr:rowOff>
        </xdr:from>
        <xdr:to>
          <xdr:col>1</xdr:col>
          <xdr:colOff>504825</xdr:colOff>
          <xdr:row>132</xdr:row>
          <xdr:rowOff>0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133</xdr:row>
          <xdr:rowOff>19050</xdr:rowOff>
        </xdr:from>
        <xdr:to>
          <xdr:col>1</xdr:col>
          <xdr:colOff>1257300</xdr:colOff>
          <xdr:row>134</xdr:row>
          <xdr:rowOff>0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130</xdr:row>
          <xdr:rowOff>0</xdr:rowOff>
        </xdr:from>
        <xdr:to>
          <xdr:col>3</xdr:col>
          <xdr:colOff>1123950</xdr:colOff>
          <xdr:row>131</xdr:row>
          <xdr:rowOff>0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130</xdr:row>
          <xdr:rowOff>0</xdr:rowOff>
        </xdr:from>
        <xdr:to>
          <xdr:col>5</xdr:col>
          <xdr:colOff>1114425</xdr:colOff>
          <xdr:row>131</xdr:row>
          <xdr:rowOff>0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130</xdr:row>
          <xdr:rowOff>0</xdr:rowOff>
        </xdr:from>
        <xdr:to>
          <xdr:col>7</xdr:col>
          <xdr:colOff>1114425</xdr:colOff>
          <xdr:row>131</xdr:row>
          <xdr:rowOff>0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130</xdr:row>
          <xdr:rowOff>0</xdr:rowOff>
        </xdr:from>
        <xdr:to>
          <xdr:col>9</xdr:col>
          <xdr:colOff>1104900</xdr:colOff>
          <xdr:row>131</xdr:row>
          <xdr:rowOff>0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130</xdr:row>
          <xdr:rowOff>9525</xdr:rowOff>
        </xdr:from>
        <xdr:to>
          <xdr:col>11</xdr:col>
          <xdr:colOff>1123950</xdr:colOff>
          <xdr:row>131</xdr:row>
          <xdr:rowOff>0</xdr:rowOff>
        </xdr:to>
        <xdr:sp macro="" textlink="">
          <xdr:nvSpPr>
            <xdr:cNvPr id="1055" name="Drop Dow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130</xdr:row>
          <xdr:rowOff>0</xdr:rowOff>
        </xdr:from>
        <xdr:to>
          <xdr:col>13</xdr:col>
          <xdr:colOff>1123950</xdr:colOff>
          <xdr:row>131</xdr:row>
          <xdr:rowOff>0</xdr:rowOff>
        </xdr:to>
        <xdr:sp macro="" textlink="">
          <xdr:nvSpPr>
            <xdr:cNvPr id="1056" name="Drop Dow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1076325</xdr:colOff>
          <xdr:row>130</xdr:row>
          <xdr:rowOff>0</xdr:rowOff>
        </xdr:from>
        <xdr:to>
          <xdr:col>15</xdr:col>
          <xdr:colOff>1104900</xdr:colOff>
          <xdr:row>131</xdr:row>
          <xdr:rowOff>0</xdr:rowOff>
        </xdr:to>
        <xdr:sp macro="" textlink="">
          <xdr:nvSpPr>
            <xdr:cNvPr id="1057" name="Drop Dow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1076325</xdr:colOff>
          <xdr:row>130</xdr:row>
          <xdr:rowOff>0</xdr:rowOff>
        </xdr:from>
        <xdr:to>
          <xdr:col>17</xdr:col>
          <xdr:colOff>1104900</xdr:colOff>
          <xdr:row>131</xdr:row>
          <xdr:rowOff>0</xdr:rowOff>
        </xdr:to>
        <xdr:sp macro="" textlink="">
          <xdr:nvSpPr>
            <xdr:cNvPr id="1058" name="Drop Dow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130</xdr:row>
          <xdr:rowOff>0</xdr:rowOff>
        </xdr:from>
        <xdr:to>
          <xdr:col>19</xdr:col>
          <xdr:colOff>1123950</xdr:colOff>
          <xdr:row>131</xdr:row>
          <xdr:rowOff>0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130</xdr:row>
          <xdr:rowOff>0</xdr:rowOff>
        </xdr:from>
        <xdr:to>
          <xdr:col>21</xdr:col>
          <xdr:colOff>1133475</xdr:colOff>
          <xdr:row>131</xdr:row>
          <xdr:rowOff>0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6</xdr:row>
      <xdr:rowOff>137160</xdr:rowOff>
    </xdr:from>
    <xdr:to>
      <xdr:col>15</xdr:col>
      <xdr:colOff>45720</xdr:colOff>
      <xdr:row>29</xdr:row>
      <xdr:rowOff>99060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15240</xdr:colOff>
      <xdr:row>30</xdr:row>
      <xdr:rowOff>99060</xdr:rowOff>
    </xdr:from>
    <xdr:to>
      <xdr:col>17</xdr:col>
      <xdr:colOff>320040</xdr:colOff>
      <xdr:row>46</xdr:row>
      <xdr:rowOff>160020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47</xdr:row>
      <xdr:rowOff>83820</xdr:rowOff>
    </xdr:from>
    <xdr:to>
      <xdr:col>17</xdr:col>
      <xdr:colOff>342900</xdr:colOff>
      <xdr:row>64</xdr:row>
      <xdr:rowOff>144780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76200</xdr:colOff>
      <xdr:row>67</xdr:row>
      <xdr:rowOff>0</xdr:rowOff>
    </xdr:from>
    <xdr:to>
      <xdr:col>17</xdr:col>
      <xdr:colOff>381000</xdr:colOff>
      <xdr:row>84</xdr:row>
      <xdr:rowOff>60960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1158240</xdr:colOff>
      <xdr:row>89</xdr:row>
      <xdr:rowOff>60960</xdr:rowOff>
    </xdr:from>
    <xdr:to>
      <xdr:col>14</xdr:col>
      <xdr:colOff>22860</xdr:colOff>
      <xdr:row>105</xdr:row>
      <xdr:rowOff>121920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1333500</xdr:colOff>
      <xdr:row>107</xdr:row>
      <xdr:rowOff>22860</xdr:rowOff>
    </xdr:from>
    <xdr:to>
      <xdr:col>14</xdr:col>
      <xdr:colOff>198120</xdr:colOff>
      <xdr:row>123</xdr:row>
      <xdr:rowOff>83820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ute\ArchivioElettricisti\emiliano\Fogli%20calcolo%20Quadri\calcolo%20quadri%20con%20plc\Modelli%20con%20databse%20prezzi\calcolo%20plc%20e%20quadro%20UTE_MULTIQUADRO2003%20SCONTI%202401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siemens"/>
      <sheetName val="database"/>
      <sheetName val="versioni"/>
      <sheetName val="impianto"/>
      <sheetName val="mop"/>
      <sheetName val="Foglio2"/>
      <sheetName val="manodopera"/>
      <sheetName val="quadro"/>
      <sheetName val="confronto_ caratteristiche"/>
      <sheetName val="Sconti"/>
      <sheetName val="moduli_I_O"/>
      <sheetName val="delta sconti 210503"/>
      <sheetName val="base prezzi"/>
      <sheetName val="configurazioni"/>
    </sheetNames>
    <sheetDataSet>
      <sheetData sheetId="0">
        <row r="2">
          <cell r="K2">
            <v>1936.27</v>
          </cell>
        </row>
      </sheetData>
      <sheetData sheetId="1">
        <row r="2">
          <cell r="A2" t="str">
            <v>TOUCH PANEL 5,7" + PLC  B&amp;R</v>
          </cell>
          <cell r="O2">
            <v>586</v>
          </cell>
        </row>
        <row r="3">
          <cell r="A3" t="str">
            <v>TOUCH PANEL 5,7" + PLC  B&amp;R</v>
          </cell>
          <cell r="O3">
            <v>26.400000000000002</v>
          </cell>
        </row>
        <row r="4">
          <cell r="A4" t="str">
            <v>TOUCH PANEL 5,7" + PLC  B&amp;R</v>
          </cell>
          <cell r="O4">
            <v>67.2</v>
          </cell>
        </row>
        <row r="5">
          <cell r="A5" t="str">
            <v>TOUCH PANEL 5,7" + PLC  B&amp;R</v>
          </cell>
          <cell r="O5">
            <v>420.22399999999999</v>
          </cell>
        </row>
        <row r="6">
          <cell r="A6" t="str">
            <v>TOUCH PANEL 5,7" + PLC  B&amp;R</v>
          </cell>
          <cell r="O6">
            <v>151.04000000000002</v>
          </cell>
        </row>
        <row r="7">
          <cell r="A7" t="str">
            <v>torretta</v>
          </cell>
          <cell r="O7">
            <v>6.2504999999999997</v>
          </cell>
        </row>
        <row r="8">
          <cell r="A8" t="str">
            <v>torretta</v>
          </cell>
          <cell r="O8">
            <v>1.6730099999999997</v>
          </cell>
        </row>
        <row r="9">
          <cell r="A9" t="str">
            <v>torretta</v>
          </cell>
          <cell r="O9">
            <v>15.084</v>
          </cell>
        </row>
        <row r="10">
          <cell r="A10" t="str">
            <v>torretta</v>
          </cell>
          <cell r="O10">
            <v>11.204999999999998</v>
          </cell>
        </row>
        <row r="11">
          <cell r="A11" t="str">
            <v>torretta</v>
          </cell>
          <cell r="O11">
            <v>23.111999999999998</v>
          </cell>
        </row>
        <row r="12">
          <cell r="A12" t="str">
            <v>temperatura PLC</v>
          </cell>
          <cell r="O12">
            <v>80</v>
          </cell>
        </row>
        <row r="13">
          <cell r="A13" t="str">
            <v>temperatura con scheda in rete</v>
          </cell>
          <cell r="O13">
            <v>5</v>
          </cell>
        </row>
        <row r="14">
          <cell r="A14" t="str">
            <v>temperatura con scheda in rete</v>
          </cell>
          <cell r="O14">
            <v>155</v>
          </cell>
        </row>
        <row r="15">
          <cell r="A15" t="str">
            <v>SIWAREX 2 CANALE</v>
          </cell>
          <cell r="O15">
            <v>608.90940000000001</v>
          </cell>
        </row>
        <row r="16">
          <cell r="A16" t="str">
            <v>SIWAREX 2 CANALE</v>
          </cell>
          <cell r="O16">
            <v>2.0424959999999999</v>
          </cell>
        </row>
        <row r="17">
          <cell r="A17" t="str">
            <v>SIWAREX 2 CANALE</v>
          </cell>
          <cell r="O17">
            <v>10.736064000000001</v>
          </cell>
        </row>
        <row r="18">
          <cell r="A18" t="str">
            <v>SIWAREX 1 CANALE</v>
          </cell>
          <cell r="O18">
            <v>390.2213999999999</v>
          </cell>
        </row>
        <row r="19">
          <cell r="A19" t="str">
            <v>SIWAREX 1 CANALE</v>
          </cell>
          <cell r="O19">
            <v>2.0424959999999999</v>
          </cell>
        </row>
        <row r="20">
          <cell r="A20" t="str">
            <v>SIWAREX 1 CANALE</v>
          </cell>
          <cell r="O20">
            <v>10.736064000000001</v>
          </cell>
        </row>
        <row r="21">
          <cell r="A21" t="str">
            <v>relè sicurezza</v>
          </cell>
          <cell r="O21">
            <v>55</v>
          </cell>
        </row>
        <row r="22">
          <cell r="A22" t="str">
            <v>quadro carico silo</v>
          </cell>
          <cell r="O22">
            <v>0.65941216875745634</v>
          </cell>
        </row>
        <row r="23">
          <cell r="A23" t="str">
            <v>quadro carico silo</v>
          </cell>
          <cell r="O23">
            <v>1.978236506272369</v>
          </cell>
        </row>
        <row r="24">
          <cell r="A24" t="str">
            <v>quadro carico silo</v>
          </cell>
          <cell r="O24">
            <v>5.3694990884535727</v>
          </cell>
        </row>
        <row r="25">
          <cell r="A25" t="str">
            <v>quadro carico silo</v>
          </cell>
          <cell r="O25">
            <v>1.2717234683179515</v>
          </cell>
        </row>
        <row r="26">
          <cell r="A26" t="str">
            <v>quadro carico silo</v>
          </cell>
          <cell r="O26">
            <v>0.28260521518176701</v>
          </cell>
        </row>
        <row r="27">
          <cell r="A27" t="str">
            <v>quadro carico silo</v>
          </cell>
          <cell r="O27">
            <v>0.84781564554530098</v>
          </cell>
        </row>
        <row r="28">
          <cell r="A28" t="str">
            <v>quadro carico silo</v>
          </cell>
          <cell r="O28">
            <v>5.2281964808626897</v>
          </cell>
        </row>
        <row r="29">
          <cell r="A29" t="str">
            <v>quadro carico silo</v>
          </cell>
          <cell r="O29">
            <v>3.2970608437872815</v>
          </cell>
        </row>
        <row r="30">
          <cell r="A30" t="str">
            <v>quadro carico silo</v>
          </cell>
          <cell r="O30">
            <v>10.47994339632386</v>
          </cell>
        </row>
        <row r="31">
          <cell r="A31" t="str">
            <v>quadro carico silo</v>
          </cell>
          <cell r="O31">
            <v>0.2355043459848058</v>
          </cell>
        </row>
        <row r="32">
          <cell r="A32" t="str">
            <v>quadro carico silo</v>
          </cell>
          <cell r="O32">
            <v>30.470957046279704</v>
          </cell>
        </row>
        <row r="33">
          <cell r="A33" t="str">
            <v>quadro carico silo</v>
          </cell>
          <cell r="O33">
            <v>0.78501448661601947</v>
          </cell>
        </row>
        <row r="34">
          <cell r="A34" t="str">
            <v>quadro carico silo</v>
          </cell>
          <cell r="O34">
            <v>2.4170182877387969</v>
          </cell>
        </row>
        <row r="35">
          <cell r="A35" t="str">
            <v>quadro carico silo</v>
          </cell>
          <cell r="O35">
            <v>30.677539805915497</v>
          </cell>
        </row>
        <row r="36">
          <cell r="A36" t="str">
            <v>quadro carico silo</v>
          </cell>
          <cell r="O36">
            <v>36</v>
          </cell>
        </row>
        <row r="37">
          <cell r="A37" t="str">
            <v>pulsante</v>
          </cell>
          <cell r="O37">
            <v>0.65941216875745634</v>
          </cell>
        </row>
        <row r="38">
          <cell r="A38" t="str">
            <v>pulsante</v>
          </cell>
          <cell r="O38">
            <v>5.3694990884535727</v>
          </cell>
        </row>
        <row r="39">
          <cell r="A39" t="str">
            <v>pulsante</v>
          </cell>
          <cell r="O39">
            <v>1.2717234683179515</v>
          </cell>
        </row>
        <row r="40">
          <cell r="A40" t="str">
            <v>pulsante</v>
          </cell>
          <cell r="O40">
            <v>0.28260521518176701</v>
          </cell>
        </row>
        <row r="41">
          <cell r="A41" t="str">
            <v>pulsante</v>
          </cell>
          <cell r="O41">
            <v>5</v>
          </cell>
        </row>
        <row r="42">
          <cell r="A42" t="str">
            <v>posizionatore</v>
          </cell>
          <cell r="O42">
            <v>11.07</v>
          </cell>
        </row>
        <row r="43">
          <cell r="A43" t="str">
            <v>posizionatore</v>
          </cell>
          <cell r="O43">
            <v>0.47204160576779064</v>
          </cell>
        </row>
        <row r="44">
          <cell r="A44" t="str">
            <v>posizionatore</v>
          </cell>
          <cell r="O44">
            <v>2.6339301853563812</v>
          </cell>
        </row>
        <row r="45">
          <cell r="A45" t="str">
            <v>posizionatore</v>
          </cell>
          <cell r="O45">
            <v>309.87</v>
          </cell>
        </row>
        <row r="46">
          <cell r="A46" t="str">
            <v>posizionatore</v>
          </cell>
          <cell r="O46">
            <v>11.700000000000001</v>
          </cell>
        </row>
        <row r="47">
          <cell r="A47" t="str">
            <v>peso wp104 rete</v>
          </cell>
          <cell r="O47">
            <v>5.3999999999999995</v>
          </cell>
        </row>
        <row r="48">
          <cell r="A48" t="str">
            <v>peso wp104 rete</v>
          </cell>
          <cell r="O48">
            <v>13</v>
          </cell>
        </row>
        <row r="49">
          <cell r="A49" t="str">
            <v>peso wp104 rete</v>
          </cell>
          <cell r="O49">
            <v>1.5</v>
          </cell>
        </row>
        <row r="50">
          <cell r="A50" t="str">
            <v>peso wp104 rete</v>
          </cell>
          <cell r="O50">
            <v>140</v>
          </cell>
        </row>
        <row r="51">
          <cell r="A51" t="str">
            <v>peso wp104 rete</v>
          </cell>
          <cell r="O51">
            <v>107</v>
          </cell>
        </row>
        <row r="52">
          <cell r="A52" t="str">
            <v>peso wp104 rete</v>
          </cell>
          <cell r="O52">
            <v>2.63</v>
          </cell>
        </row>
        <row r="53">
          <cell r="A53" t="str">
            <v>peso wp104 rete</v>
          </cell>
          <cell r="O53">
            <v>18.592200000000002</v>
          </cell>
        </row>
        <row r="54">
          <cell r="A54" t="str">
            <v>peso wp104 rete</v>
          </cell>
          <cell r="O54">
            <v>1</v>
          </cell>
        </row>
        <row r="55">
          <cell r="A55" t="str">
            <v>peso wp104 -&gt; PLC</v>
          </cell>
          <cell r="O55">
            <v>2.7888672550832272</v>
          </cell>
        </row>
        <row r="56">
          <cell r="A56" t="str">
            <v>peso wp104 -&gt; PLC</v>
          </cell>
          <cell r="O56">
            <v>1.7817763018587285</v>
          </cell>
        </row>
        <row r="57">
          <cell r="A57" t="str">
            <v>peso wp104 -&gt; PLC</v>
          </cell>
          <cell r="O57">
            <v>1.2394965578147676</v>
          </cell>
        </row>
        <row r="58">
          <cell r="A58" t="str">
            <v>peso wp104 -&gt; PLC</v>
          </cell>
          <cell r="O58">
            <v>5.3999999999999995</v>
          </cell>
        </row>
        <row r="59">
          <cell r="A59" t="str">
            <v>peso wp104 -&gt; PLC</v>
          </cell>
          <cell r="O59">
            <v>13</v>
          </cell>
        </row>
        <row r="60">
          <cell r="A60" t="str">
            <v>peso wp104 -&gt; PLC</v>
          </cell>
          <cell r="O60">
            <v>1.5</v>
          </cell>
        </row>
        <row r="61">
          <cell r="A61" t="str">
            <v>peso wp104 -&gt; PLC</v>
          </cell>
          <cell r="O61">
            <v>180</v>
          </cell>
        </row>
        <row r="62">
          <cell r="A62" t="str">
            <v>peso wp104 -&gt; PLC</v>
          </cell>
          <cell r="O62">
            <v>1</v>
          </cell>
        </row>
        <row r="63">
          <cell r="A63" t="str">
            <v>peso wp104 -&gt; PLC</v>
          </cell>
          <cell r="O63">
            <v>0.36</v>
          </cell>
        </row>
        <row r="64">
          <cell r="A64" t="str">
            <v>peso wp104</v>
          </cell>
          <cell r="O64">
            <v>5.3999999999999995</v>
          </cell>
        </row>
        <row r="65">
          <cell r="A65" t="str">
            <v>peso wp104</v>
          </cell>
          <cell r="O65">
            <v>13</v>
          </cell>
        </row>
        <row r="66">
          <cell r="A66" t="str">
            <v>peso wp104</v>
          </cell>
          <cell r="O66">
            <v>1.5</v>
          </cell>
        </row>
        <row r="67">
          <cell r="A67" t="str">
            <v>peso wp104</v>
          </cell>
          <cell r="O67">
            <v>142</v>
          </cell>
        </row>
        <row r="68">
          <cell r="A68" t="str">
            <v>peso wp104</v>
          </cell>
          <cell r="O68">
            <v>2.63</v>
          </cell>
        </row>
        <row r="69">
          <cell r="A69" t="str">
            <v>peso wp104</v>
          </cell>
          <cell r="O69">
            <v>1</v>
          </cell>
        </row>
        <row r="70">
          <cell r="A70" t="str">
            <v>peso SIWAREX</v>
          </cell>
          <cell r="O70">
            <v>0</v>
          </cell>
        </row>
        <row r="71">
          <cell r="A71" t="str">
            <v>peso PRECISE in rete</v>
          </cell>
          <cell r="O71">
            <v>5</v>
          </cell>
        </row>
        <row r="72">
          <cell r="A72" t="str">
            <v>peso PRECISE in rete</v>
          </cell>
          <cell r="O72">
            <v>117</v>
          </cell>
        </row>
        <row r="73">
          <cell r="A73" t="str">
            <v>peso PRECISE in rete</v>
          </cell>
          <cell r="O73">
            <v>18.592200000000002</v>
          </cell>
        </row>
        <row r="74">
          <cell r="A74" t="str">
            <v>peso PRECISE in rete</v>
          </cell>
          <cell r="O74">
            <v>116</v>
          </cell>
        </row>
        <row r="75">
          <cell r="A75" t="str">
            <v>peso PRECISE -&gt; PLC</v>
          </cell>
          <cell r="O75">
            <v>5</v>
          </cell>
        </row>
        <row r="76">
          <cell r="A76" t="str">
            <v>peso PRECISE -&gt; PLC</v>
          </cell>
          <cell r="O76">
            <v>116</v>
          </cell>
        </row>
        <row r="77">
          <cell r="A77" t="str">
            <v>PC 6,4" TASTIERA TECHMARK</v>
          </cell>
          <cell r="O77">
            <v>84</v>
          </cell>
        </row>
        <row r="78">
          <cell r="A78" t="str">
            <v>PC 6,4" TASTIERA TECHMARK</v>
          </cell>
          <cell r="O78">
            <v>548.15</v>
          </cell>
        </row>
        <row r="79">
          <cell r="A79" t="str">
            <v>PC 6,4" TASTIERA TECHMARK</v>
          </cell>
          <cell r="O79">
            <v>175</v>
          </cell>
        </row>
        <row r="80">
          <cell r="A80" t="str">
            <v>PC 6,4" TASTIERA TECHMARK</v>
          </cell>
          <cell r="O80">
            <v>161.5</v>
          </cell>
        </row>
        <row r="81">
          <cell r="A81" t="str">
            <v>PC 6,4" TASTIERA TECHMARK</v>
          </cell>
          <cell r="O81">
            <v>36.549999999999997</v>
          </cell>
        </row>
        <row r="82">
          <cell r="A82" t="str">
            <v>PC 6,4" TASTIERA TECHMARK</v>
          </cell>
          <cell r="O82">
            <v>190</v>
          </cell>
        </row>
        <row r="83">
          <cell r="A83" t="str">
            <v>PC 6,4" TASTIERA TECHMARK</v>
          </cell>
          <cell r="O83">
            <v>30</v>
          </cell>
        </row>
        <row r="84">
          <cell r="A84" t="str">
            <v>PC 6,4" TASTIERA TECHMARK</v>
          </cell>
          <cell r="O84">
            <v>40</v>
          </cell>
        </row>
        <row r="85">
          <cell r="A85" t="str">
            <v>PC 6,4" TASTIERA TECHMARK</v>
          </cell>
          <cell r="O85">
            <v>23.76</v>
          </cell>
        </row>
        <row r="86">
          <cell r="A86" t="str">
            <v>PC 12,5" Touch SIEMENS non deterministico ISAGRAF</v>
          </cell>
          <cell r="O86">
            <v>242.82935999999998</v>
          </cell>
        </row>
        <row r="87">
          <cell r="A87" t="str">
            <v>PC 12,5" Touch SIEMENS non deterministico ISAGRAF</v>
          </cell>
          <cell r="O87">
            <v>1700</v>
          </cell>
        </row>
        <row r="88">
          <cell r="A88" t="str">
            <v>PC 12,5" Touch SIEMENS non deterministico ISAGRAF</v>
          </cell>
          <cell r="O88">
            <v>30</v>
          </cell>
        </row>
        <row r="89">
          <cell r="A89" t="str">
            <v>PC 15" Touch SIEMENS  deterministico XP embedded</v>
          </cell>
          <cell r="O89">
            <v>3000</v>
          </cell>
        </row>
        <row r="90">
          <cell r="A90" t="str">
            <v>PC 12,5" Touch SIEMENS deterministico software</v>
          </cell>
          <cell r="O90">
            <v>453.19824</v>
          </cell>
        </row>
        <row r="91">
          <cell r="A91" t="str">
            <v>PC 12,5" Touch SIEMENS deterministico software</v>
          </cell>
          <cell r="O91">
            <v>1700</v>
          </cell>
        </row>
        <row r="92">
          <cell r="A92" t="str">
            <v>PC 12,5" Touch SIEMENS deterministico software</v>
          </cell>
          <cell r="O92">
            <v>730.36080000000015</v>
          </cell>
        </row>
        <row r="93">
          <cell r="A93" t="str">
            <v>PC 12,5" Touch SIEMENS deterministico hardware</v>
          </cell>
          <cell r="O93">
            <v>1700</v>
          </cell>
        </row>
        <row r="94">
          <cell r="A94" t="str">
            <v>PC 12,5" Touch SIEMENS deterministico hardware</v>
          </cell>
          <cell r="O94">
            <v>1185.4317599999999</v>
          </cell>
        </row>
        <row r="95">
          <cell r="A95" t="str">
            <v>PC 10,4" TASTIERA TECHMARK</v>
          </cell>
          <cell r="O95">
            <v>84</v>
          </cell>
        </row>
        <row r="96">
          <cell r="A96" t="str">
            <v>PC 10,4" TASTIERA TECHMARK</v>
          </cell>
          <cell r="O96">
            <v>548.15</v>
          </cell>
        </row>
        <row r="97">
          <cell r="A97" t="str">
            <v>PC 10,4" TASTIERA TECHMARK</v>
          </cell>
          <cell r="O97">
            <v>312</v>
          </cell>
        </row>
        <row r="98">
          <cell r="A98" t="str">
            <v>PC 10,4" TASTIERA TECHMARK</v>
          </cell>
          <cell r="O98">
            <v>161.5</v>
          </cell>
        </row>
        <row r="99">
          <cell r="A99" t="str">
            <v>PC 10,4" TASTIERA TECHMARK</v>
          </cell>
          <cell r="O99">
            <v>36.549999999999997</v>
          </cell>
        </row>
        <row r="100">
          <cell r="A100" t="str">
            <v>PC 10,4" TASTIERA TECHMARK</v>
          </cell>
          <cell r="O100">
            <v>190</v>
          </cell>
        </row>
        <row r="101">
          <cell r="A101" t="str">
            <v>PC 10,4" TASTIERA TECHMARK</v>
          </cell>
          <cell r="O101">
            <v>30</v>
          </cell>
        </row>
        <row r="102">
          <cell r="A102" t="str">
            <v>PC 10,4" TASTIERA TECHMARK</v>
          </cell>
          <cell r="O102">
            <v>40</v>
          </cell>
        </row>
        <row r="103">
          <cell r="A103" t="str">
            <v>PC 10,4" TASTIERA TECHMARK</v>
          </cell>
          <cell r="O103">
            <v>23.76</v>
          </cell>
        </row>
        <row r="104">
          <cell r="A104" t="str">
            <v>PANEL PLC8,4" + TASTIERA FAR</v>
          </cell>
          <cell r="O104">
            <v>1170</v>
          </cell>
        </row>
        <row r="105">
          <cell r="A105" t="str">
            <v>PANEL PLC8,4" + TASTIERA FAR</v>
          </cell>
          <cell r="O105">
            <v>84</v>
          </cell>
        </row>
        <row r="106">
          <cell r="A106" t="str">
            <v>PANEL PLC8,4" + TASTIERA FAR</v>
          </cell>
          <cell r="O106">
            <v>2</v>
          </cell>
        </row>
        <row r="107">
          <cell r="A107" t="str">
            <v>PANEL PLC 5,7" + TOUCH MOELLER</v>
          </cell>
          <cell r="O107">
            <v>1100</v>
          </cell>
        </row>
        <row r="108">
          <cell r="A108" t="str">
            <v>PANEL PLC 5,7" + TOUCH MOELLER</v>
          </cell>
          <cell r="O108">
            <v>84</v>
          </cell>
        </row>
        <row r="109">
          <cell r="A109" t="str">
            <v>PANEL PLC 5,7" + TOUCH MOELLER</v>
          </cell>
          <cell r="O109">
            <v>23.76</v>
          </cell>
        </row>
        <row r="110">
          <cell r="A110" t="str">
            <v>PANEL PLC 5,7" + TASTIERA B&amp;R</v>
          </cell>
          <cell r="O110">
            <v>977.56000000000006</v>
          </cell>
        </row>
        <row r="111">
          <cell r="A111" t="str">
            <v>PANEL PLC 5,7" + TASTIERA B&amp;R</v>
          </cell>
          <cell r="O111">
            <v>19.008000000000003</v>
          </cell>
        </row>
        <row r="112">
          <cell r="A112" t="str">
            <v>PANEL PLC 5,7" + TASTIERA B&amp;R</v>
          </cell>
          <cell r="O112">
            <v>67.2</v>
          </cell>
        </row>
        <row r="113">
          <cell r="A113" t="str">
            <v>PANEL PLC 10,4" + TOUCH MOELLER</v>
          </cell>
          <cell r="O113">
            <v>1700</v>
          </cell>
        </row>
        <row r="114">
          <cell r="A114" t="str">
            <v>PANEL PLC 10,4" + TOUCH MOELLER</v>
          </cell>
          <cell r="O114">
            <v>84</v>
          </cell>
        </row>
        <row r="115">
          <cell r="A115" t="str">
            <v>PANEL PLC 10,4" + TOUCH MOELLER</v>
          </cell>
          <cell r="O115">
            <v>23.76</v>
          </cell>
        </row>
        <row r="116">
          <cell r="A116" t="str">
            <v>PANEL PLC 10,4" + TASTIERA B&amp;R</v>
          </cell>
          <cell r="O116">
            <v>1200.1600000000001</v>
          </cell>
        </row>
        <row r="117">
          <cell r="A117" t="str">
            <v>PANEL PLC 10,4" + TASTIERA B&amp;R</v>
          </cell>
          <cell r="O117">
            <v>18.48</v>
          </cell>
        </row>
        <row r="118">
          <cell r="A118" t="str">
            <v>PANEL PLC 10,4" + TASTIERA B&amp;R</v>
          </cell>
          <cell r="O118">
            <v>67.2</v>
          </cell>
        </row>
        <row r="119">
          <cell r="A119" t="str">
            <v>motore &gt;=3 e &lt;= 4Kw</v>
          </cell>
          <cell r="O119">
            <v>11.07</v>
          </cell>
        </row>
        <row r="120">
          <cell r="A120" t="str">
            <v>motore &gt;=3 e &lt;= 4Kw</v>
          </cell>
          <cell r="O120">
            <v>23.31</v>
          </cell>
        </row>
        <row r="121">
          <cell r="A121" t="str">
            <v>motore &gt;=3 e &lt;= 4Kw</v>
          </cell>
          <cell r="O121">
            <v>2.85</v>
          </cell>
        </row>
        <row r="122">
          <cell r="A122" t="str">
            <v>motore &gt;=3 e &lt;= 4Kw</v>
          </cell>
          <cell r="O122">
            <v>2.0099999999999998</v>
          </cell>
        </row>
        <row r="123">
          <cell r="A123" t="str">
            <v>motore &gt;=3 e &lt;= 4Kw</v>
          </cell>
          <cell r="O123">
            <v>1.9804999999999999</v>
          </cell>
        </row>
        <row r="124">
          <cell r="A124" t="str">
            <v>motore &gt;=3 e &lt;= 4Kw</v>
          </cell>
          <cell r="O124">
            <v>0.47204160576779064</v>
          </cell>
        </row>
        <row r="125">
          <cell r="A125" t="str">
            <v>motore &gt;=3 e &lt;= 4Kw</v>
          </cell>
          <cell r="O125">
            <v>2.6339301853563812</v>
          </cell>
        </row>
        <row r="126">
          <cell r="A126" t="str">
            <v>motore &gt;=3 e &lt;= 4Kw</v>
          </cell>
          <cell r="O126">
            <v>0.54</v>
          </cell>
        </row>
        <row r="127">
          <cell r="A127" t="str">
            <v>motore = 7,5Kw</v>
          </cell>
          <cell r="O127">
            <v>4.28</v>
          </cell>
        </row>
        <row r="128">
          <cell r="A128" t="str">
            <v>motore = 7,5Kw</v>
          </cell>
          <cell r="O128">
            <v>27.1</v>
          </cell>
        </row>
        <row r="129">
          <cell r="A129" t="str">
            <v>motore = 7,5Kw</v>
          </cell>
          <cell r="O129">
            <v>63.989999999999995</v>
          </cell>
        </row>
        <row r="130">
          <cell r="A130" t="str">
            <v>motore = 7,5Kw</v>
          </cell>
          <cell r="O130">
            <v>23.31</v>
          </cell>
        </row>
        <row r="131">
          <cell r="A131" t="str">
            <v>motore = 7,5Kw</v>
          </cell>
          <cell r="O131">
            <v>6.0299999999999994</v>
          </cell>
        </row>
        <row r="132">
          <cell r="A132" t="str">
            <v>motore = 7,5Kw</v>
          </cell>
          <cell r="O132">
            <v>0.94408321153558128</v>
          </cell>
        </row>
        <row r="133">
          <cell r="A133" t="str">
            <v>motore = 7,5Kw</v>
          </cell>
          <cell r="O133">
            <v>5.2678603707127625</v>
          </cell>
        </row>
        <row r="134">
          <cell r="A134" t="str">
            <v>motore = 7,5Kw</v>
          </cell>
          <cell r="O134">
            <v>6.5</v>
          </cell>
        </row>
        <row r="135">
          <cell r="A135" t="str">
            <v>motore = 7,5Kw</v>
          </cell>
          <cell r="O135">
            <v>1.44</v>
          </cell>
        </row>
        <row r="136">
          <cell r="A136" t="str">
            <v>motore = 5,5Kw</v>
          </cell>
          <cell r="O136">
            <v>4.28</v>
          </cell>
        </row>
        <row r="137">
          <cell r="A137" t="str">
            <v>motore = 5,5Kw</v>
          </cell>
          <cell r="O137">
            <v>27.1</v>
          </cell>
        </row>
        <row r="138">
          <cell r="A138" t="str">
            <v>motore = 5,5Kw</v>
          </cell>
          <cell r="O138">
            <v>31.200000000000003</v>
          </cell>
        </row>
        <row r="139">
          <cell r="A139" t="str">
            <v>motore = 5,5Kw</v>
          </cell>
          <cell r="O139">
            <v>23.31</v>
          </cell>
        </row>
        <row r="140">
          <cell r="A140" t="str">
            <v>motore = 5,5Kw</v>
          </cell>
          <cell r="O140">
            <v>6.0299999999999994</v>
          </cell>
        </row>
        <row r="141">
          <cell r="A141" t="str">
            <v>motore = 5,5Kw</v>
          </cell>
          <cell r="O141">
            <v>0.94408321153558128</v>
          </cell>
        </row>
        <row r="142">
          <cell r="A142" t="str">
            <v>motore = 5,5Kw</v>
          </cell>
          <cell r="O142">
            <v>5.2678603707127625</v>
          </cell>
        </row>
        <row r="143">
          <cell r="A143" t="str">
            <v>motore = 5,5Kw</v>
          </cell>
          <cell r="O143">
            <v>6.5</v>
          </cell>
        </row>
        <row r="144">
          <cell r="A144" t="str">
            <v>motore = 5,5Kw</v>
          </cell>
          <cell r="O144">
            <v>1.08</v>
          </cell>
        </row>
        <row r="145">
          <cell r="A145" t="str">
            <v>motore = 30Kw</v>
          </cell>
          <cell r="O145">
            <v>27.1</v>
          </cell>
        </row>
        <row r="146">
          <cell r="A146" t="str">
            <v>motore = 30Kw</v>
          </cell>
          <cell r="O146">
            <v>31.38</v>
          </cell>
        </row>
        <row r="147">
          <cell r="A147" t="str">
            <v>motore = 30Kw</v>
          </cell>
          <cell r="O147">
            <v>86.28</v>
          </cell>
        </row>
        <row r="148">
          <cell r="A148" t="str">
            <v>motore = 30Kw</v>
          </cell>
          <cell r="O148">
            <v>85.19</v>
          </cell>
        </row>
        <row r="149">
          <cell r="A149" t="str">
            <v>motore = 30Kw</v>
          </cell>
          <cell r="O149">
            <v>7.1999999999999993</v>
          </cell>
        </row>
        <row r="150">
          <cell r="A150" t="str">
            <v>motore = 30Kw</v>
          </cell>
          <cell r="O150">
            <v>0.94408321153558128</v>
          </cell>
        </row>
        <row r="151">
          <cell r="A151" t="str">
            <v>motore = 30Kw</v>
          </cell>
          <cell r="O151">
            <v>10.535720741425525</v>
          </cell>
        </row>
        <row r="152">
          <cell r="A152" t="str">
            <v>motore = 30Kw</v>
          </cell>
          <cell r="O152">
            <v>6.5</v>
          </cell>
        </row>
        <row r="153">
          <cell r="A153" t="str">
            <v>motore = 30Kw</v>
          </cell>
          <cell r="O153">
            <v>3.6</v>
          </cell>
        </row>
        <row r="154">
          <cell r="A154" t="str">
            <v>motore = 22Kw</v>
          </cell>
          <cell r="O154">
            <v>27.1</v>
          </cell>
        </row>
        <row r="155">
          <cell r="A155" t="str">
            <v>motore = 22Kw</v>
          </cell>
          <cell r="O155">
            <v>31.38</v>
          </cell>
        </row>
        <row r="156">
          <cell r="A156" t="str">
            <v>motore = 22Kw</v>
          </cell>
          <cell r="O156">
            <v>86.28</v>
          </cell>
        </row>
        <row r="157">
          <cell r="A157" t="str">
            <v>motore = 22Kw</v>
          </cell>
          <cell r="O157">
            <v>80.63</v>
          </cell>
        </row>
        <row r="158">
          <cell r="A158" t="str">
            <v>motore = 22Kw</v>
          </cell>
          <cell r="O158">
            <v>7.1999999999999993</v>
          </cell>
        </row>
        <row r="159">
          <cell r="A159" t="str">
            <v>motore = 22Kw</v>
          </cell>
          <cell r="O159">
            <v>0.94408321153558128</v>
          </cell>
        </row>
        <row r="160">
          <cell r="A160" t="str">
            <v>motore = 22Kw</v>
          </cell>
          <cell r="O160">
            <v>10.535720741425525</v>
          </cell>
        </row>
        <row r="161">
          <cell r="A161" t="str">
            <v>motore = 22Kw</v>
          </cell>
          <cell r="O161">
            <v>6.5</v>
          </cell>
        </row>
        <row r="162">
          <cell r="A162" t="str">
            <v>motore = 22Kw</v>
          </cell>
          <cell r="O162">
            <v>1.8</v>
          </cell>
        </row>
        <row r="163">
          <cell r="A163" t="str">
            <v>motore = 15Kw</v>
          </cell>
          <cell r="O163">
            <v>38.634000000000007</v>
          </cell>
        </row>
        <row r="164">
          <cell r="A164" t="str">
            <v>motore = 15Kw</v>
          </cell>
          <cell r="O164">
            <v>27.1</v>
          </cell>
        </row>
        <row r="165">
          <cell r="A165" t="str">
            <v>motore = 15Kw</v>
          </cell>
          <cell r="O165">
            <v>21.33</v>
          </cell>
        </row>
        <row r="166">
          <cell r="A166" t="str">
            <v>motore = 15Kw</v>
          </cell>
          <cell r="O166">
            <v>62.76</v>
          </cell>
        </row>
        <row r="167">
          <cell r="A167" t="str">
            <v>motore = 15Kw</v>
          </cell>
          <cell r="O167">
            <v>7.1999999999999993</v>
          </cell>
        </row>
        <row r="168">
          <cell r="A168" t="str">
            <v>motore = 15Kw</v>
          </cell>
          <cell r="O168">
            <v>0.94408321153558128</v>
          </cell>
        </row>
        <row r="169">
          <cell r="A169" t="str">
            <v>motore = 15Kw</v>
          </cell>
          <cell r="O169">
            <v>5.2678603707127625</v>
          </cell>
        </row>
        <row r="170">
          <cell r="A170" t="str">
            <v>motore = 15Kw</v>
          </cell>
          <cell r="O170">
            <v>6.5</v>
          </cell>
        </row>
        <row r="171">
          <cell r="A171" t="str">
            <v>motore = 15Kw</v>
          </cell>
          <cell r="O171">
            <v>1.8</v>
          </cell>
        </row>
        <row r="172">
          <cell r="A172" t="str">
            <v>motore = 11Kw</v>
          </cell>
          <cell r="O172">
            <v>27.1</v>
          </cell>
        </row>
        <row r="173">
          <cell r="A173" t="str">
            <v>motore = 11Kw</v>
          </cell>
          <cell r="O173">
            <v>63.989999999999995</v>
          </cell>
        </row>
        <row r="174">
          <cell r="A174" t="str">
            <v>motore = 11Kw</v>
          </cell>
          <cell r="O174">
            <v>23.31</v>
          </cell>
        </row>
        <row r="175">
          <cell r="A175" t="str">
            <v>motore = 11Kw</v>
          </cell>
          <cell r="O175">
            <v>7.1999999999999993</v>
          </cell>
        </row>
        <row r="176">
          <cell r="A176" t="str">
            <v>motore = 11Kw</v>
          </cell>
          <cell r="O176">
            <v>0.94408321153558128</v>
          </cell>
        </row>
        <row r="177">
          <cell r="A177" t="str">
            <v>motore = 11Kw</v>
          </cell>
          <cell r="O177">
            <v>5.2678603707127625</v>
          </cell>
        </row>
        <row r="178">
          <cell r="A178" t="str">
            <v>motore = 11Kw</v>
          </cell>
          <cell r="O178">
            <v>6.5</v>
          </cell>
        </row>
        <row r="179">
          <cell r="A179" t="str">
            <v>motore = 11Kw</v>
          </cell>
          <cell r="O179">
            <v>1.44</v>
          </cell>
        </row>
        <row r="180">
          <cell r="A180" t="str">
            <v>motore &lt;0,25 e &lt;3 Kw</v>
          </cell>
          <cell r="O180">
            <v>10.4</v>
          </cell>
        </row>
        <row r="181">
          <cell r="A181" t="str">
            <v>motore &lt;0,25 e &lt;3 Kw</v>
          </cell>
          <cell r="O181">
            <v>19.579999999999998</v>
          </cell>
        </row>
        <row r="182">
          <cell r="A182" t="str">
            <v>motore &lt;0,25 e &lt;3 Kw</v>
          </cell>
          <cell r="O182">
            <v>2.85</v>
          </cell>
        </row>
        <row r="183">
          <cell r="A183" t="str">
            <v>motore &lt;0,25 e &lt;3 Kw</v>
          </cell>
          <cell r="O183">
            <v>2.0099999999999998</v>
          </cell>
        </row>
        <row r="184">
          <cell r="A184" t="str">
            <v>motore &lt;0,25 e &lt;3 Kw</v>
          </cell>
          <cell r="O184">
            <v>1.9804999999999999</v>
          </cell>
        </row>
        <row r="185">
          <cell r="A185" t="str">
            <v>motore &lt;0,25 e &lt;3 Kw</v>
          </cell>
          <cell r="O185">
            <v>0.47204160576779064</v>
          </cell>
        </row>
        <row r="186">
          <cell r="A186" t="str">
            <v>motore &lt;0,25 e &lt;3 Kw</v>
          </cell>
          <cell r="O186">
            <v>2.6339301853563812</v>
          </cell>
        </row>
        <row r="187">
          <cell r="A187" t="str">
            <v>motore &lt;0,25 e &lt;3 Kw</v>
          </cell>
          <cell r="O187">
            <v>0.36</v>
          </cell>
        </row>
        <row r="188">
          <cell r="A188" t="str">
            <v>motore &lt;= 0,25Kw</v>
          </cell>
          <cell r="O188">
            <v>10.4</v>
          </cell>
        </row>
        <row r="189">
          <cell r="A189" t="str">
            <v>motore &lt;= 0,25Kw</v>
          </cell>
          <cell r="O189">
            <v>19.579999999999998</v>
          </cell>
        </row>
        <row r="190">
          <cell r="A190" t="str">
            <v>motore &lt;= 0,25Kw</v>
          </cell>
          <cell r="O190">
            <v>2.85</v>
          </cell>
        </row>
        <row r="191">
          <cell r="A191" t="str">
            <v>motore &lt;= 0,25Kw</v>
          </cell>
          <cell r="O191">
            <v>2.0099999999999998</v>
          </cell>
        </row>
        <row r="192">
          <cell r="A192" t="str">
            <v>motore &lt;= 0,25Kw</v>
          </cell>
          <cell r="O192">
            <v>1.9804999999999999</v>
          </cell>
        </row>
        <row r="193">
          <cell r="A193" t="str">
            <v>motore &lt;= 0,25Kw</v>
          </cell>
          <cell r="O193">
            <v>0.47204160576779064</v>
          </cell>
        </row>
        <row r="194">
          <cell r="A194" t="str">
            <v>motore &lt;= 0,25Kw</v>
          </cell>
          <cell r="O194">
            <v>2.6339301853563812</v>
          </cell>
        </row>
        <row r="195">
          <cell r="A195" t="str">
            <v>motore &lt;= 0,25Kw</v>
          </cell>
          <cell r="O195">
            <v>0.36</v>
          </cell>
        </row>
        <row r="196">
          <cell r="A196" t="str">
            <v>inverter/silo</v>
          </cell>
          <cell r="O196">
            <v>11.07</v>
          </cell>
        </row>
        <row r="197">
          <cell r="A197" t="str">
            <v>inverter/silo</v>
          </cell>
          <cell r="O197">
            <v>0.47204160576779064</v>
          </cell>
        </row>
        <row r="198">
          <cell r="A198" t="str">
            <v>inverter/silo</v>
          </cell>
          <cell r="O198">
            <v>2.6339301853563812</v>
          </cell>
        </row>
        <row r="199">
          <cell r="A199" t="str">
            <v>inverter/silo</v>
          </cell>
          <cell r="O199">
            <v>11.700000000000001</v>
          </cell>
        </row>
        <row r="200">
          <cell r="A200" t="str">
            <v>inverter trifase =0,75 Kw</v>
          </cell>
          <cell r="O200">
            <v>29.92</v>
          </cell>
        </row>
        <row r="201">
          <cell r="A201" t="str">
            <v>inverter trifase =0,75 Kw</v>
          </cell>
          <cell r="O201">
            <v>12.7806</v>
          </cell>
        </row>
        <row r="202">
          <cell r="A202" t="str">
            <v>inverter trifase =0,75 Kw</v>
          </cell>
          <cell r="O202">
            <v>219.32040000000001</v>
          </cell>
        </row>
        <row r="203">
          <cell r="A203" t="str">
            <v>inverter trifase =0,75 Kw</v>
          </cell>
          <cell r="O203">
            <v>5</v>
          </cell>
        </row>
        <row r="204">
          <cell r="A204" t="str">
            <v>inverter trifase = 1,5 Kw</v>
          </cell>
          <cell r="O204">
            <v>29.92</v>
          </cell>
        </row>
        <row r="205">
          <cell r="A205" t="str">
            <v>inverter trifase = 1,5 Kw</v>
          </cell>
          <cell r="O205">
            <v>12.7806</v>
          </cell>
        </row>
        <row r="206">
          <cell r="A206" t="str">
            <v>inverter trifase = 1,5 Kw</v>
          </cell>
          <cell r="O206">
            <v>245.50890000000001</v>
          </cell>
        </row>
        <row r="207">
          <cell r="A207" t="str">
            <v>inverter trifase = 1,5 Kw</v>
          </cell>
          <cell r="O207">
            <v>5</v>
          </cell>
        </row>
        <row r="208">
          <cell r="A208" t="str">
            <v>inverter monofase =0,75 Kw</v>
          </cell>
          <cell r="O208">
            <v>29.92</v>
          </cell>
        </row>
        <row r="209">
          <cell r="A209" t="str">
            <v>inverter monofase =0,75 Kw</v>
          </cell>
          <cell r="O209">
            <v>12.7806</v>
          </cell>
        </row>
        <row r="210">
          <cell r="A210" t="str">
            <v>inverter monofase =0,75 Kw</v>
          </cell>
          <cell r="O210">
            <v>116.4075</v>
          </cell>
        </row>
        <row r="211">
          <cell r="A211" t="str">
            <v>inverter monofase =0,75 Kw</v>
          </cell>
          <cell r="O211">
            <v>5</v>
          </cell>
        </row>
        <row r="212">
          <cell r="A212" t="str">
            <v>inverter monofase =0,37 Kw</v>
          </cell>
          <cell r="O212">
            <v>29.92</v>
          </cell>
        </row>
        <row r="213">
          <cell r="A213" t="str">
            <v>inverter monofase =0,37 Kw</v>
          </cell>
          <cell r="O213">
            <v>12.7806</v>
          </cell>
        </row>
        <row r="214">
          <cell r="A214" t="str">
            <v>inverter monofase =0,37 Kw</v>
          </cell>
          <cell r="O214">
            <v>97.007100000000008</v>
          </cell>
        </row>
        <row r="215">
          <cell r="A215" t="str">
            <v>inverter monofase =0,37 Kw</v>
          </cell>
          <cell r="O215">
            <v>5</v>
          </cell>
        </row>
        <row r="216">
          <cell r="A216" t="str">
            <v>interruttore manovra 63A 4P</v>
          </cell>
          <cell r="O216">
            <v>27.82</v>
          </cell>
        </row>
        <row r="217">
          <cell r="A217" t="str">
            <v>interruttore manovra 63A 4P</v>
          </cell>
          <cell r="O217">
            <v>4.87</v>
          </cell>
        </row>
        <row r="218">
          <cell r="A218" t="str">
            <v>interruttore manovra 63A 4P</v>
          </cell>
          <cell r="O218">
            <v>10.2775</v>
          </cell>
        </row>
        <row r="219">
          <cell r="A219" t="str">
            <v>interruttore manovra 63A 3P</v>
          </cell>
          <cell r="O219">
            <v>27.82</v>
          </cell>
        </row>
        <row r="220">
          <cell r="A220" t="str">
            <v>interruttore manovra 32A 4P</v>
          </cell>
          <cell r="O220">
            <v>14.79</v>
          </cell>
        </row>
        <row r="221">
          <cell r="A221" t="str">
            <v>interruttore manovra 32A 4P</v>
          </cell>
          <cell r="O221">
            <v>2.97</v>
          </cell>
        </row>
        <row r="222">
          <cell r="A222" t="str">
            <v>interruttore manovra 32A 4P</v>
          </cell>
          <cell r="O222">
            <v>7.64</v>
          </cell>
        </row>
        <row r="223">
          <cell r="A223" t="str">
            <v>interruttore manovra 32A 3P</v>
          </cell>
          <cell r="O223">
            <v>14.79</v>
          </cell>
        </row>
        <row r="224">
          <cell r="A224" t="str">
            <v>interruttore manovra 125A 4P</v>
          </cell>
          <cell r="O224">
            <v>45.28</v>
          </cell>
        </row>
        <row r="225">
          <cell r="A225" t="str">
            <v>interruttore manovra 125A 4P</v>
          </cell>
          <cell r="O225">
            <v>7.29</v>
          </cell>
        </row>
        <row r="226">
          <cell r="A226" t="str">
            <v>interruttore manovra 125A 4P</v>
          </cell>
          <cell r="O226">
            <v>12.904999999999999</v>
          </cell>
        </row>
        <row r="227">
          <cell r="A227" t="str">
            <v>interruttore manovra 125A 3P</v>
          </cell>
          <cell r="O227">
            <v>45.28</v>
          </cell>
        </row>
        <row r="228">
          <cell r="A228" t="str">
            <v>interruttore manovra 100A 4P</v>
          </cell>
          <cell r="O228">
            <v>36.46</v>
          </cell>
        </row>
        <row r="229">
          <cell r="A229" t="str">
            <v>interruttore manovra 100A 4P</v>
          </cell>
          <cell r="O229">
            <v>7.29</v>
          </cell>
        </row>
        <row r="230">
          <cell r="A230" t="str">
            <v>interruttore manovra 100A 4P</v>
          </cell>
          <cell r="O230">
            <v>12.904999999999999</v>
          </cell>
        </row>
        <row r="231">
          <cell r="A231" t="str">
            <v>interruttore manovra 100A 3P</v>
          </cell>
          <cell r="O231">
            <v>36.46</v>
          </cell>
        </row>
        <row r="232">
          <cell r="A232" t="str">
            <v>interruttore magnetico 400 4P</v>
          </cell>
          <cell r="O232">
            <v>318.2</v>
          </cell>
        </row>
        <row r="233">
          <cell r="A233" t="str">
            <v>interruttore magnetico 400 4P</v>
          </cell>
          <cell r="O233">
            <v>51.53</v>
          </cell>
        </row>
        <row r="234">
          <cell r="A234" t="str">
            <v>interruttore magnetico 400 4P</v>
          </cell>
          <cell r="O234">
            <v>46.38</v>
          </cell>
        </row>
        <row r="235">
          <cell r="A235" t="str">
            <v>interruttore magnetico 400 4P</v>
          </cell>
          <cell r="O235">
            <v>12.5</v>
          </cell>
        </row>
        <row r="236">
          <cell r="A236" t="str">
            <v>interruttore magnetico 400 3P</v>
          </cell>
          <cell r="O236">
            <v>254.3</v>
          </cell>
        </row>
        <row r="237">
          <cell r="A237" t="str">
            <v>interruttore magnetico 400 3P</v>
          </cell>
          <cell r="O237">
            <v>51.53</v>
          </cell>
        </row>
        <row r="238">
          <cell r="A238" t="str">
            <v>interruttore magnetico 400 3P</v>
          </cell>
          <cell r="O238">
            <v>34.840000000000003</v>
          </cell>
        </row>
        <row r="239">
          <cell r="A239" t="str">
            <v>interruttore magnetico 400 3P</v>
          </cell>
          <cell r="O239">
            <v>11.75</v>
          </cell>
        </row>
        <row r="240">
          <cell r="A240" t="str">
            <v>interruttore magnetico 250 4P</v>
          </cell>
          <cell r="O240">
            <v>219.51</v>
          </cell>
        </row>
        <row r="241">
          <cell r="A241" t="str">
            <v>interruttore magnetico 250 4P</v>
          </cell>
          <cell r="O241">
            <v>8.7799999999999994</v>
          </cell>
        </row>
        <row r="242">
          <cell r="A242" t="str">
            <v>interruttore magnetico 250 4P</v>
          </cell>
          <cell r="O242">
            <v>46.38</v>
          </cell>
        </row>
        <row r="243">
          <cell r="A243" t="str">
            <v>interruttore magnetico 250 4P</v>
          </cell>
          <cell r="O243">
            <v>35.86</v>
          </cell>
        </row>
        <row r="244">
          <cell r="A244" t="str">
            <v>interruttore magnetico 250 3P</v>
          </cell>
          <cell r="O244">
            <v>205.1</v>
          </cell>
        </row>
        <row r="245">
          <cell r="A245" t="str">
            <v>interruttore magnetico 250 3P</v>
          </cell>
          <cell r="O245">
            <v>7.29</v>
          </cell>
        </row>
        <row r="246">
          <cell r="A246" t="str">
            <v>interruttore magnetico 250 3P</v>
          </cell>
          <cell r="O246">
            <v>46.38</v>
          </cell>
        </row>
        <row r="247">
          <cell r="A247" t="str">
            <v>interruttore magnetico 250 3P</v>
          </cell>
          <cell r="O247">
            <v>26.8</v>
          </cell>
        </row>
        <row r="248">
          <cell r="A248" t="str">
            <v>interruttore magnetico 160 4P</v>
          </cell>
          <cell r="O248">
            <v>144.54</v>
          </cell>
        </row>
        <row r="249">
          <cell r="A249" t="str">
            <v>interruttore magnetico 160 4P</v>
          </cell>
          <cell r="O249">
            <v>46.38</v>
          </cell>
        </row>
        <row r="250">
          <cell r="A250" t="str">
            <v>interruttore magnetico 160 4P</v>
          </cell>
          <cell r="O250">
            <v>19.98</v>
          </cell>
        </row>
        <row r="251">
          <cell r="A251" t="str">
            <v>interruttore magnetico 160 4P</v>
          </cell>
          <cell r="O251">
            <v>8.7799999999999994</v>
          </cell>
        </row>
        <row r="252">
          <cell r="A252" t="str">
            <v>interruttore magnetico 160 3P</v>
          </cell>
          <cell r="O252">
            <v>116.2</v>
          </cell>
        </row>
        <row r="253">
          <cell r="A253" t="str">
            <v>interruttore magnetico 160 3P</v>
          </cell>
          <cell r="O253">
            <v>46.38</v>
          </cell>
        </row>
        <row r="254">
          <cell r="A254" t="str">
            <v>interruttore magnetico 160 3P</v>
          </cell>
          <cell r="O254">
            <v>15.04</v>
          </cell>
        </row>
        <row r="255">
          <cell r="A255" t="str">
            <v>interruttore magnetico 160 3P</v>
          </cell>
          <cell r="O255">
            <v>7.29</v>
          </cell>
        </row>
        <row r="256">
          <cell r="A256" t="str">
            <v>interruttore magnetico 100 4P</v>
          </cell>
          <cell r="O256">
            <v>91.21</v>
          </cell>
        </row>
        <row r="257">
          <cell r="A257" t="str">
            <v>interruttore magnetico 100 4P</v>
          </cell>
          <cell r="O257">
            <v>46.38</v>
          </cell>
        </row>
        <row r="258">
          <cell r="A258" t="str">
            <v>interruttore magnetico 100 4P</v>
          </cell>
          <cell r="O258">
            <v>19.98</v>
          </cell>
        </row>
        <row r="259">
          <cell r="A259" t="str">
            <v>interruttore magnetico 100 4P</v>
          </cell>
          <cell r="O259">
            <v>8.7799999999999994</v>
          </cell>
        </row>
        <row r="260">
          <cell r="A260" t="str">
            <v>interruttore magnetico 100 3P</v>
          </cell>
          <cell r="O260">
            <v>74.97</v>
          </cell>
        </row>
        <row r="261">
          <cell r="A261" t="str">
            <v>interruttore magnetico 100 3P</v>
          </cell>
          <cell r="O261">
            <v>46.38</v>
          </cell>
        </row>
        <row r="262">
          <cell r="A262" t="str">
            <v>interruttore magnetico 100 3P</v>
          </cell>
          <cell r="O262">
            <v>15.04</v>
          </cell>
        </row>
        <row r="263">
          <cell r="A263" t="str">
            <v>interruttore magnetico 100 3P</v>
          </cell>
          <cell r="O263">
            <v>7.29</v>
          </cell>
        </row>
        <row r="264">
          <cell r="A264" t="str">
            <v>filtro INVERTER</v>
          </cell>
          <cell r="O264">
            <v>60.43</v>
          </cell>
        </row>
        <row r="265">
          <cell r="A265" t="str">
            <v>filtro aria con scheda WAM</v>
          </cell>
          <cell r="O265">
            <v>3.024</v>
          </cell>
        </row>
        <row r="266">
          <cell r="A266" t="str">
            <v>filtro aria con scheda WAM</v>
          </cell>
          <cell r="O266">
            <v>6.5</v>
          </cell>
        </row>
        <row r="267">
          <cell r="A267" t="str">
            <v>ESPANSIONE RETE</v>
          </cell>
          <cell r="O267">
            <v>124.78924799999999</v>
          </cell>
        </row>
        <row r="268">
          <cell r="A268" t="str">
            <v>ESPANSIONE RETE</v>
          </cell>
          <cell r="O268">
            <v>2.0424959999999999</v>
          </cell>
        </row>
        <row r="269">
          <cell r="A269" t="str">
            <v>ESPANSIONE RETE</v>
          </cell>
          <cell r="O269">
            <v>18.592200000000002</v>
          </cell>
        </row>
        <row r="270">
          <cell r="A270" t="str">
            <v>elettrovalvole</v>
          </cell>
          <cell r="O270">
            <v>0.36</v>
          </cell>
        </row>
        <row r="271">
          <cell r="A271" t="str">
            <v>elettrovalvole</v>
          </cell>
          <cell r="O271">
            <v>2.7888672550832272</v>
          </cell>
        </row>
        <row r="272">
          <cell r="A272" t="str">
            <v>elettrovalvole</v>
          </cell>
          <cell r="O272">
            <v>1.7817763018587285</v>
          </cell>
        </row>
        <row r="273">
          <cell r="A273" t="str">
            <v>elettrovalvole</v>
          </cell>
          <cell r="O273">
            <v>1.2394965578147676</v>
          </cell>
        </row>
        <row r="274">
          <cell r="A274" t="str">
            <v>cpu 318 2dp</v>
          </cell>
          <cell r="O274">
            <v>68.739839999999987</v>
          </cell>
        </row>
        <row r="275">
          <cell r="A275" t="str">
            <v>cpu 318 2dp</v>
          </cell>
          <cell r="O275">
            <v>2142.0391680000002</v>
          </cell>
        </row>
        <row r="276">
          <cell r="A276" t="str">
            <v>cpu 318 2dp</v>
          </cell>
          <cell r="O276">
            <v>229.48531199999999</v>
          </cell>
        </row>
        <row r="277">
          <cell r="A277" t="str">
            <v>cpu 318 2dp</v>
          </cell>
          <cell r="O277">
            <v>6.1326719999999995</v>
          </cell>
        </row>
        <row r="278">
          <cell r="A278" t="str">
            <v>cpu 318 2dp</v>
          </cell>
          <cell r="O278">
            <v>18.592200000000002</v>
          </cell>
        </row>
        <row r="279">
          <cell r="A279" t="str">
            <v>cpu 318 2dp</v>
          </cell>
          <cell r="O279">
            <v>24.786000000000001</v>
          </cell>
        </row>
        <row r="280">
          <cell r="A280" t="str">
            <v>cpu 316 2dp</v>
          </cell>
          <cell r="O280">
            <v>68.739839999999987</v>
          </cell>
        </row>
        <row r="281">
          <cell r="A281" t="str">
            <v>cpu 316 2dp</v>
          </cell>
          <cell r="O281">
            <v>1224.0979199999999</v>
          </cell>
        </row>
        <row r="282">
          <cell r="A282" t="str">
            <v>cpu 316 2dp</v>
          </cell>
          <cell r="O282">
            <v>143.824896</v>
          </cell>
        </row>
        <row r="283">
          <cell r="A283" t="str">
            <v>cpu 316 2dp</v>
          </cell>
          <cell r="O283">
            <v>6.1326719999999995</v>
          </cell>
        </row>
        <row r="284">
          <cell r="A284" t="str">
            <v>cpu 316 2dp</v>
          </cell>
          <cell r="O284">
            <v>18.592200000000002</v>
          </cell>
        </row>
        <row r="285">
          <cell r="A285" t="str">
            <v>cpu 316 2dp</v>
          </cell>
          <cell r="O285">
            <v>24.786000000000001</v>
          </cell>
        </row>
        <row r="286">
          <cell r="A286" t="str">
            <v>CPU 315C 2DP</v>
          </cell>
          <cell r="O286">
            <v>68.739839999999987</v>
          </cell>
        </row>
        <row r="287">
          <cell r="A287" t="str">
            <v>CPU 315C 2DP</v>
          </cell>
          <cell r="O287">
            <v>660.95999999999992</v>
          </cell>
        </row>
        <row r="288">
          <cell r="A288" t="str">
            <v>CPU 315C 2DP</v>
          </cell>
          <cell r="O288">
            <v>2.0424959999999999</v>
          </cell>
        </row>
        <row r="289">
          <cell r="A289" t="str">
            <v>CPU 315C 2DP</v>
          </cell>
          <cell r="O289">
            <v>84.602879999999985</v>
          </cell>
        </row>
        <row r="290">
          <cell r="A290" t="str">
            <v>CPU 315C 2DP</v>
          </cell>
          <cell r="O290">
            <v>24.786000000000001</v>
          </cell>
        </row>
        <row r="291">
          <cell r="A291" t="str">
            <v>cpu 315 2dp MMC</v>
          </cell>
          <cell r="O291">
            <v>68.739839999999987</v>
          </cell>
        </row>
        <row r="292">
          <cell r="A292" t="str">
            <v>cpu 315 2dp MMC</v>
          </cell>
          <cell r="O292">
            <v>660.95999999999992</v>
          </cell>
        </row>
        <row r="293">
          <cell r="A293" t="str">
            <v>cpu 315 2dp MMC</v>
          </cell>
          <cell r="O293">
            <v>84.602879999999985</v>
          </cell>
        </row>
        <row r="294">
          <cell r="A294" t="str">
            <v>cpu 315 2dp MMC</v>
          </cell>
          <cell r="O294">
            <v>18.592200000000002</v>
          </cell>
        </row>
        <row r="295">
          <cell r="A295" t="str">
            <v>cpu 315 2dp MMC</v>
          </cell>
          <cell r="O295">
            <v>24.786000000000001</v>
          </cell>
        </row>
        <row r="296">
          <cell r="A296" t="str">
            <v>cpu 315 2dp</v>
          </cell>
          <cell r="O296">
            <v>68.739839999999987</v>
          </cell>
        </row>
        <row r="297">
          <cell r="A297" t="str">
            <v>cpu 315 2dp</v>
          </cell>
          <cell r="O297">
            <v>673.12166400000001</v>
          </cell>
        </row>
        <row r="298">
          <cell r="A298" t="str">
            <v>cpu 315 2dp</v>
          </cell>
          <cell r="O298">
            <v>116.32896</v>
          </cell>
        </row>
        <row r="299">
          <cell r="A299" t="str">
            <v>cpu 315 2dp</v>
          </cell>
          <cell r="O299">
            <v>6.1326719999999995</v>
          </cell>
        </row>
        <row r="300">
          <cell r="A300" t="str">
            <v>cpu 315 2dp</v>
          </cell>
          <cell r="O300">
            <v>18.592200000000002</v>
          </cell>
        </row>
        <row r="301">
          <cell r="A301" t="str">
            <v>cpu 315 2dp</v>
          </cell>
          <cell r="O301">
            <v>24.786000000000001</v>
          </cell>
        </row>
        <row r="302">
          <cell r="A302" t="str">
            <v>CPU 314C 2DP (24DI 16DO 4AI 2 AO)</v>
          </cell>
          <cell r="O302">
            <v>68.739839999999987</v>
          </cell>
        </row>
        <row r="303">
          <cell r="A303" t="str">
            <v>CPU 314C 2DP (24DI 16DO 4AI 2 AO)</v>
          </cell>
          <cell r="O303">
            <v>719.12447999999995</v>
          </cell>
        </row>
        <row r="304">
          <cell r="A304" t="str">
            <v>CPU 314C 2DP (24DI 16DO 4AI 2 AO)</v>
          </cell>
          <cell r="O304">
            <v>6.1274879999999996</v>
          </cell>
        </row>
        <row r="305">
          <cell r="A305" t="str">
            <v>CPU 314C 2DP (24DI 16DO 4AI 2 AO)</v>
          </cell>
          <cell r="O305">
            <v>84.602879999999985</v>
          </cell>
        </row>
        <row r="306">
          <cell r="A306" t="str">
            <v>CPU 314C 2DP (24DI 16DO 4AI 2 AO)</v>
          </cell>
          <cell r="O306">
            <v>88.568640000000016</v>
          </cell>
        </row>
        <row r="307">
          <cell r="A307" t="str">
            <v>CPU 314C 2DP (24DI 16DO 4AI 2 AO)</v>
          </cell>
          <cell r="O307">
            <v>24.786000000000001</v>
          </cell>
        </row>
        <row r="308">
          <cell r="A308" t="str">
            <v>cpu 314 ptp</v>
          </cell>
          <cell r="O308">
            <v>68.739839999999987</v>
          </cell>
        </row>
        <row r="309">
          <cell r="A309" t="str">
            <v>cpu 314 ptp</v>
          </cell>
          <cell r="O309">
            <v>634.52159999999992</v>
          </cell>
        </row>
        <row r="310">
          <cell r="A310" t="str">
            <v>cpu 314 ptp</v>
          </cell>
          <cell r="O310">
            <v>37.013759999999998</v>
          </cell>
        </row>
        <row r="311">
          <cell r="A311" t="str">
            <v>cpu 314 ptp</v>
          </cell>
          <cell r="O311">
            <v>24.786000000000001</v>
          </cell>
        </row>
        <row r="312">
          <cell r="A312" t="str">
            <v>cpu 314 MMC</v>
          </cell>
          <cell r="O312">
            <v>68.739839999999987</v>
          </cell>
        </row>
        <row r="313">
          <cell r="A313" t="str">
            <v>cpu 314 MMC</v>
          </cell>
          <cell r="O313">
            <v>264.38399999999996</v>
          </cell>
        </row>
        <row r="314">
          <cell r="A314" t="str">
            <v>cpu 314 MMC</v>
          </cell>
          <cell r="O314">
            <v>37.013759999999998</v>
          </cell>
        </row>
        <row r="315">
          <cell r="A315" t="str">
            <v>cpu 314 MMC</v>
          </cell>
          <cell r="O315">
            <v>24.786000000000001</v>
          </cell>
        </row>
        <row r="316">
          <cell r="A316" t="str">
            <v>cpu 314 2dp</v>
          </cell>
          <cell r="O316">
            <v>68.739839999999987</v>
          </cell>
        </row>
        <row r="317">
          <cell r="A317" t="str">
            <v>cpu 314 2dp</v>
          </cell>
          <cell r="O317">
            <v>719.12447999999995</v>
          </cell>
        </row>
        <row r="318">
          <cell r="A318" t="str">
            <v>cpu 314 2dp</v>
          </cell>
          <cell r="O318">
            <v>37.013759999999998</v>
          </cell>
        </row>
        <row r="319">
          <cell r="A319" t="str">
            <v>cpu 314 2dp</v>
          </cell>
          <cell r="O319">
            <v>18.592200000000002</v>
          </cell>
        </row>
        <row r="320">
          <cell r="A320" t="str">
            <v>cpu 314 2dp</v>
          </cell>
          <cell r="O320">
            <v>24.786000000000001</v>
          </cell>
        </row>
        <row r="321">
          <cell r="A321" t="str">
            <v>cpu 313c ptp</v>
          </cell>
          <cell r="O321">
            <v>68.739839999999987</v>
          </cell>
        </row>
        <row r="322">
          <cell r="A322" t="str">
            <v>cpu 313c ptp</v>
          </cell>
          <cell r="O322">
            <v>417.72671999999994</v>
          </cell>
        </row>
        <row r="323">
          <cell r="A323" t="str">
            <v>cpu 313c ptp</v>
          </cell>
          <cell r="O323">
            <v>18.592200000000002</v>
          </cell>
        </row>
        <row r="324">
          <cell r="A324" t="str">
            <v>cpu 313c ptp</v>
          </cell>
          <cell r="O324">
            <v>24.786000000000001</v>
          </cell>
        </row>
        <row r="325">
          <cell r="A325" t="str">
            <v>cpu 313c 2dp</v>
          </cell>
          <cell r="O325">
            <v>68.739839999999987</v>
          </cell>
        </row>
        <row r="326">
          <cell r="A326" t="str">
            <v>cpu 313c 2dp</v>
          </cell>
          <cell r="O326">
            <v>499.68575999999996</v>
          </cell>
        </row>
        <row r="327">
          <cell r="A327" t="str">
            <v>cpu 313c 2dp</v>
          </cell>
          <cell r="O327">
            <v>37.013759999999998</v>
          </cell>
        </row>
        <row r="328">
          <cell r="A328" t="str">
            <v>cpu 313c 2dp</v>
          </cell>
          <cell r="O328">
            <v>18.592200000000002</v>
          </cell>
        </row>
        <row r="329">
          <cell r="A329" t="str">
            <v>cpu 313c 2dp</v>
          </cell>
          <cell r="O329">
            <v>24.786000000000001</v>
          </cell>
        </row>
        <row r="330">
          <cell r="A330" t="str">
            <v>cpu 313c</v>
          </cell>
          <cell r="O330">
            <v>68.739839999999987</v>
          </cell>
        </row>
        <row r="331">
          <cell r="A331" t="str">
            <v>cpu 313c</v>
          </cell>
          <cell r="O331">
            <v>391.28831999999994</v>
          </cell>
        </row>
        <row r="332">
          <cell r="A332" t="str">
            <v>cpu 313c</v>
          </cell>
          <cell r="O332">
            <v>37.013759999999998</v>
          </cell>
        </row>
        <row r="333">
          <cell r="A333" t="str">
            <v>cpu 313c</v>
          </cell>
          <cell r="O333">
            <v>24.786000000000001</v>
          </cell>
        </row>
        <row r="334">
          <cell r="A334" t="str">
            <v>controller PROFIBUS</v>
          </cell>
          <cell r="O334">
            <v>6.1326719999999995</v>
          </cell>
        </row>
        <row r="335">
          <cell r="A335" t="str">
            <v>controller PROFIBUS</v>
          </cell>
          <cell r="O335">
            <v>94.120703999999989</v>
          </cell>
        </row>
        <row r="336">
          <cell r="A336" t="str">
            <v>controller PROFIBUS</v>
          </cell>
          <cell r="O336">
            <v>3.4888319999999999</v>
          </cell>
        </row>
        <row r="337">
          <cell r="A337" t="str">
            <v>controller ETHERNET FAR</v>
          </cell>
          <cell r="O337">
            <v>2</v>
          </cell>
        </row>
        <row r="338">
          <cell r="A338" t="str">
            <v>controller ETHERNET FAR</v>
          </cell>
          <cell r="O338">
            <v>200</v>
          </cell>
        </row>
        <row r="339">
          <cell r="A339" t="str">
            <v>controller CANopen TECHMARK</v>
          </cell>
          <cell r="O339">
            <v>113.05</v>
          </cell>
        </row>
        <row r="340">
          <cell r="A340" t="str">
            <v>controller CANopen TECHMARK</v>
          </cell>
          <cell r="O340">
            <v>23.76</v>
          </cell>
        </row>
        <row r="341">
          <cell r="A341" t="str">
            <v>controller CANopen MOELLER</v>
          </cell>
          <cell r="O341">
            <v>114</v>
          </cell>
        </row>
        <row r="342">
          <cell r="A342" t="str">
            <v>controller CANopen MOELLER</v>
          </cell>
          <cell r="O342">
            <v>36.1</v>
          </cell>
        </row>
        <row r="343">
          <cell r="A343" t="str">
            <v>controller CANopen MOELLER</v>
          </cell>
          <cell r="O343">
            <v>4.8</v>
          </cell>
        </row>
        <row r="344">
          <cell r="A344" t="str">
            <v>controller CANopen MOELLER</v>
          </cell>
          <cell r="O344">
            <v>23.76</v>
          </cell>
        </row>
        <row r="345">
          <cell r="A345" t="str">
            <v>controller CANopen B&amp;R</v>
          </cell>
          <cell r="O345">
            <v>18.48</v>
          </cell>
        </row>
        <row r="346">
          <cell r="A346" t="str">
            <v>controller CANopen B&amp;R</v>
          </cell>
          <cell r="O346">
            <v>85.68</v>
          </cell>
        </row>
        <row r="347">
          <cell r="A347" t="str">
            <v>controller CANopen B&amp;R</v>
          </cell>
          <cell r="O347">
            <v>24.080000000000002</v>
          </cell>
        </row>
        <row r="348">
          <cell r="A348" t="str">
            <v>cassa fino 5,7" touch</v>
          </cell>
          <cell r="O348">
            <v>1.4460793174505622</v>
          </cell>
        </row>
        <row r="349">
          <cell r="A349" t="str">
            <v>cassa fino 5,7" touch</v>
          </cell>
          <cell r="O349">
            <v>2.7888672550832272</v>
          </cell>
        </row>
        <row r="350">
          <cell r="A350" t="str">
            <v>cassa fino 5,7" touch</v>
          </cell>
          <cell r="O350">
            <v>11.775217299240293</v>
          </cell>
        </row>
        <row r="351">
          <cell r="A351" t="str">
            <v>cassa fino 5,7" touch</v>
          </cell>
          <cell r="O351">
            <v>0.51645689908948644</v>
          </cell>
        </row>
        <row r="352">
          <cell r="A352" t="str">
            <v>cassa fino 5,7" touch</v>
          </cell>
          <cell r="O352">
            <v>35</v>
          </cell>
        </row>
        <row r="353">
          <cell r="A353" t="str">
            <v>cassa da  5,7" touch</v>
          </cell>
          <cell r="O353">
            <v>1.4460793174505622</v>
          </cell>
        </row>
        <row r="354">
          <cell r="A354" t="str">
            <v>cassa da  5,7" touch</v>
          </cell>
          <cell r="O354">
            <v>2.7888672550832272</v>
          </cell>
        </row>
        <row r="355">
          <cell r="A355" t="str">
            <v>cassa da  5,7" touch</v>
          </cell>
          <cell r="O355">
            <v>11.775217299240293</v>
          </cell>
        </row>
        <row r="356">
          <cell r="A356" t="str">
            <v>cassa da  5,7" touch</v>
          </cell>
          <cell r="O356">
            <v>0.51645689908948644</v>
          </cell>
        </row>
        <row r="357">
          <cell r="A357" t="str">
            <v>cassa da  5,7" touch</v>
          </cell>
          <cell r="O357">
            <v>60</v>
          </cell>
        </row>
        <row r="358">
          <cell r="A358" t="str">
            <v>cassa 800x1000x300</v>
          </cell>
          <cell r="O358">
            <v>15.120000000000001</v>
          </cell>
        </row>
        <row r="359">
          <cell r="A359" t="str">
            <v>cassa 800x1000x300</v>
          </cell>
          <cell r="O359">
            <v>4.09</v>
          </cell>
        </row>
        <row r="360">
          <cell r="A360" t="str">
            <v>cassa 800x1000x300</v>
          </cell>
          <cell r="O360">
            <v>29.64</v>
          </cell>
        </row>
        <row r="361">
          <cell r="A361" t="str">
            <v>cassa 800x1000x300</v>
          </cell>
          <cell r="O361">
            <v>0</v>
          </cell>
        </row>
        <row r="362">
          <cell r="A362" t="str">
            <v>cassa 800x1000x300</v>
          </cell>
          <cell r="O362">
            <v>0</v>
          </cell>
        </row>
        <row r="363">
          <cell r="A363" t="str">
            <v>cassa 800x1000x300</v>
          </cell>
          <cell r="O363">
            <v>0</v>
          </cell>
        </row>
        <row r="364">
          <cell r="A364" t="str">
            <v>cassa 800x1000x300</v>
          </cell>
          <cell r="O364">
            <v>7.77</v>
          </cell>
        </row>
        <row r="365">
          <cell r="A365" t="str">
            <v>cassa 800x1000x300</v>
          </cell>
          <cell r="O365">
            <v>3.97</v>
          </cell>
        </row>
        <row r="366">
          <cell r="A366" t="str">
            <v>cassa 800x1000x300</v>
          </cell>
          <cell r="O366">
            <v>85</v>
          </cell>
        </row>
        <row r="367">
          <cell r="A367" t="str">
            <v>cassa 800x1000x300</v>
          </cell>
          <cell r="O367">
            <v>0</v>
          </cell>
        </row>
        <row r="368">
          <cell r="A368" t="str">
            <v>cassa 800x1000x300</v>
          </cell>
          <cell r="O368">
            <v>15</v>
          </cell>
        </row>
        <row r="369">
          <cell r="A369" t="str">
            <v>cassa 800x1000x300</v>
          </cell>
          <cell r="O369">
            <v>3.44</v>
          </cell>
        </row>
        <row r="370">
          <cell r="A370" t="str">
            <v>cassa 800x1000x300</v>
          </cell>
          <cell r="O370">
            <v>6.5</v>
          </cell>
        </row>
        <row r="371">
          <cell r="A371" t="str">
            <v>armadio 800x2000x400 inox</v>
          </cell>
          <cell r="O371">
            <v>12.096</v>
          </cell>
        </row>
        <row r="372">
          <cell r="A372" t="str">
            <v>armadio 800x2000x400 inox</v>
          </cell>
          <cell r="O372">
            <v>4.09</v>
          </cell>
        </row>
        <row r="373">
          <cell r="A373" t="str">
            <v>armadio 800x2000x400 inox</v>
          </cell>
          <cell r="O373">
            <v>59.28</v>
          </cell>
        </row>
        <row r="374">
          <cell r="A374" t="str">
            <v>armadio 800x2000x400 inox</v>
          </cell>
          <cell r="O374">
            <v>58.164479999999998</v>
          </cell>
        </row>
        <row r="375">
          <cell r="A375" t="str">
            <v>armadio 800x2000x400 inox</v>
          </cell>
          <cell r="O375">
            <v>45.21</v>
          </cell>
        </row>
        <row r="376">
          <cell r="A376" t="str">
            <v>armadio 800x2000x400 inox</v>
          </cell>
          <cell r="O376">
            <v>11.41</v>
          </cell>
        </row>
        <row r="377">
          <cell r="A377" t="str">
            <v>armadio 800x2000x400 inox</v>
          </cell>
          <cell r="O377">
            <v>15.54</v>
          </cell>
        </row>
        <row r="378">
          <cell r="A378" t="str">
            <v>armadio 800x2000x400 inox</v>
          </cell>
          <cell r="O378">
            <v>7.94</v>
          </cell>
        </row>
        <row r="379">
          <cell r="A379" t="str">
            <v>armadio 800x2000x400 inox</v>
          </cell>
          <cell r="O379">
            <v>900</v>
          </cell>
        </row>
        <row r="380">
          <cell r="A380" t="str">
            <v>armadio 800x2000x400 inox</v>
          </cell>
          <cell r="O380">
            <v>15</v>
          </cell>
        </row>
        <row r="381">
          <cell r="A381" t="str">
            <v>armadio 800x2000x400 inox</v>
          </cell>
          <cell r="O381">
            <v>20</v>
          </cell>
        </row>
        <row r="382">
          <cell r="A382" t="str">
            <v>armadio 800x2000x400 inox</v>
          </cell>
          <cell r="O382">
            <v>6.88</v>
          </cell>
        </row>
        <row r="383">
          <cell r="A383" t="str">
            <v>armadio 800x2000x400 inox</v>
          </cell>
          <cell r="O383">
            <v>13</v>
          </cell>
        </row>
        <row r="384">
          <cell r="A384" t="str">
            <v>armadio 800x2000x400</v>
          </cell>
          <cell r="O384">
            <v>12.096</v>
          </cell>
        </row>
        <row r="385">
          <cell r="A385" t="str">
            <v>armadio 800x2000x400</v>
          </cell>
          <cell r="O385">
            <v>4.09</v>
          </cell>
        </row>
        <row r="386">
          <cell r="A386" t="str">
            <v>armadio 800x2000x400</v>
          </cell>
          <cell r="O386">
            <v>59.28</v>
          </cell>
        </row>
        <row r="387">
          <cell r="A387" t="str">
            <v>armadio 800x2000x400</v>
          </cell>
          <cell r="O387">
            <v>0</v>
          </cell>
        </row>
        <row r="388">
          <cell r="A388" t="str">
            <v>armadio 800x2000x400</v>
          </cell>
          <cell r="O388">
            <v>58.164479999999998</v>
          </cell>
        </row>
        <row r="389">
          <cell r="A389" t="str">
            <v>armadio 800x2000x400</v>
          </cell>
          <cell r="O389">
            <v>45.21</v>
          </cell>
        </row>
        <row r="390">
          <cell r="A390" t="str">
            <v>armadio 800x2000x400</v>
          </cell>
          <cell r="O390">
            <v>11.41</v>
          </cell>
        </row>
        <row r="391">
          <cell r="A391" t="str">
            <v>armadio 800x2000x400</v>
          </cell>
          <cell r="O391">
            <v>36.17</v>
          </cell>
        </row>
        <row r="392">
          <cell r="A392" t="str">
            <v>armadio 800x2000x400</v>
          </cell>
          <cell r="O392">
            <v>450</v>
          </cell>
        </row>
        <row r="393">
          <cell r="A393" t="str">
            <v>armadio 800x2000x400</v>
          </cell>
          <cell r="O393">
            <v>15.54</v>
          </cell>
        </row>
        <row r="394">
          <cell r="A394" t="str">
            <v>armadio 800x2000x400</v>
          </cell>
          <cell r="O394">
            <v>7.94</v>
          </cell>
        </row>
        <row r="395">
          <cell r="A395" t="str">
            <v>armadio 800x2000x400</v>
          </cell>
          <cell r="O395">
            <v>15</v>
          </cell>
        </row>
        <row r="396">
          <cell r="A396" t="str">
            <v>armadio 800x2000x400</v>
          </cell>
          <cell r="O396">
            <v>6.88</v>
          </cell>
        </row>
        <row r="397">
          <cell r="A397" t="str">
            <v>armadio 800x2000x400</v>
          </cell>
          <cell r="O397">
            <v>13</v>
          </cell>
        </row>
        <row r="398">
          <cell r="A398" t="str">
            <v>anticondensa RSAS24</v>
          </cell>
          <cell r="O398">
            <v>97.50706254809505</v>
          </cell>
        </row>
        <row r="399">
          <cell r="A399" t="str">
            <v>anticondensa RSAS24</v>
          </cell>
          <cell r="O399">
            <v>144.19476622578463</v>
          </cell>
        </row>
        <row r="400">
          <cell r="A400" t="str">
            <v>accessori quadro</v>
          </cell>
          <cell r="O400">
            <v>13.799999999999999</v>
          </cell>
        </row>
        <row r="401">
          <cell r="A401" t="str">
            <v>accessori quadro</v>
          </cell>
          <cell r="O401">
            <v>30</v>
          </cell>
        </row>
        <row r="402">
          <cell r="A402" t="str">
            <v>accessori quadro</v>
          </cell>
          <cell r="O402">
            <v>14.4</v>
          </cell>
        </row>
        <row r="403">
          <cell r="A403" t="str">
            <v xml:space="preserve">8X40 caratteri tasti </v>
          </cell>
          <cell r="O403">
            <v>731.95199999999988</v>
          </cell>
        </row>
        <row r="404">
          <cell r="A404" t="str">
            <v xml:space="preserve">8X40 caratteri tasti </v>
          </cell>
          <cell r="O404">
            <v>18.592200000000002</v>
          </cell>
        </row>
        <row r="405">
          <cell r="A405" t="str">
            <v>8DO/I B&amp;R</v>
          </cell>
          <cell r="O405">
            <v>64</v>
          </cell>
        </row>
        <row r="406">
          <cell r="A406" t="str">
            <v>8DO/I B&amp;R</v>
          </cell>
          <cell r="O406">
            <v>7.4879999999999995</v>
          </cell>
        </row>
        <row r="407">
          <cell r="A407" t="str">
            <v>8DI+3DIV+8DO+2AI+2AO B&amp;R</v>
          </cell>
          <cell r="O407">
            <v>110.32000000000001</v>
          </cell>
        </row>
        <row r="408">
          <cell r="A408" t="str">
            <v>8DI+3DIV+8DO+2AI+2AO B&amp;R</v>
          </cell>
          <cell r="O408">
            <v>14.56</v>
          </cell>
        </row>
        <row r="409">
          <cell r="A409" t="str">
            <v>8 USCITE DIGITALI POTENZIATE</v>
          </cell>
          <cell r="O409">
            <v>88.470143999999991</v>
          </cell>
        </row>
        <row r="410">
          <cell r="A410" t="str">
            <v>8 USCITE DIGITALI POTENZIATE</v>
          </cell>
          <cell r="O410">
            <v>2.0424959999999999</v>
          </cell>
        </row>
        <row r="411">
          <cell r="A411" t="str">
            <v>8 USCITE DIGITALI POTENZIATE</v>
          </cell>
          <cell r="O411">
            <v>29.082239999999999</v>
          </cell>
        </row>
        <row r="412">
          <cell r="A412" t="str">
            <v>5,7" touch mono</v>
          </cell>
          <cell r="O412">
            <v>18.592200000000002</v>
          </cell>
        </row>
        <row r="413">
          <cell r="A413" t="str">
            <v>5,7" touch mono</v>
          </cell>
          <cell r="O413">
            <v>731.95199999999988</v>
          </cell>
        </row>
        <row r="414">
          <cell r="A414" t="str">
            <v>5,7" touch colore</v>
          </cell>
          <cell r="O414">
            <v>18.592200000000002</v>
          </cell>
        </row>
        <row r="415">
          <cell r="A415" t="str">
            <v>5,7" touch colore</v>
          </cell>
          <cell r="O415">
            <v>914.32800000000009</v>
          </cell>
        </row>
        <row r="416">
          <cell r="A416" t="str">
            <v>5,7" tasti  mono</v>
          </cell>
          <cell r="O416">
            <v>829.07640000000004</v>
          </cell>
        </row>
        <row r="417">
          <cell r="A417" t="str">
            <v>5,7" tasti  mono</v>
          </cell>
          <cell r="O417">
            <v>18.592200000000002</v>
          </cell>
        </row>
        <row r="418">
          <cell r="A418" t="str">
            <v xml:space="preserve">4X20 caratteri tasti </v>
          </cell>
          <cell r="O418">
            <v>18.592200000000002</v>
          </cell>
        </row>
        <row r="419">
          <cell r="A419" t="str">
            <v xml:space="preserve">4X20 caratteri tasti </v>
          </cell>
          <cell r="O419">
            <v>341.49599999999998</v>
          </cell>
        </row>
        <row r="420">
          <cell r="A420" t="str">
            <v>4AO CANopen TECHMARK</v>
          </cell>
          <cell r="O420">
            <v>83.6</v>
          </cell>
        </row>
        <row r="421">
          <cell r="A421" t="str">
            <v>4 USCITE ANALOGICHE</v>
          </cell>
          <cell r="O421">
            <v>237.94559999999998</v>
          </cell>
        </row>
        <row r="422">
          <cell r="A422" t="str">
            <v>4 USCITE ANALOGICHE</v>
          </cell>
          <cell r="O422">
            <v>2.0424959999999999</v>
          </cell>
        </row>
        <row r="423">
          <cell r="A423" t="str">
            <v>4 USCITE ANALOGICHE</v>
          </cell>
          <cell r="O423">
            <v>11.183400000000001</v>
          </cell>
        </row>
        <row r="424">
          <cell r="A424" t="str">
            <v>4 DO PROFIBUS</v>
          </cell>
          <cell r="O424">
            <v>15.757286399999998</v>
          </cell>
        </row>
        <row r="425">
          <cell r="A425" t="str">
            <v>4 DO PROFIBUS</v>
          </cell>
          <cell r="O425">
            <v>4.6427903999999991</v>
          </cell>
        </row>
        <row r="426">
          <cell r="A426" t="str">
            <v>4 DI PROFIBUS</v>
          </cell>
          <cell r="O426">
            <v>11.632896000000001</v>
          </cell>
        </row>
        <row r="427">
          <cell r="A427" t="str">
            <v>4 DI PROFIBUS</v>
          </cell>
          <cell r="O427">
            <v>4.6427903999999991</v>
          </cell>
        </row>
        <row r="428">
          <cell r="A428" t="str">
            <v>32 USCITE DIGITALI</v>
          </cell>
          <cell r="O428">
            <v>206.74828799999997</v>
          </cell>
        </row>
        <row r="429">
          <cell r="A429" t="str">
            <v>32 USCITE DIGITALI</v>
          </cell>
          <cell r="O429">
            <v>2.0424959999999999</v>
          </cell>
        </row>
        <row r="430">
          <cell r="A430" t="str">
            <v>32 USCITE DIGITALI</v>
          </cell>
          <cell r="O430">
            <v>44.284320000000008</v>
          </cell>
        </row>
        <row r="431">
          <cell r="A431" t="str">
            <v>2AO PROFIBUS</v>
          </cell>
          <cell r="O431">
            <v>77.200127999999992</v>
          </cell>
        </row>
        <row r="432">
          <cell r="A432" t="str">
            <v>2AO PROFIBUS</v>
          </cell>
          <cell r="O432">
            <v>4.6427903999999991</v>
          </cell>
        </row>
        <row r="433">
          <cell r="A433" t="str">
            <v>2 USCITE ANALOGICHE</v>
          </cell>
          <cell r="O433">
            <v>148.687488</v>
          </cell>
        </row>
        <row r="434">
          <cell r="A434" t="str">
            <v>2 USCITE ANALOGICHE</v>
          </cell>
          <cell r="O434">
            <v>2.0424959999999999</v>
          </cell>
        </row>
        <row r="435">
          <cell r="A435" t="str">
            <v>2 USCITE ANALOGICHE</v>
          </cell>
          <cell r="O435">
            <v>10.736064000000001</v>
          </cell>
        </row>
        <row r="436">
          <cell r="A436" t="str">
            <v>16DO MOELLER</v>
          </cell>
          <cell r="O436">
            <v>66.5</v>
          </cell>
        </row>
        <row r="437">
          <cell r="A437" t="str">
            <v>16DO MOELLER</v>
          </cell>
          <cell r="O437">
            <v>23.8</v>
          </cell>
        </row>
        <row r="438">
          <cell r="A438" t="str">
            <v>16DO MOELLER</v>
          </cell>
          <cell r="O438">
            <v>5</v>
          </cell>
        </row>
        <row r="439">
          <cell r="A439" t="str">
            <v>16DO FAR</v>
          </cell>
          <cell r="O439">
            <v>52.5</v>
          </cell>
        </row>
        <row r="440">
          <cell r="A440" t="str">
            <v>16DO CANopen TECHMARK</v>
          </cell>
          <cell r="O440">
            <v>83.6</v>
          </cell>
        </row>
        <row r="441">
          <cell r="A441" t="str">
            <v>16DI+16DO B&amp;R</v>
          </cell>
          <cell r="O441">
            <v>118.16</v>
          </cell>
        </row>
        <row r="442">
          <cell r="A442" t="str">
            <v>16DI+16DO B&amp;R</v>
          </cell>
          <cell r="O442">
            <v>14.56</v>
          </cell>
        </row>
        <row r="443">
          <cell r="A443" t="str">
            <v>16DI MOELLER</v>
          </cell>
          <cell r="O443">
            <v>52.3</v>
          </cell>
        </row>
        <row r="444">
          <cell r="A444" t="str">
            <v>16DI MOELLER</v>
          </cell>
          <cell r="O444">
            <v>23.8</v>
          </cell>
        </row>
        <row r="445">
          <cell r="A445" t="str">
            <v>16DI MOELLER</v>
          </cell>
          <cell r="O445">
            <v>5</v>
          </cell>
        </row>
        <row r="446">
          <cell r="A446" t="str">
            <v>16DI FAR</v>
          </cell>
          <cell r="O446">
            <v>72</v>
          </cell>
        </row>
        <row r="447">
          <cell r="A447" t="str">
            <v>16DI CANopen TECHMARK</v>
          </cell>
          <cell r="O447">
            <v>66.5</v>
          </cell>
        </row>
        <row r="448">
          <cell r="A448" t="str">
            <v>16 USCITE DIGITALI</v>
          </cell>
          <cell r="O448">
            <v>103.270464</v>
          </cell>
        </row>
        <row r="449">
          <cell r="A449" t="str">
            <v>16 USCITE DIGITALI</v>
          </cell>
          <cell r="O449">
            <v>2.0424959999999999</v>
          </cell>
        </row>
        <row r="450">
          <cell r="A450" t="str">
            <v>16 USCITE DIGITALI</v>
          </cell>
          <cell r="O450">
            <v>29.082239999999999</v>
          </cell>
        </row>
        <row r="451">
          <cell r="A451" t="str">
            <v>12" touch  colore</v>
          </cell>
          <cell r="O451">
            <v>18.592200000000002</v>
          </cell>
        </row>
        <row r="452">
          <cell r="A452" t="str">
            <v>12" touch  colore</v>
          </cell>
          <cell r="O452">
            <v>2647.5119999999997</v>
          </cell>
        </row>
        <row r="453">
          <cell r="A453" t="str">
            <v>10,4" touch colore op270</v>
          </cell>
          <cell r="O453">
            <v>18.592200000000002</v>
          </cell>
        </row>
        <row r="454">
          <cell r="A454" t="str">
            <v>10,4" touch colore op270</v>
          </cell>
          <cell r="O454">
            <v>1931.4719999999998</v>
          </cell>
        </row>
        <row r="455">
          <cell r="A455" t="str">
            <v>10,4" touch colore mp270</v>
          </cell>
          <cell r="O455">
            <v>18.592200000000002</v>
          </cell>
        </row>
        <row r="456">
          <cell r="A456" t="str">
            <v>10,4" touch colore mp270</v>
          </cell>
          <cell r="O456">
            <v>2155.4639999999999</v>
          </cell>
        </row>
        <row r="457">
          <cell r="A457" t="str">
            <v xml:space="preserve"> 8 INGRESSI ANALOGICI</v>
          </cell>
          <cell r="O457">
            <v>267.55660799999998</v>
          </cell>
        </row>
        <row r="458">
          <cell r="A458" t="str">
            <v xml:space="preserve"> 8 INGRESSI ANALOGICI</v>
          </cell>
          <cell r="O458">
            <v>2.0424959999999999</v>
          </cell>
        </row>
        <row r="459">
          <cell r="A459" t="str">
            <v xml:space="preserve"> 8 INGRESSI ANALOGICI</v>
          </cell>
          <cell r="O459">
            <v>10.736064000000001</v>
          </cell>
        </row>
        <row r="460">
          <cell r="A460" t="str">
            <v xml:space="preserve"> 32 INGRESSI DIGITALI</v>
          </cell>
          <cell r="O460">
            <v>149.11257599999999</v>
          </cell>
        </row>
        <row r="461">
          <cell r="A461" t="str">
            <v xml:space="preserve"> 32 INGRESSI DIGITALI</v>
          </cell>
          <cell r="O461">
            <v>2.0424959999999999</v>
          </cell>
        </row>
        <row r="462">
          <cell r="A462" t="str">
            <v xml:space="preserve"> 32 INGRESSI DIGITALI</v>
          </cell>
          <cell r="O462">
            <v>44.284320000000008</v>
          </cell>
        </row>
        <row r="463">
          <cell r="A463" t="str">
            <v xml:space="preserve"> 2 INGRESSI ANALOGICI</v>
          </cell>
          <cell r="O463">
            <v>89.361791999999994</v>
          </cell>
        </row>
        <row r="464">
          <cell r="A464" t="str">
            <v xml:space="preserve"> 2 INGRESSI ANALOGICI</v>
          </cell>
          <cell r="O464">
            <v>2.0424959999999999</v>
          </cell>
        </row>
        <row r="465">
          <cell r="A465" t="str">
            <v xml:space="preserve"> 2 INGRESSI ANALOGICI</v>
          </cell>
          <cell r="O465">
            <v>10.736064000000001</v>
          </cell>
        </row>
        <row r="466">
          <cell r="A466" t="str">
            <v xml:space="preserve"> 16 INGRESSI DIGITALI</v>
          </cell>
          <cell r="O466">
            <v>74.027519999999996</v>
          </cell>
        </row>
        <row r="467">
          <cell r="A467" t="str">
            <v xml:space="preserve"> 16 INGRESSI DIGITALI</v>
          </cell>
          <cell r="O467">
            <v>2.0424959999999999</v>
          </cell>
        </row>
        <row r="468">
          <cell r="A468" t="str">
            <v xml:space="preserve"> 16 INGRESSI DIGITALI</v>
          </cell>
          <cell r="O468">
            <v>29.082239999999999</v>
          </cell>
        </row>
        <row r="469">
          <cell r="A469" t="str">
            <v>8 DI WAGO</v>
          </cell>
          <cell r="O469">
            <v>29.64</v>
          </cell>
        </row>
        <row r="470">
          <cell r="A470" t="str">
            <v>8 DI WAGO</v>
          </cell>
          <cell r="O470">
            <v>20</v>
          </cell>
        </row>
        <row r="471">
          <cell r="A471" t="str">
            <v>8 DO WAGO</v>
          </cell>
          <cell r="O471">
            <v>33.44</v>
          </cell>
        </row>
        <row r="472">
          <cell r="A472" t="str">
            <v>8 DO WAGO</v>
          </cell>
          <cell r="O472">
            <v>20</v>
          </cell>
        </row>
        <row r="473">
          <cell r="A473" t="str">
            <v>2 DIV WAGO</v>
          </cell>
          <cell r="O473">
            <v>43.1</v>
          </cell>
        </row>
        <row r="474">
          <cell r="A474" t="str">
            <v>2 AO WAGO</v>
          </cell>
          <cell r="O474">
            <v>43.1</v>
          </cell>
        </row>
        <row r="475">
          <cell r="A475" t="str">
            <v>controller CANopn WAGO</v>
          </cell>
          <cell r="O475">
            <v>118.7</v>
          </cell>
        </row>
        <row r="476">
          <cell r="A476" t="str">
            <v>controller CANopn WAGO</v>
          </cell>
          <cell r="O476">
            <v>8</v>
          </cell>
        </row>
        <row r="477">
          <cell r="A477" t="str">
            <v>controller PROFIBUS WAGO</v>
          </cell>
          <cell r="O477">
            <v>122.55</v>
          </cell>
        </row>
        <row r="478">
          <cell r="A478" t="str">
            <v>controller PROFIBUS WAGO</v>
          </cell>
          <cell r="O478">
            <v>8</v>
          </cell>
        </row>
        <row r="479">
          <cell r="A479" t="str">
            <v>controller PROFIBUS WAGO</v>
          </cell>
          <cell r="O479">
            <v>18.592200000000002</v>
          </cell>
        </row>
        <row r="480">
          <cell r="A480" t="str">
            <v xml:space="preserve"> 1 INGRESSO VELOCE</v>
          </cell>
          <cell r="O480">
            <v>186.12633600000001</v>
          </cell>
        </row>
        <row r="481">
          <cell r="A481" t="str">
            <v xml:space="preserve"> 1 INGRESSO VELOCE</v>
          </cell>
          <cell r="O481">
            <v>2.0424959999999999</v>
          </cell>
        </row>
        <row r="482">
          <cell r="A482" t="str">
            <v xml:space="preserve"> 1 INGRESSO VELOCE</v>
          </cell>
          <cell r="O482">
            <v>10.736064000000001</v>
          </cell>
        </row>
      </sheetData>
      <sheetData sheetId="2"/>
      <sheetData sheetId="3">
        <row r="2">
          <cell r="A2" t="str">
            <v>SILO</v>
          </cell>
          <cell r="C2" t="str">
            <v>valvola monostabile + 2 finecorsa</v>
          </cell>
        </row>
        <row r="3">
          <cell r="A3" t="str">
            <v>SILO</v>
          </cell>
          <cell r="C3" t="str">
            <v>valvola monostabile + 1 finecorsa</v>
          </cell>
        </row>
        <row r="4">
          <cell r="A4" t="str">
            <v>SILO</v>
          </cell>
          <cell r="C4" t="str">
            <v>valvola monostabile</v>
          </cell>
        </row>
        <row r="5">
          <cell r="A5" t="str">
            <v>SILO</v>
          </cell>
          <cell r="C5" t="str">
            <v>motore &lt;= 0,25Kw</v>
          </cell>
        </row>
        <row r="6">
          <cell r="A6" t="str">
            <v>SILO</v>
          </cell>
          <cell r="C6" t="str">
            <v>motore &lt;0,25 e &lt;3 Kw</v>
          </cell>
        </row>
        <row r="7">
          <cell r="A7" t="str">
            <v>SILO</v>
          </cell>
          <cell r="C7" t="str">
            <v>inverter monofase =0,37 Kw</v>
          </cell>
        </row>
        <row r="8">
          <cell r="A8" t="str">
            <v>SILO</v>
          </cell>
          <cell r="C8" t="str">
            <v>inverter monofase =0,37 Kw</v>
          </cell>
        </row>
        <row r="9">
          <cell r="A9" t="str">
            <v>SILO</v>
          </cell>
          <cell r="C9" t="str">
            <v>inverter monofase =0,75 Kw</v>
          </cell>
        </row>
        <row r="10">
          <cell r="A10" t="str">
            <v>SILO</v>
          </cell>
          <cell r="C10" t="str">
            <v>inverter monofase =0,75 Kw</v>
          </cell>
        </row>
        <row r="11">
          <cell r="A11" t="str">
            <v>SILO</v>
          </cell>
          <cell r="C11" t="str">
            <v>inverter trifase =0,75 Kw</v>
          </cell>
        </row>
        <row r="12">
          <cell r="A12" t="str">
            <v>SILO</v>
          </cell>
          <cell r="C12" t="str">
            <v>inverter trifase =0,75 Kw</v>
          </cell>
        </row>
        <row r="13">
          <cell r="A13" t="str">
            <v>SILO</v>
          </cell>
          <cell r="C13" t="str">
            <v>inverter trifase = 1,5 Kw</v>
          </cell>
        </row>
        <row r="14">
          <cell r="A14" t="str">
            <v>SILO</v>
          </cell>
          <cell r="C14" t="str">
            <v>inverter trifase = 1,5 Kw</v>
          </cell>
        </row>
        <row r="15">
          <cell r="A15" t="str">
            <v>SILO</v>
          </cell>
          <cell r="C15" t="str">
            <v>motore &lt;0,25 e &lt;3 Kw</v>
          </cell>
        </row>
        <row r="16">
          <cell r="A16" t="str">
            <v>SILO</v>
          </cell>
          <cell r="C16" t="str">
            <v>motore &lt;= 0,25Kw</v>
          </cell>
        </row>
        <row r="17">
          <cell r="A17" t="str">
            <v>SILO</v>
          </cell>
          <cell r="C17" t="str">
            <v>motore &lt;0,25 e &lt;3 Kw</v>
          </cell>
        </row>
        <row r="18">
          <cell r="A18" t="str">
            <v>SILO</v>
          </cell>
          <cell r="C18" t="str">
            <v>elettrovalvole</v>
          </cell>
        </row>
        <row r="19">
          <cell r="A19" t="str">
            <v>SILO</v>
          </cell>
          <cell r="C19" t="str">
            <v>motore &lt;0,25 e &lt;3 Kw</v>
          </cell>
        </row>
        <row r="20">
          <cell r="A20" t="str">
            <v>SILO</v>
          </cell>
          <cell r="C20" t="str">
            <v>anticondensa RSAS24</v>
          </cell>
        </row>
        <row r="21">
          <cell r="A21" t="str">
            <v>SILO</v>
          </cell>
          <cell r="C21" t="str">
            <v>temperatura PLC</v>
          </cell>
        </row>
        <row r="22">
          <cell r="A22" t="str">
            <v>SILO</v>
          </cell>
          <cell r="C22" t="str">
            <v>motore &lt;0,25 e &lt;3 Kw</v>
          </cell>
        </row>
        <row r="23">
          <cell r="A23" t="str">
            <v>SILO</v>
          </cell>
          <cell r="C23" t="str">
            <v>filtro aria con scheda WAM</v>
          </cell>
        </row>
        <row r="24">
          <cell r="A24" t="str">
            <v>SILO</v>
          </cell>
          <cell r="C24" t="str">
            <v>elettrovalvole</v>
          </cell>
        </row>
        <row r="25">
          <cell r="A25" t="str">
            <v>SILO</v>
          </cell>
          <cell r="C25" t="str">
            <v>pressostato</v>
          </cell>
        </row>
        <row r="26">
          <cell r="A26" t="str">
            <v>SILO</v>
          </cell>
          <cell r="C26" t="str">
            <v>finecorsa</v>
          </cell>
        </row>
        <row r="27">
          <cell r="A27" t="str">
            <v>SILO</v>
          </cell>
          <cell r="C27" t="str">
            <v>valvola monostabile + 2 finecorsa</v>
          </cell>
        </row>
        <row r="28">
          <cell r="A28" t="str">
            <v>SILO</v>
          </cell>
          <cell r="C28" t="str">
            <v>valvola monostabile + 1 finecorsa</v>
          </cell>
        </row>
        <row r="29">
          <cell r="A29" t="str">
            <v>SILO</v>
          </cell>
          <cell r="C29" t="str">
            <v>valvola monostabile</v>
          </cell>
        </row>
        <row r="30">
          <cell r="A30" t="str">
            <v>SILO</v>
          </cell>
          <cell r="C30" t="str">
            <v>pressostato</v>
          </cell>
        </row>
        <row r="31">
          <cell r="A31" t="str">
            <v>SILO</v>
          </cell>
          <cell r="C31" t="str">
            <v>livello minimo</v>
          </cell>
        </row>
        <row r="32">
          <cell r="A32" t="str">
            <v>SILO</v>
          </cell>
          <cell r="C32" t="str">
            <v>livello massimo</v>
          </cell>
        </row>
        <row r="33">
          <cell r="A33" t="str">
            <v>SILO</v>
          </cell>
          <cell r="C33" t="str">
            <v>peso wp104</v>
          </cell>
        </row>
        <row r="34">
          <cell r="A34" t="str">
            <v>SILO</v>
          </cell>
          <cell r="C34" t="str">
            <v>peso wp104 -&gt; PLC</v>
          </cell>
        </row>
        <row r="35">
          <cell r="A35" t="str">
            <v>SILO</v>
          </cell>
          <cell r="C35" t="str">
            <v>peso wp104 rete</v>
          </cell>
        </row>
        <row r="36">
          <cell r="A36" t="str">
            <v>SILO</v>
          </cell>
          <cell r="C36" t="str">
            <v>peso SIWAREX</v>
          </cell>
        </row>
        <row r="37">
          <cell r="A37" t="str">
            <v>SILO</v>
          </cell>
          <cell r="C37" t="str">
            <v>peso PRECISE in rete</v>
          </cell>
        </row>
        <row r="38">
          <cell r="A38" t="str">
            <v>SILO</v>
          </cell>
          <cell r="C38" t="str">
            <v>quadro carico silo</v>
          </cell>
        </row>
        <row r="39">
          <cell r="A39" t="str">
            <v>SILO</v>
          </cell>
          <cell r="C39" t="str">
            <v>jolly</v>
          </cell>
        </row>
        <row r="40">
          <cell r="A40" t="str">
            <v>TRASPORTO</v>
          </cell>
          <cell r="C40" t="str">
            <v>pressostato</v>
          </cell>
        </row>
        <row r="41">
          <cell r="A41" t="str">
            <v>TRASPORTO</v>
          </cell>
          <cell r="C41" t="str">
            <v>motore &lt;0,25 e &lt;3 Kw</v>
          </cell>
        </row>
        <row r="42">
          <cell r="A42" t="str">
            <v>TRASPORTO</v>
          </cell>
          <cell r="C42" t="str">
            <v>motore &gt;=3 e &lt;= 4Kw</v>
          </cell>
        </row>
        <row r="43">
          <cell r="A43" t="str">
            <v>TRASPORTO</v>
          </cell>
          <cell r="C43" t="str">
            <v>motore = 5,5Kw</v>
          </cell>
        </row>
        <row r="44">
          <cell r="A44" t="str">
            <v>TRASPORTO</v>
          </cell>
          <cell r="C44" t="str">
            <v>motore = 7,5Kw</v>
          </cell>
        </row>
        <row r="45">
          <cell r="A45" t="str">
            <v>TRASPORTO</v>
          </cell>
          <cell r="C45" t="str">
            <v>motore = 11Kw</v>
          </cell>
        </row>
        <row r="46">
          <cell r="A46" t="str">
            <v>TRASPORTO</v>
          </cell>
          <cell r="C46" t="str">
            <v>motore = 15Kw</v>
          </cell>
        </row>
        <row r="47">
          <cell r="A47" t="str">
            <v>TRASPORTO</v>
          </cell>
          <cell r="C47" t="str">
            <v>motore = 22Kw</v>
          </cell>
        </row>
        <row r="48">
          <cell r="A48" t="str">
            <v>TRASPORTO</v>
          </cell>
          <cell r="C48" t="str">
            <v>motore = 30Kw</v>
          </cell>
        </row>
        <row r="49">
          <cell r="A49" t="str">
            <v>TRASPORTO</v>
          </cell>
          <cell r="C49" t="str">
            <v>motore &lt;0,25 e &lt;3 Kw</v>
          </cell>
        </row>
        <row r="50">
          <cell r="A50" t="str">
            <v>TRASPORTO</v>
          </cell>
          <cell r="C50" t="str">
            <v>motore &gt;=3 e &lt;= 4Kw</v>
          </cell>
        </row>
        <row r="51">
          <cell r="A51" t="str">
            <v>TRASPORTO</v>
          </cell>
          <cell r="C51" t="str">
            <v>motore = 5,5Kw</v>
          </cell>
        </row>
        <row r="52">
          <cell r="A52" t="str">
            <v>TRASPORTO</v>
          </cell>
          <cell r="C52" t="str">
            <v>motore = 7,5Kw</v>
          </cell>
        </row>
        <row r="53">
          <cell r="A53" t="str">
            <v>TRASPORTO</v>
          </cell>
          <cell r="C53" t="str">
            <v>motore = 11Kw</v>
          </cell>
        </row>
        <row r="54">
          <cell r="A54" t="str">
            <v>TRASPORTO</v>
          </cell>
          <cell r="C54" t="str">
            <v>motore = 15Kw</v>
          </cell>
        </row>
        <row r="55">
          <cell r="A55" t="str">
            <v>TRASPORTO</v>
          </cell>
          <cell r="C55" t="str">
            <v>motore = 22Kw</v>
          </cell>
        </row>
        <row r="56">
          <cell r="A56" t="str">
            <v>TRASPORTO</v>
          </cell>
          <cell r="C56" t="str">
            <v>motore = 30Kw</v>
          </cell>
        </row>
        <row r="57">
          <cell r="A57" t="str">
            <v>TRASPORTO</v>
          </cell>
          <cell r="C57" t="str">
            <v>motore &lt;= 0,25Kw</v>
          </cell>
        </row>
        <row r="58">
          <cell r="A58" t="str">
            <v>TRASPORTO</v>
          </cell>
          <cell r="C58" t="str">
            <v>motore &lt;0,25 e &lt;3 Kw</v>
          </cell>
        </row>
        <row r="59">
          <cell r="A59" t="str">
            <v>TRASPORTO</v>
          </cell>
          <cell r="C59" t="str">
            <v>motore &lt;0,25 e &lt;3 Kw</v>
          </cell>
        </row>
        <row r="60">
          <cell r="A60" t="str">
            <v>TRASPORTO</v>
          </cell>
          <cell r="C60" t="str">
            <v>valvola monostabile + 2 finecorsa</v>
          </cell>
        </row>
        <row r="61">
          <cell r="A61" t="str">
            <v>TRASPORTO</v>
          </cell>
          <cell r="C61" t="str">
            <v>valvola bistabile + 2 finecorsa</v>
          </cell>
        </row>
        <row r="62">
          <cell r="A62" t="str">
            <v>TRASPORTO</v>
          </cell>
          <cell r="C62" t="str">
            <v>valvola monostabile + 2 finecorsa</v>
          </cell>
        </row>
        <row r="63">
          <cell r="A63" t="str">
            <v>TRASPORTO</v>
          </cell>
          <cell r="C63" t="str">
            <v>valvola monostabile + 1 finecorsa</v>
          </cell>
        </row>
        <row r="64">
          <cell r="A64" t="str">
            <v>TRASPORTO</v>
          </cell>
          <cell r="C64" t="str">
            <v>valvola monostabile</v>
          </cell>
        </row>
        <row r="65">
          <cell r="A65" t="str">
            <v>TRASPORTO</v>
          </cell>
          <cell r="C65" t="str">
            <v>motore &lt;0,25 e &lt;3 Kw</v>
          </cell>
        </row>
        <row r="66">
          <cell r="A66" t="str">
            <v>PUNTO DOSAGGIO</v>
          </cell>
          <cell r="C66" t="str">
            <v>peso SIWAREX</v>
          </cell>
          <cell r="M66">
            <v>1</v>
          </cell>
        </row>
        <row r="67">
          <cell r="A67" t="str">
            <v>PUNTO DOSAGGIO</v>
          </cell>
          <cell r="C67" t="str">
            <v>peso PRECISE -&gt; PLC</v>
          </cell>
        </row>
        <row r="68">
          <cell r="A68" t="str">
            <v>PUNTO DOSAGGIO</v>
          </cell>
          <cell r="C68" t="str">
            <v>peso PRECISE in rete</v>
          </cell>
        </row>
        <row r="69">
          <cell r="A69" t="str">
            <v>PUNTO DOSAGGIO</v>
          </cell>
          <cell r="C69" t="str">
            <v>livello massimo</v>
          </cell>
        </row>
        <row r="70">
          <cell r="A70" t="str">
            <v>PUNTO DOSAGGIO</v>
          </cell>
          <cell r="C70" t="str">
            <v>livello minimo</v>
          </cell>
        </row>
        <row r="71">
          <cell r="A71" t="str">
            <v>PUNTO DOSAGGIO</v>
          </cell>
          <cell r="C71" t="str">
            <v>elettrovalvole</v>
          </cell>
        </row>
        <row r="72">
          <cell r="A72" t="str">
            <v>PUNTO DOSAGGIO</v>
          </cell>
          <cell r="C72" t="str">
            <v>elettrovalvole</v>
          </cell>
        </row>
        <row r="73">
          <cell r="A73" t="str">
            <v>PUNTO DOSAGGIO</v>
          </cell>
          <cell r="C73" t="str">
            <v>elettrovalvole</v>
          </cell>
        </row>
        <row r="74">
          <cell r="A74" t="str">
            <v>PUNTO DOSAGGIO</v>
          </cell>
          <cell r="C74" t="str">
            <v>valvola monostabile + 2 finecorsa</v>
          </cell>
        </row>
        <row r="75">
          <cell r="A75" t="str">
            <v>PUNTO DOSAGGIO</v>
          </cell>
          <cell r="C75" t="str">
            <v>valvola monostabile + 1 finecorsa</v>
          </cell>
        </row>
        <row r="76">
          <cell r="A76" t="str">
            <v>PUNTO DOSAGGIO</v>
          </cell>
          <cell r="C76" t="str">
            <v>valvola monostabile</v>
          </cell>
        </row>
        <row r="77">
          <cell r="A77" t="str">
            <v>PUNTO DOSAGGIO</v>
          </cell>
          <cell r="C77" t="str">
            <v>motore &lt;= 0,25Kw</v>
          </cell>
        </row>
        <row r="78">
          <cell r="A78" t="str">
            <v>PUNTO DOSAGGIO</v>
          </cell>
          <cell r="C78" t="str">
            <v>motore &lt;0,25 e &lt;3 Kw</v>
          </cell>
        </row>
        <row r="79">
          <cell r="A79" t="str">
            <v>PUNTO DOSAGGIO</v>
          </cell>
          <cell r="C79" t="str">
            <v>valvola monostabile + 2 finecorsa</v>
          </cell>
        </row>
        <row r="80">
          <cell r="A80" t="str">
            <v>PUNTO DOSAGGIO</v>
          </cell>
          <cell r="C80" t="str">
            <v>valvola monostabile + 1 finecorsa</v>
          </cell>
        </row>
        <row r="81">
          <cell r="A81" t="str">
            <v>PUNTO DOSAGGIO</v>
          </cell>
          <cell r="C81" t="str">
            <v>valvola monostabile</v>
          </cell>
        </row>
        <row r="82">
          <cell r="A82" t="str">
            <v>PUNTO DOSAGGIO</v>
          </cell>
          <cell r="C82" t="str">
            <v>motore &lt;= 0,25Kw</v>
          </cell>
        </row>
        <row r="83">
          <cell r="A83" t="str">
            <v>PUNTO DOSAGGIO</v>
          </cell>
          <cell r="C83" t="str">
            <v>motore &lt;0,25 e &lt;3 Kw</v>
          </cell>
        </row>
        <row r="84">
          <cell r="A84" t="str">
            <v>PUNTO DOSAGGIO</v>
          </cell>
          <cell r="C84" t="str">
            <v>inverter monofase =0,37 Kw</v>
          </cell>
        </row>
        <row r="85">
          <cell r="A85" t="str">
            <v>PUNTO DOSAGGIO</v>
          </cell>
          <cell r="C85" t="str">
            <v>inverter monofase =0,37 Kw</v>
          </cell>
        </row>
        <row r="86">
          <cell r="A86" t="str">
            <v>PUNTO DOSAGGIO</v>
          </cell>
          <cell r="C86" t="str">
            <v>inverter monofase =0,75 Kw</v>
          </cell>
        </row>
        <row r="87">
          <cell r="A87" t="str">
            <v>PUNTO DOSAGGIO</v>
          </cell>
          <cell r="C87" t="str">
            <v>inverter monofase =0,75 Kw</v>
          </cell>
        </row>
        <row r="88">
          <cell r="A88" t="str">
            <v>PUNTO DOSAGGIO</v>
          </cell>
          <cell r="C88" t="str">
            <v>inverter trifase =0,75 Kw</v>
          </cell>
        </row>
        <row r="89">
          <cell r="A89" t="str">
            <v>PUNTO DOSAGGIO</v>
          </cell>
          <cell r="C89" t="str">
            <v>inverter trifase =0,75 Kw</v>
          </cell>
        </row>
        <row r="90">
          <cell r="A90" t="str">
            <v>PUNTO DOSAGGIO</v>
          </cell>
          <cell r="C90" t="str">
            <v>inverter trifase = 1,5 Kw</v>
          </cell>
        </row>
        <row r="91">
          <cell r="A91" t="str">
            <v>PUNTO DOSAGGIO</v>
          </cell>
          <cell r="C91" t="str">
            <v>inverter trifase = 1,5 Kw</v>
          </cell>
        </row>
        <row r="92">
          <cell r="A92" t="str">
            <v>PUNTO DOSAGGIO</v>
          </cell>
          <cell r="C92" t="str">
            <v>valvola bistabile + 2 finecorsa</v>
          </cell>
        </row>
        <row r="93">
          <cell r="A93" t="str">
            <v>PUNTO DOSAGGIO</v>
          </cell>
          <cell r="C93" t="str">
            <v>valvola monostabile + 2 finecorsa</v>
          </cell>
        </row>
        <row r="94">
          <cell r="A94" t="str">
            <v>PUNTO DOSAGGIO</v>
          </cell>
          <cell r="C94" t="str">
            <v>motore &lt;0,25 e &lt;3 Kw</v>
          </cell>
        </row>
        <row r="95">
          <cell r="A95" t="str">
            <v>PUNTO DOSAGGIO</v>
          </cell>
          <cell r="C95" t="str">
            <v>motore &lt;0,25 e &lt;3 Kw</v>
          </cell>
        </row>
        <row r="96">
          <cell r="A96" t="str">
            <v>PUNTO DOSAGGIO</v>
          </cell>
          <cell r="C96" t="str">
            <v>temperatura PLC</v>
          </cell>
        </row>
        <row r="97">
          <cell r="A97" t="str">
            <v>PUNTO DOSAGGIO</v>
          </cell>
          <cell r="C97" t="str">
            <v>pulsante</v>
          </cell>
        </row>
        <row r="98">
          <cell r="A98" t="str">
            <v>TRIMIX</v>
          </cell>
          <cell r="C98" t="str">
            <v>motore &lt;0,25 e &lt;3 Kw</v>
          </cell>
        </row>
        <row r="99">
          <cell r="A99" t="str">
            <v>TRIMIX</v>
          </cell>
          <cell r="C99" t="str">
            <v>inverter trifase =0,75 Kw</v>
          </cell>
        </row>
        <row r="100">
          <cell r="A100" t="str">
            <v>TRIMIX</v>
          </cell>
          <cell r="C100" t="str">
            <v>inverter trifase =0,75 Kw</v>
          </cell>
        </row>
        <row r="101">
          <cell r="A101" t="str">
            <v>TRIMIX</v>
          </cell>
          <cell r="C101" t="str">
            <v>valvola monostabile + 1 finecorsa</v>
          </cell>
        </row>
        <row r="102">
          <cell r="A102" t="str">
            <v>TRIMIX</v>
          </cell>
          <cell r="C102" t="str">
            <v>peso SIWAREX</v>
          </cell>
        </row>
        <row r="103">
          <cell r="A103" t="str">
            <v>TRIMIX</v>
          </cell>
          <cell r="C103" t="str">
            <v>peso PRECISE -&gt; PLC</v>
          </cell>
        </row>
        <row r="104">
          <cell r="A104" t="str">
            <v>TRIMIX</v>
          </cell>
          <cell r="C104" t="str">
            <v>peso PRECISE in rete</v>
          </cell>
        </row>
        <row r="105">
          <cell r="A105" t="str">
            <v>TRIMIX</v>
          </cell>
          <cell r="C105" t="str">
            <v>posizionatore</v>
          </cell>
        </row>
        <row r="106">
          <cell r="A106" t="str">
            <v>TRIMIX</v>
          </cell>
          <cell r="C106" t="str">
            <v>motore &lt;= 0,25Kw</v>
          </cell>
        </row>
        <row r="107">
          <cell r="A107" t="str">
            <v>TRIMIX</v>
          </cell>
          <cell r="C107" t="str">
            <v>valvola monostabile</v>
          </cell>
        </row>
        <row r="108">
          <cell r="A108" t="str">
            <v>TRIMIX</v>
          </cell>
          <cell r="C108" t="str">
            <v>motore &lt;= 0,25Kw</v>
          </cell>
        </row>
        <row r="109">
          <cell r="A109" t="str">
            <v>TRIMIX</v>
          </cell>
          <cell r="C109" t="str">
            <v>filtro aria con scheda WAM</v>
          </cell>
        </row>
        <row r="110">
          <cell r="A110" t="str">
            <v>TRIMIX</v>
          </cell>
          <cell r="C110" t="str">
            <v xml:space="preserve">comando PLC </v>
          </cell>
        </row>
        <row r="111">
          <cell r="A111" t="str">
            <v>TRIMIX</v>
          </cell>
          <cell r="C111" t="str">
            <v>livello minimo</v>
          </cell>
        </row>
        <row r="112">
          <cell r="A112" t="str">
            <v>TRIMIX</v>
          </cell>
          <cell r="C112" t="str">
            <v>livello massimo</v>
          </cell>
        </row>
        <row r="113">
          <cell r="A113" t="str">
            <v>TRIMIX</v>
          </cell>
          <cell r="C113" t="str">
            <v>finecorsa</v>
          </cell>
        </row>
        <row r="114">
          <cell r="A114" t="str">
            <v>TRIMIX</v>
          </cell>
          <cell r="C114" t="str">
            <v>motore &gt;=3 e &lt;= 4Kw</v>
          </cell>
        </row>
        <row r="115">
          <cell r="A115" t="str">
            <v>TRIMIX</v>
          </cell>
          <cell r="C115" t="str">
            <v>motore &lt;0,25 e &lt;3 Kw</v>
          </cell>
        </row>
        <row r="116">
          <cell r="A116" t="str">
            <v>TRIMIX</v>
          </cell>
          <cell r="C116" t="str">
            <v>quadro carico silo</v>
          </cell>
        </row>
        <row r="117">
          <cell r="A117" t="str">
            <v>TRASPORTO LIQUIDI</v>
          </cell>
          <cell r="C117" t="str">
            <v>valvola bistabile + 2 finecorsa</v>
          </cell>
        </row>
        <row r="118">
          <cell r="A118" t="str">
            <v>TRASPORTO LIQUIDI</v>
          </cell>
          <cell r="C118" t="str">
            <v>valvola monostabile + 2 finecorsa</v>
          </cell>
        </row>
        <row r="119">
          <cell r="A119" t="str">
            <v>TRASPORTO LIQUIDI</v>
          </cell>
          <cell r="C119" t="str">
            <v>valvola monostabile + 1 finecorsa</v>
          </cell>
        </row>
        <row r="120">
          <cell r="A120" t="str">
            <v>TRASPORTO LIQUIDI</v>
          </cell>
          <cell r="C120" t="str">
            <v>valvola monostabile</v>
          </cell>
        </row>
        <row r="121">
          <cell r="A121" t="str">
            <v>TRASPORTO LIQUIDI</v>
          </cell>
          <cell r="C121" t="str">
            <v>motore &lt;= 0,25Kw</v>
          </cell>
        </row>
        <row r="122">
          <cell r="A122" t="str">
            <v>TRASPORTO LIQUIDI</v>
          </cell>
          <cell r="C122" t="str">
            <v>motore &lt;0,25 e &lt;3 Kw</v>
          </cell>
        </row>
        <row r="123">
          <cell r="A123" t="str">
            <v>TRASPORTO LIQUIDI</v>
          </cell>
          <cell r="C123" t="str">
            <v>inverter monofase =0,37 Kw</v>
          </cell>
        </row>
        <row r="124">
          <cell r="A124" t="str">
            <v>TRASPORTO LIQUIDI</v>
          </cell>
          <cell r="C124" t="str">
            <v>inverter monofase =0,37 Kw</v>
          </cell>
        </row>
        <row r="125">
          <cell r="A125" t="str">
            <v>TRASPORTO LIQUIDI</v>
          </cell>
          <cell r="C125" t="str">
            <v>inverter monofase =0,75 Kw</v>
          </cell>
        </row>
        <row r="126">
          <cell r="A126" t="str">
            <v>TRASPORTO LIQUIDI</v>
          </cell>
          <cell r="C126" t="str">
            <v>inverter monofase =0,75 Kw</v>
          </cell>
        </row>
        <row r="127">
          <cell r="A127" t="str">
            <v>TRASPORTO LIQUIDI</v>
          </cell>
          <cell r="C127" t="str">
            <v>inverter trifase =0,75 Kw</v>
          </cell>
        </row>
        <row r="128">
          <cell r="A128" t="str">
            <v>TRASPORTO LIQUIDI</v>
          </cell>
          <cell r="C128" t="str">
            <v>inverter trifase =0,75 Kw</v>
          </cell>
        </row>
        <row r="129">
          <cell r="A129" t="str">
            <v>TRASPORTO LIQUIDI</v>
          </cell>
          <cell r="C129" t="str">
            <v>inverter trifase = 1,5 Kw</v>
          </cell>
        </row>
        <row r="130">
          <cell r="A130" t="str">
            <v>TRASPORTO LIQUIDI</v>
          </cell>
          <cell r="C130" t="str">
            <v>inverter trifase = 1,5 Kw</v>
          </cell>
        </row>
        <row r="131">
          <cell r="A131" t="str">
            <v>TRASPORTO LIQUIDI</v>
          </cell>
          <cell r="C131" t="str">
            <v>motore &lt;= 0,25Kw</v>
          </cell>
        </row>
        <row r="132">
          <cell r="A132" t="str">
            <v>TRASPORTO LIQUIDI</v>
          </cell>
          <cell r="C132" t="str">
            <v>motore &lt;0,25 e &lt;3 Kw</v>
          </cell>
        </row>
        <row r="133">
          <cell r="A133" t="str">
            <v>TRASPORTO LIQUIDI</v>
          </cell>
          <cell r="C133" t="str">
            <v>motore &lt;0,25 e &lt;3 Kw</v>
          </cell>
        </row>
        <row r="134">
          <cell r="A134" t="str">
            <v>TRASPORTO LIQUIDI</v>
          </cell>
          <cell r="C134" t="str">
            <v>motore &gt;=3 e &lt;= 4Kw</v>
          </cell>
        </row>
        <row r="135">
          <cell r="A135" t="str">
            <v>TRASPORTO LIQUIDI</v>
          </cell>
          <cell r="C135" t="str">
            <v>temperatura PLC</v>
          </cell>
        </row>
        <row r="136">
          <cell r="A136" t="str">
            <v>TRASPORTO LIQUIDI</v>
          </cell>
          <cell r="C136" t="str">
            <v>temperatura PLC</v>
          </cell>
        </row>
        <row r="137">
          <cell r="A137" t="str">
            <v>SERBATOIO LIQUIDI</v>
          </cell>
          <cell r="C137" t="str">
            <v>motore &lt;0,25 e &lt;3 Kw</v>
          </cell>
        </row>
        <row r="138">
          <cell r="A138" t="str">
            <v>SERBATOIO LIQUIDI</v>
          </cell>
          <cell r="C138" t="str">
            <v>motore &lt;= 0,25Kw</v>
          </cell>
        </row>
        <row r="139">
          <cell r="A139" t="str">
            <v>SERBATOIO LIQUIDI</v>
          </cell>
          <cell r="C139" t="str">
            <v>motore &lt;0,25 e &lt;3 Kw</v>
          </cell>
        </row>
        <row r="140">
          <cell r="A140" t="str">
            <v>SERBATOIO LIQUIDI</v>
          </cell>
          <cell r="C140" t="str">
            <v>livello minimo</v>
          </cell>
        </row>
        <row r="141">
          <cell r="A141" t="str">
            <v>SERBATOIO LIQUIDI</v>
          </cell>
          <cell r="C141" t="str">
            <v>livello massimo</v>
          </cell>
        </row>
        <row r="142">
          <cell r="A142" t="str">
            <v>DOSA LIQUIDI</v>
          </cell>
          <cell r="C142" t="str">
            <v>elettrovalvole</v>
          </cell>
        </row>
        <row r="143">
          <cell r="A143" t="str">
            <v>DOSA LIQUIDI</v>
          </cell>
          <cell r="C143" t="str">
            <v>elettrovalvole</v>
          </cell>
        </row>
        <row r="144">
          <cell r="A144" t="str">
            <v>DOSA LIQUIDI</v>
          </cell>
          <cell r="C144" t="str">
            <v>temperatura PLC</v>
          </cell>
        </row>
        <row r="145">
          <cell r="A145" t="str">
            <v>DOSA LIQUIDI</v>
          </cell>
          <cell r="C145" t="str">
            <v>temperatura PLC</v>
          </cell>
        </row>
        <row r="146">
          <cell r="A146" t="str">
            <v>DOSA LIQUIDI</v>
          </cell>
          <cell r="C146" t="str">
            <v>temperatura PLC</v>
          </cell>
        </row>
        <row r="147">
          <cell r="A147" t="str">
            <v>DOSA LIQUIDI</v>
          </cell>
          <cell r="C147" t="str">
            <v>temperatura con scheda in rete</v>
          </cell>
        </row>
        <row r="148">
          <cell r="A148" t="str">
            <v>DOSA LIQUIDI</v>
          </cell>
          <cell r="C148" t="str">
            <v>frequenza ≤ 25 Hz</v>
          </cell>
        </row>
        <row r="149">
          <cell r="A149" t="str">
            <v>DOSA LIQUIDI</v>
          </cell>
          <cell r="C149" t="str">
            <v>frequenza &gt; 25 Hz</v>
          </cell>
        </row>
        <row r="150">
          <cell r="A150" t="str">
            <v>DOSA LIQUIDI</v>
          </cell>
          <cell r="C150" t="str">
            <v>valvola monostabile + 2 finecorsa</v>
          </cell>
        </row>
        <row r="151">
          <cell r="A151" t="str">
            <v>DOSA LIQUIDI</v>
          </cell>
          <cell r="C151" t="str">
            <v>valvola monostabile + 1 finecorsa</v>
          </cell>
        </row>
        <row r="152">
          <cell r="A152" t="str">
            <v>DOSA LIQUIDI</v>
          </cell>
          <cell r="C152" t="str">
            <v>valvola monostabile</v>
          </cell>
        </row>
        <row r="153">
          <cell r="A153" t="str">
            <v>PUNTO COMANDO</v>
          </cell>
          <cell r="C153" t="str">
            <v>torretta</v>
          </cell>
        </row>
      </sheetData>
      <sheetData sheetId="4"/>
      <sheetData sheetId="5"/>
      <sheetData sheetId="6">
        <row r="6">
          <cell r="B6">
            <v>200</v>
          </cell>
        </row>
        <row r="7">
          <cell r="B7">
            <v>4</v>
          </cell>
          <cell r="E7">
            <v>2</v>
          </cell>
        </row>
        <row r="8">
          <cell r="B8">
            <v>2</v>
          </cell>
        </row>
      </sheetData>
      <sheetData sheetId="7">
        <row r="63">
          <cell r="B63">
            <v>2.4</v>
          </cell>
        </row>
        <row r="64">
          <cell r="B64">
            <v>6.6666666666666666E-2</v>
          </cell>
        </row>
      </sheetData>
      <sheetData sheetId="8"/>
      <sheetData sheetId="9"/>
      <sheetData sheetId="10"/>
      <sheetData sheetId="11"/>
      <sheetData sheetId="12">
        <row r="1">
          <cell r="A1" t="str">
            <v>tipo</v>
          </cell>
          <cell r="B1" t="str">
            <v>netto</v>
          </cell>
        </row>
        <row r="2">
          <cell r="A2" t="str">
            <v xml:space="preserve"> 1 INGRESSO VELOCE</v>
          </cell>
          <cell r="B2">
            <v>198.90489600000001</v>
          </cell>
        </row>
        <row r="3">
          <cell r="A3" t="str">
            <v xml:space="preserve"> 16 INGRESSI DIGITALI</v>
          </cell>
          <cell r="B3">
            <v>105.15225599999999</v>
          </cell>
        </row>
        <row r="4">
          <cell r="A4" t="str">
            <v xml:space="preserve"> 2 INGRESSI ANALOGICI</v>
          </cell>
          <cell r="B4">
            <v>102.14035199999999</v>
          </cell>
        </row>
        <row r="5">
          <cell r="A5" t="str">
            <v xml:space="preserve"> 32 INGRESSI DIGITALI</v>
          </cell>
          <cell r="B5">
            <v>195.439392</v>
          </cell>
        </row>
        <row r="6">
          <cell r="A6" t="str">
            <v xml:space="preserve"> 8 INGRESSI ANALOGICI</v>
          </cell>
          <cell r="B6">
            <v>280.33516800000001</v>
          </cell>
        </row>
        <row r="7">
          <cell r="A7" t="str">
            <v>10,4" touch colore mp270</v>
          </cell>
          <cell r="B7">
            <v>2174.0562</v>
          </cell>
        </row>
        <row r="8">
          <cell r="A8" t="str">
            <v>10,4" touch colore op270</v>
          </cell>
          <cell r="B8">
            <v>1950.0641999999998</v>
          </cell>
        </row>
        <row r="9">
          <cell r="A9" t="str">
            <v>12" touch  colore</v>
          </cell>
          <cell r="B9">
            <v>2666.1041999999998</v>
          </cell>
        </row>
        <row r="10">
          <cell r="A10" t="str">
            <v>16 USCITE DIGITALI</v>
          </cell>
          <cell r="B10">
            <v>134.39519999999999</v>
          </cell>
        </row>
        <row r="11">
          <cell r="A11" t="str">
            <v>16DI CANopen TECHMARK</v>
          </cell>
          <cell r="B11">
            <v>66.5</v>
          </cell>
        </row>
        <row r="12">
          <cell r="A12" t="str">
            <v>16DI FAR</v>
          </cell>
          <cell r="B12">
            <v>72</v>
          </cell>
        </row>
        <row r="13">
          <cell r="A13" t="str">
            <v>16DI MOELLER</v>
          </cell>
          <cell r="B13">
            <v>81.099999999999994</v>
          </cell>
        </row>
        <row r="14">
          <cell r="A14" t="str">
            <v>16DI+16DO B&amp;R</v>
          </cell>
          <cell r="B14">
            <v>132.72</v>
          </cell>
        </row>
        <row r="15">
          <cell r="A15" t="str">
            <v>16DO CANopen TECHMARK</v>
          </cell>
          <cell r="B15">
            <v>83.6</v>
          </cell>
        </row>
        <row r="16">
          <cell r="A16" t="str">
            <v>16DO FAR</v>
          </cell>
          <cell r="B16">
            <v>52.5</v>
          </cell>
        </row>
        <row r="17">
          <cell r="A17" t="str">
            <v>16DO MOELLER</v>
          </cell>
          <cell r="B17">
            <v>95.3</v>
          </cell>
        </row>
        <row r="18">
          <cell r="A18" t="str">
            <v>2 USCITE ANALOGICHE</v>
          </cell>
          <cell r="B18">
            <v>161.466048</v>
          </cell>
        </row>
        <row r="19">
          <cell r="A19" t="str">
            <v>2AO PROFIBUS</v>
          </cell>
          <cell r="B19">
            <v>81.842918399999988</v>
          </cell>
        </row>
        <row r="20">
          <cell r="A20" t="str">
            <v>32 USCITE DIGITALI</v>
          </cell>
          <cell r="B20">
            <v>253.07510399999998</v>
          </cell>
        </row>
        <row r="21">
          <cell r="A21" t="str">
            <v>4 DI PROFIBUS</v>
          </cell>
          <cell r="B21">
            <v>16.275686399999998</v>
          </cell>
        </row>
        <row r="22">
          <cell r="A22" t="str">
            <v>4 DO PROFIBUS</v>
          </cell>
          <cell r="B22">
            <v>20.400076799999997</v>
          </cell>
        </row>
        <row r="23">
          <cell r="A23" t="str">
            <v>4 USCITE ANALOGICHE</v>
          </cell>
          <cell r="B23">
            <v>251.17149599999999</v>
          </cell>
        </row>
        <row r="24">
          <cell r="A24" t="str">
            <v>4AO CANopen TECHMARK</v>
          </cell>
          <cell r="B24">
            <v>83.6</v>
          </cell>
        </row>
        <row r="25">
          <cell r="A25" t="str">
            <v xml:space="preserve">4X20 caratteri tasti </v>
          </cell>
          <cell r="B25">
            <v>360.08819999999997</v>
          </cell>
        </row>
        <row r="26">
          <cell r="A26" t="str">
            <v>5,7" tasti  mono</v>
          </cell>
          <cell r="B26">
            <v>847.66860000000008</v>
          </cell>
        </row>
        <row r="27">
          <cell r="A27" t="str">
            <v>5,7" touch colore</v>
          </cell>
          <cell r="B27">
            <v>932.92020000000014</v>
          </cell>
        </row>
        <row r="28">
          <cell r="A28" t="str">
            <v>5,7" touch mono</v>
          </cell>
          <cell r="B28">
            <v>750.54419999999993</v>
          </cell>
        </row>
        <row r="29">
          <cell r="A29" t="str">
            <v>8 USCITE DIGITALI POTENZIATE</v>
          </cell>
          <cell r="B29">
            <v>119.59487999999999</v>
          </cell>
        </row>
        <row r="30">
          <cell r="A30" t="str">
            <v>8DI+3DIV+8DO+2AI+2AO B&amp;R</v>
          </cell>
          <cell r="B30">
            <v>124.88000000000001</v>
          </cell>
        </row>
        <row r="31">
          <cell r="A31" t="str">
            <v>8DO/I B&amp;R</v>
          </cell>
          <cell r="B31">
            <v>71.488</v>
          </cell>
        </row>
        <row r="32">
          <cell r="A32" t="str">
            <v xml:space="preserve">8X40 caratteri tasti </v>
          </cell>
          <cell r="B32">
            <v>750.54419999999993</v>
          </cell>
        </row>
        <row r="33">
          <cell r="A33" t="str">
            <v>accessori quadro</v>
          </cell>
          <cell r="B33">
            <v>58.199999999999996</v>
          </cell>
        </row>
        <row r="34">
          <cell r="A34" t="str">
            <v>anticondensa RSAS24</v>
          </cell>
          <cell r="B34">
            <v>241.7018287738797</v>
          </cell>
        </row>
        <row r="35">
          <cell r="A35" t="str">
            <v>armadio 800x2000x400</v>
          </cell>
          <cell r="B35">
            <v>734.78048000000001</v>
          </cell>
        </row>
        <row r="36">
          <cell r="A36" t="str">
            <v>armadio 800x2000x400 inox</v>
          </cell>
          <cell r="B36">
            <v>1168.6104800000001</v>
          </cell>
        </row>
        <row r="37">
          <cell r="A37" t="str">
            <v>cassa 800x1000x300</v>
          </cell>
          <cell r="B37">
            <v>170.53</v>
          </cell>
        </row>
        <row r="38">
          <cell r="A38" t="str">
            <v>cassa da  5,7" touch</v>
          </cell>
          <cell r="B38">
            <v>76.526620770863573</v>
          </cell>
        </row>
        <row r="39">
          <cell r="A39" t="str">
            <v>cassa fino 5,7" touch</v>
          </cell>
          <cell r="B39">
            <v>51.526620770863573</v>
          </cell>
        </row>
        <row r="40">
          <cell r="A40" t="str">
            <v>controller CANopen B&amp;R</v>
          </cell>
          <cell r="B40">
            <v>128.24</v>
          </cell>
        </row>
        <row r="41">
          <cell r="A41" t="str">
            <v>controller CANopen MOELLER</v>
          </cell>
          <cell r="B41">
            <v>178.66</v>
          </cell>
        </row>
        <row r="42">
          <cell r="A42" t="str">
            <v>controller CANopen TECHMARK</v>
          </cell>
          <cell r="B42">
            <v>136.81</v>
          </cell>
        </row>
        <row r="43">
          <cell r="A43" t="str">
            <v>controller ETHERNET FAR</v>
          </cell>
          <cell r="B43">
            <v>202</v>
          </cell>
        </row>
        <row r="44">
          <cell r="A44" t="str">
            <v>controller PROFIBUS</v>
          </cell>
          <cell r="B44">
            <v>103.74220799999999</v>
          </cell>
        </row>
        <row r="45">
          <cell r="A45" t="str">
            <v>cpu 313c</v>
          </cell>
          <cell r="B45">
            <v>521.82791999999995</v>
          </cell>
        </row>
        <row r="46">
          <cell r="A46" t="str">
            <v>cpu 313c 2dp</v>
          </cell>
          <cell r="B46">
            <v>648.81755999999996</v>
          </cell>
        </row>
        <row r="47">
          <cell r="A47" t="str">
            <v>cpu 313c ptp</v>
          </cell>
          <cell r="B47">
            <v>529.84475999999995</v>
          </cell>
        </row>
        <row r="48">
          <cell r="A48" t="str">
            <v>cpu 314 2dp</v>
          </cell>
          <cell r="B48">
            <v>868.25628000000006</v>
          </cell>
        </row>
        <row r="49">
          <cell r="A49" t="str">
            <v>cpu 314 MMC</v>
          </cell>
          <cell r="B49">
            <v>394.92359999999996</v>
          </cell>
        </row>
        <row r="50">
          <cell r="A50" t="str">
            <v>cpu 314 ptp</v>
          </cell>
          <cell r="B50">
            <v>765.06119999999987</v>
          </cell>
        </row>
        <row r="51">
          <cell r="A51" t="str">
            <v>CPU 314C 2DP (24DI 16DO 4AI 2 AO)</v>
          </cell>
          <cell r="B51">
            <v>991.94932799999992</v>
          </cell>
        </row>
        <row r="52">
          <cell r="A52" t="str">
            <v>cpu 315 2dp</v>
          </cell>
          <cell r="B52">
            <v>907.70133600000008</v>
          </cell>
        </row>
        <row r="53">
          <cell r="A53" t="str">
            <v>cpu 315 2dp MMC</v>
          </cell>
          <cell r="B53">
            <v>857.68092000000001</v>
          </cell>
        </row>
        <row r="54">
          <cell r="A54" t="str">
            <v>CPU 315C 2DP</v>
          </cell>
          <cell r="B54">
            <v>841.13121599999999</v>
          </cell>
        </row>
        <row r="55">
          <cell r="A55" t="str">
            <v>cpu 316 2dp</v>
          </cell>
          <cell r="B55">
            <v>1486.173528</v>
          </cell>
        </row>
        <row r="56">
          <cell r="A56" t="str">
            <v>cpu 318 2dp</v>
          </cell>
          <cell r="B56">
            <v>2489.7751920000005</v>
          </cell>
        </row>
        <row r="57">
          <cell r="A57" t="str">
            <v>elettrovalvole</v>
          </cell>
          <cell r="B57">
            <v>6.1701401147567232</v>
          </cell>
        </row>
        <row r="58">
          <cell r="A58" t="str">
            <v>ESPANSIONE RETE</v>
          </cell>
          <cell r="B58">
            <v>145.42394399999998</v>
          </cell>
        </row>
        <row r="59">
          <cell r="A59" t="str">
            <v>filtro aria con scheda WAM</v>
          </cell>
          <cell r="B59">
            <v>9.5240000000000009</v>
          </cell>
        </row>
        <row r="60">
          <cell r="A60" t="str">
            <v>filtro INVERTER</v>
          </cell>
          <cell r="B60">
            <v>60.43</v>
          </cell>
        </row>
        <row r="61">
          <cell r="A61" t="str">
            <v>interruttore magnetico 100 3P</v>
          </cell>
          <cell r="B61">
            <v>143.67999999999998</v>
          </cell>
        </row>
        <row r="62">
          <cell r="A62" t="str">
            <v>interruttore magnetico 100 4P</v>
          </cell>
          <cell r="B62">
            <v>166.35</v>
          </cell>
        </row>
        <row r="63">
          <cell r="A63" t="str">
            <v>interruttore magnetico 160 3P</v>
          </cell>
          <cell r="B63">
            <v>184.91</v>
          </cell>
        </row>
        <row r="64">
          <cell r="A64" t="str">
            <v>interruttore magnetico 160 4P</v>
          </cell>
          <cell r="B64">
            <v>219.67999999999998</v>
          </cell>
        </row>
        <row r="65">
          <cell r="A65" t="str">
            <v>interruttore magnetico 250 3P</v>
          </cell>
          <cell r="B65">
            <v>285.57</v>
          </cell>
        </row>
        <row r="66">
          <cell r="A66" t="str">
            <v>interruttore magnetico 250 4P</v>
          </cell>
          <cell r="B66">
            <v>310.53000000000003</v>
          </cell>
        </row>
        <row r="67">
          <cell r="A67" t="str">
            <v>interruttore magnetico 400 3P</v>
          </cell>
          <cell r="B67">
            <v>352.42000000000007</v>
          </cell>
        </row>
        <row r="68">
          <cell r="A68" t="str">
            <v>interruttore magnetico 400 4P</v>
          </cell>
          <cell r="B68">
            <v>428.61</v>
          </cell>
        </row>
        <row r="69">
          <cell r="A69" t="str">
            <v>interruttore manovra 100A 3P</v>
          </cell>
          <cell r="B69">
            <v>36.46</v>
          </cell>
        </row>
        <row r="70">
          <cell r="A70" t="str">
            <v>interruttore manovra 100A 4P</v>
          </cell>
          <cell r="B70">
            <v>56.655000000000001</v>
          </cell>
        </row>
        <row r="71">
          <cell r="A71" t="str">
            <v>interruttore manovra 125A 3P</v>
          </cell>
          <cell r="B71">
            <v>45.28</v>
          </cell>
        </row>
        <row r="72">
          <cell r="A72" t="str">
            <v>interruttore manovra 125A 4P</v>
          </cell>
          <cell r="B72">
            <v>65.474999999999994</v>
          </cell>
        </row>
        <row r="73">
          <cell r="A73" t="str">
            <v>interruttore manovra 32A 3P</v>
          </cell>
          <cell r="B73">
            <v>14.79</v>
          </cell>
        </row>
        <row r="74">
          <cell r="A74" t="str">
            <v>interruttore manovra 32A 4P</v>
          </cell>
          <cell r="B74">
            <v>25.4</v>
          </cell>
        </row>
        <row r="75">
          <cell r="A75" t="str">
            <v>interruttore manovra 63A 3P</v>
          </cell>
          <cell r="B75">
            <v>27.82</v>
          </cell>
        </row>
        <row r="76">
          <cell r="A76" t="str">
            <v>interruttore manovra 63A 4P</v>
          </cell>
          <cell r="B76">
            <v>42.967500000000001</v>
          </cell>
        </row>
        <row r="77">
          <cell r="A77" t="str">
            <v>inverter monofase =0,37 Kw</v>
          </cell>
          <cell r="B77">
            <v>144.70770000000002</v>
          </cell>
        </row>
        <row r="78">
          <cell r="A78" t="str">
            <v>inverter monofase =0,75 Kw</v>
          </cell>
          <cell r="B78">
            <v>164.10810000000001</v>
          </cell>
        </row>
        <row r="79">
          <cell r="A79" t="str">
            <v>inverter trifase = 1,5 Kw</v>
          </cell>
          <cell r="B79">
            <v>293.20949999999999</v>
          </cell>
        </row>
        <row r="80">
          <cell r="A80" t="str">
            <v>inverter trifase =0,75 Kw</v>
          </cell>
          <cell r="B80">
            <v>267.02100000000002</v>
          </cell>
        </row>
        <row r="81">
          <cell r="A81" t="str">
            <v>inverter/silo</v>
          </cell>
          <cell r="B81">
            <v>25.875971791124172</v>
          </cell>
        </row>
        <row r="82">
          <cell r="A82" t="str">
            <v>motore &lt;= 0,25Kw</v>
          </cell>
          <cell r="B82">
            <v>40.286471791124171</v>
          </cell>
        </row>
        <row r="83">
          <cell r="A83" t="str">
            <v>motore &lt;0,25 e &lt;3 Kw</v>
          </cell>
          <cell r="B83">
            <v>40.286471791124171</v>
          </cell>
        </row>
        <row r="84">
          <cell r="A84" t="str">
            <v>motore = 11Kw</v>
          </cell>
          <cell r="B84">
            <v>135.75194358224837</v>
          </cell>
        </row>
        <row r="85">
          <cell r="A85" t="str">
            <v>motore = 15Kw</v>
          </cell>
          <cell r="B85">
            <v>171.53594358224834</v>
          </cell>
        </row>
        <row r="86">
          <cell r="A86" t="str">
            <v>motore = 22Kw</v>
          </cell>
          <cell r="B86">
            <v>252.36980395296109</v>
          </cell>
        </row>
        <row r="87">
          <cell r="A87" t="str">
            <v>motore = 30Kw</v>
          </cell>
          <cell r="B87">
            <v>258.72980395296111</v>
          </cell>
        </row>
        <row r="88">
          <cell r="A88" t="str">
            <v>motore = 5,5Kw</v>
          </cell>
          <cell r="B88">
            <v>105.71194358224835</v>
          </cell>
        </row>
        <row r="89">
          <cell r="A89" t="str">
            <v>motore = 7,5Kw</v>
          </cell>
          <cell r="B89">
            <v>138.86194358224836</v>
          </cell>
        </row>
        <row r="90">
          <cell r="A90" t="str">
            <v>motore &gt;=3 e &lt;= 4Kw</v>
          </cell>
          <cell r="B90">
            <v>44.866471791124169</v>
          </cell>
        </row>
        <row r="91">
          <cell r="A91" t="str">
            <v>PANEL PLC 10,4" + TASTIERA B&amp;R</v>
          </cell>
          <cell r="B91">
            <v>1285.8400000000001</v>
          </cell>
        </row>
        <row r="92">
          <cell r="A92" t="str">
            <v>PANEL PLC 10,4" + TOUCH MOELLER</v>
          </cell>
          <cell r="B92">
            <v>1807.76</v>
          </cell>
        </row>
        <row r="93">
          <cell r="A93" t="str">
            <v>PANEL PLC 5,7" + TASTIERA B&amp;R</v>
          </cell>
          <cell r="B93">
            <v>1063.768</v>
          </cell>
        </row>
        <row r="94">
          <cell r="A94" t="str">
            <v>PANEL PLC 5,7" + TOUCH MOELLER</v>
          </cell>
          <cell r="B94">
            <v>1207.76</v>
          </cell>
        </row>
        <row r="95">
          <cell r="A95" t="str">
            <v>PANEL PLC8,4" + TASTIERA FAR</v>
          </cell>
          <cell r="B95">
            <v>1256</v>
          </cell>
        </row>
        <row r="96">
          <cell r="A96" t="str">
            <v>PC 10,4" TASTIERA TECHMARK</v>
          </cell>
          <cell r="B96">
            <v>1425.96</v>
          </cell>
        </row>
        <row r="97">
          <cell r="A97" t="str">
            <v>PC 6,4" TASTIERA TECHMARK</v>
          </cell>
          <cell r="B97">
            <v>1288.9599999999998</v>
          </cell>
        </row>
        <row r="98">
          <cell r="A98" t="str">
            <v>peso PRECISE -&gt; PLC</v>
          </cell>
          <cell r="B98">
            <v>121</v>
          </cell>
        </row>
        <row r="99">
          <cell r="A99" t="str">
            <v>peso PRECISE -&gt; PLC</v>
          </cell>
          <cell r="B99">
            <v>121</v>
          </cell>
        </row>
        <row r="100">
          <cell r="A100" t="str">
            <v>peso PRECISE in rete</v>
          </cell>
          <cell r="B100">
            <v>256.59219999999999</v>
          </cell>
        </row>
        <row r="101">
          <cell r="A101" t="str">
            <v>peso SIWAREX</v>
          </cell>
          <cell r="B101">
            <v>0</v>
          </cell>
        </row>
        <row r="102">
          <cell r="A102" t="str">
            <v>peso wp104</v>
          </cell>
          <cell r="B102">
            <v>165.53</v>
          </cell>
        </row>
        <row r="103">
          <cell r="A103" t="str">
            <v>peso wp104 -&gt; PLC</v>
          </cell>
          <cell r="B103">
            <v>207.07014011475673</v>
          </cell>
        </row>
        <row r="104">
          <cell r="A104" t="str">
            <v>peso wp104 rete</v>
          </cell>
          <cell r="B104">
            <v>289.12219999999996</v>
          </cell>
        </row>
        <row r="105">
          <cell r="A105" t="str">
            <v>temperatura con scheda in rete</v>
          </cell>
          <cell r="B105">
            <v>160</v>
          </cell>
        </row>
        <row r="106">
          <cell r="A106" t="str">
            <v>posizionatore</v>
          </cell>
          <cell r="B106">
            <v>335.74597179112419</v>
          </cell>
        </row>
        <row r="107">
          <cell r="A107" t="str">
            <v>pulsante</v>
          </cell>
          <cell r="B107">
            <v>12.583239940710747</v>
          </cell>
        </row>
        <row r="108">
          <cell r="A108" t="str">
            <v>quadro carico silo</v>
          </cell>
          <cell r="B108">
            <v>130.00052678603709</v>
          </cell>
        </row>
        <row r="109">
          <cell r="A109" t="str">
            <v>relè sicurezza</v>
          </cell>
          <cell r="B109">
            <v>55</v>
          </cell>
        </row>
        <row r="110">
          <cell r="A110" t="str">
            <v>SIWAREX 1 CANALE</v>
          </cell>
          <cell r="B110">
            <v>402.99995999999993</v>
          </cell>
        </row>
        <row r="111">
          <cell r="A111" t="str">
            <v>SIWAREX 2 CANALE</v>
          </cell>
          <cell r="B111">
            <v>621.68796000000009</v>
          </cell>
        </row>
        <row r="112">
          <cell r="A112" t="str">
            <v>temperatura PLC</v>
          </cell>
          <cell r="B112">
            <v>80</v>
          </cell>
        </row>
        <row r="113">
          <cell r="A113" t="str">
            <v>torretta</v>
          </cell>
          <cell r="B113">
            <v>57.324509999999989</v>
          </cell>
        </row>
        <row r="114">
          <cell r="A114" t="str">
            <v>PC 15" Touch SIEMENS  deterministico XP embedded</v>
          </cell>
          <cell r="B114">
            <v>3000</v>
          </cell>
        </row>
        <row r="115">
          <cell r="A115" t="str">
            <v>PC 12,5" Touch SIEMENS deterministico software</v>
          </cell>
          <cell r="B115">
            <v>2883.5590400000001</v>
          </cell>
        </row>
        <row r="116">
          <cell r="A116" t="str">
            <v>PC 12,5" Touch SIEMENS deterministico hardware</v>
          </cell>
          <cell r="B116">
            <v>2885.4317599999999</v>
          </cell>
        </row>
        <row r="117">
          <cell r="A117" t="str">
            <v>PC 12,5" Touch SIEMENS non deterministico ISAGRAF</v>
          </cell>
          <cell r="B117">
            <v>1972.82936</v>
          </cell>
        </row>
        <row r="118">
          <cell r="A118" t="str">
            <v>valvola monostabile + 2 finecorsa</v>
          </cell>
          <cell r="B118">
            <v>0</v>
          </cell>
        </row>
        <row r="119">
          <cell r="A119" t="str">
            <v>valvola monostabile + 1 finecorsa</v>
          </cell>
          <cell r="B119">
            <v>0</v>
          </cell>
        </row>
        <row r="120">
          <cell r="A120" t="str">
            <v>valvola monostabile</v>
          </cell>
          <cell r="B120">
            <v>0</v>
          </cell>
        </row>
        <row r="121">
          <cell r="A121" t="str">
            <v>pressostato</v>
          </cell>
          <cell r="B121">
            <v>0</v>
          </cell>
        </row>
        <row r="122">
          <cell r="A122" t="str">
            <v>finecorsa</v>
          </cell>
          <cell r="B122">
            <v>0</v>
          </cell>
        </row>
        <row r="123">
          <cell r="A123" t="str">
            <v>livello minimo</v>
          </cell>
          <cell r="B123">
            <v>0</v>
          </cell>
        </row>
        <row r="124">
          <cell r="A124" t="str">
            <v>livello massimo</v>
          </cell>
          <cell r="B124">
            <v>0</v>
          </cell>
        </row>
        <row r="125">
          <cell r="A125" t="str">
            <v>jolly</v>
          </cell>
          <cell r="B125">
            <v>0</v>
          </cell>
        </row>
        <row r="126">
          <cell r="A126" t="str">
            <v>valvola bistabile + 2 finecorsa</v>
          </cell>
          <cell r="B126">
            <v>0</v>
          </cell>
        </row>
        <row r="127">
          <cell r="A127" t="str">
            <v xml:space="preserve">comando PLC </v>
          </cell>
          <cell r="B127">
            <v>0</v>
          </cell>
        </row>
        <row r="128">
          <cell r="A128" t="str">
            <v>frequenza ≤ 25 Hz</v>
          </cell>
          <cell r="B128">
            <v>0</v>
          </cell>
        </row>
        <row r="129">
          <cell r="A129" t="str">
            <v>frequenza &gt; 25 Hz</v>
          </cell>
          <cell r="B129">
            <v>0</v>
          </cell>
        </row>
        <row r="130">
          <cell r="A130" t="str">
            <v>TOUCH PANEL 5,7" + PLC  B&amp;R</v>
          </cell>
          <cell r="B130">
            <v>1250.864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26" Type="http://schemas.openxmlformats.org/officeDocument/2006/relationships/ctrlProp" Target="../ctrlProps/ctrlProp40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35.x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5" Type="http://schemas.openxmlformats.org/officeDocument/2006/relationships/ctrlProp" Target="../ctrlProps/ctrlProp39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24" Type="http://schemas.openxmlformats.org/officeDocument/2006/relationships/ctrlProp" Target="../ctrlProps/ctrlProp38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23" Type="http://schemas.openxmlformats.org/officeDocument/2006/relationships/ctrlProp" Target="../ctrlProps/ctrlProp37.xml"/><Relationship Id="rId28" Type="http://schemas.openxmlformats.org/officeDocument/2006/relationships/ctrlProp" Target="../ctrlProps/ctrlProp42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Relationship Id="rId22" Type="http://schemas.openxmlformats.org/officeDocument/2006/relationships/ctrlProp" Target="../ctrlProps/ctrlProp36.xml"/><Relationship Id="rId27" Type="http://schemas.openxmlformats.org/officeDocument/2006/relationships/ctrlProp" Target="../ctrlProps/ctrlProp4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0">
    <pageSetUpPr fitToPage="1"/>
  </sheetPr>
  <dimension ref="A1:LP250"/>
  <sheetViews>
    <sheetView showZeros="0" tabSelected="1" zoomScale="85" zoomScaleNormal="85" workbookViewId="0">
      <selection activeCell="AB5" sqref="AB5"/>
    </sheetView>
  </sheetViews>
  <sheetFormatPr defaultColWidth="9.140625" defaultRowHeight="14.25" x14ac:dyDescent="0.2"/>
  <cols>
    <col min="1" max="1" width="15.28515625" style="213" customWidth="1"/>
    <col min="2" max="2" width="73.5703125" style="206" customWidth="1"/>
    <col min="3" max="3" width="10.140625" style="182" customWidth="1"/>
    <col min="4" max="4" width="43.5703125" style="1" customWidth="1"/>
    <col min="5" max="5" width="9.28515625" style="183" customWidth="1"/>
    <col min="6" max="6" width="11" style="622" hidden="1" customWidth="1"/>
    <col min="7" max="7" width="5.42578125" style="167" hidden="1" customWidth="1"/>
    <col min="8" max="12" width="5.42578125" style="1" hidden="1" customWidth="1"/>
    <col min="13" max="13" width="8.42578125" style="1" hidden="1" customWidth="1"/>
    <col min="14" max="14" width="10.5703125" style="504" customWidth="1"/>
    <col min="15" max="15" width="4.5703125" style="72" hidden="1" customWidth="1"/>
    <col min="16" max="16" width="10.5703125" style="72" customWidth="1"/>
    <col min="17" max="17" width="7" style="72" hidden="1" customWidth="1"/>
    <col min="18" max="18" width="10.5703125" style="72" customWidth="1"/>
    <col min="19" max="19" width="2.7109375" style="72" hidden="1" customWidth="1"/>
    <col min="20" max="20" width="10.5703125" style="72" customWidth="1"/>
    <col min="21" max="21" width="7" style="72" hidden="1" customWidth="1"/>
    <col min="22" max="22" width="10.5703125" style="72" customWidth="1"/>
    <col min="23" max="23" width="7" style="72" hidden="1" customWidth="1"/>
    <col min="24" max="24" width="10.5703125" style="72" customWidth="1"/>
    <col min="25" max="25" width="7" style="72" hidden="1" customWidth="1"/>
    <col min="26" max="26" width="10.5703125" style="72" customWidth="1"/>
    <col min="27" max="27" width="7" style="72" hidden="1" customWidth="1"/>
    <col min="28" max="28" width="10.5703125" style="72" customWidth="1"/>
    <col min="29" max="29" width="7" style="72" hidden="1" customWidth="1"/>
    <col min="30" max="30" width="10.5703125" style="72" customWidth="1"/>
    <col min="31" max="31" width="3.85546875" style="72" hidden="1" customWidth="1"/>
    <col min="32" max="32" width="10.5703125" style="72" customWidth="1"/>
    <col min="33" max="33" width="10.5703125" style="72" hidden="1" customWidth="1"/>
    <col min="34" max="34" width="15.7109375" style="72" customWidth="1"/>
    <col min="35" max="36" width="20.5703125" style="66" hidden="1" customWidth="1"/>
    <col min="37" max="37" width="9.28515625" style="66" hidden="1" customWidth="1"/>
    <col min="38" max="38" width="34.140625" style="66" hidden="1" customWidth="1"/>
    <col min="39" max="39" width="12.5703125" style="157" hidden="1" customWidth="1"/>
    <col min="40" max="40" width="8.42578125" style="66" hidden="1" customWidth="1"/>
    <col min="41" max="41" width="11.42578125" style="157" hidden="1" customWidth="1"/>
    <col min="42" max="42" width="8.42578125" style="66" hidden="1" customWidth="1"/>
    <col min="43" max="43" width="10" style="157" hidden="1" customWidth="1"/>
    <col min="44" max="44" width="8.42578125" style="66" hidden="1" customWidth="1"/>
    <col min="45" max="45" width="10" style="157" hidden="1" customWidth="1"/>
    <col min="46" max="46" width="8.42578125" style="66" hidden="1" customWidth="1"/>
    <col min="47" max="47" width="10" style="157" hidden="1" customWidth="1"/>
    <col min="48" max="48" width="8.42578125" style="66" hidden="1" customWidth="1"/>
    <col min="49" max="49" width="6.85546875" style="157" hidden="1" customWidth="1"/>
    <col min="50" max="50" width="8.42578125" style="66" hidden="1" customWidth="1"/>
    <col min="51" max="51" width="6.85546875" style="157" hidden="1" customWidth="1"/>
    <col min="52" max="52" width="8.42578125" style="66" hidden="1" customWidth="1"/>
    <col min="53" max="53" width="6.85546875" style="157" hidden="1" customWidth="1"/>
    <col min="54" max="54" width="8.42578125" style="66" hidden="1" customWidth="1"/>
    <col min="55" max="55" width="6.85546875" style="157" hidden="1" customWidth="1"/>
    <col min="56" max="56" width="8.42578125" style="66" hidden="1" customWidth="1"/>
    <col min="57" max="57" width="6.85546875" style="157" hidden="1" customWidth="1"/>
    <col min="58" max="66" width="3.140625" style="1" hidden="1" customWidth="1"/>
    <col min="67" max="67" width="3.140625" style="69" hidden="1" customWidth="1"/>
    <col min="68" max="76" width="3.140625" style="1" hidden="1" customWidth="1"/>
    <col min="77" max="77" width="3.140625" style="69" hidden="1" customWidth="1"/>
    <col min="78" max="86" width="3.140625" style="1" hidden="1" customWidth="1"/>
    <col min="87" max="87" width="3.140625" style="69" hidden="1" customWidth="1"/>
    <col min="88" max="89" width="3.5703125" style="1" hidden="1" customWidth="1"/>
    <col min="90" max="96" width="3.140625" style="1" hidden="1" customWidth="1"/>
    <col min="97" max="97" width="3.140625" style="69" hidden="1" customWidth="1"/>
    <col min="98" max="99" width="3.5703125" style="1" hidden="1" customWidth="1"/>
    <col min="100" max="106" width="3.140625" style="1" hidden="1" customWidth="1"/>
    <col min="107" max="107" width="3.140625" style="69" hidden="1" customWidth="1"/>
    <col min="108" max="116" width="3.140625" style="1" hidden="1" customWidth="1"/>
    <col min="117" max="117" width="3.140625" style="69" hidden="1" customWidth="1"/>
    <col min="118" max="126" width="3.140625" style="1" hidden="1" customWidth="1"/>
    <col min="127" max="127" width="3.140625" style="69" hidden="1" customWidth="1"/>
    <col min="128" max="128" width="3.140625" style="1" hidden="1" customWidth="1"/>
    <col min="129" max="129" width="7.85546875" style="69" hidden="1" customWidth="1"/>
    <col min="130" max="130" width="3.5703125" style="1" hidden="1" customWidth="1"/>
    <col min="131" max="131" width="4" style="1" hidden="1" customWidth="1"/>
    <col min="132" max="132" width="3.5703125" style="1" hidden="1" customWidth="1"/>
    <col min="133" max="133" width="3.7109375" style="281" hidden="1" customWidth="1"/>
    <col min="134" max="134" width="3.7109375" style="285" hidden="1" customWidth="1"/>
    <col min="135" max="135" width="9.140625" style="1" hidden="1" customWidth="1"/>
    <col min="136" max="138" width="0" style="1" hidden="1" customWidth="1"/>
    <col min="139" max="16384" width="9.140625" style="1"/>
  </cols>
  <sheetData>
    <row r="1" spans="1:138" ht="24" customHeight="1" thickBot="1" x14ac:dyDescent="0.3">
      <c r="A1" s="213" t="s">
        <v>344</v>
      </c>
      <c r="B1" s="265" t="str">
        <f ca="1">MID(CELL("filename",A1),SEARCH("[",CELL("filename",A1))+1,SUM(SEARCH({"[","]"},CELL("filename",A1))*{-1,1})-1)</f>
        <v>QUAEL.xltm</v>
      </c>
      <c r="C1" s="504" t="s">
        <v>2418</v>
      </c>
      <c r="D1" s="493" t="s">
        <v>2404</v>
      </c>
      <c r="E1" s="381"/>
      <c r="F1" s="621"/>
      <c r="G1" s="381"/>
      <c r="H1" s="381"/>
      <c r="I1" s="381"/>
      <c r="J1" s="381"/>
      <c r="K1" s="381"/>
      <c r="L1" s="381"/>
      <c r="M1" s="381"/>
      <c r="N1" s="653"/>
      <c r="O1" s="381"/>
      <c r="P1" s="381"/>
      <c r="Q1" s="503"/>
      <c r="R1" s="850" t="s">
        <v>2515</v>
      </c>
      <c r="S1" s="851"/>
      <c r="T1" s="857" t="s">
        <v>2517</v>
      </c>
      <c r="U1" s="1"/>
      <c r="V1" s="223"/>
      <c r="W1" s="223"/>
      <c r="X1" s="223"/>
      <c r="AD1" s="504" t="s">
        <v>2420</v>
      </c>
      <c r="AH1" s="504" t="s">
        <v>2519</v>
      </c>
      <c r="AK1" s="674" t="s">
        <v>2486</v>
      </c>
      <c r="EE1" s="1">
        <f>A6-quadro!B196</f>
        <v>1</v>
      </c>
      <c r="EF1" s="307" t="s">
        <v>1041</v>
      </c>
      <c r="EG1" s="307"/>
      <c r="EH1" s="536" t="s">
        <v>1057</v>
      </c>
    </row>
    <row r="2" spans="1:138" ht="27" customHeight="1" thickBot="1" x14ac:dyDescent="0.3">
      <c r="A2" s="502" t="s">
        <v>864</v>
      </c>
      <c r="B2" s="265"/>
      <c r="C2" s="505"/>
      <c r="D2" s="381" t="s">
        <v>2268</v>
      </c>
      <c r="E2" s="556">
        <v>3</v>
      </c>
      <c r="N2" s="653"/>
      <c r="O2" s="381"/>
      <c r="P2" s="381"/>
      <c r="Q2"/>
      <c r="R2" s="852" t="s">
        <v>2516</v>
      </c>
      <c r="S2" s="794"/>
      <c r="T2" s="853" t="s">
        <v>2512</v>
      </c>
      <c r="U2"/>
      <c r="V2" s="506" t="s">
        <v>857</v>
      </c>
      <c r="W2" s="481"/>
      <c r="X2" s="511" t="s">
        <v>2426</v>
      </c>
      <c r="Y2" s="501"/>
      <c r="Z2" s="501" t="s">
        <v>858</v>
      </c>
      <c r="AA2" s="501"/>
      <c r="AB2" s="509" t="s">
        <v>2421</v>
      </c>
      <c r="AC2" s="508"/>
      <c r="AD2" s="509" t="s">
        <v>2422</v>
      </c>
      <c r="AE2" s="508"/>
      <c r="AF2" s="509" t="s">
        <v>2423</v>
      </c>
      <c r="AH2" s="504" t="s">
        <v>2520</v>
      </c>
    </row>
    <row r="3" spans="1:138" ht="30" customHeight="1" thickBot="1" x14ac:dyDescent="0.25">
      <c r="A3" s="251">
        <f>MAX(A197:A198)</f>
        <v>0</v>
      </c>
      <c r="B3" s="246" t="s">
        <v>800</v>
      </c>
      <c r="C3" s="867" t="s">
        <v>2525</v>
      </c>
      <c r="D3" s="498" t="s">
        <v>2273</v>
      </c>
      <c r="E3" s="558">
        <v>1</v>
      </c>
      <c r="N3" s="654"/>
      <c r="O3" s="498"/>
      <c r="P3" s="498"/>
      <c r="Q3"/>
      <c r="R3" s="852" t="s">
        <v>2510</v>
      </c>
      <c r="S3" s="207"/>
      <c r="T3" s="853" t="s">
        <v>2513</v>
      </c>
      <c r="U3"/>
      <c r="V3" s="874">
        <f>(IF(A5=0,0,quadro!B106+AH8+AH7))*Foglio2!A1</f>
        <v>0</v>
      </c>
      <c r="W3" s="223"/>
      <c r="X3" s="886">
        <f>V3</f>
        <v>0</v>
      </c>
      <c r="Z3" s="874">
        <f>V3-X3</f>
        <v>0</v>
      </c>
      <c r="AB3" s="875">
        <f>(IF(A5=0,0,manodopera!D46))*Foglio2!A1</f>
        <v>0</v>
      </c>
      <c r="AC3" s="887"/>
      <c r="AD3" s="875">
        <f>(IF(A5=0,0,manodopera!D47))*Foglio2!A1</f>
        <v>0</v>
      </c>
      <c r="AE3" s="887"/>
      <c r="AF3" s="875">
        <f>(IF(A5=0,0,manodopera!D48))*Foglio2!A1</f>
        <v>0</v>
      </c>
      <c r="AH3" s="876">
        <f>(IF(tipo_controllore1=3,ROUNDUP(quadro!B103,-1),0))*Foglio2!A1</f>
        <v>0</v>
      </c>
    </row>
    <row r="4" spans="1:138" ht="30" customHeight="1" thickTop="1" thickBot="1" x14ac:dyDescent="0.25">
      <c r="A4" s="248">
        <v>1</v>
      </c>
      <c r="B4" s="863" t="s">
        <v>863</v>
      </c>
      <c r="C4" s="872">
        <f>E242</f>
        <v>3465</v>
      </c>
      <c r="D4" s="494" t="s">
        <v>2405</v>
      </c>
      <c r="E4" s="540"/>
      <c r="F4" s="612"/>
      <c r="G4" s="540"/>
      <c r="H4" s="540"/>
      <c r="I4" s="540"/>
      <c r="J4" s="540"/>
      <c r="K4" s="540"/>
      <c r="L4" s="540"/>
      <c r="M4" s="540"/>
      <c r="N4" s="540"/>
      <c r="O4" s="540"/>
      <c r="P4" s="540"/>
      <c r="Q4"/>
      <c r="R4" s="854" t="s">
        <v>2511</v>
      </c>
      <c r="S4" s="855"/>
      <c r="T4" s="856" t="s">
        <v>2514</v>
      </c>
      <c r="U4"/>
      <c r="W4" s="560"/>
      <c r="X4" s="560"/>
      <c r="Y4" s="560"/>
      <c r="Z4" s="560"/>
      <c r="AA4" s="560"/>
      <c r="AB4" s="560"/>
      <c r="AD4" s="1"/>
      <c r="AE4" s="1"/>
      <c r="AF4" s="1"/>
      <c r="EE4" s="560" t="s">
        <v>2430</v>
      </c>
    </row>
    <row r="5" spans="1:138" ht="26.25" customHeight="1" thickBot="1" x14ac:dyDescent="0.25">
      <c r="A5" s="249">
        <f>SUM(input_output!I12:O12)</f>
        <v>0</v>
      </c>
      <c r="B5" s="863" t="s">
        <v>801</v>
      </c>
      <c r="C5" s="867" t="s">
        <v>2533</v>
      </c>
      <c r="D5" s="377" t="s">
        <v>2268</v>
      </c>
      <c r="E5" s="557">
        <v>1</v>
      </c>
      <c r="F5" s="623"/>
      <c r="G5" s="498"/>
      <c r="H5" s="498"/>
      <c r="I5" s="498"/>
      <c r="J5" s="498"/>
      <c r="K5" s="498"/>
      <c r="L5" s="498"/>
      <c r="M5" s="498"/>
      <c r="N5" s="544"/>
      <c r="O5" s="378"/>
      <c r="P5" s="378"/>
      <c r="Q5"/>
      <c r="R5" s="879" t="s">
        <v>2536</v>
      </c>
      <c r="S5"/>
      <c r="T5"/>
      <c r="U5" s="264"/>
      <c r="V5" s="884">
        <f>(IF(A5=0,0,quadro!B143+AH8+AH7))*Foglio2!A1</f>
        <v>0</v>
      </c>
      <c r="W5" s="223"/>
      <c r="X5" s="885">
        <f>V5</f>
        <v>0</v>
      </c>
      <c r="Z5" s="884">
        <f>V5-X5</f>
        <v>0</v>
      </c>
      <c r="AB5" s="875">
        <f>(IF(A5=0,0,manodopera!D91))*Foglio2!A1</f>
        <v>0</v>
      </c>
      <c r="AC5" s="512"/>
      <c r="AD5" s="875">
        <f>(IF(A5=0,0,manodopera!D92))*Foglio2!A1</f>
        <v>0</v>
      </c>
      <c r="AE5" s="512"/>
      <c r="AF5" s="875">
        <f>(IF(A5=0,0,manodopera!D93))*Foglio2!A1</f>
        <v>0</v>
      </c>
      <c r="AH5" s="877">
        <f>(IF(tipo_controllore2=3,ROUNDUP(quadro!B140,-1),0))*Foglio2!A1</f>
        <v>0</v>
      </c>
    </row>
    <row r="6" spans="1:138" ht="28.9" customHeight="1" thickTop="1" thickBot="1" x14ac:dyDescent="0.3">
      <c r="A6" s="248">
        <v>1</v>
      </c>
      <c r="B6" s="873" t="s">
        <v>2487</v>
      </c>
      <c r="C6" s="872">
        <f>E250</f>
        <v>2047.5</v>
      </c>
      <c r="D6" s="377" t="s">
        <v>2273</v>
      </c>
      <c r="E6" s="557">
        <v>1</v>
      </c>
      <c r="N6" s="544"/>
      <c r="O6" s="378"/>
      <c r="P6" s="378"/>
      <c r="Q6"/>
      <c r="R6" s="878"/>
      <c r="S6"/>
      <c r="U6" s="535"/>
      <c r="V6" s="44" t="s">
        <v>2509</v>
      </c>
      <c r="W6"/>
      <c r="X6"/>
      <c r="Y6"/>
      <c r="Z6"/>
      <c r="AA6"/>
      <c r="AB6" s="1"/>
      <c r="AC6" s="503"/>
      <c r="AD6" s="1"/>
    </row>
    <row r="7" spans="1:138" ht="27" customHeight="1" x14ac:dyDescent="0.25">
      <c r="A7" s="301">
        <f>ROUNDUP(A5/12,0)</f>
        <v>0</v>
      </c>
      <c r="B7" s="246" t="s">
        <v>2488</v>
      </c>
      <c r="D7" s="586" t="s">
        <v>2437</v>
      </c>
      <c r="E7" s="587" t="s">
        <v>2434</v>
      </c>
      <c r="N7" s="655">
        <f>quadro!B4</f>
        <v>0</v>
      </c>
      <c r="O7"/>
      <c r="P7" s="588" t="s">
        <v>2479</v>
      </c>
      <c r="Q7"/>
      <c r="R7" s="585">
        <f>A200</f>
        <v>0</v>
      </c>
      <c r="S7"/>
      <c r="T7" s="44" t="s">
        <v>2507</v>
      </c>
      <c r="U7"/>
      <c r="V7" s="508"/>
      <c r="W7" s="508"/>
      <c r="X7" s="860" t="s">
        <v>2516</v>
      </c>
      <c r="Y7" s="508"/>
      <c r="Z7" s="508"/>
      <c r="AA7" s="508"/>
      <c r="AB7" s="860" t="s">
        <v>2516</v>
      </c>
      <c r="AD7" s="504" t="s">
        <v>2494</v>
      </c>
      <c r="AF7" s="311" t="s">
        <v>1057</v>
      </c>
      <c r="AH7" s="875">
        <f>IF(AF7="SI",A3*550,0)</f>
        <v>0</v>
      </c>
    </row>
    <row r="8" spans="1:138" ht="21" customHeight="1" thickBot="1" x14ac:dyDescent="0.3">
      <c r="A8"/>
      <c r="B8" s="206" t="s">
        <v>2524</v>
      </c>
      <c r="C8" s="866"/>
      <c r="D8" s="585">
        <f>A197</f>
        <v>0</v>
      </c>
      <c r="E8" s="587" t="s">
        <v>2435</v>
      </c>
      <c r="N8" s="655">
        <f>quadro!B15</f>
        <v>0</v>
      </c>
      <c r="O8"/>
      <c r="P8" s="588" t="s">
        <v>2436</v>
      </c>
      <c r="Q8"/>
      <c r="R8" s="585">
        <f>quadro!B32</f>
        <v>0</v>
      </c>
      <c r="S8"/>
      <c r="T8" s="585">
        <f>SUM(AH23:AH194)</f>
        <v>0</v>
      </c>
      <c r="V8" s="588" t="s">
        <v>2508</v>
      </c>
      <c r="W8" s="207"/>
      <c r="X8" s="311" t="s">
        <v>1041</v>
      </c>
      <c r="Y8" s="765"/>
      <c r="Z8" s="588" t="s">
        <v>2419</v>
      </c>
      <c r="AA8" s="508"/>
      <c r="AB8" s="311" t="s">
        <v>1041</v>
      </c>
      <c r="AD8" s="504" t="s">
        <v>2489</v>
      </c>
      <c r="AE8" s="191"/>
      <c r="AF8" s="311" t="s">
        <v>1057</v>
      </c>
      <c r="AH8" s="875">
        <f>IF(AF8="SI",E238,0)</f>
        <v>0</v>
      </c>
    </row>
    <row r="9" spans="1:138" ht="15" hidden="1" thickBot="1" x14ac:dyDescent="0.25">
      <c r="A9" s="223"/>
      <c r="B9" s="213" t="s">
        <v>1116</v>
      </c>
      <c r="N9" s="895">
        <f>IF(A5=0,0,#REF!)</f>
        <v>0</v>
      </c>
      <c r="O9" s="896"/>
      <c r="P9" s="897"/>
      <c r="Q9" s="346"/>
      <c r="R9" s="895">
        <f>IF(A5=0,0,#REF!)</f>
        <v>0</v>
      </c>
      <c r="S9" s="896"/>
      <c r="T9" s="897"/>
      <c r="U9" s="346"/>
      <c r="V9" s="901">
        <f>R9-N9</f>
        <v>0</v>
      </c>
      <c r="W9" s="902"/>
      <c r="X9" s="903"/>
    </row>
    <row r="10" spans="1:138" ht="26.45" hidden="1" customHeight="1" thickBot="1" x14ac:dyDescent="0.25">
      <c r="A10" s="223"/>
      <c r="B10" s="213" t="s">
        <v>326</v>
      </c>
      <c r="N10" s="898" t="e">
        <v>#REF!</v>
      </c>
      <c r="O10" s="899"/>
      <c r="P10" s="900"/>
      <c r="Q10" s="346"/>
      <c r="R10" s="898">
        <f>IF(A5=0,0,#REF!)</f>
        <v>0</v>
      </c>
      <c r="S10" s="899"/>
      <c r="T10" s="900"/>
      <c r="U10" s="346"/>
      <c r="V10" s="892" t="e">
        <f>R10-N10</f>
        <v>#REF!</v>
      </c>
      <c r="W10" s="893"/>
      <c r="X10" s="894"/>
    </row>
    <row r="11" spans="1:138" ht="15" hidden="1" thickBot="1" x14ac:dyDescent="0.25">
      <c r="A11" s="309">
        <f>IF((SUM(N50:AF50)+A3)&gt;12,"si",0)</f>
        <v>0</v>
      </c>
      <c r="B11" s="213" t="s">
        <v>2237</v>
      </c>
      <c r="O11"/>
      <c r="P11"/>
      <c r="Q11"/>
      <c r="R11"/>
      <c r="S11"/>
      <c r="T11"/>
      <c r="U11"/>
      <c r="V11" s="191"/>
      <c r="W11" s="191"/>
      <c r="X11" s="191"/>
    </row>
    <row r="12" spans="1:138" ht="19.5" customHeight="1" thickBot="1" x14ac:dyDescent="0.25">
      <c r="A12" s="311" t="s">
        <v>1057</v>
      </c>
      <c r="B12" s="559" t="s">
        <v>2240</v>
      </c>
      <c r="C12" s="311" t="s">
        <v>1057</v>
      </c>
      <c r="D12" s="890" t="s">
        <v>2433</v>
      </c>
      <c r="E12" s="891"/>
      <c r="F12" s="613"/>
      <c r="G12" s="308"/>
      <c r="H12" s="307"/>
      <c r="I12" s="307"/>
      <c r="J12" s="307"/>
      <c r="K12" s="307"/>
      <c r="L12" s="307"/>
      <c r="M12" s="307"/>
      <c r="O12" s="1"/>
      <c r="P12" s="1"/>
      <c r="Q12"/>
      <c r="R12"/>
      <c r="S12"/>
      <c r="T12" s="1"/>
      <c r="U12" s="1"/>
      <c r="V12" s="1"/>
      <c r="W12" s="1"/>
      <c r="X12" s="1"/>
    </row>
    <row r="13" spans="1:138" ht="26.45" hidden="1" customHeight="1" x14ac:dyDescent="0.2">
      <c r="A13" s="223"/>
      <c r="B13" s="213"/>
      <c r="E13" s="555"/>
      <c r="O13" s="537"/>
      <c r="P13" s="537"/>
      <c r="R13" s="1"/>
      <c r="S13" s="537"/>
      <c r="T13" s="53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138" ht="26.45" hidden="1" customHeight="1" thickBot="1" x14ac:dyDescent="0.25">
      <c r="A14" s="223"/>
      <c r="C14"/>
      <c r="D14"/>
      <c r="E14"/>
      <c r="F14" s="624"/>
      <c r="G14"/>
      <c r="H14"/>
      <c r="I14"/>
      <c r="J14"/>
      <c r="K14"/>
      <c r="L14"/>
      <c r="M14"/>
      <c r="O14"/>
      <c r="P14"/>
      <c r="Q14"/>
      <c r="R14"/>
      <c r="S14" s="538"/>
      <c r="T14" s="53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138" ht="26.45" hidden="1" customHeight="1" x14ac:dyDescent="0.2">
      <c r="A15" s="223"/>
      <c r="D15"/>
      <c r="E15"/>
      <c r="F15" s="624"/>
      <c r="G15"/>
      <c r="H15"/>
      <c r="I15"/>
      <c r="J15"/>
      <c r="K15"/>
      <c r="L15"/>
      <c r="M15"/>
      <c r="O15"/>
      <c r="P15"/>
      <c r="Q15"/>
      <c r="R15"/>
      <c r="S15" s="539"/>
      <c r="T15" s="537"/>
      <c r="U15" s="346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138" ht="25.9" hidden="1" customHeight="1" x14ac:dyDescent="0.2">
      <c r="A16" s="223"/>
      <c r="D16"/>
      <c r="E16"/>
      <c r="F16" s="624"/>
      <c r="G16"/>
      <c r="H16"/>
      <c r="I16"/>
      <c r="J16"/>
      <c r="K16"/>
      <c r="L16"/>
      <c r="M16"/>
      <c r="O16"/>
      <c r="P16"/>
      <c r="Q16"/>
      <c r="R16"/>
      <c r="S16" s="539"/>
      <c r="T16" s="537"/>
      <c r="U16" s="346"/>
      <c r="W16" s="223"/>
      <c r="X16" s="223"/>
    </row>
    <row r="17" spans="1:134" ht="25.9" hidden="1" customHeight="1" thickBot="1" x14ac:dyDescent="0.25">
      <c r="A17" s="223"/>
      <c r="B17" s="1"/>
      <c r="C17" s="1"/>
      <c r="D17" s="495"/>
      <c r="E17" s="496"/>
      <c r="F17" s="614"/>
      <c r="G17" s="497"/>
      <c r="H17" s="495"/>
      <c r="I17" s="495"/>
      <c r="J17" s="495"/>
      <c r="K17" s="495"/>
      <c r="L17" s="495"/>
      <c r="M17" s="495"/>
      <c r="N17" s="542"/>
      <c r="O17" s="541"/>
      <c r="P17" s="541"/>
      <c r="Q17" s="542"/>
      <c r="R17" s="541"/>
      <c r="S17" s="541"/>
      <c r="T17" s="537"/>
      <c r="U17" s="346"/>
      <c r="V17" s="223"/>
      <c r="W17" s="223"/>
      <c r="X17" s="223"/>
    </row>
    <row r="18" spans="1:134" ht="25.9" hidden="1" customHeight="1" x14ac:dyDescent="0.2">
      <c r="A18" s="223"/>
      <c r="B18" s="1"/>
      <c r="C18" s="1"/>
      <c r="D18" s="378"/>
      <c r="E18" s="379"/>
      <c r="F18" s="615"/>
      <c r="G18" s="380"/>
      <c r="H18" s="378"/>
      <c r="I18" s="378"/>
      <c r="J18" s="378"/>
      <c r="K18" s="378"/>
      <c r="L18" s="378"/>
      <c r="M18" s="378"/>
      <c r="N18" s="544"/>
      <c r="O18" s="543"/>
      <c r="P18" s="543"/>
      <c r="Q18" s="544"/>
      <c r="R18" s="543"/>
      <c r="S18" s="543"/>
      <c r="T18" s="537"/>
      <c r="U18" s="34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134" ht="6.75" hidden="1" customHeight="1" thickBot="1" x14ac:dyDescent="0.25">
      <c r="A19" s="223"/>
      <c r="B19" s="1"/>
      <c r="C19" s="1"/>
      <c r="D19" s="378"/>
      <c r="E19" s="379"/>
      <c r="F19" s="615"/>
      <c r="G19" s="380"/>
      <c r="H19" s="378"/>
      <c r="I19" s="378"/>
      <c r="J19" s="378"/>
      <c r="K19" s="378"/>
      <c r="L19" s="378"/>
      <c r="M19" s="378"/>
      <c r="N19" s="544"/>
      <c r="O19" s="543"/>
      <c r="P19" s="543"/>
      <c r="Q19" s="544"/>
      <c r="R19" s="543"/>
      <c r="S19" s="543"/>
      <c r="T19" s="537"/>
      <c r="U19" s="346"/>
      <c r="V19" s="223"/>
      <c r="W19" s="223"/>
      <c r="X19" s="223"/>
      <c r="AH19" s="1"/>
    </row>
    <row r="20" spans="1:134" s="156" customFormat="1" ht="42" customHeight="1" thickBot="1" x14ac:dyDescent="0.25">
      <c r="A20" s="310" t="s">
        <v>702</v>
      </c>
      <c r="B20" s="204" t="s">
        <v>663</v>
      </c>
      <c r="C20" s="150" t="s">
        <v>873</v>
      </c>
      <c r="D20" s="151" t="s">
        <v>664</v>
      </c>
      <c r="E20" s="150" t="s">
        <v>2427</v>
      </c>
      <c r="F20" s="616" t="s">
        <v>653</v>
      </c>
      <c r="G20" s="266" t="s">
        <v>15</v>
      </c>
      <c r="H20" s="267" t="s">
        <v>13</v>
      </c>
      <c r="I20" s="267" t="s">
        <v>643</v>
      </c>
      <c r="J20" s="267" t="s">
        <v>11</v>
      </c>
      <c r="K20" s="267" t="s">
        <v>10</v>
      </c>
      <c r="L20" s="267" t="s">
        <v>14</v>
      </c>
      <c r="M20" s="267" t="s">
        <v>12</v>
      </c>
      <c r="N20" s="656" t="s">
        <v>652</v>
      </c>
      <c r="O20" s="253" t="s">
        <v>652</v>
      </c>
      <c r="P20" s="254" t="s">
        <v>703</v>
      </c>
      <c r="Q20" s="254" t="s">
        <v>703</v>
      </c>
      <c r="R20" s="252" t="s">
        <v>704</v>
      </c>
      <c r="S20" s="254" t="s">
        <v>704</v>
      </c>
      <c r="T20" s="254" t="s">
        <v>705</v>
      </c>
      <c r="U20" s="254" t="s">
        <v>705</v>
      </c>
      <c r="V20" s="252" t="s">
        <v>706</v>
      </c>
      <c r="W20" s="254" t="s">
        <v>706</v>
      </c>
      <c r="X20" s="254" t="s">
        <v>707</v>
      </c>
      <c r="Y20" s="254" t="s">
        <v>707</v>
      </c>
      <c r="Z20" s="252" t="s">
        <v>708</v>
      </c>
      <c r="AA20" s="254" t="s">
        <v>708</v>
      </c>
      <c r="AB20" s="254" t="s">
        <v>709</v>
      </c>
      <c r="AC20" s="254" t="s">
        <v>709</v>
      </c>
      <c r="AD20" s="252" t="s">
        <v>710</v>
      </c>
      <c r="AE20" s="347" t="s">
        <v>710</v>
      </c>
      <c r="AF20" s="254" t="s">
        <v>711</v>
      </c>
      <c r="AG20" s="349" t="s">
        <v>711</v>
      </c>
      <c r="AH20" s="513" t="s">
        <v>2429</v>
      </c>
      <c r="AI20" s="152" t="s">
        <v>747</v>
      </c>
      <c r="AJ20" s="152" t="s">
        <v>2453</v>
      </c>
      <c r="AK20" s="152"/>
      <c r="AL20" s="152" t="s">
        <v>2454</v>
      </c>
      <c r="AM20" s="153" t="s">
        <v>757</v>
      </c>
      <c r="AN20" s="152" t="s">
        <v>748</v>
      </c>
      <c r="AO20" s="153" t="s">
        <v>758</v>
      </c>
      <c r="AP20" s="152" t="s">
        <v>749</v>
      </c>
      <c r="AQ20" s="153" t="s">
        <v>759</v>
      </c>
      <c r="AR20" s="152" t="s">
        <v>750</v>
      </c>
      <c r="AS20" s="153" t="s">
        <v>760</v>
      </c>
      <c r="AT20" s="152" t="s">
        <v>751</v>
      </c>
      <c r="AU20" s="153" t="s">
        <v>761</v>
      </c>
      <c r="AV20" s="152" t="s">
        <v>752</v>
      </c>
      <c r="AW20" s="153" t="s">
        <v>762</v>
      </c>
      <c r="AX20" s="152" t="s">
        <v>753</v>
      </c>
      <c r="AY20" s="153" t="s">
        <v>763</v>
      </c>
      <c r="AZ20" s="152" t="s">
        <v>754</v>
      </c>
      <c r="BA20" s="153" t="s">
        <v>764</v>
      </c>
      <c r="BB20" s="152" t="s">
        <v>755</v>
      </c>
      <c r="BC20" s="153" t="s">
        <v>765</v>
      </c>
      <c r="BD20" s="152" t="s">
        <v>756</v>
      </c>
      <c r="BE20" s="153" t="s">
        <v>766</v>
      </c>
      <c r="BF20" s="154" t="s">
        <v>767</v>
      </c>
      <c r="BG20" s="154" t="s">
        <v>768</v>
      </c>
      <c r="BH20" s="154" t="s">
        <v>769</v>
      </c>
      <c r="BI20" s="154" t="s">
        <v>770</v>
      </c>
      <c r="BJ20" s="154" t="s">
        <v>771</v>
      </c>
      <c r="BK20" s="154" t="s">
        <v>772</v>
      </c>
      <c r="BL20" s="154" t="s">
        <v>773</v>
      </c>
      <c r="BM20" s="154" t="s">
        <v>774</v>
      </c>
      <c r="BN20" s="154" t="s">
        <v>775</v>
      </c>
      <c r="BO20" s="155" t="s">
        <v>776</v>
      </c>
      <c r="BP20" s="154" t="s">
        <v>777</v>
      </c>
      <c r="BQ20" s="154" t="s">
        <v>778</v>
      </c>
      <c r="BR20" s="154" t="s">
        <v>779</v>
      </c>
      <c r="BS20" s="154" t="s">
        <v>780</v>
      </c>
      <c r="BT20" s="154" t="s">
        <v>781</v>
      </c>
      <c r="BU20" s="154" t="s">
        <v>782</v>
      </c>
      <c r="BV20" s="154" t="s">
        <v>783</v>
      </c>
      <c r="BW20" s="154" t="s">
        <v>784</v>
      </c>
      <c r="BX20" s="154" t="s">
        <v>785</v>
      </c>
      <c r="BY20" s="155" t="s">
        <v>786</v>
      </c>
      <c r="BZ20" s="154" t="s">
        <v>787</v>
      </c>
      <c r="CA20" s="154" t="s">
        <v>788</v>
      </c>
      <c r="CB20" s="154" t="s">
        <v>789</v>
      </c>
      <c r="CC20" s="154" t="s">
        <v>790</v>
      </c>
      <c r="CD20" s="154" t="s">
        <v>791</v>
      </c>
      <c r="CE20" s="154" t="s">
        <v>792</v>
      </c>
      <c r="CF20" s="154" t="s">
        <v>793</v>
      </c>
      <c r="CG20" s="154" t="s">
        <v>794</v>
      </c>
      <c r="CH20" s="154" t="s">
        <v>795</v>
      </c>
      <c r="CI20" s="155" t="s">
        <v>796</v>
      </c>
      <c r="CJ20" s="154" t="s">
        <v>797</v>
      </c>
      <c r="CK20" s="154" t="s">
        <v>798</v>
      </c>
      <c r="CL20" s="154" t="s">
        <v>799</v>
      </c>
      <c r="CM20" s="154" t="s">
        <v>881</v>
      </c>
      <c r="CN20" s="154" t="s">
        <v>882</v>
      </c>
      <c r="CO20" s="154" t="s">
        <v>883</v>
      </c>
      <c r="CP20" s="154" t="s">
        <v>884</v>
      </c>
      <c r="CQ20" s="154" t="s">
        <v>885</v>
      </c>
      <c r="CR20" s="154" t="s">
        <v>886</v>
      </c>
      <c r="CS20" s="155" t="s">
        <v>887</v>
      </c>
      <c r="CT20" s="154" t="s">
        <v>888</v>
      </c>
      <c r="CU20" s="154" t="s">
        <v>889</v>
      </c>
      <c r="CV20" s="154" t="s">
        <v>890</v>
      </c>
      <c r="CW20" s="154" t="s">
        <v>891</v>
      </c>
      <c r="CX20" s="154" t="s">
        <v>892</v>
      </c>
      <c r="CY20" s="154" t="s">
        <v>893</v>
      </c>
      <c r="CZ20" s="154" t="s">
        <v>894</v>
      </c>
      <c r="DA20" s="154" t="s">
        <v>895</v>
      </c>
      <c r="DB20" s="154" t="s">
        <v>896</v>
      </c>
      <c r="DC20" s="155" t="s">
        <v>897</v>
      </c>
      <c r="DD20" s="154" t="s">
        <v>898</v>
      </c>
      <c r="DE20" s="154" t="s">
        <v>899</v>
      </c>
      <c r="DF20" s="154" t="s">
        <v>900</v>
      </c>
      <c r="DG20" s="154" t="s">
        <v>901</v>
      </c>
      <c r="DH20" s="154" t="s">
        <v>902</v>
      </c>
      <c r="DI20" s="154" t="s">
        <v>903</v>
      </c>
      <c r="DJ20" s="154" t="s">
        <v>904</v>
      </c>
      <c r="DK20" s="154" t="s">
        <v>905</v>
      </c>
      <c r="DL20" s="154" t="s">
        <v>906</v>
      </c>
      <c r="DM20" s="155" t="s">
        <v>907</v>
      </c>
      <c r="DN20" s="154" t="s">
        <v>908</v>
      </c>
      <c r="DO20" s="154" t="s">
        <v>909</v>
      </c>
      <c r="DP20" s="154" t="s">
        <v>910</v>
      </c>
      <c r="DQ20" s="154" t="s">
        <v>911</v>
      </c>
      <c r="DR20" s="154" t="s">
        <v>912</v>
      </c>
      <c r="DS20" s="154" t="s">
        <v>913</v>
      </c>
      <c r="DT20" s="154" t="s">
        <v>914</v>
      </c>
      <c r="DU20" s="154" t="s">
        <v>915</v>
      </c>
      <c r="DV20" s="154" t="s">
        <v>916</v>
      </c>
      <c r="DW20" s="155" t="s">
        <v>917</v>
      </c>
      <c r="DX20" s="154" t="s">
        <v>700</v>
      </c>
      <c r="DY20" s="155" t="s">
        <v>701</v>
      </c>
      <c r="DZ20" s="156" t="s">
        <v>869</v>
      </c>
      <c r="EA20" s="156" t="s">
        <v>870</v>
      </c>
      <c r="EB20" s="156" t="s">
        <v>875</v>
      </c>
      <c r="EC20" s="282" t="s">
        <v>1180</v>
      </c>
      <c r="ED20" s="282" t="s">
        <v>1179</v>
      </c>
    </row>
    <row r="21" spans="1:134" s="156" customFormat="1" ht="48" customHeight="1" x14ac:dyDescent="0.2">
      <c r="A21" s="336"/>
      <c r="B21" s="205"/>
      <c r="C21" s="176"/>
      <c r="D21" s="68"/>
      <c r="E21" s="888" t="s">
        <v>2537</v>
      </c>
      <c r="F21" s="617"/>
      <c r="G21" s="338"/>
      <c r="H21" s="339"/>
      <c r="I21" s="339"/>
      <c r="J21" s="339"/>
      <c r="K21" s="339"/>
      <c r="L21" s="339"/>
      <c r="M21" s="339"/>
      <c r="N21" s="657"/>
      <c r="O21" s="517"/>
      <c r="P21" s="518"/>
      <c r="Q21" s="517"/>
      <c r="R21" s="516"/>
      <c r="S21" s="517"/>
      <c r="T21" s="518"/>
      <c r="U21" s="517"/>
      <c r="V21" s="516"/>
      <c r="W21" s="517"/>
      <c r="X21" s="518"/>
      <c r="Y21" s="517"/>
      <c r="Z21" s="516"/>
      <c r="AA21" s="517"/>
      <c r="AB21" s="518"/>
      <c r="AC21" s="517"/>
      <c r="AD21" s="516"/>
      <c r="AE21" s="518"/>
      <c r="AF21" s="518"/>
      <c r="AG21" s="510"/>
      <c r="AH21" s="515" t="s">
        <v>2428</v>
      </c>
      <c r="AM21" s="344"/>
      <c r="AN21" s="343"/>
      <c r="AO21" s="344"/>
      <c r="AP21" s="343"/>
      <c r="AQ21" s="344"/>
      <c r="AR21" s="343"/>
      <c r="AS21" s="344"/>
      <c r="AT21" s="343"/>
      <c r="AU21" s="344"/>
      <c r="AV21" s="343"/>
      <c r="AW21" s="344"/>
      <c r="AX21" s="343"/>
      <c r="AY21" s="344"/>
      <c r="AZ21" s="343"/>
      <c r="BA21" s="344"/>
      <c r="BB21" s="343"/>
      <c r="BC21" s="344"/>
      <c r="BD21" s="343"/>
      <c r="BE21" s="344"/>
      <c r="BF21" s="340"/>
      <c r="BG21" s="340"/>
      <c r="BH21" s="340"/>
      <c r="BI21" s="340"/>
      <c r="BJ21" s="340"/>
      <c r="BK21" s="340"/>
      <c r="BL21" s="340"/>
      <c r="BM21" s="340"/>
      <c r="BN21" s="340"/>
      <c r="BO21" s="341"/>
      <c r="BP21" s="340"/>
      <c r="BQ21" s="340"/>
      <c r="BR21" s="340"/>
      <c r="BS21" s="340"/>
      <c r="BT21" s="340"/>
      <c r="BU21" s="340"/>
      <c r="BV21" s="340"/>
      <c r="BW21" s="340"/>
      <c r="BX21" s="340"/>
      <c r="BY21" s="341"/>
      <c r="BZ21" s="340"/>
      <c r="CA21" s="340"/>
      <c r="CB21" s="340"/>
      <c r="CC21" s="340"/>
      <c r="CD21" s="340"/>
      <c r="CE21" s="340"/>
      <c r="CF21" s="340"/>
      <c r="CG21" s="340"/>
      <c r="CH21" s="340"/>
      <c r="CI21" s="341"/>
      <c r="CJ21" s="340"/>
      <c r="CK21" s="340"/>
      <c r="CL21" s="340"/>
      <c r="CM21" s="340"/>
      <c r="CN21" s="340"/>
      <c r="CO21" s="340"/>
      <c r="CP21" s="340"/>
      <c r="CQ21" s="340"/>
      <c r="CR21" s="340"/>
      <c r="CS21" s="341"/>
      <c r="CT21" s="340"/>
      <c r="CU21" s="340"/>
      <c r="CV21" s="340"/>
      <c r="CW21" s="340"/>
      <c r="CX21" s="340"/>
      <c r="CY21" s="340"/>
      <c r="CZ21" s="340"/>
      <c r="DA21" s="340"/>
      <c r="DB21" s="340"/>
      <c r="DC21" s="341"/>
      <c r="DD21" s="340"/>
      <c r="DE21" s="340"/>
      <c r="DF21" s="340"/>
      <c r="DG21" s="340"/>
      <c r="DH21" s="340"/>
      <c r="DI21" s="340"/>
      <c r="DJ21" s="340"/>
      <c r="DK21" s="340"/>
      <c r="DL21" s="340"/>
      <c r="DM21" s="341"/>
      <c r="DN21" s="340"/>
      <c r="DO21" s="340"/>
      <c r="DP21" s="340"/>
      <c r="DQ21" s="340"/>
      <c r="DR21" s="340"/>
      <c r="DS21" s="340"/>
      <c r="DT21" s="340"/>
      <c r="DU21" s="340"/>
      <c r="DV21" s="340"/>
      <c r="DW21" s="341"/>
      <c r="DX21" s="340"/>
      <c r="DY21" s="341"/>
      <c r="EC21" s="282"/>
      <c r="ED21" s="282"/>
    </row>
    <row r="22" spans="1:134" s="156" customFormat="1" ht="16.899999999999999" customHeight="1" x14ac:dyDescent="0.2">
      <c r="A22" s="336"/>
      <c r="B22" s="345" t="s">
        <v>2378</v>
      </c>
      <c r="C22" s="176"/>
      <c r="D22" s="68"/>
      <c r="E22" s="337"/>
      <c r="F22" s="617"/>
      <c r="G22" s="338"/>
      <c r="H22" s="339"/>
      <c r="I22" s="339"/>
      <c r="J22" s="339"/>
      <c r="K22" s="339"/>
      <c r="L22" s="339"/>
      <c r="M22" s="339"/>
      <c r="N22" s="657"/>
      <c r="O22" s="561">
        <v>1</v>
      </c>
      <c r="P22" s="516"/>
      <c r="Q22" s="561">
        <v>1</v>
      </c>
      <c r="R22" s="516"/>
      <c r="S22" s="561">
        <v>1</v>
      </c>
      <c r="T22" s="516"/>
      <c r="U22" s="561">
        <v>1</v>
      </c>
      <c r="V22" s="516"/>
      <c r="W22" s="561">
        <v>1</v>
      </c>
      <c r="X22" s="516"/>
      <c r="Y22" s="561">
        <v>1</v>
      </c>
      <c r="Z22" s="516"/>
      <c r="AA22" s="561">
        <v>1</v>
      </c>
      <c r="AB22" s="516"/>
      <c r="AC22" s="561">
        <v>1</v>
      </c>
      <c r="AD22" s="516"/>
      <c r="AE22" s="561">
        <v>1</v>
      </c>
      <c r="AF22" s="516"/>
      <c r="AG22" s="348">
        <v>1</v>
      </c>
      <c r="AH22" s="514"/>
      <c r="AI22" s="343"/>
      <c r="AJ22" s="343"/>
      <c r="AK22" s="343"/>
      <c r="AL22" s="343"/>
      <c r="AM22" s="344"/>
      <c r="AN22" s="343"/>
      <c r="AO22" s="344"/>
      <c r="AP22" s="343"/>
      <c r="AQ22" s="344"/>
      <c r="AR22" s="343"/>
      <c r="AS22" s="344"/>
      <c r="AT22" s="343"/>
      <c r="AU22" s="344"/>
      <c r="AV22" s="343"/>
      <c r="AW22" s="344"/>
      <c r="AX22" s="343"/>
      <c r="AY22" s="344"/>
      <c r="AZ22" s="343"/>
      <c r="BA22" s="344"/>
      <c r="BB22" s="343"/>
      <c r="BC22" s="344"/>
      <c r="BD22" s="343"/>
      <c r="BE22" s="344"/>
      <c r="BF22" s="340"/>
      <c r="BG22" s="340"/>
      <c r="BH22" s="340"/>
      <c r="BI22" s="340"/>
      <c r="BJ22" s="340"/>
      <c r="BK22" s="340"/>
      <c r="BL22" s="340"/>
      <c r="BM22" s="340"/>
      <c r="BN22" s="340"/>
      <c r="BO22" s="341"/>
      <c r="BP22" s="340"/>
      <c r="BQ22" s="340"/>
      <c r="BR22" s="340"/>
      <c r="BS22" s="340"/>
      <c r="BT22" s="340"/>
      <c r="BU22" s="340"/>
      <c r="BV22" s="340"/>
      <c r="BW22" s="340"/>
      <c r="BX22" s="340"/>
      <c r="BY22" s="341"/>
      <c r="BZ22" s="340"/>
      <c r="CA22" s="340"/>
      <c r="CB22" s="340"/>
      <c r="CC22" s="340"/>
      <c r="CD22" s="340"/>
      <c r="CE22" s="340"/>
      <c r="CF22" s="340"/>
      <c r="CG22" s="340"/>
      <c r="CH22" s="340"/>
      <c r="CI22" s="341"/>
      <c r="CJ22" s="340"/>
      <c r="CK22" s="340"/>
      <c r="CL22" s="340"/>
      <c r="CM22" s="340"/>
      <c r="CN22" s="340"/>
      <c r="CO22" s="340"/>
      <c r="CP22" s="340"/>
      <c r="CQ22" s="340"/>
      <c r="CR22" s="340"/>
      <c r="CS22" s="341"/>
      <c r="CT22" s="340"/>
      <c r="CU22" s="340"/>
      <c r="CV22" s="340"/>
      <c r="CW22" s="340"/>
      <c r="CX22" s="340"/>
      <c r="CY22" s="340"/>
      <c r="CZ22" s="340"/>
      <c r="DA22" s="340"/>
      <c r="DB22" s="340"/>
      <c r="DC22" s="341"/>
      <c r="DD22" s="340"/>
      <c r="DE22" s="340"/>
      <c r="DF22" s="340"/>
      <c r="DG22" s="340"/>
      <c r="DH22" s="340"/>
      <c r="DI22" s="340"/>
      <c r="DJ22" s="340"/>
      <c r="DK22" s="340"/>
      <c r="DL22" s="340"/>
      <c r="DM22" s="341"/>
      <c r="DN22" s="340"/>
      <c r="DO22" s="340"/>
      <c r="DP22" s="340"/>
      <c r="DQ22" s="340"/>
      <c r="DR22" s="340"/>
      <c r="DS22" s="340"/>
      <c r="DT22" s="340"/>
      <c r="DU22" s="340"/>
      <c r="DV22" s="340"/>
      <c r="DW22" s="341"/>
      <c r="DX22" s="340"/>
      <c r="DY22" s="341"/>
      <c r="EC22" s="282"/>
      <c r="ED22" s="282"/>
    </row>
    <row r="23" spans="1:134" x14ac:dyDescent="0.2">
      <c r="A23" s="208" t="s">
        <v>662</v>
      </c>
      <c r="B23" s="800" t="s">
        <v>513</v>
      </c>
      <c r="C23" s="193" t="s">
        <v>871</v>
      </c>
      <c r="D23" s="647" t="s">
        <v>558</v>
      </c>
      <c r="E23" s="889">
        <v>0.18</v>
      </c>
      <c r="F23" s="625">
        <f>VLOOKUP(D23,prezzi,5,)</f>
        <v>138.04434000000001</v>
      </c>
      <c r="G23" s="694"/>
      <c r="H23" s="58"/>
      <c r="I23" s="58"/>
      <c r="J23" s="58">
        <v>1</v>
      </c>
      <c r="K23" s="58">
        <v>1</v>
      </c>
      <c r="L23" s="58"/>
      <c r="M23" s="58"/>
      <c r="N23" s="658"/>
      <c r="O23" s="256"/>
      <c r="P23" s="256"/>
      <c r="Q23" s="256"/>
      <c r="R23" s="255"/>
      <c r="S23" s="256"/>
      <c r="T23" s="256"/>
      <c r="U23" s="256"/>
      <c r="V23" s="255"/>
      <c r="W23" s="256"/>
      <c r="X23" s="256"/>
      <c r="Y23" s="256"/>
      <c r="Z23" s="255"/>
      <c r="AA23" s="256"/>
      <c r="AB23" s="256"/>
      <c r="AC23" s="256"/>
      <c r="AD23" s="255"/>
      <c r="AE23" s="256"/>
      <c r="AF23" s="256"/>
      <c r="AG23" s="545"/>
      <c r="AH23" s="546">
        <f t="shared" ref="AH23:AH55" si="0">AI23+AN23+AP23+AR23+AT23+AV23+AX23+AZ23+BB23+BD23</f>
        <v>0</v>
      </c>
      <c r="AI23" s="80">
        <f>IF(SUM(N$25:N$29)&gt;0,0,N23*$E23)</f>
        <v>0</v>
      </c>
      <c r="AJ23" s="80"/>
      <c r="AK23" s="788"/>
      <c r="AL23" s="706" t="str">
        <f>AJ23&amp;"-"&amp;D23</f>
        <v>-motore &lt;= 0,25Kw</v>
      </c>
      <c r="AM23" s="681">
        <f>IF(SUM(AM$25:AM$29)&gt;0,N23*inverter_silo,N23*$F23)</f>
        <v>0</v>
      </c>
      <c r="AN23" s="73">
        <f>IF(SUM(P$25:P$29)&gt;0,0,P23*$E23)</f>
        <v>0</v>
      </c>
      <c r="AO23" s="681">
        <f>IF(SUM(AO$25:AO$29)&gt;0,P23*inverter_silo,P23*$F23)</f>
        <v>0</v>
      </c>
      <c r="AP23" s="74">
        <f>IF(SUM(R$25:R$29)&gt;0,0,R23*$E23)</f>
        <v>0</v>
      </c>
      <c r="AQ23" s="681">
        <f>IF(SUM(AQ$25:AQ$29)&gt;0,R23*inverter_silo,R23*$F23)</f>
        <v>0</v>
      </c>
      <c r="AR23" s="73">
        <f>IF(SUM(T$25:T$29)&gt;0,0,T23*$E23)</f>
        <v>0</v>
      </c>
      <c r="AS23" s="681">
        <f>IF(SUM(AS$25:AS$29)&gt;0,T23*inverter_silo,T23*$F23)</f>
        <v>0</v>
      </c>
      <c r="AT23" s="73">
        <f>IF(SUM(V$25:V$29)&gt;0,0,V23*$E23)</f>
        <v>0</v>
      </c>
      <c r="AU23" s="681">
        <f>IF(SUM(AU$25:AU$29)&gt;0,V23*inverter_silo,V23*$F23)</f>
        <v>0</v>
      </c>
      <c r="AV23" s="73">
        <f>IF(SUM(X$25:X$29)&gt;0,0,X23*$E23)</f>
        <v>0</v>
      </c>
      <c r="AW23" s="681">
        <f>IF(SUM(AW$25:AW$29)&gt;0,X23*inverter_silo,X23*$F23)</f>
        <v>0</v>
      </c>
      <c r="AX23" s="73">
        <f>IF(SUM(Z$25:Z$29)&gt;0,0,Z23*$E23)</f>
        <v>0</v>
      </c>
      <c r="AY23" s="681">
        <f>IF(SUM(AY$25:AY$29)&gt;0,Z23*inverter_silo,Z23*$F23)</f>
        <v>0</v>
      </c>
      <c r="AZ23" s="73">
        <f>IF(SUM(AB$25:AB$29)&gt;0,0,AB23*$E23)</f>
        <v>0</v>
      </c>
      <c r="BA23" s="681">
        <f>IF(SUM(BA$25:BA$29)&gt;0,AB23*inverter_silo,AB23*$F23)</f>
        <v>0</v>
      </c>
      <c r="BB23" s="73">
        <f>IF(SUM(AD$25:AD$29)&gt;0,0,AD23*$E23)</f>
        <v>0</v>
      </c>
      <c r="BC23" s="681">
        <f>IF(SUM(BC$25:BC$29)&gt;0,AD23*inverter_silo,AD23*$F23)</f>
        <v>0</v>
      </c>
      <c r="BD23" s="73">
        <f>IF(SUM(AF$25:AF$29)&gt;0,0,AF23*$E23)</f>
        <v>0</v>
      </c>
      <c r="BE23" s="681">
        <f>IF(SUM(BE$25:BE$29)&gt;0,AF23*inverter_silo,AF23*$F23)</f>
        <v>0</v>
      </c>
      <c r="BF23" s="1">
        <f>N23*$G23</f>
        <v>0</v>
      </c>
      <c r="BG23" s="1">
        <f>P23*$G23</f>
        <v>0</v>
      </c>
      <c r="BH23" s="1">
        <f>R23*$G23</f>
        <v>0</v>
      </c>
      <c r="BI23" s="1">
        <f>T23*$G23</f>
        <v>0</v>
      </c>
      <c r="BJ23" s="1">
        <f>V23*$G23</f>
        <v>0</v>
      </c>
      <c r="BK23" s="1">
        <f>X23*$G23</f>
        <v>0</v>
      </c>
      <c r="BL23" s="1">
        <f>Z23*$G23</f>
        <v>0</v>
      </c>
      <c r="BM23" s="1">
        <f>AB23*$G23</f>
        <v>0</v>
      </c>
      <c r="BN23" s="1">
        <f>AD23*$G23</f>
        <v>0</v>
      </c>
      <c r="BO23" s="69">
        <f>AF23*$G23</f>
        <v>0</v>
      </c>
      <c r="BP23" s="1">
        <f>N23*$H23</f>
        <v>0</v>
      </c>
      <c r="BQ23" s="1">
        <f>P23*$H23</f>
        <v>0</v>
      </c>
      <c r="BR23" s="1">
        <f>R23*$H23</f>
        <v>0</v>
      </c>
      <c r="BS23" s="1">
        <f>T23*$H23</f>
        <v>0</v>
      </c>
      <c r="BT23" s="1">
        <f>V23*$H23</f>
        <v>0</v>
      </c>
      <c r="BU23" s="1">
        <f>X23*$H23</f>
        <v>0</v>
      </c>
      <c r="BV23" s="1">
        <f>Z23*$H23</f>
        <v>0</v>
      </c>
      <c r="BW23" s="1">
        <f>AB23*$H23</f>
        <v>0</v>
      </c>
      <c r="BX23" s="1">
        <f>AD23*$H23</f>
        <v>0</v>
      </c>
      <c r="BY23" s="69">
        <f>AF23*$H23</f>
        <v>0</v>
      </c>
      <c r="BZ23" s="1">
        <f>N23*$I23</f>
        <v>0</v>
      </c>
      <c r="CA23" s="1">
        <f>P23*$I23</f>
        <v>0</v>
      </c>
      <c r="CB23" s="1">
        <f>R23*$I23</f>
        <v>0</v>
      </c>
      <c r="CC23" s="1">
        <f>T23*$I23</f>
        <v>0</v>
      </c>
      <c r="CD23" s="1">
        <f>V23*$I23</f>
        <v>0</v>
      </c>
      <c r="CE23" s="1">
        <f>X23*$I23</f>
        <v>0</v>
      </c>
      <c r="CF23" s="1">
        <f>Z23*$I23</f>
        <v>0</v>
      </c>
      <c r="CG23" s="1">
        <f>AB23*$I23</f>
        <v>0</v>
      </c>
      <c r="CH23" s="1">
        <f>AD23*$I23</f>
        <v>0</v>
      </c>
      <c r="CI23" s="69">
        <f>AF23*$I23</f>
        <v>0</v>
      </c>
      <c r="CJ23" s="327">
        <f>IF(SUM(N$25:N$29)&gt;0,0,N23*$J23)</f>
        <v>0</v>
      </c>
      <c r="CK23" s="328">
        <f>IF(SUM(P$25:P$29)&gt;0,0,P23*$J23)</f>
        <v>0</v>
      </c>
      <c r="CL23" s="328">
        <f>IF(SUM(R$25:R$29)&gt;0,0,R23*$J23)</f>
        <v>0</v>
      </c>
      <c r="CM23" s="328">
        <f>IF(SUM(T$25:T$29)&gt;0,0,T23*$J23)</f>
        <v>0</v>
      </c>
      <c r="CN23" s="328">
        <f>IF(SUM(V$25:V$29)&gt;0,0,V23*$J23)</f>
        <v>0</v>
      </c>
      <c r="CO23" s="328">
        <f>IF(SUM(X$25:X$29)&gt;0,0,X23*$J23)</f>
        <v>0</v>
      </c>
      <c r="CP23" s="328">
        <f>IF(SUM(Z$25:Z$29)&gt;0,0,Z23*$J23)</f>
        <v>0</v>
      </c>
      <c r="CQ23" s="328">
        <f>IF(SUM(AB$25:AB$29)&gt;0,0,AB23*$J23)</f>
        <v>0</v>
      </c>
      <c r="CR23" s="329">
        <f>IF(SUM(AD$25:AD$29)&gt;0,0,AD23*$J23)</f>
        <v>0</v>
      </c>
      <c r="CS23" s="327">
        <f>IF(SUM(AF$25:AF$29)&gt;0,0,AF23*$J23)</f>
        <v>0</v>
      </c>
      <c r="CT23" s="1">
        <f>N23*$K23</f>
        <v>0</v>
      </c>
      <c r="CU23" s="1">
        <f>P23*$K23</f>
        <v>0</v>
      </c>
      <c r="CV23" s="1">
        <f>R23*$K23</f>
        <v>0</v>
      </c>
      <c r="CW23" s="1">
        <f>T23*$K23</f>
        <v>0</v>
      </c>
      <c r="CX23" s="1">
        <f>V23*$K23</f>
        <v>0</v>
      </c>
      <c r="CY23" s="1">
        <f>X23*$K23</f>
        <v>0</v>
      </c>
      <c r="CZ23" s="1">
        <f>Z23*$K23</f>
        <v>0</v>
      </c>
      <c r="DA23" s="1">
        <f>AB23*$K23</f>
        <v>0</v>
      </c>
      <c r="DB23" s="1">
        <f>AD23*$K23</f>
        <v>0</v>
      </c>
      <c r="DC23" s="69">
        <f>AF23*$K23</f>
        <v>0</v>
      </c>
      <c r="DD23" s="1">
        <f>N23*$L23</f>
        <v>0</v>
      </c>
      <c r="DE23" s="1">
        <f>P23*$L23</f>
        <v>0</v>
      </c>
      <c r="DF23" s="1">
        <f>R23*$L23</f>
        <v>0</v>
      </c>
      <c r="DG23" s="1">
        <f>T23*$L23</f>
        <v>0</v>
      </c>
      <c r="DH23" s="1">
        <f>V23*$L23</f>
        <v>0</v>
      </c>
      <c r="DI23" s="1">
        <f>X23*$L23</f>
        <v>0</v>
      </c>
      <c r="DJ23" s="1">
        <f>Z23*$L23</f>
        <v>0</v>
      </c>
      <c r="DK23" s="1">
        <f>AB23*$L23</f>
        <v>0</v>
      </c>
      <c r="DL23" s="1">
        <f>AD23*$L23</f>
        <v>0</v>
      </c>
      <c r="DM23" s="69">
        <f>AF23*$L23</f>
        <v>0</v>
      </c>
      <c r="DN23" s="1">
        <f>N23*$M23</f>
        <v>0</v>
      </c>
      <c r="DO23" s="1">
        <f>P23*$M23</f>
        <v>0</v>
      </c>
      <c r="DP23" s="1">
        <f>R23*$M23</f>
        <v>0</v>
      </c>
      <c r="DQ23" s="1">
        <f>T23*$M23</f>
        <v>0</v>
      </c>
      <c r="DR23" s="1">
        <f>V23*$M23</f>
        <v>0</v>
      </c>
      <c r="DS23" s="1">
        <f>X23*$M23</f>
        <v>0</v>
      </c>
      <c r="DT23" s="1">
        <f>Z23*$M23</f>
        <v>0</v>
      </c>
      <c r="DU23" s="1">
        <f>AB23*$M23</f>
        <v>0</v>
      </c>
      <c r="DV23" s="1">
        <f>AD23*$M23</f>
        <v>0</v>
      </c>
      <c r="DW23" s="69">
        <f>AF23*$M23</f>
        <v>0</v>
      </c>
      <c r="DX23" s="1">
        <v>1</v>
      </c>
      <c r="DY23" s="69">
        <v>1</v>
      </c>
      <c r="DZ23" s="1">
        <f t="shared" ref="DZ23:DZ31" si="1">IF(C23="m",SUM(N23+P23+R23+T23+V23+X23+Z23+AB23+AD23+AF23),0)</f>
        <v>0</v>
      </c>
      <c r="EA23" s="1">
        <f t="shared" ref="EA23:EA31" si="2">IF(C23="a",SUM(N23+P23+R23+T23+V23+X23+Z23+AB23+AD23+AF23),0)</f>
        <v>0</v>
      </c>
      <c r="EB23" s="1">
        <f t="shared" ref="EB23:EB55" si="3">IF(C23="r",SUM(N23+P23+R23+T23+V23+X23+Z23+AB23+AD23+AF23),0)</f>
        <v>0</v>
      </c>
      <c r="ED23" s="285">
        <f t="shared" ref="ED23:ED55" si="4">SUM(N23:AF23)*EC23</f>
        <v>0</v>
      </c>
    </row>
    <row r="24" spans="1:134" x14ac:dyDescent="0.2">
      <c r="A24" s="208" t="s">
        <v>662</v>
      </c>
      <c r="B24" s="801" t="s">
        <v>515</v>
      </c>
      <c r="C24" s="182" t="s">
        <v>871</v>
      </c>
      <c r="D24" s="646" t="s">
        <v>563</v>
      </c>
      <c r="E24" s="889">
        <v>0.25</v>
      </c>
      <c r="F24" s="625">
        <f>VLOOKUP(D24,prezzi,5,)</f>
        <v>154.36299</v>
      </c>
      <c r="G24" s="694"/>
      <c r="H24" s="58"/>
      <c r="I24" s="58"/>
      <c r="J24" s="58">
        <v>1</v>
      </c>
      <c r="K24" s="58">
        <v>1</v>
      </c>
      <c r="L24" s="58"/>
      <c r="M24" s="58"/>
      <c r="N24" s="658"/>
      <c r="O24" s="256"/>
      <c r="P24" s="256"/>
      <c r="Q24" s="256"/>
      <c r="R24" s="255"/>
      <c r="S24" s="256"/>
      <c r="T24" s="256"/>
      <c r="U24" s="256"/>
      <c r="V24" s="255"/>
      <c r="W24" s="256"/>
      <c r="X24" s="256"/>
      <c r="Y24" s="256"/>
      <c r="Z24" s="255"/>
      <c r="AA24" s="256"/>
      <c r="AB24" s="256"/>
      <c r="AC24" s="256"/>
      <c r="AD24" s="255"/>
      <c r="AE24" s="256"/>
      <c r="AF24" s="256"/>
      <c r="AG24" s="547"/>
      <c r="AH24" s="546">
        <f t="shared" si="0"/>
        <v>0</v>
      </c>
      <c r="AI24" s="81">
        <f>IF(SUM(N$25:N$29)&gt;0,0,N24*$E24)</f>
        <v>0</v>
      </c>
      <c r="AJ24" s="81"/>
      <c r="AK24" s="788"/>
      <c r="AL24" s="706" t="str">
        <f t="shared" ref="AL24:AL89" si="5">AJ24&amp;"-"&amp;D24</f>
        <v>-motore &lt;0,25 e &lt;3 Kw</v>
      </c>
      <c r="AM24" s="682">
        <f>IF(SUM(AM$25:AM$29)&gt;0,N24*inverter_silo,N24*$F24)</f>
        <v>0</v>
      </c>
      <c r="AN24" s="75">
        <f>IF(SUM(P$25:P$29)&gt;0,0,P24*$E24)</f>
        <v>0</v>
      </c>
      <c r="AO24" s="682">
        <f>IF(SUM(AO$25:AO$29)&gt;0,P24*inverter_silo,P24*$F24)</f>
        <v>0</v>
      </c>
      <c r="AP24" s="76">
        <f>IF(SUM(R$25:R$29)&gt;0,0,R24*$E24)</f>
        <v>0</v>
      </c>
      <c r="AQ24" s="682">
        <f>IF(SUM(AQ$25:AQ$29)&gt;0,R24*inverter_silo,R24*$F24)</f>
        <v>0</v>
      </c>
      <c r="AR24" s="77">
        <f>IF(SUM(T$25:T$29)&gt;0,0,T24*$E24)</f>
        <v>0</v>
      </c>
      <c r="AS24" s="682">
        <f>IF(SUM(AS$25:AS$29)&gt;0,T24*inverter_silo,T24*$F24)</f>
        <v>0</v>
      </c>
      <c r="AT24" s="77">
        <f>IF(SUM(V$25:V$29)&gt;0,0,V24*$E24)</f>
        <v>0</v>
      </c>
      <c r="AU24" s="682">
        <f>IF(SUM(AU$25:AU$29)&gt;0,V24*inverter_silo,V24*$F24)</f>
        <v>0</v>
      </c>
      <c r="AV24" s="77">
        <f>IF(SUM(X$25:X$29)&gt;0,0,X24*$E24)</f>
        <v>0</v>
      </c>
      <c r="AW24" s="682">
        <f>IF(SUM(AW$25:AW$29)&gt;0,X24*inverter_silo,X24*$F24)</f>
        <v>0</v>
      </c>
      <c r="AX24" s="77">
        <f>IF(SUM(Z$25:Z$29)&gt;0,0,Z24*$E24)</f>
        <v>0</v>
      </c>
      <c r="AY24" s="682">
        <f>IF(SUM(AY$25:AY$29)&gt;0,Z24*inverter_silo,Z24*$F24)</f>
        <v>0</v>
      </c>
      <c r="AZ24" s="77">
        <f>IF(SUM(AB$25:AB$29)&gt;0,0,AB24*$E24)</f>
        <v>0</v>
      </c>
      <c r="BA24" s="682">
        <f>IF(SUM(BA$25:BA$29)&gt;0,AB24*inverter_silo,AB24*$F24)</f>
        <v>0</v>
      </c>
      <c r="BB24" s="77">
        <f>IF(SUM(AD$25:AD$29)&gt;0,0,AD24*$E24)</f>
        <v>0</v>
      </c>
      <c r="BC24" s="682">
        <f>IF(SUM(BC$25:BC$29)&gt;0,AD24*inverter_silo,AD24*$F24)</f>
        <v>0</v>
      </c>
      <c r="BD24" s="77">
        <f>IF(SUM(AF$25:AF$29)&gt;0,0,AF24*$E24)</f>
        <v>0</v>
      </c>
      <c r="BE24" s="682">
        <f>IF(SUM(BE$25:BE$29)&gt;0,AF24*inverter_silo,AF24*$F24)</f>
        <v>0</v>
      </c>
      <c r="BF24" s="1">
        <f>N24*$G24</f>
        <v>0</v>
      </c>
      <c r="BG24" s="1">
        <f>P24*$G24</f>
        <v>0</v>
      </c>
      <c r="BH24" s="1">
        <f>R24*$G24</f>
        <v>0</v>
      </c>
      <c r="BI24" s="1">
        <f>T24*$G24</f>
        <v>0</v>
      </c>
      <c r="BJ24" s="1">
        <f>V24*$G24</f>
        <v>0</v>
      </c>
      <c r="BK24" s="1">
        <f>X24*$G24</f>
        <v>0</v>
      </c>
      <c r="BL24" s="1">
        <f>Z24*$G24</f>
        <v>0</v>
      </c>
      <c r="BM24" s="1">
        <f>AB24*$G24</f>
        <v>0</v>
      </c>
      <c r="BN24" s="1">
        <f>AD24*$G24</f>
        <v>0</v>
      </c>
      <c r="BO24" s="69">
        <f>AF24*$G24</f>
        <v>0</v>
      </c>
      <c r="BP24" s="1">
        <f>N24*$H24</f>
        <v>0</v>
      </c>
      <c r="BQ24" s="1">
        <f>P24*$H24</f>
        <v>0</v>
      </c>
      <c r="BR24" s="1">
        <f>R24*$H24</f>
        <v>0</v>
      </c>
      <c r="BS24" s="1">
        <f>T24*$H24</f>
        <v>0</v>
      </c>
      <c r="BT24" s="1">
        <f>V24*$H24</f>
        <v>0</v>
      </c>
      <c r="BU24" s="1">
        <f>X24*$H24</f>
        <v>0</v>
      </c>
      <c r="BV24" s="1">
        <f>Z24*$H24</f>
        <v>0</v>
      </c>
      <c r="BW24" s="1">
        <f>AB24*$H24</f>
        <v>0</v>
      </c>
      <c r="BX24" s="1">
        <f>AD24*$H24</f>
        <v>0</v>
      </c>
      <c r="BY24" s="69">
        <f>AF24*$H24</f>
        <v>0</v>
      </c>
      <c r="BZ24" s="1">
        <f>N24*$I24</f>
        <v>0</v>
      </c>
      <c r="CA24" s="1">
        <f>P24*$I24</f>
        <v>0</v>
      </c>
      <c r="CB24" s="1">
        <f>R24*$I24</f>
        <v>0</v>
      </c>
      <c r="CC24" s="1">
        <f>T24*$I24</f>
        <v>0</v>
      </c>
      <c r="CD24" s="1">
        <f>V24*$I24</f>
        <v>0</v>
      </c>
      <c r="CE24" s="1">
        <f>X24*$I24</f>
        <v>0</v>
      </c>
      <c r="CF24" s="1">
        <f>Z24*$I24</f>
        <v>0</v>
      </c>
      <c r="CG24" s="1">
        <f>AB24*$I24</f>
        <v>0</v>
      </c>
      <c r="CH24" s="1">
        <f>AD24*$I24</f>
        <v>0</v>
      </c>
      <c r="CI24" s="69">
        <f>AF24*$I24</f>
        <v>0</v>
      </c>
      <c r="CJ24" s="330">
        <f>IF(SUM(N$25:N$29)&gt;0,0,N24*$J24)</f>
        <v>0</v>
      </c>
      <c r="CK24" s="331">
        <f>IF(SUM(P$25:P$29)&gt;0,0,P24*$J24)</f>
        <v>0</v>
      </c>
      <c r="CL24" s="331">
        <f>IF(SUM(R$25:R$29)&gt;0,0,R24*$J24)</f>
        <v>0</v>
      </c>
      <c r="CM24" s="331">
        <f>IF(SUM(T$25:T$29)&gt;0,0,T24*$J24)</f>
        <v>0</v>
      </c>
      <c r="CN24" s="331">
        <f>IF(SUM(V$25:V$29)&gt;0,0,V24*$J24)</f>
        <v>0</v>
      </c>
      <c r="CO24" s="331">
        <f>IF(SUM(X$25:X$29)&gt;0,0,X24*$J24)</f>
        <v>0</v>
      </c>
      <c r="CP24" s="331">
        <f>IF(SUM(Z$25:Z$29)&gt;0,0,Z24*$J24)</f>
        <v>0</v>
      </c>
      <c r="CQ24" s="331">
        <f>IF(SUM(AB$25:AB$29)&gt;0,0,AB24*$J24)</f>
        <v>0</v>
      </c>
      <c r="CR24" s="332">
        <f>IF(SUM(AD$25:AD$29)&gt;0,0,AD24*$J24)</f>
        <v>0</v>
      </c>
      <c r="CS24" s="330">
        <f>IF(SUM(AF$25:AF$29)&gt;0,0,AF24*$J24)</f>
        <v>0</v>
      </c>
      <c r="CT24" s="1">
        <f>N24*$K24</f>
        <v>0</v>
      </c>
      <c r="CU24" s="1">
        <f>P24*$K24</f>
        <v>0</v>
      </c>
      <c r="CV24" s="1">
        <f>R24*$K24</f>
        <v>0</v>
      </c>
      <c r="CW24" s="1">
        <f>T24*$K24</f>
        <v>0</v>
      </c>
      <c r="CX24" s="1">
        <f>V24*$K24</f>
        <v>0</v>
      </c>
      <c r="CY24" s="1">
        <f>X24*$K24</f>
        <v>0</v>
      </c>
      <c r="CZ24" s="1">
        <f>Z24*$K24</f>
        <v>0</v>
      </c>
      <c r="DA24" s="1">
        <f>AB24*$K24</f>
        <v>0</v>
      </c>
      <c r="DB24" s="1">
        <f>AD24*$K24</f>
        <v>0</v>
      </c>
      <c r="DC24" s="69">
        <f>AF24*$K24</f>
        <v>0</v>
      </c>
      <c r="DD24" s="1">
        <f>N24*$L24</f>
        <v>0</v>
      </c>
      <c r="DE24" s="1">
        <f>P24*$L24</f>
        <v>0</v>
      </c>
      <c r="DF24" s="1">
        <f>R24*$L24</f>
        <v>0</v>
      </c>
      <c r="DG24" s="1">
        <f>T24*$L24</f>
        <v>0</v>
      </c>
      <c r="DH24" s="1">
        <f>V24*$L24</f>
        <v>0</v>
      </c>
      <c r="DI24" s="1">
        <f>X24*$L24</f>
        <v>0</v>
      </c>
      <c r="DJ24" s="1">
        <f>Z24*$L24</f>
        <v>0</v>
      </c>
      <c r="DK24" s="1">
        <f>AB24*$L24</f>
        <v>0</v>
      </c>
      <c r="DL24" s="1">
        <f>AD24*$L24</f>
        <v>0</v>
      </c>
      <c r="DM24" s="69">
        <f>AF24*$L24</f>
        <v>0</v>
      </c>
      <c r="DN24" s="1">
        <f>N24*$M24</f>
        <v>0</v>
      </c>
      <c r="DO24" s="1">
        <f>P24*$M24</f>
        <v>0</v>
      </c>
      <c r="DP24" s="1">
        <f>R24*$M24</f>
        <v>0</v>
      </c>
      <c r="DQ24" s="1">
        <f>T24*$M24</f>
        <v>0</v>
      </c>
      <c r="DR24" s="1">
        <f>V24*$M24</f>
        <v>0</v>
      </c>
      <c r="DS24" s="1">
        <f>X24*$M24</f>
        <v>0</v>
      </c>
      <c r="DT24" s="1">
        <f>Z24*$M24</f>
        <v>0</v>
      </c>
      <c r="DU24" s="1">
        <f>AB24*$M24</f>
        <v>0</v>
      </c>
      <c r="DV24" s="1">
        <f>AD24*$M24</f>
        <v>0</v>
      </c>
      <c r="DW24" s="69">
        <f>AF24*$M24</f>
        <v>0</v>
      </c>
      <c r="DX24" s="1">
        <v>1</v>
      </c>
      <c r="DY24" s="69">
        <f>DY23+1</f>
        <v>2</v>
      </c>
      <c r="DZ24" s="1">
        <f t="shared" si="1"/>
        <v>0</v>
      </c>
      <c r="EA24" s="1">
        <f t="shared" si="2"/>
        <v>0</v>
      </c>
      <c r="EB24" s="1">
        <f t="shared" si="3"/>
        <v>0</v>
      </c>
      <c r="ED24" s="285">
        <f t="shared" si="4"/>
        <v>0</v>
      </c>
    </row>
    <row r="25" spans="1:134" ht="15" x14ac:dyDescent="0.25">
      <c r="A25" s="208" t="s">
        <v>662</v>
      </c>
      <c r="B25" s="801" t="s">
        <v>2261</v>
      </c>
      <c r="D25" s="646" t="s">
        <v>994</v>
      </c>
      <c r="E25" s="889">
        <f>0.55</f>
        <v>0.55000000000000004</v>
      </c>
      <c r="F25" s="625">
        <f t="shared" ref="F25:F31" si="6">VLOOKUP(D25,prezzi,5,)</f>
        <v>0</v>
      </c>
      <c r="G25" s="694"/>
      <c r="H25" s="58"/>
      <c r="I25" s="58"/>
      <c r="J25" s="58">
        <v>2</v>
      </c>
      <c r="K25" s="58">
        <v>1</v>
      </c>
      <c r="L25" s="58"/>
      <c r="M25" s="58">
        <v>1</v>
      </c>
      <c r="N25" s="658"/>
      <c r="O25" s="256"/>
      <c r="P25" s="256"/>
      <c r="Q25" s="256"/>
      <c r="R25" s="255"/>
      <c r="S25" s="256"/>
      <c r="T25" s="256"/>
      <c r="U25" s="256"/>
      <c r="V25" s="255"/>
      <c r="W25" s="256"/>
      <c r="X25" s="256"/>
      <c r="Y25" s="256"/>
      <c r="Z25" s="255"/>
      <c r="AA25" s="256"/>
      <c r="AB25" s="256"/>
      <c r="AC25" s="256"/>
      <c r="AD25" s="255"/>
      <c r="AE25" s="256"/>
      <c r="AF25" s="256"/>
      <c r="AH25" s="546">
        <f t="shared" si="0"/>
        <v>0</v>
      </c>
      <c r="AI25" s="66">
        <f>N25*$E25</f>
        <v>0</v>
      </c>
      <c r="AL25" s="706" t="str">
        <f t="shared" si="5"/>
        <v>-inverter monofase =0,37 Kw</v>
      </c>
      <c r="AM25" s="683">
        <f t="shared" ref="AM25:AM47" si="7">N25*$F25</f>
        <v>0</v>
      </c>
      <c r="AN25" s="673">
        <f t="shared" ref="AN25:AN38" si="8">P25*$E25</f>
        <v>0</v>
      </c>
      <c r="AO25" s="688">
        <f t="shared" ref="AO25:AO38" si="9">P25*$F25</f>
        <v>0</v>
      </c>
      <c r="AP25" s="673">
        <f t="shared" ref="AP25:AP38" si="10">R25*$E25</f>
        <v>0</v>
      </c>
      <c r="AQ25" s="688">
        <f t="shared" ref="AQ25:AQ38" si="11">R25*$F25</f>
        <v>0</v>
      </c>
      <c r="AR25" s="673">
        <f t="shared" ref="AR25:AR38" si="12">T25*$E25</f>
        <v>0</v>
      </c>
      <c r="AS25" s="688">
        <f t="shared" ref="AS25:AS38" si="13">T25*$F25</f>
        <v>0</v>
      </c>
      <c r="AT25" s="673">
        <f t="shared" ref="AT25:AT38" si="14">V25*$E25</f>
        <v>0</v>
      </c>
      <c r="AU25" s="688">
        <f t="shared" ref="AU25:AU38" si="15">V25*$F25</f>
        <v>0</v>
      </c>
      <c r="AV25" s="673">
        <f t="shared" ref="AV25:AV38" si="16">X25*$E25</f>
        <v>0</v>
      </c>
      <c r="AW25" s="688">
        <f t="shared" ref="AW25:AW38" si="17">X25*$F25</f>
        <v>0</v>
      </c>
      <c r="AX25" s="673">
        <f t="shared" ref="AX25:AX38" si="18">Z25*$E25</f>
        <v>0</v>
      </c>
      <c r="AY25" s="688">
        <f t="shared" ref="AY25:AY38" si="19">Z25*$F25</f>
        <v>0</v>
      </c>
      <c r="AZ25" s="673">
        <f t="shared" ref="AZ25:AZ38" si="20">AB25*$E25</f>
        <v>0</v>
      </c>
      <c r="BA25" s="688">
        <f t="shared" ref="BA25:BA38" si="21">AB25*$F25</f>
        <v>0</v>
      </c>
      <c r="BB25" s="673">
        <f t="shared" ref="BB25:BB38" si="22">AD25*$E25</f>
        <v>0</v>
      </c>
      <c r="BC25" s="688">
        <f t="shared" ref="BC25:BC38" si="23">AD25*$F25</f>
        <v>0</v>
      </c>
      <c r="BD25" s="673">
        <f t="shared" ref="BD25:BD38" si="24">AF25*$E25</f>
        <v>0</v>
      </c>
      <c r="BE25" s="684">
        <f t="shared" ref="BE25:BE35" si="25">AF25*$F25</f>
        <v>0</v>
      </c>
      <c r="BF25" s="1">
        <f t="shared" ref="BF25:BF38" si="26">N25*$G25</f>
        <v>0</v>
      </c>
      <c r="BG25" s="1">
        <f t="shared" ref="BG25:BG35" si="27">P25*$G25</f>
        <v>0</v>
      </c>
      <c r="BH25" s="1">
        <f t="shared" ref="BH25:BH35" si="28">R25*$G25</f>
        <v>0</v>
      </c>
      <c r="BI25" s="1">
        <f t="shared" ref="BI25:BI35" si="29">T25*$G25</f>
        <v>0</v>
      </c>
      <c r="BJ25" s="1">
        <f t="shared" ref="BJ25:BJ35" si="30">V25*$G25</f>
        <v>0</v>
      </c>
      <c r="BK25" s="1">
        <f t="shared" ref="BK25:BK35" si="31">X25*$G25</f>
        <v>0</v>
      </c>
      <c r="BL25" s="1">
        <f t="shared" ref="BL25:BL35" si="32">Z25*$G25</f>
        <v>0</v>
      </c>
      <c r="BM25" s="1">
        <f t="shared" ref="BM25:BM35" si="33">AB25*$G25</f>
        <v>0</v>
      </c>
      <c r="BN25" s="1">
        <f t="shared" ref="BN25:BN35" si="34">AD25*$G25</f>
        <v>0</v>
      </c>
      <c r="BO25" s="69">
        <f t="shared" ref="BO25:BO35" si="35">AF25*$G25</f>
        <v>0</v>
      </c>
      <c r="BP25" s="1">
        <f t="shared" ref="BP25:BP38" si="36">N25*$H25</f>
        <v>0</v>
      </c>
      <c r="BQ25" s="1">
        <f t="shared" ref="BQ25:BQ35" si="37">P25*$H25</f>
        <v>0</v>
      </c>
      <c r="BR25" s="1">
        <f t="shared" ref="BR25:BR35" si="38">R25*$H25</f>
        <v>0</v>
      </c>
      <c r="BS25" s="1">
        <f t="shared" ref="BS25:BS35" si="39">T25*$H25</f>
        <v>0</v>
      </c>
      <c r="BT25" s="1">
        <f t="shared" ref="BT25:BT35" si="40">V25*$H25</f>
        <v>0</v>
      </c>
      <c r="BU25" s="1">
        <f t="shared" ref="BU25:BU35" si="41">X25*$H25</f>
        <v>0</v>
      </c>
      <c r="BV25" s="1">
        <f t="shared" ref="BV25:BV35" si="42">Z25*$H25</f>
        <v>0</v>
      </c>
      <c r="BW25" s="1">
        <f t="shared" ref="BW25:BW35" si="43">AB25*$H25</f>
        <v>0</v>
      </c>
      <c r="BX25" s="1">
        <f t="shared" ref="BX25:BX35" si="44">AD25*$H25</f>
        <v>0</v>
      </c>
      <c r="BY25" s="69">
        <f t="shared" ref="BY25:BY35" si="45">AF25*$H25</f>
        <v>0</v>
      </c>
      <c r="BZ25" s="1">
        <f t="shared" ref="BZ25:BZ38" si="46">N25*$I25</f>
        <v>0</v>
      </c>
      <c r="CA25" s="1">
        <f t="shared" ref="CA25:CA35" si="47">P25*$I25</f>
        <v>0</v>
      </c>
      <c r="CB25" s="1">
        <f t="shared" ref="CB25:CB35" si="48">R25*$I25</f>
        <v>0</v>
      </c>
      <c r="CC25" s="1">
        <f t="shared" ref="CC25:CC35" si="49">T25*$I25</f>
        <v>0</v>
      </c>
      <c r="CD25" s="1">
        <f t="shared" ref="CD25:CD35" si="50">V25*$I25</f>
        <v>0</v>
      </c>
      <c r="CE25" s="1">
        <f t="shared" ref="CE25:CE35" si="51">X25*$I25</f>
        <v>0</v>
      </c>
      <c r="CF25" s="1">
        <f t="shared" ref="CF25:CF35" si="52">Z25*$I25</f>
        <v>0</v>
      </c>
      <c r="CG25" s="1">
        <f t="shared" ref="CG25:CG35" si="53">AB25*$I25</f>
        <v>0</v>
      </c>
      <c r="CH25" s="1">
        <f t="shared" ref="CH25:CH35" si="54">AD25*$I25</f>
        <v>0</v>
      </c>
      <c r="CI25" s="69">
        <f t="shared" ref="CI25:CI35" si="55">AF25*$I25</f>
        <v>0</v>
      </c>
      <c r="CJ25" s="1">
        <f t="shared" ref="CJ25:CJ38" si="56">N25*$J25</f>
        <v>0</v>
      </c>
      <c r="CK25" s="1">
        <f t="shared" ref="CK25:CK38" si="57">P25*$J25</f>
        <v>0</v>
      </c>
      <c r="CL25" s="1">
        <f t="shared" ref="CL25:CL38" si="58">R25*$J25</f>
        <v>0</v>
      </c>
      <c r="CM25" s="1">
        <f t="shared" ref="CM25:CM38" si="59">T25*$J25</f>
        <v>0</v>
      </c>
      <c r="CN25" s="1">
        <f t="shared" ref="CN25:CN38" si="60">V25*$J25</f>
        <v>0</v>
      </c>
      <c r="CO25" s="1">
        <f t="shared" ref="CO25:CO38" si="61">X25*$J25</f>
        <v>0</v>
      </c>
      <c r="CP25" s="1">
        <f t="shared" ref="CP25:CP38" si="62">Z25*$J25</f>
        <v>0</v>
      </c>
      <c r="CQ25" s="1">
        <f t="shared" ref="CQ25:CQ38" si="63">AB25*$J25</f>
        <v>0</v>
      </c>
      <c r="CR25" s="1">
        <f>AD25*$J25</f>
        <v>0</v>
      </c>
      <c r="CS25" s="69">
        <f>AF25*$J25</f>
        <v>0</v>
      </c>
      <c r="CT25" s="1">
        <f t="shared" ref="CT25:CT47" si="64">N25*$K25</f>
        <v>0</v>
      </c>
      <c r="CU25" s="1">
        <f t="shared" ref="CU25:CU35" si="65">P25*$K25</f>
        <v>0</v>
      </c>
      <c r="CV25" s="1">
        <f t="shared" ref="CV25:CV35" si="66">R25*$K25</f>
        <v>0</v>
      </c>
      <c r="CW25" s="1">
        <f t="shared" ref="CW25:CW35" si="67">T25*$K25</f>
        <v>0</v>
      </c>
      <c r="CX25" s="1">
        <f t="shared" ref="CX25:CX35" si="68">V25*$K25</f>
        <v>0</v>
      </c>
      <c r="CY25" s="1">
        <f t="shared" ref="CY25:CY35" si="69">X25*$K25</f>
        <v>0</v>
      </c>
      <c r="CZ25" s="1">
        <f t="shared" ref="CZ25:CZ35" si="70">Z25*$K25</f>
        <v>0</v>
      </c>
      <c r="DA25" s="1">
        <f t="shared" ref="DA25:DA35" si="71">AB25*$K25</f>
        <v>0</v>
      </c>
      <c r="DB25" s="1">
        <f t="shared" ref="DB25:DB35" si="72">AD25*$K25</f>
        <v>0</v>
      </c>
      <c r="DC25" s="69">
        <f t="shared" ref="DC25:DC35" si="73">AF25*$K25</f>
        <v>0</v>
      </c>
      <c r="DD25" s="1">
        <f t="shared" ref="DD25:DD47" si="74">N25*$L25</f>
        <v>0</v>
      </c>
      <c r="DE25" s="1">
        <f t="shared" ref="DE25:DE35" si="75">P25*$L25</f>
        <v>0</v>
      </c>
      <c r="DF25" s="1">
        <f t="shared" ref="DF25:DF35" si="76">R25*$L25</f>
        <v>0</v>
      </c>
      <c r="DG25" s="1">
        <f t="shared" ref="DG25:DG35" si="77">T25*$L25</f>
        <v>0</v>
      </c>
      <c r="DH25" s="1">
        <f t="shared" ref="DH25:DH35" si="78">V25*$L25</f>
        <v>0</v>
      </c>
      <c r="DI25" s="1">
        <f t="shared" ref="DI25:DI35" si="79">X25*$L25</f>
        <v>0</v>
      </c>
      <c r="DJ25" s="1">
        <f t="shared" ref="DJ25:DJ35" si="80">Z25*$L25</f>
        <v>0</v>
      </c>
      <c r="DK25" s="1">
        <f t="shared" ref="DK25:DK35" si="81">AB25*$L25</f>
        <v>0</v>
      </c>
      <c r="DL25" s="1">
        <f t="shared" ref="DL25:DL35" si="82">AD25*$L25</f>
        <v>0</v>
      </c>
      <c r="DM25" s="69">
        <f t="shared" ref="DM25:DM35" si="83">AF25*$L25</f>
        <v>0</v>
      </c>
      <c r="DN25" s="1">
        <f t="shared" ref="DN25:DN38" si="84">N25*$M25</f>
        <v>0</v>
      </c>
      <c r="DO25" s="1">
        <f t="shared" ref="DO25:DO35" si="85">P25*$M25</f>
        <v>0</v>
      </c>
      <c r="DP25" s="1">
        <f t="shared" ref="DP25:DP35" si="86">R25*$M25</f>
        <v>0</v>
      </c>
      <c r="DQ25" s="1">
        <f t="shared" ref="DQ25:DQ35" si="87">T25*$M25</f>
        <v>0</v>
      </c>
      <c r="DR25" s="1">
        <f t="shared" ref="DR25:DR35" si="88">V25*$M25</f>
        <v>0</v>
      </c>
      <c r="DS25" s="1">
        <f t="shared" ref="DS25:DS35" si="89">X25*$M25</f>
        <v>0</v>
      </c>
      <c r="DT25" s="1">
        <f t="shared" ref="DT25:DT35" si="90">Z25*$M25</f>
        <v>0</v>
      </c>
      <c r="DU25" s="1">
        <f t="shared" ref="DU25:DU35" si="91">AB25*$M25</f>
        <v>0</v>
      </c>
      <c r="DV25" s="1">
        <f t="shared" ref="DV25:DV35" si="92">AD25*$M25</f>
        <v>0</v>
      </c>
      <c r="DW25" s="69">
        <f t="shared" ref="DW25:DW35" si="93">AF25*$M25</f>
        <v>0</v>
      </c>
      <c r="DX25" s="1">
        <v>1</v>
      </c>
      <c r="DY25" s="69">
        <f t="shared" ref="DY25:DY94" si="94">DY24+1</f>
        <v>3</v>
      </c>
      <c r="DZ25" s="1">
        <f t="shared" si="1"/>
        <v>0</v>
      </c>
      <c r="EA25" s="1">
        <f t="shared" si="2"/>
        <v>0</v>
      </c>
      <c r="EB25" s="1">
        <f t="shared" si="3"/>
        <v>0</v>
      </c>
      <c r="ED25" s="285">
        <f t="shared" si="4"/>
        <v>0</v>
      </c>
    </row>
    <row r="26" spans="1:134" ht="15" x14ac:dyDescent="0.25">
      <c r="A26" s="208" t="s">
        <v>662</v>
      </c>
      <c r="B26" s="801" t="s">
        <v>2262</v>
      </c>
      <c r="D26" s="646" t="s">
        <v>995</v>
      </c>
      <c r="E26" s="889">
        <v>0.75</v>
      </c>
      <c r="F26" s="625">
        <f t="shared" si="6"/>
        <v>0</v>
      </c>
      <c r="G26" s="694"/>
      <c r="H26" s="58"/>
      <c r="I26" s="58"/>
      <c r="J26" s="58">
        <v>2</v>
      </c>
      <c r="K26" s="58">
        <v>1</v>
      </c>
      <c r="L26" s="58"/>
      <c r="M26" s="58">
        <v>1</v>
      </c>
      <c r="N26" s="658"/>
      <c r="O26" s="256"/>
      <c r="P26" s="256"/>
      <c r="Q26" s="256"/>
      <c r="R26" s="255"/>
      <c r="S26" s="256"/>
      <c r="T26" s="256"/>
      <c r="U26" s="256"/>
      <c r="V26" s="255"/>
      <c r="W26" s="256"/>
      <c r="X26" s="256"/>
      <c r="Y26" s="256"/>
      <c r="Z26" s="255"/>
      <c r="AA26" s="256"/>
      <c r="AB26" s="256"/>
      <c r="AC26" s="256"/>
      <c r="AD26" s="255"/>
      <c r="AE26" s="256"/>
      <c r="AF26" s="256"/>
      <c r="AH26" s="546">
        <f t="shared" si="0"/>
        <v>0</v>
      </c>
      <c r="AI26" s="66">
        <f t="shared" ref="AI26:AI31" si="95">N26*$E26</f>
        <v>0</v>
      </c>
      <c r="AL26" s="706" t="str">
        <f t="shared" si="5"/>
        <v>-inverter monofase =0,75 Kw</v>
      </c>
      <c r="AM26" s="683">
        <f t="shared" si="7"/>
        <v>0</v>
      </c>
      <c r="AN26" s="674">
        <f t="shared" si="8"/>
        <v>0</v>
      </c>
      <c r="AO26" s="684">
        <f t="shared" si="9"/>
        <v>0</v>
      </c>
      <c r="AP26" s="674">
        <f t="shared" si="10"/>
        <v>0</v>
      </c>
      <c r="AQ26" s="684">
        <f t="shared" si="11"/>
        <v>0</v>
      </c>
      <c r="AR26" s="674">
        <f t="shared" si="12"/>
        <v>0</v>
      </c>
      <c r="AS26" s="684">
        <f t="shared" si="13"/>
        <v>0</v>
      </c>
      <c r="AT26" s="674">
        <f t="shared" si="14"/>
        <v>0</v>
      </c>
      <c r="AU26" s="684">
        <f t="shared" si="15"/>
        <v>0</v>
      </c>
      <c r="AV26" s="674">
        <f t="shared" si="16"/>
        <v>0</v>
      </c>
      <c r="AW26" s="684">
        <f t="shared" si="17"/>
        <v>0</v>
      </c>
      <c r="AX26" s="674">
        <f t="shared" si="18"/>
        <v>0</v>
      </c>
      <c r="AY26" s="684">
        <f t="shared" si="19"/>
        <v>0</v>
      </c>
      <c r="AZ26" s="674">
        <f t="shared" si="20"/>
        <v>0</v>
      </c>
      <c r="BA26" s="684">
        <f t="shared" si="21"/>
        <v>0</v>
      </c>
      <c r="BB26" s="674">
        <f t="shared" si="22"/>
        <v>0</v>
      </c>
      <c r="BC26" s="684">
        <f t="shared" si="23"/>
        <v>0</v>
      </c>
      <c r="BD26" s="674">
        <f t="shared" si="24"/>
        <v>0</v>
      </c>
      <c r="BE26" s="684">
        <f t="shared" si="25"/>
        <v>0</v>
      </c>
      <c r="BF26" s="1">
        <f t="shared" si="26"/>
        <v>0</v>
      </c>
      <c r="BG26" s="1">
        <f t="shared" si="27"/>
        <v>0</v>
      </c>
      <c r="BH26" s="1">
        <f t="shared" si="28"/>
        <v>0</v>
      </c>
      <c r="BI26" s="1">
        <f t="shared" si="29"/>
        <v>0</v>
      </c>
      <c r="BJ26" s="1">
        <f t="shared" si="30"/>
        <v>0</v>
      </c>
      <c r="BK26" s="1">
        <f t="shared" si="31"/>
        <v>0</v>
      </c>
      <c r="BL26" s="1">
        <f t="shared" si="32"/>
        <v>0</v>
      </c>
      <c r="BM26" s="1">
        <f t="shared" si="33"/>
        <v>0</v>
      </c>
      <c r="BN26" s="1">
        <f t="shared" si="34"/>
        <v>0</v>
      </c>
      <c r="BO26" s="69">
        <f t="shared" si="35"/>
        <v>0</v>
      </c>
      <c r="BP26" s="1">
        <f t="shared" si="36"/>
        <v>0</v>
      </c>
      <c r="BQ26" s="1">
        <f t="shared" si="37"/>
        <v>0</v>
      </c>
      <c r="BR26" s="1">
        <f t="shared" si="38"/>
        <v>0</v>
      </c>
      <c r="BS26" s="1">
        <f t="shared" si="39"/>
        <v>0</v>
      </c>
      <c r="BT26" s="1">
        <f t="shared" si="40"/>
        <v>0</v>
      </c>
      <c r="BU26" s="1">
        <f t="shared" si="41"/>
        <v>0</v>
      </c>
      <c r="BV26" s="1">
        <f t="shared" si="42"/>
        <v>0</v>
      </c>
      <c r="BW26" s="1">
        <f t="shared" si="43"/>
        <v>0</v>
      </c>
      <c r="BX26" s="1">
        <f t="shared" si="44"/>
        <v>0</v>
      </c>
      <c r="BY26" s="69">
        <f t="shared" si="45"/>
        <v>0</v>
      </c>
      <c r="BZ26" s="1">
        <f t="shared" si="46"/>
        <v>0</v>
      </c>
      <c r="CA26" s="1">
        <f t="shared" si="47"/>
        <v>0</v>
      </c>
      <c r="CB26" s="1">
        <f t="shared" si="48"/>
        <v>0</v>
      </c>
      <c r="CC26" s="1">
        <f t="shared" si="49"/>
        <v>0</v>
      </c>
      <c r="CD26" s="1">
        <f t="shared" si="50"/>
        <v>0</v>
      </c>
      <c r="CE26" s="1">
        <f t="shared" si="51"/>
        <v>0</v>
      </c>
      <c r="CF26" s="1">
        <f t="shared" si="52"/>
        <v>0</v>
      </c>
      <c r="CG26" s="1">
        <f t="shared" si="53"/>
        <v>0</v>
      </c>
      <c r="CH26" s="1">
        <f t="shared" si="54"/>
        <v>0</v>
      </c>
      <c r="CI26" s="69">
        <f t="shared" si="55"/>
        <v>0</v>
      </c>
      <c r="CJ26" s="1">
        <f t="shared" si="56"/>
        <v>0</v>
      </c>
      <c r="CK26" s="1">
        <f t="shared" si="57"/>
        <v>0</v>
      </c>
      <c r="CL26" s="1">
        <f t="shared" si="58"/>
        <v>0</v>
      </c>
      <c r="CM26" s="1">
        <f t="shared" si="59"/>
        <v>0</v>
      </c>
      <c r="CN26" s="1">
        <f t="shared" si="60"/>
        <v>0</v>
      </c>
      <c r="CO26" s="1">
        <f t="shared" si="61"/>
        <v>0</v>
      </c>
      <c r="CP26" s="1">
        <f t="shared" si="62"/>
        <v>0</v>
      </c>
      <c r="CQ26" s="1">
        <f t="shared" si="63"/>
        <v>0</v>
      </c>
      <c r="CR26" s="1">
        <f>AD26*$J26</f>
        <v>0</v>
      </c>
      <c r="CS26" s="69">
        <f>AF26*$J26</f>
        <v>0</v>
      </c>
      <c r="CT26" s="1">
        <f t="shared" si="64"/>
        <v>0</v>
      </c>
      <c r="CU26" s="1">
        <f t="shared" si="65"/>
        <v>0</v>
      </c>
      <c r="CV26" s="1">
        <f t="shared" si="66"/>
        <v>0</v>
      </c>
      <c r="CW26" s="1">
        <f t="shared" si="67"/>
        <v>0</v>
      </c>
      <c r="CX26" s="1">
        <f t="shared" si="68"/>
        <v>0</v>
      </c>
      <c r="CY26" s="1">
        <f t="shared" si="69"/>
        <v>0</v>
      </c>
      <c r="CZ26" s="1">
        <f t="shared" si="70"/>
        <v>0</v>
      </c>
      <c r="DA26" s="1">
        <f t="shared" si="71"/>
        <v>0</v>
      </c>
      <c r="DB26" s="1">
        <f t="shared" si="72"/>
        <v>0</v>
      </c>
      <c r="DC26" s="69">
        <f t="shared" si="73"/>
        <v>0</v>
      </c>
      <c r="DD26" s="1">
        <f t="shared" si="74"/>
        <v>0</v>
      </c>
      <c r="DE26" s="1">
        <f t="shared" si="75"/>
        <v>0</v>
      </c>
      <c r="DF26" s="1">
        <f t="shared" si="76"/>
        <v>0</v>
      </c>
      <c r="DG26" s="1">
        <f t="shared" si="77"/>
        <v>0</v>
      </c>
      <c r="DH26" s="1">
        <f t="shared" si="78"/>
        <v>0</v>
      </c>
      <c r="DI26" s="1">
        <f t="shared" si="79"/>
        <v>0</v>
      </c>
      <c r="DJ26" s="1">
        <f t="shared" si="80"/>
        <v>0</v>
      </c>
      <c r="DK26" s="1">
        <f t="shared" si="81"/>
        <v>0</v>
      </c>
      <c r="DL26" s="1">
        <f t="shared" si="82"/>
        <v>0</v>
      </c>
      <c r="DM26" s="69">
        <f t="shared" si="83"/>
        <v>0</v>
      </c>
      <c r="DN26" s="1">
        <f t="shared" si="84"/>
        <v>0</v>
      </c>
      <c r="DO26" s="1">
        <f t="shared" si="85"/>
        <v>0</v>
      </c>
      <c r="DP26" s="1">
        <f t="shared" si="86"/>
        <v>0</v>
      </c>
      <c r="DQ26" s="1">
        <f t="shared" si="87"/>
        <v>0</v>
      </c>
      <c r="DR26" s="1">
        <f t="shared" si="88"/>
        <v>0</v>
      </c>
      <c r="DS26" s="1">
        <f t="shared" si="89"/>
        <v>0</v>
      </c>
      <c r="DT26" s="1">
        <f t="shared" si="90"/>
        <v>0</v>
      </c>
      <c r="DU26" s="1">
        <f t="shared" si="91"/>
        <v>0</v>
      </c>
      <c r="DV26" s="1">
        <f t="shared" si="92"/>
        <v>0</v>
      </c>
      <c r="DW26" s="69">
        <f t="shared" si="93"/>
        <v>0</v>
      </c>
      <c r="DX26" s="1">
        <v>1</v>
      </c>
      <c r="DY26" s="69">
        <f t="shared" si="94"/>
        <v>4</v>
      </c>
      <c r="DZ26" s="1">
        <f t="shared" si="1"/>
        <v>0</v>
      </c>
      <c r="EA26" s="1">
        <f t="shared" si="2"/>
        <v>0</v>
      </c>
      <c r="EB26" s="1">
        <f t="shared" si="3"/>
        <v>0</v>
      </c>
      <c r="ED26" s="285">
        <f t="shared" si="4"/>
        <v>0</v>
      </c>
    </row>
    <row r="27" spans="1:134" ht="15" x14ac:dyDescent="0.25">
      <c r="A27" s="208" t="s">
        <v>662</v>
      </c>
      <c r="B27" s="801" t="s">
        <v>2263</v>
      </c>
      <c r="D27" s="646" t="s">
        <v>650</v>
      </c>
      <c r="E27" s="889">
        <v>0.75</v>
      </c>
      <c r="F27" s="625">
        <f t="shared" si="6"/>
        <v>0</v>
      </c>
      <c r="G27" s="694"/>
      <c r="H27" s="58"/>
      <c r="I27" s="58"/>
      <c r="J27" s="58">
        <v>2</v>
      </c>
      <c r="K27" s="58">
        <v>1</v>
      </c>
      <c r="L27" s="58"/>
      <c r="M27" s="58">
        <v>1</v>
      </c>
      <c r="N27" s="658"/>
      <c r="O27" s="256"/>
      <c r="P27" s="256"/>
      <c r="Q27" s="256"/>
      <c r="R27" s="255"/>
      <c r="S27" s="256"/>
      <c r="T27" s="256"/>
      <c r="U27" s="256"/>
      <c r="V27" s="255"/>
      <c r="W27" s="256"/>
      <c r="X27" s="256"/>
      <c r="Y27" s="256"/>
      <c r="Z27" s="255"/>
      <c r="AA27" s="256"/>
      <c r="AB27" s="256"/>
      <c r="AC27" s="256"/>
      <c r="AD27" s="255"/>
      <c r="AE27" s="256"/>
      <c r="AF27" s="256"/>
      <c r="AH27" s="546">
        <f t="shared" si="0"/>
        <v>0</v>
      </c>
      <c r="AI27" s="66">
        <f>N27*$E27</f>
        <v>0</v>
      </c>
      <c r="AL27" s="706" t="str">
        <f t="shared" si="5"/>
        <v>-inverter trifase =0,75 Kw</v>
      </c>
      <c r="AM27" s="683">
        <f t="shared" si="7"/>
        <v>0</v>
      </c>
      <c r="AN27" s="674">
        <f t="shared" si="8"/>
        <v>0</v>
      </c>
      <c r="AO27" s="684">
        <f t="shared" si="9"/>
        <v>0</v>
      </c>
      <c r="AP27" s="674">
        <f t="shared" si="10"/>
        <v>0</v>
      </c>
      <c r="AQ27" s="684">
        <f t="shared" si="11"/>
        <v>0</v>
      </c>
      <c r="AR27" s="674">
        <f t="shared" si="12"/>
        <v>0</v>
      </c>
      <c r="AS27" s="684">
        <f t="shared" si="13"/>
        <v>0</v>
      </c>
      <c r="AT27" s="674">
        <f t="shared" si="14"/>
        <v>0</v>
      </c>
      <c r="AU27" s="684">
        <f t="shared" si="15"/>
        <v>0</v>
      </c>
      <c r="AV27" s="674">
        <f t="shared" si="16"/>
        <v>0</v>
      </c>
      <c r="AW27" s="684">
        <f t="shared" si="17"/>
        <v>0</v>
      </c>
      <c r="AX27" s="674">
        <f t="shared" si="18"/>
        <v>0</v>
      </c>
      <c r="AY27" s="684">
        <f t="shared" si="19"/>
        <v>0</v>
      </c>
      <c r="AZ27" s="674">
        <f t="shared" si="20"/>
        <v>0</v>
      </c>
      <c r="BA27" s="684">
        <f t="shared" si="21"/>
        <v>0</v>
      </c>
      <c r="BB27" s="674">
        <f t="shared" si="22"/>
        <v>0</v>
      </c>
      <c r="BC27" s="684">
        <f t="shared" si="23"/>
        <v>0</v>
      </c>
      <c r="BD27" s="674">
        <f t="shared" si="24"/>
        <v>0</v>
      </c>
      <c r="BE27" s="684">
        <f>AF27*$F27</f>
        <v>0</v>
      </c>
      <c r="BF27" s="1">
        <f t="shared" si="26"/>
        <v>0</v>
      </c>
      <c r="BG27" s="1">
        <f>P27*$G27</f>
        <v>0</v>
      </c>
      <c r="BH27" s="1">
        <f>R27*$G27</f>
        <v>0</v>
      </c>
      <c r="BI27" s="1">
        <f>T27*$G27</f>
        <v>0</v>
      </c>
      <c r="BJ27" s="1">
        <f>V27*$G27</f>
        <v>0</v>
      </c>
      <c r="BK27" s="1">
        <f>X27*$G27</f>
        <v>0</v>
      </c>
      <c r="BL27" s="1">
        <f>Z27*$G27</f>
        <v>0</v>
      </c>
      <c r="BM27" s="1">
        <f>AB27*$G27</f>
        <v>0</v>
      </c>
      <c r="BN27" s="1">
        <f>AD27*$G27</f>
        <v>0</v>
      </c>
      <c r="BO27" s="69">
        <f>AF27*$G27</f>
        <v>0</v>
      </c>
      <c r="BP27" s="1">
        <f t="shared" si="36"/>
        <v>0</v>
      </c>
      <c r="BQ27" s="1">
        <f>P27*$H27</f>
        <v>0</v>
      </c>
      <c r="BR27" s="1">
        <f>R27*$H27</f>
        <v>0</v>
      </c>
      <c r="BS27" s="1">
        <f>T27*$H27</f>
        <v>0</v>
      </c>
      <c r="BT27" s="1">
        <f>V27*$H27</f>
        <v>0</v>
      </c>
      <c r="BU27" s="1">
        <f>X27*$H27</f>
        <v>0</v>
      </c>
      <c r="BV27" s="1">
        <f>Z27*$H27</f>
        <v>0</v>
      </c>
      <c r="BW27" s="1">
        <f>AB27*$H27</f>
        <v>0</v>
      </c>
      <c r="BX27" s="1">
        <f>AD27*$H27</f>
        <v>0</v>
      </c>
      <c r="BY27" s="69">
        <f>AF27*$H27</f>
        <v>0</v>
      </c>
      <c r="BZ27" s="1">
        <f t="shared" si="46"/>
        <v>0</v>
      </c>
      <c r="CA27" s="1">
        <f>P27*$I27</f>
        <v>0</v>
      </c>
      <c r="CB27" s="1">
        <f>R27*$I27</f>
        <v>0</v>
      </c>
      <c r="CC27" s="1">
        <f>T27*$I27</f>
        <v>0</v>
      </c>
      <c r="CD27" s="1">
        <f>V27*$I27</f>
        <v>0</v>
      </c>
      <c r="CE27" s="1">
        <f>X27*$I27</f>
        <v>0</v>
      </c>
      <c r="CF27" s="1">
        <f>Z27*$I27</f>
        <v>0</v>
      </c>
      <c r="CG27" s="1">
        <f>AB27*$I27</f>
        <v>0</v>
      </c>
      <c r="CH27" s="1">
        <f>AD27*$I27</f>
        <v>0</v>
      </c>
      <c r="CI27" s="69">
        <f>AF27*$I27</f>
        <v>0</v>
      </c>
      <c r="CJ27" s="1">
        <f t="shared" si="56"/>
        <v>0</v>
      </c>
      <c r="CK27" s="1">
        <f t="shared" si="57"/>
        <v>0</v>
      </c>
      <c r="CL27" s="1">
        <f t="shared" si="58"/>
        <v>0</v>
      </c>
      <c r="CM27" s="1">
        <f t="shared" si="59"/>
        <v>0</v>
      </c>
      <c r="CN27" s="1">
        <f t="shared" si="60"/>
        <v>0</v>
      </c>
      <c r="CO27" s="1">
        <f t="shared" si="61"/>
        <v>0</v>
      </c>
      <c r="CP27" s="1">
        <f t="shared" si="62"/>
        <v>0</v>
      </c>
      <c r="CQ27" s="1">
        <f t="shared" si="63"/>
        <v>0</v>
      </c>
      <c r="CR27" s="1">
        <f>AD27*$J27</f>
        <v>0</v>
      </c>
      <c r="CS27" s="69">
        <f>AF27*$J27</f>
        <v>0</v>
      </c>
      <c r="CT27" s="1">
        <f t="shared" si="64"/>
        <v>0</v>
      </c>
      <c r="CU27" s="1">
        <f>P27*$K27</f>
        <v>0</v>
      </c>
      <c r="CV27" s="1">
        <f>R27*$K27</f>
        <v>0</v>
      </c>
      <c r="CW27" s="1">
        <f>T27*$K27</f>
        <v>0</v>
      </c>
      <c r="CX27" s="1">
        <f>V27*$K27</f>
        <v>0</v>
      </c>
      <c r="CY27" s="1">
        <f>X27*$K27</f>
        <v>0</v>
      </c>
      <c r="CZ27" s="1">
        <f>Z27*$K27</f>
        <v>0</v>
      </c>
      <c r="DA27" s="1">
        <f>AB27*$K27</f>
        <v>0</v>
      </c>
      <c r="DB27" s="1">
        <f>AD27*$K27</f>
        <v>0</v>
      </c>
      <c r="DC27" s="69">
        <f>AF27*$K27</f>
        <v>0</v>
      </c>
      <c r="DD27" s="1">
        <f t="shared" si="74"/>
        <v>0</v>
      </c>
      <c r="DE27" s="1">
        <f>P27*$L27</f>
        <v>0</v>
      </c>
      <c r="DF27" s="1">
        <f>R27*$L27</f>
        <v>0</v>
      </c>
      <c r="DG27" s="1">
        <f>T27*$L27</f>
        <v>0</v>
      </c>
      <c r="DH27" s="1">
        <f>V27*$L27</f>
        <v>0</v>
      </c>
      <c r="DI27" s="1">
        <f>X27*$L27</f>
        <v>0</v>
      </c>
      <c r="DJ27" s="1">
        <f>Z27*$L27</f>
        <v>0</v>
      </c>
      <c r="DK27" s="1">
        <f>AB27*$L27</f>
        <v>0</v>
      </c>
      <c r="DL27" s="1">
        <f>AD27*$L27</f>
        <v>0</v>
      </c>
      <c r="DM27" s="69">
        <f>AF27*$L27</f>
        <v>0</v>
      </c>
      <c r="DN27" s="1">
        <f t="shared" si="84"/>
        <v>0</v>
      </c>
      <c r="DO27" s="1">
        <f>P27*$M27</f>
        <v>0</v>
      </c>
      <c r="DP27" s="1">
        <f>R27*$M27</f>
        <v>0</v>
      </c>
      <c r="DQ27" s="1">
        <f>T27*$M27</f>
        <v>0</v>
      </c>
      <c r="DR27" s="1">
        <f>V27*$M27</f>
        <v>0</v>
      </c>
      <c r="DS27" s="1">
        <f>X27*$M27</f>
        <v>0</v>
      </c>
      <c r="DT27" s="1">
        <f>Z27*$M27</f>
        <v>0</v>
      </c>
      <c r="DU27" s="1">
        <f>AB27*$M27</f>
        <v>0</v>
      </c>
      <c r="DV27" s="1">
        <f>AD27*$M27</f>
        <v>0</v>
      </c>
      <c r="DW27" s="69">
        <f>AF27*$M27</f>
        <v>0</v>
      </c>
      <c r="DX27" s="1">
        <v>1</v>
      </c>
      <c r="DY27" s="69">
        <f t="shared" si="94"/>
        <v>5</v>
      </c>
      <c r="DZ27" s="1">
        <f t="shared" si="1"/>
        <v>0</v>
      </c>
      <c r="EA27" s="1">
        <f t="shared" si="2"/>
        <v>0</v>
      </c>
      <c r="EB27" s="1">
        <f t="shared" si="3"/>
        <v>0</v>
      </c>
      <c r="ED27" s="285">
        <f t="shared" si="4"/>
        <v>0</v>
      </c>
    </row>
    <row r="28" spans="1:134" ht="15" x14ac:dyDescent="0.25">
      <c r="A28" s="208" t="s">
        <v>662</v>
      </c>
      <c r="B28" s="801" t="s">
        <v>2264</v>
      </c>
      <c r="D28" s="646" t="s">
        <v>651</v>
      </c>
      <c r="E28" s="889">
        <v>1.5</v>
      </c>
      <c r="F28" s="625">
        <f>VLOOKUP(D28,prezzi,5,)</f>
        <v>0</v>
      </c>
      <c r="G28" s="694"/>
      <c r="H28" s="58"/>
      <c r="I28" s="58"/>
      <c r="J28" s="58">
        <v>2</v>
      </c>
      <c r="K28" s="58">
        <v>1</v>
      </c>
      <c r="L28" s="58"/>
      <c r="M28" s="58">
        <v>1</v>
      </c>
      <c r="N28" s="658"/>
      <c r="O28" s="256"/>
      <c r="P28" s="256"/>
      <c r="Q28" s="256"/>
      <c r="R28" s="255"/>
      <c r="S28" s="256"/>
      <c r="T28" s="256"/>
      <c r="U28" s="256"/>
      <c r="V28" s="255"/>
      <c r="W28" s="256"/>
      <c r="X28" s="256"/>
      <c r="Y28" s="256"/>
      <c r="Z28" s="255"/>
      <c r="AA28" s="256"/>
      <c r="AB28" s="256"/>
      <c r="AC28" s="256"/>
      <c r="AD28" s="255"/>
      <c r="AE28" s="256"/>
      <c r="AF28" s="256"/>
      <c r="AH28" s="546">
        <f t="shared" si="0"/>
        <v>0</v>
      </c>
      <c r="AI28" s="66">
        <f>N28*$E28</f>
        <v>0</v>
      </c>
      <c r="AL28" s="706" t="str">
        <f t="shared" si="5"/>
        <v>-inverter trifase = 1,5 Kw</v>
      </c>
      <c r="AM28" s="683">
        <f>N28*$F28</f>
        <v>0</v>
      </c>
      <c r="AN28" s="674">
        <f>P28*$E28</f>
        <v>0</v>
      </c>
      <c r="AO28" s="684">
        <f>P28*$F28</f>
        <v>0</v>
      </c>
      <c r="AP28" s="674">
        <f>R28*$E28</f>
        <v>0</v>
      </c>
      <c r="AQ28" s="684">
        <f>R28*$F28</f>
        <v>0</v>
      </c>
      <c r="AR28" s="674">
        <f>T28*$E28</f>
        <v>0</v>
      </c>
      <c r="AS28" s="684">
        <f>T28*$F28</f>
        <v>0</v>
      </c>
      <c r="AT28" s="674">
        <f>V28*$E28</f>
        <v>0</v>
      </c>
      <c r="AU28" s="684">
        <f>V28*$F28</f>
        <v>0</v>
      </c>
      <c r="AV28" s="674">
        <f>X28*$E28</f>
        <v>0</v>
      </c>
      <c r="AW28" s="684">
        <f>X28*$F28</f>
        <v>0</v>
      </c>
      <c r="AX28" s="674">
        <f>Z28*$E28</f>
        <v>0</v>
      </c>
      <c r="AY28" s="684">
        <f>Z28*$F28</f>
        <v>0</v>
      </c>
      <c r="AZ28" s="674">
        <f>AB28*$E28</f>
        <v>0</v>
      </c>
      <c r="BA28" s="684">
        <f>AB28*$F28</f>
        <v>0</v>
      </c>
      <c r="BB28" s="674">
        <f>AD28*$E28</f>
        <v>0</v>
      </c>
      <c r="BC28" s="684">
        <f>AD28*$F28</f>
        <v>0</v>
      </c>
      <c r="BD28" s="674">
        <f>AF28*$E28</f>
        <v>0</v>
      </c>
      <c r="BE28" s="684">
        <f>AF28*$F28</f>
        <v>0</v>
      </c>
      <c r="BF28" s="1">
        <f>N28*$G28</f>
        <v>0</v>
      </c>
      <c r="BG28" s="1">
        <f>P28*$G28</f>
        <v>0</v>
      </c>
      <c r="BH28" s="1">
        <f>R28*$G28</f>
        <v>0</v>
      </c>
      <c r="BI28" s="1">
        <f>T28*$G28</f>
        <v>0</v>
      </c>
      <c r="BJ28" s="1">
        <f>V28*$G28</f>
        <v>0</v>
      </c>
      <c r="BK28" s="1">
        <f>X28*$G28</f>
        <v>0</v>
      </c>
      <c r="BL28" s="1">
        <f>Z28*$G28</f>
        <v>0</v>
      </c>
      <c r="BM28" s="1">
        <f>AB28*$G28</f>
        <v>0</v>
      </c>
      <c r="BN28" s="1">
        <f>AD28*$G28</f>
        <v>0</v>
      </c>
      <c r="BO28" s="69">
        <f>AF28*$G28</f>
        <v>0</v>
      </c>
      <c r="BP28" s="1">
        <f>N28*$H28</f>
        <v>0</v>
      </c>
      <c r="BQ28" s="1">
        <f>P28*$H28</f>
        <v>0</v>
      </c>
      <c r="BR28" s="1">
        <f>R28*$H28</f>
        <v>0</v>
      </c>
      <c r="BS28" s="1">
        <f>T28*$H28</f>
        <v>0</v>
      </c>
      <c r="BT28" s="1">
        <f>V28*$H28</f>
        <v>0</v>
      </c>
      <c r="BU28" s="1">
        <f>X28*$H28</f>
        <v>0</v>
      </c>
      <c r="BV28" s="1">
        <f>Z28*$H28</f>
        <v>0</v>
      </c>
      <c r="BW28" s="1">
        <f>AB28*$H28</f>
        <v>0</v>
      </c>
      <c r="BX28" s="1">
        <f>AD28*$H28</f>
        <v>0</v>
      </c>
      <c r="BY28" s="69">
        <f>AF28*$H28</f>
        <v>0</v>
      </c>
      <c r="BZ28" s="1">
        <f>N28*$I28</f>
        <v>0</v>
      </c>
      <c r="CA28" s="1">
        <f>P28*$I28</f>
        <v>0</v>
      </c>
      <c r="CB28" s="1">
        <f>R28*$I28</f>
        <v>0</v>
      </c>
      <c r="CC28" s="1">
        <f>T28*$I28</f>
        <v>0</v>
      </c>
      <c r="CD28" s="1">
        <f>V28*$I28</f>
        <v>0</v>
      </c>
      <c r="CE28" s="1">
        <f>X28*$I28</f>
        <v>0</v>
      </c>
      <c r="CF28" s="1">
        <f>Z28*$I28</f>
        <v>0</v>
      </c>
      <c r="CG28" s="1">
        <f>AB28*$I28</f>
        <v>0</v>
      </c>
      <c r="CH28" s="1">
        <f>AD28*$I28</f>
        <v>0</v>
      </c>
      <c r="CI28" s="69">
        <f>AF28*$I28</f>
        <v>0</v>
      </c>
      <c r="CJ28" s="1">
        <f>N28*$J28</f>
        <v>0</v>
      </c>
      <c r="CK28" s="1">
        <f>P28*$J28</f>
        <v>0</v>
      </c>
      <c r="CL28" s="1">
        <f>R28*$J28</f>
        <v>0</v>
      </c>
      <c r="CM28" s="1">
        <f>T28*$J28</f>
        <v>0</v>
      </c>
      <c r="CN28" s="1">
        <f>V28*$J28</f>
        <v>0</v>
      </c>
      <c r="CO28" s="1">
        <f>X28*$J28</f>
        <v>0</v>
      </c>
      <c r="CP28" s="1">
        <f>Z28*$J28</f>
        <v>0</v>
      </c>
      <c r="CQ28" s="1">
        <f>AB28*$J28</f>
        <v>0</v>
      </c>
      <c r="CR28" s="1">
        <f>AD28*$J28</f>
        <v>0</v>
      </c>
      <c r="CS28" s="69">
        <f>AF28*$J28</f>
        <v>0</v>
      </c>
      <c r="CT28" s="1">
        <f>N28*$K28</f>
        <v>0</v>
      </c>
      <c r="CU28" s="1">
        <f>P28*$K28</f>
        <v>0</v>
      </c>
      <c r="CV28" s="1">
        <f>R28*$K28</f>
        <v>0</v>
      </c>
      <c r="CW28" s="1">
        <f>T28*$K28</f>
        <v>0</v>
      </c>
      <c r="CX28" s="1">
        <f>V28*$K28</f>
        <v>0</v>
      </c>
      <c r="CY28" s="1">
        <f>X28*$K28</f>
        <v>0</v>
      </c>
      <c r="CZ28" s="1">
        <f>Z28*$K28</f>
        <v>0</v>
      </c>
      <c r="DA28" s="1">
        <f>AB28*$K28</f>
        <v>0</v>
      </c>
      <c r="DB28" s="1">
        <f>AD28*$K28</f>
        <v>0</v>
      </c>
      <c r="DC28" s="69">
        <f>AF28*$K28</f>
        <v>0</v>
      </c>
      <c r="DD28" s="1">
        <f>N28*$L28</f>
        <v>0</v>
      </c>
      <c r="DE28" s="1">
        <f>P28*$L28</f>
        <v>0</v>
      </c>
      <c r="DF28" s="1">
        <f>R28*$L28</f>
        <v>0</v>
      </c>
      <c r="DG28" s="1">
        <f>T28*$L28</f>
        <v>0</v>
      </c>
      <c r="DH28" s="1">
        <f>V28*$L28</f>
        <v>0</v>
      </c>
      <c r="DI28" s="1">
        <f>X28*$L28</f>
        <v>0</v>
      </c>
      <c r="DJ28" s="1">
        <f>Z28*$L28</f>
        <v>0</v>
      </c>
      <c r="DK28" s="1">
        <f>AB28*$L28</f>
        <v>0</v>
      </c>
      <c r="DL28" s="1">
        <f>AD28*$L28</f>
        <v>0</v>
      </c>
      <c r="DM28" s="69">
        <f>AF28*$L28</f>
        <v>0</v>
      </c>
      <c r="DN28" s="1">
        <f>N28*$M28</f>
        <v>0</v>
      </c>
      <c r="DO28" s="1">
        <f>P28*$M28</f>
        <v>0</v>
      </c>
      <c r="DP28" s="1">
        <f>R28*$M28</f>
        <v>0</v>
      </c>
      <c r="DQ28" s="1">
        <f>T28*$M28</f>
        <v>0</v>
      </c>
      <c r="DR28" s="1">
        <f>V28*$M28</f>
        <v>0</v>
      </c>
      <c r="DS28" s="1">
        <f>X28*$M28</f>
        <v>0</v>
      </c>
      <c r="DT28" s="1">
        <f>Z28*$M28</f>
        <v>0</v>
      </c>
      <c r="DU28" s="1">
        <f>AB28*$M28</f>
        <v>0</v>
      </c>
      <c r="DV28" s="1">
        <f>AD28*$M28</f>
        <v>0</v>
      </c>
      <c r="DW28" s="69">
        <f>AF28*$M28</f>
        <v>0</v>
      </c>
      <c r="DX28" s="1">
        <v>2</v>
      </c>
      <c r="DY28" s="69">
        <f t="shared" si="94"/>
        <v>6</v>
      </c>
      <c r="DZ28" s="1">
        <f t="shared" si="1"/>
        <v>0</v>
      </c>
      <c r="EA28" s="1">
        <f t="shared" si="2"/>
        <v>0</v>
      </c>
      <c r="EB28" s="1">
        <f t="shared" si="3"/>
        <v>0</v>
      </c>
      <c r="ED28" s="285">
        <f t="shared" si="4"/>
        <v>0</v>
      </c>
    </row>
    <row r="29" spans="1:134" ht="15" x14ac:dyDescent="0.25">
      <c r="A29" s="208" t="s">
        <v>662</v>
      </c>
      <c r="B29" s="801" t="s">
        <v>2390</v>
      </c>
      <c r="D29" s="646" t="s">
        <v>2340</v>
      </c>
      <c r="E29" s="889">
        <v>3</v>
      </c>
      <c r="F29" s="625">
        <f t="shared" si="6"/>
        <v>0</v>
      </c>
      <c r="G29" s="694"/>
      <c r="H29" s="58"/>
      <c r="I29" s="58"/>
      <c r="J29" s="58">
        <v>2</v>
      </c>
      <c r="K29" s="58">
        <v>1</v>
      </c>
      <c r="L29" s="58"/>
      <c r="M29" s="58">
        <v>1</v>
      </c>
      <c r="N29" s="658"/>
      <c r="O29" s="256"/>
      <c r="P29" s="256"/>
      <c r="Q29" s="256"/>
      <c r="R29" s="255"/>
      <c r="S29" s="256"/>
      <c r="T29" s="256"/>
      <c r="U29" s="256"/>
      <c r="V29" s="255"/>
      <c r="W29" s="256"/>
      <c r="X29" s="256"/>
      <c r="Y29" s="256"/>
      <c r="Z29" s="255"/>
      <c r="AA29" s="256"/>
      <c r="AB29" s="256"/>
      <c r="AC29" s="256"/>
      <c r="AD29" s="255"/>
      <c r="AE29" s="256"/>
      <c r="AF29" s="256"/>
      <c r="AH29" s="546">
        <f t="shared" si="0"/>
        <v>0</v>
      </c>
      <c r="AI29" s="66">
        <f>N29*$E29</f>
        <v>0</v>
      </c>
      <c r="AL29" s="706" t="str">
        <f t="shared" si="5"/>
        <v>-inverter trifase = 3 Kw</v>
      </c>
      <c r="AM29" s="683">
        <f t="shared" si="7"/>
        <v>0</v>
      </c>
      <c r="AN29" s="674">
        <f t="shared" si="8"/>
        <v>0</v>
      </c>
      <c r="AO29" s="684">
        <f t="shared" si="9"/>
        <v>0</v>
      </c>
      <c r="AP29" s="674">
        <f t="shared" si="10"/>
        <v>0</v>
      </c>
      <c r="AQ29" s="684">
        <f t="shared" si="11"/>
        <v>0</v>
      </c>
      <c r="AR29" s="674">
        <f t="shared" si="12"/>
        <v>0</v>
      </c>
      <c r="AS29" s="684">
        <f t="shared" si="13"/>
        <v>0</v>
      </c>
      <c r="AT29" s="674">
        <f t="shared" si="14"/>
        <v>0</v>
      </c>
      <c r="AU29" s="684">
        <f t="shared" si="15"/>
        <v>0</v>
      </c>
      <c r="AV29" s="674">
        <f t="shared" si="16"/>
        <v>0</v>
      </c>
      <c r="AW29" s="684">
        <f t="shared" si="17"/>
        <v>0</v>
      </c>
      <c r="AX29" s="674">
        <f t="shared" si="18"/>
        <v>0</v>
      </c>
      <c r="AY29" s="684">
        <f t="shared" si="19"/>
        <v>0</v>
      </c>
      <c r="AZ29" s="674">
        <f t="shared" si="20"/>
        <v>0</v>
      </c>
      <c r="BA29" s="684">
        <f t="shared" si="21"/>
        <v>0</v>
      </c>
      <c r="BB29" s="674">
        <f t="shared" si="22"/>
        <v>0</v>
      </c>
      <c r="BC29" s="684">
        <f t="shared" si="23"/>
        <v>0</v>
      </c>
      <c r="BD29" s="674">
        <f t="shared" si="24"/>
        <v>0</v>
      </c>
      <c r="BE29" s="684">
        <f>AF29*$F29</f>
        <v>0</v>
      </c>
      <c r="BF29" s="1">
        <f t="shared" si="26"/>
        <v>0</v>
      </c>
      <c r="BG29" s="1">
        <f>P29*$G29</f>
        <v>0</v>
      </c>
      <c r="BH29" s="1">
        <f>R29*$G29</f>
        <v>0</v>
      </c>
      <c r="BI29" s="1">
        <f>T29*$G29</f>
        <v>0</v>
      </c>
      <c r="BJ29" s="1">
        <f>V29*$G29</f>
        <v>0</v>
      </c>
      <c r="BK29" s="1">
        <f>X29*$G29</f>
        <v>0</v>
      </c>
      <c r="BL29" s="1">
        <f>Z29*$G29</f>
        <v>0</v>
      </c>
      <c r="BM29" s="1">
        <f>AB29*$G29</f>
        <v>0</v>
      </c>
      <c r="BN29" s="1">
        <f>AD29*$G29</f>
        <v>0</v>
      </c>
      <c r="BO29" s="69">
        <f>AF29*$G29</f>
        <v>0</v>
      </c>
      <c r="BP29" s="1">
        <f t="shared" si="36"/>
        <v>0</v>
      </c>
      <c r="BQ29" s="1">
        <f>P29*$H29</f>
        <v>0</v>
      </c>
      <c r="BR29" s="1">
        <f>R29*$H29</f>
        <v>0</v>
      </c>
      <c r="BS29" s="1">
        <f>T29*$H29</f>
        <v>0</v>
      </c>
      <c r="BT29" s="1">
        <f>V29*$H29</f>
        <v>0</v>
      </c>
      <c r="BU29" s="1">
        <f>X29*$H29</f>
        <v>0</v>
      </c>
      <c r="BV29" s="1">
        <f>Z29*$H29</f>
        <v>0</v>
      </c>
      <c r="BW29" s="1">
        <f>AB29*$H29</f>
        <v>0</v>
      </c>
      <c r="BX29" s="1">
        <f>AD29*$H29</f>
        <v>0</v>
      </c>
      <c r="BY29" s="69">
        <f>AF29*$H29</f>
        <v>0</v>
      </c>
      <c r="BZ29" s="1">
        <f t="shared" si="46"/>
        <v>0</v>
      </c>
      <c r="CA29" s="1">
        <f>P29*$I29</f>
        <v>0</v>
      </c>
      <c r="CB29" s="1">
        <f>R29*$I29</f>
        <v>0</v>
      </c>
      <c r="CC29" s="1">
        <f>T29*$I29</f>
        <v>0</v>
      </c>
      <c r="CD29" s="1">
        <f>V29*$I29</f>
        <v>0</v>
      </c>
      <c r="CE29" s="1">
        <f>X29*$I29</f>
        <v>0</v>
      </c>
      <c r="CF29" s="1">
        <f>Z29*$I29</f>
        <v>0</v>
      </c>
      <c r="CG29" s="1">
        <f>AB29*$I29</f>
        <v>0</v>
      </c>
      <c r="CH29" s="1">
        <f>AD29*$I29</f>
        <v>0</v>
      </c>
      <c r="CI29" s="69">
        <f>AF29*$I29</f>
        <v>0</v>
      </c>
      <c r="CJ29" s="1">
        <f t="shared" si="56"/>
        <v>0</v>
      </c>
      <c r="CK29" s="1">
        <f t="shared" si="57"/>
        <v>0</v>
      </c>
      <c r="CL29" s="1">
        <f t="shared" si="58"/>
        <v>0</v>
      </c>
      <c r="CM29" s="1">
        <f t="shared" si="59"/>
        <v>0</v>
      </c>
      <c r="CN29" s="1">
        <f t="shared" si="60"/>
        <v>0</v>
      </c>
      <c r="CO29" s="1">
        <f t="shared" si="61"/>
        <v>0</v>
      </c>
      <c r="CP29" s="1">
        <f t="shared" si="62"/>
        <v>0</v>
      </c>
      <c r="CQ29" s="1">
        <f t="shared" si="63"/>
        <v>0</v>
      </c>
      <c r="CR29" s="1">
        <f>AD29*$J29</f>
        <v>0</v>
      </c>
      <c r="CS29" s="69">
        <f>AF29*$J29</f>
        <v>0</v>
      </c>
      <c r="CT29" s="1">
        <f t="shared" si="64"/>
        <v>0</v>
      </c>
      <c r="CU29" s="1">
        <f>P29*$K29</f>
        <v>0</v>
      </c>
      <c r="CV29" s="1">
        <f>R29*$K29</f>
        <v>0</v>
      </c>
      <c r="CW29" s="1">
        <f>T29*$K29</f>
        <v>0</v>
      </c>
      <c r="CX29" s="1">
        <f>V29*$K29</f>
        <v>0</v>
      </c>
      <c r="CY29" s="1">
        <f>X29*$K29</f>
        <v>0</v>
      </c>
      <c r="CZ29" s="1">
        <f>Z29*$K29</f>
        <v>0</v>
      </c>
      <c r="DA29" s="1">
        <f>AB29*$K29</f>
        <v>0</v>
      </c>
      <c r="DB29" s="1">
        <f>AD29*$K29</f>
        <v>0</v>
      </c>
      <c r="DC29" s="69">
        <f>AF29*$K29</f>
        <v>0</v>
      </c>
      <c r="DD29" s="1">
        <f t="shared" si="74"/>
        <v>0</v>
      </c>
      <c r="DE29" s="1">
        <f>P29*$L29</f>
        <v>0</v>
      </c>
      <c r="DF29" s="1">
        <f>R29*$L29</f>
        <v>0</v>
      </c>
      <c r="DG29" s="1">
        <f>T29*$L29</f>
        <v>0</v>
      </c>
      <c r="DH29" s="1">
        <f>V29*$L29</f>
        <v>0</v>
      </c>
      <c r="DI29" s="1">
        <f>X29*$L29</f>
        <v>0</v>
      </c>
      <c r="DJ29" s="1">
        <f>Z29*$L29</f>
        <v>0</v>
      </c>
      <c r="DK29" s="1">
        <f>AB29*$L29</f>
        <v>0</v>
      </c>
      <c r="DL29" s="1">
        <f>AD29*$L29</f>
        <v>0</v>
      </c>
      <c r="DM29" s="69">
        <f>AF29*$L29</f>
        <v>0</v>
      </c>
      <c r="DN29" s="1">
        <f t="shared" si="84"/>
        <v>0</v>
      </c>
      <c r="DO29" s="1">
        <f>P29*$M29</f>
        <v>0</v>
      </c>
      <c r="DP29" s="1">
        <f>R29*$M29</f>
        <v>0</v>
      </c>
      <c r="DQ29" s="1">
        <f>T29*$M29</f>
        <v>0</v>
      </c>
      <c r="DR29" s="1">
        <f>V29*$M29</f>
        <v>0</v>
      </c>
      <c r="DS29" s="1">
        <f>X29*$M29</f>
        <v>0</v>
      </c>
      <c r="DT29" s="1">
        <f>Z29*$M29</f>
        <v>0</v>
      </c>
      <c r="DU29" s="1">
        <f>AB29*$M29</f>
        <v>0</v>
      </c>
      <c r="DV29" s="1">
        <f>AD29*$M29</f>
        <v>0</v>
      </c>
      <c r="DW29" s="69">
        <f>AF29*$M29</f>
        <v>0</v>
      </c>
      <c r="DX29" s="1">
        <v>1</v>
      </c>
      <c r="DY29" s="69">
        <f t="shared" si="94"/>
        <v>7</v>
      </c>
      <c r="DZ29" s="1">
        <f t="shared" si="1"/>
        <v>0</v>
      </c>
      <c r="EA29" s="1">
        <f t="shared" si="2"/>
        <v>0</v>
      </c>
      <c r="EB29" s="1">
        <f t="shared" si="3"/>
        <v>0</v>
      </c>
      <c r="ED29" s="285">
        <f t="shared" si="4"/>
        <v>0</v>
      </c>
    </row>
    <row r="30" spans="1:134" x14ac:dyDescent="0.2">
      <c r="A30" s="208" t="s">
        <v>662</v>
      </c>
      <c r="B30" s="802" t="s">
        <v>514</v>
      </c>
      <c r="C30" s="194" t="s">
        <v>871</v>
      </c>
      <c r="D30" s="644" t="s">
        <v>563</v>
      </c>
      <c r="E30" s="889">
        <v>1.5</v>
      </c>
      <c r="F30" s="625">
        <f t="shared" si="6"/>
        <v>154.36299</v>
      </c>
      <c r="G30" s="694"/>
      <c r="H30" s="58"/>
      <c r="I30" s="58"/>
      <c r="J30" s="58">
        <v>1</v>
      </c>
      <c r="K30" s="58">
        <v>1</v>
      </c>
      <c r="L30" s="58"/>
      <c r="M30" s="58"/>
      <c r="N30" s="658"/>
      <c r="O30" s="256"/>
      <c r="P30" s="256"/>
      <c r="Q30" s="256"/>
      <c r="R30" s="255"/>
      <c r="S30" s="256"/>
      <c r="T30" s="256"/>
      <c r="U30" s="256"/>
      <c r="V30" s="255"/>
      <c r="W30" s="256"/>
      <c r="X30" s="256"/>
      <c r="Y30" s="256"/>
      <c r="Z30" s="255"/>
      <c r="AA30" s="256"/>
      <c r="AB30" s="256"/>
      <c r="AC30" s="256"/>
      <c r="AD30" s="255"/>
      <c r="AE30" s="256"/>
      <c r="AF30" s="256"/>
      <c r="AH30" s="546">
        <f t="shared" si="0"/>
        <v>0</v>
      </c>
      <c r="AI30" s="66">
        <f t="shared" si="95"/>
        <v>0</v>
      </c>
      <c r="AL30" s="706" t="str">
        <f t="shared" si="5"/>
        <v>-motore &lt;0,25 e &lt;3 Kw</v>
      </c>
      <c r="AM30" s="683">
        <f t="shared" si="7"/>
        <v>0</v>
      </c>
      <c r="AN30" s="674">
        <f t="shared" si="8"/>
        <v>0</v>
      </c>
      <c r="AO30" s="684">
        <f t="shared" si="9"/>
        <v>0</v>
      </c>
      <c r="AP30" s="674">
        <f t="shared" si="10"/>
        <v>0</v>
      </c>
      <c r="AQ30" s="684">
        <f t="shared" si="11"/>
        <v>0</v>
      </c>
      <c r="AR30" s="674">
        <f t="shared" si="12"/>
        <v>0</v>
      </c>
      <c r="AS30" s="684">
        <f t="shared" si="13"/>
        <v>0</v>
      </c>
      <c r="AT30" s="674">
        <f t="shared" si="14"/>
        <v>0</v>
      </c>
      <c r="AU30" s="684">
        <f t="shared" si="15"/>
        <v>0</v>
      </c>
      <c r="AV30" s="674">
        <f t="shared" si="16"/>
        <v>0</v>
      </c>
      <c r="AW30" s="684">
        <f t="shared" si="17"/>
        <v>0</v>
      </c>
      <c r="AX30" s="674">
        <f t="shared" si="18"/>
        <v>0</v>
      </c>
      <c r="AY30" s="684">
        <f t="shared" si="19"/>
        <v>0</v>
      </c>
      <c r="AZ30" s="674">
        <f t="shared" si="20"/>
        <v>0</v>
      </c>
      <c r="BA30" s="684">
        <f t="shared" si="21"/>
        <v>0</v>
      </c>
      <c r="BB30" s="674">
        <f t="shared" si="22"/>
        <v>0</v>
      </c>
      <c r="BC30" s="684">
        <f t="shared" si="23"/>
        <v>0</v>
      </c>
      <c r="BD30" s="674">
        <f t="shared" si="24"/>
        <v>0</v>
      </c>
      <c r="BE30" s="684">
        <f t="shared" si="25"/>
        <v>0</v>
      </c>
      <c r="BF30" s="1">
        <f t="shared" si="26"/>
        <v>0</v>
      </c>
      <c r="BG30" s="1">
        <f t="shared" si="27"/>
        <v>0</v>
      </c>
      <c r="BH30" s="1">
        <f t="shared" si="28"/>
        <v>0</v>
      </c>
      <c r="BI30" s="1">
        <f t="shared" si="29"/>
        <v>0</v>
      </c>
      <c r="BJ30" s="1">
        <f t="shared" si="30"/>
        <v>0</v>
      </c>
      <c r="BK30" s="1">
        <f t="shared" si="31"/>
        <v>0</v>
      </c>
      <c r="BL30" s="1">
        <f t="shared" si="32"/>
        <v>0</v>
      </c>
      <c r="BM30" s="1">
        <f t="shared" si="33"/>
        <v>0</v>
      </c>
      <c r="BN30" s="1">
        <f t="shared" si="34"/>
        <v>0</v>
      </c>
      <c r="BO30" s="69">
        <f t="shared" si="35"/>
        <v>0</v>
      </c>
      <c r="BP30" s="1">
        <f t="shared" si="36"/>
        <v>0</v>
      </c>
      <c r="BQ30" s="1">
        <f t="shared" si="37"/>
        <v>0</v>
      </c>
      <c r="BR30" s="1">
        <f t="shared" si="38"/>
        <v>0</v>
      </c>
      <c r="BS30" s="1">
        <f t="shared" si="39"/>
        <v>0</v>
      </c>
      <c r="BT30" s="1">
        <f t="shared" si="40"/>
        <v>0</v>
      </c>
      <c r="BU30" s="1">
        <f t="shared" si="41"/>
        <v>0</v>
      </c>
      <c r="BV30" s="1">
        <f t="shared" si="42"/>
        <v>0</v>
      </c>
      <c r="BW30" s="1">
        <f t="shared" si="43"/>
        <v>0</v>
      </c>
      <c r="BX30" s="1">
        <f t="shared" si="44"/>
        <v>0</v>
      </c>
      <c r="BY30" s="69">
        <f t="shared" si="45"/>
        <v>0</v>
      </c>
      <c r="BZ30" s="1">
        <f t="shared" si="46"/>
        <v>0</v>
      </c>
      <c r="CA30" s="1">
        <f t="shared" si="47"/>
        <v>0</v>
      </c>
      <c r="CB30" s="1">
        <f t="shared" si="48"/>
        <v>0</v>
      </c>
      <c r="CC30" s="1">
        <f t="shared" si="49"/>
        <v>0</v>
      </c>
      <c r="CD30" s="1">
        <f t="shared" si="50"/>
        <v>0</v>
      </c>
      <c r="CE30" s="1">
        <f t="shared" si="51"/>
        <v>0</v>
      </c>
      <c r="CF30" s="1">
        <f t="shared" si="52"/>
        <v>0</v>
      </c>
      <c r="CG30" s="1">
        <f t="shared" si="53"/>
        <v>0</v>
      </c>
      <c r="CH30" s="1">
        <f t="shared" si="54"/>
        <v>0</v>
      </c>
      <c r="CI30" s="69">
        <f t="shared" si="55"/>
        <v>0</v>
      </c>
      <c r="CJ30" s="1">
        <f t="shared" si="56"/>
        <v>0</v>
      </c>
      <c r="CK30" s="1">
        <f t="shared" si="57"/>
        <v>0</v>
      </c>
      <c r="CL30" s="1">
        <f t="shared" si="58"/>
        <v>0</v>
      </c>
      <c r="CM30" s="1">
        <f t="shared" si="59"/>
        <v>0</v>
      </c>
      <c r="CN30" s="1">
        <f t="shared" si="60"/>
        <v>0</v>
      </c>
      <c r="CO30" s="1">
        <f t="shared" si="61"/>
        <v>0</v>
      </c>
      <c r="CP30" s="1">
        <f t="shared" si="62"/>
        <v>0</v>
      </c>
      <c r="CQ30" s="1">
        <f t="shared" si="63"/>
        <v>0</v>
      </c>
      <c r="CR30" s="1">
        <f t="shared" ref="CR30:CR38" si="96">AD30*$J30</f>
        <v>0</v>
      </c>
      <c r="CS30" s="69">
        <f t="shared" ref="CS30:CS38" si="97">AF30*$J30</f>
        <v>0</v>
      </c>
      <c r="CT30" s="1">
        <f t="shared" si="64"/>
        <v>0</v>
      </c>
      <c r="CU30" s="1">
        <f t="shared" si="65"/>
        <v>0</v>
      </c>
      <c r="CV30" s="1">
        <f t="shared" si="66"/>
        <v>0</v>
      </c>
      <c r="CW30" s="1">
        <f t="shared" si="67"/>
        <v>0</v>
      </c>
      <c r="CX30" s="1">
        <f t="shared" si="68"/>
        <v>0</v>
      </c>
      <c r="CY30" s="1">
        <f t="shared" si="69"/>
        <v>0</v>
      </c>
      <c r="CZ30" s="1">
        <f t="shared" si="70"/>
        <v>0</v>
      </c>
      <c r="DA30" s="1">
        <f t="shared" si="71"/>
        <v>0</v>
      </c>
      <c r="DB30" s="1">
        <f t="shared" si="72"/>
        <v>0</v>
      </c>
      <c r="DC30" s="69">
        <f t="shared" si="73"/>
        <v>0</v>
      </c>
      <c r="DD30" s="1">
        <f t="shared" si="74"/>
        <v>0</v>
      </c>
      <c r="DE30" s="1">
        <f t="shared" si="75"/>
        <v>0</v>
      </c>
      <c r="DF30" s="1">
        <f t="shared" si="76"/>
        <v>0</v>
      </c>
      <c r="DG30" s="1">
        <f t="shared" si="77"/>
        <v>0</v>
      </c>
      <c r="DH30" s="1">
        <f t="shared" si="78"/>
        <v>0</v>
      </c>
      <c r="DI30" s="1">
        <f t="shared" si="79"/>
        <v>0</v>
      </c>
      <c r="DJ30" s="1">
        <f t="shared" si="80"/>
        <v>0</v>
      </c>
      <c r="DK30" s="1">
        <f t="shared" si="81"/>
        <v>0</v>
      </c>
      <c r="DL30" s="1">
        <f t="shared" si="82"/>
        <v>0</v>
      </c>
      <c r="DM30" s="69">
        <f t="shared" si="83"/>
        <v>0</v>
      </c>
      <c r="DN30" s="1">
        <f t="shared" si="84"/>
        <v>0</v>
      </c>
      <c r="DO30" s="1">
        <f t="shared" si="85"/>
        <v>0</v>
      </c>
      <c r="DP30" s="1">
        <f t="shared" si="86"/>
        <v>0</v>
      </c>
      <c r="DQ30" s="1">
        <f t="shared" si="87"/>
        <v>0</v>
      </c>
      <c r="DR30" s="1">
        <f t="shared" si="88"/>
        <v>0</v>
      </c>
      <c r="DS30" s="1">
        <f t="shared" si="89"/>
        <v>0</v>
      </c>
      <c r="DT30" s="1">
        <f t="shared" si="90"/>
        <v>0</v>
      </c>
      <c r="DU30" s="1">
        <f t="shared" si="91"/>
        <v>0</v>
      </c>
      <c r="DV30" s="1">
        <f t="shared" si="92"/>
        <v>0</v>
      </c>
      <c r="DW30" s="69">
        <f t="shared" si="93"/>
        <v>0</v>
      </c>
      <c r="DX30" s="1">
        <v>1</v>
      </c>
      <c r="DY30" s="69">
        <f t="shared" si="94"/>
        <v>8</v>
      </c>
      <c r="DZ30" s="1">
        <f t="shared" si="1"/>
        <v>0</v>
      </c>
      <c r="EA30" s="1">
        <f t="shared" si="2"/>
        <v>0</v>
      </c>
      <c r="EB30" s="1">
        <f t="shared" si="3"/>
        <v>0</v>
      </c>
      <c r="ED30" s="285">
        <f t="shared" si="4"/>
        <v>0</v>
      </c>
    </row>
    <row r="31" spans="1:134" x14ac:dyDescent="0.2">
      <c r="A31" s="208" t="s">
        <v>662</v>
      </c>
      <c r="B31" s="803" t="s">
        <v>2366</v>
      </c>
      <c r="C31" s="192" t="s">
        <v>871</v>
      </c>
      <c r="D31" s="335" t="s">
        <v>563</v>
      </c>
      <c r="E31" s="889">
        <v>0.55000000000000004</v>
      </c>
      <c r="F31" s="625">
        <f t="shared" si="6"/>
        <v>154.36299</v>
      </c>
      <c r="G31" s="694"/>
      <c r="H31" s="58"/>
      <c r="I31" s="58"/>
      <c r="J31" s="58">
        <v>1</v>
      </c>
      <c r="K31" s="58">
        <v>1</v>
      </c>
      <c r="L31" s="58"/>
      <c r="M31" s="58"/>
      <c r="N31" s="658"/>
      <c r="O31" s="256"/>
      <c r="P31" s="256"/>
      <c r="Q31" s="256"/>
      <c r="R31" s="255"/>
      <c r="S31" s="256"/>
      <c r="T31" s="256"/>
      <c r="U31" s="256"/>
      <c r="V31" s="255"/>
      <c r="W31" s="256"/>
      <c r="X31" s="256"/>
      <c r="Y31" s="256"/>
      <c r="Z31" s="255"/>
      <c r="AA31" s="256"/>
      <c r="AB31" s="256"/>
      <c r="AC31" s="256"/>
      <c r="AD31" s="255"/>
      <c r="AE31" s="256"/>
      <c r="AF31" s="256"/>
      <c r="AH31" s="546">
        <f t="shared" si="0"/>
        <v>0</v>
      </c>
      <c r="AI31" s="66">
        <f t="shared" si="95"/>
        <v>0</v>
      </c>
      <c r="AL31" s="706" t="str">
        <f t="shared" si="5"/>
        <v>-motore &lt;0,25 e &lt;3 Kw</v>
      </c>
      <c r="AM31" s="683">
        <f t="shared" si="7"/>
        <v>0</v>
      </c>
      <c r="AN31" s="674">
        <f t="shared" si="8"/>
        <v>0</v>
      </c>
      <c r="AO31" s="684">
        <f t="shared" si="9"/>
        <v>0</v>
      </c>
      <c r="AP31" s="674">
        <f t="shared" si="10"/>
        <v>0</v>
      </c>
      <c r="AQ31" s="684">
        <f t="shared" si="11"/>
        <v>0</v>
      </c>
      <c r="AR31" s="674">
        <f t="shared" si="12"/>
        <v>0</v>
      </c>
      <c r="AS31" s="684">
        <f t="shared" si="13"/>
        <v>0</v>
      </c>
      <c r="AT31" s="674">
        <f t="shared" si="14"/>
        <v>0</v>
      </c>
      <c r="AU31" s="684">
        <f t="shared" si="15"/>
        <v>0</v>
      </c>
      <c r="AV31" s="674">
        <f t="shared" si="16"/>
        <v>0</v>
      </c>
      <c r="AW31" s="684">
        <f t="shared" si="17"/>
        <v>0</v>
      </c>
      <c r="AX31" s="674">
        <f t="shared" si="18"/>
        <v>0</v>
      </c>
      <c r="AY31" s="684">
        <f t="shared" si="19"/>
        <v>0</v>
      </c>
      <c r="AZ31" s="674">
        <f t="shared" si="20"/>
        <v>0</v>
      </c>
      <c r="BA31" s="684">
        <f t="shared" si="21"/>
        <v>0</v>
      </c>
      <c r="BB31" s="674">
        <f t="shared" si="22"/>
        <v>0</v>
      </c>
      <c r="BC31" s="684">
        <f t="shared" si="23"/>
        <v>0</v>
      </c>
      <c r="BD31" s="674">
        <f t="shared" si="24"/>
        <v>0</v>
      </c>
      <c r="BE31" s="684">
        <f t="shared" si="25"/>
        <v>0</v>
      </c>
      <c r="BF31" s="1">
        <f t="shared" si="26"/>
        <v>0</v>
      </c>
      <c r="BG31" s="1">
        <f t="shared" si="27"/>
        <v>0</v>
      </c>
      <c r="BH31" s="1">
        <f t="shared" si="28"/>
        <v>0</v>
      </c>
      <c r="BI31" s="1">
        <f t="shared" si="29"/>
        <v>0</v>
      </c>
      <c r="BJ31" s="1">
        <f t="shared" si="30"/>
        <v>0</v>
      </c>
      <c r="BK31" s="1">
        <f t="shared" si="31"/>
        <v>0</v>
      </c>
      <c r="BL31" s="1">
        <f t="shared" si="32"/>
        <v>0</v>
      </c>
      <c r="BM31" s="1">
        <f t="shared" si="33"/>
        <v>0</v>
      </c>
      <c r="BN31" s="1">
        <f t="shared" si="34"/>
        <v>0</v>
      </c>
      <c r="BO31" s="69">
        <f t="shared" si="35"/>
        <v>0</v>
      </c>
      <c r="BP31" s="1">
        <f t="shared" si="36"/>
        <v>0</v>
      </c>
      <c r="BQ31" s="1">
        <f t="shared" si="37"/>
        <v>0</v>
      </c>
      <c r="BR31" s="1">
        <f t="shared" si="38"/>
        <v>0</v>
      </c>
      <c r="BS31" s="1">
        <f t="shared" si="39"/>
        <v>0</v>
      </c>
      <c r="BT31" s="1">
        <f t="shared" si="40"/>
        <v>0</v>
      </c>
      <c r="BU31" s="1">
        <f t="shared" si="41"/>
        <v>0</v>
      </c>
      <c r="BV31" s="1">
        <f t="shared" si="42"/>
        <v>0</v>
      </c>
      <c r="BW31" s="1">
        <f t="shared" si="43"/>
        <v>0</v>
      </c>
      <c r="BX31" s="1">
        <f t="shared" si="44"/>
        <v>0</v>
      </c>
      <c r="BY31" s="69">
        <f t="shared" si="45"/>
        <v>0</v>
      </c>
      <c r="BZ31" s="1">
        <f t="shared" si="46"/>
        <v>0</v>
      </c>
      <c r="CA31" s="1">
        <f t="shared" si="47"/>
        <v>0</v>
      </c>
      <c r="CB31" s="1">
        <f t="shared" si="48"/>
        <v>0</v>
      </c>
      <c r="CC31" s="1">
        <f t="shared" si="49"/>
        <v>0</v>
      </c>
      <c r="CD31" s="1">
        <f t="shared" si="50"/>
        <v>0</v>
      </c>
      <c r="CE31" s="1">
        <f t="shared" si="51"/>
        <v>0</v>
      </c>
      <c r="CF31" s="1">
        <f t="shared" si="52"/>
        <v>0</v>
      </c>
      <c r="CG31" s="1">
        <f t="shared" si="53"/>
        <v>0</v>
      </c>
      <c r="CH31" s="1">
        <f t="shared" si="54"/>
        <v>0</v>
      </c>
      <c r="CI31" s="69">
        <f t="shared" si="55"/>
        <v>0</v>
      </c>
      <c r="CJ31" s="1">
        <f t="shared" si="56"/>
        <v>0</v>
      </c>
      <c r="CK31" s="1">
        <f t="shared" si="57"/>
        <v>0</v>
      </c>
      <c r="CL31" s="1">
        <f t="shared" si="58"/>
        <v>0</v>
      </c>
      <c r="CM31" s="1">
        <f t="shared" si="59"/>
        <v>0</v>
      </c>
      <c r="CN31" s="1">
        <f t="shared" si="60"/>
        <v>0</v>
      </c>
      <c r="CO31" s="1">
        <f t="shared" si="61"/>
        <v>0</v>
      </c>
      <c r="CP31" s="1">
        <f t="shared" si="62"/>
        <v>0</v>
      </c>
      <c r="CQ31" s="1">
        <f t="shared" si="63"/>
        <v>0</v>
      </c>
      <c r="CR31" s="1">
        <f t="shared" si="96"/>
        <v>0</v>
      </c>
      <c r="CS31" s="69">
        <f t="shared" si="97"/>
        <v>0</v>
      </c>
      <c r="CT31" s="1">
        <f t="shared" si="64"/>
        <v>0</v>
      </c>
      <c r="CU31" s="1">
        <f t="shared" si="65"/>
        <v>0</v>
      </c>
      <c r="CV31" s="1">
        <f t="shared" si="66"/>
        <v>0</v>
      </c>
      <c r="CW31" s="1">
        <f t="shared" si="67"/>
        <v>0</v>
      </c>
      <c r="CX31" s="1">
        <f t="shared" si="68"/>
        <v>0</v>
      </c>
      <c r="CY31" s="1">
        <f t="shared" si="69"/>
        <v>0</v>
      </c>
      <c r="CZ31" s="1">
        <f t="shared" si="70"/>
        <v>0</v>
      </c>
      <c r="DA31" s="1">
        <f t="shared" si="71"/>
        <v>0</v>
      </c>
      <c r="DB31" s="1">
        <f t="shared" si="72"/>
        <v>0</v>
      </c>
      <c r="DC31" s="69">
        <f t="shared" si="73"/>
        <v>0</v>
      </c>
      <c r="DD31" s="1">
        <f t="shared" si="74"/>
        <v>0</v>
      </c>
      <c r="DE31" s="1">
        <f t="shared" si="75"/>
        <v>0</v>
      </c>
      <c r="DF31" s="1">
        <f t="shared" si="76"/>
        <v>0</v>
      </c>
      <c r="DG31" s="1">
        <f t="shared" si="77"/>
        <v>0</v>
      </c>
      <c r="DH31" s="1">
        <f t="shared" si="78"/>
        <v>0</v>
      </c>
      <c r="DI31" s="1">
        <f t="shared" si="79"/>
        <v>0</v>
      </c>
      <c r="DJ31" s="1">
        <f t="shared" si="80"/>
        <v>0</v>
      </c>
      <c r="DK31" s="1">
        <f t="shared" si="81"/>
        <v>0</v>
      </c>
      <c r="DL31" s="1">
        <f t="shared" si="82"/>
        <v>0</v>
      </c>
      <c r="DM31" s="69">
        <f t="shared" si="83"/>
        <v>0</v>
      </c>
      <c r="DN31" s="1">
        <f t="shared" si="84"/>
        <v>0</v>
      </c>
      <c r="DO31" s="1">
        <f t="shared" si="85"/>
        <v>0</v>
      </c>
      <c r="DP31" s="1">
        <f t="shared" si="86"/>
        <v>0</v>
      </c>
      <c r="DQ31" s="1">
        <f t="shared" si="87"/>
        <v>0</v>
      </c>
      <c r="DR31" s="1">
        <f t="shared" si="88"/>
        <v>0</v>
      </c>
      <c r="DS31" s="1">
        <f t="shared" si="89"/>
        <v>0</v>
      </c>
      <c r="DT31" s="1">
        <f t="shared" si="90"/>
        <v>0</v>
      </c>
      <c r="DU31" s="1">
        <f t="shared" si="91"/>
        <v>0</v>
      </c>
      <c r="DV31" s="1">
        <f t="shared" si="92"/>
        <v>0</v>
      </c>
      <c r="DW31" s="69">
        <f t="shared" si="93"/>
        <v>0</v>
      </c>
      <c r="DX31" s="1">
        <v>1</v>
      </c>
      <c r="DY31" s="69">
        <f t="shared" si="94"/>
        <v>9</v>
      </c>
      <c r="DZ31" s="1">
        <f t="shared" si="1"/>
        <v>0</v>
      </c>
      <c r="EA31" s="1">
        <f t="shared" si="2"/>
        <v>0</v>
      </c>
      <c r="EB31" s="1">
        <f t="shared" si="3"/>
        <v>0</v>
      </c>
      <c r="ED31" s="285">
        <f t="shared" si="4"/>
        <v>0</v>
      </c>
    </row>
    <row r="32" spans="1:134" x14ac:dyDescent="0.2">
      <c r="A32" s="208" t="s">
        <v>662</v>
      </c>
      <c r="B32" s="802" t="s">
        <v>1017</v>
      </c>
      <c r="C32" s="194" t="s">
        <v>872</v>
      </c>
      <c r="D32" s="646" t="s">
        <v>1272</v>
      </c>
      <c r="E32" s="889"/>
      <c r="F32" s="618">
        <f>VLOOKUP(D32,prezzi,5,)*K32</f>
        <v>8.6243999999999996</v>
      </c>
      <c r="G32" s="694"/>
      <c r="H32" s="58"/>
      <c r="I32" s="58"/>
      <c r="J32" s="58"/>
      <c r="K32" s="58">
        <v>1</v>
      </c>
      <c r="L32" s="58"/>
      <c r="M32" s="58"/>
      <c r="N32" s="658"/>
      <c r="O32" s="256"/>
      <c r="P32" s="256"/>
      <c r="Q32" s="256"/>
      <c r="R32" s="255"/>
      <c r="S32" s="256"/>
      <c r="T32" s="256"/>
      <c r="U32" s="256"/>
      <c r="V32" s="255"/>
      <c r="W32" s="256"/>
      <c r="X32" s="256"/>
      <c r="Y32" s="256"/>
      <c r="Z32" s="255"/>
      <c r="AA32" s="256"/>
      <c r="AB32" s="256"/>
      <c r="AC32" s="256"/>
      <c r="AD32" s="255"/>
      <c r="AE32" s="256"/>
      <c r="AF32" s="256"/>
      <c r="AH32" s="546">
        <f t="shared" si="0"/>
        <v>0</v>
      </c>
      <c r="AI32" s="66">
        <f t="shared" ref="AI32:AI38" si="98">N32*$E32</f>
        <v>0</v>
      </c>
      <c r="AL32" s="706" t="str">
        <f t="shared" si="5"/>
        <v>-elettrovalvole fluidifcazione</v>
      </c>
      <c r="AM32" s="683">
        <f t="shared" si="7"/>
        <v>0</v>
      </c>
      <c r="AN32" s="674">
        <f t="shared" si="8"/>
        <v>0</v>
      </c>
      <c r="AO32" s="684">
        <f t="shared" si="9"/>
        <v>0</v>
      </c>
      <c r="AP32" s="674">
        <f t="shared" si="10"/>
        <v>0</v>
      </c>
      <c r="AQ32" s="684">
        <f t="shared" si="11"/>
        <v>0</v>
      </c>
      <c r="AR32" s="674">
        <f t="shared" si="12"/>
        <v>0</v>
      </c>
      <c r="AS32" s="684">
        <f t="shared" si="13"/>
        <v>0</v>
      </c>
      <c r="AT32" s="674">
        <f t="shared" si="14"/>
        <v>0</v>
      </c>
      <c r="AU32" s="684">
        <f t="shared" si="15"/>
        <v>0</v>
      </c>
      <c r="AV32" s="674">
        <f t="shared" si="16"/>
        <v>0</v>
      </c>
      <c r="AW32" s="684">
        <f t="shared" si="17"/>
        <v>0</v>
      </c>
      <c r="AX32" s="674">
        <f t="shared" si="18"/>
        <v>0</v>
      </c>
      <c r="AY32" s="684">
        <f t="shared" si="19"/>
        <v>0</v>
      </c>
      <c r="AZ32" s="674">
        <f t="shared" si="20"/>
        <v>0</v>
      </c>
      <c r="BA32" s="684">
        <f t="shared" si="21"/>
        <v>0</v>
      </c>
      <c r="BB32" s="674">
        <f t="shared" si="22"/>
        <v>0</v>
      </c>
      <c r="BC32" s="684">
        <f t="shared" si="23"/>
        <v>0</v>
      </c>
      <c r="BD32" s="674">
        <f t="shared" si="24"/>
        <v>0</v>
      </c>
      <c r="BE32" s="684">
        <f t="shared" si="25"/>
        <v>0</v>
      </c>
      <c r="BF32" s="1">
        <f t="shared" si="26"/>
        <v>0</v>
      </c>
      <c r="BG32" s="1">
        <f t="shared" si="27"/>
        <v>0</v>
      </c>
      <c r="BH32" s="1">
        <f t="shared" si="28"/>
        <v>0</v>
      </c>
      <c r="BI32" s="1">
        <f t="shared" si="29"/>
        <v>0</v>
      </c>
      <c r="BJ32" s="1">
        <f t="shared" si="30"/>
        <v>0</v>
      </c>
      <c r="BK32" s="1">
        <f t="shared" si="31"/>
        <v>0</v>
      </c>
      <c r="BL32" s="1">
        <f t="shared" si="32"/>
        <v>0</v>
      </c>
      <c r="BM32" s="1">
        <f t="shared" si="33"/>
        <v>0</v>
      </c>
      <c r="BN32" s="1">
        <f t="shared" si="34"/>
        <v>0</v>
      </c>
      <c r="BO32" s="69">
        <f t="shared" si="35"/>
        <v>0</v>
      </c>
      <c r="BP32" s="1">
        <f t="shared" si="36"/>
        <v>0</v>
      </c>
      <c r="BQ32" s="1">
        <f t="shared" si="37"/>
        <v>0</v>
      </c>
      <c r="BR32" s="1">
        <f t="shared" si="38"/>
        <v>0</v>
      </c>
      <c r="BS32" s="1">
        <f t="shared" si="39"/>
        <v>0</v>
      </c>
      <c r="BT32" s="1">
        <f t="shared" si="40"/>
        <v>0</v>
      </c>
      <c r="BU32" s="1">
        <f t="shared" si="41"/>
        <v>0</v>
      </c>
      <c r="BV32" s="1">
        <f t="shared" si="42"/>
        <v>0</v>
      </c>
      <c r="BW32" s="1">
        <f t="shared" si="43"/>
        <v>0</v>
      </c>
      <c r="BX32" s="1">
        <f t="shared" si="44"/>
        <v>0</v>
      </c>
      <c r="BY32" s="69">
        <f t="shared" si="45"/>
        <v>0</v>
      </c>
      <c r="BZ32" s="1">
        <f t="shared" si="46"/>
        <v>0</v>
      </c>
      <c r="CA32" s="1">
        <f t="shared" si="47"/>
        <v>0</v>
      </c>
      <c r="CB32" s="1">
        <f t="shared" si="48"/>
        <v>0</v>
      </c>
      <c r="CC32" s="1">
        <f t="shared" si="49"/>
        <v>0</v>
      </c>
      <c r="CD32" s="1">
        <f t="shared" si="50"/>
        <v>0</v>
      </c>
      <c r="CE32" s="1">
        <f t="shared" si="51"/>
        <v>0</v>
      </c>
      <c r="CF32" s="1">
        <f t="shared" si="52"/>
        <v>0</v>
      </c>
      <c r="CG32" s="1">
        <f t="shared" si="53"/>
        <v>0</v>
      </c>
      <c r="CH32" s="1">
        <f t="shared" si="54"/>
        <v>0</v>
      </c>
      <c r="CI32" s="69">
        <f t="shared" si="55"/>
        <v>0</v>
      </c>
      <c r="CJ32" s="1">
        <f t="shared" si="56"/>
        <v>0</v>
      </c>
      <c r="CK32" s="1">
        <f t="shared" si="57"/>
        <v>0</v>
      </c>
      <c r="CL32" s="1">
        <f t="shared" si="58"/>
        <v>0</v>
      </c>
      <c r="CM32" s="1">
        <f t="shared" si="59"/>
        <v>0</v>
      </c>
      <c r="CN32" s="1">
        <f t="shared" si="60"/>
        <v>0</v>
      </c>
      <c r="CO32" s="1">
        <f t="shared" si="61"/>
        <v>0</v>
      </c>
      <c r="CP32" s="1">
        <f t="shared" si="62"/>
        <v>0</v>
      </c>
      <c r="CQ32" s="1">
        <f t="shared" si="63"/>
        <v>0</v>
      </c>
      <c r="CR32" s="1">
        <f t="shared" si="96"/>
        <v>0</v>
      </c>
      <c r="CS32" s="69">
        <f t="shared" si="97"/>
        <v>0</v>
      </c>
      <c r="CT32" s="1">
        <f t="shared" si="64"/>
        <v>0</v>
      </c>
      <c r="CU32" s="1">
        <f t="shared" si="65"/>
        <v>0</v>
      </c>
      <c r="CV32" s="1">
        <f t="shared" si="66"/>
        <v>0</v>
      </c>
      <c r="CW32" s="1">
        <f t="shared" si="67"/>
        <v>0</v>
      </c>
      <c r="CX32" s="1">
        <f t="shared" si="68"/>
        <v>0</v>
      </c>
      <c r="CY32" s="1">
        <f t="shared" si="69"/>
        <v>0</v>
      </c>
      <c r="CZ32" s="1">
        <f t="shared" si="70"/>
        <v>0</v>
      </c>
      <c r="DA32" s="1">
        <f t="shared" si="71"/>
        <v>0</v>
      </c>
      <c r="DB32" s="1">
        <f t="shared" si="72"/>
        <v>0</v>
      </c>
      <c r="DC32" s="69">
        <f t="shared" si="73"/>
        <v>0</v>
      </c>
      <c r="DD32" s="1">
        <f t="shared" si="74"/>
        <v>0</v>
      </c>
      <c r="DE32" s="1">
        <f t="shared" si="75"/>
        <v>0</v>
      </c>
      <c r="DF32" s="1">
        <f t="shared" si="76"/>
        <v>0</v>
      </c>
      <c r="DG32" s="1">
        <f t="shared" si="77"/>
        <v>0</v>
      </c>
      <c r="DH32" s="1">
        <f t="shared" si="78"/>
        <v>0</v>
      </c>
      <c r="DI32" s="1">
        <f t="shared" si="79"/>
        <v>0</v>
      </c>
      <c r="DJ32" s="1">
        <f t="shared" si="80"/>
        <v>0</v>
      </c>
      <c r="DK32" s="1">
        <f t="shared" si="81"/>
        <v>0</v>
      </c>
      <c r="DL32" s="1">
        <f t="shared" si="82"/>
        <v>0</v>
      </c>
      <c r="DM32" s="69">
        <f t="shared" si="83"/>
        <v>0</v>
      </c>
      <c r="DN32" s="1">
        <f t="shared" si="84"/>
        <v>0</v>
      </c>
      <c r="DO32" s="1">
        <f t="shared" si="85"/>
        <v>0</v>
      </c>
      <c r="DP32" s="1">
        <f t="shared" si="86"/>
        <v>0</v>
      </c>
      <c r="DQ32" s="1">
        <f t="shared" si="87"/>
        <v>0</v>
      </c>
      <c r="DR32" s="1">
        <f t="shared" si="88"/>
        <v>0</v>
      </c>
      <c r="DS32" s="1">
        <f t="shared" si="89"/>
        <v>0</v>
      </c>
      <c r="DT32" s="1">
        <f t="shared" si="90"/>
        <v>0</v>
      </c>
      <c r="DU32" s="1">
        <f t="shared" si="91"/>
        <v>0</v>
      </c>
      <c r="DV32" s="1">
        <f t="shared" si="92"/>
        <v>0</v>
      </c>
      <c r="DW32" s="69">
        <f t="shared" si="93"/>
        <v>0</v>
      </c>
      <c r="DX32" s="1">
        <v>1</v>
      </c>
      <c r="DY32" s="69">
        <f t="shared" si="94"/>
        <v>10</v>
      </c>
      <c r="DZ32" s="202">
        <f>IF(C32="m",SUM(N32+P32+R32+T32+V32+X32+Z32+AB32+AD32+AF32)/4,0)</f>
        <v>0</v>
      </c>
      <c r="EA32" s="202">
        <f>IF(C32="a",SUM((N32+P32+R32+T32+V32+X32+Z32+AB32+AD32+AF32)/4,0))</f>
        <v>0</v>
      </c>
      <c r="EB32" s="1">
        <f t="shared" si="3"/>
        <v>0</v>
      </c>
      <c r="ED32" s="285">
        <f t="shared" si="4"/>
        <v>0</v>
      </c>
    </row>
    <row r="33" spans="1:134" x14ac:dyDescent="0.2">
      <c r="A33" s="208" t="s">
        <v>662</v>
      </c>
      <c r="B33" s="802" t="s">
        <v>2333</v>
      </c>
      <c r="C33" s="194" t="s">
        <v>871</v>
      </c>
      <c r="D33" s="644" t="s">
        <v>563</v>
      </c>
      <c r="E33" s="889">
        <v>3</v>
      </c>
      <c r="F33" s="625">
        <f>VLOOKUP(D33,prezzi,5,)</f>
        <v>154.36299</v>
      </c>
      <c r="G33" s="694"/>
      <c r="H33" s="58"/>
      <c r="I33" s="58"/>
      <c r="J33" s="58">
        <v>1</v>
      </c>
      <c r="K33" s="58">
        <v>1</v>
      </c>
      <c r="L33" s="58"/>
      <c r="M33" s="58"/>
      <c r="N33" s="658"/>
      <c r="O33" s="256"/>
      <c r="P33" s="256"/>
      <c r="Q33" s="256"/>
      <c r="R33" s="255"/>
      <c r="S33" s="256"/>
      <c r="T33" s="256"/>
      <c r="U33" s="256"/>
      <c r="V33" s="255"/>
      <c r="W33" s="256"/>
      <c r="X33" s="256"/>
      <c r="Y33" s="256"/>
      <c r="Z33" s="255"/>
      <c r="AA33" s="256"/>
      <c r="AB33" s="256"/>
      <c r="AC33" s="256"/>
      <c r="AD33" s="255"/>
      <c r="AE33" s="256"/>
      <c r="AF33" s="256"/>
      <c r="AH33" s="546">
        <f t="shared" si="0"/>
        <v>0</v>
      </c>
      <c r="AI33" s="66">
        <f t="shared" si="98"/>
        <v>0</v>
      </c>
      <c r="AL33" s="706" t="str">
        <f t="shared" si="5"/>
        <v>-motore &lt;0,25 e &lt;3 Kw</v>
      </c>
      <c r="AM33" s="683">
        <f t="shared" si="7"/>
        <v>0</v>
      </c>
      <c r="AN33" s="674">
        <f t="shared" si="8"/>
        <v>0</v>
      </c>
      <c r="AO33" s="684">
        <f t="shared" si="9"/>
        <v>0</v>
      </c>
      <c r="AP33" s="674">
        <f t="shared" si="10"/>
        <v>0</v>
      </c>
      <c r="AQ33" s="684">
        <f t="shared" si="11"/>
        <v>0</v>
      </c>
      <c r="AR33" s="674">
        <f t="shared" si="12"/>
        <v>0</v>
      </c>
      <c r="AS33" s="684">
        <f t="shared" si="13"/>
        <v>0</v>
      </c>
      <c r="AT33" s="674">
        <f t="shared" si="14"/>
        <v>0</v>
      </c>
      <c r="AU33" s="684">
        <f t="shared" si="15"/>
        <v>0</v>
      </c>
      <c r="AV33" s="674">
        <f t="shared" si="16"/>
        <v>0</v>
      </c>
      <c r="AW33" s="684">
        <f t="shared" si="17"/>
        <v>0</v>
      </c>
      <c r="AX33" s="674">
        <f t="shared" si="18"/>
        <v>0</v>
      </c>
      <c r="AY33" s="684">
        <f t="shared" si="19"/>
        <v>0</v>
      </c>
      <c r="AZ33" s="674">
        <f t="shared" si="20"/>
        <v>0</v>
      </c>
      <c r="BA33" s="684">
        <f t="shared" si="21"/>
        <v>0</v>
      </c>
      <c r="BB33" s="674">
        <f t="shared" si="22"/>
        <v>0</v>
      </c>
      <c r="BC33" s="684">
        <f t="shared" si="23"/>
        <v>0</v>
      </c>
      <c r="BD33" s="674">
        <f t="shared" si="24"/>
        <v>0</v>
      </c>
      <c r="BE33" s="684">
        <f t="shared" si="25"/>
        <v>0</v>
      </c>
      <c r="BF33" s="1">
        <f t="shared" si="26"/>
        <v>0</v>
      </c>
      <c r="BG33" s="1">
        <f t="shared" si="27"/>
        <v>0</v>
      </c>
      <c r="BH33" s="1">
        <f t="shared" si="28"/>
        <v>0</v>
      </c>
      <c r="BI33" s="1">
        <f t="shared" si="29"/>
        <v>0</v>
      </c>
      <c r="BJ33" s="1">
        <f t="shared" si="30"/>
        <v>0</v>
      </c>
      <c r="BK33" s="1">
        <f t="shared" si="31"/>
        <v>0</v>
      </c>
      <c r="BL33" s="1">
        <f t="shared" si="32"/>
        <v>0</v>
      </c>
      <c r="BM33" s="1">
        <f t="shared" si="33"/>
        <v>0</v>
      </c>
      <c r="BN33" s="1">
        <f t="shared" si="34"/>
        <v>0</v>
      </c>
      <c r="BO33" s="69">
        <f t="shared" si="35"/>
        <v>0</v>
      </c>
      <c r="BP33" s="1">
        <f t="shared" si="36"/>
        <v>0</v>
      </c>
      <c r="BQ33" s="1">
        <f t="shared" si="37"/>
        <v>0</v>
      </c>
      <c r="BR33" s="1">
        <f t="shared" si="38"/>
        <v>0</v>
      </c>
      <c r="BS33" s="1">
        <f t="shared" si="39"/>
        <v>0</v>
      </c>
      <c r="BT33" s="1">
        <f t="shared" si="40"/>
        <v>0</v>
      </c>
      <c r="BU33" s="1">
        <f t="shared" si="41"/>
        <v>0</v>
      </c>
      <c r="BV33" s="1">
        <f t="shared" si="42"/>
        <v>0</v>
      </c>
      <c r="BW33" s="1">
        <f t="shared" si="43"/>
        <v>0</v>
      </c>
      <c r="BX33" s="1">
        <f t="shared" si="44"/>
        <v>0</v>
      </c>
      <c r="BY33" s="69">
        <f t="shared" si="45"/>
        <v>0</v>
      </c>
      <c r="BZ33" s="1">
        <f t="shared" si="46"/>
        <v>0</v>
      </c>
      <c r="CA33" s="1">
        <f t="shared" si="47"/>
        <v>0</v>
      </c>
      <c r="CB33" s="1">
        <f t="shared" si="48"/>
        <v>0</v>
      </c>
      <c r="CC33" s="1">
        <f t="shared" si="49"/>
        <v>0</v>
      </c>
      <c r="CD33" s="1">
        <f t="shared" si="50"/>
        <v>0</v>
      </c>
      <c r="CE33" s="1">
        <f t="shared" si="51"/>
        <v>0</v>
      </c>
      <c r="CF33" s="1">
        <f t="shared" si="52"/>
        <v>0</v>
      </c>
      <c r="CG33" s="1">
        <f t="shared" si="53"/>
        <v>0</v>
      </c>
      <c r="CH33" s="1">
        <f t="shared" si="54"/>
        <v>0</v>
      </c>
      <c r="CI33" s="69">
        <f t="shared" si="55"/>
        <v>0</v>
      </c>
      <c r="CJ33" s="1">
        <f t="shared" si="56"/>
        <v>0</v>
      </c>
      <c r="CK33" s="1">
        <f t="shared" si="57"/>
        <v>0</v>
      </c>
      <c r="CL33" s="1">
        <f t="shared" si="58"/>
        <v>0</v>
      </c>
      <c r="CM33" s="1">
        <f t="shared" si="59"/>
        <v>0</v>
      </c>
      <c r="CN33" s="1">
        <f t="shared" si="60"/>
        <v>0</v>
      </c>
      <c r="CO33" s="1">
        <f t="shared" si="61"/>
        <v>0</v>
      </c>
      <c r="CP33" s="1">
        <f t="shared" si="62"/>
        <v>0</v>
      </c>
      <c r="CQ33" s="1">
        <f t="shared" si="63"/>
        <v>0</v>
      </c>
      <c r="CR33" s="1">
        <f t="shared" si="96"/>
        <v>0</v>
      </c>
      <c r="CS33" s="69">
        <f t="shared" si="97"/>
        <v>0</v>
      </c>
      <c r="CT33" s="1">
        <f t="shared" si="64"/>
        <v>0</v>
      </c>
      <c r="CU33" s="1">
        <f t="shared" si="65"/>
        <v>0</v>
      </c>
      <c r="CV33" s="1">
        <f t="shared" si="66"/>
        <v>0</v>
      </c>
      <c r="CW33" s="1">
        <f t="shared" si="67"/>
        <v>0</v>
      </c>
      <c r="CX33" s="1">
        <f t="shared" si="68"/>
        <v>0</v>
      </c>
      <c r="CY33" s="1">
        <f t="shared" si="69"/>
        <v>0</v>
      </c>
      <c r="CZ33" s="1">
        <f t="shared" si="70"/>
        <v>0</v>
      </c>
      <c r="DA33" s="1">
        <f t="shared" si="71"/>
        <v>0</v>
      </c>
      <c r="DB33" s="1">
        <f t="shared" si="72"/>
        <v>0</v>
      </c>
      <c r="DC33" s="69">
        <f t="shared" si="73"/>
        <v>0</v>
      </c>
      <c r="DD33" s="1">
        <f t="shared" si="74"/>
        <v>0</v>
      </c>
      <c r="DE33" s="1">
        <f t="shared" si="75"/>
        <v>0</v>
      </c>
      <c r="DF33" s="1">
        <f t="shared" si="76"/>
        <v>0</v>
      </c>
      <c r="DG33" s="1">
        <f t="shared" si="77"/>
        <v>0</v>
      </c>
      <c r="DH33" s="1">
        <f t="shared" si="78"/>
        <v>0</v>
      </c>
      <c r="DI33" s="1">
        <f t="shared" si="79"/>
        <v>0</v>
      </c>
      <c r="DJ33" s="1">
        <f t="shared" si="80"/>
        <v>0</v>
      </c>
      <c r="DK33" s="1">
        <f t="shared" si="81"/>
        <v>0</v>
      </c>
      <c r="DL33" s="1">
        <f t="shared" si="82"/>
        <v>0</v>
      </c>
      <c r="DM33" s="69">
        <f t="shared" si="83"/>
        <v>0</v>
      </c>
      <c r="DN33" s="1">
        <f t="shared" si="84"/>
        <v>0</v>
      </c>
      <c r="DO33" s="1">
        <f t="shared" si="85"/>
        <v>0</v>
      </c>
      <c r="DP33" s="1">
        <f t="shared" si="86"/>
        <v>0</v>
      </c>
      <c r="DQ33" s="1">
        <f t="shared" si="87"/>
        <v>0</v>
      </c>
      <c r="DR33" s="1">
        <f t="shared" si="88"/>
        <v>0</v>
      </c>
      <c r="DS33" s="1">
        <f t="shared" si="89"/>
        <v>0</v>
      </c>
      <c r="DT33" s="1">
        <f t="shared" si="90"/>
        <v>0</v>
      </c>
      <c r="DU33" s="1">
        <f t="shared" si="91"/>
        <v>0</v>
      </c>
      <c r="DV33" s="1">
        <f t="shared" si="92"/>
        <v>0</v>
      </c>
      <c r="DW33" s="69">
        <f t="shared" si="93"/>
        <v>0</v>
      </c>
      <c r="DX33" s="1">
        <v>1</v>
      </c>
      <c r="DY33" s="69">
        <f t="shared" si="94"/>
        <v>11</v>
      </c>
      <c r="DZ33" s="1">
        <f t="shared" ref="DZ33:DZ65" si="99">IF(C33="m",SUM(N33+P33+R33+T33+V33+X33+Z33+AB33+AD33+AF33),0)</f>
        <v>0</v>
      </c>
      <c r="EA33" s="1">
        <f>IF(C33="a",SUM(N33+P33+R33+T33+V33+X33+Z33+AB33+AD33+AF33),0)</f>
        <v>0</v>
      </c>
      <c r="EB33" s="1">
        <f t="shared" si="3"/>
        <v>0</v>
      </c>
      <c r="ED33" s="285">
        <f t="shared" si="4"/>
        <v>0</v>
      </c>
    </row>
    <row r="34" spans="1:134" x14ac:dyDescent="0.2">
      <c r="A34" s="208" t="s">
        <v>662</v>
      </c>
      <c r="B34" s="800" t="s">
        <v>1265</v>
      </c>
      <c r="C34" s="193" t="s">
        <v>872</v>
      </c>
      <c r="D34" s="647" t="s">
        <v>1264</v>
      </c>
      <c r="E34" s="889"/>
      <c r="F34" s="625">
        <f>VLOOKUP(D34,prezzi,5,)</f>
        <v>235.20000000000002</v>
      </c>
      <c r="G34" s="694"/>
      <c r="H34" s="58"/>
      <c r="I34" s="58"/>
      <c r="J34" s="58">
        <v>1</v>
      </c>
      <c r="K34" s="58"/>
      <c r="L34" s="58"/>
      <c r="M34" s="58"/>
      <c r="N34" s="658"/>
      <c r="O34" s="256"/>
      <c r="P34" s="256"/>
      <c r="Q34" s="256"/>
      <c r="R34" s="255"/>
      <c r="S34" s="256"/>
      <c r="T34" s="256"/>
      <c r="U34" s="256"/>
      <c r="V34" s="255"/>
      <c r="W34" s="256"/>
      <c r="X34" s="256"/>
      <c r="Y34" s="256"/>
      <c r="Z34" s="255"/>
      <c r="AA34" s="256"/>
      <c r="AB34" s="256"/>
      <c r="AC34" s="256"/>
      <c r="AD34" s="255"/>
      <c r="AE34" s="256"/>
      <c r="AF34" s="256"/>
      <c r="AH34" s="546">
        <f t="shared" si="0"/>
        <v>0</v>
      </c>
      <c r="AI34" s="66">
        <f t="shared" si="98"/>
        <v>0</v>
      </c>
      <c r="AL34" s="706" t="str">
        <f t="shared" si="5"/>
        <v>-anticondensa</v>
      </c>
      <c r="AM34" s="683">
        <f t="shared" si="7"/>
        <v>0</v>
      </c>
      <c r="AN34" s="674">
        <f t="shared" si="8"/>
        <v>0</v>
      </c>
      <c r="AO34" s="684">
        <f t="shared" si="9"/>
        <v>0</v>
      </c>
      <c r="AP34" s="674">
        <f t="shared" si="10"/>
        <v>0</v>
      </c>
      <c r="AQ34" s="684">
        <f t="shared" si="11"/>
        <v>0</v>
      </c>
      <c r="AR34" s="674">
        <f t="shared" si="12"/>
        <v>0</v>
      </c>
      <c r="AS34" s="684">
        <f t="shared" si="13"/>
        <v>0</v>
      </c>
      <c r="AT34" s="674">
        <f t="shared" si="14"/>
        <v>0</v>
      </c>
      <c r="AU34" s="684">
        <f t="shared" si="15"/>
        <v>0</v>
      </c>
      <c r="AV34" s="674">
        <f t="shared" si="16"/>
        <v>0</v>
      </c>
      <c r="AW34" s="684">
        <f t="shared" si="17"/>
        <v>0</v>
      </c>
      <c r="AX34" s="674">
        <f t="shared" si="18"/>
        <v>0</v>
      </c>
      <c r="AY34" s="684">
        <f t="shared" si="19"/>
        <v>0</v>
      </c>
      <c r="AZ34" s="674">
        <f t="shared" si="20"/>
        <v>0</v>
      </c>
      <c r="BA34" s="684">
        <f t="shared" si="21"/>
        <v>0</v>
      </c>
      <c r="BB34" s="674">
        <f t="shared" si="22"/>
        <v>0</v>
      </c>
      <c r="BC34" s="684">
        <f t="shared" si="23"/>
        <v>0</v>
      </c>
      <c r="BD34" s="674">
        <f t="shared" si="24"/>
        <v>0</v>
      </c>
      <c r="BE34" s="684">
        <f t="shared" si="25"/>
        <v>0</v>
      </c>
      <c r="BF34" s="1">
        <f t="shared" si="26"/>
        <v>0</v>
      </c>
      <c r="BG34" s="1">
        <f t="shared" si="27"/>
        <v>0</v>
      </c>
      <c r="BH34" s="1">
        <f t="shared" si="28"/>
        <v>0</v>
      </c>
      <c r="BI34" s="1">
        <f t="shared" si="29"/>
        <v>0</v>
      </c>
      <c r="BJ34" s="1">
        <f t="shared" si="30"/>
        <v>0</v>
      </c>
      <c r="BK34" s="1">
        <f t="shared" si="31"/>
        <v>0</v>
      </c>
      <c r="BL34" s="1">
        <f t="shared" si="32"/>
        <v>0</v>
      </c>
      <c r="BM34" s="1">
        <f t="shared" si="33"/>
        <v>0</v>
      </c>
      <c r="BN34" s="1">
        <f t="shared" si="34"/>
        <v>0</v>
      </c>
      <c r="BO34" s="69">
        <f t="shared" si="35"/>
        <v>0</v>
      </c>
      <c r="BP34" s="1">
        <f t="shared" si="36"/>
        <v>0</v>
      </c>
      <c r="BQ34" s="1">
        <f t="shared" si="37"/>
        <v>0</v>
      </c>
      <c r="BR34" s="1">
        <f t="shared" si="38"/>
        <v>0</v>
      </c>
      <c r="BS34" s="1">
        <f t="shared" si="39"/>
        <v>0</v>
      </c>
      <c r="BT34" s="1">
        <f t="shared" si="40"/>
        <v>0</v>
      </c>
      <c r="BU34" s="1">
        <f t="shared" si="41"/>
        <v>0</v>
      </c>
      <c r="BV34" s="1">
        <f t="shared" si="42"/>
        <v>0</v>
      </c>
      <c r="BW34" s="1">
        <f t="shared" si="43"/>
        <v>0</v>
      </c>
      <c r="BX34" s="1">
        <f t="shared" si="44"/>
        <v>0</v>
      </c>
      <c r="BY34" s="69">
        <f t="shared" si="45"/>
        <v>0</v>
      </c>
      <c r="BZ34" s="1">
        <f t="shared" si="46"/>
        <v>0</v>
      </c>
      <c r="CA34" s="1">
        <f t="shared" si="47"/>
        <v>0</v>
      </c>
      <c r="CB34" s="1">
        <f t="shared" si="48"/>
        <v>0</v>
      </c>
      <c r="CC34" s="1">
        <f t="shared" si="49"/>
        <v>0</v>
      </c>
      <c r="CD34" s="1">
        <f t="shared" si="50"/>
        <v>0</v>
      </c>
      <c r="CE34" s="1">
        <f t="shared" si="51"/>
        <v>0</v>
      </c>
      <c r="CF34" s="1">
        <f t="shared" si="52"/>
        <v>0</v>
      </c>
      <c r="CG34" s="1">
        <f t="shared" si="53"/>
        <v>0</v>
      </c>
      <c r="CH34" s="1">
        <f t="shared" si="54"/>
        <v>0</v>
      </c>
      <c r="CI34" s="69">
        <f t="shared" si="55"/>
        <v>0</v>
      </c>
      <c r="CJ34" s="1">
        <f t="shared" si="56"/>
        <v>0</v>
      </c>
      <c r="CK34" s="1">
        <f t="shared" si="57"/>
        <v>0</v>
      </c>
      <c r="CL34" s="1">
        <f t="shared" si="58"/>
        <v>0</v>
      </c>
      <c r="CM34" s="1">
        <f t="shared" si="59"/>
        <v>0</v>
      </c>
      <c r="CN34" s="1">
        <f t="shared" si="60"/>
        <v>0</v>
      </c>
      <c r="CO34" s="1">
        <f t="shared" si="61"/>
        <v>0</v>
      </c>
      <c r="CP34" s="1">
        <f t="shared" si="62"/>
        <v>0</v>
      </c>
      <c r="CQ34" s="1">
        <f t="shared" si="63"/>
        <v>0</v>
      </c>
      <c r="CR34" s="1">
        <f t="shared" si="96"/>
        <v>0</v>
      </c>
      <c r="CS34" s="69">
        <f t="shared" si="97"/>
        <v>0</v>
      </c>
      <c r="CT34" s="1">
        <f t="shared" si="64"/>
        <v>0</v>
      </c>
      <c r="CU34" s="1">
        <f t="shared" si="65"/>
        <v>0</v>
      </c>
      <c r="CV34" s="1">
        <f t="shared" si="66"/>
        <v>0</v>
      </c>
      <c r="CW34" s="1">
        <f t="shared" si="67"/>
        <v>0</v>
      </c>
      <c r="CX34" s="1">
        <f t="shared" si="68"/>
        <v>0</v>
      </c>
      <c r="CY34" s="1">
        <f t="shared" si="69"/>
        <v>0</v>
      </c>
      <c r="CZ34" s="1">
        <f t="shared" si="70"/>
        <v>0</v>
      </c>
      <c r="DA34" s="1">
        <f t="shared" si="71"/>
        <v>0</v>
      </c>
      <c r="DB34" s="1">
        <f t="shared" si="72"/>
        <v>0</v>
      </c>
      <c r="DC34" s="69">
        <f t="shared" si="73"/>
        <v>0</v>
      </c>
      <c r="DD34" s="1">
        <f t="shared" si="74"/>
        <v>0</v>
      </c>
      <c r="DE34" s="1">
        <f t="shared" si="75"/>
        <v>0</v>
      </c>
      <c r="DF34" s="1">
        <f t="shared" si="76"/>
        <v>0</v>
      </c>
      <c r="DG34" s="1">
        <f t="shared" si="77"/>
        <v>0</v>
      </c>
      <c r="DH34" s="1">
        <f t="shared" si="78"/>
        <v>0</v>
      </c>
      <c r="DI34" s="1">
        <f t="shared" si="79"/>
        <v>0</v>
      </c>
      <c r="DJ34" s="1">
        <f t="shared" si="80"/>
        <v>0</v>
      </c>
      <c r="DK34" s="1">
        <f t="shared" si="81"/>
        <v>0</v>
      </c>
      <c r="DL34" s="1">
        <f t="shared" si="82"/>
        <v>0</v>
      </c>
      <c r="DM34" s="69">
        <f t="shared" si="83"/>
        <v>0</v>
      </c>
      <c r="DN34" s="1">
        <f t="shared" si="84"/>
        <v>0</v>
      </c>
      <c r="DO34" s="1">
        <f t="shared" si="85"/>
        <v>0</v>
      </c>
      <c r="DP34" s="1">
        <f t="shared" si="86"/>
        <v>0</v>
      </c>
      <c r="DQ34" s="1">
        <f t="shared" si="87"/>
        <v>0</v>
      </c>
      <c r="DR34" s="1">
        <f t="shared" si="88"/>
        <v>0</v>
      </c>
      <c r="DS34" s="1">
        <f t="shared" si="89"/>
        <v>0</v>
      </c>
      <c r="DT34" s="1">
        <f t="shared" si="90"/>
        <v>0</v>
      </c>
      <c r="DU34" s="1">
        <f t="shared" si="91"/>
        <v>0</v>
      </c>
      <c r="DV34" s="1">
        <f t="shared" si="92"/>
        <v>0</v>
      </c>
      <c r="DW34" s="69">
        <f t="shared" si="93"/>
        <v>0</v>
      </c>
      <c r="DX34" s="1">
        <v>1</v>
      </c>
      <c r="DY34" s="69">
        <f t="shared" si="94"/>
        <v>12</v>
      </c>
      <c r="DZ34" s="1">
        <f t="shared" si="99"/>
        <v>0</v>
      </c>
      <c r="EA34" s="1">
        <f>IF(C34="a",SUM(N34+P34+R34+T34+V34+X34+Z34+AB34+AD34+AF34),0)</f>
        <v>0</v>
      </c>
      <c r="EB34" s="1">
        <f t="shared" si="3"/>
        <v>0</v>
      </c>
      <c r="ED34" s="285">
        <f t="shared" si="4"/>
        <v>0</v>
      </c>
    </row>
    <row r="35" spans="1:134" x14ac:dyDescent="0.2">
      <c r="A35" s="208" t="s">
        <v>662</v>
      </c>
      <c r="B35" s="801" t="s">
        <v>1018</v>
      </c>
      <c r="C35" s="182" t="s">
        <v>872</v>
      </c>
      <c r="D35" s="646" t="s">
        <v>658</v>
      </c>
      <c r="E35" s="889"/>
      <c r="F35" s="625">
        <f>VLOOKUP(D35,prezzi,5,)</f>
        <v>239.30138999999997</v>
      </c>
      <c r="G35" s="694"/>
      <c r="H35" s="58">
        <v>2</v>
      </c>
      <c r="I35" s="58"/>
      <c r="J35" s="58"/>
      <c r="K35" s="58"/>
      <c r="L35" s="58"/>
      <c r="M35" s="58"/>
      <c r="N35" s="658"/>
      <c r="O35" s="256"/>
      <c r="P35" s="256"/>
      <c r="Q35" s="256"/>
      <c r="R35" s="255"/>
      <c r="S35" s="256"/>
      <c r="T35" s="256"/>
      <c r="U35" s="256"/>
      <c r="V35" s="255"/>
      <c r="W35" s="256"/>
      <c r="X35" s="256"/>
      <c r="Y35" s="256"/>
      <c r="Z35" s="255"/>
      <c r="AA35" s="256"/>
      <c r="AB35" s="256"/>
      <c r="AC35" s="256"/>
      <c r="AD35" s="255"/>
      <c r="AE35" s="256"/>
      <c r="AF35" s="256"/>
      <c r="AH35" s="546">
        <f t="shared" si="0"/>
        <v>0</v>
      </c>
      <c r="AI35" s="66">
        <f t="shared" si="98"/>
        <v>0</v>
      </c>
      <c r="AL35" s="706" t="str">
        <f t="shared" si="5"/>
        <v>-temperatura PLC</v>
      </c>
      <c r="AM35" s="683">
        <f t="shared" si="7"/>
        <v>0</v>
      </c>
      <c r="AN35" s="674">
        <f t="shared" si="8"/>
        <v>0</v>
      </c>
      <c r="AO35" s="684">
        <f t="shared" si="9"/>
        <v>0</v>
      </c>
      <c r="AP35" s="674">
        <f t="shared" si="10"/>
        <v>0</v>
      </c>
      <c r="AQ35" s="684">
        <f t="shared" si="11"/>
        <v>0</v>
      </c>
      <c r="AR35" s="674">
        <f t="shared" si="12"/>
        <v>0</v>
      </c>
      <c r="AS35" s="684">
        <f t="shared" si="13"/>
        <v>0</v>
      </c>
      <c r="AT35" s="674">
        <f t="shared" si="14"/>
        <v>0</v>
      </c>
      <c r="AU35" s="684">
        <f t="shared" si="15"/>
        <v>0</v>
      </c>
      <c r="AV35" s="674">
        <f t="shared" si="16"/>
        <v>0</v>
      </c>
      <c r="AW35" s="684">
        <f t="shared" si="17"/>
        <v>0</v>
      </c>
      <c r="AX35" s="674">
        <f t="shared" si="18"/>
        <v>0</v>
      </c>
      <c r="AY35" s="684">
        <f t="shared" si="19"/>
        <v>0</v>
      </c>
      <c r="AZ35" s="674">
        <f t="shared" si="20"/>
        <v>0</v>
      </c>
      <c r="BA35" s="684">
        <f t="shared" si="21"/>
        <v>0</v>
      </c>
      <c r="BB35" s="674">
        <f t="shared" si="22"/>
        <v>0</v>
      </c>
      <c r="BC35" s="684">
        <f t="shared" si="23"/>
        <v>0</v>
      </c>
      <c r="BD35" s="674">
        <f t="shared" si="24"/>
        <v>0</v>
      </c>
      <c r="BE35" s="684">
        <f t="shared" si="25"/>
        <v>0</v>
      </c>
      <c r="BF35" s="1">
        <f t="shared" si="26"/>
        <v>0</v>
      </c>
      <c r="BG35" s="1">
        <f t="shared" si="27"/>
        <v>0</v>
      </c>
      <c r="BH35" s="1">
        <f t="shared" si="28"/>
        <v>0</v>
      </c>
      <c r="BI35" s="1">
        <f t="shared" si="29"/>
        <v>0</v>
      </c>
      <c r="BJ35" s="1">
        <f t="shared" si="30"/>
        <v>0</v>
      </c>
      <c r="BK35" s="1">
        <f t="shared" si="31"/>
        <v>0</v>
      </c>
      <c r="BL35" s="1">
        <f t="shared" si="32"/>
        <v>0</v>
      </c>
      <c r="BM35" s="1">
        <f t="shared" si="33"/>
        <v>0</v>
      </c>
      <c r="BN35" s="1">
        <f t="shared" si="34"/>
        <v>0</v>
      </c>
      <c r="BO35" s="69">
        <f t="shared" si="35"/>
        <v>0</v>
      </c>
      <c r="BP35" s="1">
        <f t="shared" si="36"/>
        <v>0</v>
      </c>
      <c r="BQ35" s="1">
        <f t="shared" si="37"/>
        <v>0</v>
      </c>
      <c r="BR35" s="1">
        <f t="shared" si="38"/>
        <v>0</v>
      </c>
      <c r="BS35" s="1">
        <f t="shared" si="39"/>
        <v>0</v>
      </c>
      <c r="BT35" s="1">
        <f t="shared" si="40"/>
        <v>0</v>
      </c>
      <c r="BU35" s="1">
        <f t="shared" si="41"/>
        <v>0</v>
      </c>
      <c r="BV35" s="1">
        <f t="shared" si="42"/>
        <v>0</v>
      </c>
      <c r="BW35" s="1">
        <f t="shared" si="43"/>
        <v>0</v>
      </c>
      <c r="BX35" s="1">
        <f t="shared" si="44"/>
        <v>0</v>
      </c>
      <c r="BY35" s="69">
        <f t="shared" si="45"/>
        <v>0</v>
      </c>
      <c r="BZ35" s="1">
        <f t="shared" si="46"/>
        <v>0</v>
      </c>
      <c r="CA35" s="1">
        <f t="shared" si="47"/>
        <v>0</v>
      </c>
      <c r="CB35" s="1">
        <f t="shared" si="48"/>
        <v>0</v>
      </c>
      <c r="CC35" s="1">
        <f t="shared" si="49"/>
        <v>0</v>
      </c>
      <c r="CD35" s="1">
        <f t="shared" si="50"/>
        <v>0</v>
      </c>
      <c r="CE35" s="1">
        <f t="shared" si="51"/>
        <v>0</v>
      </c>
      <c r="CF35" s="1">
        <f t="shared" si="52"/>
        <v>0</v>
      </c>
      <c r="CG35" s="1">
        <f t="shared" si="53"/>
        <v>0</v>
      </c>
      <c r="CH35" s="1">
        <f t="shared" si="54"/>
        <v>0</v>
      </c>
      <c r="CI35" s="69">
        <f t="shared" si="55"/>
        <v>0</v>
      </c>
      <c r="CJ35" s="1">
        <f t="shared" si="56"/>
        <v>0</v>
      </c>
      <c r="CK35" s="1">
        <f t="shared" si="57"/>
        <v>0</v>
      </c>
      <c r="CL35" s="1">
        <f t="shared" si="58"/>
        <v>0</v>
      </c>
      <c r="CM35" s="1">
        <f t="shared" si="59"/>
        <v>0</v>
      </c>
      <c r="CN35" s="1">
        <f t="shared" si="60"/>
        <v>0</v>
      </c>
      <c r="CO35" s="1">
        <f t="shared" si="61"/>
        <v>0</v>
      </c>
      <c r="CP35" s="1">
        <f t="shared" si="62"/>
        <v>0</v>
      </c>
      <c r="CQ35" s="1">
        <f t="shared" si="63"/>
        <v>0</v>
      </c>
      <c r="CR35" s="1">
        <f t="shared" si="96"/>
        <v>0</v>
      </c>
      <c r="CS35" s="69">
        <f t="shared" si="97"/>
        <v>0</v>
      </c>
      <c r="CT35" s="1">
        <f t="shared" si="64"/>
        <v>0</v>
      </c>
      <c r="CU35" s="1">
        <f t="shared" si="65"/>
        <v>0</v>
      </c>
      <c r="CV35" s="1">
        <f t="shared" si="66"/>
        <v>0</v>
      </c>
      <c r="CW35" s="1">
        <f t="shared" si="67"/>
        <v>0</v>
      </c>
      <c r="CX35" s="1">
        <f t="shared" si="68"/>
        <v>0</v>
      </c>
      <c r="CY35" s="1">
        <f t="shared" si="69"/>
        <v>0</v>
      </c>
      <c r="CZ35" s="1">
        <f t="shared" si="70"/>
        <v>0</v>
      </c>
      <c r="DA35" s="1">
        <f t="shared" si="71"/>
        <v>0</v>
      </c>
      <c r="DB35" s="1">
        <f t="shared" si="72"/>
        <v>0</v>
      </c>
      <c r="DC35" s="69">
        <f t="shared" si="73"/>
        <v>0</v>
      </c>
      <c r="DD35" s="1">
        <f t="shared" si="74"/>
        <v>0</v>
      </c>
      <c r="DE35" s="1">
        <f t="shared" si="75"/>
        <v>0</v>
      </c>
      <c r="DF35" s="1">
        <f t="shared" si="76"/>
        <v>0</v>
      </c>
      <c r="DG35" s="1">
        <f t="shared" si="77"/>
        <v>0</v>
      </c>
      <c r="DH35" s="1">
        <f t="shared" si="78"/>
        <v>0</v>
      </c>
      <c r="DI35" s="1">
        <f t="shared" si="79"/>
        <v>0</v>
      </c>
      <c r="DJ35" s="1">
        <f t="shared" si="80"/>
        <v>0</v>
      </c>
      <c r="DK35" s="1">
        <f t="shared" si="81"/>
        <v>0</v>
      </c>
      <c r="DL35" s="1">
        <f t="shared" si="82"/>
        <v>0</v>
      </c>
      <c r="DM35" s="69">
        <f t="shared" si="83"/>
        <v>0</v>
      </c>
      <c r="DN35" s="1">
        <f t="shared" si="84"/>
        <v>0</v>
      </c>
      <c r="DO35" s="1">
        <f t="shared" si="85"/>
        <v>0</v>
      </c>
      <c r="DP35" s="1">
        <f t="shared" si="86"/>
        <v>0</v>
      </c>
      <c r="DQ35" s="1">
        <f t="shared" si="87"/>
        <v>0</v>
      </c>
      <c r="DR35" s="1">
        <f t="shared" si="88"/>
        <v>0</v>
      </c>
      <c r="DS35" s="1">
        <f t="shared" si="89"/>
        <v>0</v>
      </c>
      <c r="DT35" s="1">
        <f t="shared" si="90"/>
        <v>0</v>
      </c>
      <c r="DU35" s="1">
        <f t="shared" si="91"/>
        <v>0</v>
      </c>
      <c r="DV35" s="1">
        <f t="shared" si="92"/>
        <v>0</v>
      </c>
      <c r="DW35" s="69">
        <f t="shared" si="93"/>
        <v>0</v>
      </c>
      <c r="DX35" s="1">
        <v>1</v>
      </c>
      <c r="DY35" s="69">
        <f t="shared" si="94"/>
        <v>13</v>
      </c>
      <c r="DZ35" s="1">
        <f t="shared" si="99"/>
        <v>0</v>
      </c>
      <c r="EA35" s="1">
        <f>IF(C35="a",SUM(N35+P35+R35+T35+V35+X35+Z35+AB35+AD35+AF35),0)</f>
        <v>0</v>
      </c>
      <c r="EB35" s="1">
        <f t="shared" si="3"/>
        <v>0</v>
      </c>
      <c r="ED35" s="285">
        <f t="shared" si="4"/>
        <v>0</v>
      </c>
    </row>
    <row r="36" spans="1:134" x14ac:dyDescent="0.2">
      <c r="A36" s="208" t="s">
        <v>662</v>
      </c>
      <c r="B36" s="803" t="s">
        <v>2334</v>
      </c>
      <c r="C36" s="192" t="s">
        <v>871</v>
      </c>
      <c r="D36" s="335" t="s">
        <v>563</v>
      </c>
      <c r="E36" s="889">
        <v>1.5</v>
      </c>
      <c r="F36" s="625">
        <f>VLOOKUP(D36,prezzi,5,)</f>
        <v>154.36299</v>
      </c>
      <c r="G36" s="694"/>
      <c r="H36" s="58"/>
      <c r="I36" s="58"/>
      <c r="J36" s="58">
        <v>1</v>
      </c>
      <c r="K36" s="58">
        <v>1</v>
      </c>
      <c r="L36" s="58"/>
      <c r="M36" s="58"/>
      <c r="N36" s="658"/>
      <c r="O36" s="256"/>
      <c r="P36" s="256"/>
      <c r="Q36" s="256"/>
      <c r="R36" s="255"/>
      <c r="S36" s="256"/>
      <c r="T36" s="256"/>
      <c r="U36" s="256"/>
      <c r="V36" s="255"/>
      <c r="W36" s="256"/>
      <c r="X36" s="256"/>
      <c r="Y36" s="256"/>
      <c r="Z36" s="255"/>
      <c r="AA36" s="256"/>
      <c r="AB36" s="256"/>
      <c r="AC36" s="256"/>
      <c r="AD36" s="255"/>
      <c r="AE36" s="256"/>
      <c r="AF36" s="256"/>
      <c r="AH36" s="546">
        <f t="shared" si="0"/>
        <v>0</v>
      </c>
      <c r="AI36" s="66">
        <f t="shared" si="98"/>
        <v>0</v>
      </c>
      <c r="AL36" s="706" t="str">
        <f t="shared" si="5"/>
        <v>-motore &lt;0,25 e &lt;3 Kw</v>
      </c>
      <c r="AM36" s="683">
        <f t="shared" si="7"/>
        <v>0</v>
      </c>
      <c r="AN36" s="674">
        <f t="shared" si="8"/>
        <v>0</v>
      </c>
      <c r="AO36" s="684">
        <f t="shared" si="9"/>
        <v>0</v>
      </c>
      <c r="AP36" s="674">
        <f t="shared" si="10"/>
        <v>0</v>
      </c>
      <c r="AQ36" s="684">
        <f t="shared" si="11"/>
        <v>0</v>
      </c>
      <c r="AR36" s="674">
        <f t="shared" si="12"/>
        <v>0</v>
      </c>
      <c r="AS36" s="684">
        <f t="shared" si="13"/>
        <v>0</v>
      </c>
      <c r="AT36" s="674">
        <f t="shared" si="14"/>
        <v>0</v>
      </c>
      <c r="AU36" s="684">
        <f t="shared" si="15"/>
        <v>0</v>
      </c>
      <c r="AV36" s="674">
        <f t="shared" si="16"/>
        <v>0</v>
      </c>
      <c r="AW36" s="684">
        <f t="shared" si="17"/>
        <v>0</v>
      </c>
      <c r="AX36" s="674">
        <f t="shared" si="18"/>
        <v>0</v>
      </c>
      <c r="AY36" s="684">
        <f t="shared" si="19"/>
        <v>0</v>
      </c>
      <c r="AZ36" s="674">
        <f t="shared" si="20"/>
        <v>0</v>
      </c>
      <c r="BA36" s="684">
        <f t="shared" si="21"/>
        <v>0</v>
      </c>
      <c r="BB36" s="674">
        <f t="shared" si="22"/>
        <v>0</v>
      </c>
      <c r="BC36" s="684">
        <f t="shared" si="23"/>
        <v>0</v>
      </c>
      <c r="BD36" s="674">
        <f t="shared" si="24"/>
        <v>0</v>
      </c>
      <c r="BE36" s="684">
        <f>AF36*$F36</f>
        <v>0</v>
      </c>
      <c r="BF36" s="1">
        <f t="shared" si="26"/>
        <v>0</v>
      </c>
      <c r="BG36" s="1">
        <f>P36*$G36</f>
        <v>0</v>
      </c>
      <c r="BH36" s="1">
        <f>R36*$G36</f>
        <v>0</v>
      </c>
      <c r="BI36" s="1">
        <f>T36*$G36</f>
        <v>0</v>
      </c>
      <c r="BJ36" s="1">
        <f>V36*$G36</f>
        <v>0</v>
      </c>
      <c r="BK36" s="1">
        <f>X36*$G36</f>
        <v>0</v>
      </c>
      <c r="BL36" s="1">
        <f>Z36*$G36</f>
        <v>0</v>
      </c>
      <c r="BM36" s="1">
        <f>AB36*$G36</f>
        <v>0</v>
      </c>
      <c r="BN36" s="1">
        <f>AD36*$G36</f>
        <v>0</v>
      </c>
      <c r="BO36" s="69">
        <f>AF36*$G36</f>
        <v>0</v>
      </c>
      <c r="BP36" s="1">
        <f t="shared" si="36"/>
        <v>0</v>
      </c>
      <c r="BQ36" s="1">
        <f>P36*$H36</f>
        <v>0</v>
      </c>
      <c r="BR36" s="1">
        <f>R36*$H36</f>
        <v>0</v>
      </c>
      <c r="BS36" s="1">
        <f>T36*$H36</f>
        <v>0</v>
      </c>
      <c r="BT36" s="1">
        <f>V36*$H36</f>
        <v>0</v>
      </c>
      <c r="BU36" s="1">
        <f>X36*$H36</f>
        <v>0</v>
      </c>
      <c r="BV36" s="1">
        <f>Z36*$H36</f>
        <v>0</v>
      </c>
      <c r="BW36" s="1">
        <f>AB36*$H36</f>
        <v>0</v>
      </c>
      <c r="BX36" s="1">
        <f>AD36*$H36</f>
        <v>0</v>
      </c>
      <c r="BY36" s="69">
        <f>AF36*$H36</f>
        <v>0</v>
      </c>
      <c r="BZ36" s="1">
        <f t="shared" si="46"/>
        <v>0</v>
      </c>
      <c r="CA36" s="1">
        <f>P36*$I36</f>
        <v>0</v>
      </c>
      <c r="CB36" s="1">
        <f>R36*$I36</f>
        <v>0</v>
      </c>
      <c r="CC36" s="1">
        <f>T36*$I36</f>
        <v>0</v>
      </c>
      <c r="CD36" s="1">
        <f>V36*$I36</f>
        <v>0</v>
      </c>
      <c r="CE36" s="1">
        <f>X36*$I36</f>
        <v>0</v>
      </c>
      <c r="CF36" s="1">
        <f>Z36*$I36</f>
        <v>0</v>
      </c>
      <c r="CG36" s="1">
        <f>AB36*$I36</f>
        <v>0</v>
      </c>
      <c r="CH36" s="1">
        <f>AD36*$I36</f>
        <v>0</v>
      </c>
      <c r="CI36" s="69">
        <f>AF36*$I36</f>
        <v>0</v>
      </c>
      <c r="CJ36" s="1">
        <f t="shared" si="56"/>
        <v>0</v>
      </c>
      <c r="CK36" s="1">
        <f t="shared" si="57"/>
        <v>0</v>
      </c>
      <c r="CL36" s="1">
        <f t="shared" si="58"/>
        <v>0</v>
      </c>
      <c r="CM36" s="1">
        <f t="shared" si="59"/>
        <v>0</v>
      </c>
      <c r="CN36" s="1">
        <f t="shared" si="60"/>
        <v>0</v>
      </c>
      <c r="CO36" s="1">
        <f t="shared" si="61"/>
        <v>0</v>
      </c>
      <c r="CP36" s="1">
        <f t="shared" si="62"/>
        <v>0</v>
      </c>
      <c r="CQ36" s="1">
        <f t="shared" si="63"/>
        <v>0</v>
      </c>
      <c r="CR36" s="1">
        <f t="shared" si="96"/>
        <v>0</v>
      </c>
      <c r="CS36" s="69">
        <f t="shared" si="97"/>
        <v>0</v>
      </c>
      <c r="CT36" s="1">
        <f t="shared" si="64"/>
        <v>0</v>
      </c>
      <c r="CU36" s="1">
        <f t="shared" ref="CU36:CU62" si="100">P36*$K36</f>
        <v>0</v>
      </c>
      <c r="CV36" s="1">
        <f t="shared" ref="CV36:CV62" si="101">R36*$K36</f>
        <v>0</v>
      </c>
      <c r="CW36" s="1">
        <f t="shared" ref="CW36:CW62" si="102">T36*$K36</f>
        <v>0</v>
      </c>
      <c r="CX36" s="1">
        <f t="shared" ref="CX36:CX62" si="103">V36*$K36</f>
        <v>0</v>
      </c>
      <c r="CY36" s="1">
        <f t="shared" ref="CY36:CY62" si="104">X36*$K36</f>
        <v>0</v>
      </c>
      <c r="CZ36" s="1">
        <f t="shared" ref="CZ36:CZ62" si="105">Z36*$K36</f>
        <v>0</v>
      </c>
      <c r="DA36" s="1">
        <f t="shared" ref="DA36:DA62" si="106">AB36*$K36</f>
        <v>0</v>
      </c>
      <c r="DB36" s="1">
        <f t="shared" ref="DB36:DB62" si="107">AD36*$K36</f>
        <v>0</v>
      </c>
      <c r="DC36" s="69">
        <f t="shared" ref="DC36:DC62" si="108">AF36*$K36</f>
        <v>0</v>
      </c>
      <c r="DD36" s="1">
        <f t="shared" si="74"/>
        <v>0</v>
      </c>
      <c r="DE36" s="1">
        <f t="shared" ref="DE36:DE62" si="109">P36*$L36</f>
        <v>0</v>
      </c>
      <c r="DF36" s="1">
        <f t="shared" ref="DF36:DF62" si="110">R36*$L36</f>
        <v>0</v>
      </c>
      <c r="DG36" s="1">
        <f t="shared" ref="DG36:DG62" si="111">T36*$L36</f>
        <v>0</v>
      </c>
      <c r="DH36" s="1">
        <f t="shared" ref="DH36:DH62" si="112">V36*$L36</f>
        <v>0</v>
      </c>
      <c r="DI36" s="1">
        <f t="shared" ref="DI36:DI62" si="113">X36*$L36</f>
        <v>0</v>
      </c>
      <c r="DJ36" s="1">
        <f t="shared" ref="DJ36:DJ62" si="114">Z36*$L36</f>
        <v>0</v>
      </c>
      <c r="DK36" s="1">
        <f t="shared" ref="DK36:DK62" si="115">AB36*$L36</f>
        <v>0</v>
      </c>
      <c r="DL36" s="1">
        <f t="shared" ref="DL36:DL62" si="116">AD36*$L36</f>
        <v>0</v>
      </c>
      <c r="DM36" s="69">
        <f t="shared" ref="DM36:DM62" si="117">AF36*$L36</f>
        <v>0</v>
      </c>
      <c r="DN36" s="1">
        <f t="shared" si="84"/>
        <v>0</v>
      </c>
      <c r="DO36" s="1">
        <f>P36*$M36</f>
        <v>0</v>
      </c>
      <c r="DP36" s="1">
        <f>R36*$M36</f>
        <v>0</v>
      </c>
      <c r="DQ36" s="1">
        <f>T36*$M36</f>
        <v>0</v>
      </c>
      <c r="DR36" s="1">
        <f>V36*$M36</f>
        <v>0</v>
      </c>
      <c r="DS36" s="1">
        <f>X36*$M36</f>
        <v>0</v>
      </c>
      <c r="DT36" s="1">
        <f>Z36*$M36</f>
        <v>0</v>
      </c>
      <c r="DU36" s="1">
        <f>AB36*$M36</f>
        <v>0</v>
      </c>
      <c r="DV36" s="1">
        <f>AD36*$M36</f>
        <v>0</v>
      </c>
      <c r="DW36" s="69">
        <f>AF36*$M36</f>
        <v>0</v>
      </c>
      <c r="DX36" s="1">
        <v>1</v>
      </c>
      <c r="DY36" s="69">
        <f t="shared" si="94"/>
        <v>14</v>
      </c>
      <c r="DZ36" s="1">
        <f t="shared" si="99"/>
        <v>0</v>
      </c>
      <c r="EA36" s="1">
        <f>IF(C36="a",SUM(N36+P36+R36+T36+V36+X36+Z36+AB36+AD36+AF36),0)</f>
        <v>0</v>
      </c>
      <c r="EB36" s="1">
        <f t="shared" si="3"/>
        <v>0</v>
      </c>
      <c r="ED36" s="285">
        <f t="shared" si="4"/>
        <v>0</v>
      </c>
    </row>
    <row r="37" spans="1:134" ht="15" x14ac:dyDescent="0.25">
      <c r="A37" s="208" t="s">
        <v>662</v>
      </c>
      <c r="B37" s="803" t="s">
        <v>2344</v>
      </c>
      <c r="C37" s="193" t="s">
        <v>872</v>
      </c>
      <c r="D37" s="647" t="s">
        <v>1269</v>
      </c>
      <c r="E37" s="889"/>
      <c r="F37" s="625">
        <f>VLOOKUP(D37,prezzi,5,)</f>
        <v>241.5</v>
      </c>
      <c r="G37" s="694"/>
      <c r="H37" s="58"/>
      <c r="I37" s="58"/>
      <c r="J37" s="58"/>
      <c r="K37" s="58">
        <v>1</v>
      </c>
      <c r="L37" s="58"/>
      <c r="M37" s="58"/>
      <c r="N37" s="658"/>
      <c r="O37" s="256"/>
      <c r="P37" s="256"/>
      <c r="Q37" s="256"/>
      <c r="R37" s="255"/>
      <c r="S37" s="256"/>
      <c r="T37" s="256"/>
      <c r="U37" s="256"/>
      <c r="V37" s="255"/>
      <c r="W37" s="256"/>
      <c r="X37" s="256"/>
      <c r="Y37" s="256"/>
      <c r="Z37" s="255"/>
      <c r="AA37" s="256"/>
      <c r="AB37" s="256"/>
      <c r="AC37" s="256"/>
      <c r="AD37" s="255"/>
      <c r="AE37" s="256"/>
      <c r="AF37" s="256"/>
      <c r="AH37" s="546">
        <f t="shared" si="0"/>
        <v>0</v>
      </c>
      <c r="AI37" s="66">
        <f t="shared" si="98"/>
        <v>0</v>
      </c>
      <c r="AL37" s="706" t="str">
        <f t="shared" si="5"/>
        <v>-ciclofiltro con scheda esterna 4 valvole</v>
      </c>
      <c r="AM37" s="683">
        <f t="shared" si="7"/>
        <v>0</v>
      </c>
      <c r="AN37" s="674">
        <f t="shared" si="8"/>
        <v>0</v>
      </c>
      <c r="AO37" s="684">
        <f t="shared" si="9"/>
        <v>0</v>
      </c>
      <c r="AP37" s="674">
        <f t="shared" si="10"/>
        <v>0</v>
      </c>
      <c r="AQ37" s="684">
        <f t="shared" si="11"/>
        <v>0</v>
      </c>
      <c r="AR37" s="674">
        <f t="shared" si="12"/>
        <v>0</v>
      </c>
      <c r="AS37" s="684">
        <f t="shared" si="13"/>
        <v>0</v>
      </c>
      <c r="AT37" s="674">
        <f t="shared" si="14"/>
        <v>0</v>
      </c>
      <c r="AU37" s="684">
        <f t="shared" si="15"/>
        <v>0</v>
      </c>
      <c r="AV37" s="674">
        <f t="shared" si="16"/>
        <v>0</v>
      </c>
      <c r="AW37" s="684">
        <f t="shared" si="17"/>
        <v>0</v>
      </c>
      <c r="AX37" s="674">
        <f t="shared" si="18"/>
        <v>0</v>
      </c>
      <c r="AY37" s="684">
        <f t="shared" si="19"/>
        <v>0</v>
      </c>
      <c r="AZ37" s="674">
        <f t="shared" si="20"/>
        <v>0</v>
      </c>
      <c r="BA37" s="684">
        <f t="shared" si="21"/>
        <v>0</v>
      </c>
      <c r="BB37" s="674">
        <f t="shared" si="22"/>
        <v>0</v>
      </c>
      <c r="BC37" s="684">
        <f t="shared" si="23"/>
        <v>0</v>
      </c>
      <c r="BD37" s="674">
        <f t="shared" si="24"/>
        <v>0</v>
      </c>
      <c r="BE37" s="684">
        <f>AF37*$F37</f>
        <v>0</v>
      </c>
      <c r="BF37" s="1">
        <f t="shared" si="26"/>
        <v>0</v>
      </c>
      <c r="BG37" s="1">
        <f>P37*$G37</f>
        <v>0</v>
      </c>
      <c r="BH37" s="1">
        <f>R37*$G37</f>
        <v>0</v>
      </c>
      <c r="BI37" s="1">
        <f>T37*$G37</f>
        <v>0</v>
      </c>
      <c r="BJ37" s="1">
        <f>V37*$G37</f>
        <v>0</v>
      </c>
      <c r="BK37" s="1">
        <f>X37*$G37</f>
        <v>0</v>
      </c>
      <c r="BL37" s="1">
        <f>Z37*$G37</f>
        <v>0</v>
      </c>
      <c r="BM37" s="1">
        <f>AB37*$G37</f>
        <v>0</v>
      </c>
      <c r="BN37" s="1">
        <f>AD37*$G37</f>
        <v>0</v>
      </c>
      <c r="BO37" s="69">
        <f>AF37*$G37</f>
        <v>0</v>
      </c>
      <c r="BP37" s="1">
        <f t="shared" si="36"/>
        <v>0</v>
      </c>
      <c r="BQ37" s="1">
        <f>P37*$H37</f>
        <v>0</v>
      </c>
      <c r="BR37" s="1">
        <f>R37*$H37</f>
        <v>0</v>
      </c>
      <c r="BS37" s="1">
        <f>T37*$H37</f>
        <v>0</v>
      </c>
      <c r="BT37" s="1">
        <f>V37*$H37</f>
        <v>0</v>
      </c>
      <c r="BU37" s="1">
        <f>X37*$H37</f>
        <v>0</v>
      </c>
      <c r="BV37" s="1">
        <f>Z37*$H37</f>
        <v>0</v>
      </c>
      <c r="BW37" s="1">
        <f>AB37*$H37</f>
        <v>0</v>
      </c>
      <c r="BX37" s="1">
        <f>AD37*$H37</f>
        <v>0</v>
      </c>
      <c r="BY37" s="69">
        <f>AF37*$H37</f>
        <v>0</v>
      </c>
      <c r="BZ37" s="1">
        <f t="shared" si="46"/>
        <v>0</v>
      </c>
      <c r="CA37" s="1">
        <f>P37*$I37</f>
        <v>0</v>
      </c>
      <c r="CB37" s="1">
        <f>R37*$I37</f>
        <v>0</v>
      </c>
      <c r="CC37" s="1">
        <f>T37*$I37</f>
        <v>0</v>
      </c>
      <c r="CD37" s="1">
        <f>V37*$I37</f>
        <v>0</v>
      </c>
      <c r="CE37" s="1">
        <f>X37*$I37</f>
        <v>0</v>
      </c>
      <c r="CF37" s="1">
        <f>Z37*$I37</f>
        <v>0</v>
      </c>
      <c r="CG37" s="1">
        <f>AB37*$I37</f>
        <v>0</v>
      </c>
      <c r="CH37" s="1">
        <f>AD37*$I37</f>
        <v>0</v>
      </c>
      <c r="CI37" s="69">
        <f>AF37*$I37</f>
        <v>0</v>
      </c>
      <c r="CJ37" s="1">
        <f t="shared" si="56"/>
        <v>0</v>
      </c>
      <c r="CK37" s="1">
        <f t="shared" si="57"/>
        <v>0</v>
      </c>
      <c r="CL37" s="1">
        <f t="shared" si="58"/>
        <v>0</v>
      </c>
      <c r="CM37" s="1">
        <f t="shared" si="59"/>
        <v>0</v>
      </c>
      <c r="CN37" s="1">
        <f t="shared" si="60"/>
        <v>0</v>
      </c>
      <c r="CO37" s="1">
        <f t="shared" si="61"/>
        <v>0</v>
      </c>
      <c r="CP37" s="1">
        <f t="shared" si="62"/>
        <v>0</v>
      </c>
      <c r="CQ37" s="1">
        <f t="shared" si="63"/>
        <v>0</v>
      </c>
      <c r="CR37" s="1">
        <f t="shared" si="96"/>
        <v>0</v>
      </c>
      <c r="CS37" s="69">
        <f t="shared" si="97"/>
        <v>0</v>
      </c>
      <c r="CT37" s="1">
        <f t="shared" si="64"/>
        <v>0</v>
      </c>
      <c r="CU37" s="1">
        <f t="shared" si="100"/>
        <v>0</v>
      </c>
      <c r="CV37" s="1">
        <f t="shared" si="101"/>
        <v>0</v>
      </c>
      <c r="CW37" s="1">
        <f t="shared" si="102"/>
        <v>0</v>
      </c>
      <c r="CX37" s="1">
        <f t="shared" si="103"/>
        <v>0</v>
      </c>
      <c r="CY37" s="1">
        <f t="shared" si="104"/>
        <v>0</v>
      </c>
      <c r="CZ37" s="1">
        <f t="shared" si="105"/>
        <v>0</v>
      </c>
      <c r="DA37" s="1">
        <f t="shared" si="106"/>
        <v>0</v>
      </c>
      <c r="DB37" s="1">
        <f t="shared" si="107"/>
        <v>0</v>
      </c>
      <c r="DC37" s="69">
        <f t="shared" si="108"/>
        <v>0</v>
      </c>
      <c r="DD37" s="1">
        <f t="shared" si="74"/>
        <v>0</v>
      </c>
      <c r="DE37" s="1">
        <f t="shared" si="109"/>
        <v>0</v>
      </c>
      <c r="DF37" s="1">
        <f t="shared" si="110"/>
        <v>0</v>
      </c>
      <c r="DG37" s="1">
        <f t="shared" si="111"/>
        <v>0</v>
      </c>
      <c r="DH37" s="1">
        <f t="shared" si="112"/>
        <v>0</v>
      </c>
      <c r="DI37" s="1">
        <f t="shared" si="113"/>
        <v>0</v>
      </c>
      <c r="DJ37" s="1">
        <f t="shared" si="114"/>
        <v>0</v>
      </c>
      <c r="DK37" s="1">
        <f t="shared" si="115"/>
        <v>0</v>
      </c>
      <c r="DL37" s="1">
        <f t="shared" si="116"/>
        <v>0</v>
      </c>
      <c r="DM37" s="69">
        <f t="shared" si="117"/>
        <v>0</v>
      </c>
      <c r="DN37" s="1">
        <f t="shared" si="84"/>
        <v>0</v>
      </c>
      <c r="DO37" s="1">
        <f>P37*$M37</f>
        <v>0</v>
      </c>
      <c r="DP37" s="1">
        <f>R37*$M37</f>
        <v>0</v>
      </c>
      <c r="DQ37" s="1">
        <f>T37*$M37</f>
        <v>0</v>
      </c>
      <c r="DR37" s="1">
        <f>V37*$M37</f>
        <v>0</v>
      </c>
      <c r="DS37" s="1">
        <f>X37*$M37</f>
        <v>0</v>
      </c>
      <c r="DT37" s="1">
        <f>Z37*$M37</f>
        <v>0</v>
      </c>
      <c r="DU37" s="1">
        <f>AB37*$M37</f>
        <v>0</v>
      </c>
      <c r="DV37" s="1">
        <f>AD37*$M37</f>
        <v>0</v>
      </c>
      <c r="DW37" s="69">
        <f>AF37*$M37</f>
        <v>0</v>
      </c>
      <c r="DX37" s="1">
        <v>1</v>
      </c>
      <c r="DY37" s="69">
        <f t="shared" si="94"/>
        <v>15</v>
      </c>
      <c r="DZ37" s="1">
        <f t="shared" si="99"/>
        <v>0</v>
      </c>
      <c r="EA37" s="1">
        <f>IF(C37="a",SUM(N37+P37+R37+T37+V37+X37+Z37+AB37+AD37+AF37),0)</f>
        <v>0</v>
      </c>
      <c r="EB37" s="1">
        <f t="shared" si="3"/>
        <v>0</v>
      </c>
      <c r="ED37" s="285">
        <f t="shared" si="4"/>
        <v>0</v>
      </c>
    </row>
    <row r="38" spans="1:134" ht="15" x14ac:dyDescent="0.25">
      <c r="A38" s="208" t="s">
        <v>662</v>
      </c>
      <c r="B38" s="800" t="s">
        <v>2345</v>
      </c>
      <c r="C38" s="192" t="s">
        <v>872</v>
      </c>
      <c r="D38" s="646" t="s">
        <v>1271</v>
      </c>
      <c r="E38" s="889"/>
      <c r="F38" s="625">
        <f>VLOOKUP(D38,prezzi,5,)*K38</f>
        <v>17.248799999999999</v>
      </c>
      <c r="G38" s="694"/>
      <c r="H38" s="58"/>
      <c r="I38" s="58"/>
      <c r="J38" s="58"/>
      <c r="K38" s="269">
        <v>2</v>
      </c>
      <c r="L38" s="58"/>
      <c r="M38" s="58"/>
      <c r="N38" s="658"/>
      <c r="O38" s="256"/>
      <c r="P38" s="256"/>
      <c r="Q38" s="256"/>
      <c r="R38" s="255"/>
      <c r="S38" s="256"/>
      <c r="T38" s="256"/>
      <c r="U38" s="256"/>
      <c r="V38" s="255"/>
      <c r="W38" s="256"/>
      <c r="X38" s="256"/>
      <c r="Y38" s="256"/>
      <c r="Z38" s="255"/>
      <c r="AA38" s="256"/>
      <c r="AB38" s="256"/>
      <c r="AC38" s="256"/>
      <c r="AD38" s="255"/>
      <c r="AE38" s="256"/>
      <c r="AF38" s="256"/>
      <c r="AH38" s="546">
        <f t="shared" si="0"/>
        <v>0</v>
      </c>
      <c r="AI38" s="66">
        <f t="shared" si="98"/>
        <v>0</v>
      </c>
      <c r="AL38" s="706" t="str">
        <f t="shared" si="5"/>
        <v>-ciclofiltro</v>
      </c>
      <c r="AM38" s="683">
        <f t="shared" si="7"/>
        <v>0</v>
      </c>
      <c r="AN38" s="674">
        <f t="shared" si="8"/>
        <v>0</v>
      </c>
      <c r="AO38" s="684">
        <f t="shared" si="9"/>
        <v>0</v>
      </c>
      <c r="AP38" s="674">
        <f t="shared" si="10"/>
        <v>0</v>
      </c>
      <c r="AQ38" s="684">
        <f t="shared" si="11"/>
        <v>0</v>
      </c>
      <c r="AR38" s="674">
        <f t="shared" si="12"/>
        <v>0</v>
      </c>
      <c r="AS38" s="684">
        <f t="shared" si="13"/>
        <v>0</v>
      </c>
      <c r="AT38" s="674">
        <f t="shared" si="14"/>
        <v>0</v>
      </c>
      <c r="AU38" s="684">
        <f t="shared" si="15"/>
        <v>0</v>
      </c>
      <c r="AV38" s="674">
        <f t="shared" si="16"/>
        <v>0</v>
      </c>
      <c r="AW38" s="684">
        <f t="shared" si="17"/>
        <v>0</v>
      </c>
      <c r="AX38" s="674">
        <f t="shared" si="18"/>
        <v>0</v>
      </c>
      <c r="AY38" s="684">
        <f t="shared" si="19"/>
        <v>0</v>
      </c>
      <c r="AZ38" s="674">
        <f t="shared" si="20"/>
        <v>0</v>
      </c>
      <c r="BA38" s="684">
        <f t="shared" si="21"/>
        <v>0</v>
      </c>
      <c r="BB38" s="674">
        <f t="shared" si="22"/>
        <v>0</v>
      </c>
      <c r="BC38" s="684">
        <f t="shared" si="23"/>
        <v>0</v>
      </c>
      <c r="BD38" s="674">
        <f t="shared" si="24"/>
        <v>0</v>
      </c>
      <c r="BE38" s="684">
        <f>AF38*$F38</f>
        <v>0</v>
      </c>
      <c r="BF38" s="1">
        <f t="shared" si="26"/>
        <v>0</v>
      </c>
      <c r="BG38" s="1">
        <f>P38*$G38</f>
        <v>0</v>
      </c>
      <c r="BH38" s="1">
        <f>R38*$G38</f>
        <v>0</v>
      </c>
      <c r="BI38" s="1">
        <f>T38*$G38</f>
        <v>0</v>
      </c>
      <c r="BJ38" s="1">
        <f>V38*$G38</f>
        <v>0</v>
      </c>
      <c r="BK38" s="1">
        <f>X38*$G38</f>
        <v>0</v>
      </c>
      <c r="BL38" s="1">
        <f>Z38*$G38</f>
        <v>0</v>
      </c>
      <c r="BM38" s="1">
        <f>AB38*$G38</f>
        <v>0</v>
      </c>
      <c r="BN38" s="1">
        <f>AD38*$G38</f>
        <v>0</v>
      </c>
      <c r="BO38" s="69">
        <f>AF38*$G38</f>
        <v>0</v>
      </c>
      <c r="BP38" s="1">
        <f t="shared" si="36"/>
        <v>0</v>
      </c>
      <c r="BQ38" s="1">
        <f>P38*$H38</f>
        <v>0</v>
      </c>
      <c r="BR38" s="1">
        <f>R38*$H38</f>
        <v>0</v>
      </c>
      <c r="BS38" s="1">
        <f>T38*$H38</f>
        <v>0</v>
      </c>
      <c r="BT38" s="1">
        <f>V38*$H38</f>
        <v>0</v>
      </c>
      <c r="BU38" s="1">
        <f>X38*$H38</f>
        <v>0</v>
      </c>
      <c r="BV38" s="1">
        <f>Z38*$H38</f>
        <v>0</v>
      </c>
      <c r="BW38" s="1">
        <f>AB38*$H38</f>
        <v>0</v>
      </c>
      <c r="BX38" s="1">
        <f>AD38*$H38</f>
        <v>0</v>
      </c>
      <c r="BY38" s="69">
        <f>AF38*$H38</f>
        <v>0</v>
      </c>
      <c r="BZ38" s="1">
        <f t="shared" si="46"/>
        <v>0</v>
      </c>
      <c r="CA38" s="1">
        <f>P38*$I38</f>
        <v>0</v>
      </c>
      <c r="CB38" s="1">
        <f>R38*$I38</f>
        <v>0</v>
      </c>
      <c r="CC38" s="1">
        <f>T38*$I38</f>
        <v>0</v>
      </c>
      <c r="CD38" s="1">
        <f>V38*$I38</f>
        <v>0</v>
      </c>
      <c r="CE38" s="1">
        <f>X38*$I38</f>
        <v>0</v>
      </c>
      <c r="CF38" s="1">
        <f>Z38*$I38</f>
        <v>0</v>
      </c>
      <c r="CG38" s="1">
        <f>AB38*$I38</f>
        <v>0</v>
      </c>
      <c r="CH38" s="1">
        <f>AD38*$I38</f>
        <v>0</v>
      </c>
      <c r="CI38" s="69">
        <f>AF38*$I38</f>
        <v>0</v>
      </c>
      <c r="CJ38" s="1">
        <f t="shared" si="56"/>
        <v>0</v>
      </c>
      <c r="CK38" s="1">
        <f t="shared" si="57"/>
        <v>0</v>
      </c>
      <c r="CL38" s="1">
        <f t="shared" si="58"/>
        <v>0</v>
      </c>
      <c r="CM38" s="1">
        <f t="shared" si="59"/>
        <v>0</v>
      </c>
      <c r="CN38" s="1">
        <f t="shared" si="60"/>
        <v>0</v>
      </c>
      <c r="CO38" s="1">
        <f t="shared" si="61"/>
        <v>0</v>
      </c>
      <c r="CP38" s="1">
        <f t="shared" si="62"/>
        <v>0</v>
      </c>
      <c r="CQ38" s="1">
        <f t="shared" si="63"/>
        <v>0</v>
      </c>
      <c r="CR38" s="1">
        <f t="shared" si="96"/>
        <v>0</v>
      </c>
      <c r="CS38" s="69">
        <f t="shared" si="97"/>
        <v>0</v>
      </c>
      <c r="CT38" s="1">
        <f t="shared" si="64"/>
        <v>0</v>
      </c>
      <c r="CU38" s="1">
        <f t="shared" si="100"/>
        <v>0</v>
      </c>
      <c r="CV38" s="1">
        <f t="shared" si="101"/>
        <v>0</v>
      </c>
      <c r="CW38" s="1">
        <f t="shared" si="102"/>
        <v>0</v>
      </c>
      <c r="CX38" s="1">
        <f t="shared" si="103"/>
        <v>0</v>
      </c>
      <c r="CY38" s="1">
        <f t="shared" si="104"/>
        <v>0</v>
      </c>
      <c r="CZ38" s="1">
        <f t="shared" si="105"/>
        <v>0</v>
      </c>
      <c r="DA38" s="1">
        <f t="shared" si="106"/>
        <v>0</v>
      </c>
      <c r="DB38" s="1">
        <f t="shared" si="107"/>
        <v>0</v>
      </c>
      <c r="DC38" s="69">
        <f t="shared" si="108"/>
        <v>0</v>
      </c>
      <c r="DD38" s="1">
        <f t="shared" si="74"/>
        <v>0</v>
      </c>
      <c r="DE38" s="1">
        <f t="shared" si="109"/>
        <v>0</v>
      </c>
      <c r="DF38" s="1">
        <f t="shared" si="110"/>
        <v>0</v>
      </c>
      <c r="DG38" s="1">
        <f t="shared" si="111"/>
        <v>0</v>
      </c>
      <c r="DH38" s="1">
        <f t="shared" si="112"/>
        <v>0</v>
      </c>
      <c r="DI38" s="1">
        <f t="shared" si="113"/>
        <v>0</v>
      </c>
      <c r="DJ38" s="1">
        <f t="shared" si="114"/>
        <v>0</v>
      </c>
      <c r="DK38" s="1">
        <f t="shared" si="115"/>
        <v>0</v>
      </c>
      <c r="DL38" s="1">
        <f t="shared" si="116"/>
        <v>0</v>
      </c>
      <c r="DM38" s="69">
        <f t="shared" si="117"/>
        <v>0</v>
      </c>
      <c r="DN38" s="1">
        <f t="shared" si="84"/>
        <v>0</v>
      </c>
      <c r="DO38" s="1">
        <f>P38*$M38</f>
        <v>0</v>
      </c>
      <c r="DP38" s="1">
        <f>R38*$M38</f>
        <v>0</v>
      </c>
      <c r="DQ38" s="1">
        <f>T38*$M38</f>
        <v>0</v>
      </c>
      <c r="DR38" s="1">
        <f>V38*$M38</f>
        <v>0</v>
      </c>
      <c r="DS38" s="1">
        <f>X38*$M38</f>
        <v>0</v>
      </c>
      <c r="DT38" s="1">
        <f>Z38*$M38</f>
        <v>0</v>
      </c>
      <c r="DU38" s="1">
        <f>AB38*$M38</f>
        <v>0</v>
      </c>
      <c r="DV38" s="1">
        <f>AD38*$M38</f>
        <v>0</v>
      </c>
      <c r="DW38" s="69">
        <f>AF38*$M38</f>
        <v>0</v>
      </c>
      <c r="DX38" s="1">
        <v>1</v>
      </c>
      <c r="DY38" s="69">
        <f t="shared" si="94"/>
        <v>16</v>
      </c>
      <c r="DZ38" s="202">
        <f t="shared" si="99"/>
        <v>0</v>
      </c>
      <c r="EA38" s="202">
        <f>IF(C38="a",SUM((N38+P38+R38+T38+V38+X38+Z38+AB38+AD38+AF38)/4,0))</f>
        <v>0</v>
      </c>
      <c r="EB38" s="1">
        <f t="shared" si="3"/>
        <v>0</v>
      </c>
      <c r="ED38" s="285">
        <f t="shared" si="4"/>
        <v>0</v>
      </c>
    </row>
    <row r="39" spans="1:134" ht="15" x14ac:dyDescent="0.25">
      <c r="A39" s="208" t="s">
        <v>662</v>
      </c>
      <c r="B39" s="801" t="s">
        <v>2346</v>
      </c>
      <c r="C39" s="192" t="s">
        <v>872</v>
      </c>
      <c r="D39" s="646" t="s">
        <v>1271</v>
      </c>
      <c r="E39" s="889"/>
      <c r="F39" s="625">
        <f>VLOOKUP(D39,prezzi,5,)*K39</f>
        <v>34.497599999999998</v>
      </c>
      <c r="G39" s="694"/>
      <c r="H39" s="58"/>
      <c r="I39" s="58"/>
      <c r="J39" s="58"/>
      <c r="K39" s="269">
        <v>4</v>
      </c>
      <c r="L39" s="58"/>
      <c r="M39" s="58"/>
      <c r="N39" s="658"/>
      <c r="O39" s="256"/>
      <c r="P39" s="256"/>
      <c r="Q39" s="256"/>
      <c r="R39" s="255"/>
      <c r="S39" s="256"/>
      <c r="T39" s="256"/>
      <c r="U39" s="256"/>
      <c r="V39" s="255"/>
      <c r="W39" s="256"/>
      <c r="X39" s="256"/>
      <c r="Y39" s="256"/>
      <c r="Z39" s="255"/>
      <c r="AA39" s="256"/>
      <c r="AB39" s="256"/>
      <c r="AC39" s="256"/>
      <c r="AD39" s="255"/>
      <c r="AE39" s="256"/>
      <c r="AF39" s="256"/>
      <c r="AH39" s="546">
        <f t="shared" si="0"/>
        <v>0</v>
      </c>
      <c r="AI39" s="66">
        <f>N39*$E39</f>
        <v>0</v>
      </c>
      <c r="AL39" s="706" t="str">
        <f t="shared" si="5"/>
        <v>-ciclofiltro</v>
      </c>
      <c r="AM39" s="683">
        <f t="shared" si="7"/>
        <v>0</v>
      </c>
      <c r="AN39" s="674">
        <f>P39*$E39</f>
        <v>0</v>
      </c>
      <c r="AO39" s="684">
        <f>P39*$F39</f>
        <v>0</v>
      </c>
      <c r="AP39" s="674">
        <f>R39*$E39</f>
        <v>0</v>
      </c>
      <c r="AQ39" s="684">
        <f>R39*$F39</f>
        <v>0</v>
      </c>
      <c r="AR39" s="674">
        <f>T39*$E39</f>
        <v>0</v>
      </c>
      <c r="AS39" s="684">
        <f>T39*$F39</f>
        <v>0</v>
      </c>
      <c r="AT39" s="674">
        <f>V39*$E39</f>
        <v>0</v>
      </c>
      <c r="AU39" s="684">
        <f>V39*$F39</f>
        <v>0</v>
      </c>
      <c r="AV39" s="674">
        <f>X39*$E39</f>
        <v>0</v>
      </c>
      <c r="AW39" s="684">
        <f>X39*$F39</f>
        <v>0</v>
      </c>
      <c r="AX39" s="674">
        <f>Z39*$E39</f>
        <v>0</v>
      </c>
      <c r="AY39" s="684">
        <f>Z39*$F39</f>
        <v>0</v>
      </c>
      <c r="AZ39" s="674">
        <f>AB39*$E39</f>
        <v>0</v>
      </c>
      <c r="BA39" s="684">
        <f>AB39*$F39</f>
        <v>0</v>
      </c>
      <c r="BB39" s="674">
        <f>AD39*$E39</f>
        <v>0</v>
      </c>
      <c r="BC39" s="684">
        <f>AD39*$F39</f>
        <v>0</v>
      </c>
      <c r="BD39" s="674">
        <f>AF39*$E39</f>
        <v>0</v>
      </c>
      <c r="BE39" s="684">
        <f>AF39*$F39</f>
        <v>0</v>
      </c>
      <c r="BF39" s="1">
        <f>N39*$G39</f>
        <v>0</v>
      </c>
      <c r="BG39" s="1">
        <f>P39*$G39</f>
        <v>0</v>
      </c>
      <c r="BH39" s="1">
        <f>R39*$G39</f>
        <v>0</v>
      </c>
      <c r="BI39" s="1">
        <f>T39*$G39</f>
        <v>0</v>
      </c>
      <c r="BJ39" s="1">
        <f>V39*$G39</f>
        <v>0</v>
      </c>
      <c r="BK39" s="1">
        <f>X39*$G39</f>
        <v>0</v>
      </c>
      <c r="BL39" s="1">
        <f>Z39*$G39</f>
        <v>0</v>
      </c>
      <c r="BM39" s="1">
        <f>AB39*$G39</f>
        <v>0</v>
      </c>
      <c r="BN39" s="1">
        <f>AD39*$G39</f>
        <v>0</v>
      </c>
      <c r="BO39" s="69">
        <f>AF39*$G39</f>
        <v>0</v>
      </c>
      <c r="BP39" s="1">
        <f>N39*$H39</f>
        <v>0</v>
      </c>
      <c r="BQ39" s="1">
        <f>P39*$H39</f>
        <v>0</v>
      </c>
      <c r="BR39" s="1">
        <f>R39*$H39</f>
        <v>0</v>
      </c>
      <c r="BS39" s="1">
        <f>T39*$H39</f>
        <v>0</v>
      </c>
      <c r="BT39" s="1">
        <f>V39*$H39</f>
        <v>0</v>
      </c>
      <c r="BU39" s="1">
        <f>X39*$H39</f>
        <v>0</v>
      </c>
      <c r="BV39" s="1">
        <f>Z39*$H39</f>
        <v>0</v>
      </c>
      <c r="BW39" s="1">
        <f>AB39*$H39</f>
        <v>0</v>
      </c>
      <c r="BX39" s="1">
        <f>AD39*$H39</f>
        <v>0</v>
      </c>
      <c r="BY39" s="69">
        <f>AF39*$H39</f>
        <v>0</v>
      </c>
      <c r="BZ39" s="1">
        <f>N39*$I39</f>
        <v>0</v>
      </c>
      <c r="CA39" s="1">
        <f>P39*$I39</f>
        <v>0</v>
      </c>
      <c r="CB39" s="1">
        <f>R39*$I39</f>
        <v>0</v>
      </c>
      <c r="CC39" s="1">
        <f>T39*$I39</f>
        <v>0</v>
      </c>
      <c r="CD39" s="1">
        <f>V39*$I39</f>
        <v>0</v>
      </c>
      <c r="CE39" s="1">
        <f>X39*$I39</f>
        <v>0</v>
      </c>
      <c r="CF39" s="1">
        <f>Z39*$I39</f>
        <v>0</v>
      </c>
      <c r="CG39" s="1">
        <f>AB39*$I39</f>
        <v>0</v>
      </c>
      <c r="CH39" s="1">
        <f>AD39*$I39</f>
        <v>0</v>
      </c>
      <c r="CI39" s="69">
        <f>AF39*$I39</f>
        <v>0</v>
      </c>
      <c r="CJ39" s="1">
        <f>N39*$J39</f>
        <v>0</v>
      </c>
      <c r="CK39" s="1">
        <f>P39*$J39</f>
        <v>0</v>
      </c>
      <c r="CL39" s="1">
        <f>R39*$J39</f>
        <v>0</v>
      </c>
      <c r="CM39" s="1">
        <f>T39*$J39</f>
        <v>0</v>
      </c>
      <c r="CN39" s="1">
        <f>V39*$J39</f>
        <v>0</v>
      </c>
      <c r="CO39" s="1">
        <f>X39*$J39</f>
        <v>0</v>
      </c>
      <c r="CP39" s="1">
        <f>Z39*$J39</f>
        <v>0</v>
      </c>
      <c r="CQ39" s="1">
        <f>AB39*$J39</f>
        <v>0</v>
      </c>
      <c r="CR39" s="1">
        <f>AD39*$J39</f>
        <v>0</v>
      </c>
      <c r="CS39" s="69">
        <f>AF39*$J39</f>
        <v>0</v>
      </c>
      <c r="CT39" s="1">
        <f t="shared" si="64"/>
        <v>0</v>
      </c>
      <c r="CU39" s="1">
        <f t="shared" si="100"/>
        <v>0</v>
      </c>
      <c r="CV39" s="1">
        <f t="shared" si="101"/>
        <v>0</v>
      </c>
      <c r="CW39" s="1">
        <f t="shared" si="102"/>
        <v>0</v>
      </c>
      <c r="CX39" s="1">
        <f t="shared" si="103"/>
        <v>0</v>
      </c>
      <c r="CY39" s="1">
        <f t="shared" si="104"/>
        <v>0</v>
      </c>
      <c r="CZ39" s="1">
        <f t="shared" si="105"/>
        <v>0</v>
      </c>
      <c r="DA39" s="1">
        <f t="shared" si="106"/>
        <v>0</v>
      </c>
      <c r="DB39" s="1">
        <f t="shared" si="107"/>
        <v>0</v>
      </c>
      <c r="DC39" s="69">
        <f t="shared" si="108"/>
        <v>0</v>
      </c>
      <c r="DD39" s="1">
        <f t="shared" si="74"/>
        <v>0</v>
      </c>
      <c r="DE39" s="1">
        <f t="shared" si="109"/>
        <v>0</v>
      </c>
      <c r="DF39" s="1">
        <f t="shared" si="110"/>
        <v>0</v>
      </c>
      <c r="DG39" s="1">
        <f t="shared" si="111"/>
        <v>0</v>
      </c>
      <c r="DH39" s="1">
        <f t="shared" si="112"/>
        <v>0</v>
      </c>
      <c r="DI39" s="1">
        <f t="shared" si="113"/>
        <v>0</v>
      </c>
      <c r="DJ39" s="1">
        <f t="shared" si="114"/>
        <v>0</v>
      </c>
      <c r="DK39" s="1">
        <f t="shared" si="115"/>
        <v>0</v>
      </c>
      <c r="DL39" s="1">
        <f t="shared" si="116"/>
        <v>0</v>
      </c>
      <c r="DM39" s="69">
        <f t="shared" si="117"/>
        <v>0</v>
      </c>
      <c r="DN39" s="1">
        <f>N39*$M39</f>
        <v>0</v>
      </c>
      <c r="DO39" s="1">
        <f>P39*$M39</f>
        <v>0</v>
      </c>
      <c r="DP39" s="1">
        <f>R39*$M39</f>
        <v>0</v>
      </c>
      <c r="DQ39" s="1">
        <f>T39*$M39</f>
        <v>0</v>
      </c>
      <c r="DR39" s="1">
        <f>V39*$M39</f>
        <v>0</v>
      </c>
      <c r="DS39" s="1">
        <f>X39*$M39</f>
        <v>0</v>
      </c>
      <c r="DT39" s="1">
        <f>Z39*$M39</f>
        <v>0</v>
      </c>
      <c r="DU39" s="1">
        <f>AB39*$M39</f>
        <v>0</v>
      </c>
      <c r="DV39" s="1">
        <f>AD39*$M39</f>
        <v>0</v>
      </c>
      <c r="DW39" s="69">
        <f>AF39*$M39</f>
        <v>0</v>
      </c>
      <c r="DX39" s="1">
        <v>2</v>
      </c>
      <c r="DY39" s="69">
        <f t="shared" si="94"/>
        <v>17</v>
      </c>
      <c r="DZ39" s="202">
        <f t="shared" si="99"/>
        <v>0</v>
      </c>
      <c r="EA39" s="202">
        <f>IF(C39="a",SUM((N39+P39+R39+T39+V39+X39+Z39+AB39+AD39+AF39)/4,0))</f>
        <v>0</v>
      </c>
      <c r="EB39" s="1">
        <f t="shared" si="3"/>
        <v>0</v>
      </c>
      <c r="ED39" s="285">
        <f t="shared" si="4"/>
        <v>0</v>
      </c>
    </row>
    <row r="40" spans="1:134" ht="15" x14ac:dyDescent="0.25">
      <c r="A40" s="208" t="s">
        <v>662</v>
      </c>
      <c r="B40" s="803" t="s">
        <v>2347</v>
      </c>
      <c r="C40" s="192" t="s">
        <v>872</v>
      </c>
      <c r="D40" s="646" t="s">
        <v>1271</v>
      </c>
      <c r="E40" s="889"/>
      <c r="F40" s="625">
        <f>VLOOKUP(D40,prezzi,5,)*K40</f>
        <v>68.995199999999997</v>
      </c>
      <c r="G40" s="694"/>
      <c r="H40" s="58"/>
      <c r="I40" s="58"/>
      <c r="J40" s="58"/>
      <c r="K40" s="269">
        <v>8</v>
      </c>
      <c r="L40" s="58"/>
      <c r="M40" s="58"/>
      <c r="N40" s="658"/>
      <c r="O40" s="256"/>
      <c r="P40" s="256"/>
      <c r="Q40" s="256"/>
      <c r="R40" s="255"/>
      <c r="S40" s="256"/>
      <c r="T40" s="256"/>
      <c r="U40" s="256"/>
      <c r="V40" s="255"/>
      <c r="W40" s="256"/>
      <c r="X40" s="256"/>
      <c r="Y40" s="256"/>
      <c r="Z40" s="255"/>
      <c r="AA40" s="256"/>
      <c r="AB40" s="256"/>
      <c r="AC40" s="256"/>
      <c r="AD40" s="255"/>
      <c r="AE40" s="256"/>
      <c r="AF40" s="256"/>
      <c r="AH40" s="546">
        <f t="shared" si="0"/>
        <v>0</v>
      </c>
      <c r="AI40" s="66">
        <f>N40*$E40</f>
        <v>0</v>
      </c>
      <c r="AL40" s="706" t="str">
        <f t="shared" si="5"/>
        <v>-ciclofiltro</v>
      </c>
      <c r="AM40" s="683">
        <f t="shared" si="7"/>
        <v>0</v>
      </c>
      <c r="AN40" s="674">
        <f>P40*$E40</f>
        <v>0</v>
      </c>
      <c r="AO40" s="684">
        <f>P40*$F40</f>
        <v>0</v>
      </c>
      <c r="AP40" s="674">
        <f>R40*$E40</f>
        <v>0</v>
      </c>
      <c r="AQ40" s="684">
        <f>R40*$F40</f>
        <v>0</v>
      </c>
      <c r="AR40" s="674">
        <f>T40*$E40</f>
        <v>0</v>
      </c>
      <c r="AS40" s="684">
        <f>T40*$F40</f>
        <v>0</v>
      </c>
      <c r="AT40" s="674">
        <f>V40*$E40</f>
        <v>0</v>
      </c>
      <c r="AU40" s="684">
        <f>V40*$F40</f>
        <v>0</v>
      </c>
      <c r="AV40" s="674">
        <f>X40*$E40</f>
        <v>0</v>
      </c>
      <c r="AW40" s="684">
        <f>X40*$F40</f>
        <v>0</v>
      </c>
      <c r="AX40" s="674">
        <f>Z40*$E40</f>
        <v>0</v>
      </c>
      <c r="AY40" s="684">
        <f>Z40*$F40</f>
        <v>0</v>
      </c>
      <c r="AZ40" s="674">
        <f>AB40*$E40</f>
        <v>0</v>
      </c>
      <c r="BA40" s="684">
        <f>AB40*$F40</f>
        <v>0</v>
      </c>
      <c r="BB40" s="674">
        <f>AD40*$E40</f>
        <v>0</v>
      </c>
      <c r="BC40" s="684">
        <f>AD40*$F40</f>
        <v>0</v>
      </c>
      <c r="BD40" s="674">
        <f>AF40*$E40</f>
        <v>0</v>
      </c>
      <c r="BE40" s="684">
        <f>AF40*$F40</f>
        <v>0</v>
      </c>
      <c r="BF40" s="1">
        <f>N40*$G40</f>
        <v>0</v>
      </c>
      <c r="BG40" s="1">
        <f>P40*$G40</f>
        <v>0</v>
      </c>
      <c r="BH40" s="1">
        <f>R40*$G40</f>
        <v>0</v>
      </c>
      <c r="BI40" s="1">
        <f>T40*$G40</f>
        <v>0</v>
      </c>
      <c r="BJ40" s="1">
        <f>V40*$G40</f>
        <v>0</v>
      </c>
      <c r="BK40" s="1">
        <f>X40*$G40</f>
        <v>0</v>
      </c>
      <c r="BL40" s="1">
        <f>Z40*$G40</f>
        <v>0</v>
      </c>
      <c r="BM40" s="1">
        <f>AB40*$G40</f>
        <v>0</v>
      </c>
      <c r="BN40" s="1">
        <f>AD40*$G40</f>
        <v>0</v>
      </c>
      <c r="BO40" s="69">
        <f>AF40*$G40</f>
        <v>0</v>
      </c>
      <c r="BP40" s="1">
        <f>N40*$H40</f>
        <v>0</v>
      </c>
      <c r="BQ40" s="1">
        <f>P40*$H40</f>
        <v>0</v>
      </c>
      <c r="BR40" s="1">
        <f>R40*$H40</f>
        <v>0</v>
      </c>
      <c r="BS40" s="1">
        <f>T40*$H40</f>
        <v>0</v>
      </c>
      <c r="BT40" s="1">
        <f>V40*$H40</f>
        <v>0</v>
      </c>
      <c r="BU40" s="1">
        <f>X40*$H40</f>
        <v>0</v>
      </c>
      <c r="BV40" s="1">
        <f>Z40*$H40</f>
        <v>0</v>
      </c>
      <c r="BW40" s="1">
        <f>AB40*$H40</f>
        <v>0</v>
      </c>
      <c r="BX40" s="1">
        <f>AD40*$H40</f>
        <v>0</v>
      </c>
      <c r="BY40" s="69">
        <f>AF40*$H40</f>
        <v>0</v>
      </c>
      <c r="BZ40" s="1">
        <f>N40*$I40</f>
        <v>0</v>
      </c>
      <c r="CA40" s="1">
        <f>P40*$I40</f>
        <v>0</v>
      </c>
      <c r="CB40" s="1">
        <f>R40*$I40</f>
        <v>0</v>
      </c>
      <c r="CC40" s="1">
        <f>T40*$I40</f>
        <v>0</v>
      </c>
      <c r="CD40" s="1">
        <f>V40*$I40</f>
        <v>0</v>
      </c>
      <c r="CE40" s="1">
        <f>X40*$I40</f>
        <v>0</v>
      </c>
      <c r="CF40" s="1">
        <f>Z40*$I40</f>
        <v>0</v>
      </c>
      <c r="CG40" s="1">
        <f>AB40*$I40</f>
        <v>0</v>
      </c>
      <c r="CH40" s="1">
        <f>AD40*$I40</f>
        <v>0</v>
      </c>
      <c r="CI40" s="69">
        <f>AF40*$I40</f>
        <v>0</v>
      </c>
      <c r="CJ40" s="1">
        <f>N40*$J40</f>
        <v>0</v>
      </c>
      <c r="CK40" s="1">
        <f>P40*$J40</f>
        <v>0</v>
      </c>
      <c r="CL40" s="1">
        <f>R40*$J40</f>
        <v>0</v>
      </c>
      <c r="CM40" s="1">
        <f>T40*$J40</f>
        <v>0</v>
      </c>
      <c r="CN40" s="1">
        <f>V40*$J40</f>
        <v>0</v>
      </c>
      <c r="CO40" s="1">
        <f>X40*$J40</f>
        <v>0</v>
      </c>
      <c r="CP40" s="1">
        <f>Z40*$J40</f>
        <v>0</v>
      </c>
      <c r="CQ40" s="1">
        <f>AB40*$J40</f>
        <v>0</v>
      </c>
      <c r="CR40" s="1">
        <f>AD40*$J40</f>
        <v>0</v>
      </c>
      <c r="CS40" s="69">
        <f>AF40*$J40</f>
        <v>0</v>
      </c>
      <c r="CT40" s="1">
        <f t="shared" si="64"/>
        <v>0</v>
      </c>
      <c r="CU40" s="1">
        <f t="shared" si="100"/>
        <v>0</v>
      </c>
      <c r="CV40" s="1">
        <f t="shared" si="101"/>
        <v>0</v>
      </c>
      <c r="CW40" s="1">
        <f t="shared" si="102"/>
        <v>0</v>
      </c>
      <c r="CX40" s="1">
        <f t="shared" si="103"/>
        <v>0</v>
      </c>
      <c r="CY40" s="1">
        <f t="shared" si="104"/>
        <v>0</v>
      </c>
      <c r="CZ40" s="1">
        <f t="shared" si="105"/>
        <v>0</v>
      </c>
      <c r="DA40" s="1">
        <f t="shared" si="106"/>
        <v>0</v>
      </c>
      <c r="DB40" s="1">
        <f t="shared" si="107"/>
        <v>0</v>
      </c>
      <c r="DC40" s="69">
        <f t="shared" si="108"/>
        <v>0</v>
      </c>
      <c r="DD40" s="1">
        <f t="shared" si="74"/>
        <v>0</v>
      </c>
      <c r="DE40" s="1">
        <f t="shared" si="109"/>
        <v>0</v>
      </c>
      <c r="DF40" s="1">
        <f t="shared" si="110"/>
        <v>0</v>
      </c>
      <c r="DG40" s="1">
        <f t="shared" si="111"/>
        <v>0</v>
      </c>
      <c r="DH40" s="1">
        <f t="shared" si="112"/>
        <v>0</v>
      </c>
      <c r="DI40" s="1">
        <f t="shared" si="113"/>
        <v>0</v>
      </c>
      <c r="DJ40" s="1">
        <f t="shared" si="114"/>
        <v>0</v>
      </c>
      <c r="DK40" s="1">
        <f t="shared" si="115"/>
        <v>0</v>
      </c>
      <c r="DL40" s="1">
        <f t="shared" si="116"/>
        <v>0</v>
      </c>
      <c r="DM40" s="69">
        <f t="shared" si="117"/>
        <v>0</v>
      </c>
      <c r="DN40" s="1">
        <f>N40*$M40</f>
        <v>0</v>
      </c>
      <c r="DO40" s="1">
        <f>P40*$M40</f>
        <v>0</v>
      </c>
      <c r="DP40" s="1">
        <f>R40*$M40</f>
        <v>0</v>
      </c>
      <c r="DQ40" s="1">
        <f>T40*$M40</f>
        <v>0</v>
      </c>
      <c r="DR40" s="1">
        <f>V40*$M40</f>
        <v>0</v>
      </c>
      <c r="DS40" s="1">
        <f>X40*$M40</f>
        <v>0</v>
      </c>
      <c r="DT40" s="1">
        <f>Z40*$M40</f>
        <v>0</v>
      </c>
      <c r="DU40" s="1">
        <f>AB40*$M40</f>
        <v>0</v>
      </c>
      <c r="DV40" s="1">
        <f>AD40*$M40</f>
        <v>0</v>
      </c>
      <c r="DW40" s="69">
        <f>AF40*$M40</f>
        <v>0</v>
      </c>
      <c r="DX40" s="1">
        <v>3</v>
      </c>
      <c r="DY40" s="69">
        <f t="shared" si="94"/>
        <v>18</v>
      </c>
      <c r="DZ40" s="202">
        <f t="shared" si="99"/>
        <v>0</v>
      </c>
      <c r="EA40" s="202">
        <f>IF(C40="a",SUM((N40+P40+R40+T40+V40+X40+Z40+AB40+AD40+AF40)/4,0))</f>
        <v>0</v>
      </c>
      <c r="EB40" s="1">
        <f t="shared" si="3"/>
        <v>0</v>
      </c>
      <c r="ED40" s="285">
        <f t="shared" si="4"/>
        <v>0</v>
      </c>
    </row>
    <row r="41" spans="1:134" x14ac:dyDescent="0.2">
      <c r="A41" s="208" t="s">
        <v>662</v>
      </c>
      <c r="B41" s="801" t="s">
        <v>1019</v>
      </c>
      <c r="C41" s="182" t="s">
        <v>872</v>
      </c>
      <c r="D41" s="646" t="s">
        <v>693</v>
      </c>
      <c r="E41" s="889"/>
      <c r="F41" s="625">
        <f t="shared" ref="F41:F84" si="118">VLOOKUP(D41,prezzi,5,)</f>
        <v>0</v>
      </c>
      <c r="G41" s="694"/>
      <c r="H41" s="58"/>
      <c r="I41" s="58"/>
      <c r="J41" s="58">
        <v>1</v>
      </c>
      <c r="K41" s="58"/>
      <c r="L41" s="58"/>
      <c r="M41" s="58"/>
      <c r="N41" s="658"/>
      <c r="O41" s="256"/>
      <c r="P41" s="256"/>
      <c r="Q41" s="256"/>
      <c r="R41" s="255"/>
      <c r="S41" s="256"/>
      <c r="T41" s="256"/>
      <c r="U41" s="256"/>
      <c r="V41" s="255"/>
      <c r="W41" s="256"/>
      <c r="X41" s="256"/>
      <c r="Y41" s="256"/>
      <c r="Z41" s="255"/>
      <c r="AA41" s="256"/>
      <c r="AB41" s="256"/>
      <c r="AC41" s="256"/>
      <c r="AD41" s="255"/>
      <c r="AE41" s="256"/>
      <c r="AF41" s="256"/>
      <c r="AH41" s="546">
        <f t="shared" si="0"/>
        <v>0</v>
      </c>
      <c r="AI41" s="66">
        <f t="shared" ref="AI41:AI54" si="119">N41*$E41</f>
        <v>0</v>
      </c>
      <c r="AL41" s="706" t="str">
        <f t="shared" si="5"/>
        <v>-finecorsa</v>
      </c>
      <c r="AM41" s="683">
        <f t="shared" si="7"/>
        <v>0</v>
      </c>
      <c r="AN41" s="674">
        <f>P41*$E41</f>
        <v>0</v>
      </c>
      <c r="AO41" s="684">
        <f t="shared" ref="AO41:AO47" si="120">P41*$F41</f>
        <v>0</v>
      </c>
      <c r="AP41" s="674">
        <f>R41*$E41</f>
        <v>0</v>
      </c>
      <c r="AQ41" s="684">
        <f t="shared" ref="AQ41:AQ47" si="121">R41*$F41</f>
        <v>0</v>
      </c>
      <c r="AR41" s="674">
        <f>T41*$E41</f>
        <v>0</v>
      </c>
      <c r="AS41" s="684">
        <f t="shared" ref="AS41:AS47" si="122">T41*$F41</f>
        <v>0</v>
      </c>
      <c r="AT41" s="674">
        <f>V41*$E41</f>
        <v>0</v>
      </c>
      <c r="AU41" s="684">
        <f t="shared" ref="AU41:AU47" si="123">V41*$F41</f>
        <v>0</v>
      </c>
      <c r="AV41" s="674">
        <f>X41*$E41</f>
        <v>0</v>
      </c>
      <c r="AW41" s="684">
        <f t="shared" ref="AW41:AW47" si="124">X41*$F41</f>
        <v>0</v>
      </c>
      <c r="AX41" s="674">
        <f>Z41*$E41</f>
        <v>0</v>
      </c>
      <c r="AY41" s="684">
        <f t="shared" ref="AY41:AY47" si="125">Z41*$F41</f>
        <v>0</v>
      </c>
      <c r="AZ41" s="674">
        <f>AB41*$E41</f>
        <v>0</v>
      </c>
      <c r="BA41" s="684">
        <f t="shared" ref="BA41:BA47" si="126">AB41*$F41</f>
        <v>0</v>
      </c>
      <c r="BB41" s="674">
        <f>AD41*$E41</f>
        <v>0</v>
      </c>
      <c r="BC41" s="684">
        <f t="shared" ref="BC41:BC47" si="127">AD41*$F41</f>
        <v>0</v>
      </c>
      <c r="BD41" s="674">
        <f>AF41*$E41</f>
        <v>0</v>
      </c>
      <c r="BE41" s="684">
        <f t="shared" ref="BE41:BE83" si="128">AF41*$F41</f>
        <v>0</v>
      </c>
      <c r="BF41" s="1">
        <f t="shared" ref="BF41:BF83" si="129">N41*$G41</f>
        <v>0</v>
      </c>
      <c r="BG41" s="1">
        <f t="shared" ref="BG41:BG83" si="130">P41*$G41</f>
        <v>0</v>
      </c>
      <c r="BH41" s="1">
        <f t="shared" ref="BH41:BH83" si="131">R41*$G41</f>
        <v>0</v>
      </c>
      <c r="BI41" s="1">
        <f t="shared" ref="BI41:BI83" si="132">T41*$G41</f>
        <v>0</v>
      </c>
      <c r="BJ41" s="1">
        <f t="shared" ref="BJ41:BJ83" si="133">V41*$G41</f>
        <v>0</v>
      </c>
      <c r="BK41" s="1">
        <f t="shared" ref="BK41:BK83" si="134">X41*$G41</f>
        <v>0</v>
      </c>
      <c r="BL41" s="1">
        <f t="shared" ref="BL41:BL83" si="135">Z41*$G41</f>
        <v>0</v>
      </c>
      <c r="BM41" s="1">
        <f t="shared" ref="BM41:BM83" si="136">AB41*$G41</f>
        <v>0</v>
      </c>
      <c r="BN41" s="1">
        <f t="shared" ref="BN41:BN83" si="137">AD41*$G41</f>
        <v>0</v>
      </c>
      <c r="BO41" s="69">
        <f t="shared" ref="BO41:BO83" si="138">AF41*$G41</f>
        <v>0</v>
      </c>
      <c r="BP41" s="1">
        <f t="shared" ref="BP41:BP47" si="139">N41*$H41</f>
        <v>0</v>
      </c>
      <c r="BQ41" s="1">
        <f t="shared" ref="BQ41:BQ47" si="140">P41*$H41</f>
        <v>0</v>
      </c>
      <c r="BR41" s="1">
        <f t="shared" ref="BR41:BR47" si="141">R41*$H41</f>
        <v>0</v>
      </c>
      <c r="BS41" s="1">
        <f t="shared" ref="BS41:BS47" si="142">T41*$H41</f>
        <v>0</v>
      </c>
      <c r="BT41" s="1">
        <f t="shared" ref="BT41:BT47" si="143">V41*$H41</f>
        <v>0</v>
      </c>
      <c r="BU41" s="1">
        <f t="shared" ref="BU41:BU47" si="144">X41*$H41</f>
        <v>0</v>
      </c>
      <c r="BV41" s="1">
        <f t="shared" ref="BV41:BV47" si="145">Z41*$H41</f>
        <v>0</v>
      </c>
      <c r="BW41" s="1">
        <f t="shared" ref="BW41:BW47" si="146">AB41*$H41</f>
        <v>0</v>
      </c>
      <c r="BX41" s="1">
        <f t="shared" ref="BX41:BX47" si="147">AD41*$H41</f>
        <v>0</v>
      </c>
      <c r="BY41" s="69">
        <f t="shared" ref="BY41:BY47" si="148">AF41*$H41</f>
        <v>0</v>
      </c>
      <c r="BZ41" s="1">
        <f t="shared" ref="BZ41:BZ83" si="149">N41*$I41</f>
        <v>0</v>
      </c>
      <c r="CA41" s="1">
        <f t="shared" ref="CA41:CA83" si="150">P41*$I41</f>
        <v>0</v>
      </c>
      <c r="CB41" s="1">
        <f t="shared" ref="CB41:CB83" si="151">R41*$I41</f>
        <v>0</v>
      </c>
      <c r="CC41" s="1">
        <f t="shared" ref="CC41:CC83" si="152">T41*$I41</f>
        <v>0</v>
      </c>
      <c r="CD41" s="1">
        <f t="shared" ref="CD41:CD83" si="153">V41*$I41</f>
        <v>0</v>
      </c>
      <c r="CE41" s="1">
        <f t="shared" ref="CE41:CE83" si="154">X41*$I41</f>
        <v>0</v>
      </c>
      <c r="CF41" s="1">
        <f t="shared" ref="CF41:CF83" si="155">Z41*$I41</f>
        <v>0</v>
      </c>
      <c r="CG41" s="1">
        <f t="shared" ref="CG41:CG83" si="156">AB41*$I41</f>
        <v>0</v>
      </c>
      <c r="CH41" s="1">
        <f t="shared" ref="CH41:CH83" si="157">AD41*$I41</f>
        <v>0</v>
      </c>
      <c r="CI41" s="69">
        <f t="shared" ref="CI41:CI83" si="158">AF41*$I41</f>
        <v>0</v>
      </c>
      <c r="CJ41" s="1">
        <f t="shared" ref="CJ41:CJ83" si="159">N41*$J41</f>
        <v>0</v>
      </c>
      <c r="CK41" s="1">
        <f>P41*$J41</f>
        <v>0</v>
      </c>
      <c r="CL41" s="1">
        <f>R41*$J41</f>
        <v>0</v>
      </c>
      <c r="CM41" s="1">
        <f>T41*$J41</f>
        <v>0</v>
      </c>
      <c r="CN41" s="1">
        <f>V41*$J41</f>
        <v>0</v>
      </c>
      <c r="CO41" s="1">
        <f>X41*$J41</f>
        <v>0</v>
      </c>
      <c r="CP41" s="1">
        <f>Z41*$J41</f>
        <v>0</v>
      </c>
      <c r="CQ41" s="1">
        <f>AB41*$J41</f>
        <v>0</v>
      </c>
      <c r="CR41" s="1">
        <f>AD41*$J41</f>
        <v>0</v>
      </c>
      <c r="CS41" s="69">
        <f>AF41*$J41</f>
        <v>0</v>
      </c>
      <c r="CT41" s="1">
        <f t="shared" si="64"/>
        <v>0</v>
      </c>
      <c r="CU41" s="1">
        <f t="shared" si="100"/>
        <v>0</v>
      </c>
      <c r="CV41" s="1">
        <f t="shared" si="101"/>
        <v>0</v>
      </c>
      <c r="CW41" s="1">
        <f t="shared" si="102"/>
        <v>0</v>
      </c>
      <c r="CX41" s="1">
        <f t="shared" si="103"/>
        <v>0</v>
      </c>
      <c r="CY41" s="1">
        <f t="shared" si="104"/>
        <v>0</v>
      </c>
      <c r="CZ41" s="1">
        <f t="shared" si="105"/>
        <v>0</v>
      </c>
      <c r="DA41" s="1">
        <f t="shared" si="106"/>
        <v>0</v>
      </c>
      <c r="DB41" s="1">
        <f t="shared" si="107"/>
        <v>0</v>
      </c>
      <c r="DC41" s="69">
        <f t="shared" si="108"/>
        <v>0</v>
      </c>
      <c r="DD41" s="1">
        <f t="shared" si="74"/>
        <v>0</v>
      </c>
      <c r="DE41" s="1">
        <f t="shared" si="109"/>
        <v>0</v>
      </c>
      <c r="DF41" s="1">
        <f t="shared" si="110"/>
        <v>0</v>
      </c>
      <c r="DG41" s="1">
        <f t="shared" si="111"/>
        <v>0</v>
      </c>
      <c r="DH41" s="1">
        <f t="shared" si="112"/>
        <v>0</v>
      </c>
      <c r="DI41" s="1">
        <f t="shared" si="113"/>
        <v>0</v>
      </c>
      <c r="DJ41" s="1">
        <f t="shared" si="114"/>
        <v>0</v>
      </c>
      <c r="DK41" s="1">
        <f t="shared" si="115"/>
        <v>0</v>
      </c>
      <c r="DL41" s="1">
        <f t="shared" si="116"/>
        <v>0</v>
      </c>
      <c r="DM41" s="69">
        <f t="shared" si="117"/>
        <v>0</v>
      </c>
      <c r="DN41" s="1">
        <f t="shared" ref="DN41:DN83" si="160">N41*$M41</f>
        <v>0</v>
      </c>
      <c r="DO41" s="1">
        <f t="shared" ref="DO41:DO83" si="161">P41*$M41</f>
        <v>0</v>
      </c>
      <c r="DP41" s="1">
        <f t="shared" ref="DP41:DP83" si="162">R41*$M41</f>
        <v>0</v>
      </c>
      <c r="DQ41" s="1">
        <f t="shared" ref="DQ41:DQ83" si="163">T41*$M41</f>
        <v>0</v>
      </c>
      <c r="DR41" s="1">
        <f t="shared" ref="DR41:DR83" si="164">V41*$M41</f>
        <v>0</v>
      </c>
      <c r="DS41" s="1">
        <f t="shared" ref="DS41:DS83" si="165">X41*$M41</f>
        <v>0</v>
      </c>
      <c r="DT41" s="1">
        <f t="shared" ref="DT41:DT83" si="166">Z41*$M41</f>
        <v>0</v>
      </c>
      <c r="DU41" s="1">
        <f t="shared" ref="DU41:DU83" si="167">AB41*$M41</f>
        <v>0</v>
      </c>
      <c r="DV41" s="1">
        <f t="shared" ref="DV41:DV83" si="168">AD41*$M41</f>
        <v>0</v>
      </c>
      <c r="DW41" s="69">
        <f t="shared" ref="DW41:DW83" si="169">AF41*$M41</f>
        <v>0</v>
      </c>
      <c r="DX41" s="1">
        <v>1</v>
      </c>
      <c r="DY41" s="69">
        <f t="shared" si="94"/>
        <v>19</v>
      </c>
      <c r="DZ41" s="1">
        <f t="shared" si="99"/>
        <v>0</v>
      </c>
      <c r="EA41" s="1">
        <f t="shared" ref="EA41:EA73" si="170">IF(C41="a",SUM(N41+P41+R41+T41+V41+X41+Z41+AB41+AD41+AF41),0)</f>
        <v>0</v>
      </c>
      <c r="EB41" s="1">
        <f t="shared" si="3"/>
        <v>0</v>
      </c>
      <c r="ED41" s="285">
        <f t="shared" si="4"/>
        <v>0</v>
      </c>
    </row>
    <row r="42" spans="1:134" ht="15" x14ac:dyDescent="0.25">
      <c r="A42" s="208" t="s">
        <v>662</v>
      </c>
      <c r="B42" s="801" t="s">
        <v>2326</v>
      </c>
      <c r="C42" s="182" t="s">
        <v>872</v>
      </c>
      <c r="D42" s="646" t="s">
        <v>695</v>
      </c>
      <c r="E42" s="889"/>
      <c r="F42" s="625">
        <f t="shared" si="118"/>
        <v>0</v>
      </c>
      <c r="G42" s="694"/>
      <c r="H42" s="58"/>
      <c r="I42" s="58"/>
      <c r="J42" s="58">
        <v>2</v>
      </c>
      <c r="K42" s="58">
        <v>1</v>
      </c>
      <c r="L42" s="58"/>
      <c r="M42" s="58"/>
      <c r="N42" s="658"/>
      <c r="O42" s="256"/>
      <c r="P42" s="256"/>
      <c r="Q42" s="256"/>
      <c r="R42" s="255"/>
      <c r="S42" s="256"/>
      <c r="T42" s="256"/>
      <c r="U42" s="256"/>
      <c r="V42" s="255"/>
      <c r="W42" s="256"/>
      <c r="X42" s="256"/>
      <c r="Y42" s="256"/>
      <c r="Z42" s="255"/>
      <c r="AA42" s="256"/>
      <c r="AB42" s="256"/>
      <c r="AC42" s="256"/>
      <c r="AD42" s="255"/>
      <c r="AE42" s="256"/>
      <c r="AF42" s="256"/>
      <c r="AH42" s="546">
        <f t="shared" si="0"/>
        <v>0</v>
      </c>
      <c r="AI42" s="66">
        <f t="shared" si="119"/>
        <v>0</v>
      </c>
      <c r="AL42" s="706" t="str">
        <f t="shared" si="5"/>
        <v>-valvola monostabile + 2 finecorsa</v>
      </c>
      <c r="AM42" s="683">
        <f t="shared" si="7"/>
        <v>0</v>
      </c>
      <c r="AN42" s="674">
        <f t="shared" ref="AN42:AN94" si="171">P42*$E42</f>
        <v>0</v>
      </c>
      <c r="AO42" s="684">
        <f t="shared" si="120"/>
        <v>0</v>
      </c>
      <c r="AP42" s="674">
        <f t="shared" ref="AP42:AP94" si="172">R42*$E42</f>
        <v>0</v>
      </c>
      <c r="AQ42" s="684">
        <f t="shared" si="121"/>
        <v>0</v>
      </c>
      <c r="AR42" s="674">
        <f t="shared" ref="AR42:AR94" si="173">T42*$E42</f>
        <v>0</v>
      </c>
      <c r="AS42" s="684">
        <f t="shared" si="122"/>
        <v>0</v>
      </c>
      <c r="AT42" s="674">
        <f t="shared" ref="AT42:AT94" si="174">V42*$E42</f>
        <v>0</v>
      </c>
      <c r="AU42" s="684">
        <f t="shared" si="123"/>
        <v>0</v>
      </c>
      <c r="AV42" s="674">
        <f t="shared" ref="AV42:AV94" si="175">X42*$E42</f>
        <v>0</v>
      </c>
      <c r="AW42" s="684">
        <f t="shared" si="124"/>
        <v>0</v>
      </c>
      <c r="AX42" s="674">
        <f t="shared" ref="AX42:AX94" si="176">Z42*$E42</f>
        <v>0</v>
      </c>
      <c r="AY42" s="684">
        <f t="shared" si="125"/>
        <v>0</v>
      </c>
      <c r="AZ42" s="674">
        <f t="shared" ref="AZ42:AZ94" si="177">AB42*$E42</f>
        <v>0</v>
      </c>
      <c r="BA42" s="684">
        <f t="shared" si="126"/>
        <v>0</v>
      </c>
      <c r="BB42" s="674">
        <f t="shared" ref="BB42:BB94" si="178">AD42*$E42</f>
        <v>0</v>
      </c>
      <c r="BC42" s="684">
        <f t="shared" si="127"/>
        <v>0</v>
      </c>
      <c r="BD42" s="674">
        <f t="shared" ref="BD42:BD94" si="179">AF42*$E42</f>
        <v>0</v>
      </c>
      <c r="BE42" s="684">
        <f t="shared" si="128"/>
        <v>0</v>
      </c>
      <c r="BF42" s="1">
        <f t="shared" si="129"/>
        <v>0</v>
      </c>
      <c r="BG42" s="1">
        <f t="shared" si="130"/>
        <v>0</v>
      </c>
      <c r="BH42" s="1">
        <f t="shared" si="131"/>
        <v>0</v>
      </c>
      <c r="BI42" s="1">
        <f t="shared" si="132"/>
        <v>0</v>
      </c>
      <c r="BJ42" s="1">
        <f t="shared" si="133"/>
        <v>0</v>
      </c>
      <c r="BK42" s="1">
        <f t="shared" si="134"/>
        <v>0</v>
      </c>
      <c r="BL42" s="1">
        <f t="shared" si="135"/>
        <v>0</v>
      </c>
      <c r="BM42" s="1">
        <f t="shared" si="136"/>
        <v>0</v>
      </c>
      <c r="BN42" s="1">
        <f t="shared" si="137"/>
        <v>0</v>
      </c>
      <c r="BO42" s="69">
        <f t="shared" si="138"/>
        <v>0</v>
      </c>
      <c r="BP42" s="1">
        <f t="shared" si="139"/>
        <v>0</v>
      </c>
      <c r="BQ42" s="1">
        <f t="shared" si="140"/>
        <v>0</v>
      </c>
      <c r="BR42" s="1">
        <f t="shared" si="141"/>
        <v>0</v>
      </c>
      <c r="BS42" s="1">
        <f t="shared" si="142"/>
        <v>0</v>
      </c>
      <c r="BT42" s="1">
        <f t="shared" si="143"/>
        <v>0</v>
      </c>
      <c r="BU42" s="1">
        <f t="shared" si="144"/>
        <v>0</v>
      </c>
      <c r="BV42" s="1">
        <f t="shared" si="145"/>
        <v>0</v>
      </c>
      <c r="BW42" s="1">
        <f t="shared" si="146"/>
        <v>0</v>
      </c>
      <c r="BX42" s="1">
        <f t="shared" si="147"/>
        <v>0</v>
      </c>
      <c r="BY42" s="69">
        <f t="shared" si="148"/>
        <v>0</v>
      </c>
      <c r="BZ42" s="1">
        <f t="shared" si="149"/>
        <v>0</v>
      </c>
      <c r="CA42" s="1">
        <f t="shared" si="150"/>
        <v>0</v>
      </c>
      <c r="CB42" s="1">
        <f t="shared" si="151"/>
        <v>0</v>
      </c>
      <c r="CC42" s="1">
        <f t="shared" si="152"/>
        <v>0</v>
      </c>
      <c r="CD42" s="1">
        <f t="shared" si="153"/>
        <v>0</v>
      </c>
      <c r="CE42" s="1">
        <f t="shared" si="154"/>
        <v>0</v>
      </c>
      <c r="CF42" s="1">
        <f t="shared" si="155"/>
        <v>0</v>
      </c>
      <c r="CG42" s="1">
        <f t="shared" si="156"/>
        <v>0</v>
      </c>
      <c r="CH42" s="1">
        <f t="shared" si="157"/>
        <v>0</v>
      </c>
      <c r="CI42" s="69">
        <f t="shared" si="158"/>
        <v>0</v>
      </c>
      <c r="CJ42" s="1">
        <f t="shared" si="159"/>
        <v>0</v>
      </c>
      <c r="CK42" s="1">
        <f t="shared" ref="CK42:CK94" si="180">P42*$J42</f>
        <v>0</v>
      </c>
      <c r="CL42" s="1">
        <f t="shared" ref="CL42:CL94" si="181">R42*$J42</f>
        <v>0</v>
      </c>
      <c r="CM42" s="1">
        <f t="shared" ref="CM42:CM94" si="182">T42*$J42</f>
        <v>0</v>
      </c>
      <c r="CN42" s="1">
        <f t="shared" ref="CN42:CN94" si="183">V42*$J42</f>
        <v>0</v>
      </c>
      <c r="CO42" s="1">
        <f t="shared" ref="CO42:CO94" si="184">X42*$J42</f>
        <v>0</v>
      </c>
      <c r="CP42" s="1">
        <f t="shared" ref="CP42:CP94" si="185">Z42*$J42</f>
        <v>0</v>
      </c>
      <c r="CQ42" s="1">
        <f t="shared" ref="CQ42:CQ94" si="186">AB42*$J42</f>
        <v>0</v>
      </c>
      <c r="CR42" s="1">
        <f t="shared" ref="CR42:CR94" si="187">AD42*$J42</f>
        <v>0</v>
      </c>
      <c r="CS42" s="69">
        <f t="shared" ref="CS42:CS94" si="188">AF42*$J42</f>
        <v>0</v>
      </c>
      <c r="CT42" s="1">
        <f t="shared" si="64"/>
        <v>0</v>
      </c>
      <c r="CU42" s="1">
        <f t="shared" si="100"/>
        <v>0</v>
      </c>
      <c r="CV42" s="1">
        <f t="shared" si="101"/>
        <v>0</v>
      </c>
      <c r="CW42" s="1">
        <f t="shared" si="102"/>
        <v>0</v>
      </c>
      <c r="CX42" s="1">
        <f t="shared" si="103"/>
        <v>0</v>
      </c>
      <c r="CY42" s="1">
        <f t="shared" si="104"/>
        <v>0</v>
      </c>
      <c r="CZ42" s="1">
        <f t="shared" si="105"/>
        <v>0</v>
      </c>
      <c r="DA42" s="1">
        <f t="shared" si="106"/>
        <v>0</v>
      </c>
      <c r="DB42" s="1">
        <f t="shared" si="107"/>
        <v>0</v>
      </c>
      <c r="DC42" s="69">
        <f t="shared" si="108"/>
        <v>0</v>
      </c>
      <c r="DD42" s="1">
        <f t="shared" si="74"/>
        <v>0</v>
      </c>
      <c r="DE42" s="1">
        <f t="shared" si="109"/>
        <v>0</v>
      </c>
      <c r="DF42" s="1">
        <f t="shared" si="110"/>
        <v>0</v>
      </c>
      <c r="DG42" s="1">
        <f t="shared" si="111"/>
        <v>0</v>
      </c>
      <c r="DH42" s="1">
        <f t="shared" si="112"/>
        <v>0</v>
      </c>
      <c r="DI42" s="1">
        <f t="shared" si="113"/>
        <v>0</v>
      </c>
      <c r="DJ42" s="1">
        <f t="shared" si="114"/>
        <v>0</v>
      </c>
      <c r="DK42" s="1">
        <f t="shared" si="115"/>
        <v>0</v>
      </c>
      <c r="DL42" s="1">
        <f t="shared" si="116"/>
        <v>0</v>
      </c>
      <c r="DM42" s="69">
        <f t="shared" si="117"/>
        <v>0</v>
      </c>
      <c r="DN42" s="1">
        <f t="shared" si="160"/>
        <v>0</v>
      </c>
      <c r="DO42" s="1">
        <f t="shared" si="161"/>
        <v>0</v>
      </c>
      <c r="DP42" s="1">
        <f t="shared" si="162"/>
        <v>0</v>
      </c>
      <c r="DQ42" s="1">
        <f t="shared" si="163"/>
        <v>0</v>
      </c>
      <c r="DR42" s="1">
        <f t="shared" si="164"/>
        <v>0</v>
      </c>
      <c r="DS42" s="1">
        <f t="shared" si="165"/>
        <v>0</v>
      </c>
      <c r="DT42" s="1">
        <f t="shared" si="166"/>
        <v>0</v>
      </c>
      <c r="DU42" s="1">
        <f t="shared" si="167"/>
        <v>0</v>
      </c>
      <c r="DV42" s="1">
        <f t="shared" si="168"/>
        <v>0</v>
      </c>
      <c r="DW42" s="69">
        <f t="shared" si="169"/>
        <v>0</v>
      </c>
      <c r="DX42" s="1">
        <v>1</v>
      </c>
      <c r="DY42" s="69">
        <f t="shared" si="94"/>
        <v>20</v>
      </c>
      <c r="DZ42" s="1">
        <f t="shared" si="99"/>
        <v>0</v>
      </c>
      <c r="EA42" s="1">
        <f t="shared" si="170"/>
        <v>0</v>
      </c>
      <c r="EB42" s="1">
        <f t="shared" si="3"/>
        <v>0</v>
      </c>
      <c r="ED42" s="285">
        <f t="shared" si="4"/>
        <v>0</v>
      </c>
    </row>
    <row r="43" spans="1:134" ht="15" x14ac:dyDescent="0.25">
      <c r="A43" s="208" t="s">
        <v>662</v>
      </c>
      <c r="B43" s="803" t="s">
        <v>2327</v>
      </c>
      <c r="C43" s="192" t="s">
        <v>872</v>
      </c>
      <c r="D43" s="335" t="s">
        <v>697</v>
      </c>
      <c r="E43" s="889"/>
      <c r="F43" s="625">
        <f t="shared" si="118"/>
        <v>0</v>
      </c>
      <c r="G43" s="269"/>
      <c r="H43" s="58"/>
      <c r="I43" s="58"/>
      <c r="J43" s="58"/>
      <c r="K43" s="58">
        <v>1</v>
      </c>
      <c r="L43" s="58"/>
      <c r="M43" s="58"/>
      <c r="N43" s="658"/>
      <c r="O43" s="256"/>
      <c r="P43" s="256"/>
      <c r="Q43" s="256"/>
      <c r="R43" s="255"/>
      <c r="S43" s="256"/>
      <c r="T43" s="256"/>
      <c r="U43" s="256"/>
      <c r="V43" s="255"/>
      <c r="W43" s="256"/>
      <c r="X43" s="256"/>
      <c r="Y43" s="256"/>
      <c r="Z43" s="255"/>
      <c r="AA43" s="256"/>
      <c r="AB43" s="256"/>
      <c r="AC43" s="256"/>
      <c r="AD43" s="255"/>
      <c r="AE43" s="256"/>
      <c r="AF43" s="256"/>
      <c r="AH43" s="546">
        <f t="shared" si="0"/>
        <v>0</v>
      </c>
      <c r="AI43" s="66">
        <f t="shared" si="119"/>
        <v>0</v>
      </c>
      <c r="AL43" s="706" t="str">
        <f t="shared" si="5"/>
        <v>-valvola monostabile</v>
      </c>
      <c r="AM43" s="683">
        <f t="shared" si="7"/>
        <v>0</v>
      </c>
      <c r="AN43" s="674">
        <f t="shared" si="171"/>
        <v>0</v>
      </c>
      <c r="AO43" s="684">
        <f t="shared" si="120"/>
        <v>0</v>
      </c>
      <c r="AP43" s="674">
        <f t="shared" si="172"/>
        <v>0</v>
      </c>
      <c r="AQ43" s="684">
        <f t="shared" si="121"/>
        <v>0</v>
      </c>
      <c r="AR43" s="674">
        <f t="shared" si="173"/>
        <v>0</v>
      </c>
      <c r="AS43" s="684">
        <f t="shared" si="122"/>
        <v>0</v>
      </c>
      <c r="AT43" s="674">
        <f t="shared" si="174"/>
        <v>0</v>
      </c>
      <c r="AU43" s="684">
        <f t="shared" si="123"/>
        <v>0</v>
      </c>
      <c r="AV43" s="674">
        <f t="shared" si="175"/>
        <v>0</v>
      </c>
      <c r="AW43" s="684">
        <f t="shared" si="124"/>
        <v>0</v>
      </c>
      <c r="AX43" s="674">
        <f t="shared" si="176"/>
        <v>0</v>
      </c>
      <c r="AY43" s="684">
        <f t="shared" si="125"/>
        <v>0</v>
      </c>
      <c r="AZ43" s="674">
        <f t="shared" si="177"/>
        <v>0</v>
      </c>
      <c r="BA43" s="684">
        <f t="shared" si="126"/>
        <v>0</v>
      </c>
      <c r="BB43" s="674">
        <f t="shared" si="178"/>
        <v>0</v>
      </c>
      <c r="BC43" s="684">
        <f t="shared" si="127"/>
        <v>0</v>
      </c>
      <c r="BD43" s="674">
        <f t="shared" si="179"/>
        <v>0</v>
      </c>
      <c r="BE43" s="684">
        <f t="shared" si="128"/>
        <v>0</v>
      </c>
      <c r="BF43" s="1">
        <f t="shared" si="129"/>
        <v>0</v>
      </c>
      <c r="BG43" s="1">
        <f t="shared" si="130"/>
        <v>0</v>
      </c>
      <c r="BH43" s="1">
        <f t="shared" si="131"/>
        <v>0</v>
      </c>
      <c r="BI43" s="1">
        <f t="shared" si="132"/>
        <v>0</v>
      </c>
      <c r="BJ43" s="1">
        <f t="shared" si="133"/>
        <v>0</v>
      </c>
      <c r="BK43" s="1">
        <f t="shared" si="134"/>
        <v>0</v>
      </c>
      <c r="BL43" s="1">
        <f t="shared" si="135"/>
        <v>0</v>
      </c>
      <c r="BM43" s="1">
        <f t="shared" si="136"/>
        <v>0</v>
      </c>
      <c r="BN43" s="1">
        <f t="shared" si="137"/>
        <v>0</v>
      </c>
      <c r="BO43" s="69">
        <f t="shared" si="138"/>
        <v>0</v>
      </c>
      <c r="BP43" s="1">
        <f t="shared" si="139"/>
        <v>0</v>
      </c>
      <c r="BQ43" s="1">
        <f t="shared" si="140"/>
        <v>0</v>
      </c>
      <c r="BR43" s="1">
        <f t="shared" si="141"/>
        <v>0</v>
      </c>
      <c r="BS43" s="1">
        <f t="shared" si="142"/>
        <v>0</v>
      </c>
      <c r="BT43" s="1">
        <f t="shared" si="143"/>
        <v>0</v>
      </c>
      <c r="BU43" s="1">
        <f t="shared" si="144"/>
        <v>0</v>
      </c>
      <c r="BV43" s="1">
        <f t="shared" si="145"/>
        <v>0</v>
      </c>
      <c r="BW43" s="1">
        <f t="shared" si="146"/>
        <v>0</v>
      </c>
      <c r="BX43" s="1">
        <f t="shared" si="147"/>
        <v>0</v>
      </c>
      <c r="BY43" s="69">
        <f t="shared" si="148"/>
        <v>0</v>
      </c>
      <c r="BZ43" s="1">
        <f t="shared" si="149"/>
        <v>0</v>
      </c>
      <c r="CA43" s="1">
        <f t="shared" si="150"/>
        <v>0</v>
      </c>
      <c r="CB43" s="1">
        <f t="shared" si="151"/>
        <v>0</v>
      </c>
      <c r="CC43" s="1">
        <f t="shared" si="152"/>
        <v>0</v>
      </c>
      <c r="CD43" s="1">
        <f t="shared" si="153"/>
        <v>0</v>
      </c>
      <c r="CE43" s="1">
        <f t="shared" si="154"/>
        <v>0</v>
      </c>
      <c r="CF43" s="1">
        <f t="shared" si="155"/>
        <v>0</v>
      </c>
      <c r="CG43" s="1">
        <f t="shared" si="156"/>
        <v>0</v>
      </c>
      <c r="CH43" s="1">
        <f t="shared" si="157"/>
        <v>0</v>
      </c>
      <c r="CI43" s="69">
        <f t="shared" si="158"/>
        <v>0</v>
      </c>
      <c r="CJ43" s="1">
        <f t="shared" si="159"/>
        <v>0</v>
      </c>
      <c r="CK43" s="1">
        <f t="shared" si="180"/>
        <v>0</v>
      </c>
      <c r="CL43" s="1">
        <f t="shared" si="181"/>
        <v>0</v>
      </c>
      <c r="CM43" s="1">
        <f t="shared" si="182"/>
        <v>0</v>
      </c>
      <c r="CN43" s="1">
        <f t="shared" si="183"/>
        <v>0</v>
      </c>
      <c r="CO43" s="1">
        <f t="shared" si="184"/>
        <v>0</v>
      </c>
      <c r="CP43" s="1">
        <f t="shared" si="185"/>
        <v>0</v>
      </c>
      <c r="CQ43" s="1">
        <f t="shared" si="186"/>
        <v>0</v>
      </c>
      <c r="CR43" s="1">
        <f t="shared" si="187"/>
        <v>0</v>
      </c>
      <c r="CS43" s="69">
        <f t="shared" si="188"/>
        <v>0</v>
      </c>
      <c r="CT43" s="1">
        <f t="shared" si="64"/>
        <v>0</v>
      </c>
      <c r="CU43" s="1">
        <f t="shared" si="100"/>
        <v>0</v>
      </c>
      <c r="CV43" s="1">
        <f t="shared" si="101"/>
        <v>0</v>
      </c>
      <c r="CW43" s="1">
        <f t="shared" si="102"/>
        <v>0</v>
      </c>
      <c r="CX43" s="1">
        <f t="shared" si="103"/>
        <v>0</v>
      </c>
      <c r="CY43" s="1">
        <f t="shared" si="104"/>
        <v>0</v>
      </c>
      <c r="CZ43" s="1">
        <f t="shared" si="105"/>
        <v>0</v>
      </c>
      <c r="DA43" s="1">
        <f t="shared" si="106"/>
        <v>0</v>
      </c>
      <c r="DB43" s="1">
        <f t="shared" si="107"/>
        <v>0</v>
      </c>
      <c r="DC43" s="69">
        <f t="shared" si="108"/>
        <v>0</v>
      </c>
      <c r="DD43" s="1">
        <f t="shared" si="74"/>
        <v>0</v>
      </c>
      <c r="DE43" s="1">
        <f t="shared" si="109"/>
        <v>0</v>
      </c>
      <c r="DF43" s="1">
        <f t="shared" si="110"/>
        <v>0</v>
      </c>
      <c r="DG43" s="1">
        <f t="shared" si="111"/>
        <v>0</v>
      </c>
      <c r="DH43" s="1">
        <f t="shared" si="112"/>
        <v>0</v>
      </c>
      <c r="DI43" s="1">
        <f t="shared" si="113"/>
        <v>0</v>
      </c>
      <c r="DJ43" s="1">
        <f t="shared" si="114"/>
        <v>0</v>
      </c>
      <c r="DK43" s="1">
        <f t="shared" si="115"/>
        <v>0</v>
      </c>
      <c r="DL43" s="1">
        <f t="shared" si="116"/>
        <v>0</v>
      </c>
      <c r="DM43" s="69">
        <f t="shared" si="117"/>
        <v>0</v>
      </c>
      <c r="DN43" s="1">
        <f t="shared" si="160"/>
        <v>0</v>
      </c>
      <c r="DO43" s="1">
        <f t="shared" si="161"/>
        <v>0</v>
      </c>
      <c r="DP43" s="1">
        <f t="shared" si="162"/>
        <v>0</v>
      </c>
      <c r="DQ43" s="1">
        <f t="shared" si="163"/>
        <v>0</v>
      </c>
      <c r="DR43" s="1">
        <f t="shared" si="164"/>
        <v>0</v>
      </c>
      <c r="DS43" s="1">
        <f t="shared" si="165"/>
        <v>0</v>
      </c>
      <c r="DT43" s="1">
        <f t="shared" si="166"/>
        <v>0</v>
      </c>
      <c r="DU43" s="1">
        <f t="shared" si="167"/>
        <v>0</v>
      </c>
      <c r="DV43" s="1">
        <f t="shared" si="168"/>
        <v>0</v>
      </c>
      <c r="DW43" s="69">
        <f t="shared" si="169"/>
        <v>0</v>
      </c>
      <c r="DX43" s="1">
        <v>1</v>
      </c>
      <c r="DY43" s="69">
        <f t="shared" si="94"/>
        <v>21</v>
      </c>
      <c r="DZ43" s="1">
        <f t="shared" si="99"/>
        <v>0</v>
      </c>
      <c r="EA43" s="1">
        <f t="shared" si="170"/>
        <v>0</v>
      </c>
      <c r="EB43" s="1">
        <f t="shared" si="3"/>
        <v>0</v>
      </c>
      <c r="ED43" s="285">
        <f t="shared" si="4"/>
        <v>0</v>
      </c>
    </row>
    <row r="44" spans="1:134" x14ac:dyDescent="0.2">
      <c r="A44" s="208" t="s">
        <v>662</v>
      </c>
      <c r="B44" s="800" t="s">
        <v>2335</v>
      </c>
      <c r="C44" s="193" t="s">
        <v>872</v>
      </c>
      <c r="D44" s="647" t="s">
        <v>661</v>
      </c>
      <c r="E44" s="889"/>
      <c r="F44" s="625">
        <f t="shared" si="118"/>
        <v>0</v>
      </c>
      <c r="G44" s="694"/>
      <c r="H44" s="58"/>
      <c r="I44" s="58"/>
      <c r="J44" s="58">
        <v>1</v>
      </c>
      <c r="K44" s="58"/>
      <c r="L44" s="58"/>
      <c r="M44" s="58"/>
      <c r="N44" s="658"/>
      <c r="O44" s="256"/>
      <c r="P44" s="256"/>
      <c r="Q44" s="256"/>
      <c r="R44" s="255"/>
      <c r="S44" s="256"/>
      <c r="T44" s="256"/>
      <c r="U44" s="256"/>
      <c r="V44" s="255"/>
      <c r="W44" s="256"/>
      <c r="X44" s="256"/>
      <c r="Y44" s="256"/>
      <c r="Z44" s="255"/>
      <c r="AA44" s="256"/>
      <c r="AB44" s="256"/>
      <c r="AC44" s="256"/>
      <c r="AD44" s="255"/>
      <c r="AE44" s="256"/>
      <c r="AF44" s="256"/>
      <c r="AH44" s="546">
        <f t="shared" si="0"/>
        <v>0</v>
      </c>
      <c r="AI44" s="66">
        <f t="shared" si="119"/>
        <v>0</v>
      </c>
      <c r="AL44" s="706" t="str">
        <f t="shared" si="5"/>
        <v>-pressostato</v>
      </c>
      <c r="AM44" s="683">
        <f t="shared" si="7"/>
        <v>0</v>
      </c>
      <c r="AN44" s="674">
        <f t="shared" si="171"/>
        <v>0</v>
      </c>
      <c r="AO44" s="684">
        <f t="shared" si="120"/>
        <v>0</v>
      </c>
      <c r="AP44" s="674">
        <f t="shared" si="172"/>
        <v>0</v>
      </c>
      <c r="AQ44" s="684">
        <f t="shared" si="121"/>
        <v>0</v>
      </c>
      <c r="AR44" s="674">
        <f t="shared" si="173"/>
        <v>0</v>
      </c>
      <c r="AS44" s="684">
        <f t="shared" si="122"/>
        <v>0</v>
      </c>
      <c r="AT44" s="674">
        <f t="shared" si="174"/>
        <v>0</v>
      </c>
      <c r="AU44" s="684">
        <f t="shared" si="123"/>
        <v>0</v>
      </c>
      <c r="AV44" s="674">
        <f t="shared" si="175"/>
        <v>0</v>
      </c>
      <c r="AW44" s="684">
        <f t="shared" si="124"/>
        <v>0</v>
      </c>
      <c r="AX44" s="674">
        <f t="shared" si="176"/>
        <v>0</v>
      </c>
      <c r="AY44" s="684">
        <f t="shared" si="125"/>
        <v>0</v>
      </c>
      <c r="AZ44" s="674">
        <f t="shared" si="177"/>
        <v>0</v>
      </c>
      <c r="BA44" s="684">
        <f t="shared" si="126"/>
        <v>0</v>
      </c>
      <c r="BB44" s="674">
        <f t="shared" si="178"/>
        <v>0</v>
      </c>
      <c r="BC44" s="684">
        <f t="shared" si="127"/>
        <v>0</v>
      </c>
      <c r="BD44" s="674">
        <f t="shared" si="179"/>
        <v>0</v>
      </c>
      <c r="BE44" s="684">
        <f t="shared" si="128"/>
        <v>0</v>
      </c>
      <c r="BF44" s="1">
        <f t="shared" si="129"/>
        <v>0</v>
      </c>
      <c r="BG44" s="1">
        <f t="shared" si="130"/>
        <v>0</v>
      </c>
      <c r="BH44" s="1">
        <f t="shared" si="131"/>
        <v>0</v>
      </c>
      <c r="BI44" s="1">
        <f t="shared" si="132"/>
        <v>0</v>
      </c>
      <c r="BJ44" s="1">
        <f t="shared" si="133"/>
        <v>0</v>
      </c>
      <c r="BK44" s="1">
        <f t="shared" si="134"/>
        <v>0</v>
      </c>
      <c r="BL44" s="1">
        <f t="shared" si="135"/>
        <v>0</v>
      </c>
      <c r="BM44" s="1">
        <f t="shared" si="136"/>
        <v>0</v>
      </c>
      <c r="BN44" s="1">
        <f t="shared" si="137"/>
        <v>0</v>
      </c>
      <c r="BO44" s="69">
        <f t="shared" si="138"/>
        <v>0</v>
      </c>
      <c r="BP44" s="1">
        <f t="shared" si="139"/>
        <v>0</v>
      </c>
      <c r="BQ44" s="1">
        <f t="shared" si="140"/>
        <v>0</v>
      </c>
      <c r="BR44" s="1">
        <f t="shared" si="141"/>
        <v>0</v>
      </c>
      <c r="BS44" s="1">
        <f t="shared" si="142"/>
        <v>0</v>
      </c>
      <c r="BT44" s="1">
        <f t="shared" si="143"/>
        <v>0</v>
      </c>
      <c r="BU44" s="1">
        <f t="shared" si="144"/>
        <v>0</v>
      </c>
      <c r="BV44" s="1">
        <f t="shared" si="145"/>
        <v>0</v>
      </c>
      <c r="BW44" s="1">
        <f t="shared" si="146"/>
        <v>0</v>
      </c>
      <c r="BX44" s="1">
        <f t="shared" si="147"/>
        <v>0</v>
      </c>
      <c r="BY44" s="69">
        <f t="shared" si="148"/>
        <v>0</v>
      </c>
      <c r="BZ44" s="1">
        <f t="shared" si="149"/>
        <v>0</v>
      </c>
      <c r="CA44" s="1">
        <f t="shared" si="150"/>
        <v>0</v>
      </c>
      <c r="CB44" s="1">
        <f t="shared" si="151"/>
        <v>0</v>
      </c>
      <c r="CC44" s="1">
        <f t="shared" si="152"/>
        <v>0</v>
      </c>
      <c r="CD44" s="1">
        <f t="shared" si="153"/>
        <v>0</v>
      </c>
      <c r="CE44" s="1">
        <f t="shared" si="154"/>
        <v>0</v>
      </c>
      <c r="CF44" s="1">
        <f t="shared" si="155"/>
        <v>0</v>
      </c>
      <c r="CG44" s="1">
        <f t="shared" si="156"/>
        <v>0</v>
      </c>
      <c r="CH44" s="1">
        <f t="shared" si="157"/>
        <v>0</v>
      </c>
      <c r="CI44" s="69">
        <f t="shared" si="158"/>
        <v>0</v>
      </c>
      <c r="CJ44" s="1">
        <f t="shared" si="159"/>
        <v>0</v>
      </c>
      <c r="CK44" s="1">
        <f t="shared" si="180"/>
        <v>0</v>
      </c>
      <c r="CL44" s="1">
        <f t="shared" si="181"/>
        <v>0</v>
      </c>
      <c r="CM44" s="1">
        <f t="shared" si="182"/>
        <v>0</v>
      </c>
      <c r="CN44" s="1">
        <f t="shared" si="183"/>
        <v>0</v>
      </c>
      <c r="CO44" s="1">
        <f t="shared" si="184"/>
        <v>0</v>
      </c>
      <c r="CP44" s="1">
        <f t="shared" si="185"/>
        <v>0</v>
      </c>
      <c r="CQ44" s="1">
        <f t="shared" si="186"/>
        <v>0</v>
      </c>
      <c r="CR44" s="1">
        <f t="shared" si="187"/>
        <v>0</v>
      </c>
      <c r="CS44" s="69">
        <f t="shared" si="188"/>
        <v>0</v>
      </c>
      <c r="CT44" s="1">
        <f t="shared" si="64"/>
        <v>0</v>
      </c>
      <c r="CU44" s="1">
        <f t="shared" si="100"/>
        <v>0</v>
      </c>
      <c r="CV44" s="1">
        <f t="shared" si="101"/>
        <v>0</v>
      </c>
      <c r="CW44" s="1">
        <f t="shared" si="102"/>
        <v>0</v>
      </c>
      <c r="CX44" s="1">
        <f t="shared" si="103"/>
        <v>0</v>
      </c>
      <c r="CY44" s="1">
        <f t="shared" si="104"/>
        <v>0</v>
      </c>
      <c r="CZ44" s="1">
        <f t="shared" si="105"/>
        <v>0</v>
      </c>
      <c r="DA44" s="1">
        <f t="shared" si="106"/>
        <v>0</v>
      </c>
      <c r="DB44" s="1">
        <f t="shared" si="107"/>
        <v>0</v>
      </c>
      <c r="DC44" s="69">
        <f t="shared" si="108"/>
        <v>0</v>
      </c>
      <c r="DD44" s="1">
        <f t="shared" si="74"/>
        <v>0</v>
      </c>
      <c r="DE44" s="1">
        <f t="shared" si="109"/>
        <v>0</v>
      </c>
      <c r="DF44" s="1">
        <f t="shared" si="110"/>
        <v>0</v>
      </c>
      <c r="DG44" s="1">
        <f t="shared" si="111"/>
        <v>0</v>
      </c>
      <c r="DH44" s="1">
        <f t="shared" si="112"/>
        <v>0</v>
      </c>
      <c r="DI44" s="1">
        <f t="shared" si="113"/>
        <v>0</v>
      </c>
      <c r="DJ44" s="1">
        <f t="shared" si="114"/>
        <v>0</v>
      </c>
      <c r="DK44" s="1">
        <f t="shared" si="115"/>
        <v>0</v>
      </c>
      <c r="DL44" s="1">
        <f t="shared" si="116"/>
        <v>0</v>
      </c>
      <c r="DM44" s="69">
        <f t="shared" si="117"/>
        <v>0</v>
      </c>
      <c r="DN44" s="1">
        <f t="shared" si="160"/>
        <v>0</v>
      </c>
      <c r="DO44" s="1">
        <f t="shared" si="161"/>
        <v>0</v>
      </c>
      <c r="DP44" s="1">
        <f t="shared" si="162"/>
        <v>0</v>
      </c>
      <c r="DQ44" s="1">
        <f t="shared" si="163"/>
        <v>0</v>
      </c>
      <c r="DR44" s="1">
        <f t="shared" si="164"/>
        <v>0</v>
      </c>
      <c r="DS44" s="1">
        <f t="shared" si="165"/>
        <v>0</v>
      </c>
      <c r="DT44" s="1">
        <f t="shared" si="166"/>
        <v>0</v>
      </c>
      <c r="DU44" s="1">
        <f t="shared" si="167"/>
        <v>0</v>
      </c>
      <c r="DV44" s="1">
        <f t="shared" si="168"/>
        <v>0</v>
      </c>
      <c r="DW44" s="69">
        <f t="shared" si="169"/>
        <v>0</v>
      </c>
      <c r="DX44" s="1">
        <v>1</v>
      </c>
      <c r="DY44" s="69">
        <f t="shared" si="94"/>
        <v>22</v>
      </c>
      <c r="DZ44" s="1">
        <f t="shared" si="99"/>
        <v>0</v>
      </c>
      <c r="EA44" s="1">
        <f t="shared" si="170"/>
        <v>0</v>
      </c>
      <c r="EB44" s="1">
        <f t="shared" si="3"/>
        <v>0</v>
      </c>
      <c r="ED44" s="285">
        <f t="shared" si="4"/>
        <v>0</v>
      </c>
    </row>
    <row r="45" spans="1:134" x14ac:dyDescent="0.2">
      <c r="A45" s="208" t="s">
        <v>662</v>
      </c>
      <c r="B45" s="800" t="s">
        <v>2336</v>
      </c>
      <c r="C45" s="193" t="s">
        <v>872</v>
      </c>
      <c r="D45" s="647" t="s">
        <v>661</v>
      </c>
      <c r="E45" s="889"/>
      <c r="F45" s="625">
        <f>VLOOKUP(D45,prezzi,5,)</f>
        <v>0</v>
      </c>
      <c r="G45" s="694"/>
      <c r="H45" s="58"/>
      <c r="I45" s="58"/>
      <c r="J45" s="58">
        <v>1</v>
      </c>
      <c r="K45" s="58"/>
      <c r="L45" s="58"/>
      <c r="M45" s="58"/>
      <c r="N45" s="658"/>
      <c r="O45" s="256"/>
      <c r="P45" s="256"/>
      <c r="Q45" s="256"/>
      <c r="R45" s="255"/>
      <c r="S45" s="256"/>
      <c r="T45" s="256"/>
      <c r="U45" s="256"/>
      <c r="V45" s="255"/>
      <c r="W45" s="256"/>
      <c r="X45" s="256"/>
      <c r="Y45" s="256"/>
      <c r="Z45" s="255"/>
      <c r="AA45" s="256"/>
      <c r="AB45" s="256"/>
      <c r="AC45" s="256"/>
      <c r="AD45" s="255"/>
      <c r="AE45" s="256"/>
      <c r="AF45" s="256"/>
      <c r="AH45" s="546">
        <f t="shared" si="0"/>
        <v>0</v>
      </c>
      <c r="AI45" s="66">
        <f>N45*$E45</f>
        <v>0</v>
      </c>
      <c r="AL45" s="706" t="str">
        <f t="shared" si="5"/>
        <v>-pressostato</v>
      </c>
      <c r="AM45" s="683">
        <f t="shared" si="7"/>
        <v>0</v>
      </c>
      <c r="AN45" s="674">
        <f>P45*$E45</f>
        <v>0</v>
      </c>
      <c r="AO45" s="684">
        <f>P45*$F45</f>
        <v>0</v>
      </c>
      <c r="AP45" s="674">
        <f>R45*$E45</f>
        <v>0</v>
      </c>
      <c r="AQ45" s="684">
        <f>R45*$F45</f>
        <v>0</v>
      </c>
      <c r="AR45" s="674">
        <f>T45*$E45</f>
        <v>0</v>
      </c>
      <c r="AS45" s="684">
        <f>T45*$F45</f>
        <v>0</v>
      </c>
      <c r="AT45" s="674">
        <f>V45*$E45</f>
        <v>0</v>
      </c>
      <c r="AU45" s="684">
        <f>V45*$F45</f>
        <v>0</v>
      </c>
      <c r="AV45" s="674">
        <f>X45*$E45</f>
        <v>0</v>
      </c>
      <c r="AW45" s="684">
        <f>X45*$F45</f>
        <v>0</v>
      </c>
      <c r="AX45" s="674">
        <f>Z45*$E45</f>
        <v>0</v>
      </c>
      <c r="AY45" s="684">
        <f>Z45*$F45</f>
        <v>0</v>
      </c>
      <c r="AZ45" s="674">
        <f>AB45*$E45</f>
        <v>0</v>
      </c>
      <c r="BA45" s="684">
        <f>AB45*$F45</f>
        <v>0</v>
      </c>
      <c r="BB45" s="674">
        <f>AD45*$E45</f>
        <v>0</v>
      </c>
      <c r="BC45" s="684">
        <f>AD45*$F45</f>
        <v>0</v>
      </c>
      <c r="BD45" s="674">
        <f>AF45*$E45</f>
        <v>0</v>
      </c>
      <c r="BE45" s="684">
        <f>AF45*$F45</f>
        <v>0</v>
      </c>
      <c r="BF45" s="1">
        <f>N45*$G45</f>
        <v>0</v>
      </c>
      <c r="BG45" s="1">
        <f>P45*$G45</f>
        <v>0</v>
      </c>
      <c r="BH45" s="1">
        <f>R45*$G45</f>
        <v>0</v>
      </c>
      <c r="BI45" s="1">
        <f>T45*$G45</f>
        <v>0</v>
      </c>
      <c r="BJ45" s="1">
        <f>V45*$G45</f>
        <v>0</v>
      </c>
      <c r="BK45" s="1">
        <f>X45*$G45</f>
        <v>0</v>
      </c>
      <c r="BL45" s="1">
        <f>Z45*$G45</f>
        <v>0</v>
      </c>
      <c r="BM45" s="1">
        <f>AB45*$G45</f>
        <v>0</v>
      </c>
      <c r="BN45" s="1">
        <f>AD45*$G45</f>
        <v>0</v>
      </c>
      <c r="BO45" s="69">
        <f>AF45*$G45</f>
        <v>0</v>
      </c>
      <c r="BP45" s="1">
        <f>N45*$H45</f>
        <v>0</v>
      </c>
      <c r="BQ45" s="1">
        <f>P45*$H45</f>
        <v>0</v>
      </c>
      <c r="BR45" s="1">
        <f>R45*$H45</f>
        <v>0</v>
      </c>
      <c r="BS45" s="1">
        <f>T45*$H45</f>
        <v>0</v>
      </c>
      <c r="BT45" s="1">
        <f>V45*$H45</f>
        <v>0</v>
      </c>
      <c r="BU45" s="1">
        <f>X45*$H45</f>
        <v>0</v>
      </c>
      <c r="BV45" s="1">
        <f>Z45*$H45</f>
        <v>0</v>
      </c>
      <c r="BW45" s="1">
        <f>AB45*$H45</f>
        <v>0</v>
      </c>
      <c r="BX45" s="1">
        <f t="shared" si="147"/>
        <v>0</v>
      </c>
      <c r="BY45" s="69">
        <f>AF45*$H45</f>
        <v>0</v>
      </c>
      <c r="BZ45" s="1">
        <f>N45*$I45</f>
        <v>0</v>
      </c>
      <c r="CA45" s="1">
        <f>P45*$I45</f>
        <v>0</v>
      </c>
      <c r="CB45" s="1">
        <f>R45*$I45</f>
        <v>0</v>
      </c>
      <c r="CC45" s="1">
        <f>T45*$I45</f>
        <v>0</v>
      </c>
      <c r="CD45" s="1">
        <f>V45*$I45</f>
        <v>0</v>
      </c>
      <c r="CE45" s="1">
        <f>X45*$I45</f>
        <v>0</v>
      </c>
      <c r="CF45" s="1">
        <f>Z45*$I45</f>
        <v>0</v>
      </c>
      <c r="CG45" s="1">
        <f>AB45*$I45</f>
        <v>0</v>
      </c>
      <c r="CH45" s="1">
        <f>AD45*$I45</f>
        <v>0</v>
      </c>
      <c r="CI45" s="69">
        <f>AF45*$I45</f>
        <v>0</v>
      </c>
      <c r="CJ45" s="1">
        <f>N45*$J45</f>
        <v>0</v>
      </c>
      <c r="CK45" s="1">
        <f>P45*$J45</f>
        <v>0</v>
      </c>
      <c r="CL45" s="1">
        <f>R45*$J45</f>
        <v>0</v>
      </c>
      <c r="CM45" s="1">
        <f>T45*$J45</f>
        <v>0</v>
      </c>
      <c r="CN45" s="1">
        <f>V45*$J45</f>
        <v>0</v>
      </c>
      <c r="CO45" s="1">
        <f>X45*$J45</f>
        <v>0</v>
      </c>
      <c r="CP45" s="1">
        <f>Z45*$J45</f>
        <v>0</v>
      </c>
      <c r="CQ45" s="1">
        <f>AB45*$J45</f>
        <v>0</v>
      </c>
      <c r="CR45" s="1">
        <f>AD45*$J45</f>
        <v>0</v>
      </c>
      <c r="CS45" s="69">
        <f>AF45*$J45</f>
        <v>0</v>
      </c>
      <c r="CT45" s="1">
        <f>N45*$K45</f>
        <v>0</v>
      </c>
      <c r="CU45" s="1">
        <f>P45*$K45</f>
        <v>0</v>
      </c>
      <c r="CV45" s="1">
        <f>R45*$K45</f>
        <v>0</v>
      </c>
      <c r="CW45" s="1">
        <f>T45*$K45</f>
        <v>0</v>
      </c>
      <c r="CX45" s="1">
        <f>V45*$K45</f>
        <v>0</v>
      </c>
      <c r="CY45" s="1">
        <f>X45*$K45</f>
        <v>0</v>
      </c>
      <c r="CZ45" s="1">
        <f>Z45*$K45</f>
        <v>0</v>
      </c>
      <c r="DA45" s="1">
        <f>AB45*$K45</f>
        <v>0</v>
      </c>
      <c r="DB45" s="1">
        <f>AD45*$K45</f>
        <v>0</v>
      </c>
      <c r="DC45" s="69">
        <f>AF45*$K45</f>
        <v>0</v>
      </c>
      <c r="DD45" s="1">
        <f>N45*$L45</f>
        <v>0</v>
      </c>
      <c r="DE45" s="1">
        <f>P45*$L45</f>
        <v>0</v>
      </c>
      <c r="DF45" s="1">
        <f>R45*$L45</f>
        <v>0</v>
      </c>
      <c r="DG45" s="1">
        <f>T45*$L45</f>
        <v>0</v>
      </c>
      <c r="DH45" s="1">
        <f>V45*$L45</f>
        <v>0</v>
      </c>
      <c r="DI45" s="1">
        <f>X45*$L45</f>
        <v>0</v>
      </c>
      <c r="DJ45" s="1">
        <f>Z45*$L45</f>
        <v>0</v>
      </c>
      <c r="DK45" s="1">
        <f>AB45*$L45</f>
        <v>0</v>
      </c>
      <c r="DL45" s="1">
        <f>AD45*$L45</f>
        <v>0</v>
      </c>
      <c r="DM45" s="69">
        <f>AF45*$L45</f>
        <v>0</v>
      </c>
      <c r="DN45" s="1">
        <f>N45*$M45</f>
        <v>0</v>
      </c>
      <c r="DO45" s="1">
        <f>P45*$M45</f>
        <v>0</v>
      </c>
      <c r="DP45" s="1">
        <f>R45*$M45</f>
        <v>0</v>
      </c>
      <c r="DQ45" s="1">
        <f>T45*$M45</f>
        <v>0</v>
      </c>
      <c r="DR45" s="1">
        <f>V45*$M45</f>
        <v>0</v>
      </c>
      <c r="DS45" s="1">
        <f>X45*$M45</f>
        <v>0</v>
      </c>
      <c r="DT45" s="1">
        <f>Z45*$M45</f>
        <v>0</v>
      </c>
      <c r="DU45" s="1">
        <f>AB45*$M45</f>
        <v>0</v>
      </c>
      <c r="DV45" s="1">
        <f>AD45*$M45</f>
        <v>0</v>
      </c>
      <c r="DW45" s="69">
        <f>AF45*$M45</f>
        <v>0</v>
      </c>
      <c r="DX45" s="1">
        <v>2</v>
      </c>
      <c r="DY45" s="69">
        <f t="shared" si="94"/>
        <v>23</v>
      </c>
      <c r="DZ45" s="1">
        <f t="shared" si="99"/>
        <v>0</v>
      </c>
      <c r="EA45" s="1">
        <f t="shared" si="170"/>
        <v>0</v>
      </c>
      <c r="EB45" s="1">
        <f t="shared" si="3"/>
        <v>0</v>
      </c>
      <c r="ED45" s="285">
        <f t="shared" si="4"/>
        <v>0</v>
      </c>
    </row>
    <row r="46" spans="1:134" x14ac:dyDescent="0.2">
      <c r="A46" s="208" t="s">
        <v>662</v>
      </c>
      <c r="B46" s="801" t="s">
        <v>1020</v>
      </c>
      <c r="C46" s="182" t="s">
        <v>872</v>
      </c>
      <c r="D46" s="646" t="s">
        <v>698</v>
      </c>
      <c r="E46" s="889"/>
      <c r="F46" s="625">
        <f t="shared" si="118"/>
        <v>0</v>
      </c>
      <c r="G46" s="694"/>
      <c r="H46" s="58"/>
      <c r="I46" s="58"/>
      <c r="J46" s="58">
        <v>1</v>
      </c>
      <c r="K46" s="58"/>
      <c r="L46" s="58"/>
      <c r="M46" s="58"/>
      <c r="N46" s="658"/>
      <c r="O46" s="256"/>
      <c r="P46" s="256"/>
      <c r="Q46" s="256"/>
      <c r="R46" s="255"/>
      <c r="S46" s="256"/>
      <c r="T46" s="256"/>
      <c r="U46" s="256"/>
      <c r="V46" s="255"/>
      <c r="W46" s="256"/>
      <c r="X46" s="256"/>
      <c r="Y46" s="256"/>
      <c r="Z46" s="255"/>
      <c r="AA46" s="256"/>
      <c r="AB46" s="256"/>
      <c r="AC46" s="256"/>
      <c r="AD46" s="255"/>
      <c r="AE46" s="256"/>
      <c r="AF46" s="256"/>
      <c r="AH46" s="546">
        <f t="shared" si="0"/>
        <v>0</v>
      </c>
      <c r="AI46" s="66">
        <f t="shared" si="119"/>
        <v>0</v>
      </c>
      <c r="AL46" s="706" t="str">
        <f t="shared" si="5"/>
        <v>-livello minimo</v>
      </c>
      <c r="AM46" s="683">
        <f t="shared" si="7"/>
        <v>0</v>
      </c>
      <c r="AN46" s="674">
        <f t="shared" si="171"/>
        <v>0</v>
      </c>
      <c r="AO46" s="684">
        <f t="shared" si="120"/>
        <v>0</v>
      </c>
      <c r="AP46" s="674">
        <f t="shared" si="172"/>
        <v>0</v>
      </c>
      <c r="AQ46" s="684">
        <f t="shared" si="121"/>
        <v>0</v>
      </c>
      <c r="AR46" s="674">
        <f t="shared" si="173"/>
        <v>0</v>
      </c>
      <c r="AS46" s="684">
        <f t="shared" si="122"/>
        <v>0</v>
      </c>
      <c r="AT46" s="674">
        <f t="shared" si="174"/>
        <v>0</v>
      </c>
      <c r="AU46" s="684">
        <f t="shared" si="123"/>
        <v>0</v>
      </c>
      <c r="AV46" s="674">
        <f t="shared" si="175"/>
        <v>0</v>
      </c>
      <c r="AW46" s="684">
        <f t="shared" si="124"/>
        <v>0</v>
      </c>
      <c r="AX46" s="674">
        <f t="shared" si="176"/>
        <v>0</v>
      </c>
      <c r="AY46" s="684">
        <f t="shared" si="125"/>
        <v>0</v>
      </c>
      <c r="AZ46" s="674">
        <f t="shared" si="177"/>
        <v>0</v>
      </c>
      <c r="BA46" s="684">
        <f t="shared" si="126"/>
        <v>0</v>
      </c>
      <c r="BB46" s="674">
        <f t="shared" si="178"/>
        <v>0</v>
      </c>
      <c r="BC46" s="684">
        <f t="shared" si="127"/>
        <v>0</v>
      </c>
      <c r="BD46" s="674">
        <f t="shared" si="179"/>
        <v>0</v>
      </c>
      <c r="BE46" s="684">
        <f t="shared" si="128"/>
        <v>0</v>
      </c>
      <c r="BF46" s="1">
        <f t="shared" si="129"/>
        <v>0</v>
      </c>
      <c r="BG46" s="1">
        <f t="shared" si="130"/>
        <v>0</v>
      </c>
      <c r="BH46" s="1">
        <f t="shared" si="131"/>
        <v>0</v>
      </c>
      <c r="BI46" s="1">
        <f t="shared" si="132"/>
        <v>0</v>
      </c>
      <c r="BJ46" s="1">
        <f t="shared" si="133"/>
        <v>0</v>
      </c>
      <c r="BK46" s="1">
        <f t="shared" si="134"/>
        <v>0</v>
      </c>
      <c r="BL46" s="1">
        <f t="shared" si="135"/>
        <v>0</v>
      </c>
      <c r="BM46" s="1">
        <f t="shared" si="136"/>
        <v>0</v>
      </c>
      <c r="BN46" s="1">
        <f t="shared" si="137"/>
        <v>0</v>
      </c>
      <c r="BO46" s="69">
        <f t="shared" si="138"/>
        <v>0</v>
      </c>
      <c r="BP46" s="1">
        <f t="shared" si="139"/>
        <v>0</v>
      </c>
      <c r="BQ46" s="1">
        <f t="shared" si="140"/>
        <v>0</v>
      </c>
      <c r="BR46" s="1">
        <f t="shared" si="141"/>
        <v>0</v>
      </c>
      <c r="BS46" s="1">
        <f t="shared" si="142"/>
        <v>0</v>
      </c>
      <c r="BT46" s="1">
        <f t="shared" si="143"/>
        <v>0</v>
      </c>
      <c r="BU46" s="1">
        <f t="shared" si="144"/>
        <v>0</v>
      </c>
      <c r="BV46" s="1">
        <f t="shared" si="145"/>
        <v>0</v>
      </c>
      <c r="BW46" s="1">
        <f t="shared" si="146"/>
        <v>0</v>
      </c>
      <c r="BX46" s="1">
        <f t="shared" si="147"/>
        <v>0</v>
      </c>
      <c r="BY46" s="69">
        <f t="shared" si="148"/>
        <v>0</v>
      </c>
      <c r="BZ46" s="1">
        <f t="shared" si="149"/>
        <v>0</v>
      </c>
      <c r="CA46" s="1">
        <f t="shared" si="150"/>
        <v>0</v>
      </c>
      <c r="CB46" s="1">
        <f t="shared" si="151"/>
        <v>0</v>
      </c>
      <c r="CC46" s="1">
        <f t="shared" si="152"/>
        <v>0</v>
      </c>
      <c r="CD46" s="1">
        <f t="shared" si="153"/>
        <v>0</v>
      </c>
      <c r="CE46" s="1">
        <f t="shared" si="154"/>
        <v>0</v>
      </c>
      <c r="CF46" s="1">
        <f t="shared" si="155"/>
        <v>0</v>
      </c>
      <c r="CG46" s="1">
        <f t="shared" si="156"/>
        <v>0</v>
      </c>
      <c r="CH46" s="1">
        <f t="shared" si="157"/>
        <v>0</v>
      </c>
      <c r="CI46" s="69">
        <f t="shared" si="158"/>
        <v>0</v>
      </c>
      <c r="CJ46" s="1">
        <f t="shared" si="159"/>
        <v>0</v>
      </c>
      <c r="CK46" s="1">
        <f t="shared" si="180"/>
        <v>0</v>
      </c>
      <c r="CL46" s="1">
        <f t="shared" si="181"/>
        <v>0</v>
      </c>
      <c r="CM46" s="1">
        <f t="shared" si="182"/>
        <v>0</v>
      </c>
      <c r="CN46" s="1">
        <f t="shared" si="183"/>
        <v>0</v>
      </c>
      <c r="CO46" s="1">
        <f t="shared" si="184"/>
        <v>0</v>
      </c>
      <c r="CP46" s="1">
        <f t="shared" si="185"/>
        <v>0</v>
      </c>
      <c r="CQ46" s="1">
        <f t="shared" si="186"/>
        <v>0</v>
      </c>
      <c r="CR46" s="1">
        <f t="shared" si="187"/>
        <v>0</v>
      </c>
      <c r="CS46" s="69">
        <f t="shared" si="188"/>
        <v>0</v>
      </c>
      <c r="CT46" s="1">
        <f t="shared" si="64"/>
        <v>0</v>
      </c>
      <c r="CU46" s="1">
        <f t="shared" si="100"/>
        <v>0</v>
      </c>
      <c r="CV46" s="1">
        <f t="shared" si="101"/>
        <v>0</v>
      </c>
      <c r="CW46" s="1">
        <f t="shared" si="102"/>
        <v>0</v>
      </c>
      <c r="CX46" s="1">
        <f t="shared" si="103"/>
        <v>0</v>
      </c>
      <c r="CY46" s="1">
        <f t="shared" si="104"/>
        <v>0</v>
      </c>
      <c r="CZ46" s="1">
        <f t="shared" si="105"/>
        <v>0</v>
      </c>
      <c r="DA46" s="1">
        <f t="shared" si="106"/>
        <v>0</v>
      </c>
      <c r="DB46" s="1">
        <f t="shared" si="107"/>
        <v>0</v>
      </c>
      <c r="DC46" s="69">
        <f t="shared" si="108"/>
        <v>0</v>
      </c>
      <c r="DD46" s="1">
        <f t="shared" si="74"/>
        <v>0</v>
      </c>
      <c r="DE46" s="1">
        <f t="shared" si="109"/>
        <v>0</v>
      </c>
      <c r="DF46" s="1">
        <f t="shared" si="110"/>
        <v>0</v>
      </c>
      <c r="DG46" s="1">
        <f t="shared" si="111"/>
        <v>0</v>
      </c>
      <c r="DH46" s="1">
        <f t="shared" si="112"/>
        <v>0</v>
      </c>
      <c r="DI46" s="1">
        <f t="shared" si="113"/>
        <v>0</v>
      </c>
      <c r="DJ46" s="1">
        <f t="shared" si="114"/>
        <v>0</v>
      </c>
      <c r="DK46" s="1">
        <f t="shared" si="115"/>
        <v>0</v>
      </c>
      <c r="DL46" s="1">
        <f t="shared" si="116"/>
        <v>0</v>
      </c>
      <c r="DM46" s="69">
        <f t="shared" si="117"/>
        <v>0</v>
      </c>
      <c r="DN46" s="1">
        <f t="shared" si="160"/>
        <v>0</v>
      </c>
      <c r="DO46" s="1">
        <f t="shared" si="161"/>
        <v>0</v>
      </c>
      <c r="DP46" s="1">
        <f t="shared" si="162"/>
        <v>0</v>
      </c>
      <c r="DQ46" s="1">
        <f t="shared" si="163"/>
        <v>0</v>
      </c>
      <c r="DR46" s="1">
        <f t="shared" si="164"/>
        <v>0</v>
      </c>
      <c r="DS46" s="1">
        <f t="shared" si="165"/>
        <v>0</v>
      </c>
      <c r="DT46" s="1">
        <f t="shared" si="166"/>
        <v>0</v>
      </c>
      <c r="DU46" s="1">
        <f t="shared" si="167"/>
        <v>0</v>
      </c>
      <c r="DV46" s="1">
        <f t="shared" si="168"/>
        <v>0</v>
      </c>
      <c r="DW46" s="69">
        <f t="shared" si="169"/>
        <v>0</v>
      </c>
      <c r="DX46" s="1">
        <v>1</v>
      </c>
      <c r="DY46" s="69">
        <f t="shared" si="94"/>
        <v>24</v>
      </c>
      <c r="DZ46" s="1">
        <f t="shared" si="99"/>
        <v>0</v>
      </c>
      <c r="EA46" s="1">
        <f t="shared" si="170"/>
        <v>0</v>
      </c>
      <c r="EB46" s="1">
        <f t="shared" si="3"/>
        <v>0</v>
      </c>
      <c r="ED46" s="285">
        <f t="shared" si="4"/>
        <v>0</v>
      </c>
    </row>
    <row r="47" spans="1:134" x14ac:dyDescent="0.2">
      <c r="A47" s="208" t="s">
        <v>662</v>
      </c>
      <c r="B47" s="803" t="s">
        <v>1021</v>
      </c>
      <c r="C47" s="192" t="s">
        <v>872</v>
      </c>
      <c r="D47" s="335" t="s">
        <v>699</v>
      </c>
      <c r="E47" s="889"/>
      <c r="F47" s="625">
        <f t="shared" si="118"/>
        <v>0</v>
      </c>
      <c r="G47" s="694"/>
      <c r="H47" s="58"/>
      <c r="I47" s="58"/>
      <c r="J47" s="58">
        <v>1</v>
      </c>
      <c r="K47" s="58"/>
      <c r="L47" s="58"/>
      <c r="M47" s="58"/>
      <c r="N47" s="658"/>
      <c r="O47" s="256"/>
      <c r="P47" s="256"/>
      <c r="Q47" s="256"/>
      <c r="R47" s="255"/>
      <c r="S47" s="256"/>
      <c r="T47" s="256"/>
      <c r="U47" s="256"/>
      <c r="V47" s="255"/>
      <c r="W47" s="256"/>
      <c r="X47" s="256"/>
      <c r="Y47" s="256"/>
      <c r="Z47" s="255"/>
      <c r="AA47" s="256"/>
      <c r="AB47" s="256"/>
      <c r="AC47" s="256"/>
      <c r="AD47" s="255"/>
      <c r="AE47" s="256"/>
      <c r="AF47" s="256"/>
      <c r="AH47" s="546">
        <f t="shared" si="0"/>
        <v>0</v>
      </c>
      <c r="AI47" s="66">
        <f t="shared" si="119"/>
        <v>0</v>
      </c>
      <c r="AL47" s="706" t="str">
        <f t="shared" si="5"/>
        <v>-livello massimo</v>
      </c>
      <c r="AM47" s="683">
        <f t="shared" si="7"/>
        <v>0</v>
      </c>
      <c r="AN47" s="674">
        <f t="shared" si="171"/>
        <v>0</v>
      </c>
      <c r="AO47" s="684">
        <f t="shared" si="120"/>
        <v>0</v>
      </c>
      <c r="AP47" s="674">
        <f t="shared" si="172"/>
        <v>0</v>
      </c>
      <c r="AQ47" s="684">
        <f t="shared" si="121"/>
        <v>0</v>
      </c>
      <c r="AR47" s="674">
        <f t="shared" si="173"/>
        <v>0</v>
      </c>
      <c r="AS47" s="684">
        <f t="shared" si="122"/>
        <v>0</v>
      </c>
      <c r="AT47" s="674">
        <f t="shared" si="174"/>
        <v>0</v>
      </c>
      <c r="AU47" s="684">
        <f t="shared" si="123"/>
        <v>0</v>
      </c>
      <c r="AV47" s="674">
        <f t="shared" si="175"/>
        <v>0</v>
      </c>
      <c r="AW47" s="684">
        <f t="shared" si="124"/>
        <v>0</v>
      </c>
      <c r="AX47" s="674">
        <f t="shared" si="176"/>
        <v>0</v>
      </c>
      <c r="AY47" s="684">
        <f t="shared" si="125"/>
        <v>0</v>
      </c>
      <c r="AZ47" s="674">
        <f t="shared" si="177"/>
        <v>0</v>
      </c>
      <c r="BA47" s="684">
        <f t="shared" si="126"/>
        <v>0</v>
      </c>
      <c r="BB47" s="674">
        <f t="shared" si="178"/>
        <v>0</v>
      </c>
      <c r="BC47" s="684">
        <f t="shared" si="127"/>
        <v>0</v>
      </c>
      <c r="BD47" s="674">
        <f t="shared" si="179"/>
        <v>0</v>
      </c>
      <c r="BE47" s="684">
        <f t="shared" si="128"/>
        <v>0</v>
      </c>
      <c r="BF47" s="1">
        <f t="shared" si="129"/>
        <v>0</v>
      </c>
      <c r="BG47" s="1">
        <f t="shared" si="130"/>
        <v>0</v>
      </c>
      <c r="BH47" s="1">
        <f t="shared" si="131"/>
        <v>0</v>
      </c>
      <c r="BI47" s="1">
        <f t="shared" si="132"/>
        <v>0</v>
      </c>
      <c r="BJ47" s="1">
        <f t="shared" si="133"/>
        <v>0</v>
      </c>
      <c r="BK47" s="1">
        <f t="shared" si="134"/>
        <v>0</v>
      </c>
      <c r="BL47" s="1">
        <f t="shared" si="135"/>
        <v>0</v>
      </c>
      <c r="BM47" s="1">
        <f t="shared" si="136"/>
        <v>0</v>
      </c>
      <c r="BN47" s="1">
        <f t="shared" si="137"/>
        <v>0</v>
      </c>
      <c r="BO47" s="69">
        <f t="shared" si="138"/>
        <v>0</v>
      </c>
      <c r="BP47" s="1">
        <f t="shared" si="139"/>
        <v>0</v>
      </c>
      <c r="BQ47" s="1">
        <f t="shared" si="140"/>
        <v>0</v>
      </c>
      <c r="BR47" s="1">
        <f t="shared" si="141"/>
        <v>0</v>
      </c>
      <c r="BS47" s="1">
        <f t="shared" si="142"/>
        <v>0</v>
      </c>
      <c r="BT47" s="1">
        <f t="shared" si="143"/>
        <v>0</v>
      </c>
      <c r="BU47" s="1">
        <f t="shared" si="144"/>
        <v>0</v>
      </c>
      <c r="BV47" s="1">
        <f t="shared" si="145"/>
        <v>0</v>
      </c>
      <c r="BW47" s="1">
        <f t="shared" si="146"/>
        <v>0</v>
      </c>
      <c r="BX47" s="1">
        <f t="shared" si="147"/>
        <v>0</v>
      </c>
      <c r="BY47" s="69">
        <f t="shared" si="148"/>
        <v>0</v>
      </c>
      <c r="BZ47" s="1">
        <f t="shared" si="149"/>
        <v>0</v>
      </c>
      <c r="CA47" s="1">
        <f t="shared" si="150"/>
        <v>0</v>
      </c>
      <c r="CB47" s="1">
        <f t="shared" si="151"/>
        <v>0</v>
      </c>
      <c r="CC47" s="1">
        <f t="shared" si="152"/>
        <v>0</v>
      </c>
      <c r="CD47" s="1">
        <f t="shared" si="153"/>
        <v>0</v>
      </c>
      <c r="CE47" s="1">
        <f t="shared" si="154"/>
        <v>0</v>
      </c>
      <c r="CF47" s="1">
        <f t="shared" si="155"/>
        <v>0</v>
      </c>
      <c r="CG47" s="1">
        <f t="shared" si="156"/>
        <v>0</v>
      </c>
      <c r="CH47" s="1">
        <f t="shared" si="157"/>
        <v>0</v>
      </c>
      <c r="CI47" s="69">
        <f t="shared" si="158"/>
        <v>0</v>
      </c>
      <c r="CJ47" s="1">
        <f t="shared" si="159"/>
        <v>0</v>
      </c>
      <c r="CK47" s="1">
        <f t="shared" si="180"/>
        <v>0</v>
      </c>
      <c r="CL47" s="1">
        <f t="shared" si="181"/>
        <v>0</v>
      </c>
      <c r="CM47" s="1">
        <f t="shared" si="182"/>
        <v>0</v>
      </c>
      <c r="CN47" s="1">
        <f t="shared" si="183"/>
        <v>0</v>
      </c>
      <c r="CO47" s="1">
        <f t="shared" si="184"/>
        <v>0</v>
      </c>
      <c r="CP47" s="1">
        <f t="shared" si="185"/>
        <v>0</v>
      </c>
      <c r="CQ47" s="1">
        <f t="shared" si="186"/>
        <v>0</v>
      </c>
      <c r="CR47" s="1">
        <f t="shared" si="187"/>
        <v>0</v>
      </c>
      <c r="CS47" s="69">
        <f t="shared" si="188"/>
        <v>0</v>
      </c>
      <c r="CT47" s="1">
        <f t="shared" si="64"/>
        <v>0</v>
      </c>
      <c r="CU47" s="1">
        <f t="shared" si="100"/>
        <v>0</v>
      </c>
      <c r="CV47" s="1">
        <f t="shared" si="101"/>
        <v>0</v>
      </c>
      <c r="CW47" s="1">
        <f t="shared" si="102"/>
        <v>0</v>
      </c>
      <c r="CX47" s="1">
        <f t="shared" si="103"/>
        <v>0</v>
      </c>
      <c r="CY47" s="1">
        <f t="shared" si="104"/>
        <v>0</v>
      </c>
      <c r="CZ47" s="1">
        <f t="shared" si="105"/>
        <v>0</v>
      </c>
      <c r="DA47" s="1">
        <f t="shared" si="106"/>
        <v>0</v>
      </c>
      <c r="DB47" s="1">
        <f t="shared" si="107"/>
        <v>0</v>
      </c>
      <c r="DC47" s="69">
        <f t="shared" si="108"/>
        <v>0</v>
      </c>
      <c r="DD47" s="1">
        <f t="shared" si="74"/>
        <v>0</v>
      </c>
      <c r="DE47" s="1">
        <f t="shared" si="109"/>
        <v>0</v>
      </c>
      <c r="DF47" s="1">
        <f t="shared" si="110"/>
        <v>0</v>
      </c>
      <c r="DG47" s="1">
        <f t="shared" si="111"/>
        <v>0</v>
      </c>
      <c r="DH47" s="1">
        <f t="shared" si="112"/>
        <v>0</v>
      </c>
      <c r="DI47" s="1">
        <f t="shared" si="113"/>
        <v>0</v>
      </c>
      <c r="DJ47" s="1">
        <f t="shared" si="114"/>
        <v>0</v>
      </c>
      <c r="DK47" s="1">
        <f t="shared" si="115"/>
        <v>0</v>
      </c>
      <c r="DL47" s="1">
        <f t="shared" si="116"/>
        <v>0</v>
      </c>
      <c r="DM47" s="69">
        <f t="shared" si="117"/>
        <v>0</v>
      </c>
      <c r="DN47" s="1">
        <f t="shared" si="160"/>
        <v>0</v>
      </c>
      <c r="DO47" s="1">
        <f t="shared" si="161"/>
        <v>0</v>
      </c>
      <c r="DP47" s="1">
        <f t="shared" si="162"/>
        <v>0</v>
      </c>
      <c r="DQ47" s="1">
        <f t="shared" si="163"/>
        <v>0</v>
      </c>
      <c r="DR47" s="1">
        <f t="shared" si="164"/>
        <v>0</v>
      </c>
      <c r="DS47" s="1">
        <f t="shared" si="165"/>
        <v>0</v>
      </c>
      <c r="DT47" s="1">
        <f t="shared" si="166"/>
        <v>0</v>
      </c>
      <c r="DU47" s="1">
        <f t="shared" si="167"/>
        <v>0</v>
      </c>
      <c r="DV47" s="1">
        <f t="shared" si="168"/>
        <v>0</v>
      </c>
      <c r="DW47" s="69">
        <f t="shared" si="169"/>
        <v>0</v>
      </c>
      <c r="DX47" s="1">
        <v>1</v>
      </c>
      <c r="DY47" s="69">
        <f t="shared" si="94"/>
        <v>25</v>
      </c>
      <c r="DZ47" s="1">
        <f t="shared" si="99"/>
        <v>0</v>
      </c>
      <c r="EA47" s="1">
        <f t="shared" si="170"/>
        <v>0</v>
      </c>
      <c r="EB47" s="1">
        <f t="shared" si="3"/>
        <v>0</v>
      </c>
      <c r="ED47" s="285">
        <f t="shared" si="4"/>
        <v>0</v>
      </c>
    </row>
    <row r="48" spans="1:134" ht="15" thickBot="1" x14ac:dyDescent="0.25">
      <c r="A48" s="211" t="s">
        <v>662</v>
      </c>
      <c r="B48" s="804" t="s">
        <v>644</v>
      </c>
      <c r="C48" s="195" t="s">
        <v>874</v>
      </c>
      <c r="D48" s="648" t="s">
        <v>644</v>
      </c>
      <c r="E48" s="889"/>
      <c r="F48" s="626">
        <f t="shared" si="118"/>
        <v>441.68871000000001</v>
      </c>
      <c r="G48" s="695"/>
      <c r="H48" s="519"/>
      <c r="I48" s="519"/>
      <c r="J48" s="519">
        <f>IF(SUM(N42:N43)&gt;0,6,5)</f>
        <v>5</v>
      </c>
      <c r="K48" s="519">
        <f>IF(SUM(N42:N43)&gt;0,4,3)</f>
        <v>3</v>
      </c>
      <c r="L48" s="519"/>
      <c r="M48" s="519"/>
      <c r="N48" s="659"/>
      <c r="O48" s="260"/>
      <c r="P48" s="260"/>
      <c r="Q48" s="260"/>
      <c r="R48" s="259"/>
      <c r="S48" s="260"/>
      <c r="T48" s="260"/>
      <c r="U48" s="260"/>
      <c r="V48" s="259"/>
      <c r="W48" s="260"/>
      <c r="X48" s="260"/>
      <c r="Y48" s="260"/>
      <c r="Z48" s="259"/>
      <c r="AA48" s="260"/>
      <c r="AB48" s="260"/>
      <c r="AC48" s="260"/>
      <c r="AD48" s="259"/>
      <c r="AE48" s="260"/>
      <c r="AF48" s="260"/>
      <c r="AH48" s="546">
        <f t="shared" si="0"/>
        <v>0</v>
      </c>
      <c r="AI48" s="66">
        <f t="shared" si="119"/>
        <v>0</v>
      </c>
      <c r="AL48" s="706" t="str">
        <f t="shared" si="5"/>
        <v>-quadro carico silo</v>
      </c>
      <c r="AM48" s="683">
        <f t="shared" ref="AM48:AM82" si="189">N48*$F48</f>
        <v>0</v>
      </c>
      <c r="AN48" s="674">
        <f t="shared" si="171"/>
        <v>0</v>
      </c>
      <c r="AO48" s="683">
        <f t="shared" ref="AO48:AO82" si="190">P48*$F48</f>
        <v>0</v>
      </c>
      <c r="AP48" s="674">
        <f t="shared" si="172"/>
        <v>0</v>
      </c>
      <c r="AQ48" s="683">
        <f t="shared" ref="AQ48:AQ82" si="191">R48*$F48</f>
        <v>0</v>
      </c>
      <c r="AR48" s="674">
        <f t="shared" si="173"/>
        <v>0</v>
      </c>
      <c r="AS48" s="683">
        <f t="shared" ref="AS48:AS82" si="192">T48*$F48</f>
        <v>0</v>
      </c>
      <c r="AT48" s="674">
        <f t="shared" si="174"/>
        <v>0</v>
      </c>
      <c r="AU48" s="683">
        <f t="shared" ref="AU48:AU82" si="193">V48*$F48</f>
        <v>0</v>
      </c>
      <c r="AV48" s="674">
        <f t="shared" si="175"/>
        <v>0</v>
      </c>
      <c r="AW48" s="683">
        <f t="shared" ref="AW48:AW82" si="194">X48*$F48</f>
        <v>0</v>
      </c>
      <c r="AX48" s="674">
        <f t="shared" si="176"/>
        <v>0</v>
      </c>
      <c r="AY48" s="683">
        <f t="shared" ref="AY48:AY82" si="195">Z48*$F48</f>
        <v>0</v>
      </c>
      <c r="AZ48" s="674">
        <f t="shared" si="177"/>
        <v>0</v>
      </c>
      <c r="BA48" s="683">
        <f t="shared" ref="BA48:BA82" si="196">AB48*$F48</f>
        <v>0</v>
      </c>
      <c r="BB48" s="674">
        <f t="shared" si="178"/>
        <v>0</v>
      </c>
      <c r="BC48" s="683">
        <f t="shared" ref="BC48:BC82" si="197">AD48*$F48</f>
        <v>0</v>
      </c>
      <c r="BD48" s="674">
        <f t="shared" si="179"/>
        <v>0</v>
      </c>
      <c r="BE48" s="683">
        <f t="shared" si="128"/>
        <v>0</v>
      </c>
      <c r="BF48" s="1">
        <f t="shared" si="129"/>
        <v>0</v>
      </c>
      <c r="BG48" s="1">
        <f t="shared" si="130"/>
        <v>0</v>
      </c>
      <c r="BH48" s="1">
        <f t="shared" si="131"/>
        <v>0</v>
      </c>
      <c r="BI48" s="1">
        <f t="shared" si="132"/>
        <v>0</v>
      </c>
      <c r="BJ48" s="1">
        <f t="shared" si="133"/>
        <v>0</v>
      </c>
      <c r="BK48" s="1">
        <f t="shared" si="134"/>
        <v>0</v>
      </c>
      <c r="BL48" s="1">
        <f t="shared" si="135"/>
        <v>0</v>
      </c>
      <c r="BM48" s="1">
        <f t="shared" si="136"/>
        <v>0</v>
      </c>
      <c r="BN48" s="1">
        <f t="shared" si="137"/>
        <v>0</v>
      </c>
      <c r="BO48" s="69">
        <f t="shared" si="138"/>
        <v>0</v>
      </c>
      <c r="BP48" s="1">
        <f t="shared" ref="BP48:BP115" si="198">N48*$H48</f>
        <v>0</v>
      </c>
      <c r="BQ48" s="1">
        <f t="shared" ref="BQ48:BQ62" si="199">P48*$H48</f>
        <v>0</v>
      </c>
      <c r="BR48" s="1">
        <f t="shared" ref="BR48:BR62" si="200">R48*$H48</f>
        <v>0</v>
      </c>
      <c r="BS48" s="1">
        <f t="shared" ref="BS48:BS62" si="201">T48*$H48</f>
        <v>0</v>
      </c>
      <c r="BT48" s="1">
        <f t="shared" ref="BT48:BT62" si="202">V48*$H48</f>
        <v>0</v>
      </c>
      <c r="BU48" s="1">
        <f t="shared" ref="BU48:BU62" si="203">X48*$H48</f>
        <v>0</v>
      </c>
      <c r="BV48" s="1">
        <f t="shared" ref="BV48:BV62" si="204">Z48*$H48</f>
        <v>0</v>
      </c>
      <c r="BW48" s="1">
        <f t="shared" ref="BW48:BW62" si="205">AB48*$H48</f>
        <v>0</v>
      </c>
      <c r="BX48" s="1">
        <f t="shared" ref="BX48:BX62" si="206">AD48*$H48</f>
        <v>0</v>
      </c>
      <c r="BY48" s="69">
        <f t="shared" ref="BY48:BY62" si="207">AF48*$H48</f>
        <v>0</v>
      </c>
      <c r="BZ48" s="1">
        <f t="shared" si="149"/>
        <v>0</v>
      </c>
      <c r="CA48" s="1">
        <f t="shared" si="150"/>
        <v>0</v>
      </c>
      <c r="CB48" s="1">
        <f t="shared" si="151"/>
        <v>0</v>
      </c>
      <c r="CC48" s="1">
        <f t="shared" si="152"/>
        <v>0</v>
      </c>
      <c r="CD48" s="1">
        <f t="shared" si="153"/>
        <v>0</v>
      </c>
      <c r="CE48" s="1">
        <f t="shared" si="154"/>
        <v>0</v>
      </c>
      <c r="CF48" s="1">
        <f t="shared" si="155"/>
        <v>0</v>
      </c>
      <c r="CG48" s="1">
        <f t="shared" si="156"/>
        <v>0</v>
      </c>
      <c r="CH48" s="1">
        <f t="shared" si="157"/>
        <v>0</v>
      </c>
      <c r="CI48" s="69">
        <f t="shared" si="158"/>
        <v>0</v>
      </c>
      <c r="CJ48" s="1">
        <f t="shared" si="159"/>
        <v>0</v>
      </c>
      <c r="CK48" s="1">
        <f t="shared" si="180"/>
        <v>0</v>
      </c>
      <c r="CL48" s="1">
        <f t="shared" si="181"/>
        <v>0</v>
      </c>
      <c r="CM48" s="1">
        <f t="shared" si="182"/>
        <v>0</v>
      </c>
      <c r="CN48" s="1">
        <f t="shared" si="183"/>
        <v>0</v>
      </c>
      <c r="CO48" s="1">
        <f t="shared" si="184"/>
        <v>0</v>
      </c>
      <c r="CP48" s="1">
        <f t="shared" si="185"/>
        <v>0</v>
      </c>
      <c r="CQ48" s="1">
        <f t="shared" si="186"/>
        <v>0</v>
      </c>
      <c r="CR48" s="1">
        <f t="shared" si="187"/>
        <v>0</v>
      </c>
      <c r="CS48" s="69">
        <f t="shared" si="188"/>
        <v>0</v>
      </c>
      <c r="CT48" s="1">
        <f t="shared" ref="CT48:CT83" si="208">N48*$K48</f>
        <v>0</v>
      </c>
      <c r="CU48" s="1">
        <f t="shared" si="100"/>
        <v>0</v>
      </c>
      <c r="CV48" s="1">
        <f t="shared" si="101"/>
        <v>0</v>
      </c>
      <c r="CW48" s="1">
        <f t="shared" si="102"/>
        <v>0</v>
      </c>
      <c r="CX48" s="1">
        <f t="shared" si="103"/>
        <v>0</v>
      </c>
      <c r="CY48" s="1">
        <f t="shared" si="104"/>
        <v>0</v>
      </c>
      <c r="CZ48" s="1">
        <f t="shared" si="105"/>
        <v>0</v>
      </c>
      <c r="DA48" s="1">
        <f t="shared" si="106"/>
        <v>0</v>
      </c>
      <c r="DB48" s="1">
        <f t="shared" si="107"/>
        <v>0</v>
      </c>
      <c r="DC48" s="69">
        <f t="shared" si="108"/>
        <v>0</v>
      </c>
      <c r="DD48" s="1">
        <f t="shared" ref="DD48:DD83" si="209">N48*$L48</f>
        <v>0</v>
      </c>
      <c r="DE48" s="1">
        <f t="shared" si="109"/>
        <v>0</v>
      </c>
      <c r="DF48" s="1">
        <f t="shared" si="110"/>
        <v>0</v>
      </c>
      <c r="DG48" s="1">
        <f t="shared" si="111"/>
        <v>0</v>
      </c>
      <c r="DH48" s="1">
        <f t="shared" si="112"/>
        <v>0</v>
      </c>
      <c r="DI48" s="1">
        <f t="shared" si="113"/>
        <v>0</v>
      </c>
      <c r="DJ48" s="1">
        <f t="shared" si="114"/>
        <v>0</v>
      </c>
      <c r="DK48" s="1">
        <f t="shared" si="115"/>
        <v>0</v>
      </c>
      <c r="DL48" s="1">
        <f t="shared" si="116"/>
        <v>0</v>
      </c>
      <c r="DM48" s="69">
        <f t="shared" si="117"/>
        <v>0</v>
      </c>
      <c r="DN48" s="1">
        <f t="shared" si="160"/>
        <v>0</v>
      </c>
      <c r="DO48" s="1">
        <f t="shared" si="161"/>
        <v>0</v>
      </c>
      <c r="DP48" s="1">
        <f t="shared" si="162"/>
        <v>0</v>
      </c>
      <c r="DQ48" s="1">
        <f t="shared" si="163"/>
        <v>0</v>
      </c>
      <c r="DR48" s="1">
        <f t="shared" si="164"/>
        <v>0</v>
      </c>
      <c r="DS48" s="1">
        <f t="shared" si="165"/>
        <v>0</v>
      </c>
      <c r="DT48" s="1">
        <f t="shared" si="166"/>
        <v>0</v>
      </c>
      <c r="DU48" s="1">
        <f t="shared" si="167"/>
        <v>0</v>
      </c>
      <c r="DV48" s="1">
        <f t="shared" si="168"/>
        <v>0</v>
      </c>
      <c r="DW48" s="69">
        <f t="shared" si="169"/>
        <v>0</v>
      </c>
      <c r="DX48" s="1">
        <v>1</v>
      </c>
      <c r="DY48" s="69">
        <f t="shared" si="94"/>
        <v>26</v>
      </c>
      <c r="DZ48" s="1">
        <f t="shared" si="99"/>
        <v>0</v>
      </c>
      <c r="EA48" s="1">
        <f t="shared" si="170"/>
        <v>0</v>
      </c>
      <c r="EB48" s="1">
        <f t="shared" si="3"/>
        <v>0</v>
      </c>
      <c r="ED48" s="285">
        <f t="shared" si="4"/>
        <v>0</v>
      </c>
    </row>
    <row r="49" spans="1:134" x14ac:dyDescent="0.2">
      <c r="A49" s="842"/>
      <c r="B49" s="842" t="s">
        <v>2496</v>
      </c>
      <c r="C49" s="842"/>
      <c r="D49" s="842" t="s">
        <v>2497</v>
      </c>
      <c r="E49" s="889"/>
      <c r="F49" s="625"/>
      <c r="G49" s="269"/>
      <c r="H49" s="58"/>
      <c r="I49" s="58"/>
      <c r="J49" s="58"/>
      <c r="K49" s="58"/>
      <c r="L49" s="58"/>
      <c r="M49" s="58"/>
      <c r="N49" s="840"/>
      <c r="O49" s="840"/>
      <c r="P49" s="840"/>
      <c r="Q49" s="840"/>
      <c r="R49" s="840"/>
      <c r="S49" s="840"/>
      <c r="T49" s="840"/>
      <c r="U49" s="840"/>
      <c r="V49" s="840"/>
      <c r="W49" s="840"/>
      <c r="X49" s="840"/>
      <c r="Y49" s="840"/>
      <c r="Z49" s="840"/>
      <c r="AA49" s="840"/>
      <c r="AB49" s="840"/>
      <c r="AC49" s="840"/>
      <c r="AD49" s="840"/>
      <c r="AE49" s="841"/>
      <c r="AF49" s="840"/>
      <c r="AH49" s="832"/>
      <c r="AL49" s="706" t="str">
        <f t="shared" si="5"/>
        <v>-Totale pesature silo/serbatoi/cisterne</v>
      </c>
      <c r="AM49" s="683"/>
      <c r="AN49" s="674"/>
      <c r="AO49" s="683"/>
      <c r="AP49" s="674"/>
      <c r="AQ49" s="683"/>
      <c r="AR49" s="674"/>
      <c r="AS49" s="683"/>
      <c r="AT49" s="674"/>
      <c r="AU49" s="683"/>
      <c r="AV49" s="674"/>
      <c r="AW49" s="683"/>
      <c r="AX49" s="674"/>
      <c r="AY49" s="683"/>
      <c r="AZ49" s="674"/>
      <c r="BA49" s="683"/>
      <c r="BB49" s="674"/>
      <c r="BC49" s="683"/>
      <c r="BD49" s="674"/>
      <c r="BE49" s="683"/>
      <c r="BO49" s="1"/>
      <c r="BY49" s="1"/>
      <c r="CI49" s="1"/>
      <c r="CS49" s="1"/>
      <c r="DC49" s="1"/>
      <c r="DM49" s="1"/>
      <c r="DW49" s="1"/>
      <c r="DY49" s="1"/>
    </row>
    <row r="50" spans="1:134" s="549" customFormat="1" hidden="1" x14ac:dyDescent="0.2">
      <c r="A50" s="604" t="s">
        <v>2479</v>
      </c>
      <c r="B50" s="250" t="s">
        <v>2367</v>
      </c>
      <c r="C50" s="549" t="s">
        <v>2492</v>
      </c>
      <c r="D50" s="643" t="s">
        <v>659</v>
      </c>
      <c r="E50" s="889"/>
      <c r="F50" s="250">
        <f>VLOOKUP(D50,prezzi,5,)</f>
        <v>0</v>
      </c>
      <c r="G50" s="818">
        <v>1</v>
      </c>
      <c r="H50" s="250"/>
      <c r="I50" s="250"/>
      <c r="J50" s="250"/>
      <c r="K50" s="250"/>
      <c r="L50" s="250"/>
      <c r="M50" s="250"/>
      <c r="N50" s="668"/>
      <c r="O50" s="818"/>
      <c r="P50" s="250"/>
      <c r="Q50" s="250"/>
      <c r="R50" s="250"/>
      <c r="S50" s="250"/>
      <c r="T50" s="250"/>
      <c r="U50" s="250"/>
      <c r="V50" s="250"/>
      <c r="W50" s="250"/>
      <c r="X50" s="250"/>
      <c r="Y50" s="250"/>
      <c r="Z50" s="250"/>
      <c r="AA50" s="250"/>
      <c r="AB50" s="250"/>
      <c r="AC50" s="250"/>
      <c r="AD50" s="250"/>
      <c r="AE50" s="250"/>
      <c r="AF50" s="250"/>
      <c r="AH50" s="549">
        <f t="shared" si="0"/>
        <v>0</v>
      </c>
      <c r="AI50" s="549">
        <f>N50*$E50</f>
        <v>0</v>
      </c>
      <c r="AJ50" s="705">
        <v>1</v>
      </c>
      <c r="AK50" s="705"/>
      <c r="AL50" s="706" t="str">
        <f t="shared" si="5"/>
        <v>1-peso SIWAREX</v>
      </c>
      <c r="AM50" s="627">
        <f>N50*$F50</f>
        <v>0</v>
      </c>
      <c r="AN50" s="643">
        <f>P50*$E50</f>
        <v>0</v>
      </c>
      <c r="AO50" s="627">
        <f>P50*$F50</f>
        <v>0</v>
      </c>
      <c r="AP50" s="643">
        <f>R50*$E50</f>
        <v>0</v>
      </c>
      <c r="AQ50" s="627">
        <f>R50*$F50</f>
        <v>0</v>
      </c>
      <c r="AR50" s="643">
        <f>T50*$E50</f>
        <v>0</v>
      </c>
      <c r="AS50" s="627">
        <f>T50*$F50</f>
        <v>0</v>
      </c>
      <c r="AT50" s="643">
        <f>V50*$E50</f>
        <v>0</v>
      </c>
      <c r="AU50" s="627">
        <f>V50*$F50</f>
        <v>0</v>
      </c>
      <c r="AV50" s="643">
        <f>X50*$E50</f>
        <v>0</v>
      </c>
      <c r="AW50" s="627">
        <f>X50*$F50</f>
        <v>0</v>
      </c>
      <c r="AX50" s="643">
        <f>Z50*$E50</f>
        <v>0</v>
      </c>
      <c r="AY50" s="627">
        <f>Z50*$F50</f>
        <v>0</v>
      </c>
      <c r="AZ50" s="643">
        <f>AB50*$E50</f>
        <v>0</v>
      </c>
      <c r="BA50" s="627">
        <f>AB50*$F50</f>
        <v>0</v>
      </c>
      <c r="BB50" s="643">
        <f>AD50*$E50</f>
        <v>0</v>
      </c>
      <c r="BC50" s="627">
        <f>AD50*$F50</f>
        <v>0</v>
      </c>
      <c r="BD50" s="643">
        <f>AF50*$E50</f>
        <v>0</v>
      </c>
      <c r="BE50" s="627">
        <f>AF50*$F50</f>
        <v>0</v>
      </c>
      <c r="BF50" s="549">
        <f>N50*$G50</f>
        <v>0</v>
      </c>
      <c r="BG50" s="549">
        <f>P50*$G50</f>
        <v>0</v>
      </c>
      <c r="BH50" s="549">
        <f>R50*$G50</f>
        <v>0</v>
      </c>
      <c r="BI50" s="549">
        <f>T50*$G50</f>
        <v>0</v>
      </c>
      <c r="BJ50" s="549">
        <f>V50*$G50</f>
        <v>0</v>
      </c>
      <c r="BK50" s="549">
        <f>X50*$G50</f>
        <v>0</v>
      </c>
      <c r="BL50" s="549">
        <f>Z50*$G50</f>
        <v>0</v>
      </c>
      <c r="BM50" s="549">
        <f>AB50*$G50</f>
        <v>0</v>
      </c>
      <c r="BN50" s="549">
        <f>AD50*$G50</f>
        <v>0</v>
      </c>
      <c r="BO50" s="549">
        <f>AF50*$G50</f>
        <v>0</v>
      </c>
      <c r="BP50" s="549">
        <f>N50*$H50</f>
        <v>0</v>
      </c>
      <c r="BQ50" s="549">
        <f>P50*$H50</f>
        <v>0</v>
      </c>
      <c r="BR50" s="549">
        <f>R50*$H50</f>
        <v>0</v>
      </c>
      <c r="BS50" s="549">
        <f>T50*$H50</f>
        <v>0</v>
      </c>
      <c r="BT50" s="549">
        <f>V50*$H50</f>
        <v>0</v>
      </c>
      <c r="BU50" s="549">
        <f>X50*$H50</f>
        <v>0</v>
      </c>
      <c r="BV50" s="549">
        <f>Z50*$H50</f>
        <v>0</v>
      </c>
      <c r="BW50" s="549">
        <f>AB50*$H50</f>
        <v>0</v>
      </c>
      <c r="BX50" s="549">
        <f>AD50*$H50</f>
        <v>0</v>
      </c>
      <c r="BY50" s="549">
        <f>AF50*$H50</f>
        <v>0</v>
      </c>
      <c r="BZ50" s="549">
        <f>N50*$I50</f>
        <v>0</v>
      </c>
      <c r="CA50" s="549">
        <f>P50*$I50</f>
        <v>0</v>
      </c>
      <c r="CB50" s="549">
        <f>R50*$I50</f>
        <v>0</v>
      </c>
      <c r="CC50" s="549">
        <f>T50*$I50</f>
        <v>0</v>
      </c>
      <c r="CD50" s="549">
        <f>V50*$I50</f>
        <v>0</v>
      </c>
      <c r="CE50" s="549">
        <f>X50*$I50</f>
        <v>0</v>
      </c>
      <c r="CF50" s="549">
        <f>Z50*$I50</f>
        <v>0</v>
      </c>
      <c r="CG50" s="549">
        <f>AB50*$I50</f>
        <v>0</v>
      </c>
      <c r="CH50" s="549">
        <f>AD50*$I50</f>
        <v>0</v>
      </c>
      <c r="CI50" s="549">
        <f>AF50*$I50</f>
        <v>0</v>
      </c>
      <c r="CJ50" s="549">
        <f>N50*$J50</f>
        <v>0</v>
      </c>
      <c r="CK50" s="549">
        <f>P50*$J50</f>
        <v>0</v>
      </c>
      <c r="CL50" s="549">
        <f>R50*$J50</f>
        <v>0</v>
      </c>
      <c r="CM50" s="549">
        <f>T50*$J50</f>
        <v>0</v>
      </c>
      <c r="CN50" s="549">
        <f>V50*$J50</f>
        <v>0</v>
      </c>
      <c r="CO50" s="549">
        <f>X50*$J50</f>
        <v>0</v>
      </c>
      <c r="CP50" s="549">
        <f>Z50*$J50</f>
        <v>0</v>
      </c>
      <c r="CQ50" s="549">
        <f>AB50*$J50</f>
        <v>0</v>
      </c>
      <c r="CR50" s="549">
        <f>AD50*$J50</f>
        <v>0</v>
      </c>
      <c r="CS50" s="549">
        <f>AF50*$J50</f>
        <v>0</v>
      </c>
      <c r="CT50" s="549">
        <f>N50*$K50</f>
        <v>0</v>
      </c>
      <c r="CU50" s="549">
        <f>P50*$K50</f>
        <v>0</v>
      </c>
      <c r="CV50" s="549">
        <f>R50*$K50</f>
        <v>0</v>
      </c>
      <c r="CW50" s="549">
        <f>T50*$K50</f>
        <v>0</v>
      </c>
      <c r="CX50" s="549">
        <f>V50*$K50</f>
        <v>0</v>
      </c>
      <c r="CY50" s="549">
        <f>X50*$K50</f>
        <v>0</v>
      </c>
      <c r="CZ50" s="549">
        <f>Z50*$K50</f>
        <v>0</v>
      </c>
      <c r="DA50" s="549">
        <f>AB50*$K50</f>
        <v>0</v>
      </c>
      <c r="DB50" s="549">
        <f>AD50*$K50</f>
        <v>0</v>
      </c>
      <c r="DC50" s="549">
        <f>AF50*$K50</f>
        <v>0</v>
      </c>
      <c r="DD50" s="549">
        <f>N50*$L50</f>
        <v>0</v>
      </c>
      <c r="DE50" s="549">
        <f>P50*$L50</f>
        <v>0</v>
      </c>
      <c r="DF50" s="549">
        <f>R50*$L50</f>
        <v>0</v>
      </c>
      <c r="DG50" s="549">
        <f>T50*$L50</f>
        <v>0</v>
      </c>
      <c r="DH50" s="549">
        <f>V50*$L50</f>
        <v>0</v>
      </c>
      <c r="DI50" s="549">
        <f>X50*$L50</f>
        <v>0</v>
      </c>
      <c r="DJ50" s="549">
        <f>Z50*$L50</f>
        <v>0</v>
      </c>
      <c r="DK50" s="549">
        <f>AB50*$L50</f>
        <v>0</v>
      </c>
      <c r="DL50" s="549">
        <f>AD50*$L50</f>
        <v>0</v>
      </c>
      <c r="DM50" s="549">
        <f>AF50*$L50</f>
        <v>0</v>
      </c>
      <c r="DN50" s="549">
        <f>N50*$M50</f>
        <v>0</v>
      </c>
      <c r="DO50" s="549">
        <f>P50*$M50</f>
        <v>0</v>
      </c>
      <c r="DP50" s="549">
        <f>R50*$M50</f>
        <v>0</v>
      </c>
      <c r="DQ50" s="549">
        <f>T50*$M50</f>
        <v>0</v>
      </c>
      <c r="DR50" s="549">
        <f>V50*$M50</f>
        <v>0</v>
      </c>
      <c r="DS50" s="549">
        <f>X50*$M50</f>
        <v>0</v>
      </c>
      <c r="DT50" s="549">
        <f>Z50*$M50</f>
        <v>0</v>
      </c>
      <c r="DU50" s="549">
        <f>AB50*$M50</f>
        <v>0</v>
      </c>
      <c r="DV50" s="549">
        <f>AD50*$M50</f>
        <v>0</v>
      </c>
      <c r="DW50" s="549">
        <f>AF50*$M50</f>
        <v>0</v>
      </c>
      <c r="DX50" s="549">
        <v>1</v>
      </c>
      <c r="DY50" s="549">
        <f>DY48+1</f>
        <v>27</v>
      </c>
      <c r="DZ50" s="549">
        <f t="shared" si="99"/>
        <v>0</v>
      </c>
      <c r="EA50" s="549">
        <f t="shared" si="170"/>
        <v>0</v>
      </c>
      <c r="EB50" s="549">
        <f t="shared" si="3"/>
        <v>0</v>
      </c>
      <c r="ED50" s="549">
        <f t="shared" si="4"/>
        <v>0</v>
      </c>
    </row>
    <row r="51" spans="1:134" s="600" customFormat="1" hidden="1" x14ac:dyDescent="0.2">
      <c r="A51" s="604" t="s">
        <v>2479</v>
      </c>
      <c r="B51" s="805" t="str">
        <f>"Peso silo con WP104 - "&amp;VLOOKUP(tipo_controllore1,controlloreParametri,13,FALSE)</f>
        <v>Peso silo con WP104 - MODBUS RTU</v>
      </c>
      <c r="C51" s="594" t="s">
        <v>2492</v>
      </c>
      <c r="D51" s="649" t="str">
        <f>VLOOKUP(tipo_controllore1,controlloreParametri,14,FALSE)</f>
        <v>peso wp104 rete MODBUS RTU</v>
      </c>
      <c r="E51" s="889"/>
      <c r="F51" s="628">
        <f>VLOOKUP(D51,prezzi,5,)</f>
        <v>430</v>
      </c>
      <c r="G51" s="696"/>
      <c r="H51" s="595"/>
      <c r="I51" s="595"/>
      <c r="J51" s="595"/>
      <c r="K51" s="595"/>
      <c r="L51" s="595"/>
      <c r="M51" s="595"/>
      <c r="N51" s="660">
        <f>N49</f>
        <v>0</v>
      </c>
      <c r="O51" s="818"/>
      <c r="P51" s="596"/>
      <c r="Q51" s="596"/>
      <c r="R51" s="596"/>
      <c r="S51" s="596"/>
      <c r="T51" s="596"/>
      <c r="U51" s="596"/>
      <c r="V51" s="596"/>
      <c r="W51" s="596"/>
      <c r="X51" s="596"/>
      <c r="Y51" s="596"/>
      <c r="Z51" s="596"/>
      <c r="AA51" s="596"/>
      <c r="AB51" s="596"/>
      <c r="AC51" s="596"/>
      <c r="AD51" s="596"/>
      <c r="AE51" s="596"/>
      <c r="AF51" s="596"/>
      <c r="AG51" s="597"/>
      <c r="AH51" s="598">
        <f t="shared" si="0"/>
        <v>0</v>
      </c>
      <c r="AI51" s="599">
        <f>N51*$E51</f>
        <v>0</v>
      </c>
      <c r="AJ51" s="705">
        <v>1</v>
      </c>
      <c r="AK51" s="705"/>
      <c r="AL51" s="706" t="str">
        <f t="shared" si="5"/>
        <v>1-peso wp104 rete MODBUS RTU</v>
      </c>
      <c r="AM51" s="680">
        <f>N51*$F51</f>
        <v>0</v>
      </c>
      <c r="AN51" s="675">
        <f>P51*$E51</f>
        <v>0</v>
      </c>
      <c r="AO51" s="680">
        <f>P51*$F51</f>
        <v>0</v>
      </c>
      <c r="AP51" s="675">
        <f>R51*$E51</f>
        <v>0</v>
      </c>
      <c r="AQ51" s="680">
        <f>R51*$F51</f>
        <v>0</v>
      </c>
      <c r="AR51" s="675">
        <f>T51*$E51</f>
        <v>0</v>
      </c>
      <c r="AS51" s="680">
        <f>T51*$F51</f>
        <v>0</v>
      </c>
      <c r="AT51" s="675">
        <f>V51*$E51</f>
        <v>0</v>
      </c>
      <c r="AU51" s="680">
        <f>V51*$F51</f>
        <v>0</v>
      </c>
      <c r="AV51" s="675">
        <f>X51*$E51</f>
        <v>0</v>
      </c>
      <c r="AW51" s="680">
        <f>X51*$F51</f>
        <v>0</v>
      </c>
      <c r="AX51" s="675">
        <f>Z51*$E51</f>
        <v>0</v>
      </c>
      <c r="AY51" s="680">
        <f>Z51*$F51</f>
        <v>0</v>
      </c>
      <c r="AZ51" s="675">
        <f>AB51*$E51</f>
        <v>0</v>
      </c>
      <c r="BA51" s="680">
        <f>AB51*$F51</f>
        <v>0</v>
      </c>
      <c r="BB51" s="675">
        <f>AD51*$E51</f>
        <v>0</v>
      </c>
      <c r="BC51" s="680">
        <f>AD51*$F51</f>
        <v>0</v>
      </c>
      <c r="BD51" s="675">
        <f>AF51*$E51</f>
        <v>0</v>
      </c>
      <c r="BE51" s="680">
        <f>AF51*$F51</f>
        <v>0</v>
      </c>
      <c r="BF51" s="600">
        <f>N51*$G51</f>
        <v>0</v>
      </c>
      <c r="BG51" s="600">
        <f>P51*$G51</f>
        <v>0</v>
      </c>
      <c r="BH51" s="600">
        <f>R51*$G51</f>
        <v>0</v>
      </c>
      <c r="BI51" s="600">
        <f>T51*$G51</f>
        <v>0</v>
      </c>
      <c r="BJ51" s="600">
        <f>V51*$G51</f>
        <v>0</v>
      </c>
      <c r="BK51" s="600">
        <f>X51*$G51</f>
        <v>0</v>
      </c>
      <c r="BL51" s="600">
        <f>Z51*$G51</f>
        <v>0</v>
      </c>
      <c r="BM51" s="600">
        <f>AB51*$G51</f>
        <v>0</v>
      </c>
      <c r="BN51" s="600">
        <f>AD51*$G51</f>
        <v>0</v>
      </c>
      <c r="BO51" s="601">
        <f>AF51*$G51</f>
        <v>0</v>
      </c>
      <c r="BP51" s="600">
        <f>N51*$H51</f>
        <v>0</v>
      </c>
      <c r="BQ51" s="600">
        <f>P51*$H51</f>
        <v>0</v>
      </c>
      <c r="BR51" s="600">
        <f>R51*$H51</f>
        <v>0</v>
      </c>
      <c r="BS51" s="600">
        <f>T51*$H51</f>
        <v>0</v>
      </c>
      <c r="BT51" s="600">
        <f>V51*$H51</f>
        <v>0</v>
      </c>
      <c r="BU51" s="600">
        <f>X51*$H51</f>
        <v>0</v>
      </c>
      <c r="BV51" s="600">
        <f>Z51*$H51</f>
        <v>0</v>
      </c>
      <c r="BW51" s="600">
        <f>AB51*$H51</f>
        <v>0</v>
      </c>
      <c r="BX51" s="600">
        <f>AD51*$H51</f>
        <v>0</v>
      </c>
      <c r="BY51" s="601">
        <f>AF51*$H51</f>
        <v>0</v>
      </c>
      <c r="BZ51" s="600">
        <f>N51*$I51</f>
        <v>0</v>
      </c>
      <c r="CA51" s="600">
        <f>P51*$I51</f>
        <v>0</v>
      </c>
      <c r="CB51" s="600">
        <f>R51*$I51</f>
        <v>0</v>
      </c>
      <c r="CC51" s="600">
        <f>T51*$I51</f>
        <v>0</v>
      </c>
      <c r="CD51" s="600">
        <f>V51*$I51</f>
        <v>0</v>
      </c>
      <c r="CE51" s="600">
        <f>X51*$I51</f>
        <v>0</v>
      </c>
      <c r="CF51" s="600">
        <f>Z51*$I51</f>
        <v>0</v>
      </c>
      <c r="CG51" s="600">
        <f>AB51*$I51</f>
        <v>0</v>
      </c>
      <c r="CH51" s="600">
        <f>AD51*$I51</f>
        <v>0</v>
      </c>
      <c r="CI51" s="601">
        <f>AF51*$I51</f>
        <v>0</v>
      </c>
      <c r="CJ51" s="600">
        <f>N51*$J51</f>
        <v>0</v>
      </c>
      <c r="CK51" s="600">
        <f>P51*$J51</f>
        <v>0</v>
      </c>
      <c r="CL51" s="600">
        <f>R51*$J51</f>
        <v>0</v>
      </c>
      <c r="CM51" s="600">
        <f>T51*$J51</f>
        <v>0</v>
      </c>
      <c r="CN51" s="600">
        <f>V51*$J51</f>
        <v>0</v>
      </c>
      <c r="CO51" s="600">
        <f>X51*$J51</f>
        <v>0</v>
      </c>
      <c r="CP51" s="600">
        <f>Z51*$J51</f>
        <v>0</v>
      </c>
      <c r="CQ51" s="600">
        <f>AB51*$J51</f>
        <v>0</v>
      </c>
      <c r="CR51" s="600">
        <f>AD51*$J51</f>
        <v>0</v>
      </c>
      <c r="CS51" s="601">
        <f>AF51*$J51</f>
        <v>0</v>
      </c>
      <c r="CT51" s="600">
        <f>N51*$K51</f>
        <v>0</v>
      </c>
      <c r="CU51" s="600">
        <f>P51*$K51</f>
        <v>0</v>
      </c>
      <c r="CV51" s="600">
        <f>R51*$K51</f>
        <v>0</v>
      </c>
      <c r="CW51" s="600">
        <f>T51*$K51</f>
        <v>0</v>
      </c>
      <c r="CX51" s="600">
        <f>V51*$K51</f>
        <v>0</v>
      </c>
      <c r="CY51" s="600">
        <f>X51*$K51</f>
        <v>0</v>
      </c>
      <c r="CZ51" s="600">
        <f>Z51*$K51</f>
        <v>0</v>
      </c>
      <c r="DA51" s="600">
        <f>AB51*$K51</f>
        <v>0</v>
      </c>
      <c r="DB51" s="600">
        <f>AD51*$K51</f>
        <v>0</v>
      </c>
      <c r="DC51" s="601">
        <f>AF51*$K51</f>
        <v>0</v>
      </c>
      <c r="DD51" s="600">
        <f>N51*$L51</f>
        <v>0</v>
      </c>
      <c r="DE51" s="600">
        <f>P51*$L51</f>
        <v>0</v>
      </c>
      <c r="DF51" s="600">
        <f>R51*$L51</f>
        <v>0</v>
      </c>
      <c r="DG51" s="600">
        <f>T51*$L51</f>
        <v>0</v>
      </c>
      <c r="DH51" s="600">
        <f>V51*$L51</f>
        <v>0</v>
      </c>
      <c r="DI51" s="600">
        <f>X51*$L51</f>
        <v>0</v>
      </c>
      <c r="DJ51" s="600">
        <f>Z51*$L51</f>
        <v>0</v>
      </c>
      <c r="DK51" s="600">
        <f>AB51*$L51</f>
        <v>0</v>
      </c>
      <c r="DL51" s="600">
        <f>AD51*$L51</f>
        <v>0</v>
      </c>
      <c r="DM51" s="601">
        <f>AF51*$L51</f>
        <v>0</v>
      </c>
      <c r="DN51" s="600">
        <f>N51*$M51</f>
        <v>0</v>
      </c>
      <c r="DO51" s="600">
        <f>P51*$M51</f>
        <v>0</v>
      </c>
      <c r="DP51" s="600">
        <f>R51*$M51</f>
        <v>0</v>
      </c>
      <c r="DQ51" s="600">
        <f>T51*$M51</f>
        <v>0</v>
      </c>
      <c r="DR51" s="600">
        <f>V51*$M51</f>
        <v>0</v>
      </c>
      <c r="DS51" s="600">
        <f>X51*$M51</f>
        <v>0</v>
      </c>
      <c r="DT51" s="600">
        <f>Z51*$M51</f>
        <v>0</v>
      </c>
      <c r="DU51" s="600">
        <f>AB51*$M51</f>
        <v>0</v>
      </c>
      <c r="DV51" s="600">
        <f>AD51*$M51</f>
        <v>0</v>
      </c>
      <c r="DW51" s="601">
        <f>AF51*$M51</f>
        <v>0</v>
      </c>
      <c r="DX51" s="600">
        <v>0</v>
      </c>
      <c r="DY51" s="601">
        <f>DY48+1</f>
        <v>27</v>
      </c>
      <c r="DZ51" s="600">
        <f t="shared" si="99"/>
        <v>0</v>
      </c>
      <c r="EA51" s="600">
        <f t="shared" si="170"/>
        <v>0</v>
      </c>
      <c r="EB51" s="600">
        <f t="shared" si="3"/>
        <v>0</v>
      </c>
      <c r="EC51" s="597"/>
      <c r="ED51" s="600">
        <f t="shared" si="4"/>
        <v>0</v>
      </c>
    </row>
    <row r="52" spans="1:134" s="603" customFormat="1" ht="15" hidden="1" thickBot="1" x14ac:dyDescent="0.25">
      <c r="A52" s="603" t="s">
        <v>2479</v>
      </c>
      <c r="B52" s="250" t="s">
        <v>2367</v>
      </c>
      <c r="C52" s="549" t="s">
        <v>2492</v>
      </c>
      <c r="D52" s="643" t="s">
        <v>659</v>
      </c>
      <c r="E52" s="889"/>
      <c r="F52" s="250">
        <f>VLOOKUP(D52,prezzi,5,)</f>
        <v>0</v>
      </c>
      <c r="G52" s="818">
        <v>1</v>
      </c>
      <c r="H52" s="250"/>
      <c r="I52" s="250"/>
      <c r="J52" s="250"/>
      <c r="K52" s="250"/>
      <c r="L52" s="250"/>
      <c r="M52" s="250"/>
      <c r="N52" s="668">
        <v>0</v>
      </c>
      <c r="O52" s="260"/>
      <c r="P52" s="250"/>
      <c r="Q52" s="250"/>
      <c r="R52" s="250"/>
      <c r="S52" s="250"/>
      <c r="T52" s="250"/>
      <c r="U52" s="250"/>
      <c r="V52" s="250"/>
      <c r="W52" s="250"/>
      <c r="X52" s="250"/>
      <c r="Y52" s="250"/>
      <c r="Z52" s="250"/>
      <c r="AA52" s="250"/>
      <c r="AB52" s="250"/>
      <c r="AC52" s="250"/>
      <c r="AD52" s="250"/>
      <c r="AE52" s="250"/>
      <c r="AF52" s="250"/>
      <c r="AG52" s="549"/>
      <c r="AH52" s="549">
        <f t="shared" si="0"/>
        <v>0</v>
      </c>
      <c r="AI52" s="603">
        <f>N52*$E52</f>
        <v>0</v>
      </c>
      <c r="AJ52" s="705">
        <v>2</v>
      </c>
      <c r="AK52" s="705"/>
      <c r="AL52" s="706" t="str">
        <f t="shared" si="5"/>
        <v>2-peso SIWAREX</v>
      </c>
      <c r="AM52" s="629">
        <f>N52*$F52</f>
        <v>0</v>
      </c>
      <c r="AN52" s="641">
        <f>P52*$E52</f>
        <v>0</v>
      </c>
      <c r="AO52" s="629">
        <f>P52*$F52</f>
        <v>0</v>
      </c>
      <c r="AP52" s="641">
        <f>R52*$E52</f>
        <v>0</v>
      </c>
      <c r="AQ52" s="629">
        <f>R52*$F52</f>
        <v>0</v>
      </c>
      <c r="AR52" s="641">
        <f>T52*$E52</f>
        <v>0</v>
      </c>
      <c r="AS52" s="629">
        <f>T52*$F52</f>
        <v>0</v>
      </c>
      <c r="AT52" s="641">
        <f>V52*$E52</f>
        <v>0</v>
      </c>
      <c r="AU52" s="629">
        <f>V52*$F52</f>
        <v>0</v>
      </c>
      <c r="AV52" s="641">
        <f>X52*$E52</f>
        <v>0</v>
      </c>
      <c r="AW52" s="629">
        <f>X52*$F52</f>
        <v>0</v>
      </c>
      <c r="AX52" s="641">
        <f>Z52*$E52</f>
        <v>0</v>
      </c>
      <c r="AY52" s="629">
        <f>Z52*$F52</f>
        <v>0</v>
      </c>
      <c r="AZ52" s="641">
        <f>AB52*$E52</f>
        <v>0</v>
      </c>
      <c r="BA52" s="629">
        <f>AB52*$F52</f>
        <v>0</v>
      </c>
      <c r="BB52" s="641">
        <f>AD52*$E52</f>
        <v>0</v>
      </c>
      <c r="BC52" s="629">
        <f>AD52*$F52</f>
        <v>0</v>
      </c>
      <c r="BD52" s="641">
        <f>AF52*$E52</f>
        <v>0</v>
      </c>
      <c r="BE52" s="629">
        <f>AF52*$F52</f>
        <v>0</v>
      </c>
      <c r="BF52" s="603">
        <f>N52*$G52</f>
        <v>0</v>
      </c>
      <c r="BG52" s="603">
        <f>P52*$G52</f>
        <v>0</v>
      </c>
      <c r="BH52" s="603">
        <f>R52*$G52</f>
        <v>0</v>
      </c>
      <c r="BI52" s="603">
        <f>T52*$G52</f>
        <v>0</v>
      </c>
      <c r="BJ52" s="603">
        <f>V52*$G52</f>
        <v>0</v>
      </c>
      <c r="BK52" s="603">
        <f>X52*$G52</f>
        <v>0</v>
      </c>
      <c r="BL52" s="603">
        <f>Z52*$G52</f>
        <v>0</v>
      </c>
      <c r="BM52" s="603">
        <f>AB52*$G52</f>
        <v>0</v>
      </c>
      <c r="BN52" s="603">
        <f>AD52*$G52</f>
        <v>0</v>
      </c>
      <c r="BO52" s="603">
        <f>AF52*$G52</f>
        <v>0</v>
      </c>
      <c r="BP52" s="603">
        <f>N52*$H52</f>
        <v>0</v>
      </c>
      <c r="BQ52" s="603">
        <f>P52*$H52</f>
        <v>0</v>
      </c>
      <c r="BR52" s="603">
        <f>R52*$H52</f>
        <v>0</v>
      </c>
      <c r="BS52" s="603">
        <f>T52*$H52</f>
        <v>0</v>
      </c>
      <c r="BT52" s="603">
        <f>V52*$H52</f>
        <v>0</v>
      </c>
      <c r="BU52" s="603">
        <f>X52*$H52</f>
        <v>0</v>
      </c>
      <c r="BV52" s="603">
        <f>Z52*$H52</f>
        <v>0</v>
      </c>
      <c r="BW52" s="603">
        <f>AB52*$H52</f>
        <v>0</v>
      </c>
      <c r="BX52" s="603">
        <f>AD52*$H52</f>
        <v>0</v>
      </c>
      <c r="BY52" s="603">
        <f>AF52*$H52</f>
        <v>0</v>
      </c>
      <c r="BZ52" s="603">
        <f>N52*$I52</f>
        <v>0</v>
      </c>
      <c r="CA52" s="603">
        <f>P52*$I52</f>
        <v>0</v>
      </c>
      <c r="CB52" s="603">
        <f>R52*$I52</f>
        <v>0</v>
      </c>
      <c r="CC52" s="603">
        <f>T52*$I52</f>
        <v>0</v>
      </c>
      <c r="CD52" s="603">
        <f>V52*$I52</f>
        <v>0</v>
      </c>
      <c r="CE52" s="603">
        <f>X52*$I52</f>
        <v>0</v>
      </c>
      <c r="CF52" s="603">
        <f>Z52*$I52</f>
        <v>0</v>
      </c>
      <c r="CG52" s="603">
        <f>AB52*$I52</f>
        <v>0</v>
      </c>
      <c r="CH52" s="603">
        <f>AD52*$I52</f>
        <v>0</v>
      </c>
      <c r="CI52" s="603">
        <f>AF52*$I52</f>
        <v>0</v>
      </c>
      <c r="CJ52" s="603">
        <f>N52*$J52</f>
        <v>0</v>
      </c>
      <c r="CK52" s="603">
        <f>P52*$J52</f>
        <v>0</v>
      </c>
      <c r="CL52" s="603">
        <f>R52*$J52</f>
        <v>0</v>
      </c>
      <c r="CM52" s="603">
        <f>T52*$J52</f>
        <v>0</v>
      </c>
      <c r="CN52" s="603">
        <f>V52*$J52</f>
        <v>0</v>
      </c>
      <c r="CO52" s="603">
        <f>X52*$J52</f>
        <v>0</v>
      </c>
      <c r="CP52" s="603">
        <f>Z52*$J52</f>
        <v>0</v>
      </c>
      <c r="CQ52" s="603">
        <f>AB52*$J52</f>
        <v>0</v>
      </c>
      <c r="CR52" s="603">
        <f>AD52*$J52</f>
        <v>0</v>
      </c>
      <c r="CS52" s="603">
        <f>AF52*$J52</f>
        <v>0</v>
      </c>
      <c r="CT52" s="603">
        <f>N52*$K52</f>
        <v>0</v>
      </c>
      <c r="CU52" s="603">
        <f>P52*$K52</f>
        <v>0</v>
      </c>
      <c r="CV52" s="603">
        <f>R52*$K52</f>
        <v>0</v>
      </c>
      <c r="CW52" s="603">
        <f>T52*$K52</f>
        <v>0</v>
      </c>
      <c r="CX52" s="603">
        <f>V52*$K52</f>
        <v>0</v>
      </c>
      <c r="CY52" s="603">
        <f>X52*$K52</f>
        <v>0</v>
      </c>
      <c r="CZ52" s="603">
        <f>Z52*$K52</f>
        <v>0</v>
      </c>
      <c r="DA52" s="603">
        <f>AB52*$K52</f>
        <v>0</v>
      </c>
      <c r="DB52" s="603">
        <f>AD52*$K52</f>
        <v>0</v>
      </c>
      <c r="DC52" s="603">
        <f>AF52*$K52</f>
        <v>0</v>
      </c>
      <c r="DD52" s="603">
        <f>N52*$L52</f>
        <v>0</v>
      </c>
      <c r="DE52" s="603">
        <f>P52*$L52</f>
        <v>0</v>
      </c>
      <c r="DF52" s="603">
        <f>R52*$L52</f>
        <v>0</v>
      </c>
      <c r="DG52" s="603">
        <f>T52*$L52</f>
        <v>0</v>
      </c>
      <c r="DH52" s="603">
        <f>V52*$L52</f>
        <v>0</v>
      </c>
      <c r="DI52" s="603">
        <f>X52*$L52</f>
        <v>0</v>
      </c>
      <c r="DJ52" s="603">
        <f>Z52*$L52</f>
        <v>0</v>
      </c>
      <c r="DK52" s="603">
        <f>AB52*$L52</f>
        <v>0</v>
      </c>
      <c r="DL52" s="603">
        <f>AD52*$L52</f>
        <v>0</v>
      </c>
      <c r="DM52" s="603">
        <f>AF52*$L52</f>
        <v>0</v>
      </c>
      <c r="DN52" s="603">
        <f>N52*$M52</f>
        <v>0</v>
      </c>
      <c r="DO52" s="603">
        <f>P52*$M52</f>
        <v>0</v>
      </c>
      <c r="DP52" s="603">
        <f>R52*$M52</f>
        <v>0</v>
      </c>
      <c r="DQ52" s="603">
        <f>T52*$M52</f>
        <v>0</v>
      </c>
      <c r="DR52" s="603">
        <f>V52*$M52</f>
        <v>0</v>
      </c>
      <c r="DS52" s="603">
        <f>X52*$M52</f>
        <v>0</v>
      </c>
      <c r="DT52" s="603">
        <f>Z52*$M52</f>
        <v>0</v>
      </c>
      <c r="DU52" s="603">
        <f>AB52*$M52</f>
        <v>0</v>
      </c>
      <c r="DV52" s="603">
        <f>AD52*$M52</f>
        <v>0</v>
      </c>
      <c r="DW52" s="603">
        <f>AF52*$M52</f>
        <v>0</v>
      </c>
      <c r="DX52" s="603">
        <v>1</v>
      </c>
      <c r="DY52" s="603">
        <f>DY50+1</f>
        <v>28</v>
      </c>
      <c r="DZ52" s="603">
        <f t="shared" si="99"/>
        <v>0</v>
      </c>
      <c r="EA52" s="603">
        <f t="shared" si="170"/>
        <v>0</v>
      </c>
      <c r="EB52" s="603">
        <f t="shared" si="3"/>
        <v>0</v>
      </c>
      <c r="ED52" s="603">
        <f t="shared" si="4"/>
        <v>0</v>
      </c>
    </row>
    <row r="53" spans="1:134" s="602" customFormat="1" hidden="1" x14ac:dyDescent="0.2">
      <c r="A53" s="603" t="s">
        <v>2479</v>
      </c>
      <c r="B53" s="799" t="str">
        <f>"Peso silo con WP104 - "&amp;VLOOKUP(tipo_controllore2,controlloreParametri,13,FALSE)</f>
        <v>Peso silo con WP104 - MODBUS RTU</v>
      </c>
      <c r="C53" s="638" t="s">
        <v>2493</v>
      </c>
      <c r="D53" s="650" t="str">
        <f>VLOOKUP(tipo_controllore2,controlloreParametri,14,FALSE)</f>
        <v>peso wp104 rete MODBUS RTU</v>
      </c>
      <c r="E53" s="889"/>
      <c r="F53" s="819">
        <f>VLOOKUP(D53,prezzi,5,)</f>
        <v>430</v>
      </c>
      <c r="G53" s="820"/>
      <c r="H53" s="799"/>
      <c r="I53" s="799"/>
      <c r="J53" s="799"/>
      <c r="K53" s="799"/>
      <c r="L53" s="799"/>
      <c r="M53" s="799"/>
      <c r="N53" s="821">
        <f>N49</f>
        <v>0</v>
      </c>
      <c r="O53" s="821">
        <f t="shared" ref="O53:AF53" si="210">O51</f>
        <v>0</v>
      </c>
      <c r="P53" s="821">
        <f t="shared" si="210"/>
        <v>0</v>
      </c>
      <c r="Q53" s="821">
        <f t="shared" si="210"/>
        <v>0</v>
      </c>
      <c r="R53" s="821">
        <f t="shared" si="210"/>
        <v>0</v>
      </c>
      <c r="S53" s="821">
        <f t="shared" si="210"/>
        <v>0</v>
      </c>
      <c r="T53" s="821">
        <f t="shared" si="210"/>
        <v>0</v>
      </c>
      <c r="U53" s="821">
        <f t="shared" si="210"/>
        <v>0</v>
      </c>
      <c r="V53" s="821">
        <f t="shared" si="210"/>
        <v>0</v>
      </c>
      <c r="W53" s="821">
        <f t="shared" si="210"/>
        <v>0</v>
      </c>
      <c r="X53" s="821">
        <f t="shared" si="210"/>
        <v>0</v>
      </c>
      <c r="Y53" s="821">
        <f t="shared" si="210"/>
        <v>0</v>
      </c>
      <c r="Z53" s="821">
        <f t="shared" si="210"/>
        <v>0</v>
      </c>
      <c r="AA53" s="821">
        <f t="shared" si="210"/>
        <v>0</v>
      </c>
      <c r="AB53" s="821">
        <f t="shared" si="210"/>
        <v>0</v>
      </c>
      <c r="AC53" s="821">
        <f t="shared" si="210"/>
        <v>0</v>
      </c>
      <c r="AD53" s="821">
        <f t="shared" si="210"/>
        <v>0</v>
      </c>
      <c r="AE53" s="821">
        <f t="shared" si="210"/>
        <v>0</v>
      </c>
      <c r="AF53" s="821">
        <f t="shared" si="210"/>
        <v>0</v>
      </c>
      <c r="AH53" s="602">
        <f t="shared" si="0"/>
        <v>0</v>
      </c>
      <c r="AI53" s="602">
        <f>N53*$E53</f>
        <v>0</v>
      </c>
      <c r="AJ53" s="705">
        <v>2</v>
      </c>
      <c r="AK53" s="705"/>
      <c r="AL53" s="706" t="str">
        <f t="shared" si="5"/>
        <v>2-peso wp104 rete MODBUS RTU</v>
      </c>
      <c r="AM53" s="630">
        <f>N53*$F53</f>
        <v>0</v>
      </c>
      <c r="AN53" s="642">
        <f>P53*$E53</f>
        <v>0</v>
      </c>
      <c r="AO53" s="630">
        <f>P53*$F53</f>
        <v>0</v>
      </c>
      <c r="AP53" s="642">
        <f>R53*$E53</f>
        <v>0</v>
      </c>
      <c r="AQ53" s="630">
        <f>R53*$F53</f>
        <v>0</v>
      </c>
      <c r="AR53" s="642">
        <f>T53*$E53</f>
        <v>0</v>
      </c>
      <c r="AS53" s="630">
        <f>T53*$F53</f>
        <v>0</v>
      </c>
      <c r="AT53" s="642">
        <f>V53*$E53</f>
        <v>0</v>
      </c>
      <c r="AU53" s="630">
        <f>V53*$F53</f>
        <v>0</v>
      </c>
      <c r="AV53" s="642">
        <f>X53*$E53</f>
        <v>0</v>
      </c>
      <c r="AW53" s="630">
        <f>X53*$F53</f>
        <v>0</v>
      </c>
      <c r="AX53" s="642">
        <f>Z53*$E53</f>
        <v>0</v>
      </c>
      <c r="AY53" s="630">
        <f>Z53*$F53</f>
        <v>0</v>
      </c>
      <c r="AZ53" s="642">
        <f>AB53*$E53</f>
        <v>0</v>
      </c>
      <c r="BA53" s="630">
        <f>AB53*$F53</f>
        <v>0</v>
      </c>
      <c r="BB53" s="642">
        <f>AD53*$E53</f>
        <v>0</v>
      </c>
      <c r="BC53" s="630">
        <f>AD53*$F53</f>
        <v>0</v>
      </c>
      <c r="BD53" s="642">
        <f>AF53*$E53</f>
        <v>0</v>
      </c>
      <c r="BE53" s="630">
        <f>AF53*$F53</f>
        <v>0</v>
      </c>
      <c r="BF53" s="602">
        <f>N53*$G53</f>
        <v>0</v>
      </c>
      <c r="BG53" s="602">
        <f>P53*$G53</f>
        <v>0</v>
      </c>
      <c r="BH53" s="602">
        <f>R53*$G53</f>
        <v>0</v>
      </c>
      <c r="BI53" s="602">
        <f>T53*$G53</f>
        <v>0</v>
      </c>
      <c r="BJ53" s="602">
        <f>V53*$G53</f>
        <v>0</v>
      </c>
      <c r="BK53" s="602">
        <f>X53*$G53</f>
        <v>0</v>
      </c>
      <c r="BL53" s="602">
        <f>Z53*$G53</f>
        <v>0</v>
      </c>
      <c r="BM53" s="602">
        <f>AB53*$G53</f>
        <v>0</v>
      </c>
      <c r="BN53" s="602">
        <f>AD53*$G53</f>
        <v>0</v>
      </c>
      <c r="BO53" s="602">
        <f>AF53*$G53</f>
        <v>0</v>
      </c>
      <c r="BP53" s="602">
        <f>N53*$H53</f>
        <v>0</v>
      </c>
      <c r="BQ53" s="602">
        <f>P53*$H53</f>
        <v>0</v>
      </c>
      <c r="BR53" s="602">
        <f>R53*$H53</f>
        <v>0</v>
      </c>
      <c r="BS53" s="602">
        <f>T53*$H53</f>
        <v>0</v>
      </c>
      <c r="BT53" s="602">
        <f>V53*$H53</f>
        <v>0</v>
      </c>
      <c r="BU53" s="602">
        <f>X53*$H53</f>
        <v>0</v>
      </c>
      <c r="BV53" s="602">
        <f>Z53*$H53</f>
        <v>0</v>
      </c>
      <c r="BW53" s="602">
        <f>AB53*$H53</f>
        <v>0</v>
      </c>
      <c r="BX53" s="602">
        <f>AD53*$H53</f>
        <v>0</v>
      </c>
      <c r="BY53" s="602">
        <f>AF53*$H53</f>
        <v>0</v>
      </c>
      <c r="BZ53" s="602">
        <f>N53*$I53</f>
        <v>0</v>
      </c>
      <c r="CA53" s="602">
        <f>P53*$I53</f>
        <v>0</v>
      </c>
      <c r="CB53" s="602">
        <f>R53*$I53</f>
        <v>0</v>
      </c>
      <c r="CC53" s="602">
        <f>T53*$I53</f>
        <v>0</v>
      </c>
      <c r="CD53" s="602">
        <f>V53*$I53</f>
        <v>0</v>
      </c>
      <c r="CE53" s="602">
        <f>X53*$I53</f>
        <v>0</v>
      </c>
      <c r="CF53" s="602">
        <f>Z53*$I53</f>
        <v>0</v>
      </c>
      <c r="CG53" s="602">
        <f>AB53*$I53</f>
        <v>0</v>
      </c>
      <c r="CH53" s="602">
        <f>AD53*$I53</f>
        <v>0</v>
      </c>
      <c r="CI53" s="602">
        <f>AF53*$I53</f>
        <v>0</v>
      </c>
      <c r="CJ53" s="602">
        <f>N53*$J53</f>
        <v>0</v>
      </c>
      <c r="CK53" s="602">
        <f>P53*$J53</f>
        <v>0</v>
      </c>
      <c r="CL53" s="602">
        <f>R53*$J53</f>
        <v>0</v>
      </c>
      <c r="CM53" s="602">
        <f>T53*$J53</f>
        <v>0</v>
      </c>
      <c r="CN53" s="602">
        <f>V53*$J53</f>
        <v>0</v>
      </c>
      <c r="CO53" s="602">
        <f>X53*$J53</f>
        <v>0</v>
      </c>
      <c r="CP53" s="602">
        <f>Z53*$J53</f>
        <v>0</v>
      </c>
      <c r="CQ53" s="602">
        <f>AB53*$J53</f>
        <v>0</v>
      </c>
      <c r="CR53" s="602">
        <f>AD53*$J53</f>
        <v>0</v>
      </c>
      <c r="CS53" s="602">
        <f>AF53*$J53</f>
        <v>0</v>
      </c>
      <c r="CT53" s="602">
        <f>N53*$K53</f>
        <v>0</v>
      </c>
      <c r="CU53" s="602">
        <f>P53*$K53</f>
        <v>0</v>
      </c>
      <c r="CV53" s="602">
        <f>R53*$K53</f>
        <v>0</v>
      </c>
      <c r="CW53" s="602">
        <f>T53*$K53</f>
        <v>0</v>
      </c>
      <c r="CX53" s="602">
        <f>V53*$K53</f>
        <v>0</v>
      </c>
      <c r="CY53" s="602">
        <f>X53*$K53</f>
        <v>0</v>
      </c>
      <c r="CZ53" s="602">
        <f>Z53*$K53</f>
        <v>0</v>
      </c>
      <c r="DA53" s="602">
        <f>AB53*$K53</f>
        <v>0</v>
      </c>
      <c r="DB53" s="602">
        <f>AD53*$K53</f>
        <v>0</v>
      </c>
      <c r="DC53" s="602">
        <f>AF53*$K53</f>
        <v>0</v>
      </c>
      <c r="DD53" s="602">
        <f>N53*$L53</f>
        <v>0</v>
      </c>
      <c r="DE53" s="602">
        <f>P53*$L53</f>
        <v>0</v>
      </c>
      <c r="DF53" s="602">
        <f>R53*$L53</f>
        <v>0</v>
      </c>
      <c r="DG53" s="602">
        <f>T53*$L53</f>
        <v>0</v>
      </c>
      <c r="DH53" s="602">
        <f>V53*$L53</f>
        <v>0</v>
      </c>
      <c r="DI53" s="602">
        <f>X53*$L53</f>
        <v>0</v>
      </c>
      <c r="DJ53" s="602">
        <f>Z53*$L53</f>
        <v>0</v>
      </c>
      <c r="DK53" s="602">
        <f>AB53*$L53</f>
        <v>0</v>
      </c>
      <c r="DL53" s="602">
        <f>AD53*$L53</f>
        <v>0</v>
      </c>
      <c r="DM53" s="602">
        <f>AF53*$L53</f>
        <v>0</v>
      </c>
      <c r="DN53" s="602">
        <f>N53*$M53</f>
        <v>0</v>
      </c>
      <c r="DO53" s="602">
        <f>P53*$M53</f>
        <v>0</v>
      </c>
      <c r="DP53" s="602">
        <f>R53*$M53</f>
        <v>0</v>
      </c>
      <c r="DQ53" s="602">
        <f>T53*$M53</f>
        <v>0</v>
      </c>
      <c r="DR53" s="602">
        <f>V53*$M53</f>
        <v>0</v>
      </c>
      <c r="DS53" s="602">
        <f>X53*$M53</f>
        <v>0</v>
      </c>
      <c r="DT53" s="602">
        <f>Z53*$M53</f>
        <v>0</v>
      </c>
      <c r="DU53" s="602">
        <f>AB53*$M53</f>
        <v>0</v>
      </c>
      <c r="DV53" s="602">
        <f>AD53*$M53</f>
        <v>0</v>
      </c>
      <c r="DW53" s="602">
        <f>AF53*$M53</f>
        <v>0</v>
      </c>
      <c r="DX53" s="602">
        <v>1</v>
      </c>
      <c r="DY53" s="602">
        <f>DY50+1</f>
        <v>28</v>
      </c>
      <c r="DZ53" s="602">
        <f t="shared" si="99"/>
        <v>0</v>
      </c>
      <c r="EA53" s="602">
        <f t="shared" si="170"/>
        <v>0</v>
      </c>
      <c r="EB53" s="602">
        <f t="shared" si="3"/>
        <v>0</v>
      </c>
      <c r="ED53" s="602">
        <f t="shared" si="4"/>
        <v>0</v>
      </c>
    </row>
    <row r="54" spans="1:134" ht="15" thickBot="1" x14ac:dyDescent="0.25">
      <c r="A54" s="209" t="s">
        <v>660</v>
      </c>
      <c r="B54" s="806" t="s">
        <v>2328</v>
      </c>
      <c r="C54" s="192" t="s">
        <v>872</v>
      </c>
      <c r="D54" s="335" t="s">
        <v>661</v>
      </c>
      <c r="E54" s="889"/>
      <c r="F54" s="625">
        <f t="shared" si="118"/>
        <v>0</v>
      </c>
      <c r="G54" s="694"/>
      <c r="H54" s="58"/>
      <c r="I54" s="58"/>
      <c r="J54" s="58">
        <v>1</v>
      </c>
      <c r="K54" s="58"/>
      <c r="L54" s="58"/>
      <c r="M54" s="58"/>
      <c r="N54" s="661">
        <f>SUM(N55:N62)</f>
        <v>0</v>
      </c>
      <c r="O54" s="520">
        <f>SUM(O55:O62)</f>
        <v>0</v>
      </c>
      <c r="P54" s="520">
        <f>SUM(P55:P62)</f>
        <v>0</v>
      </c>
      <c r="Q54" s="520"/>
      <c r="R54" s="520">
        <f>SUM(R55:R62)</f>
        <v>0</v>
      </c>
      <c r="S54" s="520"/>
      <c r="T54" s="520">
        <f>SUM(T55:T62)</f>
        <v>0</v>
      </c>
      <c r="U54" s="520"/>
      <c r="V54" s="520">
        <f>SUM(V55:V62)</f>
        <v>0</v>
      </c>
      <c r="W54" s="520"/>
      <c r="X54" s="520">
        <f>SUM(X55:X62)</f>
        <v>0</v>
      </c>
      <c r="Y54" s="520"/>
      <c r="Z54" s="520">
        <f>SUM(Z55:Z62)</f>
        <v>0</v>
      </c>
      <c r="AA54" s="520"/>
      <c r="AB54" s="520">
        <f>SUM(AB55:AB62)</f>
        <v>0</v>
      </c>
      <c r="AC54" s="521"/>
      <c r="AD54" s="520">
        <f>SUM(AD55:AD62)</f>
        <v>0</v>
      </c>
      <c r="AE54" s="521"/>
      <c r="AF54" s="520">
        <f>SUM(AF55:AF62)</f>
        <v>0</v>
      </c>
      <c r="AG54" s="346"/>
      <c r="AH54" s="546">
        <f t="shared" si="0"/>
        <v>0</v>
      </c>
      <c r="AI54" s="66">
        <f t="shared" si="119"/>
        <v>0</v>
      </c>
      <c r="AL54" s="706" t="str">
        <f t="shared" si="5"/>
        <v>-pressostato</v>
      </c>
      <c r="AM54" s="684">
        <f t="shared" si="189"/>
        <v>0</v>
      </c>
      <c r="AN54" s="674">
        <f t="shared" si="171"/>
        <v>0</v>
      </c>
      <c r="AO54" s="684">
        <f t="shared" si="190"/>
        <v>0</v>
      </c>
      <c r="AP54" s="674">
        <f t="shared" si="172"/>
        <v>0</v>
      </c>
      <c r="AQ54" s="684">
        <f t="shared" si="191"/>
        <v>0</v>
      </c>
      <c r="AR54" s="674">
        <f t="shared" si="173"/>
        <v>0</v>
      </c>
      <c r="AS54" s="684">
        <f t="shared" si="192"/>
        <v>0</v>
      </c>
      <c r="AT54" s="674">
        <f t="shared" si="174"/>
        <v>0</v>
      </c>
      <c r="AU54" s="684">
        <f t="shared" si="193"/>
        <v>0</v>
      </c>
      <c r="AV54" s="674">
        <f t="shared" si="175"/>
        <v>0</v>
      </c>
      <c r="AW54" s="684">
        <f t="shared" si="194"/>
        <v>0</v>
      </c>
      <c r="AX54" s="674">
        <f t="shared" si="176"/>
        <v>0</v>
      </c>
      <c r="AY54" s="684">
        <f t="shared" si="195"/>
        <v>0</v>
      </c>
      <c r="AZ54" s="674">
        <f t="shared" si="177"/>
        <v>0</v>
      </c>
      <c r="BA54" s="684">
        <f t="shared" si="196"/>
        <v>0</v>
      </c>
      <c r="BB54" s="674">
        <f t="shared" si="178"/>
        <v>0</v>
      </c>
      <c r="BC54" s="684">
        <f t="shared" si="197"/>
        <v>0</v>
      </c>
      <c r="BD54" s="674">
        <f t="shared" si="179"/>
        <v>0</v>
      </c>
      <c r="BE54" s="684">
        <f t="shared" si="128"/>
        <v>0</v>
      </c>
      <c r="BF54" s="1">
        <f t="shared" si="129"/>
        <v>0</v>
      </c>
      <c r="BG54" s="1">
        <f t="shared" si="130"/>
        <v>0</v>
      </c>
      <c r="BH54" s="1">
        <f t="shared" si="131"/>
        <v>0</v>
      </c>
      <c r="BI54" s="1">
        <f t="shared" si="132"/>
        <v>0</v>
      </c>
      <c r="BJ54" s="1">
        <f t="shared" si="133"/>
        <v>0</v>
      </c>
      <c r="BK54" s="1">
        <f t="shared" si="134"/>
        <v>0</v>
      </c>
      <c r="BL54" s="1">
        <f t="shared" si="135"/>
        <v>0</v>
      </c>
      <c r="BM54" s="1">
        <f t="shared" si="136"/>
        <v>0</v>
      </c>
      <c r="BN54" s="1">
        <f t="shared" si="137"/>
        <v>0</v>
      </c>
      <c r="BO54" s="69">
        <f t="shared" si="138"/>
        <v>0</v>
      </c>
      <c r="BP54" s="1">
        <f t="shared" si="198"/>
        <v>0</v>
      </c>
      <c r="BQ54" s="1">
        <f t="shared" si="199"/>
        <v>0</v>
      </c>
      <c r="BR54" s="1">
        <f t="shared" si="200"/>
        <v>0</v>
      </c>
      <c r="BS54" s="1">
        <f t="shared" si="201"/>
        <v>0</v>
      </c>
      <c r="BT54" s="1">
        <f t="shared" si="202"/>
        <v>0</v>
      </c>
      <c r="BU54" s="1">
        <f t="shared" si="203"/>
        <v>0</v>
      </c>
      <c r="BV54" s="1">
        <f t="shared" si="204"/>
        <v>0</v>
      </c>
      <c r="BW54" s="1">
        <f t="shared" si="205"/>
        <v>0</v>
      </c>
      <c r="BX54" s="1">
        <f t="shared" si="206"/>
        <v>0</v>
      </c>
      <c r="BY54" s="69">
        <f t="shared" si="207"/>
        <v>0</v>
      </c>
      <c r="BZ54" s="1">
        <f t="shared" si="149"/>
        <v>0</v>
      </c>
      <c r="CA54" s="1">
        <f t="shared" si="150"/>
        <v>0</v>
      </c>
      <c r="CB54" s="1">
        <f t="shared" si="151"/>
        <v>0</v>
      </c>
      <c r="CC54" s="1">
        <f t="shared" si="152"/>
        <v>0</v>
      </c>
      <c r="CD54" s="1">
        <f t="shared" si="153"/>
        <v>0</v>
      </c>
      <c r="CE54" s="1">
        <f t="shared" si="154"/>
        <v>0</v>
      </c>
      <c r="CF54" s="1">
        <f t="shared" si="155"/>
        <v>0</v>
      </c>
      <c r="CG54" s="1">
        <f t="shared" si="156"/>
        <v>0</v>
      </c>
      <c r="CH54" s="1">
        <f t="shared" si="157"/>
        <v>0</v>
      </c>
      <c r="CI54" s="69">
        <f t="shared" si="158"/>
        <v>0</v>
      </c>
      <c r="CJ54" s="1">
        <f t="shared" si="159"/>
        <v>0</v>
      </c>
      <c r="CK54" s="1">
        <f t="shared" si="180"/>
        <v>0</v>
      </c>
      <c r="CL54" s="1">
        <f t="shared" si="181"/>
        <v>0</v>
      </c>
      <c r="CM54" s="1">
        <f t="shared" si="182"/>
        <v>0</v>
      </c>
      <c r="CN54" s="1">
        <f t="shared" si="183"/>
        <v>0</v>
      </c>
      <c r="CO54" s="1">
        <f t="shared" si="184"/>
        <v>0</v>
      </c>
      <c r="CP54" s="1">
        <f t="shared" si="185"/>
        <v>0</v>
      </c>
      <c r="CQ54" s="1">
        <f t="shared" si="186"/>
        <v>0</v>
      </c>
      <c r="CR54" s="1">
        <f t="shared" si="187"/>
        <v>0</v>
      </c>
      <c r="CS54" s="69">
        <f t="shared" si="188"/>
        <v>0</v>
      </c>
      <c r="CT54" s="1">
        <f t="shared" si="208"/>
        <v>0</v>
      </c>
      <c r="CU54" s="1">
        <f t="shared" si="100"/>
        <v>0</v>
      </c>
      <c r="CV54" s="1">
        <f t="shared" si="101"/>
        <v>0</v>
      </c>
      <c r="CW54" s="1">
        <f t="shared" si="102"/>
        <v>0</v>
      </c>
      <c r="CX54" s="1">
        <f t="shared" si="103"/>
        <v>0</v>
      </c>
      <c r="CY54" s="1">
        <f t="shared" si="104"/>
        <v>0</v>
      </c>
      <c r="CZ54" s="1">
        <f t="shared" si="105"/>
        <v>0</v>
      </c>
      <c r="DA54" s="1">
        <f t="shared" si="106"/>
        <v>0</v>
      </c>
      <c r="DB54" s="1">
        <f t="shared" si="107"/>
        <v>0</v>
      </c>
      <c r="DC54" s="69">
        <f t="shared" si="108"/>
        <v>0</v>
      </c>
      <c r="DD54" s="1">
        <f t="shared" si="209"/>
        <v>0</v>
      </c>
      <c r="DE54" s="1">
        <f t="shared" si="109"/>
        <v>0</v>
      </c>
      <c r="DF54" s="1">
        <f t="shared" si="110"/>
        <v>0</v>
      </c>
      <c r="DG54" s="1">
        <f t="shared" si="111"/>
        <v>0</v>
      </c>
      <c r="DH54" s="1">
        <f t="shared" si="112"/>
        <v>0</v>
      </c>
      <c r="DI54" s="1">
        <f t="shared" si="113"/>
        <v>0</v>
      </c>
      <c r="DJ54" s="1">
        <f t="shared" si="114"/>
        <v>0</v>
      </c>
      <c r="DK54" s="1">
        <f t="shared" si="115"/>
        <v>0</v>
      </c>
      <c r="DL54" s="1">
        <f t="shared" si="116"/>
        <v>0</v>
      </c>
      <c r="DM54" s="69">
        <f t="shared" si="117"/>
        <v>0</v>
      </c>
      <c r="DN54" s="1">
        <f t="shared" si="160"/>
        <v>0</v>
      </c>
      <c r="DO54" s="1">
        <f t="shared" si="161"/>
        <v>0</v>
      </c>
      <c r="DP54" s="1">
        <f t="shared" si="162"/>
        <v>0</v>
      </c>
      <c r="DQ54" s="1">
        <f t="shared" si="163"/>
        <v>0</v>
      </c>
      <c r="DR54" s="1">
        <f t="shared" si="164"/>
        <v>0</v>
      </c>
      <c r="DS54" s="1">
        <f t="shared" si="165"/>
        <v>0</v>
      </c>
      <c r="DT54" s="1">
        <f t="shared" si="166"/>
        <v>0</v>
      </c>
      <c r="DU54" s="1">
        <f t="shared" si="167"/>
        <v>0</v>
      </c>
      <c r="DV54" s="1">
        <f t="shared" si="168"/>
        <v>0</v>
      </c>
      <c r="DW54" s="69">
        <f t="shared" si="169"/>
        <v>0</v>
      </c>
      <c r="DX54" s="1">
        <v>2</v>
      </c>
      <c r="DY54" s="69">
        <f t="shared" si="94"/>
        <v>29</v>
      </c>
      <c r="DZ54" s="1">
        <f t="shared" si="99"/>
        <v>0</v>
      </c>
      <c r="EA54" s="1">
        <f t="shared" si="170"/>
        <v>0</v>
      </c>
      <c r="EB54" s="1">
        <f t="shared" si="3"/>
        <v>0</v>
      </c>
      <c r="ED54" s="285">
        <f t="shared" si="4"/>
        <v>0</v>
      </c>
    </row>
    <row r="55" spans="1:134" x14ac:dyDescent="0.2">
      <c r="A55" s="209" t="s">
        <v>660</v>
      </c>
      <c r="B55" s="800" t="s">
        <v>2349</v>
      </c>
      <c r="C55" s="193" t="s">
        <v>871</v>
      </c>
      <c r="D55" s="647" t="s">
        <v>563</v>
      </c>
      <c r="E55" s="889">
        <v>2.2000000000000002</v>
      </c>
      <c r="F55" s="625">
        <f t="shared" si="118"/>
        <v>154.36299</v>
      </c>
      <c r="G55" s="694"/>
      <c r="H55" s="58"/>
      <c r="I55" s="58"/>
      <c r="J55" s="58"/>
      <c r="K55" s="58"/>
      <c r="L55" s="58"/>
      <c r="M55" s="58"/>
      <c r="N55" s="662"/>
      <c r="O55" s="258"/>
      <c r="P55" s="258"/>
      <c r="Q55" s="258"/>
      <c r="R55" s="257"/>
      <c r="S55" s="258"/>
      <c r="T55" s="258"/>
      <c r="U55" s="258"/>
      <c r="V55" s="257"/>
      <c r="W55" s="258"/>
      <c r="X55" s="258"/>
      <c r="Y55" s="258"/>
      <c r="Z55" s="257"/>
      <c r="AA55" s="258"/>
      <c r="AB55" s="258"/>
      <c r="AC55" s="258"/>
      <c r="AD55" s="257"/>
      <c r="AE55" s="258"/>
      <c r="AF55" s="258"/>
      <c r="AH55" s="546">
        <f t="shared" si="0"/>
        <v>0</v>
      </c>
      <c r="AI55" s="66">
        <f t="shared" ref="AI55:AI94" si="211">N55*$E55</f>
        <v>0</v>
      </c>
      <c r="AL55" s="706" t="str">
        <f t="shared" si="5"/>
        <v>-motore &lt;0,25 e &lt;3 Kw</v>
      </c>
      <c r="AM55" s="684">
        <f t="shared" si="189"/>
        <v>0</v>
      </c>
      <c r="AN55" s="674">
        <f t="shared" si="171"/>
        <v>0</v>
      </c>
      <c r="AO55" s="684">
        <f t="shared" si="190"/>
        <v>0</v>
      </c>
      <c r="AP55" s="674">
        <f t="shared" si="172"/>
        <v>0</v>
      </c>
      <c r="AQ55" s="684">
        <f t="shared" si="191"/>
        <v>0</v>
      </c>
      <c r="AR55" s="674">
        <f t="shared" si="173"/>
        <v>0</v>
      </c>
      <c r="AS55" s="684">
        <f t="shared" si="192"/>
        <v>0</v>
      </c>
      <c r="AT55" s="674">
        <f t="shared" si="174"/>
        <v>0</v>
      </c>
      <c r="AU55" s="684">
        <f t="shared" si="193"/>
        <v>0</v>
      </c>
      <c r="AV55" s="674">
        <f t="shared" si="175"/>
        <v>0</v>
      </c>
      <c r="AW55" s="684">
        <f t="shared" si="194"/>
        <v>0</v>
      </c>
      <c r="AX55" s="674">
        <f t="shared" si="176"/>
        <v>0</v>
      </c>
      <c r="AY55" s="684">
        <f t="shared" si="195"/>
        <v>0</v>
      </c>
      <c r="AZ55" s="674">
        <f t="shared" si="177"/>
        <v>0</v>
      </c>
      <c r="BA55" s="684">
        <f t="shared" si="196"/>
        <v>0</v>
      </c>
      <c r="BB55" s="674">
        <f t="shared" si="178"/>
        <v>0</v>
      </c>
      <c r="BC55" s="684">
        <f t="shared" si="197"/>
        <v>0</v>
      </c>
      <c r="BD55" s="674">
        <f t="shared" si="179"/>
        <v>0</v>
      </c>
      <c r="BE55" s="684">
        <f t="shared" si="128"/>
        <v>0</v>
      </c>
      <c r="BF55" s="1">
        <f t="shared" si="129"/>
        <v>0</v>
      </c>
      <c r="BG55" s="1">
        <f t="shared" si="130"/>
        <v>0</v>
      </c>
      <c r="BH55" s="1">
        <f t="shared" si="131"/>
        <v>0</v>
      </c>
      <c r="BI55" s="1">
        <f t="shared" si="132"/>
        <v>0</v>
      </c>
      <c r="BJ55" s="1">
        <f t="shared" si="133"/>
        <v>0</v>
      </c>
      <c r="BK55" s="1">
        <f t="shared" si="134"/>
        <v>0</v>
      </c>
      <c r="BL55" s="1">
        <f t="shared" si="135"/>
        <v>0</v>
      </c>
      <c r="BM55" s="1">
        <f t="shared" si="136"/>
        <v>0</v>
      </c>
      <c r="BN55" s="1">
        <f t="shared" si="137"/>
        <v>0</v>
      </c>
      <c r="BO55" s="69">
        <f t="shared" si="138"/>
        <v>0</v>
      </c>
      <c r="BP55" s="1">
        <f t="shared" si="198"/>
        <v>0</v>
      </c>
      <c r="BQ55" s="1">
        <f t="shared" si="199"/>
        <v>0</v>
      </c>
      <c r="BR55" s="1">
        <f t="shared" si="200"/>
        <v>0</v>
      </c>
      <c r="BS55" s="1">
        <f t="shared" si="201"/>
        <v>0</v>
      </c>
      <c r="BT55" s="1">
        <f t="shared" si="202"/>
        <v>0</v>
      </c>
      <c r="BU55" s="1">
        <f t="shared" si="203"/>
        <v>0</v>
      </c>
      <c r="BV55" s="1">
        <f t="shared" si="204"/>
        <v>0</v>
      </c>
      <c r="BW55" s="1">
        <f t="shared" si="205"/>
        <v>0</v>
      </c>
      <c r="BX55" s="1">
        <f t="shared" si="206"/>
        <v>0</v>
      </c>
      <c r="BY55" s="69">
        <f t="shared" si="207"/>
        <v>0</v>
      </c>
      <c r="BZ55" s="1">
        <f t="shared" si="149"/>
        <v>0</v>
      </c>
      <c r="CA55" s="1">
        <f t="shared" si="150"/>
        <v>0</v>
      </c>
      <c r="CB55" s="1">
        <f t="shared" si="151"/>
        <v>0</v>
      </c>
      <c r="CC55" s="1">
        <f t="shared" si="152"/>
        <v>0</v>
      </c>
      <c r="CD55" s="1">
        <f t="shared" si="153"/>
        <v>0</v>
      </c>
      <c r="CE55" s="1">
        <f t="shared" si="154"/>
        <v>0</v>
      </c>
      <c r="CF55" s="1">
        <f t="shared" si="155"/>
        <v>0</v>
      </c>
      <c r="CG55" s="1">
        <f t="shared" si="156"/>
        <v>0</v>
      </c>
      <c r="CH55" s="1">
        <f t="shared" si="157"/>
        <v>0</v>
      </c>
      <c r="CI55" s="69">
        <f t="shared" si="158"/>
        <v>0</v>
      </c>
      <c r="CJ55" s="1">
        <f t="shared" si="159"/>
        <v>0</v>
      </c>
      <c r="CK55" s="1">
        <f t="shared" si="180"/>
        <v>0</v>
      </c>
      <c r="CL55" s="1">
        <f t="shared" si="181"/>
        <v>0</v>
      </c>
      <c r="CM55" s="1">
        <f t="shared" si="182"/>
        <v>0</v>
      </c>
      <c r="CN55" s="1">
        <f t="shared" si="183"/>
        <v>0</v>
      </c>
      <c r="CO55" s="1">
        <f t="shared" si="184"/>
        <v>0</v>
      </c>
      <c r="CP55" s="1">
        <f t="shared" si="185"/>
        <v>0</v>
      </c>
      <c r="CQ55" s="1">
        <f t="shared" si="186"/>
        <v>0</v>
      </c>
      <c r="CR55" s="1">
        <f t="shared" si="187"/>
        <v>0</v>
      </c>
      <c r="CS55" s="69">
        <f t="shared" si="188"/>
        <v>0</v>
      </c>
      <c r="CT55" s="1">
        <f t="shared" si="208"/>
        <v>0</v>
      </c>
      <c r="CU55" s="1">
        <f t="shared" si="100"/>
        <v>0</v>
      </c>
      <c r="CV55" s="1">
        <f t="shared" si="101"/>
        <v>0</v>
      </c>
      <c r="CW55" s="1">
        <f t="shared" si="102"/>
        <v>0</v>
      </c>
      <c r="CX55" s="1">
        <f t="shared" si="103"/>
        <v>0</v>
      </c>
      <c r="CY55" s="1">
        <f t="shared" si="104"/>
        <v>0</v>
      </c>
      <c r="CZ55" s="1">
        <f t="shared" si="105"/>
        <v>0</v>
      </c>
      <c r="DA55" s="1">
        <f t="shared" si="106"/>
        <v>0</v>
      </c>
      <c r="DB55" s="1">
        <f t="shared" si="107"/>
        <v>0</v>
      </c>
      <c r="DC55" s="69">
        <f t="shared" si="108"/>
        <v>0</v>
      </c>
      <c r="DD55" s="1">
        <f t="shared" si="209"/>
        <v>0</v>
      </c>
      <c r="DE55" s="1">
        <f t="shared" si="109"/>
        <v>0</v>
      </c>
      <c r="DF55" s="1">
        <f t="shared" si="110"/>
        <v>0</v>
      </c>
      <c r="DG55" s="1">
        <f t="shared" si="111"/>
        <v>0</v>
      </c>
      <c r="DH55" s="1">
        <f t="shared" si="112"/>
        <v>0</v>
      </c>
      <c r="DI55" s="1">
        <f t="shared" si="113"/>
        <v>0</v>
      </c>
      <c r="DJ55" s="1">
        <f t="shared" si="114"/>
        <v>0</v>
      </c>
      <c r="DK55" s="1">
        <f t="shared" si="115"/>
        <v>0</v>
      </c>
      <c r="DL55" s="1">
        <f t="shared" si="116"/>
        <v>0</v>
      </c>
      <c r="DM55" s="69">
        <f t="shared" si="117"/>
        <v>0</v>
      </c>
      <c r="DN55" s="1">
        <f t="shared" si="160"/>
        <v>0</v>
      </c>
      <c r="DO55" s="1">
        <f t="shared" si="161"/>
        <v>0</v>
      </c>
      <c r="DP55" s="1">
        <f t="shared" si="162"/>
        <v>0</v>
      </c>
      <c r="DQ55" s="1">
        <f t="shared" si="163"/>
        <v>0</v>
      </c>
      <c r="DR55" s="1">
        <f t="shared" si="164"/>
        <v>0</v>
      </c>
      <c r="DS55" s="1">
        <f t="shared" si="165"/>
        <v>0</v>
      </c>
      <c r="DT55" s="1">
        <f t="shared" si="166"/>
        <v>0</v>
      </c>
      <c r="DU55" s="1">
        <f t="shared" si="167"/>
        <v>0</v>
      </c>
      <c r="DV55" s="1">
        <f t="shared" si="168"/>
        <v>0</v>
      </c>
      <c r="DW55" s="69">
        <f t="shared" si="169"/>
        <v>0</v>
      </c>
      <c r="DX55" s="1">
        <v>2</v>
      </c>
      <c r="DY55" s="69">
        <f t="shared" si="94"/>
        <v>30</v>
      </c>
      <c r="DZ55" s="1">
        <f t="shared" si="99"/>
        <v>0</v>
      </c>
      <c r="EA55" s="1">
        <f t="shared" si="170"/>
        <v>0</v>
      </c>
      <c r="EB55" s="1">
        <f t="shared" si="3"/>
        <v>0</v>
      </c>
      <c r="ED55" s="285">
        <f t="shared" si="4"/>
        <v>0</v>
      </c>
    </row>
    <row r="56" spans="1:134" x14ac:dyDescent="0.2">
      <c r="A56" s="209" t="s">
        <v>660</v>
      </c>
      <c r="B56" s="801" t="s">
        <v>2350</v>
      </c>
      <c r="C56" s="182" t="s">
        <v>871</v>
      </c>
      <c r="D56" s="646" t="s">
        <v>564</v>
      </c>
      <c r="E56" s="889">
        <v>4</v>
      </c>
      <c r="F56" s="625">
        <f t="shared" si="118"/>
        <v>168.65441999999999</v>
      </c>
      <c r="G56" s="694"/>
      <c r="H56" s="58"/>
      <c r="I56" s="58"/>
      <c r="J56" s="58">
        <v>1</v>
      </c>
      <c r="K56" s="58">
        <v>1</v>
      </c>
      <c r="L56" s="58"/>
      <c r="M56" s="58"/>
      <c r="N56" s="658"/>
      <c r="O56" s="256"/>
      <c r="P56" s="256"/>
      <c r="Q56" s="256"/>
      <c r="R56" s="255"/>
      <c r="S56" s="256"/>
      <c r="T56" s="256"/>
      <c r="U56" s="256"/>
      <c r="V56" s="255"/>
      <c r="W56" s="256"/>
      <c r="X56" s="256"/>
      <c r="Y56" s="256"/>
      <c r="Z56" s="255"/>
      <c r="AA56" s="256"/>
      <c r="AB56" s="256"/>
      <c r="AC56" s="256"/>
      <c r="AD56" s="255"/>
      <c r="AE56" s="256"/>
      <c r="AF56" s="256"/>
      <c r="AH56" s="546">
        <f t="shared" ref="AH56:AH88" si="212">AI56+AN56+AP56+AR56+AT56+AV56+AX56+AZ56+BB56+BD56</f>
        <v>0</v>
      </c>
      <c r="AI56" s="66">
        <f t="shared" si="211"/>
        <v>0</v>
      </c>
      <c r="AL56" s="706" t="str">
        <f t="shared" si="5"/>
        <v>-motore &gt;=3 e &lt;= 4Kw</v>
      </c>
      <c r="AM56" s="684">
        <f t="shared" si="189"/>
        <v>0</v>
      </c>
      <c r="AN56" s="674">
        <f t="shared" si="171"/>
        <v>0</v>
      </c>
      <c r="AO56" s="684">
        <f t="shared" si="190"/>
        <v>0</v>
      </c>
      <c r="AP56" s="674">
        <f t="shared" si="172"/>
        <v>0</v>
      </c>
      <c r="AQ56" s="684">
        <f t="shared" si="191"/>
        <v>0</v>
      </c>
      <c r="AR56" s="674">
        <f t="shared" si="173"/>
        <v>0</v>
      </c>
      <c r="AS56" s="684">
        <f t="shared" si="192"/>
        <v>0</v>
      </c>
      <c r="AT56" s="674">
        <f t="shared" si="174"/>
        <v>0</v>
      </c>
      <c r="AU56" s="684">
        <f t="shared" si="193"/>
        <v>0</v>
      </c>
      <c r="AV56" s="674">
        <f t="shared" si="175"/>
        <v>0</v>
      </c>
      <c r="AW56" s="684">
        <f t="shared" si="194"/>
        <v>0</v>
      </c>
      <c r="AX56" s="674">
        <f t="shared" si="176"/>
        <v>0</v>
      </c>
      <c r="AY56" s="684">
        <f t="shared" si="195"/>
        <v>0</v>
      </c>
      <c r="AZ56" s="674">
        <f t="shared" si="177"/>
        <v>0</v>
      </c>
      <c r="BA56" s="684">
        <f t="shared" si="196"/>
        <v>0</v>
      </c>
      <c r="BB56" s="674">
        <f t="shared" si="178"/>
        <v>0</v>
      </c>
      <c r="BC56" s="684">
        <f t="shared" si="197"/>
        <v>0</v>
      </c>
      <c r="BD56" s="674">
        <f t="shared" si="179"/>
        <v>0</v>
      </c>
      <c r="BE56" s="684">
        <f t="shared" si="128"/>
        <v>0</v>
      </c>
      <c r="BF56" s="1">
        <f t="shared" si="129"/>
        <v>0</v>
      </c>
      <c r="BG56" s="1">
        <f t="shared" si="130"/>
        <v>0</v>
      </c>
      <c r="BH56" s="1">
        <f t="shared" si="131"/>
        <v>0</v>
      </c>
      <c r="BI56" s="1">
        <f t="shared" si="132"/>
        <v>0</v>
      </c>
      <c r="BJ56" s="1">
        <f t="shared" si="133"/>
        <v>0</v>
      </c>
      <c r="BK56" s="1">
        <f t="shared" si="134"/>
        <v>0</v>
      </c>
      <c r="BL56" s="1">
        <f t="shared" si="135"/>
        <v>0</v>
      </c>
      <c r="BM56" s="1">
        <f t="shared" si="136"/>
        <v>0</v>
      </c>
      <c r="BN56" s="1">
        <f t="shared" si="137"/>
        <v>0</v>
      </c>
      <c r="BO56" s="69">
        <f t="shared" si="138"/>
        <v>0</v>
      </c>
      <c r="BP56" s="1">
        <f t="shared" si="198"/>
        <v>0</v>
      </c>
      <c r="BQ56" s="1">
        <f t="shared" si="199"/>
        <v>0</v>
      </c>
      <c r="BR56" s="1">
        <f t="shared" si="200"/>
        <v>0</v>
      </c>
      <c r="BS56" s="1">
        <f t="shared" si="201"/>
        <v>0</v>
      </c>
      <c r="BT56" s="1">
        <f t="shared" si="202"/>
        <v>0</v>
      </c>
      <c r="BU56" s="1">
        <f t="shared" si="203"/>
        <v>0</v>
      </c>
      <c r="BV56" s="1">
        <f t="shared" si="204"/>
        <v>0</v>
      </c>
      <c r="BW56" s="1">
        <f t="shared" si="205"/>
        <v>0</v>
      </c>
      <c r="BX56" s="1">
        <f t="shared" si="206"/>
        <v>0</v>
      </c>
      <c r="BY56" s="69">
        <f t="shared" si="207"/>
        <v>0</v>
      </c>
      <c r="BZ56" s="1">
        <f t="shared" si="149"/>
        <v>0</v>
      </c>
      <c r="CA56" s="1">
        <f t="shared" si="150"/>
        <v>0</v>
      </c>
      <c r="CB56" s="1">
        <f t="shared" si="151"/>
        <v>0</v>
      </c>
      <c r="CC56" s="1">
        <f t="shared" si="152"/>
        <v>0</v>
      </c>
      <c r="CD56" s="1">
        <f t="shared" si="153"/>
        <v>0</v>
      </c>
      <c r="CE56" s="1">
        <f t="shared" si="154"/>
        <v>0</v>
      </c>
      <c r="CF56" s="1">
        <f t="shared" si="155"/>
        <v>0</v>
      </c>
      <c r="CG56" s="1">
        <f t="shared" si="156"/>
        <v>0</v>
      </c>
      <c r="CH56" s="1">
        <f t="shared" si="157"/>
        <v>0</v>
      </c>
      <c r="CI56" s="69">
        <f t="shared" si="158"/>
        <v>0</v>
      </c>
      <c r="CJ56" s="1">
        <f t="shared" si="159"/>
        <v>0</v>
      </c>
      <c r="CK56" s="1">
        <f t="shared" si="180"/>
        <v>0</v>
      </c>
      <c r="CL56" s="1">
        <f t="shared" si="181"/>
        <v>0</v>
      </c>
      <c r="CM56" s="1">
        <f t="shared" si="182"/>
        <v>0</v>
      </c>
      <c r="CN56" s="1">
        <f t="shared" si="183"/>
        <v>0</v>
      </c>
      <c r="CO56" s="1">
        <f t="shared" si="184"/>
        <v>0</v>
      </c>
      <c r="CP56" s="1">
        <f t="shared" si="185"/>
        <v>0</v>
      </c>
      <c r="CQ56" s="1">
        <f t="shared" si="186"/>
        <v>0</v>
      </c>
      <c r="CR56" s="1">
        <f t="shared" si="187"/>
        <v>0</v>
      </c>
      <c r="CS56" s="69">
        <f t="shared" si="188"/>
        <v>0</v>
      </c>
      <c r="CT56" s="1">
        <f t="shared" si="208"/>
        <v>0</v>
      </c>
      <c r="CU56" s="1">
        <f t="shared" si="100"/>
        <v>0</v>
      </c>
      <c r="CV56" s="1">
        <f t="shared" si="101"/>
        <v>0</v>
      </c>
      <c r="CW56" s="1">
        <f t="shared" si="102"/>
        <v>0</v>
      </c>
      <c r="CX56" s="1">
        <f t="shared" si="103"/>
        <v>0</v>
      </c>
      <c r="CY56" s="1">
        <f t="shared" si="104"/>
        <v>0</v>
      </c>
      <c r="CZ56" s="1">
        <f t="shared" si="105"/>
        <v>0</v>
      </c>
      <c r="DA56" s="1">
        <f t="shared" si="106"/>
        <v>0</v>
      </c>
      <c r="DB56" s="1">
        <f t="shared" si="107"/>
        <v>0</v>
      </c>
      <c r="DC56" s="69">
        <f t="shared" si="108"/>
        <v>0</v>
      </c>
      <c r="DD56" s="1">
        <f t="shared" si="209"/>
        <v>0</v>
      </c>
      <c r="DE56" s="1">
        <f t="shared" si="109"/>
        <v>0</v>
      </c>
      <c r="DF56" s="1">
        <f t="shared" si="110"/>
        <v>0</v>
      </c>
      <c r="DG56" s="1">
        <f t="shared" si="111"/>
        <v>0</v>
      </c>
      <c r="DH56" s="1">
        <f t="shared" si="112"/>
        <v>0</v>
      </c>
      <c r="DI56" s="1">
        <f t="shared" si="113"/>
        <v>0</v>
      </c>
      <c r="DJ56" s="1">
        <f t="shared" si="114"/>
        <v>0</v>
      </c>
      <c r="DK56" s="1">
        <f t="shared" si="115"/>
        <v>0</v>
      </c>
      <c r="DL56" s="1">
        <f t="shared" si="116"/>
        <v>0</v>
      </c>
      <c r="DM56" s="69">
        <f t="shared" si="117"/>
        <v>0</v>
      </c>
      <c r="DN56" s="1">
        <f t="shared" si="160"/>
        <v>0</v>
      </c>
      <c r="DO56" s="1">
        <f t="shared" si="161"/>
        <v>0</v>
      </c>
      <c r="DP56" s="1">
        <f t="shared" si="162"/>
        <v>0</v>
      </c>
      <c r="DQ56" s="1">
        <f t="shared" si="163"/>
        <v>0</v>
      </c>
      <c r="DR56" s="1">
        <f t="shared" si="164"/>
        <v>0</v>
      </c>
      <c r="DS56" s="1">
        <f t="shared" si="165"/>
        <v>0</v>
      </c>
      <c r="DT56" s="1">
        <f t="shared" si="166"/>
        <v>0</v>
      </c>
      <c r="DU56" s="1">
        <f t="shared" si="167"/>
        <v>0</v>
      </c>
      <c r="DV56" s="1">
        <f t="shared" si="168"/>
        <v>0</v>
      </c>
      <c r="DW56" s="69">
        <f t="shared" si="169"/>
        <v>0</v>
      </c>
      <c r="DX56" s="1">
        <v>2</v>
      </c>
      <c r="DY56" s="69">
        <f t="shared" si="94"/>
        <v>31</v>
      </c>
      <c r="DZ56" s="1">
        <f t="shared" si="99"/>
        <v>0</v>
      </c>
      <c r="EA56" s="1">
        <f t="shared" si="170"/>
        <v>0</v>
      </c>
      <c r="EB56" s="1">
        <f t="shared" ref="EB56:EB88" si="213">IF(C56="r",SUM(N56+P56+R56+T56+V56+X56+Z56+AB56+AD56+AF56),0)</f>
        <v>0</v>
      </c>
      <c r="ED56" s="285">
        <f t="shared" ref="ED56:ED88" si="214">SUM(N56:AF56)*EC56</f>
        <v>0</v>
      </c>
    </row>
    <row r="57" spans="1:134" x14ac:dyDescent="0.2">
      <c r="A57" s="209" t="s">
        <v>660</v>
      </c>
      <c r="B57" s="801" t="s">
        <v>2351</v>
      </c>
      <c r="C57" s="182" t="s">
        <v>871</v>
      </c>
      <c r="D57" s="646" t="s">
        <v>549</v>
      </c>
      <c r="E57" s="889">
        <v>5</v>
      </c>
      <c r="F57" s="625">
        <f t="shared" si="118"/>
        <v>208.79634000000001</v>
      </c>
      <c r="G57" s="694"/>
      <c r="H57" s="58"/>
      <c r="I57" s="58"/>
      <c r="J57" s="58">
        <v>1</v>
      </c>
      <c r="K57" s="58">
        <v>1</v>
      </c>
      <c r="L57" s="58"/>
      <c r="M57" s="58"/>
      <c r="N57" s="658"/>
      <c r="O57" s="256"/>
      <c r="P57" s="256"/>
      <c r="Q57" s="256"/>
      <c r="R57" s="255"/>
      <c r="S57" s="256"/>
      <c r="T57" s="256"/>
      <c r="U57" s="256"/>
      <c r="V57" s="255"/>
      <c r="W57" s="256"/>
      <c r="X57" s="256"/>
      <c r="Y57" s="256"/>
      <c r="Z57" s="255"/>
      <c r="AA57" s="256"/>
      <c r="AB57" s="256"/>
      <c r="AC57" s="256"/>
      <c r="AD57" s="255"/>
      <c r="AE57" s="256"/>
      <c r="AF57" s="256"/>
      <c r="AH57" s="546">
        <f t="shared" si="212"/>
        <v>0</v>
      </c>
      <c r="AI57" s="66">
        <f t="shared" si="211"/>
        <v>0</v>
      </c>
      <c r="AL57" s="706" t="str">
        <f t="shared" si="5"/>
        <v>-motore = 5,5Kw</v>
      </c>
      <c r="AM57" s="684">
        <f t="shared" si="189"/>
        <v>0</v>
      </c>
      <c r="AN57" s="674">
        <f t="shared" si="171"/>
        <v>0</v>
      </c>
      <c r="AO57" s="684">
        <f t="shared" si="190"/>
        <v>0</v>
      </c>
      <c r="AP57" s="674">
        <f t="shared" si="172"/>
        <v>0</v>
      </c>
      <c r="AQ57" s="684">
        <f t="shared" si="191"/>
        <v>0</v>
      </c>
      <c r="AR57" s="674">
        <f t="shared" si="173"/>
        <v>0</v>
      </c>
      <c r="AS57" s="684">
        <f t="shared" si="192"/>
        <v>0</v>
      </c>
      <c r="AT57" s="674">
        <f t="shared" si="174"/>
        <v>0</v>
      </c>
      <c r="AU57" s="684">
        <f t="shared" si="193"/>
        <v>0</v>
      </c>
      <c r="AV57" s="674">
        <f t="shared" si="175"/>
        <v>0</v>
      </c>
      <c r="AW57" s="684">
        <f t="shared" si="194"/>
        <v>0</v>
      </c>
      <c r="AX57" s="674">
        <f t="shared" si="176"/>
        <v>0</v>
      </c>
      <c r="AY57" s="684">
        <f t="shared" si="195"/>
        <v>0</v>
      </c>
      <c r="AZ57" s="674">
        <f t="shared" si="177"/>
        <v>0</v>
      </c>
      <c r="BA57" s="684">
        <f t="shared" si="196"/>
        <v>0</v>
      </c>
      <c r="BB57" s="674">
        <f t="shared" si="178"/>
        <v>0</v>
      </c>
      <c r="BC57" s="684">
        <f t="shared" si="197"/>
        <v>0</v>
      </c>
      <c r="BD57" s="674">
        <f t="shared" si="179"/>
        <v>0</v>
      </c>
      <c r="BE57" s="684">
        <f t="shared" si="128"/>
        <v>0</v>
      </c>
      <c r="BF57" s="1">
        <f t="shared" si="129"/>
        <v>0</v>
      </c>
      <c r="BG57" s="1">
        <f t="shared" si="130"/>
        <v>0</v>
      </c>
      <c r="BH57" s="1">
        <f t="shared" si="131"/>
        <v>0</v>
      </c>
      <c r="BI57" s="1">
        <f t="shared" si="132"/>
        <v>0</v>
      </c>
      <c r="BJ57" s="1">
        <f t="shared" si="133"/>
        <v>0</v>
      </c>
      <c r="BK57" s="1">
        <f t="shared" si="134"/>
        <v>0</v>
      </c>
      <c r="BL57" s="1">
        <f t="shared" si="135"/>
        <v>0</v>
      </c>
      <c r="BM57" s="1">
        <f t="shared" si="136"/>
        <v>0</v>
      </c>
      <c r="BN57" s="1">
        <f t="shared" si="137"/>
        <v>0</v>
      </c>
      <c r="BO57" s="69">
        <f t="shared" si="138"/>
        <v>0</v>
      </c>
      <c r="BP57" s="1">
        <f t="shared" si="198"/>
        <v>0</v>
      </c>
      <c r="BQ57" s="1">
        <f t="shared" si="199"/>
        <v>0</v>
      </c>
      <c r="BR57" s="1">
        <f t="shared" si="200"/>
        <v>0</v>
      </c>
      <c r="BS57" s="1">
        <f t="shared" si="201"/>
        <v>0</v>
      </c>
      <c r="BT57" s="1">
        <f t="shared" si="202"/>
        <v>0</v>
      </c>
      <c r="BU57" s="1">
        <f t="shared" si="203"/>
        <v>0</v>
      </c>
      <c r="BV57" s="1">
        <f t="shared" si="204"/>
        <v>0</v>
      </c>
      <c r="BW57" s="1">
        <f t="shared" si="205"/>
        <v>0</v>
      </c>
      <c r="BX57" s="1">
        <f t="shared" si="206"/>
        <v>0</v>
      </c>
      <c r="BY57" s="69">
        <f t="shared" si="207"/>
        <v>0</v>
      </c>
      <c r="BZ57" s="1">
        <f t="shared" si="149"/>
        <v>0</v>
      </c>
      <c r="CA57" s="1">
        <f t="shared" si="150"/>
        <v>0</v>
      </c>
      <c r="CB57" s="1">
        <f t="shared" si="151"/>
        <v>0</v>
      </c>
      <c r="CC57" s="1">
        <f t="shared" si="152"/>
        <v>0</v>
      </c>
      <c r="CD57" s="1">
        <f t="shared" si="153"/>
        <v>0</v>
      </c>
      <c r="CE57" s="1">
        <f t="shared" si="154"/>
        <v>0</v>
      </c>
      <c r="CF57" s="1">
        <f t="shared" si="155"/>
        <v>0</v>
      </c>
      <c r="CG57" s="1">
        <f t="shared" si="156"/>
        <v>0</v>
      </c>
      <c r="CH57" s="1">
        <f t="shared" si="157"/>
        <v>0</v>
      </c>
      <c r="CI57" s="69">
        <f t="shared" si="158"/>
        <v>0</v>
      </c>
      <c r="CJ57" s="1">
        <f t="shared" si="159"/>
        <v>0</v>
      </c>
      <c r="CK57" s="1">
        <f t="shared" si="180"/>
        <v>0</v>
      </c>
      <c r="CL57" s="1">
        <f t="shared" si="181"/>
        <v>0</v>
      </c>
      <c r="CM57" s="1">
        <f t="shared" si="182"/>
        <v>0</v>
      </c>
      <c r="CN57" s="1">
        <f t="shared" si="183"/>
        <v>0</v>
      </c>
      <c r="CO57" s="1">
        <f t="shared" si="184"/>
        <v>0</v>
      </c>
      <c r="CP57" s="1">
        <f t="shared" si="185"/>
        <v>0</v>
      </c>
      <c r="CQ57" s="1">
        <f t="shared" si="186"/>
        <v>0</v>
      </c>
      <c r="CR57" s="1">
        <f t="shared" si="187"/>
        <v>0</v>
      </c>
      <c r="CS57" s="69">
        <f t="shared" si="188"/>
        <v>0</v>
      </c>
      <c r="CT57" s="1">
        <f t="shared" si="208"/>
        <v>0</v>
      </c>
      <c r="CU57" s="1">
        <f t="shared" si="100"/>
        <v>0</v>
      </c>
      <c r="CV57" s="1">
        <f t="shared" si="101"/>
        <v>0</v>
      </c>
      <c r="CW57" s="1">
        <f t="shared" si="102"/>
        <v>0</v>
      </c>
      <c r="CX57" s="1">
        <f t="shared" si="103"/>
        <v>0</v>
      </c>
      <c r="CY57" s="1">
        <f t="shared" si="104"/>
        <v>0</v>
      </c>
      <c r="CZ57" s="1">
        <f t="shared" si="105"/>
        <v>0</v>
      </c>
      <c r="DA57" s="1">
        <f t="shared" si="106"/>
        <v>0</v>
      </c>
      <c r="DB57" s="1">
        <f t="shared" si="107"/>
        <v>0</v>
      </c>
      <c r="DC57" s="69">
        <f t="shared" si="108"/>
        <v>0</v>
      </c>
      <c r="DD57" s="1">
        <f t="shared" si="209"/>
        <v>0</v>
      </c>
      <c r="DE57" s="1">
        <f t="shared" si="109"/>
        <v>0</v>
      </c>
      <c r="DF57" s="1">
        <f t="shared" si="110"/>
        <v>0</v>
      </c>
      <c r="DG57" s="1">
        <f t="shared" si="111"/>
        <v>0</v>
      </c>
      <c r="DH57" s="1">
        <f t="shared" si="112"/>
        <v>0</v>
      </c>
      <c r="DI57" s="1">
        <f t="shared" si="113"/>
        <v>0</v>
      </c>
      <c r="DJ57" s="1">
        <f t="shared" si="114"/>
        <v>0</v>
      </c>
      <c r="DK57" s="1">
        <f t="shared" si="115"/>
        <v>0</v>
      </c>
      <c r="DL57" s="1">
        <f t="shared" si="116"/>
        <v>0</v>
      </c>
      <c r="DM57" s="69">
        <f t="shared" si="117"/>
        <v>0</v>
      </c>
      <c r="DN57" s="1">
        <f t="shared" si="160"/>
        <v>0</v>
      </c>
      <c r="DO57" s="1">
        <f t="shared" si="161"/>
        <v>0</v>
      </c>
      <c r="DP57" s="1">
        <f t="shared" si="162"/>
        <v>0</v>
      </c>
      <c r="DQ57" s="1">
        <f t="shared" si="163"/>
        <v>0</v>
      </c>
      <c r="DR57" s="1">
        <f t="shared" si="164"/>
        <v>0</v>
      </c>
      <c r="DS57" s="1">
        <f t="shared" si="165"/>
        <v>0</v>
      </c>
      <c r="DT57" s="1">
        <f t="shared" si="166"/>
        <v>0</v>
      </c>
      <c r="DU57" s="1">
        <f t="shared" si="167"/>
        <v>0</v>
      </c>
      <c r="DV57" s="1">
        <f t="shared" si="168"/>
        <v>0</v>
      </c>
      <c r="DW57" s="69">
        <f t="shared" si="169"/>
        <v>0</v>
      </c>
      <c r="DX57" s="1">
        <v>2</v>
      </c>
      <c r="DY57" s="69">
        <f t="shared" si="94"/>
        <v>32</v>
      </c>
      <c r="DZ57" s="1">
        <f t="shared" si="99"/>
        <v>0</v>
      </c>
      <c r="EA57" s="1">
        <f t="shared" si="170"/>
        <v>0</v>
      </c>
      <c r="EB57" s="1">
        <f t="shared" si="213"/>
        <v>0</v>
      </c>
      <c r="ED57" s="285">
        <f t="shared" si="214"/>
        <v>0</v>
      </c>
    </row>
    <row r="58" spans="1:134" x14ac:dyDescent="0.2">
      <c r="A58" s="209" t="s">
        <v>660</v>
      </c>
      <c r="B58" s="801" t="s">
        <v>2352</v>
      </c>
      <c r="C58" s="182" t="s">
        <v>871</v>
      </c>
      <c r="D58" s="646" t="s">
        <v>550</v>
      </c>
      <c r="E58" s="889">
        <v>7.5</v>
      </c>
      <c r="F58" s="625">
        <f t="shared" si="118"/>
        <v>448.78110000000004</v>
      </c>
      <c r="G58" s="694"/>
      <c r="H58" s="58"/>
      <c r="I58" s="58"/>
      <c r="J58" s="58">
        <v>1</v>
      </c>
      <c r="K58" s="58">
        <v>1</v>
      </c>
      <c r="L58" s="58"/>
      <c r="M58" s="58"/>
      <c r="N58" s="658"/>
      <c r="O58" s="256"/>
      <c r="P58" s="256"/>
      <c r="Q58" s="256"/>
      <c r="R58" s="255"/>
      <c r="S58" s="256"/>
      <c r="T58" s="256"/>
      <c r="U58" s="256"/>
      <c r="V58" s="255"/>
      <c r="W58" s="256"/>
      <c r="X58" s="256"/>
      <c r="Y58" s="256"/>
      <c r="Z58" s="255"/>
      <c r="AA58" s="256"/>
      <c r="AB58" s="256"/>
      <c r="AC58" s="256"/>
      <c r="AD58" s="255"/>
      <c r="AE58" s="256"/>
      <c r="AF58" s="256"/>
      <c r="AH58" s="546">
        <f t="shared" si="212"/>
        <v>0</v>
      </c>
      <c r="AI58" s="66">
        <f t="shared" si="211"/>
        <v>0</v>
      </c>
      <c r="AL58" s="706" t="str">
        <f t="shared" si="5"/>
        <v>-motore = 7,5Kw</v>
      </c>
      <c r="AM58" s="684">
        <f t="shared" si="189"/>
        <v>0</v>
      </c>
      <c r="AN58" s="674">
        <f t="shared" si="171"/>
        <v>0</v>
      </c>
      <c r="AO58" s="684">
        <f t="shared" si="190"/>
        <v>0</v>
      </c>
      <c r="AP58" s="674">
        <f t="shared" si="172"/>
        <v>0</v>
      </c>
      <c r="AQ58" s="684">
        <f t="shared" si="191"/>
        <v>0</v>
      </c>
      <c r="AR58" s="674">
        <f t="shared" si="173"/>
        <v>0</v>
      </c>
      <c r="AS58" s="684">
        <f t="shared" si="192"/>
        <v>0</v>
      </c>
      <c r="AT58" s="674">
        <f t="shared" si="174"/>
        <v>0</v>
      </c>
      <c r="AU58" s="684">
        <f t="shared" si="193"/>
        <v>0</v>
      </c>
      <c r="AV58" s="674">
        <f t="shared" si="175"/>
        <v>0</v>
      </c>
      <c r="AW58" s="684">
        <f t="shared" si="194"/>
        <v>0</v>
      </c>
      <c r="AX58" s="674">
        <f t="shared" si="176"/>
        <v>0</v>
      </c>
      <c r="AY58" s="684">
        <f t="shared" si="195"/>
        <v>0</v>
      </c>
      <c r="AZ58" s="674">
        <f t="shared" si="177"/>
        <v>0</v>
      </c>
      <c r="BA58" s="684">
        <f t="shared" si="196"/>
        <v>0</v>
      </c>
      <c r="BB58" s="674">
        <f t="shared" si="178"/>
        <v>0</v>
      </c>
      <c r="BC58" s="684">
        <f t="shared" si="197"/>
        <v>0</v>
      </c>
      <c r="BD58" s="674">
        <f t="shared" si="179"/>
        <v>0</v>
      </c>
      <c r="BE58" s="684">
        <f t="shared" si="128"/>
        <v>0</v>
      </c>
      <c r="BF58" s="1">
        <f t="shared" si="129"/>
        <v>0</v>
      </c>
      <c r="BG58" s="1">
        <f t="shared" si="130"/>
        <v>0</v>
      </c>
      <c r="BH58" s="1">
        <f t="shared" si="131"/>
        <v>0</v>
      </c>
      <c r="BI58" s="1">
        <f t="shared" si="132"/>
        <v>0</v>
      </c>
      <c r="BJ58" s="1">
        <f t="shared" si="133"/>
        <v>0</v>
      </c>
      <c r="BK58" s="1">
        <f t="shared" si="134"/>
        <v>0</v>
      </c>
      <c r="BL58" s="1">
        <f t="shared" si="135"/>
        <v>0</v>
      </c>
      <c r="BM58" s="1">
        <f t="shared" si="136"/>
        <v>0</v>
      </c>
      <c r="BN58" s="1">
        <f t="shared" si="137"/>
        <v>0</v>
      </c>
      <c r="BO58" s="69">
        <f t="shared" si="138"/>
        <v>0</v>
      </c>
      <c r="BP58" s="1">
        <f t="shared" si="198"/>
        <v>0</v>
      </c>
      <c r="BQ58" s="1">
        <f t="shared" si="199"/>
        <v>0</v>
      </c>
      <c r="BR58" s="1">
        <f t="shared" si="200"/>
        <v>0</v>
      </c>
      <c r="BS58" s="1">
        <f t="shared" si="201"/>
        <v>0</v>
      </c>
      <c r="BT58" s="1">
        <f t="shared" si="202"/>
        <v>0</v>
      </c>
      <c r="BU58" s="1">
        <f t="shared" si="203"/>
        <v>0</v>
      </c>
      <c r="BV58" s="1">
        <f t="shared" si="204"/>
        <v>0</v>
      </c>
      <c r="BW58" s="1">
        <f t="shared" si="205"/>
        <v>0</v>
      </c>
      <c r="BX58" s="1">
        <f t="shared" si="206"/>
        <v>0</v>
      </c>
      <c r="BY58" s="69">
        <f t="shared" si="207"/>
        <v>0</v>
      </c>
      <c r="BZ58" s="1">
        <f t="shared" si="149"/>
        <v>0</v>
      </c>
      <c r="CA58" s="1">
        <f t="shared" si="150"/>
        <v>0</v>
      </c>
      <c r="CB58" s="1">
        <f t="shared" si="151"/>
        <v>0</v>
      </c>
      <c r="CC58" s="1">
        <f t="shared" si="152"/>
        <v>0</v>
      </c>
      <c r="CD58" s="1">
        <f t="shared" si="153"/>
        <v>0</v>
      </c>
      <c r="CE58" s="1">
        <f t="shared" si="154"/>
        <v>0</v>
      </c>
      <c r="CF58" s="1">
        <f t="shared" si="155"/>
        <v>0</v>
      </c>
      <c r="CG58" s="1">
        <f t="shared" si="156"/>
        <v>0</v>
      </c>
      <c r="CH58" s="1">
        <f t="shared" si="157"/>
        <v>0</v>
      </c>
      <c r="CI58" s="69">
        <f t="shared" si="158"/>
        <v>0</v>
      </c>
      <c r="CJ58" s="1">
        <f t="shared" si="159"/>
        <v>0</v>
      </c>
      <c r="CK58" s="1">
        <f t="shared" si="180"/>
        <v>0</v>
      </c>
      <c r="CL58" s="1">
        <f t="shared" si="181"/>
        <v>0</v>
      </c>
      <c r="CM58" s="1">
        <f t="shared" si="182"/>
        <v>0</v>
      </c>
      <c r="CN58" s="1">
        <f t="shared" si="183"/>
        <v>0</v>
      </c>
      <c r="CO58" s="1">
        <f t="shared" si="184"/>
        <v>0</v>
      </c>
      <c r="CP58" s="1">
        <f t="shared" si="185"/>
        <v>0</v>
      </c>
      <c r="CQ58" s="1">
        <f t="shared" si="186"/>
        <v>0</v>
      </c>
      <c r="CR58" s="1">
        <f t="shared" si="187"/>
        <v>0</v>
      </c>
      <c r="CS58" s="69">
        <f t="shared" si="188"/>
        <v>0</v>
      </c>
      <c r="CT58" s="1">
        <f t="shared" si="208"/>
        <v>0</v>
      </c>
      <c r="CU58" s="1">
        <f t="shared" si="100"/>
        <v>0</v>
      </c>
      <c r="CV58" s="1">
        <f t="shared" si="101"/>
        <v>0</v>
      </c>
      <c r="CW58" s="1">
        <f t="shared" si="102"/>
        <v>0</v>
      </c>
      <c r="CX58" s="1">
        <f t="shared" si="103"/>
        <v>0</v>
      </c>
      <c r="CY58" s="1">
        <f t="shared" si="104"/>
        <v>0</v>
      </c>
      <c r="CZ58" s="1">
        <f t="shared" si="105"/>
        <v>0</v>
      </c>
      <c r="DA58" s="1">
        <f t="shared" si="106"/>
        <v>0</v>
      </c>
      <c r="DB58" s="1">
        <f t="shared" si="107"/>
        <v>0</v>
      </c>
      <c r="DC58" s="69">
        <f t="shared" si="108"/>
        <v>0</v>
      </c>
      <c r="DD58" s="1">
        <f t="shared" si="209"/>
        <v>0</v>
      </c>
      <c r="DE58" s="1">
        <f t="shared" si="109"/>
        <v>0</v>
      </c>
      <c r="DF58" s="1">
        <f t="shared" si="110"/>
        <v>0</v>
      </c>
      <c r="DG58" s="1">
        <f t="shared" si="111"/>
        <v>0</v>
      </c>
      <c r="DH58" s="1">
        <f t="shared" si="112"/>
        <v>0</v>
      </c>
      <c r="DI58" s="1">
        <f t="shared" si="113"/>
        <v>0</v>
      </c>
      <c r="DJ58" s="1">
        <f t="shared" si="114"/>
        <v>0</v>
      </c>
      <c r="DK58" s="1">
        <f t="shared" si="115"/>
        <v>0</v>
      </c>
      <c r="DL58" s="1">
        <f t="shared" si="116"/>
        <v>0</v>
      </c>
      <c r="DM58" s="69">
        <f t="shared" si="117"/>
        <v>0</v>
      </c>
      <c r="DN58" s="1">
        <f t="shared" si="160"/>
        <v>0</v>
      </c>
      <c r="DO58" s="1">
        <f t="shared" si="161"/>
        <v>0</v>
      </c>
      <c r="DP58" s="1">
        <f t="shared" si="162"/>
        <v>0</v>
      </c>
      <c r="DQ58" s="1">
        <f t="shared" si="163"/>
        <v>0</v>
      </c>
      <c r="DR58" s="1">
        <f t="shared" si="164"/>
        <v>0</v>
      </c>
      <c r="DS58" s="1">
        <f t="shared" si="165"/>
        <v>0</v>
      </c>
      <c r="DT58" s="1">
        <f t="shared" si="166"/>
        <v>0</v>
      </c>
      <c r="DU58" s="1">
        <f t="shared" si="167"/>
        <v>0</v>
      </c>
      <c r="DV58" s="1">
        <f t="shared" si="168"/>
        <v>0</v>
      </c>
      <c r="DW58" s="69">
        <f t="shared" si="169"/>
        <v>0</v>
      </c>
      <c r="DX58" s="1">
        <v>2</v>
      </c>
      <c r="DY58" s="69">
        <f t="shared" si="94"/>
        <v>33</v>
      </c>
      <c r="DZ58" s="1">
        <f t="shared" si="99"/>
        <v>0</v>
      </c>
      <c r="EA58" s="1">
        <f t="shared" si="170"/>
        <v>0</v>
      </c>
      <c r="EB58" s="1">
        <f t="shared" si="213"/>
        <v>0</v>
      </c>
      <c r="ED58" s="285">
        <f t="shared" si="214"/>
        <v>0</v>
      </c>
    </row>
    <row r="59" spans="1:134" x14ac:dyDescent="0.2">
      <c r="A59" s="209" t="s">
        <v>660</v>
      </c>
      <c r="B59" s="801" t="s">
        <v>2353</v>
      </c>
      <c r="C59" s="182" t="s">
        <v>871</v>
      </c>
      <c r="D59" s="646" t="s">
        <v>554</v>
      </c>
      <c r="E59" s="889">
        <v>11</v>
      </c>
      <c r="F59" s="625">
        <f t="shared" si="118"/>
        <v>661.26960000000008</v>
      </c>
      <c r="G59" s="694"/>
      <c r="H59" s="58"/>
      <c r="I59" s="58"/>
      <c r="J59" s="58">
        <v>1</v>
      </c>
      <c r="K59" s="58">
        <v>1</v>
      </c>
      <c r="L59" s="58"/>
      <c r="M59" s="58"/>
      <c r="N59" s="658"/>
      <c r="O59" s="256"/>
      <c r="P59" s="256"/>
      <c r="Q59" s="256"/>
      <c r="R59" s="255"/>
      <c r="S59" s="256"/>
      <c r="T59" s="256"/>
      <c r="U59" s="256"/>
      <c r="V59" s="255"/>
      <c r="W59" s="256"/>
      <c r="X59" s="256"/>
      <c r="Y59" s="256"/>
      <c r="Z59" s="255"/>
      <c r="AA59" s="256"/>
      <c r="AB59" s="256"/>
      <c r="AC59" s="256"/>
      <c r="AD59" s="255"/>
      <c r="AE59" s="256"/>
      <c r="AF59" s="256"/>
      <c r="AH59" s="546">
        <f t="shared" si="212"/>
        <v>0</v>
      </c>
      <c r="AI59" s="66">
        <f t="shared" si="211"/>
        <v>0</v>
      </c>
      <c r="AL59" s="706" t="str">
        <f t="shared" si="5"/>
        <v>-motore = 11Kw</v>
      </c>
      <c r="AM59" s="684">
        <f t="shared" si="189"/>
        <v>0</v>
      </c>
      <c r="AN59" s="674">
        <f t="shared" si="171"/>
        <v>0</v>
      </c>
      <c r="AO59" s="684">
        <f t="shared" si="190"/>
        <v>0</v>
      </c>
      <c r="AP59" s="674">
        <f t="shared" si="172"/>
        <v>0</v>
      </c>
      <c r="AQ59" s="684">
        <f t="shared" si="191"/>
        <v>0</v>
      </c>
      <c r="AR59" s="674">
        <f t="shared" si="173"/>
        <v>0</v>
      </c>
      <c r="AS59" s="684">
        <f t="shared" si="192"/>
        <v>0</v>
      </c>
      <c r="AT59" s="674">
        <f t="shared" si="174"/>
        <v>0</v>
      </c>
      <c r="AU59" s="684">
        <f t="shared" si="193"/>
        <v>0</v>
      </c>
      <c r="AV59" s="674">
        <f t="shared" si="175"/>
        <v>0</v>
      </c>
      <c r="AW59" s="684">
        <f t="shared" si="194"/>
        <v>0</v>
      </c>
      <c r="AX59" s="674">
        <f t="shared" si="176"/>
        <v>0</v>
      </c>
      <c r="AY59" s="684">
        <f t="shared" si="195"/>
        <v>0</v>
      </c>
      <c r="AZ59" s="674">
        <f t="shared" si="177"/>
        <v>0</v>
      </c>
      <c r="BA59" s="684">
        <f t="shared" si="196"/>
        <v>0</v>
      </c>
      <c r="BB59" s="674">
        <f t="shared" si="178"/>
        <v>0</v>
      </c>
      <c r="BC59" s="684">
        <f t="shared" si="197"/>
        <v>0</v>
      </c>
      <c r="BD59" s="674">
        <f t="shared" si="179"/>
        <v>0</v>
      </c>
      <c r="BE59" s="684">
        <f t="shared" si="128"/>
        <v>0</v>
      </c>
      <c r="BF59" s="1">
        <f t="shared" si="129"/>
        <v>0</v>
      </c>
      <c r="BG59" s="1">
        <f t="shared" si="130"/>
        <v>0</v>
      </c>
      <c r="BH59" s="1">
        <f t="shared" si="131"/>
        <v>0</v>
      </c>
      <c r="BI59" s="1">
        <f t="shared" si="132"/>
        <v>0</v>
      </c>
      <c r="BJ59" s="1">
        <f t="shared" si="133"/>
        <v>0</v>
      </c>
      <c r="BK59" s="1">
        <f t="shared" si="134"/>
        <v>0</v>
      </c>
      <c r="BL59" s="1">
        <f t="shared" si="135"/>
        <v>0</v>
      </c>
      <c r="BM59" s="1">
        <f t="shared" si="136"/>
        <v>0</v>
      </c>
      <c r="BN59" s="1">
        <f t="shared" si="137"/>
        <v>0</v>
      </c>
      <c r="BO59" s="69">
        <f t="shared" si="138"/>
        <v>0</v>
      </c>
      <c r="BP59" s="1">
        <f t="shared" si="198"/>
        <v>0</v>
      </c>
      <c r="BQ59" s="1">
        <f t="shared" si="199"/>
        <v>0</v>
      </c>
      <c r="BR59" s="1">
        <f t="shared" si="200"/>
        <v>0</v>
      </c>
      <c r="BS59" s="1">
        <f t="shared" si="201"/>
        <v>0</v>
      </c>
      <c r="BT59" s="1">
        <f t="shared" si="202"/>
        <v>0</v>
      </c>
      <c r="BU59" s="1">
        <f t="shared" si="203"/>
        <v>0</v>
      </c>
      <c r="BV59" s="1">
        <f t="shared" si="204"/>
        <v>0</v>
      </c>
      <c r="BW59" s="1">
        <f t="shared" si="205"/>
        <v>0</v>
      </c>
      <c r="BX59" s="1">
        <f t="shared" si="206"/>
        <v>0</v>
      </c>
      <c r="BY59" s="69">
        <f t="shared" si="207"/>
        <v>0</v>
      </c>
      <c r="BZ59" s="1">
        <f t="shared" si="149"/>
        <v>0</v>
      </c>
      <c r="CA59" s="1">
        <f t="shared" si="150"/>
        <v>0</v>
      </c>
      <c r="CB59" s="1">
        <f t="shared" si="151"/>
        <v>0</v>
      </c>
      <c r="CC59" s="1">
        <f t="shared" si="152"/>
        <v>0</v>
      </c>
      <c r="CD59" s="1">
        <f t="shared" si="153"/>
        <v>0</v>
      </c>
      <c r="CE59" s="1">
        <f t="shared" si="154"/>
        <v>0</v>
      </c>
      <c r="CF59" s="1">
        <f t="shared" si="155"/>
        <v>0</v>
      </c>
      <c r="CG59" s="1">
        <f t="shared" si="156"/>
        <v>0</v>
      </c>
      <c r="CH59" s="1">
        <f t="shared" si="157"/>
        <v>0</v>
      </c>
      <c r="CI59" s="69">
        <f t="shared" si="158"/>
        <v>0</v>
      </c>
      <c r="CJ59" s="1">
        <f t="shared" si="159"/>
        <v>0</v>
      </c>
      <c r="CK59" s="1">
        <f t="shared" si="180"/>
        <v>0</v>
      </c>
      <c r="CL59" s="1">
        <f t="shared" si="181"/>
        <v>0</v>
      </c>
      <c r="CM59" s="1">
        <f t="shared" si="182"/>
        <v>0</v>
      </c>
      <c r="CN59" s="1">
        <f t="shared" si="183"/>
        <v>0</v>
      </c>
      <c r="CO59" s="1">
        <f t="shared" si="184"/>
        <v>0</v>
      </c>
      <c r="CP59" s="1">
        <f t="shared" si="185"/>
        <v>0</v>
      </c>
      <c r="CQ59" s="1">
        <f t="shared" si="186"/>
        <v>0</v>
      </c>
      <c r="CR59" s="1">
        <f t="shared" si="187"/>
        <v>0</v>
      </c>
      <c r="CS59" s="69">
        <f t="shared" si="188"/>
        <v>0</v>
      </c>
      <c r="CT59" s="1">
        <f t="shared" si="208"/>
        <v>0</v>
      </c>
      <c r="CU59" s="1">
        <f t="shared" si="100"/>
        <v>0</v>
      </c>
      <c r="CV59" s="1">
        <f t="shared" si="101"/>
        <v>0</v>
      </c>
      <c r="CW59" s="1">
        <f t="shared" si="102"/>
        <v>0</v>
      </c>
      <c r="CX59" s="1">
        <f t="shared" si="103"/>
        <v>0</v>
      </c>
      <c r="CY59" s="1">
        <f t="shared" si="104"/>
        <v>0</v>
      </c>
      <c r="CZ59" s="1">
        <f t="shared" si="105"/>
        <v>0</v>
      </c>
      <c r="DA59" s="1">
        <f t="shared" si="106"/>
        <v>0</v>
      </c>
      <c r="DB59" s="1">
        <f t="shared" si="107"/>
        <v>0</v>
      </c>
      <c r="DC59" s="69">
        <f t="shared" si="108"/>
        <v>0</v>
      </c>
      <c r="DD59" s="1">
        <f t="shared" si="209"/>
        <v>0</v>
      </c>
      <c r="DE59" s="1">
        <f t="shared" si="109"/>
        <v>0</v>
      </c>
      <c r="DF59" s="1">
        <f t="shared" si="110"/>
        <v>0</v>
      </c>
      <c r="DG59" s="1">
        <f t="shared" si="111"/>
        <v>0</v>
      </c>
      <c r="DH59" s="1">
        <f t="shared" si="112"/>
        <v>0</v>
      </c>
      <c r="DI59" s="1">
        <f t="shared" si="113"/>
        <v>0</v>
      </c>
      <c r="DJ59" s="1">
        <f t="shared" si="114"/>
        <v>0</v>
      </c>
      <c r="DK59" s="1">
        <f t="shared" si="115"/>
        <v>0</v>
      </c>
      <c r="DL59" s="1">
        <f t="shared" si="116"/>
        <v>0</v>
      </c>
      <c r="DM59" s="69">
        <f t="shared" si="117"/>
        <v>0</v>
      </c>
      <c r="DN59" s="1">
        <f t="shared" si="160"/>
        <v>0</v>
      </c>
      <c r="DO59" s="1">
        <f t="shared" si="161"/>
        <v>0</v>
      </c>
      <c r="DP59" s="1">
        <f t="shared" si="162"/>
        <v>0</v>
      </c>
      <c r="DQ59" s="1">
        <f t="shared" si="163"/>
        <v>0</v>
      </c>
      <c r="DR59" s="1">
        <f t="shared" si="164"/>
        <v>0</v>
      </c>
      <c r="DS59" s="1">
        <f t="shared" si="165"/>
        <v>0</v>
      </c>
      <c r="DT59" s="1">
        <f t="shared" si="166"/>
        <v>0</v>
      </c>
      <c r="DU59" s="1">
        <f t="shared" si="167"/>
        <v>0</v>
      </c>
      <c r="DV59" s="1">
        <f t="shared" si="168"/>
        <v>0</v>
      </c>
      <c r="DW59" s="69">
        <f t="shared" si="169"/>
        <v>0</v>
      </c>
      <c r="DX59" s="1">
        <v>2</v>
      </c>
      <c r="DY59" s="69">
        <f t="shared" si="94"/>
        <v>34</v>
      </c>
      <c r="DZ59" s="1">
        <f t="shared" si="99"/>
        <v>0</v>
      </c>
      <c r="EA59" s="1">
        <f t="shared" si="170"/>
        <v>0</v>
      </c>
      <c r="EB59" s="1">
        <f t="shared" si="213"/>
        <v>0</v>
      </c>
      <c r="ED59" s="285">
        <f t="shared" si="214"/>
        <v>0</v>
      </c>
    </row>
    <row r="60" spans="1:134" x14ac:dyDescent="0.2">
      <c r="A60" s="209" t="s">
        <v>660</v>
      </c>
      <c r="B60" s="801" t="s">
        <v>2354</v>
      </c>
      <c r="C60" s="182" t="s">
        <v>871</v>
      </c>
      <c r="D60" s="646" t="s">
        <v>555</v>
      </c>
      <c r="E60" s="889">
        <v>15</v>
      </c>
      <c r="F60" s="625">
        <f t="shared" si="118"/>
        <v>514.60783074674498</v>
      </c>
      <c r="G60" s="694"/>
      <c r="H60" s="58"/>
      <c r="I60" s="58"/>
      <c r="J60" s="58">
        <v>1</v>
      </c>
      <c r="K60" s="58">
        <v>1</v>
      </c>
      <c r="L60" s="58"/>
      <c r="M60" s="58"/>
      <c r="N60" s="658"/>
      <c r="O60" s="256"/>
      <c r="P60" s="256"/>
      <c r="Q60" s="256"/>
      <c r="R60" s="255"/>
      <c r="S60" s="256"/>
      <c r="T60" s="256"/>
      <c r="U60" s="256"/>
      <c r="V60" s="255"/>
      <c r="W60" s="256"/>
      <c r="X60" s="256"/>
      <c r="Y60" s="256"/>
      <c r="Z60" s="255"/>
      <c r="AA60" s="256"/>
      <c r="AB60" s="256"/>
      <c r="AC60" s="256"/>
      <c r="AD60" s="255"/>
      <c r="AE60" s="256"/>
      <c r="AF60" s="256"/>
      <c r="AH60" s="546">
        <f t="shared" si="212"/>
        <v>0</v>
      </c>
      <c r="AI60" s="66">
        <f t="shared" si="211"/>
        <v>0</v>
      </c>
      <c r="AL60" s="706" t="str">
        <f t="shared" si="5"/>
        <v>-motore = 15Kw</v>
      </c>
      <c r="AM60" s="684">
        <f t="shared" si="189"/>
        <v>0</v>
      </c>
      <c r="AN60" s="674">
        <f t="shared" si="171"/>
        <v>0</v>
      </c>
      <c r="AO60" s="684">
        <f t="shared" si="190"/>
        <v>0</v>
      </c>
      <c r="AP60" s="674">
        <f t="shared" si="172"/>
        <v>0</v>
      </c>
      <c r="AQ60" s="684">
        <f t="shared" si="191"/>
        <v>0</v>
      </c>
      <c r="AR60" s="674">
        <f t="shared" si="173"/>
        <v>0</v>
      </c>
      <c r="AS60" s="684">
        <f t="shared" si="192"/>
        <v>0</v>
      </c>
      <c r="AT60" s="674">
        <f t="shared" si="174"/>
        <v>0</v>
      </c>
      <c r="AU60" s="684">
        <f t="shared" si="193"/>
        <v>0</v>
      </c>
      <c r="AV60" s="674">
        <f t="shared" si="175"/>
        <v>0</v>
      </c>
      <c r="AW60" s="684">
        <f t="shared" si="194"/>
        <v>0</v>
      </c>
      <c r="AX60" s="674">
        <f t="shared" si="176"/>
        <v>0</v>
      </c>
      <c r="AY60" s="684">
        <f t="shared" si="195"/>
        <v>0</v>
      </c>
      <c r="AZ60" s="674">
        <f t="shared" si="177"/>
        <v>0</v>
      </c>
      <c r="BA60" s="684">
        <f t="shared" si="196"/>
        <v>0</v>
      </c>
      <c r="BB60" s="674">
        <f t="shared" si="178"/>
        <v>0</v>
      </c>
      <c r="BC60" s="684">
        <f t="shared" si="197"/>
        <v>0</v>
      </c>
      <c r="BD60" s="674">
        <f t="shared" si="179"/>
        <v>0</v>
      </c>
      <c r="BE60" s="684">
        <f t="shared" si="128"/>
        <v>0</v>
      </c>
      <c r="BF60" s="1">
        <f t="shared" si="129"/>
        <v>0</v>
      </c>
      <c r="BG60" s="1">
        <f t="shared" si="130"/>
        <v>0</v>
      </c>
      <c r="BH60" s="1">
        <f t="shared" si="131"/>
        <v>0</v>
      </c>
      <c r="BI60" s="1">
        <f t="shared" si="132"/>
        <v>0</v>
      </c>
      <c r="BJ60" s="1">
        <f t="shared" si="133"/>
        <v>0</v>
      </c>
      <c r="BK60" s="1">
        <f t="shared" si="134"/>
        <v>0</v>
      </c>
      <c r="BL60" s="1">
        <f t="shared" si="135"/>
        <v>0</v>
      </c>
      <c r="BM60" s="1">
        <f t="shared" si="136"/>
        <v>0</v>
      </c>
      <c r="BN60" s="1">
        <f t="shared" si="137"/>
        <v>0</v>
      </c>
      <c r="BO60" s="69">
        <f t="shared" si="138"/>
        <v>0</v>
      </c>
      <c r="BP60" s="1">
        <f t="shared" si="198"/>
        <v>0</v>
      </c>
      <c r="BQ60" s="1">
        <f t="shared" si="199"/>
        <v>0</v>
      </c>
      <c r="BR60" s="1">
        <f t="shared" si="200"/>
        <v>0</v>
      </c>
      <c r="BS60" s="1">
        <f t="shared" si="201"/>
        <v>0</v>
      </c>
      <c r="BT60" s="1">
        <f t="shared" si="202"/>
        <v>0</v>
      </c>
      <c r="BU60" s="1">
        <f t="shared" si="203"/>
        <v>0</v>
      </c>
      <c r="BV60" s="1">
        <f t="shared" si="204"/>
        <v>0</v>
      </c>
      <c r="BW60" s="1">
        <f t="shared" si="205"/>
        <v>0</v>
      </c>
      <c r="BX60" s="1">
        <f t="shared" si="206"/>
        <v>0</v>
      </c>
      <c r="BY60" s="69">
        <f t="shared" si="207"/>
        <v>0</v>
      </c>
      <c r="BZ60" s="1">
        <f t="shared" si="149"/>
        <v>0</v>
      </c>
      <c r="CA60" s="1">
        <f t="shared" si="150"/>
        <v>0</v>
      </c>
      <c r="CB60" s="1">
        <f t="shared" si="151"/>
        <v>0</v>
      </c>
      <c r="CC60" s="1">
        <f t="shared" si="152"/>
        <v>0</v>
      </c>
      <c r="CD60" s="1">
        <f t="shared" si="153"/>
        <v>0</v>
      </c>
      <c r="CE60" s="1">
        <f t="shared" si="154"/>
        <v>0</v>
      </c>
      <c r="CF60" s="1">
        <f t="shared" si="155"/>
        <v>0</v>
      </c>
      <c r="CG60" s="1">
        <f t="shared" si="156"/>
        <v>0</v>
      </c>
      <c r="CH60" s="1">
        <f t="shared" si="157"/>
        <v>0</v>
      </c>
      <c r="CI60" s="69">
        <f t="shared" si="158"/>
        <v>0</v>
      </c>
      <c r="CJ60" s="1">
        <f t="shared" si="159"/>
        <v>0</v>
      </c>
      <c r="CK60" s="1">
        <f t="shared" si="180"/>
        <v>0</v>
      </c>
      <c r="CL60" s="1">
        <f t="shared" si="181"/>
        <v>0</v>
      </c>
      <c r="CM60" s="1">
        <f t="shared" si="182"/>
        <v>0</v>
      </c>
      <c r="CN60" s="1">
        <f t="shared" si="183"/>
        <v>0</v>
      </c>
      <c r="CO60" s="1">
        <f t="shared" si="184"/>
        <v>0</v>
      </c>
      <c r="CP60" s="1">
        <f t="shared" si="185"/>
        <v>0</v>
      </c>
      <c r="CQ60" s="1">
        <f t="shared" si="186"/>
        <v>0</v>
      </c>
      <c r="CR60" s="1">
        <f t="shared" si="187"/>
        <v>0</v>
      </c>
      <c r="CS60" s="69">
        <f t="shared" si="188"/>
        <v>0</v>
      </c>
      <c r="CT60" s="1">
        <f t="shared" si="208"/>
        <v>0</v>
      </c>
      <c r="CU60" s="1">
        <f t="shared" si="100"/>
        <v>0</v>
      </c>
      <c r="CV60" s="1">
        <f t="shared" si="101"/>
        <v>0</v>
      </c>
      <c r="CW60" s="1">
        <f t="shared" si="102"/>
        <v>0</v>
      </c>
      <c r="CX60" s="1">
        <f t="shared" si="103"/>
        <v>0</v>
      </c>
      <c r="CY60" s="1">
        <f t="shared" si="104"/>
        <v>0</v>
      </c>
      <c r="CZ60" s="1">
        <f t="shared" si="105"/>
        <v>0</v>
      </c>
      <c r="DA60" s="1">
        <f t="shared" si="106"/>
        <v>0</v>
      </c>
      <c r="DB60" s="1">
        <f t="shared" si="107"/>
        <v>0</v>
      </c>
      <c r="DC60" s="69">
        <f t="shared" si="108"/>
        <v>0</v>
      </c>
      <c r="DD60" s="1">
        <f t="shared" si="209"/>
        <v>0</v>
      </c>
      <c r="DE60" s="1">
        <f t="shared" si="109"/>
        <v>0</v>
      </c>
      <c r="DF60" s="1">
        <f t="shared" si="110"/>
        <v>0</v>
      </c>
      <c r="DG60" s="1">
        <f t="shared" si="111"/>
        <v>0</v>
      </c>
      <c r="DH60" s="1">
        <f t="shared" si="112"/>
        <v>0</v>
      </c>
      <c r="DI60" s="1">
        <f t="shared" si="113"/>
        <v>0</v>
      </c>
      <c r="DJ60" s="1">
        <f t="shared" si="114"/>
        <v>0</v>
      </c>
      <c r="DK60" s="1">
        <f t="shared" si="115"/>
        <v>0</v>
      </c>
      <c r="DL60" s="1">
        <f t="shared" si="116"/>
        <v>0</v>
      </c>
      <c r="DM60" s="69">
        <f t="shared" si="117"/>
        <v>0</v>
      </c>
      <c r="DN60" s="1">
        <f t="shared" si="160"/>
        <v>0</v>
      </c>
      <c r="DO60" s="1">
        <f t="shared" si="161"/>
        <v>0</v>
      </c>
      <c r="DP60" s="1">
        <f t="shared" si="162"/>
        <v>0</v>
      </c>
      <c r="DQ60" s="1">
        <f t="shared" si="163"/>
        <v>0</v>
      </c>
      <c r="DR60" s="1">
        <f t="shared" si="164"/>
        <v>0</v>
      </c>
      <c r="DS60" s="1">
        <f t="shared" si="165"/>
        <v>0</v>
      </c>
      <c r="DT60" s="1">
        <f t="shared" si="166"/>
        <v>0</v>
      </c>
      <c r="DU60" s="1">
        <f t="shared" si="167"/>
        <v>0</v>
      </c>
      <c r="DV60" s="1">
        <f t="shared" si="168"/>
        <v>0</v>
      </c>
      <c r="DW60" s="69">
        <f t="shared" si="169"/>
        <v>0</v>
      </c>
      <c r="DX60" s="1">
        <v>2</v>
      </c>
      <c r="DY60" s="69">
        <f t="shared" si="94"/>
        <v>35</v>
      </c>
      <c r="DZ60" s="1">
        <f t="shared" si="99"/>
        <v>0</v>
      </c>
      <c r="EA60" s="1">
        <f t="shared" si="170"/>
        <v>0</v>
      </c>
      <c r="EB60" s="1">
        <f t="shared" si="213"/>
        <v>0</v>
      </c>
      <c r="ED60" s="285">
        <f t="shared" si="214"/>
        <v>0</v>
      </c>
    </row>
    <row r="61" spans="1:134" x14ac:dyDescent="0.2">
      <c r="A61" s="209" t="s">
        <v>660</v>
      </c>
      <c r="B61" s="801" t="s">
        <v>2355</v>
      </c>
      <c r="C61" s="182" t="s">
        <v>871</v>
      </c>
      <c r="D61" s="646" t="s">
        <v>556</v>
      </c>
      <c r="E61" s="889">
        <v>22</v>
      </c>
      <c r="F61" s="625">
        <f t="shared" si="118"/>
        <v>757.10941185888328</v>
      </c>
      <c r="G61" s="694"/>
      <c r="H61" s="58"/>
      <c r="I61" s="58"/>
      <c r="J61" s="58">
        <v>1</v>
      </c>
      <c r="K61" s="58">
        <v>1</v>
      </c>
      <c r="L61" s="58"/>
      <c r="M61" s="58"/>
      <c r="N61" s="658"/>
      <c r="O61" s="256"/>
      <c r="P61" s="256"/>
      <c r="Q61" s="256"/>
      <c r="R61" s="255"/>
      <c r="S61" s="256"/>
      <c r="T61" s="256"/>
      <c r="U61" s="256"/>
      <c r="V61" s="255"/>
      <c r="W61" s="256"/>
      <c r="X61" s="256"/>
      <c r="Y61" s="256"/>
      <c r="Z61" s="255"/>
      <c r="AA61" s="256"/>
      <c r="AB61" s="256"/>
      <c r="AC61" s="256"/>
      <c r="AD61" s="255"/>
      <c r="AE61" s="256"/>
      <c r="AF61" s="256"/>
      <c r="AH61" s="546">
        <f t="shared" si="212"/>
        <v>0</v>
      </c>
      <c r="AI61" s="66">
        <f t="shared" si="211"/>
        <v>0</v>
      </c>
      <c r="AL61" s="706" t="str">
        <f t="shared" si="5"/>
        <v>-motore = 22Kw</v>
      </c>
      <c r="AM61" s="684">
        <f t="shared" si="189"/>
        <v>0</v>
      </c>
      <c r="AN61" s="674">
        <f t="shared" si="171"/>
        <v>0</v>
      </c>
      <c r="AO61" s="684">
        <f t="shared" si="190"/>
        <v>0</v>
      </c>
      <c r="AP61" s="674">
        <f t="shared" si="172"/>
        <v>0</v>
      </c>
      <c r="AQ61" s="684">
        <f t="shared" si="191"/>
        <v>0</v>
      </c>
      <c r="AR61" s="674">
        <f t="shared" si="173"/>
        <v>0</v>
      </c>
      <c r="AS61" s="684">
        <f t="shared" si="192"/>
        <v>0</v>
      </c>
      <c r="AT61" s="674">
        <f t="shared" si="174"/>
        <v>0</v>
      </c>
      <c r="AU61" s="684">
        <f t="shared" si="193"/>
        <v>0</v>
      </c>
      <c r="AV61" s="674">
        <f t="shared" si="175"/>
        <v>0</v>
      </c>
      <c r="AW61" s="684">
        <f t="shared" si="194"/>
        <v>0</v>
      </c>
      <c r="AX61" s="674">
        <f t="shared" si="176"/>
        <v>0</v>
      </c>
      <c r="AY61" s="684">
        <f t="shared" si="195"/>
        <v>0</v>
      </c>
      <c r="AZ61" s="674">
        <f t="shared" si="177"/>
        <v>0</v>
      </c>
      <c r="BA61" s="684">
        <f t="shared" si="196"/>
        <v>0</v>
      </c>
      <c r="BB61" s="674">
        <f t="shared" si="178"/>
        <v>0</v>
      </c>
      <c r="BC61" s="684">
        <f t="shared" si="197"/>
        <v>0</v>
      </c>
      <c r="BD61" s="674">
        <f t="shared" si="179"/>
        <v>0</v>
      </c>
      <c r="BE61" s="684">
        <f t="shared" si="128"/>
        <v>0</v>
      </c>
      <c r="BF61" s="1">
        <f t="shared" si="129"/>
        <v>0</v>
      </c>
      <c r="BG61" s="1">
        <f t="shared" si="130"/>
        <v>0</v>
      </c>
      <c r="BH61" s="1">
        <f t="shared" si="131"/>
        <v>0</v>
      </c>
      <c r="BI61" s="1">
        <f t="shared" si="132"/>
        <v>0</v>
      </c>
      <c r="BJ61" s="1">
        <f t="shared" si="133"/>
        <v>0</v>
      </c>
      <c r="BK61" s="1">
        <f t="shared" si="134"/>
        <v>0</v>
      </c>
      <c r="BL61" s="1">
        <f t="shared" si="135"/>
        <v>0</v>
      </c>
      <c r="BM61" s="1">
        <f t="shared" si="136"/>
        <v>0</v>
      </c>
      <c r="BN61" s="1">
        <f t="shared" si="137"/>
        <v>0</v>
      </c>
      <c r="BO61" s="69">
        <f t="shared" si="138"/>
        <v>0</v>
      </c>
      <c r="BP61" s="1">
        <f t="shared" si="198"/>
        <v>0</v>
      </c>
      <c r="BQ61" s="1">
        <f t="shared" si="199"/>
        <v>0</v>
      </c>
      <c r="BR61" s="1">
        <f t="shared" si="200"/>
        <v>0</v>
      </c>
      <c r="BS61" s="1">
        <f t="shared" si="201"/>
        <v>0</v>
      </c>
      <c r="BT61" s="1">
        <f t="shared" si="202"/>
        <v>0</v>
      </c>
      <c r="BU61" s="1">
        <f t="shared" si="203"/>
        <v>0</v>
      </c>
      <c r="BV61" s="1">
        <f t="shared" si="204"/>
        <v>0</v>
      </c>
      <c r="BW61" s="1">
        <f t="shared" si="205"/>
        <v>0</v>
      </c>
      <c r="BX61" s="1">
        <f t="shared" si="206"/>
        <v>0</v>
      </c>
      <c r="BY61" s="69">
        <f t="shared" si="207"/>
        <v>0</v>
      </c>
      <c r="BZ61" s="1">
        <f t="shared" si="149"/>
        <v>0</v>
      </c>
      <c r="CA61" s="1">
        <f t="shared" si="150"/>
        <v>0</v>
      </c>
      <c r="CB61" s="1">
        <f t="shared" si="151"/>
        <v>0</v>
      </c>
      <c r="CC61" s="1">
        <f t="shared" si="152"/>
        <v>0</v>
      </c>
      <c r="CD61" s="1">
        <f t="shared" si="153"/>
        <v>0</v>
      </c>
      <c r="CE61" s="1">
        <f t="shared" si="154"/>
        <v>0</v>
      </c>
      <c r="CF61" s="1">
        <f t="shared" si="155"/>
        <v>0</v>
      </c>
      <c r="CG61" s="1">
        <f t="shared" si="156"/>
        <v>0</v>
      </c>
      <c r="CH61" s="1">
        <f t="shared" si="157"/>
        <v>0</v>
      </c>
      <c r="CI61" s="69">
        <f t="shared" si="158"/>
        <v>0</v>
      </c>
      <c r="CJ61" s="1">
        <f t="shared" si="159"/>
        <v>0</v>
      </c>
      <c r="CK61" s="1">
        <f t="shared" si="180"/>
        <v>0</v>
      </c>
      <c r="CL61" s="1">
        <f t="shared" si="181"/>
        <v>0</v>
      </c>
      <c r="CM61" s="1">
        <f t="shared" si="182"/>
        <v>0</v>
      </c>
      <c r="CN61" s="1">
        <f t="shared" si="183"/>
        <v>0</v>
      </c>
      <c r="CO61" s="1">
        <f t="shared" si="184"/>
        <v>0</v>
      </c>
      <c r="CP61" s="1">
        <f t="shared" si="185"/>
        <v>0</v>
      </c>
      <c r="CQ61" s="1">
        <f t="shared" si="186"/>
        <v>0</v>
      </c>
      <c r="CR61" s="1">
        <f t="shared" si="187"/>
        <v>0</v>
      </c>
      <c r="CS61" s="69">
        <f t="shared" si="188"/>
        <v>0</v>
      </c>
      <c r="CT61" s="1">
        <f t="shared" si="208"/>
        <v>0</v>
      </c>
      <c r="CU61" s="1">
        <f t="shared" si="100"/>
        <v>0</v>
      </c>
      <c r="CV61" s="1">
        <f t="shared" si="101"/>
        <v>0</v>
      </c>
      <c r="CW61" s="1">
        <f t="shared" si="102"/>
        <v>0</v>
      </c>
      <c r="CX61" s="1">
        <f t="shared" si="103"/>
        <v>0</v>
      </c>
      <c r="CY61" s="1">
        <f t="shared" si="104"/>
        <v>0</v>
      </c>
      <c r="CZ61" s="1">
        <f t="shared" si="105"/>
        <v>0</v>
      </c>
      <c r="DA61" s="1">
        <f t="shared" si="106"/>
        <v>0</v>
      </c>
      <c r="DB61" s="1">
        <f t="shared" si="107"/>
        <v>0</v>
      </c>
      <c r="DC61" s="69">
        <f t="shared" si="108"/>
        <v>0</v>
      </c>
      <c r="DD61" s="1">
        <f t="shared" si="209"/>
        <v>0</v>
      </c>
      <c r="DE61" s="1">
        <f t="shared" si="109"/>
        <v>0</v>
      </c>
      <c r="DF61" s="1">
        <f t="shared" si="110"/>
        <v>0</v>
      </c>
      <c r="DG61" s="1">
        <f t="shared" si="111"/>
        <v>0</v>
      </c>
      <c r="DH61" s="1">
        <f t="shared" si="112"/>
        <v>0</v>
      </c>
      <c r="DI61" s="1">
        <f t="shared" si="113"/>
        <v>0</v>
      </c>
      <c r="DJ61" s="1">
        <f t="shared" si="114"/>
        <v>0</v>
      </c>
      <c r="DK61" s="1">
        <f t="shared" si="115"/>
        <v>0</v>
      </c>
      <c r="DL61" s="1">
        <f t="shared" si="116"/>
        <v>0</v>
      </c>
      <c r="DM61" s="69">
        <f t="shared" si="117"/>
        <v>0</v>
      </c>
      <c r="DN61" s="1">
        <f t="shared" si="160"/>
        <v>0</v>
      </c>
      <c r="DO61" s="1">
        <f t="shared" si="161"/>
        <v>0</v>
      </c>
      <c r="DP61" s="1">
        <f t="shared" si="162"/>
        <v>0</v>
      </c>
      <c r="DQ61" s="1">
        <f t="shared" si="163"/>
        <v>0</v>
      </c>
      <c r="DR61" s="1">
        <f t="shared" si="164"/>
        <v>0</v>
      </c>
      <c r="DS61" s="1">
        <f t="shared" si="165"/>
        <v>0</v>
      </c>
      <c r="DT61" s="1">
        <f t="shared" si="166"/>
        <v>0</v>
      </c>
      <c r="DU61" s="1">
        <f t="shared" si="167"/>
        <v>0</v>
      </c>
      <c r="DV61" s="1">
        <f t="shared" si="168"/>
        <v>0</v>
      </c>
      <c r="DW61" s="69">
        <f t="shared" si="169"/>
        <v>0</v>
      </c>
      <c r="DX61" s="1">
        <v>2</v>
      </c>
      <c r="DY61" s="69">
        <f t="shared" si="94"/>
        <v>36</v>
      </c>
      <c r="DZ61" s="1">
        <f t="shared" si="99"/>
        <v>0</v>
      </c>
      <c r="EA61" s="1">
        <f t="shared" si="170"/>
        <v>0</v>
      </c>
      <c r="EB61" s="1">
        <f t="shared" si="213"/>
        <v>0</v>
      </c>
      <c r="ED61" s="285">
        <f t="shared" si="214"/>
        <v>0</v>
      </c>
    </row>
    <row r="62" spans="1:134" x14ac:dyDescent="0.2">
      <c r="A62" s="209" t="s">
        <v>660</v>
      </c>
      <c r="B62" s="803" t="s">
        <v>2356</v>
      </c>
      <c r="C62" s="192" t="s">
        <v>871</v>
      </c>
      <c r="D62" s="335" t="s">
        <v>557</v>
      </c>
      <c r="E62" s="889">
        <v>30</v>
      </c>
      <c r="F62" s="625">
        <f t="shared" si="118"/>
        <v>776.18941185888332</v>
      </c>
      <c r="G62" s="694"/>
      <c r="H62" s="58"/>
      <c r="I62" s="58"/>
      <c r="J62" s="58">
        <v>1</v>
      </c>
      <c r="K62" s="58">
        <v>1</v>
      </c>
      <c r="L62" s="58"/>
      <c r="M62" s="58"/>
      <c r="N62" s="658"/>
      <c r="O62" s="256"/>
      <c r="P62" s="256"/>
      <c r="Q62" s="256"/>
      <c r="R62" s="255"/>
      <c r="S62" s="256"/>
      <c r="T62" s="256"/>
      <c r="U62" s="256"/>
      <c r="V62" s="255"/>
      <c r="W62" s="256"/>
      <c r="X62" s="256"/>
      <c r="Y62" s="256"/>
      <c r="Z62" s="255"/>
      <c r="AA62" s="256"/>
      <c r="AB62" s="256"/>
      <c r="AC62" s="256"/>
      <c r="AD62" s="255"/>
      <c r="AE62" s="256"/>
      <c r="AF62" s="256"/>
      <c r="AH62" s="546">
        <f t="shared" si="212"/>
        <v>0</v>
      </c>
      <c r="AI62" s="66">
        <f t="shared" si="211"/>
        <v>0</v>
      </c>
      <c r="AL62" s="706" t="str">
        <f t="shared" si="5"/>
        <v>-motore = 30Kw</v>
      </c>
      <c r="AM62" s="684">
        <f t="shared" si="189"/>
        <v>0</v>
      </c>
      <c r="AN62" s="674">
        <f t="shared" si="171"/>
        <v>0</v>
      </c>
      <c r="AO62" s="684">
        <f t="shared" si="190"/>
        <v>0</v>
      </c>
      <c r="AP62" s="674">
        <f t="shared" si="172"/>
        <v>0</v>
      </c>
      <c r="AQ62" s="684">
        <f t="shared" si="191"/>
        <v>0</v>
      </c>
      <c r="AR62" s="674">
        <f t="shared" si="173"/>
        <v>0</v>
      </c>
      <c r="AS62" s="684">
        <f t="shared" si="192"/>
        <v>0</v>
      </c>
      <c r="AT62" s="674">
        <f t="shared" si="174"/>
        <v>0</v>
      </c>
      <c r="AU62" s="684">
        <f t="shared" si="193"/>
        <v>0</v>
      </c>
      <c r="AV62" s="674">
        <f t="shared" si="175"/>
        <v>0</v>
      </c>
      <c r="AW62" s="684">
        <f t="shared" si="194"/>
        <v>0</v>
      </c>
      <c r="AX62" s="674">
        <f t="shared" si="176"/>
        <v>0</v>
      </c>
      <c r="AY62" s="684">
        <f t="shared" si="195"/>
        <v>0</v>
      </c>
      <c r="AZ62" s="674">
        <f t="shared" si="177"/>
        <v>0</v>
      </c>
      <c r="BA62" s="684">
        <f t="shared" si="196"/>
        <v>0</v>
      </c>
      <c r="BB62" s="674">
        <f t="shared" si="178"/>
        <v>0</v>
      </c>
      <c r="BC62" s="684">
        <f t="shared" si="197"/>
        <v>0</v>
      </c>
      <c r="BD62" s="674">
        <f t="shared" si="179"/>
        <v>0</v>
      </c>
      <c r="BE62" s="684">
        <f t="shared" si="128"/>
        <v>0</v>
      </c>
      <c r="BF62" s="1">
        <f t="shared" si="129"/>
        <v>0</v>
      </c>
      <c r="BG62" s="1">
        <f t="shared" si="130"/>
        <v>0</v>
      </c>
      <c r="BH62" s="1">
        <f t="shared" si="131"/>
        <v>0</v>
      </c>
      <c r="BI62" s="1">
        <f t="shared" si="132"/>
        <v>0</v>
      </c>
      <c r="BJ62" s="1">
        <f t="shared" si="133"/>
        <v>0</v>
      </c>
      <c r="BK62" s="1">
        <f t="shared" si="134"/>
        <v>0</v>
      </c>
      <c r="BL62" s="1">
        <f t="shared" si="135"/>
        <v>0</v>
      </c>
      <c r="BM62" s="1">
        <f t="shared" si="136"/>
        <v>0</v>
      </c>
      <c r="BN62" s="1">
        <f t="shared" si="137"/>
        <v>0</v>
      </c>
      <c r="BO62" s="69">
        <f t="shared" si="138"/>
        <v>0</v>
      </c>
      <c r="BP62" s="1">
        <f t="shared" si="198"/>
        <v>0</v>
      </c>
      <c r="BQ62" s="1">
        <f t="shared" si="199"/>
        <v>0</v>
      </c>
      <c r="BR62" s="1">
        <f t="shared" si="200"/>
        <v>0</v>
      </c>
      <c r="BS62" s="1">
        <f t="shared" si="201"/>
        <v>0</v>
      </c>
      <c r="BT62" s="1">
        <f t="shared" si="202"/>
        <v>0</v>
      </c>
      <c r="BU62" s="1">
        <f t="shared" si="203"/>
        <v>0</v>
      </c>
      <c r="BV62" s="1">
        <f t="shared" si="204"/>
        <v>0</v>
      </c>
      <c r="BW62" s="1">
        <f t="shared" si="205"/>
        <v>0</v>
      </c>
      <c r="BX62" s="1">
        <f t="shared" si="206"/>
        <v>0</v>
      </c>
      <c r="BY62" s="69">
        <f t="shared" si="207"/>
        <v>0</v>
      </c>
      <c r="BZ62" s="1">
        <f t="shared" si="149"/>
        <v>0</v>
      </c>
      <c r="CA62" s="1">
        <f t="shared" si="150"/>
        <v>0</v>
      </c>
      <c r="CB62" s="1">
        <f t="shared" si="151"/>
        <v>0</v>
      </c>
      <c r="CC62" s="1">
        <f t="shared" si="152"/>
        <v>0</v>
      </c>
      <c r="CD62" s="1">
        <f t="shared" si="153"/>
        <v>0</v>
      </c>
      <c r="CE62" s="1">
        <f t="shared" si="154"/>
        <v>0</v>
      </c>
      <c r="CF62" s="1">
        <f t="shared" si="155"/>
        <v>0</v>
      </c>
      <c r="CG62" s="1">
        <f t="shared" si="156"/>
        <v>0</v>
      </c>
      <c r="CH62" s="1">
        <f t="shared" si="157"/>
        <v>0</v>
      </c>
      <c r="CI62" s="69">
        <f t="shared" si="158"/>
        <v>0</v>
      </c>
      <c r="CJ62" s="1">
        <f t="shared" si="159"/>
        <v>0</v>
      </c>
      <c r="CK62" s="1">
        <f t="shared" si="180"/>
        <v>0</v>
      </c>
      <c r="CL62" s="1">
        <f t="shared" si="181"/>
        <v>0</v>
      </c>
      <c r="CM62" s="1">
        <f t="shared" si="182"/>
        <v>0</v>
      </c>
      <c r="CN62" s="1">
        <f t="shared" si="183"/>
        <v>0</v>
      </c>
      <c r="CO62" s="1">
        <f t="shared" si="184"/>
        <v>0</v>
      </c>
      <c r="CP62" s="1">
        <f t="shared" si="185"/>
        <v>0</v>
      </c>
      <c r="CQ62" s="1">
        <f t="shared" si="186"/>
        <v>0</v>
      </c>
      <c r="CR62" s="1">
        <f t="shared" si="187"/>
        <v>0</v>
      </c>
      <c r="CS62" s="69">
        <f t="shared" si="188"/>
        <v>0</v>
      </c>
      <c r="CT62" s="1">
        <f t="shared" si="208"/>
        <v>0</v>
      </c>
      <c r="CU62" s="1">
        <f t="shared" si="100"/>
        <v>0</v>
      </c>
      <c r="CV62" s="1">
        <f t="shared" si="101"/>
        <v>0</v>
      </c>
      <c r="CW62" s="1">
        <f t="shared" si="102"/>
        <v>0</v>
      </c>
      <c r="CX62" s="1">
        <f t="shared" si="103"/>
        <v>0</v>
      </c>
      <c r="CY62" s="1">
        <f t="shared" si="104"/>
        <v>0</v>
      </c>
      <c r="CZ62" s="1">
        <f t="shared" si="105"/>
        <v>0</v>
      </c>
      <c r="DA62" s="1">
        <f t="shared" si="106"/>
        <v>0</v>
      </c>
      <c r="DB62" s="1">
        <f t="shared" si="107"/>
        <v>0</v>
      </c>
      <c r="DC62" s="69">
        <f t="shared" si="108"/>
        <v>0</v>
      </c>
      <c r="DD62" s="1">
        <f t="shared" si="209"/>
        <v>0</v>
      </c>
      <c r="DE62" s="1">
        <f t="shared" si="109"/>
        <v>0</v>
      </c>
      <c r="DF62" s="1">
        <f t="shared" si="110"/>
        <v>0</v>
      </c>
      <c r="DG62" s="1">
        <f t="shared" si="111"/>
        <v>0</v>
      </c>
      <c r="DH62" s="1">
        <f t="shared" si="112"/>
        <v>0</v>
      </c>
      <c r="DI62" s="1">
        <f t="shared" si="113"/>
        <v>0</v>
      </c>
      <c r="DJ62" s="1">
        <f t="shared" si="114"/>
        <v>0</v>
      </c>
      <c r="DK62" s="1">
        <f t="shared" si="115"/>
        <v>0</v>
      </c>
      <c r="DL62" s="1">
        <f t="shared" si="116"/>
        <v>0</v>
      </c>
      <c r="DM62" s="69">
        <f t="shared" si="117"/>
        <v>0</v>
      </c>
      <c r="DN62" s="1">
        <f t="shared" si="160"/>
        <v>0</v>
      </c>
      <c r="DO62" s="1">
        <f t="shared" si="161"/>
        <v>0</v>
      </c>
      <c r="DP62" s="1">
        <f t="shared" si="162"/>
        <v>0</v>
      </c>
      <c r="DQ62" s="1">
        <f t="shared" si="163"/>
        <v>0</v>
      </c>
      <c r="DR62" s="1">
        <f t="shared" si="164"/>
        <v>0</v>
      </c>
      <c r="DS62" s="1">
        <f t="shared" si="165"/>
        <v>0</v>
      </c>
      <c r="DT62" s="1">
        <f t="shared" si="166"/>
        <v>0</v>
      </c>
      <c r="DU62" s="1">
        <f t="shared" si="167"/>
        <v>0</v>
      </c>
      <c r="DV62" s="1">
        <f t="shared" si="168"/>
        <v>0</v>
      </c>
      <c r="DW62" s="69">
        <f t="shared" si="169"/>
        <v>0</v>
      </c>
      <c r="DX62" s="1">
        <v>2</v>
      </c>
      <c r="DY62" s="69">
        <f t="shared" si="94"/>
        <v>37</v>
      </c>
      <c r="DZ62" s="1">
        <f t="shared" si="99"/>
        <v>0</v>
      </c>
      <c r="EA62" s="1">
        <f t="shared" si="170"/>
        <v>0</v>
      </c>
      <c r="EB62" s="1">
        <f t="shared" si="213"/>
        <v>0</v>
      </c>
      <c r="ED62" s="285">
        <f t="shared" si="214"/>
        <v>0</v>
      </c>
    </row>
    <row r="63" spans="1:134" ht="15" x14ac:dyDescent="0.25">
      <c r="A63" s="209" t="s">
        <v>660</v>
      </c>
      <c r="B63" s="802" t="s">
        <v>2337</v>
      </c>
      <c r="C63" s="194" t="s">
        <v>871</v>
      </c>
      <c r="D63" s="644" t="s">
        <v>558</v>
      </c>
      <c r="E63" s="889">
        <v>0.25</v>
      </c>
      <c r="F63" s="625">
        <f t="shared" si="118"/>
        <v>138.04434000000001</v>
      </c>
      <c r="G63" s="694"/>
      <c r="H63" s="58"/>
      <c r="I63" s="58"/>
      <c r="J63" s="58">
        <v>1</v>
      </c>
      <c r="K63" s="58">
        <v>1</v>
      </c>
      <c r="L63" s="58"/>
      <c r="M63" s="58"/>
      <c r="N63" s="658"/>
      <c r="O63" s="256"/>
      <c r="P63" s="256"/>
      <c r="Q63" s="256"/>
      <c r="R63" s="255"/>
      <c r="S63" s="256"/>
      <c r="T63" s="256"/>
      <c r="U63" s="256"/>
      <c r="V63" s="255"/>
      <c r="W63" s="256"/>
      <c r="X63" s="256"/>
      <c r="Y63" s="256"/>
      <c r="Z63" s="255"/>
      <c r="AA63" s="256"/>
      <c r="AB63" s="256"/>
      <c r="AC63" s="256"/>
      <c r="AD63" s="255"/>
      <c r="AE63" s="256"/>
      <c r="AF63" s="256"/>
      <c r="AH63" s="546">
        <f t="shared" si="212"/>
        <v>0</v>
      </c>
      <c r="AI63" s="66">
        <f t="shared" si="211"/>
        <v>0</v>
      </c>
      <c r="AL63" s="706" t="str">
        <f t="shared" si="5"/>
        <v>-motore &lt;= 0,25Kw</v>
      </c>
      <c r="AM63" s="684">
        <f t="shared" si="189"/>
        <v>0</v>
      </c>
      <c r="AN63" s="674">
        <f t="shared" si="171"/>
        <v>0</v>
      </c>
      <c r="AO63" s="684">
        <f t="shared" si="190"/>
        <v>0</v>
      </c>
      <c r="AP63" s="674">
        <f t="shared" si="172"/>
        <v>0</v>
      </c>
      <c r="AQ63" s="684">
        <f t="shared" si="191"/>
        <v>0</v>
      </c>
      <c r="AR63" s="674">
        <f t="shared" si="173"/>
        <v>0</v>
      </c>
      <c r="AS63" s="684">
        <f t="shared" si="192"/>
        <v>0</v>
      </c>
      <c r="AT63" s="674">
        <f t="shared" si="174"/>
        <v>0</v>
      </c>
      <c r="AU63" s="684">
        <f t="shared" si="193"/>
        <v>0</v>
      </c>
      <c r="AV63" s="674">
        <f t="shared" si="175"/>
        <v>0</v>
      </c>
      <c r="AW63" s="684">
        <f t="shared" si="194"/>
        <v>0</v>
      </c>
      <c r="AX63" s="674">
        <f t="shared" si="176"/>
        <v>0</v>
      </c>
      <c r="AY63" s="684">
        <f t="shared" si="195"/>
        <v>0</v>
      </c>
      <c r="AZ63" s="674">
        <f t="shared" si="177"/>
        <v>0</v>
      </c>
      <c r="BA63" s="684">
        <f t="shared" si="196"/>
        <v>0</v>
      </c>
      <c r="BB63" s="674">
        <f t="shared" si="178"/>
        <v>0</v>
      </c>
      <c r="BC63" s="684">
        <f t="shared" si="197"/>
        <v>0</v>
      </c>
      <c r="BD63" s="674">
        <f t="shared" si="179"/>
        <v>0</v>
      </c>
      <c r="BE63" s="684">
        <f t="shared" si="128"/>
        <v>0</v>
      </c>
      <c r="BF63" s="1">
        <f t="shared" si="129"/>
        <v>0</v>
      </c>
      <c r="BG63" s="1">
        <f t="shared" si="130"/>
        <v>0</v>
      </c>
      <c r="BH63" s="1">
        <f t="shared" si="131"/>
        <v>0</v>
      </c>
      <c r="BI63" s="1">
        <f t="shared" si="132"/>
        <v>0</v>
      </c>
      <c r="BJ63" s="1">
        <f t="shared" si="133"/>
        <v>0</v>
      </c>
      <c r="BK63" s="1">
        <f t="shared" si="134"/>
        <v>0</v>
      </c>
      <c r="BL63" s="1">
        <f t="shared" si="135"/>
        <v>0</v>
      </c>
      <c r="BM63" s="1">
        <f t="shared" si="136"/>
        <v>0</v>
      </c>
      <c r="BN63" s="1">
        <f t="shared" si="137"/>
        <v>0</v>
      </c>
      <c r="BO63" s="69">
        <f t="shared" si="138"/>
        <v>0</v>
      </c>
      <c r="BP63" s="1">
        <f t="shared" si="198"/>
        <v>0</v>
      </c>
      <c r="BQ63" s="1">
        <f t="shared" ref="BQ63:BQ131" si="215">P63*$H63</f>
        <v>0</v>
      </c>
      <c r="BR63" s="1">
        <f t="shared" ref="BR63:BR131" si="216">R63*$H63</f>
        <v>0</v>
      </c>
      <c r="BS63" s="1">
        <f t="shared" ref="BS63:BS131" si="217">T63*$H63</f>
        <v>0</v>
      </c>
      <c r="BT63" s="1">
        <f t="shared" ref="BT63:BT131" si="218">V63*$H63</f>
        <v>0</v>
      </c>
      <c r="BU63" s="1">
        <f t="shared" ref="BU63:BU131" si="219">X63*$H63</f>
        <v>0</v>
      </c>
      <c r="BV63" s="1">
        <f t="shared" ref="BV63:BV131" si="220">Z63*$H63</f>
        <v>0</v>
      </c>
      <c r="BW63" s="1">
        <f t="shared" ref="BW63:BW131" si="221">AB63*$H63</f>
        <v>0</v>
      </c>
      <c r="BX63" s="1">
        <f t="shared" ref="BX63:BX131" si="222">AD63*$H63</f>
        <v>0</v>
      </c>
      <c r="BY63" s="69">
        <f t="shared" ref="BY63:BY131" si="223">AF63*$H63</f>
        <v>0</v>
      </c>
      <c r="BZ63" s="1">
        <f t="shared" si="149"/>
        <v>0</v>
      </c>
      <c r="CA63" s="1">
        <f t="shared" si="150"/>
        <v>0</v>
      </c>
      <c r="CB63" s="1">
        <f t="shared" si="151"/>
        <v>0</v>
      </c>
      <c r="CC63" s="1">
        <f t="shared" si="152"/>
        <v>0</v>
      </c>
      <c r="CD63" s="1">
        <f t="shared" si="153"/>
        <v>0</v>
      </c>
      <c r="CE63" s="1">
        <f t="shared" si="154"/>
        <v>0</v>
      </c>
      <c r="CF63" s="1">
        <f t="shared" si="155"/>
        <v>0</v>
      </c>
      <c r="CG63" s="1">
        <f t="shared" si="156"/>
        <v>0</v>
      </c>
      <c r="CH63" s="1">
        <f t="shared" si="157"/>
        <v>0</v>
      </c>
      <c r="CI63" s="69">
        <f t="shared" si="158"/>
        <v>0</v>
      </c>
      <c r="CJ63" s="1">
        <f t="shared" si="159"/>
        <v>0</v>
      </c>
      <c r="CK63" s="1">
        <f t="shared" si="180"/>
        <v>0</v>
      </c>
      <c r="CL63" s="1">
        <f t="shared" si="181"/>
        <v>0</v>
      </c>
      <c r="CM63" s="1">
        <f t="shared" si="182"/>
        <v>0</v>
      </c>
      <c r="CN63" s="1">
        <f t="shared" si="183"/>
        <v>0</v>
      </c>
      <c r="CO63" s="1">
        <f t="shared" si="184"/>
        <v>0</v>
      </c>
      <c r="CP63" s="1">
        <f t="shared" si="185"/>
        <v>0</v>
      </c>
      <c r="CQ63" s="1">
        <f t="shared" si="186"/>
        <v>0</v>
      </c>
      <c r="CR63" s="1">
        <f t="shared" si="187"/>
        <v>0</v>
      </c>
      <c r="CS63" s="69">
        <f t="shared" si="188"/>
        <v>0</v>
      </c>
      <c r="CT63" s="1">
        <f t="shared" si="208"/>
        <v>0</v>
      </c>
      <c r="CU63" s="1">
        <f t="shared" ref="CU63:CU83" si="224">P63*$K63</f>
        <v>0</v>
      </c>
      <c r="CV63" s="1">
        <f t="shared" ref="CV63:CV83" si="225">R63*$K63</f>
        <v>0</v>
      </c>
      <c r="CW63" s="1">
        <f t="shared" ref="CW63:CW83" si="226">T63*$K63</f>
        <v>0</v>
      </c>
      <c r="CX63" s="1">
        <f t="shared" ref="CX63:CX83" si="227">V63*$K63</f>
        <v>0</v>
      </c>
      <c r="CY63" s="1">
        <f t="shared" ref="CY63:CY83" si="228">X63*$K63</f>
        <v>0</v>
      </c>
      <c r="CZ63" s="1">
        <f t="shared" ref="CZ63:CZ83" si="229">Z63*$K63</f>
        <v>0</v>
      </c>
      <c r="DA63" s="1">
        <f t="shared" ref="DA63:DA83" si="230">AB63*$K63</f>
        <v>0</v>
      </c>
      <c r="DB63" s="1">
        <f t="shared" ref="DB63:DB83" si="231">AD63*$K63</f>
        <v>0</v>
      </c>
      <c r="DC63" s="69">
        <f t="shared" ref="DC63:DC83" si="232">AF63*$K63</f>
        <v>0</v>
      </c>
      <c r="DD63" s="1">
        <f t="shared" si="209"/>
        <v>0</v>
      </c>
      <c r="DE63" s="1">
        <f t="shared" ref="DE63:DE83" si="233">P63*$L63</f>
        <v>0</v>
      </c>
      <c r="DF63" s="1">
        <f t="shared" ref="DF63:DF83" si="234">R63*$L63</f>
        <v>0</v>
      </c>
      <c r="DG63" s="1">
        <f t="shared" ref="DG63:DG83" si="235">T63*$L63</f>
        <v>0</v>
      </c>
      <c r="DH63" s="1">
        <f t="shared" ref="DH63:DH83" si="236">V63*$L63</f>
        <v>0</v>
      </c>
      <c r="DI63" s="1">
        <f t="shared" ref="DI63:DI83" si="237">X63*$L63</f>
        <v>0</v>
      </c>
      <c r="DJ63" s="1">
        <f t="shared" ref="DJ63:DJ83" si="238">Z63*$L63</f>
        <v>0</v>
      </c>
      <c r="DK63" s="1">
        <f t="shared" ref="DK63:DK83" si="239">AB63*$L63</f>
        <v>0</v>
      </c>
      <c r="DL63" s="1">
        <f t="shared" ref="DL63:DL83" si="240">AD63*$L63</f>
        <v>0</v>
      </c>
      <c r="DM63" s="69">
        <f t="shared" ref="DM63:DM83" si="241">AF63*$L63</f>
        <v>0</v>
      </c>
      <c r="DN63" s="1">
        <f t="shared" si="160"/>
        <v>0</v>
      </c>
      <c r="DO63" s="1">
        <f t="shared" si="161"/>
        <v>0</v>
      </c>
      <c r="DP63" s="1">
        <f t="shared" si="162"/>
        <v>0</v>
      </c>
      <c r="DQ63" s="1">
        <f t="shared" si="163"/>
        <v>0</v>
      </c>
      <c r="DR63" s="1">
        <f t="shared" si="164"/>
        <v>0</v>
      </c>
      <c r="DS63" s="1">
        <f t="shared" si="165"/>
        <v>0</v>
      </c>
      <c r="DT63" s="1">
        <f t="shared" si="166"/>
        <v>0</v>
      </c>
      <c r="DU63" s="1">
        <f t="shared" si="167"/>
        <v>0</v>
      </c>
      <c r="DV63" s="1">
        <f t="shared" si="168"/>
        <v>0</v>
      </c>
      <c r="DW63" s="69">
        <f t="shared" si="169"/>
        <v>0</v>
      </c>
      <c r="DX63" s="1">
        <v>2</v>
      </c>
      <c r="DY63" s="69">
        <f t="shared" si="94"/>
        <v>38</v>
      </c>
      <c r="DZ63" s="1">
        <f t="shared" si="99"/>
        <v>0</v>
      </c>
      <c r="EA63" s="1">
        <f t="shared" si="170"/>
        <v>0</v>
      </c>
      <c r="EB63" s="1">
        <f t="shared" si="213"/>
        <v>0</v>
      </c>
      <c r="ED63" s="285">
        <f t="shared" si="214"/>
        <v>0</v>
      </c>
    </row>
    <row r="64" spans="1:134" x14ac:dyDescent="0.2">
      <c r="A64" s="209" t="s">
        <v>660</v>
      </c>
      <c r="B64" s="800" t="s">
        <v>252</v>
      </c>
      <c r="C64" s="193" t="s">
        <v>871</v>
      </c>
      <c r="D64" s="647" t="s">
        <v>563</v>
      </c>
      <c r="E64" s="889">
        <v>1.5</v>
      </c>
      <c r="F64" s="625">
        <f t="shared" si="118"/>
        <v>154.36299</v>
      </c>
      <c r="G64" s="694"/>
      <c r="H64" s="58"/>
      <c r="I64" s="58"/>
      <c r="J64" s="58">
        <v>2</v>
      </c>
      <c r="K64" s="58">
        <v>1</v>
      </c>
      <c r="L64" s="58"/>
      <c r="M64" s="58"/>
      <c r="N64" s="658"/>
      <c r="O64" s="256"/>
      <c r="P64" s="256"/>
      <c r="Q64" s="256"/>
      <c r="R64" s="255"/>
      <c r="S64" s="256"/>
      <c r="T64" s="256"/>
      <c r="U64" s="256"/>
      <c r="V64" s="255"/>
      <c r="W64" s="256"/>
      <c r="X64" s="256"/>
      <c r="Y64" s="256"/>
      <c r="Z64" s="255"/>
      <c r="AA64" s="256"/>
      <c r="AB64" s="256"/>
      <c r="AC64" s="256"/>
      <c r="AD64" s="255"/>
      <c r="AE64" s="256"/>
      <c r="AF64" s="256"/>
      <c r="AH64" s="546">
        <f t="shared" si="212"/>
        <v>0</v>
      </c>
      <c r="AI64" s="66">
        <f t="shared" si="211"/>
        <v>0</v>
      </c>
      <c r="AL64" s="706" t="str">
        <f t="shared" si="5"/>
        <v>-motore &lt;0,25 e &lt;3 Kw</v>
      </c>
      <c r="AM64" s="684">
        <f t="shared" si="189"/>
        <v>0</v>
      </c>
      <c r="AN64" s="674">
        <f t="shared" si="171"/>
        <v>0</v>
      </c>
      <c r="AO64" s="684">
        <f t="shared" si="190"/>
        <v>0</v>
      </c>
      <c r="AP64" s="674">
        <f t="shared" si="172"/>
        <v>0</v>
      </c>
      <c r="AQ64" s="684">
        <f t="shared" si="191"/>
        <v>0</v>
      </c>
      <c r="AR64" s="674">
        <f t="shared" si="173"/>
        <v>0</v>
      </c>
      <c r="AS64" s="684">
        <f t="shared" si="192"/>
        <v>0</v>
      </c>
      <c r="AT64" s="674">
        <f t="shared" si="174"/>
        <v>0</v>
      </c>
      <c r="AU64" s="684">
        <f t="shared" si="193"/>
        <v>0</v>
      </c>
      <c r="AV64" s="674">
        <f t="shared" si="175"/>
        <v>0</v>
      </c>
      <c r="AW64" s="684">
        <f t="shared" si="194"/>
        <v>0</v>
      </c>
      <c r="AX64" s="674">
        <f t="shared" si="176"/>
        <v>0</v>
      </c>
      <c r="AY64" s="684">
        <f t="shared" si="195"/>
        <v>0</v>
      </c>
      <c r="AZ64" s="674">
        <f t="shared" si="177"/>
        <v>0</v>
      </c>
      <c r="BA64" s="684">
        <f t="shared" si="196"/>
        <v>0</v>
      </c>
      <c r="BB64" s="674">
        <f t="shared" si="178"/>
        <v>0</v>
      </c>
      <c r="BC64" s="684">
        <f t="shared" si="197"/>
        <v>0</v>
      </c>
      <c r="BD64" s="674">
        <f t="shared" si="179"/>
        <v>0</v>
      </c>
      <c r="BE64" s="684">
        <f t="shared" si="128"/>
        <v>0</v>
      </c>
      <c r="BF64" s="1">
        <f t="shared" si="129"/>
        <v>0</v>
      </c>
      <c r="BG64" s="1">
        <f t="shared" si="130"/>
        <v>0</v>
      </c>
      <c r="BH64" s="1">
        <f t="shared" si="131"/>
        <v>0</v>
      </c>
      <c r="BI64" s="1">
        <f t="shared" si="132"/>
        <v>0</v>
      </c>
      <c r="BJ64" s="1">
        <f t="shared" si="133"/>
        <v>0</v>
      </c>
      <c r="BK64" s="1">
        <f t="shared" si="134"/>
        <v>0</v>
      </c>
      <c r="BL64" s="1">
        <f t="shared" si="135"/>
        <v>0</v>
      </c>
      <c r="BM64" s="1">
        <f t="shared" si="136"/>
        <v>0</v>
      </c>
      <c r="BN64" s="1">
        <f t="shared" si="137"/>
        <v>0</v>
      </c>
      <c r="BO64" s="69">
        <f t="shared" si="138"/>
        <v>0</v>
      </c>
      <c r="BP64" s="1">
        <f t="shared" si="198"/>
        <v>0</v>
      </c>
      <c r="BQ64" s="1">
        <f t="shared" si="215"/>
        <v>0</v>
      </c>
      <c r="BR64" s="1">
        <f t="shared" si="216"/>
        <v>0</v>
      </c>
      <c r="BS64" s="1">
        <f t="shared" si="217"/>
        <v>0</v>
      </c>
      <c r="BT64" s="1">
        <f t="shared" si="218"/>
        <v>0</v>
      </c>
      <c r="BU64" s="1">
        <f t="shared" si="219"/>
        <v>0</v>
      </c>
      <c r="BV64" s="1">
        <f t="shared" si="220"/>
        <v>0</v>
      </c>
      <c r="BW64" s="1">
        <f t="shared" si="221"/>
        <v>0</v>
      </c>
      <c r="BX64" s="1">
        <f t="shared" si="222"/>
        <v>0</v>
      </c>
      <c r="BY64" s="69">
        <f t="shared" si="223"/>
        <v>0</v>
      </c>
      <c r="BZ64" s="1">
        <f t="shared" si="149"/>
        <v>0</v>
      </c>
      <c r="CA64" s="1">
        <f t="shared" si="150"/>
        <v>0</v>
      </c>
      <c r="CB64" s="1">
        <f t="shared" si="151"/>
        <v>0</v>
      </c>
      <c r="CC64" s="1">
        <f t="shared" si="152"/>
        <v>0</v>
      </c>
      <c r="CD64" s="1">
        <f t="shared" si="153"/>
        <v>0</v>
      </c>
      <c r="CE64" s="1">
        <f t="shared" si="154"/>
        <v>0</v>
      </c>
      <c r="CF64" s="1">
        <f t="shared" si="155"/>
        <v>0</v>
      </c>
      <c r="CG64" s="1">
        <f t="shared" si="156"/>
        <v>0</v>
      </c>
      <c r="CH64" s="1">
        <f t="shared" si="157"/>
        <v>0</v>
      </c>
      <c r="CI64" s="69">
        <f t="shared" si="158"/>
        <v>0</v>
      </c>
      <c r="CJ64" s="1">
        <f t="shared" si="159"/>
        <v>0</v>
      </c>
      <c r="CK64" s="1">
        <f t="shared" si="180"/>
        <v>0</v>
      </c>
      <c r="CL64" s="1">
        <f t="shared" si="181"/>
        <v>0</v>
      </c>
      <c r="CM64" s="1">
        <f t="shared" si="182"/>
        <v>0</v>
      </c>
      <c r="CN64" s="1">
        <f t="shared" si="183"/>
        <v>0</v>
      </c>
      <c r="CO64" s="1">
        <f t="shared" si="184"/>
        <v>0</v>
      </c>
      <c r="CP64" s="1">
        <f t="shared" si="185"/>
        <v>0</v>
      </c>
      <c r="CQ64" s="1">
        <f t="shared" si="186"/>
        <v>0</v>
      </c>
      <c r="CR64" s="1">
        <f t="shared" si="187"/>
        <v>0</v>
      </c>
      <c r="CS64" s="69">
        <f t="shared" si="188"/>
        <v>0</v>
      </c>
      <c r="CT64" s="1">
        <f t="shared" si="208"/>
        <v>0</v>
      </c>
      <c r="CU64" s="1">
        <f t="shared" si="224"/>
        <v>0</v>
      </c>
      <c r="CV64" s="1">
        <f t="shared" si="225"/>
        <v>0</v>
      </c>
      <c r="CW64" s="1">
        <f t="shared" si="226"/>
        <v>0</v>
      </c>
      <c r="CX64" s="1">
        <f t="shared" si="227"/>
        <v>0</v>
      </c>
      <c r="CY64" s="1">
        <f t="shared" si="228"/>
        <v>0</v>
      </c>
      <c r="CZ64" s="1">
        <f t="shared" si="229"/>
        <v>0</v>
      </c>
      <c r="DA64" s="1">
        <f t="shared" si="230"/>
        <v>0</v>
      </c>
      <c r="DB64" s="1">
        <f t="shared" si="231"/>
        <v>0</v>
      </c>
      <c r="DC64" s="69">
        <f t="shared" si="232"/>
        <v>0</v>
      </c>
      <c r="DD64" s="1">
        <f t="shared" si="209"/>
        <v>0</v>
      </c>
      <c r="DE64" s="1">
        <f t="shared" si="233"/>
        <v>0</v>
      </c>
      <c r="DF64" s="1">
        <f t="shared" si="234"/>
        <v>0</v>
      </c>
      <c r="DG64" s="1">
        <f t="shared" si="235"/>
        <v>0</v>
      </c>
      <c r="DH64" s="1">
        <f t="shared" si="236"/>
        <v>0</v>
      </c>
      <c r="DI64" s="1">
        <f t="shared" si="237"/>
        <v>0</v>
      </c>
      <c r="DJ64" s="1">
        <f t="shared" si="238"/>
        <v>0</v>
      </c>
      <c r="DK64" s="1">
        <f t="shared" si="239"/>
        <v>0</v>
      </c>
      <c r="DL64" s="1">
        <f t="shared" si="240"/>
        <v>0</v>
      </c>
      <c r="DM64" s="69">
        <f t="shared" si="241"/>
        <v>0</v>
      </c>
      <c r="DN64" s="1">
        <f t="shared" si="160"/>
        <v>0</v>
      </c>
      <c r="DO64" s="1">
        <f t="shared" si="161"/>
        <v>0</v>
      </c>
      <c r="DP64" s="1">
        <f t="shared" si="162"/>
        <v>0</v>
      </c>
      <c r="DQ64" s="1">
        <f t="shared" si="163"/>
        <v>0</v>
      </c>
      <c r="DR64" s="1">
        <f t="shared" si="164"/>
        <v>0</v>
      </c>
      <c r="DS64" s="1">
        <f t="shared" si="165"/>
        <v>0</v>
      </c>
      <c r="DT64" s="1">
        <f t="shared" si="166"/>
        <v>0</v>
      </c>
      <c r="DU64" s="1">
        <f t="shared" si="167"/>
        <v>0</v>
      </c>
      <c r="DV64" s="1">
        <f t="shared" si="168"/>
        <v>0</v>
      </c>
      <c r="DW64" s="69">
        <f t="shared" si="169"/>
        <v>0</v>
      </c>
      <c r="DX64" s="1">
        <v>2</v>
      </c>
      <c r="DY64" s="69">
        <f t="shared" si="94"/>
        <v>39</v>
      </c>
      <c r="DZ64" s="1">
        <f t="shared" si="99"/>
        <v>0</v>
      </c>
      <c r="EA64" s="1">
        <f t="shared" si="170"/>
        <v>0</v>
      </c>
      <c r="EB64" s="1">
        <f t="shared" si="213"/>
        <v>0</v>
      </c>
      <c r="ED64" s="285">
        <f t="shared" si="214"/>
        <v>0</v>
      </c>
    </row>
    <row r="65" spans="1:328" ht="15" x14ac:dyDescent="0.25">
      <c r="A65" s="209" t="s">
        <v>660</v>
      </c>
      <c r="B65" s="801" t="s">
        <v>2338</v>
      </c>
      <c r="C65" s="182" t="s">
        <v>871</v>
      </c>
      <c r="D65" s="646" t="s">
        <v>563</v>
      </c>
      <c r="E65" s="889">
        <v>0.55000000000000004</v>
      </c>
      <c r="F65" s="625">
        <f t="shared" si="118"/>
        <v>154.36299</v>
      </c>
      <c r="G65" s="694"/>
      <c r="H65" s="58"/>
      <c r="I65" s="58"/>
      <c r="J65" s="58">
        <v>2</v>
      </c>
      <c r="K65" s="58">
        <v>2</v>
      </c>
      <c r="L65" s="58"/>
      <c r="M65" s="58"/>
      <c r="N65" s="658"/>
      <c r="O65" s="256"/>
      <c r="P65" s="256"/>
      <c r="Q65" s="256"/>
      <c r="R65" s="255"/>
      <c r="S65" s="256"/>
      <c r="T65" s="256"/>
      <c r="U65" s="256"/>
      <c r="V65" s="255"/>
      <c r="W65" s="256"/>
      <c r="X65" s="256"/>
      <c r="Y65" s="256"/>
      <c r="Z65" s="255"/>
      <c r="AA65" s="256"/>
      <c r="AB65" s="256"/>
      <c r="AC65" s="256"/>
      <c r="AD65" s="255"/>
      <c r="AE65" s="256"/>
      <c r="AF65" s="256"/>
      <c r="AH65" s="546">
        <f t="shared" si="212"/>
        <v>0</v>
      </c>
      <c r="AI65" s="66">
        <f t="shared" si="211"/>
        <v>0</v>
      </c>
      <c r="AL65" s="706" t="str">
        <f t="shared" si="5"/>
        <v>-motore &lt;0,25 e &lt;3 Kw</v>
      </c>
      <c r="AM65" s="684">
        <f t="shared" si="189"/>
        <v>0</v>
      </c>
      <c r="AN65" s="674">
        <f t="shared" si="171"/>
        <v>0</v>
      </c>
      <c r="AO65" s="684">
        <f t="shared" si="190"/>
        <v>0</v>
      </c>
      <c r="AP65" s="674">
        <f t="shared" si="172"/>
        <v>0</v>
      </c>
      <c r="AQ65" s="684">
        <f t="shared" si="191"/>
        <v>0</v>
      </c>
      <c r="AR65" s="674">
        <f t="shared" si="173"/>
        <v>0</v>
      </c>
      <c r="AS65" s="684">
        <f t="shared" si="192"/>
        <v>0</v>
      </c>
      <c r="AT65" s="674">
        <f t="shared" si="174"/>
        <v>0</v>
      </c>
      <c r="AU65" s="684">
        <f t="shared" si="193"/>
        <v>0</v>
      </c>
      <c r="AV65" s="674">
        <f t="shared" si="175"/>
        <v>0</v>
      </c>
      <c r="AW65" s="684">
        <f t="shared" si="194"/>
        <v>0</v>
      </c>
      <c r="AX65" s="674">
        <f t="shared" si="176"/>
        <v>0</v>
      </c>
      <c r="AY65" s="684">
        <f t="shared" si="195"/>
        <v>0</v>
      </c>
      <c r="AZ65" s="674">
        <f t="shared" si="177"/>
        <v>0</v>
      </c>
      <c r="BA65" s="684">
        <f t="shared" si="196"/>
        <v>0</v>
      </c>
      <c r="BB65" s="674">
        <f t="shared" si="178"/>
        <v>0</v>
      </c>
      <c r="BC65" s="684">
        <f t="shared" si="197"/>
        <v>0</v>
      </c>
      <c r="BD65" s="674">
        <f t="shared" si="179"/>
        <v>0</v>
      </c>
      <c r="BE65" s="684">
        <f t="shared" si="128"/>
        <v>0</v>
      </c>
      <c r="BF65" s="1">
        <f t="shared" si="129"/>
        <v>0</v>
      </c>
      <c r="BG65" s="1">
        <f t="shared" si="130"/>
        <v>0</v>
      </c>
      <c r="BH65" s="1">
        <f t="shared" si="131"/>
        <v>0</v>
      </c>
      <c r="BI65" s="1">
        <f t="shared" si="132"/>
        <v>0</v>
      </c>
      <c r="BJ65" s="1">
        <f t="shared" si="133"/>
        <v>0</v>
      </c>
      <c r="BK65" s="1">
        <f t="shared" si="134"/>
        <v>0</v>
      </c>
      <c r="BL65" s="1">
        <f t="shared" si="135"/>
        <v>0</v>
      </c>
      <c r="BM65" s="1">
        <f t="shared" si="136"/>
        <v>0</v>
      </c>
      <c r="BN65" s="1">
        <f t="shared" si="137"/>
        <v>0</v>
      </c>
      <c r="BO65" s="69">
        <f t="shared" si="138"/>
        <v>0</v>
      </c>
      <c r="BP65" s="1">
        <f t="shared" si="198"/>
        <v>0</v>
      </c>
      <c r="BQ65" s="1">
        <f t="shared" si="215"/>
        <v>0</v>
      </c>
      <c r="BR65" s="1">
        <f t="shared" si="216"/>
        <v>0</v>
      </c>
      <c r="BS65" s="1">
        <f t="shared" si="217"/>
        <v>0</v>
      </c>
      <c r="BT65" s="1">
        <f t="shared" si="218"/>
        <v>0</v>
      </c>
      <c r="BU65" s="1">
        <f t="shared" si="219"/>
        <v>0</v>
      </c>
      <c r="BV65" s="1">
        <f t="shared" si="220"/>
        <v>0</v>
      </c>
      <c r="BW65" s="1">
        <f t="shared" si="221"/>
        <v>0</v>
      </c>
      <c r="BX65" s="1">
        <f t="shared" si="222"/>
        <v>0</v>
      </c>
      <c r="BY65" s="69">
        <f t="shared" si="223"/>
        <v>0</v>
      </c>
      <c r="BZ65" s="1">
        <f t="shared" si="149"/>
        <v>0</v>
      </c>
      <c r="CA65" s="1">
        <f t="shared" si="150"/>
        <v>0</v>
      </c>
      <c r="CB65" s="1">
        <f t="shared" si="151"/>
        <v>0</v>
      </c>
      <c r="CC65" s="1">
        <f t="shared" si="152"/>
        <v>0</v>
      </c>
      <c r="CD65" s="1">
        <f t="shared" si="153"/>
        <v>0</v>
      </c>
      <c r="CE65" s="1">
        <f t="shared" si="154"/>
        <v>0</v>
      </c>
      <c r="CF65" s="1">
        <f t="shared" si="155"/>
        <v>0</v>
      </c>
      <c r="CG65" s="1">
        <f t="shared" si="156"/>
        <v>0</v>
      </c>
      <c r="CH65" s="1">
        <f t="shared" si="157"/>
        <v>0</v>
      </c>
      <c r="CI65" s="69">
        <f t="shared" si="158"/>
        <v>0</v>
      </c>
      <c r="CJ65" s="1">
        <f t="shared" si="159"/>
        <v>0</v>
      </c>
      <c r="CK65" s="1">
        <f t="shared" si="180"/>
        <v>0</v>
      </c>
      <c r="CL65" s="1">
        <f t="shared" si="181"/>
        <v>0</v>
      </c>
      <c r="CM65" s="1">
        <f t="shared" si="182"/>
        <v>0</v>
      </c>
      <c r="CN65" s="1">
        <f t="shared" si="183"/>
        <v>0</v>
      </c>
      <c r="CO65" s="1">
        <f t="shared" si="184"/>
        <v>0</v>
      </c>
      <c r="CP65" s="1">
        <f t="shared" si="185"/>
        <v>0</v>
      </c>
      <c r="CQ65" s="1">
        <f t="shared" si="186"/>
        <v>0</v>
      </c>
      <c r="CR65" s="1">
        <f t="shared" si="187"/>
        <v>0</v>
      </c>
      <c r="CS65" s="69">
        <f t="shared" si="188"/>
        <v>0</v>
      </c>
      <c r="CT65" s="1">
        <f t="shared" si="208"/>
        <v>0</v>
      </c>
      <c r="CU65" s="1">
        <f t="shared" si="224"/>
        <v>0</v>
      </c>
      <c r="CV65" s="1">
        <f t="shared" si="225"/>
        <v>0</v>
      </c>
      <c r="CW65" s="1">
        <f t="shared" si="226"/>
        <v>0</v>
      </c>
      <c r="CX65" s="1">
        <f t="shared" si="227"/>
        <v>0</v>
      </c>
      <c r="CY65" s="1">
        <f t="shared" si="228"/>
        <v>0</v>
      </c>
      <c r="CZ65" s="1">
        <f t="shared" si="229"/>
        <v>0</v>
      </c>
      <c r="DA65" s="1">
        <f t="shared" si="230"/>
        <v>0</v>
      </c>
      <c r="DB65" s="1">
        <f t="shared" si="231"/>
        <v>0</v>
      </c>
      <c r="DC65" s="69">
        <f t="shared" si="232"/>
        <v>0</v>
      </c>
      <c r="DD65" s="1">
        <f t="shared" si="209"/>
        <v>0</v>
      </c>
      <c r="DE65" s="1">
        <f t="shared" si="233"/>
        <v>0</v>
      </c>
      <c r="DF65" s="1">
        <f t="shared" si="234"/>
        <v>0</v>
      </c>
      <c r="DG65" s="1">
        <f t="shared" si="235"/>
        <v>0</v>
      </c>
      <c r="DH65" s="1">
        <f t="shared" si="236"/>
        <v>0</v>
      </c>
      <c r="DI65" s="1">
        <f t="shared" si="237"/>
        <v>0</v>
      </c>
      <c r="DJ65" s="1">
        <f t="shared" si="238"/>
        <v>0</v>
      </c>
      <c r="DK65" s="1">
        <f t="shared" si="239"/>
        <v>0</v>
      </c>
      <c r="DL65" s="1">
        <f t="shared" si="240"/>
        <v>0</v>
      </c>
      <c r="DM65" s="69">
        <f t="shared" si="241"/>
        <v>0</v>
      </c>
      <c r="DN65" s="1">
        <f t="shared" si="160"/>
        <v>0</v>
      </c>
      <c r="DO65" s="1">
        <f t="shared" si="161"/>
        <v>0</v>
      </c>
      <c r="DP65" s="1">
        <f t="shared" si="162"/>
        <v>0</v>
      </c>
      <c r="DQ65" s="1">
        <f t="shared" si="163"/>
        <v>0</v>
      </c>
      <c r="DR65" s="1">
        <f t="shared" si="164"/>
        <v>0</v>
      </c>
      <c r="DS65" s="1">
        <f t="shared" si="165"/>
        <v>0</v>
      </c>
      <c r="DT65" s="1">
        <f t="shared" si="166"/>
        <v>0</v>
      </c>
      <c r="DU65" s="1">
        <f t="shared" si="167"/>
        <v>0</v>
      </c>
      <c r="DV65" s="1">
        <f t="shared" si="168"/>
        <v>0</v>
      </c>
      <c r="DW65" s="69">
        <f t="shared" si="169"/>
        <v>0</v>
      </c>
      <c r="DX65" s="1">
        <v>2</v>
      </c>
      <c r="DY65" s="69">
        <f t="shared" si="94"/>
        <v>40</v>
      </c>
      <c r="DZ65" s="1">
        <f t="shared" si="99"/>
        <v>0</v>
      </c>
      <c r="EA65" s="1">
        <f t="shared" si="170"/>
        <v>0</v>
      </c>
      <c r="EB65" s="1">
        <f t="shared" si="213"/>
        <v>0</v>
      </c>
      <c r="ED65" s="285">
        <f t="shared" si="214"/>
        <v>0</v>
      </c>
    </row>
    <row r="66" spans="1:328" s="321" customFormat="1" ht="15" hidden="1" x14ac:dyDescent="0.25">
      <c r="A66" s="325" t="s">
        <v>660</v>
      </c>
      <c r="B66" s="801" t="s">
        <v>2338</v>
      </c>
      <c r="C66" s="326" t="s">
        <v>872</v>
      </c>
      <c r="D66" s="651" t="s">
        <v>695</v>
      </c>
      <c r="E66" s="889"/>
      <c r="F66" s="631">
        <f>VLOOKUP(D66,prezzi,5,)</f>
        <v>0</v>
      </c>
      <c r="G66" s="697"/>
      <c r="H66" s="522"/>
      <c r="I66" s="522"/>
      <c r="J66" s="522">
        <v>2</v>
      </c>
      <c r="K66" s="522">
        <v>1</v>
      </c>
      <c r="L66" s="522"/>
      <c r="M66" s="522"/>
      <c r="N66" s="663"/>
      <c r="O66" s="320"/>
      <c r="P66" s="320"/>
      <c r="Q66" s="320"/>
      <c r="R66" s="320"/>
      <c r="S66" s="320"/>
      <c r="T66" s="320"/>
      <c r="U66" s="320"/>
      <c r="V66" s="320"/>
      <c r="W66" s="320"/>
      <c r="X66" s="320"/>
      <c r="Y66" s="320"/>
      <c r="Z66" s="320"/>
      <c r="AA66" s="320"/>
      <c r="AB66" s="320"/>
      <c r="AC66" s="256"/>
      <c r="AD66" s="320"/>
      <c r="AE66" s="256"/>
      <c r="AF66" s="320"/>
      <c r="AG66" s="324"/>
      <c r="AH66" s="546">
        <f t="shared" si="212"/>
        <v>0</v>
      </c>
      <c r="AI66" s="322">
        <f>N66*$E66</f>
        <v>0</v>
      </c>
      <c r="AJ66" s="322"/>
      <c r="AK66" s="322"/>
      <c r="AL66" s="706" t="str">
        <f t="shared" si="5"/>
        <v>-valvola monostabile + 2 finecorsa</v>
      </c>
      <c r="AM66" s="685">
        <f>N66*$F66</f>
        <v>0</v>
      </c>
      <c r="AN66" s="676">
        <f>P66*$E66</f>
        <v>0</v>
      </c>
      <c r="AO66" s="685">
        <f>P66*$F66</f>
        <v>0</v>
      </c>
      <c r="AP66" s="676">
        <f>R66*$E66</f>
        <v>0</v>
      </c>
      <c r="AQ66" s="685">
        <f>R66*$F66</f>
        <v>0</v>
      </c>
      <c r="AR66" s="676">
        <f>T66*$E66</f>
        <v>0</v>
      </c>
      <c r="AS66" s="685">
        <f>T66*$F66</f>
        <v>0</v>
      </c>
      <c r="AT66" s="676">
        <f>V66*$E66</f>
        <v>0</v>
      </c>
      <c r="AU66" s="685">
        <f>V66*$F66</f>
        <v>0</v>
      </c>
      <c r="AV66" s="676">
        <f>X66*$E66</f>
        <v>0</v>
      </c>
      <c r="AW66" s="685">
        <f>X66*$F66</f>
        <v>0</v>
      </c>
      <c r="AX66" s="676">
        <f>Z66*$E66</f>
        <v>0</v>
      </c>
      <c r="AY66" s="685">
        <f>Z66*$F66</f>
        <v>0</v>
      </c>
      <c r="AZ66" s="676">
        <f>AB66*$E66</f>
        <v>0</v>
      </c>
      <c r="BA66" s="685">
        <f>AB66*$F66</f>
        <v>0</v>
      </c>
      <c r="BB66" s="676">
        <f>AD66*$E66</f>
        <v>0</v>
      </c>
      <c r="BC66" s="685">
        <f>AD66*$F66</f>
        <v>0</v>
      </c>
      <c r="BD66" s="676">
        <f>AF66*$E66</f>
        <v>0</v>
      </c>
      <c r="BE66" s="685">
        <f>AF66*$F66</f>
        <v>0</v>
      </c>
      <c r="BF66" s="321">
        <f>N66*$G66</f>
        <v>0</v>
      </c>
      <c r="BG66" s="321">
        <f>P66*$G66</f>
        <v>0</v>
      </c>
      <c r="BH66" s="321">
        <f>R66*$G66</f>
        <v>0</v>
      </c>
      <c r="BI66" s="321">
        <f>T66*$G66</f>
        <v>0</v>
      </c>
      <c r="BJ66" s="321">
        <f>V66*$G66</f>
        <v>0</v>
      </c>
      <c r="BK66" s="321">
        <f>X66*$G66</f>
        <v>0</v>
      </c>
      <c r="BL66" s="321">
        <f>Z66*$G66</f>
        <v>0</v>
      </c>
      <c r="BM66" s="321">
        <f>AB66*$G66</f>
        <v>0</v>
      </c>
      <c r="BN66" s="321">
        <f>AD66*$G66</f>
        <v>0</v>
      </c>
      <c r="BO66" s="323">
        <f>AF66*$G66</f>
        <v>0</v>
      </c>
      <c r="BP66" s="321">
        <f>N66*$H66</f>
        <v>0</v>
      </c>
      <c r="BQ66" s="321">
        <f>P66*$H66</f>
        <v>0</v>
      </c>
      <c r="BR66" s="321">
        <f>R66*$H66</f>
        <v>0</v>
      </c>
      <c r="BS66" s="321">
        <f>T66*$H66</f>
        <v>0</v>
      </c>
      <c r="BT66" s="321">
        <f>V66*$H66</f>
        <v>0</v>
      </c>
      <c r="BU66" s="321">
        <f>X66*$H66</f>
        <v>0</v>
      </c>
      <c r="BV66" s="321">
        <f>Z66*$H66</f>
        <v>0</v>
      </c>
      <c r="BW66" s="321">
        <f>AB66*$H66</f>
        <v>0</v>
      </c>
      <c r="BX66" s="321">
        <f>AD66*$H66</f>
        <v>0</v>
      </c>
      <c r="BY66" s="323">
        <f>AF66*$H66</f>
        <v>0</v>
      </c>
      <c r="BZ66" s="321">
        <f>N66*$I66</f>
        <v>0</v>
      </c>
      <c r="CA66" s="321">
        <f>P66*$I66</f>
        <v>0</v>
      </c>
      <c r="CB66" s="321">
        <f>R66*$I66</f>
        <v>0</v>
      </c>
      <c r="CC66" s="321">
        <f>T66*$I66</f>
        <v>0</v>
      </c>
      <c r="CD66" s="321">
        <f>V66*$I66</f>
        <v>0</v>
      </c>
      <c r="CE66" s="321">
        <f>X66*$I66</f>
        <v>0</v>
      </c>
      <c r="CF66" s="321">
        <f>Z66*$I66</f>
        <v>0</v>
      </c>
      <c r="CG66" s="321">
        <f>AB66*$I66</f>
        <v>0</v>
      </c>
      <c r="CH66" s="321">
        <f>AD66*$I66</f>
        <v>0</v>
      </c>
      <c r="CI66" s="323">
        <f>AF66*$I66</f>
        <v>0</v>
      </c>
      <c r="CJ66" s="321">
        <f>N66*$J66</f>
        <v>0</v>
      </c>
      <c r="CK66" s="321">
        <f>P66*$J66</f>
        <v>0</v>
      </c>
      <c r="CL66" s="321">
        <f>R66*$J66</f>
        <v>0</v>
      </c>
      <c r="CM66" s="321">
        <f>T66*$J66</f>
        <v>0</v>
      </c>
      <c r="CN66" s="321">
        <f>V66*$J66</f>
        <v>0</v>
      </c>
      <c r="CO66" s="321">
        <f>X66*$J66</f>
        <v>0</v>
      </c>
      <c r="CP66" s="321">
        <f>Z66*$J66</f>
        <v>0</v>
      </c>
      <c r="CQ66" s="321">
        <f>AB66*$J66</f>
        <v>0</v>
      </c>
      <c r="CR66" s="321">
        <f>AD66*$J66</f>
        <v>0</v>
      </c>
      <c r="CS66" s="323">
        <f>AF66*$J66</f>
        <v>0</v>
      </c>
      <c r="CT66" s="321">
        <f>N66*$K66</f>
        <v>0</v>
      </c>
      <c r="CU66" s="321">
        <f>P66*$K66</f>
        <v>0</v>
      </c>
      <c r="CV66" s="321">
        <f>R66*$K66</f>
        <v>0</v>
      </c>
      <c r="CW66" s="321">
        <f>T66*$K66</f>
        <v>0</v>
      </c>
      <c r="CX66" s="321">
        <f>V66*$K66</f>
        <v>0</v>
      </c>
      <c r="CY66" s="321">
        <f>X66*$K66</f>
        <v>0</v>
      </c>
      <c r="CZ66" s="321">
        <f>Z66*$K66</f>
        <v>0</v>
      </c>
      <c r="DA66" s="321">
        <f>AB66*$K66</f>
        <v>0</v>
      </c>
      <c r="DB66" s="321">
        <f>AD66*$K66</f>
        <v>0</v>
      </c>
      <c r="DC66" s="323">
        <f>AF66*$K66</f>
        <v>0</v>
      </c>
      <c r="DD66" s="321">
        <f>N66*$L66</f>
        <v>0</v>
      </c>
      <c r="DE66" s="321">
        <f>P66*$L66</f>
        <v>0</v>
      </c>
      <c r="DF66" s="321">
        <f>R66*$L66</f>
        <v>0</v>
      </c>
      <c r="DG66" s="321">
        <f>T66*$L66</f>
        <v>0</v>
      </c>
      <c r="DH66" s="321">
        <f>V66*$L66</f>
        <v>0</v>
      </c>
      <c r="DI66" s="321">
        <f>X66*$L66</f>
        <v>0</v>
      </c>
      <c r="DJ66" s="321">
        <f>Z66*$L66</f>
        <v>0</v>
      </c>
      <c r="DK66" s="321">
        <f>AB66*$L66</f>
        <v>0</v>
      </c>
      <c r="DL66" s="321">
        <f>AD66*$L66</f>
        <v>0</v>
      </c>
      <c r="DM66" s="323">
        <f>AF66*$L66</f>
        <v>0</v>
      </c>
      <c r="DN66" s="321">
        <f>N66*$M66</f>
        <v>0</v>
      </c>
      <c r="DO66" s="321">
        <f>P66*$M66</f>
        <v>0</v>
      </c>
      <c r="DP66" s="321">
        <f>R66*$M66</f>
        <v>0</v>
      </c>
      <c r="DQ66" s="321">
        <f>T66*$M66</f>
        <v>0</v>
      </c>
      <c r="DR66" s="321">
        <f>V66*$M66</f>
        <v>0</v>
      </c>
      <c r="DS66" s="321">
        <f>X66*$M66</f>
        <v>0</v>
      </c>
      <c r="DT66" s="321">
        <f>Z66*$M66</f>
        <v>0</v>
      </c>
      <c r="DU66" s="321">
        <f>AB66*$M66</f>
        <v>0</v>
      </c>
      <c r="DV66" s="321">
        <f>AD66*$M66</f>
        <v>0</v>
      </c>
      <c r="DW66" s="323">
        <f>AF66*$M66</f>
        <v>0</v>
      </c>
      <c r="DX66" s="321">
        <v>3</v>
      </c>
      <c r="DY66" s="69">
        <f t="shared" si="94"/>
        <v>41</v>
      </c>
      <c r="DZ66" s="321">
        <f t="shared" ref="DZ66:DZ98" si="242">IF(C66="m",SUM(N66+P66+R66+T66+V66+X66+Z66+AB66+AD66+AF66),0)</f>
        <v>0</v>
      </c>
      <c r="EA66" s="321">
        <f t="shared" si="170"/>
        <v>0</v>
      </c>
      <c r="EB66" s="321">
        <f t="shared" si="213"/>
        <v>0</v>
      </c>
      <c r="EC66" s="324"/>
      <c r="ED66" s="321">
        <f t="shared" si="214"/>
        <v>0</v>
      </c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</row>
    <row r="67" spans="1:328" ht="15" x14ac:dyDescent="0.25">
      <c r="A67" s="209" t="s">
        <v>660</v>
      </c>
      <c r="B67" s="801" t="s">
        <v>2339</v>
      </c>
      <c r="C67" s="182" t="s">
        <v>871</v>
      </c>
      <c r="D67" s="646" t="s">
        <v>563</v>
      </c>
      <c r="E67" s="889">
        <v>0.55000000000000004</v>
      </c>
      <c r="F67" s="625">
        <f>VLOOKUP(D67,prezzi,5,)</f>
        <v>154.36299</v>
      </c>
      <c r="G67" s="694"/>
      <c r="H67" s="58"/>
      <c r="I67" s="58"/>
      <c r="J67" s="58">
        <v>2</v>
      </c>
      <c r="K67" s="58">
        <v>2</v>
      </c>
      <c r="L67" s="58"/>
      <c r="M67" s="58"/>
      <c r="N67" s="658"/>
      <c r="O67" s="256"/>
      <c r="P67" s="256"/>
      <c r="Q67" s="256"/>
      <c r="R67" s="255"/>
      <c r="S67" s="256"/>
      <c r="T67" s="256"/>
      <c r="U67" s="256"/>
      <c r="V67" s="255"/>
      <c r="W67" s="256"/>
      <c r="X67" s="256"/>
      <c r="Y67" s="256"/>
      <c r="Z67" s="255"/>
      <c r="AA67" s="256"/>
      <c r="AB67" s="256"/>
      <c r="AC67" s="256"/>
      <c r="AD67" s="255"/>
      <c r="AE67" s="256"/>
      <c r="AF67" s="256"/>
      <c r="AH67" s="546">
        <f t="shared" si="212"/>
        <v>0</v>
      </c>
      <c r="AI67" s="66">
        <f>N67*$E67</f>
        <v>0</v>
      </c>
      <c r="AL67" s="706" t="str">
        <f t="shared" si="5"/>
        <v>-motore &lt;0,25 e &lt;3 Kw</v>
      </c>
      <c r="AM67" s="684">
        <f>N67*$F67</f>
        <v>0</v>
      </c>
      <c r="AN67" s="674">
        <f>P67*$E67</f>
        <v>0</v>
      </c>
      <c r="AO67" s="684">
        <f>P67*$F67</f>
        <v>0</v>
      </c>
      <c r="AP67" s="674">
        <f>R67*$E67</f>
        <v>0</v>
      </c>
      <c r="AQ67" s="684">
        <f>R67*$F67</f>
        <v>0</v>
      </c>
      <c r="AR67" s="674">
        <f>T67*$E67</f>
        <v>0</v>
      </c>
      <c r="AS67" s="684">
        <f>T67*$F67</f>
        <v>0</v>
      </c>
      <c r="AT67" s="674">
        <f>V67*$E67</f>
        <v>0</v>
      </c>
      <c r="AU67" s="684">
        <f>V67*$F67</f>
        <v>0</v>
      </c>
      <c r="AV67" s="674">
        <f>X67*$E67</f>
        <v>0</v>
      </c>
      <c r="AW67" s="684">
        <f>X67*$F67</f>
        <v>0</v>
      </c>
      <c r="AX67" s="674">
        <f>Z67*$E67</f>
        <v>0</v>
      </c>
      <c r="AY67" s="684">
        <f>Z67*$F67</f>
        <v>0</v>
      </c>
      <c r="AZ67" s="674">
        <f>AB67*$E67</f>
        <v>0</v>
      </c>
      <c r="BA67" s="684">
        <f>AB67*$F67</f>
        <v>0</v>
      </c>
      <c r="BB67" s="674">
        <f>AD67*$E67</f>
        <v>0</v>
      </c>
      <c r="BC67" s="684">
        <f>AD67*$F67</f>
        <v>0</v>
      </c>
      <c r="BD67" s="674">
        <f>AF67*$E67</f>
        <v>0</v>
      </c>
      <c r="BE67" s="684">
        <f>AF67*$F67</f>
        <v>0</v>
      </c>
      <c r="BF67" s="1">
        <f>N67*$G67</f>
        <v>0</v>
      </c>
      <c r="BG67" s="1">
        <f>P67*$G67</f>
        <v>0</v>
      </c>
      <c r="BH67" s="1">
        <f>R67*$G67</f>
        <v>0</v>
      </c>
      <c r="BI67" s="1">
        <f>T67*$G67</f>
        <v>0</v>
      </c>
      <c r="BJ67" s="1">
        <f>V67*$G67</f>
        <v>0</v>
      </c>
      <c r="BK67" s="1">
        <f>X67*$G67</f>
        <v>0</v>
      </c>
      <c r="BL67" s="1">
        <f>Z67*$G67</f>
        <v>0</v>
      </c>
      <c r="BM67" s="1">
        <f>AB67*$G67</f>
        <v>0</v>
      </c>
      <c r="BN67" s="1">
        <f>AD67*$G67</f>
        <v>0</v>
      </c>
      <c r="BO67" s="69">
        <f>AF67*$G67</f>
        <v>0</v>
      </c>
      <c r="BP67" s="1">
        <f>N67*$H67</f>
        <v>0</v>
      </c>
      <c r="BQ67" s="1">
        <f>P67*$H67</f>
        <v>0</v>
      </c>
      <c r="BR67" s="1">
        <f>R67*$H67</f>
        <v>0</v>
      </c>
      <c r="BS67" s="1">
        <f>T67*$H67</f>
        <v>0</v>
      </c>
      <c r="BT67" s="1">
        <f>V67*$H67</f>
        <v>0</v>
      </c>
      <c r="BU67" s="1">
        <f>X67*$H67</f>
        <v>0</v>
      </c>
      <c r="BV67" s="1">
        <f>Z67*$H67</f>
        <v>0</v>
      </c>
      <c r="BW67" s="1">
        <f>AB67*$H67</f>
        <v>0</v>
      </c>
      <c r="BX67" s="1">
        <f>AD67*$H67</f>
        <v>0</v>
      </c>
      <c r="BY67" s="69">
        <f>AF67*$H67</f>
        <v>0</v>
      </c>
      <c r="BZ67" s="1">
        <f>N67*$I67</f>
        <v>0</v>
      </c>
      <c r="CA67" s="1">
        <f>P67*$I67</f>
        <v>0</v>
      </c>
      <c r="CB67" s="1">
        <f>R67*$I67</f>
        <v>0</v>
      </c>
      <c r="CC67" s="1">
        <f>T67*$I67</f>
        <v>0</v>
      </c>
      <c r="CD67" s="1">
        <f>V67*$I67</f>
        <v>0</v>
      </c>
      <c r="CE67" s="1">
        <f>X67*$I67</f>
        <v>0</v>
      </c>
      <c r="CF67" s="1">
        <f>Z67*$I67</f>
        <v>0</v>
      </c>
      <c r="CG67" s="1">
        <f>AB67*$I67</f>
        <v>0</v>
      </c>
      <c r="CH67" s="1">
        <f>AD67*$I67</f>
        <v>0</v>
      </c>
      <c r="CI67" s="69">
        <f>AF67*$I67</f>
        <v>0</v>
      </c>
      <c r="CJ67" s="1">
        <f>N67*$J67</f>
        <v>0</v>
      </c>
      <c r="CK67" s="1">
        <f>P67*$J67</f>
        <v>0</v>
      </c>
      <c r="CL67" s="1">
        <f>R67*$J67</f>
        <v>0</v>
      </c>
      <c r="CM67" s="1">
        <f>T67*$J67</f>
        <v>0</v>
      </c>
      <c r="CN67" s="1">
        <f>V67*$J67</f>
        <v>0</v>
      </c>
      <c r="CO67" s="1">
        <f>X67*$J67</f>
        <v>0</v>
      </c>
      <c r="CP67" s="1">
        <f>Z67*$J67</f>
        <v>0</v>
      </c>
      <c r="CQ67" s="1">
        <f>AB67*$J67</f>
        <v>0</v>
      </c>
      <c r="CR67" s="1">
        <f>AD67*$J67</f>
        <v>0</v>
      </c>
      <c r="CS67" s="69">
        <f>AF67*$J67</f>
        <v>0</v>
      </c>
      <c r="CT67" s="1">
        <f>N67*$K67</f>
        <v>0</v>
      </c>
      <c r="CU67" s="1">
        <f>P67*$K67</f>
        <v>0</v>
      </c>
      <c r="CV67" s="1">
        <f>R67*$K67</f>
        <v>0</v>
      </c>
      <c r="CW67" s="1">
        <f>T67*$K67</f>
        <v>0</v>
      </c>
      <c r="CX67" s="1">
        <f>V67*$K67</f>
        <v>0</v>
      </c>
      <c r="CY67" s="1">
        <f>X67*$K67</f>
        <v>0</v>
      </c>
      <c r="CZ67" s="1">
        <f>Z67*$K67</f>
        <v>0</v>
      </c>
      <c r="DA67" s="1">
        <f>AB67*$K67</f>
        <v>0</v>
      </c>
      <c r="DB67" s="1">
        <f>AD67*$K67</f>
        <v>0</v>
      </c>
      <c r="DC67" s="69">
        <f>AF67*$K67</f>
        <v>0</v>
      </c>
      <c r="DD67" s="1">
        <f>N67*$L67</f>
        <v>0</v>
      </c>
      <c r="DE67" s="1">
        <f>P67*$L67</f>
        <v>0</v>
      </c>
      <c r="DF67" s="1">
        <f>R67*$L67</f>
        <v>0</v>
      </c>
      <c r="DG67" s="1">
        <f>T67*$L67</f>
        <v>0</v>
      </c>
      <c r="DH67" s="1">
        <f>V67*$L67</f>
        <v>0</v>
      </c>
      <c r="DI67" s="1">
        <f>X67*$L67</f>
        <v>0</v>
      </c>
      <c r="DJ67" s="1">
        <f>Z67*$L67</f>
        <v>0</v>
      </c>
      <c r="DK67" s="1">
        <f>AB67*$L67</f>
        <v>0</v>
      </c>
      <c r="DL67" s="1">
        <f>AD67*$L67</f>
        <v>0</v>
      </c>
      <c r="DM67" s="69">
        <f>AF67*$L67</f>
        <v>0</v>
      </c>
      <c r="DN67" s="1">
        <f>N67*$M67</f>
        <v>0</v>
      </c>
      <c r="DO67" s="1">
        <f>P67*$M67</f>
        <v>0</v>
      </c>
      <c r="DP67" s="1">
        <f>R67*$M67</f>
        <v>0</v>
      </c>
      <c r="DQ67" s="1">
        <f>T67*$M67</f>
        <v>0</v>
      </c>
      <c r="DR67" s="1">
        <f>V67*$M67</f>
        <v>0</v>
      </c>
      <c r="DS67" s="1">
        <f>X67*$M67</f>
        <v>0</v>
      </c>
      <c r="DT67" s="1">
        <f>Z67*$M67</f>
        <v>0</v>
      </c>
      <c r="DU67" s="1">
        <f>AB67*$M67</f>
        <v>0</v>
      </c>
      <c r="DV67" s="1">
        <f>AD67*$M67</f>
        <v>0</v>
      </c>
      <c r="DW67" s="69">
        <f>AF67*$M67</f>
        <v>0</v>
      </c>
      <c r="DX67" s="1">
        <v>2</v>
      </c>
      <c r="DY67" s="69">
        <f t="shared" si="94"/>
        <v>42</v>
      </c>
      <c r="DZ67" s="1">
        <f t="shared" si="242"/>
        <v>0</v>
      </c>
      <c r="EA67" s="1">
        <f t="shared" si="170"/>
        <v>0</v>
      </c>
      <c r="EB67" s="1">
        <f t="shared" si="213"/>
        <v>0</v>
      </c>
      <c r="ED67" s="285">
        <f t="shared" si="214"/>
        <v>0</v>
      </c>
    </row>
    <row r="68" spans="1:328" s="321" customFormat="1" ht="15" hidden="1" x14ac:dyDescent="0.25">
      <c r="A68" s="325" t="s">
        <v>660</v>
      </c>
      <c r="B68" s="801" t="s">
        <v>2339</v>
      </c>
      <c r="C68" s="326" t="s">
        <v>872</v>
      </c>
      <c r="D68" s="651" t="s">
        <v>697</v>
      </c>
      <c r="E68" s="889">
        <v>0</v>
      </c>
      <c r="F68" s="631">
        <f>VLOOKUP(D68,prezzi,5,)</f>
        <v>0</v>
      </c>
      <c r="G68" s="697"/>
      <c r="H68" s="522"/>
      <c r="I68" s="522"/>
      <c r="J68" s="522">
        <v>0</v>
      </c>
      <c r="K68" s="522">
        <v>1</v>
      </c>
      <c r="L68" s="522"/>
      <c r="M68" s="522"/>
      <c r="N68" s="663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256"/>
      <c r="AD68" s="320"/>
      <c r="AE68" s="256"/>
      <c r="AF68" s="320"/>
      <c r="AG68" s="324"/>
      <c r="AH68" s="546">
        <f t="shared" si="212"/>
        <v>0</v>
      </c>
      <c r="AI68" s="322">
        <f>N68*$E68</f>
        <v>0</v>
      </c>
      <c r="AJ68" s="322"/>
      <c r="AK68" s="322"/>
      <c r="AL68" s="706" t="str">
        <f t="shared" si="5"/>
        <v>-valvola monostabile</v>
      </c>
      <c r="AM68" s="685">
        <f>N68*$F68</f>
        <v>0</v>
      </c>
      <c r="AN68" s="676">
        <f>P68*$E68</f>
        <v>0</v>
      </c>
      <c r="AO68" s="685">
        <f>P68*$F68</f>
        <v>0</v>
      </c>
      <c r="AP68" s="676">
        <f>R68*$E68</f>
        <v>0</v>
      </c>
      <c r="AQ68" s="685">
        <f>R68*$F68</f>
        <v>0</v>
      </c>
      <c r="AR68" s="676">
        <f>T68*$E68</f>
        <v>0</v>
      </c>
      <c r="AS68" s="685">
        <f>T68*$F68</f>
        <v>0</v>
      </c>
      <c r="AT68" s="676">
        <f>V68*$E68</f>
        <v>0</v>
      </c>
      <c r="AU68" s="685">
        <f>V68*$F68</f>
        <v>0</v>
      </c>
      <c r="AV68" s="676">
        <f>X68*$E68</f>
        <v>0</v>
      </c>
      <c r="AW68" s="685">
        <f>X68*$F68</f>
        <v>0</v>
      </c>
      <c r="AX68" s="676">
        <f>Z68*$E68</f>
        <v>0</v>
      </c>
      <c r="AY68" s="685">
        <f>Z68*$F68</f>
        <v>0</v>
      </c>
      <c r="AZ68" s="676">
        <f>AB68*$E68</f>
        <v>0</v>
      </c>
      <c r="BA68" s="685">
        <f>AB68*$F68</f>
        <v>0</v>
      </c>
      <c r="BB68" s="676">
        <f>AD68*$E68</f>
        <v>0</v>
      </c>
      <c r="BC68" s="685">
        <f>AD68*$F68</f>
        <v>0</v>
      </c>
      <c r="BD68" s="676">
        <f>AF68*$E68</f>
        <v>0</v>
      </c>
      <c r="BE68" s="685">
        <f>AF68*$F68</f>
        <v>0</v>
      </c>
      <c r="BF68" s="321">
        <f>N68*$G68</f>
        <v>0</v>
      </c>
      <c r="BG68" s="321">
        <f>P68*$G68</f>
        <v>0</v>
      </c>
      <c r="BH68" s="321">
        <f>R68*$G68</f>
        <v>0</v>
      </c>
      <c r="BI68" s="321">
        <f>T68*$G68</f>
        <v>0</v>
      </c>
      <c r="BJ68" s="321">
        <f>V68*$G68</f>
        <v>0</v>
      </c>
      <c r="BK68" s="321">
        <f>X68*$G68</f>
        <v>0</v>
      </c>
      <c r="BL68" s="321">
        <f>Z68*$G68</f>
        <v>0</v>
      </c>
      <c r="BM68" s="321">
        <f>AB68*$G68</f>
        <v>0</v>
      </c>
      <c r="BN68" s="321">
        <f>AD68*$G68</f>
        <v>0</v>
      </c>
      <c r="BO68" s="323">
        <f>AF68*$G68</f>
        <v>0</v>
      </c>
      <c r="BP68" s="321">
        <f>N68*$H68</f>
        <v>0</v>
      </c>
      <c r="BQ68" s="321">
        <f>P68*$H68</f>
        <v>0</v>
      </c>
      <c r="BR68" s="321">
        <f>R68*$H68</f>
        <v>0</v>
      </c>
      <c r="BS68" s="321">
        <f>T68*$H68</f>
        <v>0</v>
      </c>
      <c r="BT68" s="321">
        <f>V68*$H68</f>
        <v>0</v>
      </c>
      <c r="BU68" s="321">
        <f>X68*$H68</f>
        <v>0</v>
      </c>
      <c r="BV68" s="321">
        <f>Z68*$H68</f>
        <v>0</v>
      </c>
      <c r="BW68" s="321">
        <f>AB68*$H68</f>
        <v>0</v>
      </c>
      <c r="BX68" s="321">
        <f>AD68*$H68</f>
        <v>0</v>
      </c>
      <c r="BY68" s="323">
        <f>AF68*$H68</f>
        <v>0</v>
      </c>
      <c r="BZ68" s="321">
        <f>N68*$I68</f>
        <v>0</v>
      </c>
      <c r="CA68" s="321">
        <f>P68*$I68</f>
        <v>0</v>
      </c>
      <c r="CB68" s="321">
        <f>R68*$I68</f>
        <v>0</v>
      </c>
      <c r="CC68" s="321">
        <f>T68*$I68</f>
        <v>0</v>
      </c>
      <c r="CD68" s="321">
        <f>V68*$I68</f>
        <v>0</v>
      </c>
      <c r="CE68" s="321">
        <f>X68*$I68</f>
        <v>0</v>
      </c>
      <c r="CF68" s="321">
        <f>Z68*$I68</f>
        <v>0</v>
      </c>
      <c r="CG68" s="321">
        <f>AB68*$I68</f>
        <v>0</v>
      </c>
      <c r="CH68" s="321">
        <f>AD68*$I68</f>
        <v>0</v>
      </c>
      <c r="CI68" s="323">
        <f>AF68*$I68</f>
        <v>0</v>
      </c>
      <c r="CJ68" s="321">
        <f>N68*$J68</f>
        <v>0</v>
      </c>
      <c r="CK68" s="321">
        <f>P68*$J68</f>
        <v>0</v>
      </c>
      <c r="CL68" s="321">
        <f>R68*$J68</f>
        <v>0</v>
      </c>
      <c r="CM68" s="321">
        <f>T68*$J68</f>
        <v>0</v>
      </c>
      <c r="CN68" s="321">
        <f>V68*$J68</f>
        <v>0</v>
      </c>
      <c r="CO68" s="321">
        <f>X68*$J68</f>
        <v>0</v>
      </c>
      <c r="CP68" s="321">
        <f>Z68*$J68</f>
        <v>0</v>
      </c>
      <c r="CQ68" s="321">
        <f>AB68*$J68</f>
        <v>0</v>
      </c>
      <c r="CR68" s="321">
        <f>AD68*$J68</f>
        <v>0</v>
      </c>
      <c r="CS68" s="323">
        <f>AF68*$J68</f>
        <v>0</v>
      </c>
      <c r="CT68" s="321">
        <f>N68*$K68</f>
        <v>0</v>
      </c>
      <c r="CU68" s="321">
        <f>P68*$K68</f>
        <v>0</v>
      </c>
      <c r="CV68" s="321">
        <f>R68*$K68</f>
        <v>0</v>
      </c>
      <c r="CW68" s="321">
        <f>T68*$K68</f>
        <v>0</v>
      </c>
      <c r="CX68" s="321">
        <f>V68*$K68</f>
        <v>0</v>
      </c>
      <c r="CY68" s="321">
        <f>X68*$K68</f>
        <v>0</v>
      </c>
      <c r="CZ68" s="321">
        <f>Z68*$K68</f>
        <v>0</v>
      </c>
      <c r="DA68" s="321">
        <f>AB68*$K68</f>
        <v>0</v>
      </c>
      <c r="DB68" s="321">
        <f>AD68*$K68</f>
        <v>0</v>
      </c>
      <c r="DC68" s="323">
        <f>AF68*$K68</f>
        <v>0</v>
      </c>
      <c r="DD68" s="321">
        <f>N68*$L68</f>
        <v>0</v>
      </c>
      <c r="DE68" s="321">
        <f>P68*$L68</f>
        <v>0</v>
      </c>
      <c r="DF68" s="321">
        <f>R68*$L68</f>
        <v>0</v>
      </c>
      <c r="DG68" s="321">
        <f>T68*$L68</f>
        <v>0</v>
      </c>
      <c r="DH68" s="321">
        <f>V68*$L68</f>
        <v>0</v>
      </c>
      <c r="DI68" s="321">
        <f>X68*$L68</f>
        <v>0</v>
      </c>
      <c r="DJ68" s="321">
        <f>Z68*$L68</f>
        <v>0</v>
      </c>
      <c r="DK68" s="321">
        <f>AB68*$L68</f>
        <v>0</v>
      </c>
      <c r="DL68" s="321">
        <f>AD68*$L68</f>
        <v>0</v>
      </c>
      <c r="DM68" s="323">
        <f>AF68*$L68</f>
        <v>0</v>
      </c>
      <c r="DN68" s="321">
        <f>N68*$M68</f>
        <v>0</v>
      </c>
      <c r="DO68" s="321">
        <f>P68*$M68</f>
        <v>0</v>
      </c>
      <c r="DP68" s="321">
        <f>R68*$M68</f>
        <v>0</v>
      </c>
      <c r="DQ68" s="321">
        <f>T68*$M68</f>
        <v>0</v>
      </c>
      <c r="DR68" s="321">
        <f>V68*$M68</f>
        <v>0</v>
      </c>
      <c r="DS68" s="321">
        <f>X68*$M68</f>
        <v>0</v>
      </c>
      <c r="DT68" s="321">
        <f>Z68*$M68</f>
        <v>0</v>
      </c>
      <c r="DU68" s="321">
        <f>AB68*$M68</f>
        <v>0</v>
      </c>
      <c r="DV68" s="321">
        <f>AD68*$M68</f>
        <v>0</v>
      </c>
      <c r="DW68" s="323">
        <f>AF68*$M68</f>
        <v>0</v>
      </c>
      <c r="DX68" s="321">
        <v>3</v>
      </c>
      <c r="DY68" s="69">
        <f t="shared" si="94"/>
        <v>43</v>
      </c>
      <c r="DZ68" s="321">
        <f t="shared" si="242"/>
        <v>0</v>
      </c>
      <c r="EA68" s="321">
        <f t="shared" si="170"/>
        <v>0</v>
      </c>
      <c r="EB68" s="321">
        <f t="shared" si="213"/>
        <v>0</v>
      </c>
      <c r="EC68" s="324"/>
      <c r="ED68" s="321">
        <f t="shared" si="214"/>
        <v>0</v>
      </c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</row>
    <row r="69" spans="1:328" x14ac:dyDescent="0.2">
      <c r="A69" s="209" t="s">
        <v>660</v>
      </c>
      <c r="B69" s="800" t="s">
        <v>2324</v>
      </c>
      <c r="C69" s="193" t="s">
        <v>872</v>
      </c>
      <c r="D69" s="647" t="s">
        <v>694</v>
      </c>
      <c r="E69" s="889"/>
      <c r="F69" s="625">
        <f t="shared" si="118"/>
        <v>0</v>
      </c>
      <c r="G69" s="694"/>
      <c r="H69" s="58"/>
      <c r="I69" s="58"/>
      <c r="J69" s="58">
        <v>2</v>
      </c>
      <c r="K69" s="58">
        <v>2</v>
      </c>
      <c r="L69" s="58"/>
      <c r="M69" s="58"/>
      <c r="N69" s="658"/>
      <c r="O69" s="256"/>
      <c r="P69" s="256"/>
      <c r="Q69" s="256"/>
      <c r="R69" s="255"/>
      <c r="S69" s="256"/>
      <c r="T69" s="256"/>
      <c r="U69" s="256"/>
      <c r="V69" s="255"/>
      <c r="W69" s="256"/>
      <c r="X69" s="256"/>
      <c r="Y69" s="256"/>
      <c r="Z69" s="255"/>
      <c r="AA69" s="256"/>
      <c r="AB69" s="256"/>
      <c r="AC69" s="256"/>
      <c r="AD69" s="255"/>
      <c r="AE69" s="256"/>
      <c r="AF69" s="256"/>
      <c r="AH69" s="546">
        <f t="shared" si="212"/>
        <v>0</v>
      </c>
      <c r="AI69" s="66">
        <f t="shared" si="211"/>
        <v>0</v>
      </c>
      <c r="AL69" s="706" t="str">
        <f t="shared" si="5"/>
        <v>-valvola bistabile + 2 finecorsa</v>
      </c>
      <c r="AM69" s="684">
        <f t="shared" si="189"/>
        <v>0</v>
      </c>
      <c r="AN69" s="674">
        <f t="shared" si="171"/>
        <v>0</v>
      </c>
      <c r="AO69" s="684">
        <f t="shared" si="190"/>
        <v>0</v>
      </c>
      <c r="AP69" s="674">
        <f t="shared" si="172"/>
        <v>0</v>
      </c>
      <c r="AQ69" s="684">
        <f t="shared" si="191"/>
        <v>0</v>
      </c>
      <c r="AR69" s="674">
        <f t="shared" si="173"/>
        <v>0</v>
      </c>
      <c r="AS69" s="684">
        <f t="shared" si="192"/>
        <v>0</v>
      </c>
      <c r="AT69" s="674">
        <f t="shared" si="174"/>
        <v>0</v>
      </c>
      <c r="AU69" s="684">
        <f t="shared" si="193"/>
        <v>0</v>
      </c>
      <c r="AV69" s="674">
        <f t="shared" si="175"/>
        <v>0</v>
      </c>
      <c r="AW69" s="684">
        <f t="shared" si="194"/>
        <v>0</v>
      </c>
      <c r="AX69" s="674">
        <f t="shared" si="176"/>
        <v>0</v>
      </c>
      <c r="AY69" s="684">
        <f t="shared" si="195"/>
        <v>0</v>
      </c>
      <c r="AZ69" s="674">
        <f t="shared" si="177"/>
        <v>0</v>
      </c>
      <c r="BA69" s="684">
        <f t="shared" si="196"/>
        <v>0</v>
      </c>
      <c r="BB69" s="674">
        <f t="shared" si="178"/>
        <v>0</v>
      </c>
      <c r="BC69" s="684">
        <f t="shared" si="197"/>
        <v>0</v>
      </c>
      <c r="BD69" s="674">
        <f t="shared" si="179"/>
        <v>0</v>
      </c>
      <c r="BE69" s="684">
        <f t="shared" si="128"/>
        <v>0</v>
      </c>
      <c r="BF69" s="1">
        <f t="shared" si="129"/>
        <v>0</v>
      </c>
      <c r="BG69" s="1">
        <f t="shared" si="130"/>
        <v>0</v>
      </c>
      <c r="BH69" s="1">
        <f t="shared" si="131"/>
        <v>0</v>
      </c>
      <c r="BI69" s="1">
        <f t="shared" si="132"/>
        <v>0</v>
      </c>
      <c r="BJ69" s="1">
        <f t="shared" si="133"/>
        <v>0</v>
      </c>
      <c r="BK69" s="1">
        <f t="shared" si="134"/>
        <v>0</v>
      </c>
      <c r="BL69" s="1">
        <f t="shared" si="135"/>
        <v>0</v>
      </c>
      <c r="BM69" s="1">
        <f t="shared" si="136"/>
        <v>0</v>
      </c>
      <c r="BN69" s="1">
        <f t="shared" si="137"/>
        <v>0</v>
      </c>
      <c r="BO69" s="69">
        <f t="shared" si="138"/>
        <v>0</v>
      </c>
      <c r="BP69" s="1">
        <f t="shared" si="198"/>
        <v>0</v>
      </c>
      <c r="BQ69" s="1">
        <f t="shared" si="215"/>
        <v>0</v>
      </c>
      <c r="BR69" s="1">
        <f t="shared" si="216"/>
        <v>0</v>
      </c>
      <c r="BS69" s="1">
        <f t="shared" si="217"/>
        <v>0</v>
      </c>
      <c r="BT69" s="1">
        <f t="shared" si="218"/>
        <v>0</v>
      </c>
      <c r="BU69" s="1">
        <f t="shared" si="219"/>
        <v>0</v>
      </c>
      <c r="BV69" s="1">
        <f t="shared" si="220"/>
        <v>0</v>
      </c>
      <c r="BW69" s="1">
        <f t="shared" si="221"/>
        <v>0</v>
      </c>
      <c r="BX69" s="1">
        <f t="shared" si="222"/>
        <v>0</v>
      </c>
      <c r="BY69" s="69">
        <f t="shared" si="223"/>
        <v>0</v>
      </c>
      <c r="BZ69" s="1">
        <f t="shared" si="149"/>
        <v>0</v>
      </c>
      <c r="CA69" s="1">
        <f t="shared" si="150"/>
        <v>0</v>
      </c>
      <c r="CB69" s="1">
        <f t="shared" si="151"/>
        <v>0</v>
      </c>
      <c r="CC69" s="1">
        <f t="shared" si="152"/>
        <v>0</v>
      </c>
      <c r="CD69" s="1">
        <f t="shared" si="153"/>
        <v>0</v>
      </c>
      <c r="CE69" s="1">
        <f t="shared" si="154"/>
        <v>0</v>
      </c>
      <c r="CF69" s="1">
        <f t="shared" si="155"/>
        <v>0</v>
      </c>
      <c r="CG69" s="1">
        <f t="shared" si="156"/>
        <v>0</v>
      </c>
      <c r="CH69" s="1">
        <f t="shared" si="157"/>
        <v>0</v>
      </c>
      <c r="CI69" s="69">
        <f t="shared" si="158"/>
        <v>0</v>
      </c>
      <c r="CJ69" s="1">
        <f t="shared" si="159"/>
        <v>0</v>
      </c>
      <c r="CK69" s="1">
        <f t="shared" si="180"/>
        <v>0</v>
      </c>
      <c r="CL69" s="1">
        <f t="shared" si="181"/>
        <v>0</v>
      </c>
      <c r="CM69" s="1">
        <f t="shared" si="182"/>
        <v>0</v>
      </c>
      <c r="CN69" s="1">
        <f t="shared" si="183"/>
        <v>0</v>
      </c>
      <c r="CO69" s="1">
        <f t="shared" si="184"/>
        <v>0</v>
      </c>
      <c r="CP69" s="1">
        <f t="shared" si="185"/>
        <v>0</v>
      </c>
      <c r="CQ69" s="1">
        <f t="shared" si="186"/>
        <v>0</v>
      </c>
      <c r="CR69" s="1">
        <f t="shared" si="187"/>
        <v>0</v>
      </c>
      <c r="CS69" s="69">
        <f t="shared" si="188"/>
        <v>0</v>
      </c>
      <c r="CT69" s="1">
        <f t="shared" si="208"/>
        <v>0</v>
      </c>
      <c r="CU69" s="1">
        <f t="shared" si="224"/>
        <v>0</v>
      </c>
      <c r="CV69" s="1">
        <f t="shared" si="225"/>
        <v>0</v>
      </c>
      <c r="CW69" s="1">
        <f t="shared" si="226"/>
        <v>0</v>
      </c>
      <c r="CX69" s="1">
        <f t="shared" si="227"/>
        <v>0</v>
      </c>
      <c r="CY69" s="1">
        <f t="shared" si="228"/>
        <v>0</v>
      </c>
      <c r="CZ69" s="1">
        <f t="shared" si="229"/>
        <v>0</v>
      </c>
      <c r="DA69" s="1">
        <f t="shared" si="230"/>
        <v>0</v>
      </c>
      <c r="DB69" s="1">
        <f t="shared" si="231"/>
        <v>0</v>
      </c>
      <c r="DC69" s="69">
        <f t="shared" si="232"/>
        <v>0</v>
      </c>
      <c r="DD69" s="1">
        <f t="shared" si="209"/>
        <v>0</v>
      </c>
      <c r="DE69" s="1">
        <f t="shared" si="233"/>
        <v>0</v>
      </c>
      <c r="DF69" s="1">
        <f t="shared" si="234"/>
        <v>0</v>
      </c>
      <c r="DG69" s="1">
        <f t="shared" si="235"/>
        <v>0</v>
      </c>
      <c r="DH69" s="1">
        <f t="shared" si="236"/>
        <v>0</v>
      </c>
      <c r="DI69" s="1">
        <f t="shared" si="237"/>
        <v>0</v>
      </c>
      <c r="DJ69" s="1">
        <f t="shared" si="238"/>
        <v>0</v>
      </c>
      <c r="DK69" s="1">
        <f t="shared" si="239"/>
        <v>0</v>
      </c>
      <c r="DL69" s="1">
        <f t="shared" si="240"/>
        <v>0</v>
      </c>
      <c r="DM69" s="69">
        <f t="shared" si="241"/>
        <v>0</v>
      </c>
      <c r="DN69" s="1">
        <f t="shared" si="160"/>
        <v>0</v>
      </c>
      <c r="DO69" s="1">
        <f t="shared" si="161"/>
        <v>0</v>
      </c>
      <c r="DP69" s="1">
        <f t="shared" si="162"/>
        <v>0</v>
      </c>
      <c r="DQ69" s="1">
        <f t="shared" si="163"/>
        <v>0</v>
      </c>
      <c r="DR69" s="1">
        <f t="shared" si="164"/>
        <v>0</v>
      </c>
      <c r="DS69" s="1">
        <f t="shared" si="165"/>
        <v>0</v>
      </c>
      <c r="DT69" s="1">
        <f t="shared" si="166"/>
        <v>0</v>
      </c>
      <c r="DU69" s="1">
        <f t="shared" si="167"/>
        <v>0</v>
      </c>
      <c r="DV69" s="1">
        <f t="shared" si="168"/>
        <v>0</v>
      </c>
      <c r="DW69" s="69">
        <f t="shared" si="169"/>
        <v>0</v>
      </c>
      <c r="DX69" s="1">
        <v>2</v>
      </c>
      <c r="DY69" s="69">
        <f t="shared" si="94"/>
        <v>44</v>
      </c>
      <c r="DZ69" s="1">
        <f t="shared" si="242"/>
        <v>0</v>
      </c>
      <c r="EA69" s="1">
        <f t="shared" si="170"/>
        <v>0</v>
      </c>
      <c r="EB69" s="1">
        <f t="shared" si="213"/>
        <v>0</v>
      </c>
      <c r="EC69" s="284">
        <v>1.5</v>
      </c>
      <c r="ED69" s="285">
        <f t="shared" si="214"/>
        <v>0</v>
      </c>
    </row>
    <row r="70" spans="1:328" ht="15" x14ac:dyDescent="0.25">
      <c r="A70" s="209" t="s">
        <v>660</v>
      </c>
      <c r="B70" s="801" t="s">
        <v>2323</v>
      </c>
      <c r="C70" s="182" t="s">
        <v>872</v>
      </c>
      <c r="D70" s="646" t="s">
        <v>695</v>
      </c>
      <c r="E70" s="889"/>
      <c r="F70" s="625">
        <f t="shared" si="118"/>
        <v>0</v>
      </c>
      <c r="G70" s="694"/>
      <c r="H70" s="58"/>
      <c r="I70" s="58"/>
      <c r="J70" s="58">
        <v>2</v>
      </c>
      <c r="K70" s="58">
        <v>1</v>
      </c>
      <c r="L70" s="58"/>
      <c r="M70" s="58"/>
      <c r="N70" s="658"/>
      <c r="O70" s="256"/>
      <c r="P70" s="256"/>
      <c r="Q70" s="256"/>
      <c r="R70" s="255"/>
      <c r="S70" s="256"/>
      <c r="T70" s="256"/>
      <c r="U70" s="256"/>
      <c r="V70" s="255"/>
      <c r="W70" s="256"/>
      <c r="X70" s="256"/>
      <c r="Y70" s="256"/>
      <c r="Z70" s="255"/>
      <c r="AA70" s="256"/>
      <c r="AB70" s="256"/>
      <c r="AC70" s="256"/>
      <c r="AD70" s="255"/>
      <c r="AE70" s="256"/>
      <c r="AF70" s="256"/>
      <c r="AH70" s="546">
        <f t="shared" si="212"/>
        <v>0</v>
      </c>
      <c r="AI70" s="66">
        <f t="shared" si="211"/>
        <v>0</v>
      </c>
      <c r="AL70" s="706" t="str">
        <f t="shared" si="5"/>
        <v>-valvola monostabile + 2 finecorsa</v>
      </c>
      <c r="AM70" s="684">
        <f t="shared" si="189"/>
        <v>0</v>
      </c>
      <c r="AN70" s="674">
        <f t="shared" si="171"/>
        <v>0</v>
      </c>
      <c r="AO70" s="684">
        <f t="shared" si="190"/>
        <v>0</v>
      </c>
      <c r="AP70" s="674">
        <f t="shared" si="172"/>
        <v>0</v>
      </c>
      <c r="AQ70" s="684">
        <f t="shared" si="191"/>
        <v>0</v>
      </c>
      <c r="AR70" s="674">
        <f t="shared" si="173"/>
        <v>0</v>
      </c>
      <c r="AS70" s="684">
        <f t="shared" si="192"/>
        <v>0</v>
      </c>
      <c r="AT70" s="674">
        <f t="shared" si="174"/>
        <v>0</v>
      </c>
      <c r="AU70" s="684">
        <f t="shared" si="193"/>
        <v>0</v>
      </c>
      <c r="AV70" s="674">
        <f t="shared" si="175"/>
        <v>0</v>
      </c>
      <c r="AW70" s="684">
        <f t="shared" si="194"/>
        <v>0</v>
      </c>
      <c r="AX70" s="674">
        <f t="shared" si="176"/>
        <v>0</v>
      </c>
      <c r="AY70" s="684">
        <f t="shared" si="195"/>
        <v>0</v>
      </c>
      <c r="AZ70" s="674">
        <f t="shared" si="177"/>
        <v>0</v>
      </c>
      <c r="BA70" s="684">
        <f t="shared" si="196"/>
        <v>0</v>
      </c>
      <c r="BB70" s="674">
        <f t="shared" si="178"/>
        <v>0</v>
      </c>
      <c r="BC70" s="684">
        <f t="shared" si="197"/>
        <v>0</v>
      </c>
      <c r="BD70" s="674">
        <f t="shared" si="179"/>
        <v>0</v>
      </c>
      <c r="BE70" s="684">
        <f t="shared" si="128"/>
        <v>0</v>
      </c>
      <c r="BF70" s="1">
        <f t="shared" si="129"/>
        <v>0</v>
      </c>
      <c r="BG70" s="1">
        <f t="shared" si="130"/>
        <v>0</v>
      </c>
      <c r="BH70" s="1">
        <f t="shared" si="131"/>
        <v>0</v>
      </c>
      <c r="BI70" s="1">
        <f t="shared" si="132"/>
        <v>0</v>
      </c>
      <c r="BJ70" s="1">
        <f t="shared" si="133"/>
        <v>0</v>
      </c>
      <c r="BK70" s="1">
        <f t="shared" si="134"/>
        <v>0</v>
      </c>
      <c r="BL70" s="1">
        <f t="shared" si="135"/>
        <v>0</v>
      </c>
      <c r="BM70" s="1">
        <f t="shared" si="136"/>
        <v>0</v>
      </c>
      <c r="BN70" s="1">
        <f t="shared" si="137"/>
        <v>0</v>
      </c>
      <c r="BO70" s="69">
        <f t="shared" si="138"/>
        <v>0</v>
      </c>
      <c r="BP70" s="1">
        <f t="shared" si="198"/>
        <v>0</v>
      </c>
      <c r="BQ70" s="1">
        <f t="shared" si="215"/>
        <v>0</v>
      </c>
      <c r="BR70" s="1">
        <f t="shared" si="216"/>
        <v>0</v>
      </c>
      <c r="BS70" s="1">
        <f t="shared" si="217"/>
        <v>0</v>
      </c>
      <c r="BT70" s="1">
        <f t="shared" si="218"/>
        <v>0</v>
      </c>
      <c r="BU70" s="1">
        <f t="shared" si="219"/>
        <v>0</v>
      </c>
      <c r="BV70" s="1">
        <f t="shared" si="220"/>
        <v>0</v>
      </c>
      <c r="BW70" s="1">
        <f t="shared" si="221"/>
        <v>0</v>
      </c>
      <c r="BX70" s="1">
        <f t="shared" si="222"/>
        <v>0</v>
      </c>
      <c r="BY70" s="69">
        <f t="shared" si="223"/>
        <v>0</v>
      </c>
      <c r="BZ70" s="1">
        <f t="shared" si="149"/>
        <v>0</v>
      </c>
      <c r="CA70" s="1">
        <f t="shared" si="150"/>
        <v>0</v>
      </c>
      <c r="CB70" s="1">
        <f t="shared" si="151"/>
        <v>0</v>
      </c>
      <c r="CC70" s="1">
        <f t="shared" si="152"/>
        <v>0</v>
      </c>
      <c r="CD70" s="1">
        <f t="shared" si="153"/>
        <v>0</v>
      </c>
      <c r="CE70" s="1">
        <f t="shared" si="154"/>
        <v>0</v>
      </c>
      <c r="CF70" s="1">
        <f t="shared" si="155"/>
        <v>0</v>
      </c>
      <c r="CG70" s="1">
        <f t="shared" si="156"/>
        <v>0</v>
      </c>
      <c r="CH70" s="1">
        <f t="shared" si="157"/>
        <v>0</v>
      </c>
      <c r="CI70" s="69">
        <f t="shared" si="158"/>
        <v>0</v>
      </c>
      <c r="CJ70" s="1">
        <f t="shared" si="159"/>
        <v>0</v>
      </c>
      <c r="CK70" s="1">
        <f t="shared" si="180"/>
        <v>0</v>
      </c>
      <c r="CL70" s="1">
        <f t="shared" si="181"/>
        <v>0</v>
      </c>
      <c r="CM70" s="1">
        <f t="shared" si="182"/>
        <v>0</v>
      </c>
      <c r="CN70" s="1">
        <f t="shared" si="183"/>
        <v>0</v>
      </c>
      <c r="CO70" s="1">
        <f t="shared" si="184"/>
        <v>0</v>
      </c>
      <c r="CP70" s="1">
        <f t="shared" si="185"/>
        <v>0</v>
      </c>
      <c r="CQ70" s="1">
        <f t="shared" si="186"/>
        <v>0</v>
      </c>
      <c r="CR70" s="1">
        <f t="shared" si="187"/>
        <v>0</v>
      </c>
      <c r="CS70" s="69">
        <f t="shared" si="188"/>
        <v>0</v>
      </c>
      <c r="CT70" s="1">
        <f t="shared" si="208"/>
        <v>0</v>
      </c>
      <c r="CU70" s="1">
        <f t="shared" si="224"/>
        <v>0</v>
      </c>
      <c r="CV70" s="1">
        <f t="shared" si="225"/>
        <v>0</v>
      </c>
      <c r="CW70" s="1">
        <f t="shared" si="226"/>
        <v>0</v>
      </c>
      <c r="CX70" s="1">
        <f t="shared" si="227"/>
        <v>0</v>
      </c>
      <c r="CY70" s="1">
        <f t="shared" si="228"/>
        <v>0</v>
      </c>
      <c r="CZ70" s="1">
        <f t="shared" si="229"/>
        <v>0</v>
      </c>
      <c r="DA70" s="1">
        <f t="shared" si="230"/>
        <v>0</v>
      </c>
      <c r="DB70" s="1">
        <f t="shared" si="231"/>
        <v>0</v>
      </c>
      <c r="DC70" s="69">
        <f t="shared" si="232"/>
        <v>0</v>
      </c>
      <c r="DD70" s="1">
        <f t="shared" si="209"/>
        <v>0</v>
      </c>
      <c r="DE70" s="1">
        <f t="shared" si="233"/>
        <v>0</v>
      </c>
      <c r="DF70" s="1">
        <f t="shared" si="234"/>
        <v>0</v>
      </c>
      <c r="DG70" s="1">
        <f t="shared" si="235"/>
        <v>0</v>
      </c>
      <c r="DH70" s="1">
        <f t="shared" si="236"/>
        <v>0</v>
      </c>
      <c r="DI70" s="1">
        <f t="shared" si="237"/>
        <v>0</v>
      </c>
      <c r="DJ70" s="1">
        <f t="shared" si="238"/>
        <v>0</v>
      </c>
      <c r="DK70" s="1">
        <f t="shared" si="239"/>
        <v>0</v>
      </c>
      <c r="DL70" s="1">
        <f t="shared" si="240"/>
        <v>0</v>
      </c>
      <c r="DM70" s="69">
        <f t="shared" si="241"/>
        <v>0</v>
      </c>
      <c r="DN70" s="1">
        <f t="shared" si="160"/>
        <v>0</v>
      </c>
      <c r="DO70" s="1">
        <f t="shared" si="161"/>
        <v>0</v>
      </c>
      <c r="DP70" s="1">
        <f t="shared" si="162"/>
        <v>0</v>
      </c>
      <c r="DQ70" s="1">
        <f t="shared" si="163"/>
        <v>0</v>
      </c>
      <c r="DR70" s="1">
        <f t="shared" si="164"/>
        <v>0</v>
      </c>
      <c r="DS70" s="1">
        <f t="shared" si="165"/>
        <v>0</v>
      </c>
      <c r="DT70" s="1">
        <f t="shared" si="166"/>
        <v>0</v>
      </c>
      <c r="DU70" s="1">
        <f t="shared" si="167"/>
        <v>0</v>
      </c>
      <c r="DV70" s="1">
        <f t="shared" si="168"/>
        <v>0</v>
      </c>
      <c r="DW70" s="69">
        <f t="shared" si="169"/>
        <v>0</v>
      </c>
      <c r="DX70" s="1">
        <v>2</v>
      </c>
      <c r="DY70" s="69">
        <f t="shared" si="94"/>
        <v>45</v>
      </c>
      <c r="DZ70" s="1">
        <f t="shared" si="242"/>
        <v>0</v>
      </c>
      <c r="EA70" s="1">
        <f t="shared" si="170"/>
        <v>0</v>
      </c>
      <c r="EB70" s="1">
        <f t="shared" si="213"/>
        <v>0</v>
      </c>
      <c r="EC70" s="284">
        <v>1.5</v>
      </c>
      <c r="ED70" s="285">
        <f t="shared" si="214"/>
        <v>0</v>
      </c>
    </row>
    <row r="71" spans="1:328" s="321" customFormat="1" ht="15" hidden="1" x14ac:dyDescent="0.25">
      <c r="A71" s="325" t="s">
        <v>660</v>
      </c>
      <c r="B71" s="801" t="s">
        <v>2323</v>
      </c>
      <c r="C71" s="326" t="s">
        <v>872</v>
      </c>
      <c r="D71" s="651" t="s">
        <v>695</v>
      </c>
      <c r="E71" s="889"/>
      <c r="F71" s="631">
        <f>VLOOKUP(D71,prezzi,5,)</f>
        <v>0</v>
      </c>
      <c r="G71" s="697"/>
      <c r="H71" s="522"/>
      <c r="I71" s="522"/>
      <c r="J71" s="522">
        <v>2</v>
      </c>
      <c r="K71" s="522">
        <v>1</v>
      </c>
      <c r="L71" s="522"/>
      <c r="M71" s="522"/>
      <c r="N71" s="663">
        <f>N70</f>
        <v>0</v>
      </c>
      <c r="O71" s="320"/>
      <c r="P71" s="320">
        <f>P70</f>
        <v>0</v>
      </c>
      <c r="Q71" s="320"/>
      <c r="R71" s="320">
        <f>R70</f>
        <v>0</v>
      </c>
      <c r="S71" s="320"/>
      <c r="T71" s="320">
        <f>T70</f>
        <v>0</v>
      </c>
      <c r="U71" s="320"/>
      <c r="V71" s="320">
        <f>V70</f>
        <v>0</v>
      </c>
      <c r="W71" s="320"/>
      <c r="X71" s="320">
        <f>X70</f>
        <v>0</v>
      </c>
      <c r="Y71" s="320"/>
      <c r="Z71" s="320">
        <f>Z70</f>
        <v>0</v>
      </c>
      <c r="AA71" s="320"/>
      <c r="AB71" s="320">
        <f>AB70</f>
        <v>0</v>
      </c>
      <c r="AC71" s="256"/>
      <c r="AD71" s="320">
        <f>AD70</f>
        <v>0</v>
      </c>
      <c r="AE71" s="256"/>
      <c r="AF71" s="320">
        <f>AF70</f>
        <v>0</v>
      </c>
      <c r="AG71" s="324"/>
      <c r="AH71" s="546">
        <f t="shared" si="212"/>
        <v>0</v>
      </c>
      <c r="AI71" s="322">
        <f>N71*$E71</f>
        <v>0</v>
      </c>
      <c r="AJ71" s="322"/>
      <c r="AK71" s="322"/>
      <c r="AL71" s="706" t="str">
        <f t="shared" si="5"/>
        <v>-valvola monostabile + 2 finecorsa</v>
      </c>
      <c r="AM71" s="685">
        <f>N71*$F71</f>
        <v>0</v>
      </c>
      <c r="AN71" s="676">
        <f>P71*$E71</f>
        <v>0</v>
      </c>
      <c r="AO71" s="685">
        <f>P71*$F71</f>
        <v>0</v>
      </c>
      <c r="AP71" s="676">
        <f>R71*$E71</f>
        <v>0</v>
      </c>
      <c r="AQ71" s="685">
        <f>R71*$F71</f>
        <v>0</v>
      </c>
      <c r="AR71" s="676">
        <f>T71*$E71</f>
        <v>0</v>
      </c>
      <c r="AS71" s="685">
        <f>T71*$F71</f>
        <v>0</v>
      </c>
      <c r="AT71" s="676">
        <f>V71*$E71</f>
        <v>0</v>
      </c>
      <c r="AU71" s="685">
        <f>V71*$F71</f>
        <v>0</v>
      </c>
      <c r="AV71" s="676">
        <f>X71*$E71</f>
        <v>0</v>
      </c>
      <c r="AW71" s="685">
        <f>X71*$F71</f>
        <v>0</v>
      </c>
      <c r="AX71" s="676">
        <f>Z71*$E71</f>
        <v>0</v>
      </c>
      <c r="AY71" s="685">
        <f>Z71*$F71</f>
        <v>0</v>
      </c>
      <c r="AZ71" s="676">
        <f>AB71*$E71</f>
        <v>0</v>
      </c>
      <c r="BA71" s="685">
        <f>AB71*$F71</f>
        <v>0</v>
      </c>
      <c r="BB71" s="676">
        <f>AD71*$E71</f>
        <v>0</v>
      </c>
      <c r="BC71" s="685">
        <f>AD71*$F71</f>
        <v>0</v>
      </c>
      <c r="BD71" s="676">
        <f>AF71*$E71</f>
        <v>0</v>
      </c>
      <c r="BE71" s="685">
        <f>AF71*$F71</f>
        <v>0</v>
      </c>
      <c r="BF71" s="321">
        <f>N71*$G71</f>
        <v>0</v>
      </c>
      <c r="BG71" s="321">
        <f>P71*$G71</f>
        <v>0</v>
      </c>
      <c r="BH71" s="321">
        <f>R71*$G71</f>
        <v>0</v>
      </c>
      <c r="BI71" s="321">
        <f>T71*$G71</f>
        <v>0</v>
      </c>
      <c r="BJ71" s="321">
        <f>V71*$G71</f>
        <v>0</v>
      </c>
      <c r="BK71" s="321">
        <f>X71*$G71</f>
        <v>0</v>
      </c>
      <c r="BL71" s="321">
        <f>Z71*$G71</f>
        <v>0</v>
      </c>
      <c r="BM71" s="321">
        <f>AB71*$G71</f>
        <v>0</v>
      </c>
      <c r="BN71" s="321">
        <f>AD71*$G71</f>
        <v>0</v>
      </c>
      <c r="BO71" s="323">
        <f>AF71*$G71</f>
        <v>0</v>
      </c>
      <c r="BP71" s="321">
        <f>N71*$H71</f>
        <v>0</v>
      </c>
      <c r="BQ71" s="321">
        <f>P71*$H71</f>
        <v>0</v>
      </c>
      <c r="BR71" s="321">
        <f>R71*$H71</f>
        <v>0</v>
      </c>
      <c r="BS71" s="321">
        <f>T71*$H71</f>
        <v>0</v>
      </c>
      <c r="BT71" s="321">
        <f>V71*$H71</f>
        <v>0</v>
      </c>
      <c r="BU71" s="321">
        <f>X71*$H71</f>
        <v>0</v>
      </c>
      <c r="BV71" s="321">
        <f>Z71*$H71</f>
        <v>0</v>
      </c>
      <c r="BW71" s="321">
        <f>AB71*$H71</f>
        <v>0</v>
      </c>
      <c r="BX71" s="321">
        <f>AD71*$H71</f>
        <v>0</v>
      </c>
      <c r="BY71" s="323">
        <f>AF71*$H71</f>
        <v>0</v>
      </c>
      <c r="BZ71" s="321">
        <f>N71*$I71</f>
        <v>0</v>
      </c>
      <c r="CA71" s="321">
        <f>P71*$I71</f>
        <v>0</v>
      </c>
      <c r="CB71" s="321">
        <f>R71*$I71</f>
        <v>0</v>
      </c>
      <c r="CC71" s="321">
        <f>T71*$I71</f>
        <v>0</v>
      </c>
      <c r="CD71" s="321">
        <f>V71*$I71</f>
        <v>0</v>
      </c>
      <c r="CE71" s="321">
        <f>X71*$I71</f>
        <v>0</v>
      </c>
      <c r="CF71" s="321">
        <f>Z71*$I71</f>
        <v>0</v>
      </c>
      <c r="CG71" s="321">
        <f>AB71*$I71</f>
        <v>0</v>
      </c>
      <c r="CH71" s="321">
        <f>AD71*$I71</f>
        <v>0</v>
      </c>
      <c r="CI71" s="323">
        <f>AF71*$I71</f>
        <v>0</v>
      </c>
      <c r="CJ71" s="321">
        <f>N71*$J71</f>
        <v>0</v>
      </c>
      <c r="CK71" s="321">
        <f>P71*$J71</f>
        <v>0</v>
      </c>
      <c r="CL71" s="321">
        <f>R71*$J71</f>
        <v>0</v>
      </c>
      <c r="CM71" s="321">
        <f>T71*$J71</f>
        <v>0</v>
      </c>
      <c r="CN71" s="321">
        <f>V71*$J71</f>
        <v>0</v>
      </c>
      <c r="CO71" s="321">
        <f>X71*$J71</f>
        <v>0</v>
      </c>
      <c r="CP71" s="321">
        <f>Z71*$J71</f>
        <v>0</v>
      </c>
      <c r="CQ71" s="321">
        <f>AB71*$J71</f>
        <v>0</v>
      </c>
      <c r="CR71" s="321">
        <f>AD71*$J71</f>
        <v>0</v>
      </c>
      <c r="CS71" s="323">
        <f>AF71*$J71</f>
        <v>0</v>
      </c>
      <c r="CT71" s="321">
        <f>N71*$K71</f>
        <v>0</v>
      </c>
      <c r="CU71" s="321">
        <f>P71*$K71</f>
        <v>0</v>
      </c>
      <c r="CV71" s="321">
        <f>R71*$K71</f>
        <v>0</v>
      </c>
      <c r="CW71" s="321">
        <f>T71*$K71</f>
        <v>0</v>
      </c>
      <c r="CX71" s="321">
        <f>V71*$K71</f>
        <v>0</v>
      </c>
      <c r="CY71" s="321">
        <f>X71*$K71</f>
        <v>0</v>
      </c>
      <c r="CZ71" s="321">
        <f>Z71*$K71</f>
        <v>0</v>
      </c>
      <c r="DA71" s="321">
        <f>AB71*$K71</f>
        <v>0</v>
      </c>
      <c r="DB71" s="321">
        <f>AD71*$K71</f>
        <v>0</v>
      </c>
      <c r="DC71" s="323">
        <f>AF71*$K71</f>
        <v>0</v>
      </c>
      <c r="DD71" s="321">
        <f>N71*$L71</f>
        <v>0</v>
      </c>
      <c r="DE71" s="321">
        <f>P71*$L71</f>
        <v>0</v>
      </c>
      <c r="DF71" s="321">
        <f>R71*$L71</f>
        <v>0</v>
      </c>
      <c r="DG71" s="321">
        <f>T71*$L71</f>
        <v>0</v>
      </c>
      <c r="DH71" s="321">
        <f>V71*$L71</f>
        <v>0</v>
      </c>
      <c r="DI71" s="321">
        <f>X71*$L71</f>
        <v>0</v>
      </c>
      <c r="DJ71" s="321">
        <f>Z71*$L71</f>
        <v>0</v>
      </c>
      <c r="DK71" s="321">
        <f>AB71*$L71</f>
        <v>0</v>
      </c>
      <c r="DL71" s="321">
        <f>AD71*$L71</f>
        <v>0</v>
      </c>
      <c r="DM71" s="323">
        <f>AF71*$L71</f>
        <v>0</v>
      </c>
      <c r="DN71" s="321">
        <f>N71*$M71</f>
        <v>0</v>
      </c>
      <c r="DO71" s="321">
        <f>P71*$M71</f>
        <v>0</v>
      </c>
      <c r="DP71" s="321">
        <f>R71*$M71</f>
        <v>0</v>
      </c>
      <c r="DQ71" s="321">
        <f>T71*$M71</f>
        <v>0</v>
      </c>
      <c r="DR71" s="321">
        <f>V71*$M71</f>
        <v>0</v>
      </c>
      <c r="DS71" s="321">
        <f>X71*$M71</f>
        <v>0</v>
      </c>
      <c r="DT71" s="321">
        <f>Z71*$M71</f>
        <v>0</v>
      </c>
      <c r="DU71" s="321">
        <f>AB71*$M71</f>
        <v>0</v>
      </c>
      <c r="DV71" s="321">
        <f>AD71*$M71</f>
        <v>0</v>
      </c>
      <c r="DW71" s="323">
        <f>AF71*$M71</f>
        <v>0</v>
      </c>
      <c r="DX71" s="321">
        <v>3</v>
      </c>
      <c r="DY71" s="69">
        <f t="shared" si="94"/>
        <v>46</v>
      </c>
      <c r="DZ71" s="321">
        <f t="shared" si="242"/>
        <v>0</v>
      </c>
      <c r="EA71" s="321">
        <f t="shared" si="170"/>
        <v>0</v>
      </c>
      <c r="EB71" s="321">
        <f t="shared" si="213"/>
        <v>0</v>
      </c>
      <c r="EC71" s="284">
        <v>1.5</v>
      </c>
      <c r="ED71" s="321">
        <f t="shared" si="214"/>
        <v>0</v>
      </c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</row>
    <row r="72" spans="1:328" ht="15" x14ac:dyDescent="0.25">
      <c r="A72" s="209" t="s">
        <v>660</v>
      </c>
      <c r="B72" s="801" t="s">
        <v>2325</v>
      </c>
      <c r="C72" s="182" t="s">
        <v>872</v>
      </c>
      <c r="D72" s="646" t="s">
        <v>697</v>
      </c>
      <c r="E72" s="889"/>
      <c r="F72" s="625">
        <f t="shared" si="118"/>
        <v>0</v>
      </c>
      <c r="G72" s="269"/>
      <c r="H72" s="58"/>
      <c r="I72" s="58"/>
      <c r="J72" s="58"/>
      <c r="K72" s="58">
        <v>1</v>
      </c>
      <c r="L72" s="58"/>
      <c r="M72" s="58"/>
      <c r="N72" s="658">
        <v>0</v>
      </c>
      <c r="O72" s="256"/>
      <c r="P72" s="256"/>
      <c r="Q72" s="256"/>
      <c r="R72" s="255"/>
      <c r="S72" s="256"/>
      <c r="T72" s="256"/>
      <c r="U72" s="256"/>
      <c r="V72" s="255"/>
      <c r="W72" s="256"/>
      <c r="X72" s="256"/>
      <c r="Y72" s="256"/>
      <c r="Z72" s="255"/>
      <c r="AA72" s="256"/>
      <c r="AB72" s="256"/>
      <c r="AC72" s="256"/>
      <c r="AD72" s="255"/>
      <c r="AE72" s="256"/>
      <c r="AF72" s="256"/>
      <c r="AH72" s="546">
        <f t="shared" si="212"/>
        <v>0</v>
      </c>
      <c r="AI72" s="66">
        <f t="shared" si="211"/>
        <v>0</v>
      </c>
      <c r="AL72" s="706" t="str">
        <f t="shared" si="5"/>
        <v>-valvola monostabile</v>
      </c>
      <c r="AM72" s="684">
        <f t="shared" si="189"/>
        <v>0</v>
      </c>
      <c r="AN72" s="674">
        <f t="shared" si="171"/>
        <v>0</v>
      </c>
      <c r="AO72" s="684">
        <f t="shared" si="190"/>
        <v>0</v>
      </c>
      <c r="AP72" s="674">
        <f t="shared" si="172"/>
        <v>0</v>
      </c>
      <c r="AQ72" s="684">
        <f t="shared" si="191"/>
        <v>0</v>
      </c>
      <c r="AR72" s="674">
        <f t="shared" si="173"/>
        <v>0</v>
      </c>
      <c r="AS72" s="684">
        <f t="shared" si="192"/>
        <v>0</v>
      </c>
      <c r="AT72" s="674">
        <f t="shared" si="174"/>
        <v>0</v>
      </c>
      <c r="AU72" s="684">
        <f t="shared" si="193"/>
        <v>0</v>
      </c>
      <c r="AV72" s="674">
        <f t="shared" si="175"/>
        <v>0</v>
      </c>
      <c r="AW72" s="684">
        <f t="shared" si="194"/>
        <v>0</v>
      </c>
      <c r="AX72" s="674">
        <f t="shared" si="176"/>
        <v>0</v>
      </c>
      <c r="AY72" s="684">
        <f t="shared" si="195"/>
        <v>0</v>
      </c>
      <c r="AZ72" s="674">
        <f t="shared" si="177"/>
        <v>0</v>
      </c>
      <c r="BA72" s="684">
        <f t="shared" si="196"/>
        <v>0</v>
      </c>
      <c r="BB72" s="674">
        <f t="shared" si="178"/>
        <v>0</v>
      </c>
      <c r="BC72" s="684">
        <f t="shared" si="197"/>
        <v>0</v>
      </c>
      <c r="BD72" s="674">
        <f t="shared" si="179"/>
        <v>0</v>
      </c>
      <c r="BE72" s="684">
        <f t="shared" si="128"/>
        <v>0</v>
      </c>
      <c r="BF72" s="1">
        <f t="shared" si="129"/>
        <v>0</v>
      </c>
      <c r="BG72" s="1">
        <f t="shared" si="130"/>
        <v>0</v>
      </c>
      <c r="BH72" s="1">
        <f t="shared" si="131"/>
        <v>0</v>
      </c>
      <c r="BI72" s="1">
        <f t="shared" si="132"/>
        <v>0</v>
      </c>
      <c r="BJ72" s="1">
        <f t="shared" si="133"/>
        <v>0</v>
      </c>
      <c r="BK72" s="1">
        <f t="shared" si="134"/>
        <v>0</v>
      </c>
      <c r="BL72" s="1">
        <f t="shared" si="135"/>
        <v>0</v>
      </c>
      <c r="BM72" s="1">
        <f t="shared" si="136"/>
        <v>0</v>
      </c>
      <c r="BN72" s="1">
        <f t="shared" si="137"/>
        <v>0</v>
      </c>
      <c r="BO72" s="69">
        <f t="shared" si="138"/>
        <v>0</v>
      </c>
      <c r="BP72" s="1">
        <f t="shared" si="198"/>
        <v>0</v>
      </c>
      <c r="BQ72" s="1">
        <f t="shared" si="215"/>
        <v>0</v>
      </c>
      <c r="BR72" s="1">
        <f t="shared" si="216"/>
        <v>0</v>
      </c>
      <c r="BS72" s="1">
        <f t="shared" si="217"/>
        <v>0</v>
      </c>
      <c r="BT72" s="1">
        <f t="shared" si="218"/>
        <v>0</v>
      </c>
      <c r="BU72" s="1">
        <f t="shared" si="219"/>
        <v>0</v>
      </c>
      <c r="BV72" s="1">
        <f t="shared" si="220"/>
        <v>0</v>
      </c>
      <c r="BW72" s="1">
        <f t="shared" si="221"/>
        <v>0</v>
      </c>
      <c r="BX72" s="1">
        <f t="shared" si="222"/>
        <v>0</v>
      </c>
      <c r="BY72" s="69">
        <f t="shared" si="223"/>
        <v>0</v>
      </c>
      <c r="BZ72" s="1">
        <f t="shared" si="149"/>
        <v>0</v>
      </c>
      <c r="CA72" s="1">
        <f t="shared" si="150"/>
        <v>0</v>
      </c>
      <c r="CB72" s="1">
        <f t="shared" si="151"/>
        <v>0</v>
      </c>
      <c r="CC72" s="1">
        <f t="shared" si="152"/>
        <v>0</v>
      </c>
      <c r="CD72" s="1">
        <f t="shared" si="153"/>
        <v>0</v>
      </c>
      <c r="CE72" s="1">
        <f t="shared" si="154"/>
        <v>0</v>
      </c>
      <c r="CF72" s="1">
        <f t="shared" si="155"/>
        <v>0</v>
      </c>
      <c r="CG72" s="1">
        <f t="shared" si="156"/>
        <v>0</v>
      </c>
      <c r="CH72" s="1">
        <f t="shared" si="157"/>
        <v>0</v>
      </c>
      <c r="CI72" s="69">
        <f t="shared" si="158"/>
        <v>0</v>
      </c>
      <c r="CJ72" s="1">
        <f t="shared" si="159"/>
        <v>0</v>
      </c>
      <c r="CK72" s="1">
        <f t="shared" si="180"/>
        <v>0</v>
      </c>
      <c r="CL72" s="1">
        <f t="shared" si="181"/>
        <v>0</v>
      </c>
      <c r="CM72" s="1">
        <f t="shared" si="182"/>
        <v>0</v>
      </c>
      <c r="CN72" s="1">
        <f t="shared" si="183"/>
        <v>0</v>
      </c>
      <c r="CO72" s="1">
        <f t="shared" si="184"/>
        <v>0</v>
      </c>
      <c r="CP72" s="1">
        <f t="shared" si="185"/>
        <v>0</v>
      </c>
      <c r="CQ72" s="1">
        <f t="shared" si="186"/>
        <v>0</v>
      </c>
      <c r="CR72" s="1">
        <f t="shared" si="187"/>
        <v>0</v>
      </c>
      <c r="CS72" s="69">
        <f t="shared" si="188"/>
        <v>0</v>
      </c>
      <c r="CT72" s="1">
        <f t="shared" si="208"/>
        <v>0</v>
      </c>
      <c r="CU72" s="1">
        <f t="shared" si="224"/>
        <v>0</v>
      </c>
      <c r="CV72" s="1">
        <f t="shared" si="225"/>
        <v>0</v>
      </c>
      <c r="CW72" s="1">
        <f t="shared" si="226"/>
        <v>0</v>
      </c>
      <c r="CX72" s="1">
        <f t="shared" si="227"/>
        <v>0</v>
      </c>
      <c r="CY72" s="1">
        <f t="shared" si="228"/>
        <v>0</v>
      </c>
      <c r="CZ72" s="1">
        <f t="shared" si="229"/>
        <v>0</v>
      </c>
      <c r="DA72" s="1">
        <f t="shared" si="230"/>
        <v>0</v>
      </c>
      <c r="DB72" s="1">
        <f t="shared" si="231"/>
        <v>0</v>
      </c>
      <c r="DC72" s="69">
        <f t="shared" si="232"/>
        <v>0</v>
      </c>
      <c r="DD72" s="1">
        <f t="shared" si="209"/>
        <v>0</v>
      </c>
      <c r="DE72" s="1">
        <f t="shared" si="233"/>
        <v>0</v>
      </c>
      <c r="DF72" s="1">
        <f t="shared" si="234"/>
        <v>0</v>
      </c>
      <c r="DG72" s="1">
        <f t="shared" si="235"/>
        <v>0</v>
      </c>
      <c r="DH72" s="1">
        <f t="shared" si="236"/>
        <v>0</v>
      </c>
      <c r="DI72" s="1">
        <f t="shared" si="237"/>
        <v>0</v>
      </c>
      <c r="DJ72" s="1">
        <f t="shared" si="238"/>
        <v>0</v>
      </c>
      <c r="DK72" s="1">
        <f t="shared" si="239"/>
        <v>0</v>
      </c>
      <c r="DL72" s="1">
        <f t="shared" si="240"/>
        <v>0</v>
      </c>
      <c r="DM72" s="69">
        <f t="shared" si="241"/>
        <v>0</v>
      </c>
      <c r="DN72" s="1">
        <f t="shared" si="160"/>
        <v>0</v>
      </c>
      <c r="DO72" s="1">
        <f t="shared" si="161"/>
        <v>0</v>
      </c>
      <c r="DP72" s="1">
        <f t="shared" si="162"/>
        <v>0</v>
      </c>
      <c r="DQ72" s="1">
        <f t="shared" si="163"/>
        <v>0</v>
      </c>
      <c r="DR72" s="1">
        <f t="shared" si="164"/>
        <v>0</v>
      </c>
      <c r="DS72" s="1">
        <f t="shared" si="165"/>
        <v>0</v>
      </c>
      <c r="DT72" s="1">
        <f t="shared" si="166"/>
        <v>0</v>
      </c>
      <c r="DU72" s="1">
        <f t="shared" si="167"/>
        <v>0</v>
      </c>
      <c r="DV72" s="1">
        <f t="shared" si="168"/>
        <v>0</v>
      </c>
      <c r="DW72" s="69">
        <f t="shared" si="169"/>
        <v>0</v>
      </c>
      <c r="DX72" s="1">
        <v>2</v>
      </c>
      <c r="DY72" s="69">
        <f t="shared" si="94"/>
        <v>47</v>
      </c>
      <c r="DZ72" s="1">
        <f t="shared" si="242"/>
        <v>0</v>
      </c>
      <c r="EA72" s="1">
        <f t="shared" si="170"/>
        <v>0</v>
      </c>
      <c r="EB72" s="1">
        <f t="shared" si="213"/>
        <v>0</v>
      </c>
      <c r="EC72" s="284">
        <v>1.5</v>
      </c>
      <c r="ED72" s="285">
        <f t="shared" si="214"/>
        <v>0</v>
      </c>
    </row>
    <row r="73" spans="1:328" s="321" customFormat="1" ht="15" hidden="1" x14ac:dyDescent="0.25">
      <c r="A73" s="325" t="s">
        <v>660</v>
      </c>
      <c r="B73" s="801" t="s">
        <v>2325</v>
      </c>
      <c r="C73" s="326" t="s">
        <v>872</v>
      </c>
      <c r="D73" s="651" t="s">
        <v>697</v>
      </c>
      <c r="E73" s="889"/>
      <c r="F73" s="631">
        <f>VLOOKUP(D73,prezzi,5,)</f>
        <v>0</v>
      </c>
      <c r="G73" s="698"/>
      <c r="H73" s="522"/>
      <c r="I73" s="522"/>
      <c r="J73" s="522"/>
      <c r="K73" s="522">
        <v>1</v>
      </c>
      <c r="L73" s="522"/>
      <c r="M73" s="522"/>
      <c r="N73" s="663">
        <f>N72</f>
        <v>0</v>
      </c>
      <c r="O73" s="320"/>
      <c r="P73" s="320">
        <f>P72</f>
        <v>0</v>
      </c>
      <c r="Q73" s="320"/>
      <c r="R73" s="320">
        <f>R72</f>
        <v>0</v>
      </c>
      <c r="S73" s="320"/>
      <c r="T73" s="320">
        <f>T72</f>
        <v>0</v>
      </c>
      <c r="U73" s="320"/>
      <c r="V73" s="320">
        <f>V72</f>
        <v>0</v>
      </c>
      <c r="W73" s="320"/>
      <c r="X73" s="320">
        <f>X72</f>
        <v>0</v>
      </c>
      <c r="Y73" s="320"/>
      <c r="Z73" s="320">
        <f>Z72</f>
        <v>0</v>
      </c>
      <c r="AA73" s="320"/>
      <c r="AB73" s="320">
        <f>AB72</f>
        <v>0</v>
      </c>
      <c r="AC73" s="256"/>
      <c r="AD73" s="320">
        <f>AD72</f>
        <v>0</v>
      </c>
      <c r="AE73" s="256"/>
      <c r="AF73" s="320">
        <f>AF72</f>
        <v>0</v>
      </c>
      <c r="AG73" s="324"/>
      <c r="AH73" s="546">
        <f t="shared" si="212"/>
        <v>0</v>
      </c>
      <c r="AI73" s="322">
        <f>N73*$E73</f>
        <v>0</v>
      </c>
      <c r="AJ73" s="322"/>
      <c r="AK73" s="322"/>
      <c r="AL73" s="706" t="str">
        <f t="shared" si="5"/>
        <v>-valvola monostabile</v>
      </c>
      <c r="AM73" s="685">
        <f>N73*$F73</f>
        <v>0</v>
      </c>
      <c r="AN73" s="676">
        <f>P73*$E73</f>
        <v>0</v>
      </c>
      <c r="AO73" s="685">
        <f>P73*$F73</f>
        <v>0</v>
      </c>
      <c r="AP73" s="676">
        <f>R73*$E73</f>
        <v>0</v>
      </c>
      <c r="AQ73" s="685">
        <f>R73*$F73</f>
        <v>0</v>
      </c>
      <c r="AR73" s="676">
        <f>T73*$E73</f>
        <v>0</v>
      </c>
      <c r="AS73" s="685">
        <f>T73*$F73</f>
        <v>0</v>
      </c>
      <c r="AT73" s="676">
        <f>V73*$E73</f>
        <v>0</v>
      </c>
      <c r="AU73" s="685">
        <f>V73*$F73</f>
        <v>0</v>
      </c>
      <c r="AV73" s="676">
        <f>X73*$E73</f>
        <v>0</v>
      </c>
      <c r="AW73" s="685">
        <f>X73*$F73</f>
        <v>0</v>
      </c>
      <c r="AX73" s="676">
        <f>Z73*$E73</f>
        <v>0</v>
      </c>
      <c r="AY73" s="685">
        <f>Z73*$F73</f>
        <v>0</v>
      </c>
      <c r="AZ73" s="676">
        <f>AB73*$E73</f>
        <v>0</v>
      </c>
      <c r="BA73" s="685">
        <f>AB73*$F73</f>
        <v>0</v>
      </c>
      <c r="BB73" s="676">
        <f>AD73*$E73</f>
        <v>0</v>
      </c>
      <c r="BC73" s="685">
        <f>AD73*$F73</f>
        <v>0</v>
      </c>
      <c r="BD73" s="676">
        <f>AF73*$E73</f>
        <v>0</v>
      </c>
      <c r="BE73" s="685">
        <f>AF73*$F73</f>
        <v>0</v>
      </c>
      <c r="BF73" s="321">
        <f>N73*$G73</f>
        <v>0</v>
      </c>
      <c r="BG73" s="321">
        <f>P73*$G73</f>
        <v>0</v>
      </c>
      <c r="BH73" s="321">
        <f>R73*$G73</f>
        <v>0</v>
      </c>
      <c r="BI73" s="321">
        <f>T73*$G73</f>
        <v>0</v>
      </c>
      <c r="BJ73" s="321">
        <f>V73*$G73</f>
        <v>0</v>
      </c>
      <c r="BK73" s="321">
        <f>X73*$G73</f>
        <v>0</v>
      </c>
      <c r="BL73" s="321">
        <f>Z73*$G73</f>
        <v>0</v>
      </c>
      <c r="BM73" s="321">
        <f>AB73*$G73</f>
        <v>0</v>
      </c>
      <c r="BN73" s="321">
        <f>AD73*$G73</f>
        <v>0</v>
      </c>
      <c r="BO73" s="323">
        <f>AF73*$G73</f>
        <v>0</v>
      </c>
      <c r="BP73" s="321">
        <f>N73*$H73</f>
        <v>0</v>
      </c>
      <c r="BQ73" s="321">
        <f>P73*$H73</f>
        <v>0</v>
      </c>
      <c r="BR73" s="321">
        <f>R73*$H73</f>
        <v>0</v>
      </c>
      <c r="BS73" s="321">
        <f>T73*$H73</f>
        <v>0</v>
      </c>
      <c r="BT73" s="321">
        <f>V73*$H73</f>
        <v>0</v>
      </c>
      <c r="BU73" s="321">
        <f>X73*$H73</f>
        <v>0</v>
      </c>
      <c r="BV73" s="321">
        <f>Z73*$H73</f>
        <v>0</v>
      </c>
      <c r="BW73" s="321">
        <f>AB73*$H73</f>
        <v>0</v>
      </c>
      <c r="BX73" s="321">
        <f>AD73*$H73</f>
        <v>0</v>
      </c>
      <c r="BY73" s="323">
        <f>AF73*$H73</f>
        <v>0</v>
      </c>
      <c r="BZ73" s="321">
        <f>N73*$I73</f>
        <v>0</v>
      </c>
      <c r="CA73" s="321">
        <f>P73*$I73</f>
        <v>0</v>
      </c>
      <c r="CB73" s="321">
        <f>R73*$I73</f>
        <v>0</v>
      </c>
      <c r="CC73" s="321">
        <f>T73*$I73</f>
        <v>0</v>
      </c>
      <c r="CD73" s="321">
        <f>V73*$I73</f>
        <v>0</v>
      </c>
      <c r="CE73" s="321">
        <f>X73*$I73</f>
        <v>0</v>
      </c>
      <c r="CF73" s="321">
        <f>Z73*$I73</f>
        <v>0</v>
      </c>
      <c r="CG73" s="321">
        <f>AB73*$I73</f>
        <v>0</v>
      </c>
      <c r="CH73" s="321">
        <f>AD73*$I73</f>
        <v>0</v>
      </c>
      <c r="CI73" s="323">
        <f>AF73*$I73</f>
        <v>0</v>
      </c>
      <c r="CJ73" s="321">
        <f>N73*$J73</f>
        <v>0</v>
      </c>
      <c r="CK73" s="321">
        <f>P73*$J73</f>
        <v>0</v>
      </c>
      <c r="CL73" s="321">
        <f>R73*$J73</f>
        <v>0</v>
      </c>
      <c r="CM73" s="321">
        <f>T73*$J73</f>
        <v>0</v>
      </c>
      <c r="CN73" s="321">
        <f>V73*$J73</f>
        <v>0</v>
      </c>
      <c r="CO73" s="321">
        <f>X73*$J73</f>
        <v>0</v>
      </c>
      <c r="CP73" s="321">
        <f>Z73*$J73</f>
        <v>0</v>
      </c>
      <c r="CQ73" s="321">
        <f>AB73*$J73</f>
        <v>0</v>
      </c>
      <c r="CR73" s="321">
        <f>AD73*$J73</f>
        <v>0</v>
      </c>
      <c r="CS73" s="323">
        <f>AF73*$J73</f>
        <v>0</v>
      </c>
      <c r="CT73" s="321">
        <f>N73*$K73</f>
        <v>0</v>
      </c>
      <c r="CU73" s="321">
        <f>P73*$K73</f>
        <v>0</v>
      </c>
      <c r="CV73" s="321">
        <f>R73*$K73</f>
        <v>0</v>
      </c>
      <c r="CW73" s="321">
        <f>T73*$K73</f>
        <v>0</v>
      </c>
      <c r="CX73" s="321">
        <f>V73*$K73</f>
        <v>0</v>
      </c>
      <c r="CY73" s="321">
        <f>X73*$K73</f>
        <v>0</v>
      </c>
      <c r="CZ73" s="321">
        <f>Z73*$K73</f>
        <v>0</v>
      </c>
      <c r="DA73" s="321">
        <f>AB73*$K73</f>
        <v>0</v>
      </c>
      <c r="DB73" s="321">
        <f>AD73*$K73</f>
        <v>0</v>
      </c>
      <c r="DC73" s="323">
        <f>AF73*$K73</f>
        <v>0</v>
      </c>
      <c r="DD73" s="321">
        <f>N73*$L73</f>
        <v>0</v>
      </c>
      <c r="DE73" s="321">
        <f>P73*$L73</f>
        <v>0</v>
      </c>
      <c r="DF73" s="321">
        <f>R73*$L73</f>
        <v>0</v>
      </c>
      <c r="DG73" s="321">
        <f>T73*$L73</f>
        <v>0</v>
      </c>
      <c r="DH73" s="321">
        <f>V73*$L73</f>
        <v>0</v>
      </c>
      <c r="DI73" s="321">
        <f>X73*$L73</f>
        <v>0</v>
      </c>
      <c r="DJ73" s="321">
        <f>Z73*$L73</f>
        <v>0</v>
      </c>
      <c r="DK73" s="321">
        <f>AB73*$L73</f>
        <v>0</v>
      </c>
      <c r="DL73" s="321">
        <f>AD73*$L73</f>
        <v>0</v>
      </c>
      <c r="DM73" s="323">
        <f>AF73*$L73</f>
        <v>0</v>
      </c>
      <c r="DN73" s="321">
        <f>N73*$M73</f>
        <v>0</v>
      </c>
      <c r="DO73" s="321">
        <f>P73*$M73</f>
        <v>0</v>
      </c>
      <c r="DP73" s="321">
        <f>R73*$M73</f>
        <v>0</v>
      </c>
      <c r="DQ73" s="321">
        <f>T73*$M73</f>
        <v>0</v>
      </c>
      <c r="DR73" s="321">
        <f>V73*$M73</f>
        <v>0</v>
      </c>
      <c r="DS73" s="321">
        <f>X73*$M73</f>
        <v>0</v>
      </c>
      <c r="DT73" s="321">
        <f>Z73*$M73</f>
        <v>0</v>
      </c>
      <c r="DU73" s="321">
        <f>AB73*$M73</f>
        <v>0</v>
      </c>
      <c r="DV73" s="321">
        <f>AD73*$M73</f>
        <v>0</v>
      </c>
      <c r="DW73" s="323">
        <f>AF73*$M73</f>
        <v>0</v>
      </c>
      <c r="DX73" s="321">
        <v>3</v>
      </c>
      <c r="DY73" s="69">
        <f t="shared" si="94"/>
        <v>48</v>
      </c>
      <c r="DZ73" s="321">
        <f t="shared" si="242"/>
        <v>0</v>
      </c>
      <c r="EA73" s="321">
        <f t="shared" si="170"/>
        <v>0</v>
      </c>
      <c r="EB73" s="321">
        <f t="shared" si="213"/>
        <v>0</v>
      </c>
      <c r="EC73" s="324">
        <v>1</v>
      </c>
      <c r="ED73" s="321">
        <f t="shared" si="214"/>
        <v>0</v>
      </c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</row>
    <row r="74" spans="1:328" ht="15" x14ac:dyDescent="0.25">
      <c r="A74" s="209" t="s">
        <v>660</v>
      </c>
      <c r="B74" s="801" t="s">
        <v>2431</v>
      </c>
      <c r="C74" s="182" t="s">
        <v>872</v>
      </c>
      <c r="D74" s="646" t="s">
        <v>695</v>
      </c>
      <c r="E74" s="889"/>
      <c r="F74" s="625">
        <f>VLOOKUP(D74,prezzi,5,)</f>
        <v>0</v>
      </c>
      <c r="G74" s="269"/>
      <c r="H74" s="58"/>
      <c r="I74" s="58"/>
      <c r="J74" s="269">
        <v>2</v>
      </c>
      <c r="K74" s="58">
        <v>1</v>
      </c>
      <c r="L74" s="58"/>
      <c r="M74" s="58"/>
      <c r="N74" s="664"/>
      <c r="O74" s="256"/>
      <c r="P74" s="256"/>
      <c r="Q74" s="256"/>
      <c r="R74" s="319"/>
      <c r="S74" s="256"/>
      <c r="T74" s="256"/>
      <c r="U74" s="256"/>
      <c r="V74" s="319"/>
      <c r="W74" s="256"/>
      <c r="X74" s="256"/>
      <c r="Y74" s="256"/>
      <c r="Z74" s="319"/>
      <c r="AA74" s="256"/>
      <c r="AB74" s="256"/>
      <c r="AC74" s="256"/>
      <c r="AD74" s="319"/>
      <c r="AE74" s="256"/>
      <c r="AF74" s="256"/>
      <c r="AH74" s="546">
        <f t="shared" si="212"/>
        <v>0</v>
      </c>
      <c r="AI74" s="66">
        <f>N74*$E74</f>
        <v>0</v>
      </c>
      <c r="AL74" s="706" t="str">
        <f t="shared" si="5"/>
        <v>-valvola monostabile + 2 finecorsa</v>
      </c>
      <c r="AM74" s="684">
        <f>N74*$F74</f>
        <v>0</v>
      </c>
      <c r="AN74" s="674">
        <f>P74*$E74</f>
        <v>0</v>
      </c>
      <c r="AO74" s="684">
        <f>P74*$F74</f>
        <v>0</v>
      </c>
      <c r="AP74" s="674">
        <f>R74*$E74</f>
        <v>0</v>
      </c>
      <c r="AQ74" s="684">
        <f>R74*$F74</f>
        <v>0</v>
      </c>
      <c r="AR74" s="674">
        <f>T74*$E74</f>
        <v>0</v>
      </c>
      <c r="AS74" s="684">
        <f>T74*$F74</f>
        <v>0</v>
      </c>
      <c r="AT74" s="674">
        <f>V74*$E74</f>
        <v>0</v>
      </c>
      <c r="AU74" s="684">
        <f>V74*$F74</f>
        <v>0</v>
      </c>
      <c r="AV74" s="674">
        <f>X74*$E74</f>
        <v>0</v>
      </c>
      <c r="AW74" s="684">
        <f>X74*$F74</f>
        <v>0</v>
      </c>
      <c r="AX74" s="674">
        <f>Z74*$E74</f>
        <v>0</v>
      </c>
      <c r="AY74" s="684">
        <f>Z74*$F74</f>
        <v>0</v>
      </c>
      <c r="AZ74" s="674">
        <f>AB74*$E74</f>
        <v>0</v>
      </c>
      <c r="BA74" s="684">
        <f>AB74*$F74</f>
        <v>0</v>
      </c>
      <c r="BB74" s="674">
        <f>AD74*$E74</f>
        <v>0</v>
      </c>
      <c r="BC74" s="684">
        <f>AD74*$F74</f>
        <v>0</v>
      </c>
      <c r="BD74" s="674">
        <f>AF74*$E74</f>
        <v>0</v>
      </c>
      <c r="BE74" s="684">
        <f>AF74*$F74</f>
        <v>0</v>
      </c>
      <c r="BF74" s="1">
        <f>N74*$G74</f>
        <v>0</v>
      </c>
      <c r="BG74" s="1">
        <f>P74*$G74</f>
        <v>0</v>
      </c>
      <c r="BH74" s="1">
        <f>R74*$G74</f>
        <v>0</v>
      </c>
      <c r="BI74" s="1">
        <f>T74*$G74</f>
        <v>0</v>
      </c>
      <c r="BJ74" s="1">
        <f>V74*$G74</f>
        <v>0</v>
      </c>
      <c r="BK74" s="1">
        <f>X74*$G74</f>
        <v>0</v>
      </c>
      <c r="BL74" s="1">
        <f>Z74*$G74</f>
        <v>0</v>
      </c>
      <c r="BM74" s="1">
        <f>AB74*$G74</f>
        <v>0</v>
      </c>
      <c r="BN74" s="1">
        <f>AD74*$G74</f>
        <v>0</v>
      </c>
      <c r="BO74" s="69">
        <f>AF74*$G74</f>
        <v>0</v>
      </c>
      <c r="BP74" s="1">
        <f>N74*$H74</f>
        <v>0</v>
      </c>
      <c r="BQ74" s="1">
        <f>P74*$H74</f>
        <v>0</v>
      </c>
      <c r="BR74" s="1">
        <f>R74*$H74</f>
        <v>0</v>
      </c>
      <c r="BS74" s="1">
        <f>T74*$H74</f>
        <v>0</v>
      </c>
      <c r="BT74" s="1">
        <f>V74*$H74</f>
        <v>0</v>
      </c>
      <c r="BU74" s="1">
        <f>X74*$H74</f>
        <v>0</v>
      </c>
      <c r="BV74" s="1">
        <f>Z74*$H74</f>
        <v>0</v>
      </c>
      <c r="BW74" s="1">
        <f>AB74*$H74</f>
        <v>0</v>
      </c>
      <c r="BX74" s="1">
        <f>AD74*$H74</f>
        <v>0</v>
      </c>
      <c r="BY74" s="69">
        <f>AF74*$H74</f>
        <v>0</v>
      </c>
      <c r="BZ74" s="1">
        <f>N74*$I74</f>
        <v>0</v>
      </c>
      <c r="CA74" s="1">
        <f>P74*$I74</f>
        <v>0</v>
      </c>
      <c r="CB74" s="1">
        <f>R74*$I74</f>
        <v>0</v>
      </c>
      <c r="CC74" s="1">
        <f>T74*$I74</f>
        <v>0</v>
      </c>
      <c r="CD74" s="1">
        <f>V74*$I74</f>
        <v>0</v>
      </c>
      <c r="CE74" s="1">
        <f>X74*$I74</f>
        <v>0</v>
      </c>
      <c r="CF74" s="1">
        <f>Z74*$I74</f>
        <v>0</v>
      </c>
      <c r="CG74" s="1">
        <f>AB74*$I74</f>
        <v>0</v>
      </c>
      <c r="CH74" s="1">
        <f>AD74*$I74</f>
        <v>0</v>
      </c>
      <c r="CI74" s="69">
        <f>AF74*$I74</f>
        <v>0</v>
      </c>
      <c r="CJ74" s="1">
        <f>N74*$J74</f>
        <v>0</v>
      </c>
      <c r="CK74" s="1">
        <f>P74*$J74</f>
        <v>0</v>
      </c>
      <c r="CL74" s="1">
        <f>R74*$J74</f>
        <v>0</v>
      </c>
      <c r="CM74" s="1">
        <f>T74*$J74</f>
        <v>0</v>
      </c>
      <c r="CN74" s="1">
        <f>V74*$J74</f>
        <v>0</v>
      </c>
      <c r="CO74" s="1">
        <f>X74*$J74</f>
        <v>0</v>
      </c>
      <c r="CP74" s="1">
        <f>Z74*$J74</f>
        <v>0</v>
      </c>
      <c r="CQ74" s="1">
        <f>AB74*$J74</f>
        <v>0</v>
      </c>
      <c r="CR74" s="1">
        <f>AD74*$J74</f>
        <v>0</v>
      </c>
      <c r="CS74" s="69">
        <f>AF74*$J74</f>
        <v>0</v>
      </c>
      <c r="CT74" s="1">
        <f>N74*$K74</f>
        <v>0</v>
      </c>
      <c r="CU74" s="1">
        <f>P74*$K74</f>
        <v>0</v>
      </c>
      <c r="CV74" s="1">
        <f>R74*$K74</f>
        <v>0</v>
      </c>
      <c r="CW74" s="1">
        <f>T74*$K74</f>
        <v>0</v>
      </c>
      <c r="CX74" s="1">
        <f>V74*$K74</f>
        <v>0</v>
      </c>
      <c r="CY74" s="1">
        <f>X74*$K74</f>
        <v>0</v>
      </c>
      <c r="CZ74" s="1">
        <f>Z74*$K74</f>
        <v>0</v>
      </c>
      <c r="DA74" s="1">
        <f>AB74*$K74</f>
        <v>0</v>
      </c>
      <c r="DB74" s="1">
        <f>AD74*$K74</f>
        <v>0</v>
      </c>
      <c r="DC74" s="69">
        <f>AF74*$K74</f>
        <v>0</v>
      </c>
      <c r="DD74" s="1">
        <f>N74*$L74</f>
        <v>0</v>
      </c>
      <c r="DE74" s="1">
        <f>P74*$L74</f>
        <v>0</v>
      </c>
      <c r="DF74" s="1">
        <f>R74*$L74</f>
        <v>0</v>
      </c>
      <c r="DG74" s="1">
        <f>T74*$L74</f>
        <v>0</v>
      </c>
      <c r="DH74" s="1">
        <f>V74*$L74</f>
        <v>0</v>
      </c>
      <c r="DI74" s="1">
        <f>X74*$L74</f>
        <v>0</v>
      </c>
      <c r="DJ74" s="1">
        <f>Z74*$L74</f>
        <v>0</v>
      </c>
      <c r="DK74" s="1">
        <f>AB74*$L74</f>
        <v>0</v>
      </c>
      <c r="DL74" s="1">
        <f>AD74*$L74</f>
        <v>0</v>
      </c>
      <c r="DM74" s="69">
        <f>AF74*$L74</f>
        <v>0</v>
      </c>
      <c r="DN74" s="1">
        <f>N74*$M74</f>
        <v>0</v>
      </c>
      <c r="DO74" s="1">
        <f>P74*$M74</f>
        <v>0</v>
      </c>
      <c r="DP74" s="1">
        <f>R74*$M74</f>
        <v>0</v>
      </c>
      <c r="DQ74" s="1">
        <f>T74*$M74</f>
        <v>0</v>
      </c>
      <c r="DR74" s="1">
        <f>V74*$M74</f>
        <v>0</v>
      </c>
      <c r="DS74" s="1">
        <f>X74*$M74</f>
        <v>0</v>
      </c>
      <c r="DT74" s="1">
        <f>Z74*$M74</f>
        <v>0</v>
      </c>
      <c r="DU74" s="1">
        <f>AB74*$M74</f>
        <v>0</v>
      </c>
      <c r="DV74" s="1">
        <f>AD74*$M74</f>
        <v>0</v>
      </c>
      <c r="DW74" s="69">
        <f>AF74*$M74</f>
        <v>0</v>
      </c>
      <c r="DX74" s="1">
        <v>4</v>
      </c>
      <c r="DY74" s="69">
        <f t="shared" si="94"/>
        <v>49</v>
      </c>
      <c r="DZ74" s="1">
        <f t="shared" si="242"/>
        <v>0</v>
      </c>
      <c r="EA74" s="1">
        <f t="shared" ref="EA74:EA106" si="243">IF(C74="a",SUM(N74+P74+R74+T74+V74+X74+Z74+AB74+AD74+AF74),0)</f>
        <v>0</v>
      </c>
      <c r="EB74" s="1">
        <f t="shared" si="213"/>
        <v>0</v>
      </c>
      <c r="EC74" s="72">
        <v>1</v>
      </c>
      <c r="ED74" s="1">
        <f t="shared" si="214"/>
        <v>0</v>
      </c>
    </row>
    <row r="75" spans="1:328" ht="15" x14ac:dyDescent="0.25">
      <c r="A75" s="209" t="s">
        <v>660</v>
      </c>
      <c r="B75" s="801" t="s">
        <v>2432</v>
      </c>
      <c r="C75" s="182" t="s">
        <v>872</v>
      </c>
      <c r="D75" s="646" t="s">
        <v>697</v>
      </c>
      <c r="E75" s="889"/>
      <c r="F75" s="625">
        <f>VLOOKUP(D75,prezzi,5,)</f>
        <v>0</v>
      </c>
      <c r="G75" s="269"/>
      <c r="H75" s="58"/>
      <c r="I75" s="58"/>
      <c r="J75" s="269">
        <v>0</v>
      </c>
      <c r="K75" s="58">
        <v>1</v>
      </c>
      <c r="L75" s="58"/>
      <c r="M75" s="58"/>
      <c r="N75" s="664"/>
      <c r="O75" s="256"/>
      <c r="P75" s="256"/>
      <c r="Q75" s="256"/>
      <c r="R75" s="319"/>
      <c r="S75" s="256"/>
      <c r="T75" s="256"/>
      <c r="U75" s="256"/>
      <c r="V75" s="319"/>
      <c r="W75" s="256"/>
      <c r="X75" s="256"/>
      <c r="Y75" s="256"/>
      <c r="Z75" s="319"/>
      <c r="AA75" s="256"/>
      <c r="AB75" s="256"/>
      <c r="AC75" s="256"/>
      <c r="AD75" s="319"/>
      <c r="AE75" s="256"/>
      <c r="AF75" s="256"/>
      <c r="AH75" s="546">
        <f t="shared" si="212"/>
        <v>0</v>
      </c>
      <c r="AI75" s="66">
        <f>N75*$E75</f>
        <v>0</v>
      </c>
      <c r="AL75" s="706" t="str">
        <f t="shared" si="5"/>
        <v>-valvola monostabile</v>
      </c>
      <c r="AM75" s="684">
        <f>N75*$F75</f>
        <v>0</v>
      </c>
      <c r="AN75" s="674">
        <f>P75*$E75</f>
        <v>0</v>
      </c>
      <c r="AO75" s="684">
        <f>P75*$F75</f>
        <v>0</v>
      </c>
      <c r="AP75" s="674">
        <f>R75*$E75</f>
        <v>0</v>
      </c>
      <c r="AQ75" s="684">
        <f>R75*$F75</f>
        <v>0</v>
      </c>
      <c r="AR75" s="674">
        <f>T75*$E75</f>
        <v>0</v>
      </c>
      <c r="AS75" s="684">
        <f>T75*$F75</f>
        <v>0</v>
      </c>
      <c r="AT75" s="674">
        <f>V75*$E75</f>
        <v>0</v>
      </c>
      <c r="AU75" s="684">
        <f>V75*$F75</f>
        <v>0</v>
      </c>
      <c r="AV75" s="674">
        <f>X75*$E75</f>
        <v>0</v>
      </c>
      <c r="AW75" s="684">
        <f>X75*$F75</f>
        <v>0</v>
      </c>
      <c r="AX75" s="674">
        <f>Z75*$E75</f>
        <v>0</v>
      </c>
      <c r="AY75" s="684">
        <f>Z75*$F75</f>
        <v>0</v>
      </c>
      <c r="AZ75" s="674">
        <f>AB75*$E75</f>
        <v>0</v>
      </c>
      <c r="BA75" s="684">
        <f>AB75*$F75</f>
        <v>0</v>
      </c>
      <c r="BB75" s="674">
        <f>AD75*$E75</f>
        <v>0</v>
      </c>
      <c r="BC75" s="684">
        <f>AD75*$F75</f>
        <v>0</v>
      </c>
      <c r="BD75" s="674">
        <f>AF75*$E75</f>
        <v>0</v>
      </c>
      <c r="BE75" s="684">
        <f>AF75*$F75</f>
        <v>0</v>
      </c>
      <c r="BF75" s="1">
        <f>N75*$G75</f>
        <v>0</v>
      </c>
      <c r="BG75" s="1">
        <f>P75*$G75</f>
        <v>0</v>
      </c>
      <c r="BH75" s="1">
        <f>R75*$G75</f>
        <v>0</v>
      </c>
      <c r="BI75" s="1">
        <f>T75*$G75</f>
        <v>0</v>
      </c>
      <c r="BJ75" s="1">
        <f>V75*$G75</f>
        <v>0</v>
      </c>
      <c r="BK75" s="1">
        <f>X75*$G75</f>
        <v>0</v>
      </c>
      <c r="BL75" s="1">
        <f>Z75*$G75</f>
        <v>0</v>
      </c>
      <c r="BM75" s="1">
        <f>AB75*$G75</f>
        <v>0</v>
      </c>
      <c r="BN75" s="1">
        <f>AD75*$G75</f>
        <v>0</v>
      </c>
      <c r="BO75" s="69">
        <f>AF75*$G75</f>
        <v>0</v>
      </c>
      <c r="BP75" s="1">
        <f>N75*$H75</f>
        <v>0</v>
      </c>
      <c r="BQ75" s="1">
        <f>P75*$H75</f>
        <v>0</v>
      </c>
      <c r="BR75" s="1">
        <f>R75*$H75</f>
        <v>0</v>
      </c>
      <c r="BS75" s="1">
        <f>T75*$H75</f>
        <v>0</v>
      </c>
      <c r="BT75" s="1">
        <f>V75*$H75</f>
        <v>0</v>
      </c>
      <c r="BU75" s="1">
        <f>X75*$H75</f>
        <v>0</v>
      </c>
      <c r="BV75" s="1">
        <f>Z75*$H75</f>
        <v>0</v>
      </c>
      <c r="BW75" s="1">
        <f>AB75*$H75</f>
        <v>0</v>
      </c>
      <c r="BX75" s="1">
        <f>AD75*$H75</f>
        <v>0</v>
      </c>
      <c r="BY75" s="69">
        <f>AF75*$H75</f>
        <v>0</v>
      </c>
      <c r="BZ75" s="1">
        <f>N75*$I75</f>
        <v>0</v>
      </c>
      <c r="CA75" s="1">
        <f>P75*$I75</f>
        <v>0</v>
      </c>
      <c r="CB75" s="1">
        <f>R75*$I75</f>
        <v>0</v>
      </c>
      <c r="CC75" s="1">
        <f>T75*$I75</f>
        <v>0</v>
      </c>
      <c r="CD75" s="1">
        <f>V75*$I75</f>
        <v>0</v>
      </c>
      <c r="CE75" s="1">
        <f>X75*$I75</f>
        <v>0</v>
      </c>
      <c r="CF75" s="1">
        <f>Z75*$I75</f>
        <v>0</v>
      </c>
      <c r="CG75" s="1">
        <f>AB75*$I75</f>
        <v>0</v>
      </c>
      <c r="CH75" s="1">
        <f>AD75*$I75</f>
        <v>0</v>
      </c>
      <c r="CI75" s="69">
        <f>AF75*$I75</f>
        <v>0</v>
      </c>
      <c r="CJ75" s="1">
        <f>N75*$J75</f>
        <v>0</v>
      </c>
      <c r="CK75" s="1">
        <f>P75*$J75</f>
        <v>0</v>
      </c>
      <c r="CL75" s="1">
        <f>R75*$J75</f>
        <v>0</v>
      </c>
      <c r="CM75" s="1">
        <f>T75*$J75</f>
        <v>0</v>
      </c>
      <c r="CN75" s="1">
        <f>V75*$J75</f>
        <v>0</v>
      </c>
      <c r="CO75" s="1">
        <f>X75*$J75</f>
        <v>0</v>
      </c>
      <c r="CP75" s="1">
        <f>Z75*$J75</f>
        <v>0</v>
      </c>
      <c r="CQ75" s="1">
        <f>AB75*$J75</f>
        <v>0</v>
      </c>
      <c r="CR75" s="1">
        <f>AD75*$J75</f>
        <v>0</v>
      </c>
      <c r="CS75" s="69">
        <f>AF75*$J75</f>
        <v>0</v>
      </c>
      <c r="CT75" s="1">
        <f>N75*$K75</f>
        <v>0</v>
      </c>
      <c r="CU75" s="1">
        <f>P75*$K75</f>
        <v>0</v>
      </c>
      <c r="CV75" s="1">
        <f>R75*$K75</f>
        <v>0</v>
      </c>
      <c r="CW75" s="1">
        <f>T75*$K75</f>
        <v>0</v>
      </c>
      <c r="CX75" s="1">
        <f>V75*$K75</f>
        <v>0</v>
      </c>
      <c r="CY75" s="1">
        <f>X75*$K75</f>
        <v>0</v>
      </c>
      <c r="CZ75" s="1">
        <f>Z75*$K75</f>
        <v>0</v>
      </c>
      <c r="DA75" s="1">
        <f>AB75*$K75</f>
        <v>0</v>
      </c>
      <c r="DB75" s="1">
        <f>AD75*$K75</f>
        <v>0</v>
      </c>
      <c r="DC75" s="69">
        <f>AF75*$K75</f>
        <v>0</v>
      </c>
      <c r="DD75" s="1">
        <f>N75*$L75</f>
        <v>0</v>
      </c>
      <c r="DE75" s="1">
        <f>P75*$L75</f>
        <v>0</v>
      </c>
      <c r="DF75" s="1">
        <f>R75*$L75</f>
        <v>0</v>
      </c>
      <c r="DG75" s="1">
        <f>T75*$L75</f>
        <v>0</v>
      </c>
      <c r="DH75" s="1">
        <f>V75*$L75</f>
        <v>0</v>
      </c>
      <c r="DI75" s="1">
        <f>X75*$L75</f>
        <v>0</v>
      </c>
      <c r="DJ75" s="1">
        <f>Z75*$L75</f>
        <v>0</v>
      </c>
      <c r="DK75" s="1">
        <f>AB75*$L75</f>
        <v>0</v>
      </c>
      <c r="DL75" s="1">
        <f>AD75*$L75</f>
        <v>0</v>
      </c>
      <c r="DM75" s="69">
        <f>AF75*$L75</f>
        <v>0</v>
      </c>
      <c r="DN75" s="1">
        <f>N75*$M75</f>
        <v>0</v>
      </c>
      <c r="DO75" s="1">
        <f>P75*$M75</f>
        <v>0</v>
      </c>
      <c r="DP75" s="1">
        <f>R75*$M75</f>
        <v>0</v>
      </c>
      <c r="DQ75" s="1">
        <f>T75*$M75</f>
        <v>0</v>
      </c>
      <c r="DR75" s="1">
        <f>V75*$M75</f>
        <v>0</v>
      </c>
      <c r="DS75" s="1">
        <f>X75*$M75</f>
        <v>0</v>
      </c>
      <c r="DT75" s="1">
        <f>Z75*$M75</f>
        <v>0</v>
      </c>
      <c r="DU75" s="1">
        <f>AB75*$M75</f>
        <v>0</v>
      </c>
      <c r="DV75" s="1">
        <f>AD75*$M75</f>
        <v>0</v>
      </c>
      <c r="DW75" s="69">
        <f>AF75*$M75</f>
        <v>0</v>
      </c>
      <c r="DX75" s="1">
        <v>5</v>
      </c>
      <c r="DY75" s="69">
        <f t="shared" si="94"/>
        <v>50</v>
      </c>
      <c r="DZ75" s="1">
        <f t="shared" si="242"/>
        <v>0</v>
      </c>
      <c r="EA75" s="1">
        <f t="shared" si="243"/>
        <v>0</v>
      </c>
      <c r="EB75" s="1">
        <f t="shared" si="213"/>
        <v>0</v>
      </c>
      <c r="EC75" s="72">
        <v>1</v>
      </c>
      <c r="ED75" s="1">
        <f t="shared" si="214"/>
        <v>0</v>
      </c>
    </row>
    <row r="76" spans="1:328" ht="15.75" customHeight="1" thickBot="1" x14ac:dyDescent="0.25">
      <c r="A76" s="210" t="s">
        <v>660</v>
      </c>
      <c r="B76" s="807" t="s">
        <v>2348</v>
      </c>
      <c r="C76" s="195" t="s">
        <v>871</v>
      </c>
      <c r="D76" s="648" t="s">
        <v>563</v>
      </c>
      <c r="E76" s="889">
        <v>0.25</v>
      </c>
      <c r="F76" s="626">
        <f t="shared" si="118"/>
        <v>154.36299</v>
      </c>
      <c r="G76" s="699"/>
      <c r="H76" s="519"/>
      <c r="I76" s="519"/>
      <c r="J76" s="519">
        <v>5</v>
      </c>
      <c r="K76" s="519">
        <v>1</v>
      </c>
      <c r="L76" s="519"/>
      <c r="M76" s="519"/>
      <c r="N76" s="665"/>
      <c r="O76" s="262"/>
      <c r="P76" s="262"/>
      <c r="Q76" s="262"/>
      <c r="R76" s="261"/>
      <c r="S76" s="262"/>
      <c r="T76" s="262"/>
      <c r="U76" s="262"/>
      <c r="V76" s="261"/>
      <c r="W76" s="262"/>
      <c r="X76" s="262"/>
      <c r="Y76" s="262"/>
      <c r="Z76" s="838"/>
      <c r="AA76" s="262"/>
      <c r="AB76" s="262"/>
      <c r="AC76" s="262"/>
      <c r="AD76" s="261"/>
      <c r="AE76" s="260"/>
      <c r="AF76" s="260"/>
      <c r="AG76" s="548"/>
      <c r="AH76" s="546">
        <f t="shared" si="212"/>
        <v>0</v>
      </c>
      <c r="AI76" s="160">
        <f t="shared" si="211"/>
        <v>0</v>
      </c>
      <c r="AJ76" s="160"/>
      <c r="AL76" s="706" t="str">
        <f t="shared" si="5"/>
        <v>-motore &lt;0,25 e &lt;3 Kw</v>
      </c>
      <c r="AM76" s="686">
        <f t="shared" si="189"/>
        <v>0</v>
      </c>
      <c r="AN76" s="678">
        <f t="shared" si="171"/>
        <v>0</v>
      </c>
      <c r="AO76" s="686">
        <f t="shared" si="190"/>
        <v>0</v>
      </c>
      <c r="AP76" s="678">
        <f t="shared" si="172"/>
        <v>0</v>
      </c>
      <c r="AQ76" s="686">
        <f t="shared" si="191"/>
        <v>0</v>
      </c>
      <c r="AR76" s="678">
        <f t="shared" si="173"/>
        <v>0</v>
      </c>
      <c r="AS76" s="686">
        <f t="shared" si="192"/>
        <v>0</v>
      </c>
      <c r="AT76" s="678">
        <f t="shared" si="174"/>
        <v>0</v>
      </c>
      <c r="AU76" s="686">
        <f t="shared" si="193"/>
        <v>0</v>
      </c>
      <c r="AV76" s="678">
        <f t="shared" si="175"/>
        <v>0</v>
      </c>
      <c r="AW76" s="686">
        <f t="shared" si="194"/>
        <v>0</v>
      </c>
      <c r="AX76" s="678">
        <f t="shared" si="176"/>
        <v>0</v>
      </c>
      <c r="AY76" s="686">
        <f t="shared" si="195"/>
        <v>0</v>
      </c>
      <c r="AZ76" s="678">
        <f t="shared" si="177"/>
        <v>0</v>
      </c>
      <c r="BA76" s="686">
        <f t="shared" si="196"/>
        <v>0</v>
      </c>
      <c r="BB76" s="678">
        <f t="shared" si="178"/>
        <v>0</v>
      </c>
      <c r="BC76" s="686">
        <f t="shared" si="197"/>
        <v>0</v>
      </c>
      <c r="BD76" s="678">
        <f t="shared" si="179"/>
        <v>0</v>
      </c>
      <c r="BE76" s="686">
        <f t="shared" si="128"/>
        <v>0</v>
      </c>
      <c r="BF76" s="158">
        <f t="shared" si="129"/>
        <v>0</v>
      </c>
      <c r="BG76" s="158">
        <f t="shared" si="130"/>
        <v>0</v>
      </c>
      <c r="BH76" s="158">
        <f t="shared" si="131"/>
        <v>0</v>
      </c>
      <c r="BI76" s="158">
        <f t="shared" si="132"/>
        <v>0</v>
      </c>
      <c r="BJ76" s="158">
        <f t="shared" si="133"/>
        <v>0</v>
      </c>
      <c r="BK76" s="158">
        <f t="shared" si="134"/>
        <v>0</v>
      </c>
      <c r="BL76" s="158">
        <f t="shared" si="135"/>
        <v>0</v>
      </c>
      <c r="BM76" s="158">
        <f t="shared" si="136"/>
        <v>0</v>
      </c>
      <c r="BN76" s="158">
        <f t="shared" si="137"/>
        <v>0</v>
      </c>
      <c r="BO76" s="159">
        <f t="shared" si="138"/>
        <v>0</v>
      </c>
      <c r="BP76" s="158">
        <f t="shared" si="198"/>
        <v>0</v>
      </c>
      <c r="BQ76" s="158">
        <f t="shared" si="215"/>
        <v>0</v>
      </c>
      <c r="BR76" s="158">
        <f t="shared" si="216"/>
        <v>0</v>
      </c>
      <c r="BS76" s="158">
        <f t="shared" si="217"/>
        <v>0</v>
      </c>
      <c r="BT76" s="158">
        <f t="shared" si="218"/>
        <v>0</v>
      </c>
      <c r="BU76" s="158">
        <f t="shared" si="219"/>
        <v>0</v>
      </c>
      <c r="BV76" s="158">
        <f t="shared" si="220"/>
        <v>0</v>
      </c>
      <c r="BW76" s="158">
        <f t="shared" si="221"/>
        <v>0</v>
      </c>
      <c r="BX76" s="158">
        <f t="shared" si="222"/>
        <v>0</v>
      </c>
      <c r="BY76" s="159">
        <f t="shared" si="223"/>
        <v>0</v>
      </c>
      <c r="BZ76" s="158">
        <f t="shared" si="149"/>
        <v>0</v>
      </c>
      <c r="CA76" s="158">
        <f t="shared" si="150"/>
        <v>0</v>
      </c>
      <c r="CB76" s="158">
        <f t="shared" si="151"/>
        <v>0</v>
      </c>
      <c r="CC76" s="158">
        <f t="shared" si="152"/>
        <v>0</v>
      </c>
      <c r="CD76" s="158">
        <f t="shared" si="153"/>
        <v>0</v>
      </c>
      <c r="CE76" s="158">
        <f t="shared" si="154"/>
        <v>0</v>
      </c>
      <c r="CF76" s="158">
        <f t="shared" si="155"/>
        <v>0</v>
      </c>
      <c r="CG76" s="158">
        <f t="shared" si="156"/>
        <v>0</v>
      </c>
      <c r="CH76" s="158">
        <f t="shared" si="157"/>
        <v>0</v>
      </c>
      <c r="CI76" s="159">
        <f t="shared" si="158"/>
        <v>0</v>
      </c>
      <c r="CJ76" s="158">
        <f t="shared" si="159"/>
        <v>0</v>
      </c>
      <c r="CK76" s="158">
        <f t="shared" si="180"/>
        <v>0</v>
      </c>
      <c r="CL76" s="158">
        <f t="shared" si="181"/>
        <v>0</v>
      </c>
      <c r="CM76" s="158">
        <f t="shared" si="182"/>
        <v>0</v>
      </c>
      <c r="CN76" s="158">
        <f t="shared" si="183"/>
        <v>0</v>
      </c>
      <c r="CO76" s="158">
        <f t="shared" si="184"/>
        <v>0</v>
      </c>
      <c r="CP76" s="158">
        <f t="shared" si="185"/>
        <v>0</v>
      </c>
      <c r="CQ76" s="158">
        <f t="shared" si="186"/>
        <v>0</v>
      </c>
      <c r="CR76" s="158">
        <f t="shared" si="187"/>
        <v>0</v>
      </c>
      <c r="CS76" s="159">
        <f t="shared" si="188"/>
        <v>0</v>
      </c>
      <c r="CT76" s="158">
        <f t="shared" si="208"/>
        <v>0</v>
      </c>
      <c r="CU76" s="158">
        <f t="shared" si="224"/>
        <v>0</v>
      </c>
      <c r="CV76" s="158">
        <f t="shared" si="225"/>
        <v>0</v>
      </c>
      <c r="CW76" s="158">
        <f t="shared" si="226"/>
        <v>0</v>
      </c>
      <c r="CX76" s="158">
        <f t="shared" si="227"/>
        <v>0</v>
      </c>
      <c r="CY76" s="158">
        <f t="shared" si="228"/>
        <v>0</v>
      </c>
      <c r="CZ76" s="158">
        <f t="shared" si="229"/>
        <v>0</v>
      </c>
      <c r="DA76" s="158">
        <f t="shared" si="230"/>
        <v>0</v>
      </c>
      <c r="DB76" s="158">
        <f t="shared" si="231"/>
        <v>0</v>
      </c>
      <c r="DC76" s="159">
        <f t="shared" si="232"/>
        <v>0</v>
      </c>
      <c r="DD76" s="158">
        <f t="shared" si="209"/>
        <v>0</v>
      </c>
      <c r="DE76" s="158">
        <f t="shared" si="233"/>
        <v>0</v>
      </c>
      <c r="DF76" s="158">
        <f t="shared" si="234"/>
        <v>0</v>
      </c>
      <c r="DG76" s="158">
        <f t="shared" si="235"/>
        <v>0</v>
      </c>
      <c r="DH76" s="158">
        <f t="shared" si="236"/>
        <v>0</v>
      </c>
      <c r="DI76" s="158">
        <f t="shared" si="237"/>
        <v>0</v>
      </c>
      <c r="DJ76" s="158">
        <f t="shared" si="238"/>
        <v>0</v>
      </c>
      <c r="DK76" s="158">
        <f t="shared" si="239"/>
        <v>0</v>
      </c>
      <c r="DL76" s="158">
        <f t="shared" si="240"/>
        <v>0</v>
      </c>
      <c r="DM76" s="159">
        <f t="shared" si="241"/>
        <v>0</v>
      </c>
      <c r="DN76" s="158">
        <f t="shared" si="160"/>
        <v>0</v>
      </c>
      <c r="DO76" s="158">
        <f t="shared" si="161"/>
        <v>0</v>
      </c>
      <c r="DP76" s="158">
        <f t="shared" si="162"/>
        <v>0</v>
      </c>
      <c r="DQ76" s="158">
        <f t="shared" si="163"/>
        <v>0</v>
      </c>
      <c r="DR76" s="158">
        <f t="shared" si="164"/>
        <v>0</v>
      </c>
      <c r="DS76" s="158">
        <f t="shared" si="165"/>
        <v>0</v>
      </c>
      <c r="DT76" s="158">
        <f t="shared" si="166"/>
        <v>0</v>
      </c>
      <c r="DU76" s="158">
        <f t="shared" si="167"/>
        <v>0</v>
      </c>
      <c r="DV76" s="158">
        <f t="shared" si="168"/>
        <v>0</v>
      </c>
      <c r="DW76" s="159">
        <f t="shared" si="169"/>
        <v>0</v>
      </c>
      <c r="DX76" s="158">
        <v>2</v>
      </c>
      <c r="DY76" s="69">
        <f t="shared" si="94"/>
        <v>51</v>
      </c>
      <c r="DZ76" s="1">
        <f t="shared" si="242"/>
        <v>0</v>
      </c>
      <c r="EA76" s="1">
        <f t="shared" si="243"/>
        <v>0</v>
      </c>
      <c r="EB76" s="1">
        <f t="shared" si="213"/>
        <v>0</v>
      </c>
      <c r="EC76" s="281">
        <v>1</v>
      </c>
      <c r="ED76" s="285">
        <f t="shared" si="214"/>
        <v>0</v>
      </c>
    </row>
    <row r="77" spans="1:328" ht="15.75" customHeight="1" x14ac:dyDescent="0.2">
      <c r="A77" s="833"/>
      <c r="B77" s="834" t="s">
        <v>2498</v>
      </c>
      <c r="C77" s="835"/>
      <c r="D77" s="836" t="s">
        <v>2495</v>
      </c>
      <c r="E77" s="889"/>
      <c r="F77" s="625"/>
      <c r="G77" s="694"/>
      <c r="H77" s="58"/>
      <c r="I77" s="58"/>
      <c r="J77" s="58"/>
      <c r="K77" s="58"/>
      <c r="L77" s="58"/>
      <c r="M77" s="58"/>
      <c r="N77" s="839"/>
      <c r="O77" s="839"/>
      <c r="P77" s="839"/>
      <c r="Q77" s="839"/>
      <c r="R77" s="839"/>
      <c r="S77" s="839"/>
      <c r="T77" s="839"/>
      <c r="U77" s="839"/>
      <c r="V77" s="839"/>
      <c r="W77" s="839"/>
      <c r="X77" s="839"/>
      <c r="Y77" s="839"/>
      <c r="Z77" s="839"/>
      <c r="AA77" s="839"/>
      <c r="AB77" s="839"/>
      <c r="AC77" s="839"/>
      <c r="AD77" s="839"/>
      <c r="AE77" s="831"/>
      <c r="AF77" s="839"/>
      <c r="AH77" s="832"/>
      <c r="AL77" s="706" t="str">
        <f t="shared" si="5"/>
        <v>-Totale punti dosaggi</v>
      </c>
      <c r="AM77" s="683"/>
      <c r="AN77" s="674"/>
      <c r="AO77" s="683"/>
      <c r="AP77" s="674"/>
      <c r="AQ77" s="683"/>
      <c r="AR77" s="674"/>
      <c r="AS77" s="683"/>
      <c r="AT77" s="674"/>
      <c r="AU77" s="683"/>
      <c r="AV77" s="674"/>
      <c r="AW77" s="683"/>
      <c r="AX77" s="674"/>
      <c r="AY77" s="683"/>
      <c r="AZ77" s="674"/>
      <c r="BA77" s="683"/>
      <c r="BB77" s="674"/>
      <c r="BC77" s="683"/>
      <c r="BD77" s="674"/>
      <c r="BE77" s="683"/>
      <c r="BO77" s="1"/>
      <c r="BY77" s="1"/>
      <c r="CI77" s="1"/>
      <c r="CS77" s="1"/>
      <c r="DC77" s="1"/>
      <c r="DM77" s="1"/>
      <c r="DW77" s="1"/>
      <c r="DY77" s="1"/>
    </row>
    <row r="78" spans="1:328" s="604" customFormat="1" hidden="1" x14ac:dyDescent="0.2">
      <c r="A78" s="604" t="s">
        <v>2518</v>
      </c>
      <c r="B78" s="250" t="s">
        <v>2361</v>
      </c>
      <c r="C78" s="549" t="s">
        <v>2490</v>
      </c>
      <c r="D78" s="643" t="s">
        <v>659</v>
      </c>
      <c r="E78" s="889"/>
      <c r="F78" s="250">
        <f t="shared" si="118"/>
        <v>0</v>
      </c>
      <c r="G78" s="818">
        <v>1</v>
      </c>
      <c r="H78" s="250"/>
      <c r="I78" s="250"/>
      <c r="J78" s="250"/>
      <c r="K78" s="250"/>
      <c r="L78" s="250"/>
      <c r="M78" s="250"/>
      <c r="N78" s="670"/>
      <c r="O78" s="390"/>
      <c r="P78" s="390"/>
      <c r="Q78" s="390"/>
      <c r="R78" s="390"/>
      <c r="S78" s="390"/>
      <c r="T78" s="390"/>
      <c r="U78" s="390"/>
      <c r="V78" s="390"/>
      <c r="W78" s="390"/>
      <c r="X78" s="390"/>
      <c r="Y78" s="390"/>
      <c r="Z78" s="390"/>
      <c r="AA78" s="390"/>
      <c r="AB78" s="390"/>
      <c r="AC78" s="390"/>
      <c r="AD78" s="390"/>
      <c r="AE78" s="250"/>
      <c r="AF78" s="250"/>
      <c r="AG78" s="549"/>
      <c r="AH78" s="549">
        <f t="shared" si="212"/>
        <v>0</v>
      </c>
      <c r="AI78" s="604">
        <f t="shared" si="211"/>
        <v>0</v>
      </c>
      <c r="AJ78" s="705">
        <v>1</v>
      </c>
      <c r="AK78" s="705"/>
      <c r="AL78" s="706" t="str">
        <f t="shared" si="5"/>
        <v>1-peso SIWAREX</v>
      </c>
      <c r="AM78" s="632">
        <f t="shared" si="189"/>
        <v>0</v>
      </c>
      <c r="AN78" s="640">
        <f t="shared" si="171"/>
        <v>0</v>
      </c>
      <c r="AO78" s="632">
        <f t="shared" si="190"/>
        <v>0</v>
      </c>
      <c r="AP78" s="640">
        <f t="shared" si="172"/>
        <v>0</v>
      </c>
      <c r="AQ78" s="632">
        <f t="shared" si="191"/>
        <v>0</v>
      </c>
      <c r="AR78" s="640">
        <f t="shared" si="173"/>
        <v>0</v>
      </c>
      <c r="AS78" s="632">
        <f t="shared" si="192"/>
        <v>0</v>
      </c>
      <c r="AT78" s="640">
        <f t="shared" si="174"/>
        <v>0</v>
      </c>
      <c r="AU78" s="632">
        <f t="shared" si="193"/>
        <v>0</v>
      </c>
      <c r="AV78" s="640">
        <f t="shared" si="175"/>
        <v>0</v>
      </c>
      <c r="AW78" s="632">
        <f t="shared" si="194"/>
        <v>0</v>
      </c>
      <c r="AX78" s="640">
        <f t="shared" si="176"/>
        <v>0</v>
      </c>
      <c r="AY78" s="632">
        <f t="shared" si="195"/>
        <v>0</v>
      </c>
      <c r="AZ78" s="640">
        <f t="shared" si="177"/>
        <v>0</v>
      </c>
      <c r="BA78" s="632">
        <f t="shared" si="196"/>
        <v>0</v>
      </c>
      <c r="BB78" s="640">
        <f t="shared" si="178"/>
        <v>0</v>
      </c>
      <c r="BC78" s="632">
        <f t="shared" si="197"/>
        <v>0</v>
      </c>
      <c r="BD78" s="640">
        <f t="shared" si="179"/>
        <v>0</v>
      </c>
      <c r="BE78" s="632">
        <f t="shared" si="128"/>
        <v>0</v>
      </c>
      <c r="BF78" s="604">
        <f t="shared" si="129"/>
        <v>0</v>
      </c>
      <c r="BG78" s="604">
        <f t="shared" si="130"/>
        <v>0</v>
      </c>
      <c r="BH78" s="604">
        <f t="shared" si="131"/>
        <v>0</v>
      </c>
      <c r="BI78" s="604">
        <f t="shared" si="132"/>
        <v>0</v>
      </c>
      <c r="BJ78" s="604">
        <f t="shared" si="133"/>
        <v>0</v>
      </c>
      <c r="BK78" s="604">
        <f t="shared" si="134"/>
        <v>0</v>
      </c>
      <c r="BL78" s="604">
        <f t="shared" si="135"/>
        <v>0</v>
      </c>
      <c r="BM78" s="604">
        <f t="shared" si="136"/>
        <v>0</v>
      </c>
      <c r="BN78" s="604">
        <f t="shared" si="137"/>
        <v>0</v>
      </c>
      <c r="BO78" s="604">
        <f t="shared" si="138"/>
        <v>0</v>
      </c>
      <c r="BP78" s="604">
        <f t="shared" si="198"/>
        <v>0</v>
      </c>
      <c r="BQ78" s="604">
        <f t="shared" si="215"/>
        <v>0</v>
      </c>
      <c r="BR78" s="604">
        <f t="shared" si="216"/>
        <v>0</v>
      </c>
      <c r="BS78" s="604">
        <f t="shared" si="217"/>
        <v>0</v>
      </c>
      <c r="BT78" s="604">
        <f t="shared" si="218"/>
        <v>0</v>
      </c>
      <c r="BU78" s="604">
        <f t="shared" si="219"/>
        <v>0</v>
      </c>
      <c r="BV78" s="604">
        <f t="shared" si="220"/>
        <v>0</v>
      </c>
      <c r="BW78" s="604">
        <f t="shared" si="221"/>
        <v>0</v>
      </c>
      <c r="BX78" s="604">
        <f t="shared" si="222"/>
        <v>0</v>
      </c>
      <c r="BY78" s="604">
        <f t="shared" si="223"/>
        <v>0</v>
      </c>
      <c r="BZ78" s="604">
        <f t="shared" si="149"/>
        <v>0</v>
      </c>
      <c r="CA78" s="604">
        <f t="shared" si="150"/>
        <v>0</v>
      </c>
      <c r="CB78" s="604">
        <f t="shared" si="151"/>
        <v>0</v>
      </c>
      <c r="CC78" s="604">
        <f t="shared" si="152"/>
        <v>0</v>
      </c>
      <c r="CD78" s="604">
        <f t="shared" si="153"/>
        <v>0</v>
      </c>
      <c r="CE78" s="604">
        <f t="shared" si="154"/>
        <v>0</v>
      </c>
      <c r="CF78" s="604">
        <f t="shared" si="155"/>
        <v>0</v>
      </c>
      <c r="CG78" s="604">
        <f t="shared" si="156"/>
        <v>0</v>
      </c>
      <c r="CH78" s="604">
        <f t="shared" si="157"/>
        <v>0</v>
      </c>
      <c r="CI78" s="604">
        <f t="shared" si="158"/>
        <v>0</v>
      </c>
      <c r="CJ78" s="604">
        <f t="shared" si="159"/>
        <v>0</v>
      </c>
      <c r="CK78" s="604">
        <f t="shared" si="180"/>
        <v>0</v>
      </c>
      <c r="CL78" s="604">
        <f t="shared" si="181"/>
        <v>0</v>
      </c>
      <c r="CM78" s="604">
        <f t="shared" si="182"/>
        <v>0</v>
      </c>
      <c r="CN78" s="604">
        <f t="shared" si="183"/>
        <v>0</v>
      </c>
      <c r="CO78" s="604">
        <f t="shared" si="184"/>
        <v>0</v>
      </c>
      <c r="CP78" s="604">
        <f t="shared" si="185"/>
        <v>0</v>
      </c>
      <c r="CQ78" s="604">
        <f t="shared" si="186"/>
        <v>0</v>
      </c>
      <c r="CR78" s="604">
        <f t="shared" si="187"/>
        <v>0</v>
      </c>
      <c r="CS78" s="604">
        <f t="shared" si="188"/>
        <v>0</v>
      </c>
      <c r="CT78" s="604">
        <f t="shared" si="208"/>
        <v>0</v>
      </c>
      <c r="CU78" s="604">
        <f t="shared" si="224"/>
        <v>0</v>
      </c>
      <c r="CV78" s="604">
        <f t="shared" si="225"/>
        <v>0</v>
      </c>
      <c r="CW78" s="604">
        <f t="shared" si="226"/>
        <v>0</v>
      </c>
      <c r="CX78" s="604">
        <f t="shared" si="227"/>
        <v>0</v>
      </c>
      <c r="CY78" s="604">
        <f t="shared" si="228"/>
        <v>0</v>
      </c>
      <c r="CZ78" s="604">
        <f t="shared" si="229"/>
        <v>0</v>
      </c>
      <c r="DA78" s="604">
        <f t="shared" si="230"/>
        <v>0</v>
      </c>
      <c r="DB78" s="604">
        <f t="shared" si="231"/>
        <v>0</v>
      </c>
      <c r="DC78" s="604">
        <f t="shared" si="232"/>
        <v>0</v>
      </c>
      <c r="DD78" s="604">
        <f t="shared" si="209"/>
        <v>0</v>
      </c>
      <c r="DE78" s="604">
        <f t="shared" si="233"/>
        <v>0</v>
      </c>
      <c r="DF78" s="604">
        <f t="shared" si="234"/>
        <v>0</v>
      </c>
      <c r="DG78" s="604">
        <f t="shared" si="235"/>
        <v>0</v>
      </c>
      <c r="DH78" s="604">
        <f t="shared" si="236"/>
        <v>0</v>
      </c>
      <c r="DI78" s="604">
        <f t="shared" si="237"/>
        <v>0</v>
      </c>
      <c r="DJ78" s="604">
        <f t="shared" si="238"/>
        <v>0</v>
      </c>
      <c r="DK78" s="604">
        <f t="shared" si="239"/>
        <v>0</v>
      </c>
      <c r="DL78" s="604">
        <f t="shared" si="240"/>
        <v>0</v>
      </c>
      <c r="DM78" s="604">
        <f t="shared" si="241"/>
        <v>0</v>
      </c>
      <c r="DN78" s="604">
        <f t="shared" si="160"/>
        <v>0</v>
      </c>
      <c r="DO78" s="604">
        <f t="shared" si="161"/>
        <v>0</v>
      </c>
      <c r="DP78" s="604">
        <f t="shared" si="162"/>
        <v>0</v>
      </c>
      <c r="DQ78" s="604">
        <f t="shared" si="163"/>
        <v>0</v>
      </c>
      <c r="DR78" s="604">
        <f t="shared" si="164"/>
        <v>0</v>
      </c>
      <c r="DS78" s="604">
        <f t="shared" si="165"/>
        <v>0</v>
      </c>
      <c r="DT78" s="604">
        <f t="shared" si="166"/>
        <v>0</v>
      </c>
      <c r="DU78" s="604">
        <f t="shared" si="167"/>
        <v>0</v>
      </c>
      <c r="DV78" s="604">
        <f t="shared" si="168"/>
        <v>0</v>
      </c>
      <c r="DW78" s="604">
        <f t="shared" si="169"/>
        <v>0</v>
      </c>
      <c r="DX78" s="604">
        <v>3</v>
      </c>
      <c r="DY78" s="604">
        <f>DY76+1</f>
        <v>52</v>
      </c>
      <c r="DZ78" s="604">
        <f t="shared" si="242"/>
        <v>0</v>
      </c>
      <c r="EA78" s="604">
        <f t="shared" si="243"/>
        <v>0</v>
      </c>
      <c r="EB78" s="604">
        <f t="shared" si="213"/>
        <v>0</v>
      </c>
      <c r="ED78" s="604">
        <f t="shared" si="214"/>
        <v>0</v>
      </c>
    </row>
    <row r="79" spans="1:328" s="604" customFormat="1" hidden="1" x14ac:dyDescent="0.2">
      <c r="A79" s="604" t="s">
        <v>2518</v>
      </c>
      <c r="B79" s="798" t="str">
        <f>"bilancia con WP104 - "&amp;VLOOKUP(tipo_controllore1,controlloreParametri,15,FALSE)</f>
        <v>bilancia con WP104 - MODBUS RTU</v>
      </c>
      <c r="C79" s="639" t="s">
        <v>2490</v>
      </c>
      <c r="D79" s="649" t="str">
        <f>VLOOKUP(tipo_controllore1,controlloreParametri,16,FALSE)</f>
        <v>peso wp104 rete MODBUS RTU</v>
      </c>
      <c r="E79" s="889"/>
      <c r="F79" s="822">
        <f>VLOOKUP(D79,prezzi,5,)</f>
        <v>430</v>
      </c>
      <c r="G79" s="823"/>
      <c r="H79" s="798"/>
      <c r="I79" s="798"/>
      <c r="J79" s="798"/>
      <c r="K79" s="798"/>
      <c r="L79" s="798"/>
      <c r="M79" s="798"/>
      <c r="N79" s="824">
        <f>N77</f>
        <v>0</v>
      </c>
      <c r="O79" s="250"/>
      <c r="P79" s="824">
        <f>P77</f>
        <v>0</v>
      </c>
      <c r="Q79" s="798"/>
      <c r="R79" s="824">
        <f>R77</f>
        <v>0</v>
      </c>
      <c r="S79" s="798"/>
      <c r="T79" s="824">
        <f>T77</f>
        <v>0</v>
      </c>
      <c r="U79" s="798"/>
      <c r="V79" s="824">
        <f>V77</f>
        <v>0</v>
      </c>
      <c r="W79" s="798"/>
      <c r="X79" s="824">
        <f>X77</f>
        <v>0</v>
      </c>
      <c r="Y79" s="798"/>
      <c r="Z79" s="824">
        <f>Z77</f>
        <v>0</v>
      </c>
      <c r="AA79" s="798"/>
      <c r="AB79" s="824">
        <f>AB77</f>
        <v>0</v>
      </c>
      <c r="AC79" s="798"/>
      <c r="AD79" s="824">
        <f>AD77</f>
        <v>0</v>
      </c>
      <c r="AE79" s="798"/>
      <c r="AF79" s="824">
        <f>AF77</f>
        <v>0</v>
      </c>
      <c r="AH79" s="604">
        <f t="shared" si="212"/>
        <v>0</v>
      </c>
      <c r="AI79" s="604">
        <f>N79*$E79</f>
        <v>0</v>
      </c>
      <c r="AJ79" s="705">
        <v>1</v>
      </c>
      <c r="AK79" s="705"/>
      <c r="AL79" s="706" t="str">
        <f t="shared" si="5"/>
        <v>1-peso wp104 rete MODBUS RTU</v>
      </c>
      <c r="AM79" s="632">
        <f>N79*$F79</f>
        <v>0</v>
      </c>
      <c r="AN79" s="640">
        <f>P79*$E79</f>
        <v>0</v>
      </c>
      <c r="AO79" s="632">
        <f>P79*$F79</f>
        <v>0</v>
      </c>
      <c r="AP79" s="640">
        <f>R79*$E79</f>
        <v>0</v>
      </c>
      <c r="AQ79" s="632">
        <f>R79*$F79</f>
        <v>0</v>
      </c>
      <c r="AR79" s="640">
        <f>T79*$E79</f>
        <v>0</v>
      </c>
      <c r="AS79" s="632">
        <f>T79*$F79</f>
        <v>0</v>
      </c>
      <c r="AT79" s="640">
        <f>V79*$E79</f>
        <v>0</v>
      </c>
      <c r="AU79" s="632">
        <f>V79*$F79</f>
        <v>0</v>
      </c>
      <c r="AV79" s="640">
        <f>X79*$E79</f>
        <v>0</v>
      </c>
      <c r="AW79" s="632">
        <f>X79*$F79</f>
        <v>0</v>
      </c>
      <c r="AX79" s="640">
        <f>Z79*$E79</f>
        <v>0</v>
      </c>
      <c r="AY79" s="632">
        <f>Z79*$F79</f>
        <v>0</v>
      </c>
      <c r="AZ79" s="640">
        <f>AB79*$E79</f>
        <v>0</v>
      </c>
      <c r="BA79" s="632">
        <f>AB79*$F79</f>
        <v>0</v>
      </c>
      <c r="BB79" s="640">
        <f>AD79*$E79</f>
        <v>0</v>
      </c>
      <c r="BC79" s="632">
        <f>AD79*$F79</f>
        <v>0</v>
      </c>
      <c r="BD79" s="640">
        <f>AF79*$E79</f>
        <v>0</v>
      </c>
      <c r="BE79" s="632">
        <f>AF79*$F79</f>
        <v>0</v>
      </c>
      <c r="BF79" s="604">
        <f>N79*$G79</f>
        <v>0</v>
      </c>
      <c r="BG79" s="604">
        <f>P79*$G79</f>
        <v>0</v>
      </c>
      <c r="BH79" s="604">
        <f>R79*$G79</f>
        <v>0</v>
      </c>
      <c r="BI79" s="604">
        <f>T79*$G79</f>
        <v>0</v>
      </c>
      <c r="BJ79" s="604">
        <f>V79*$G79</f>
        <v>0</v>
      </c>
      <c r="BK79" s="604">
        <f>X79*$G79</f>
        <v>0</v>
      </c>
      <c r="BL79" s="604">
        <f>Z79*$G79</f>
        <v>0</v>
      </c>
      <c r="BM79" s="604">
        <f>AB79*$G79</f>
        <v>0</v>
      </c>
      <c r="BN79" s="604">
        <f>AD79*$G79</f>
        <v>0</v>
      </c>
      <c r="BO79" s="604">
        <f>AF79*$G79</f>
        <v>0</v>
      </c>
      <c r="BP79" s="604">
        <f>N79*$H79</f>
        <v>0</v>
      </c>
      <c r="BQ79" s="604">
        <f>P79*$H79</f>
        <v>0</v>
      </c>
      <c r="BR79" s="604">
        <f>R79*$H79</f>
        <v>0</v>
      </c>
      <c r="BS79" s="604">
        <f>T79*$H79</f>
        <v>0</v>
      </c>
      <c r="BT79" s="604">
        <f>V79*$H79</f>
        <v>0</v>
      </c>
      <c r="BU79" s="604">
        <f>X79*$H79</f>
        <v>0</v>
      </c>
      <c r="BV79" s="604">
        <f>Z79*$H79</f>
        <v>0</v>
      </c>
      <c r="BW79" s="604">
        <f>AB79*$H79</f>
        <v>0</v>
      </c>
      <c r="BX79" s="604">
        <f>AD79*$H79</f>
        <v>0</v>
      </c>
      <c r="BY79" s="604">
        <f>AF79*$H79</f>
        <v>0</v>
      </c>
      <c r="BZ79" s="604">
        <f>N79*$I79</f>
        <v>0</v>
      </c>
      <c r="CA79" s="604">
        <f>P79*$I79</f>
        <v>0</v>
      </c>
      <c r="CB79" s="604">
        <f>R79*$I79</f>
        <v>0</v>
      </c>
      <c r="CC79" s="604">
        <f>T79*$I79</f>
        <v>0</v>
      </c>
      <c r="CD79" s="604">
        <f>V79*$I79</f>
        <v>0</v>
      </c>
      <c r="CE79" s="604">
        <f>X79*$I79</f>
        <v>0</v>
      </c>
      <c r="CF79" s="604">
        <f>Z79*$I79</f>
        <v>0</v>
      </c>
      <c r="CG79" s="604">
        <f>AB79*$I79</f>
        <v>0</v>
      </c>
      <c r="CH79" s="604">
        <f>AD79*$I79</f>
        <v>0</v>
      </c>
      <c r="CI79" s="604">
        <f>AF79*$I79</f>
        <v>0</v>
      </c>
      <c r="CJ79" s="604">
        <f>N79*$J79</f>
        <v>0</v>
      </c>
      <c r="CK79" s="604">
        <f>P79*$J79</f>
        <v>0</v>
      </c>
      <c r="CL79" s="604">
        <f>R79*$J79</f>
        <v>0</v>
      </c>
      <c r="CM79" s="604">
        <f>T79*$J79</f>
        <v>0</v>
      </c>
      <c r="CN79" s="604">
        <f>V79*$J79</f>
        <v>0</v>
      </c>
      <c r="CO79" s="604">
        <f>X79*$J79</f>
        <v>0</v>
      </c>
      <c r="CP79" s="604">
        <f>Z79*$J79</f>
        <v>0</v>
      </c>
      <c r="CQ79" s="604">
        <f>AB79*$J79</f>
        <v>0</v>
      </c>
      <c r="CR79" s="604">
        <f>AD79*$J79</f>
        <v>0</v>
      </c>
      <c r="CS79" s="604">
        <f>AF79*$J79</f>
        <v>0</v>
      </c>
      <c r="CT79" s="604">
        <f>N79*$K79</f>
        <v>0</v>
      </c>
      <c r="CU79" s="604">
        <f>P79*$K79</f>
        <v>0</v>
      </c>
      <c r="CV79" s="604">
        <f>R79*$K79</f>
        <v>0</v>
      </c>
      <c r="CW79" s="604">
        <f>T79*$K79</f>
        <v>0</v>
      </c>
      <c r="CX79" s="604">
        <f>V79*$K79</f>
        <v>0</v>
      </c>
      <c r="CY79" s="604">
        <f>X79*$K79</f>
        <v>0</v>
      </c>
      <c r="CZ79" s="604">
        <f>Z79*$K79</f>
        <v>0</v>
      </c>
      <c r="DA79" s="604">
        <f>AB79*$K79</f>
        <v>0</v>
      </c>
      <c r="DB79" s="604">
        <f>AD79*$K79</f>
        <v>0</v>
      </c>
      <c r="DC79" s="604">
        <f>AF79*$K79</f>
        <v>0</v>
      </c>
      <c r="DD79" s="604">
        <f>N79*$L79</f>
        <v>0</v>
      </c>
      <c r="DE79" s="604">
        <f>P79*$L79</f>
        <v>0</v>
      </c>
      <c r="DF79" s="604">
        <f>R79*$L79</f>
        <v>0</v>
      </c>
      <c r="DG79" s="604">
        <f>T79*$L79</f>
        <v>0</v>
      </c>
      <c r="DH79" s="604">
        <f>V79*$L79</f>
        <v>0</v>
      </c>
      <c r="DI79" s="604">
        <f>X79*$L79</f>
        <v>0</v>
      </c>
      <c r="DJ79" s="604">
        <f>Z79*$L79</f>
        <v>0</v>
      </c>
      <c r="DK79" s="604">
        <f>AB79*$L79</f>
        <v>0</v>
      </c>
      <c r="DL79" s="604">
        <f>AD79*$L79</f>
        <v>0</v>
      </c>
      <c r="DM79" s="604">
        <f>AF79*$L79</f>
        <v>0</v>
      </c>
      <c r="DN79" s="604">
        <f>N79*$M79</f>
        <v>0</v>
      </c>
      <c r="DO79" s="604">
        <f>P79*$M79</f>
        <v>0</v>
      </c>
      <c r="DP79" s="604">
        <f>R79*$M79</f>
        <v>0</v>
      </c>
      <c r="DQ79" s="604">
        <f>T79*$M79</f>
        <v>0</v>
      </c>
      <c r="DR79" s="604">
        <f>V79*$M79</f>
        <v>0</v>
      </c>
      <c r="DS79" s="604">
        <f>X79*$M79</f>
        <v>0</v>
      </c>
      <c r="DT79" s="604">
        <f>Z79*$M79</f>
        <v>0</v>
      </c>
      <c r="DU79" s="604">
        <f>AB79*$M79</f>
        <v>0</v>
      </c>
      <c r="DV79" s="604">
        <f>AD79*$M79</f>
        <v>0</v>
      </c>
      <c r="DW79" s="604">
        <f>AF79*$M79</f>
        <v>0</v>
      </c>
      <c r="DX79" s="604">
        <v>4</v>
      </c>
      <c r="DY79" s="604">
        <f t="shared" si="94"/>
        <v>53</v>
      </c>
      <c r="DZ79" s="604">
        <f t="shared" si="242"/>
        <v>0</v>
      </c>
      <c r="EA79" s="604">
        <f t="shared" si="243"/>
        <v>0</v>
      </c>
      <c r="EB79" s="604">
        <f t="shared" si="213"/>
        <v>0</v>
      </c>
      <c r="ED79" s="604">
        <f t="shared" si="214"/>
        <v>0</v>
      </c>
    </row>
    <row r="80" spans="1:328" s="603" customFormat="1" ht="15" hidden="1" thickBot="1" x14ac:dyDescent="0.25">
      <c r="A80" s="603" t="s">
        <v>2518</v>
      </c>
      <c r="B80" s="250" t="s">
        <v>2361</v>
      </c>
      <c r="C80" s="549" t="s">
        <v>2491</v>
      </c>
      <c r="D80" s="643" t="s">
        <v>659</v>
      </c>
      <c r="E80" s="889"/>
      <c r="F80" s="250">
        <f>VLOOKUP(D80,prezzi,5,)</f>
        <v>0</v>
      </c>
      <c r="G80" s="818">
        <v>1</v>
      </c>
      <c r="H80" s="250"/>
      <c r="I80" s="250"/>
      <c r="J80" s="250"/>
      <c r="K80" s="250"/>
      <c r="L80" s="250"/>
      <c r="M80" s="250"/>
      <c r="N80" s="668"/>
      <c r="O80" s="26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250"/>
      <c r="AA80" s="250"/>
      <c r="AB80" s="250"/>
      <c r="AC80" s="250"/>
      <c r="AD80" s="250"/>
      <c r="AE80" s="250"/>
      <c r="AF80" s="250"/>
      <c r="AG80" s="549"/>
      <c r="AH80" s="549">
        <f t="shared" si="212"/>
        <v>0</v>
      </c>
      <c r="AI80" s="603">
        <f>N80*$E80</f>
        <v>0</v>
      </c>
      <c r="AJ80" s="705">
        <v>2</v>
      </c>
      <c r="AK80" s="705"/>
      <c r="AL80" s="706" t="str">
        <f t="shared" si="5"/>
        <v>2-peso SIWAREX</v>
      </c>
      <c r="AM80" s="629">
        <f>N80*$F80</f>
        <v>0</v>
      </c>
      <c r="AN80" s="641">
        <f>P80*$E80</f>
        <v>0</v>
      </c>
      <c r="AO80" s="629">
        <f>P80*$F80</f>
        <v>0</v>
      </c>
      <c r="AP80" s="641">
        <f>R80*$E80</f>
        <v>0</v>
      </c>
      <c r="AQ80" s="629">
        <f>R80*$F80</f>
        <v>0</v>
      </c>
      <c r="AR80" s="641">
        <f>T80*$E80</f>
        <v>0</v>
      </c>
      <c r="AS80" s="629">
        <f>T80*$F80</f>
        <v>0</v>
      </c>
      <c r="AT80" s="641">
        <f>V80*$E80</f>
        <v>0</v>
      </c>
      <c r="AU80" s="629">
        <f>V80*$F80</f>
        <v>0</v>
      </c>
      <c r="AV80" s="641">
        <f>X80*$E80</f>
        <v>0</v>
      </c>
      <c r="AW80" s="629">
        <f>X80*$F80</f>
        <v>0</v>
      </c>
      <c r="AX80" s="641">
        <f>Z80*$E80</f>
        <v>0</v>
      </c>
      <c r="AY80" s="629">
        <f>Z80*$F80</f>
        <v>0</v>
      </c>
      <c r="AZ80" s="641">
        <f>AB80*$E80</f>
        <v>0</v>
      </c>
      <c r="BA80" s="629">
        <f>AB80*$F80</f>
        <v>0</v>
      </c>
      <c r="BB80" s="641">
        <f>AD80*$E80</f>
        <v>0</v>
      </c>
      <c r="BC80" s="629">
        <f>AD80*$F80</f>
        <v>0</v>
      </c>
      <c r="BD80" s="641">
        <f>AF80*$E80</f>
        <v>0</v>
      </c>
      <c r="BE80" s="629">
        <f>AF80*$F80</f>
        <v>0</v>
      </c>
      <c r="BF80" s="603">
        <f>N80*$G80</f>
        <v>0</v>
      </c>
      <c r="BG80" s="603">
        <f>P80*$G80</f>
        <v>0</v>
      </c>
      <c r="BH80" s="603">
        <f>R80*$G80</f>
        <v>0</v>
      </c>
      <c r="BI80" s="603">
        <f>T80*$G80</f>
        <v>0</v>
      </c>
      <c r="BJ80" s="603">
        <f>V80*$G80</f>
        <v>0</v>
      </c>
      <c r="BK80" s="603">
        <f>X80*$G80</f>
        <v>0</v>
      </c>
      <c r="BL80" s="603">
        <f>Z80*$G80</f>
        <v>0</v>
      </c>
      <c r="BM80" s="603">
        <f>AB80*$G80</f>
        <v>0</v>
      </c>
      <c r="BN80" s="603">
        <f>AD80*$G80</f>
        <v>0</v>
      </c>
      <c r="BO80" s="603">
        <f>AF80*$G80</f>
        <v>0</v>
      </c>
      <c r="BP80" s="603">
        <f>N80*$H80</f>
        <v>0</v>
      </c>
      <c r="BQ80" s="603">
        <f>P80*$H80</f>
        <v>0</v>
      </c>
      <c r="BR80" s="603">
        <f>R80*$H80</f>
        <v>0</v>
      </c>
      <c r="BS80" s="603">
        <f>T80*$H80</f>
        <v>0</v>
      </c>
      <c r="BT80" s="603">
        <f>V80*$H80</f>
        <v>0</v>
      </c>
      <c r="BU80" s="603">
        <f>X80*$H80</f>
        <v>0</v>
      </c>
      <c r="BV80" s="603">
        <f>Z80*$H80</f>
        <v>0</v>
      </c>
      <c r="BW80" s="603">
        <f>AB80*$H80</f>
        <v>0</v>
      </c>
      <c r="BX80" s="603">
        <f>AD80*$H80</f>
        <v>0</v>
      </c>
      <c r="BY80" s="603">
        <f>AF80*$H80</f>
        <v>0</v>
      </c>
      <c r="BZ80" s="603">
        <f>N80*$I80</f>
        <v>0</v>
      </c>
      <c r="CA80" s="603">
        <f>P80*$I80</f>
        <v>0</v>
      </c>
      <c r="CB80" s="603">
        <f>R80*$I80</f>
        <v>0</v>
      </c>
      <c r="CC80" s="603">
        <f>T80*$I80</f>
        <v>0</v>
      </c>
      <c r="CD80" s="603">
        <f>V80*$I80</f>
        <v>0</v>
      </c>
      <c r="CE80" s="603">
        <f>X80*$I80</f>
        <v>0</v>
      </c>
      <c r="CF80" s="603">
        <f>Z80*$I80</f>
        <v>0</v>
      </c>
      <c r="CG80" s="603">
        <f>AB80*$I80</f>
        <v>0</v>
      </c>
      <c r="CH80" s="603">
        <f>AD80*$I80</f>
        <v>0</v>
      </c>
      <c r="CI80" s="603">
        <f>AF80*$I80</f>
        <v>0</v>
      </c>
      <c r="CJ80" s="603">
        <f>N80*$J80</f>
        <v>0</v>
      </c>
      <c r="CK80" s="603">
        <f>P80*$J80</f>
        <v>0</v>
      </c>
      <c r="CL80" s="603">
        <f>R80*$J80</f>
        <v>0</v>
      </c>
      <c r="CM80" s="603">
        <f>T80*$J80</f>
        <v>0</v>
      </c>
      <c r="CN80" s="603">
        <f>V80*$J80</f>
        <v>0</v>
      </c>
      <c r="CO80" s="603">
        <f>X80*$J80</f>
        <v>0</v>
      </c>
      <c r="CP80" s="603">
        <f>Z80*$J80</f>
        <v>0</v>
      </c>
      <c r="CQ80" s="603">
        <f>AB80*$J80</f>
        <v>0</v>
      </c>
      <c r="CR80" s="603">
        <f>AD80*$J80</f>
        <v>0</v>
      </c>
      <c r="CS80" s="603">
        <f>AF80*$J80</f>
        <v>0</v>
      </c>
      <c r="CT80" s="603">
        <f>N80*$K80</f>
        <v>0</v>
      </c>
      <c r="CU80" s="603">
        <f>P80*$K80</f>
        <v>0</v>
      </c>
      <c r="CV80" s="603">
        <f>R80*$K80</f>
        <v>0</v>
      </c>
      <c r="CW80" s="603">
        <f>T80*$K80</f>
        <v>0</v>
      </c>
      <c r="CX80" s="603">
        <f>V80*$K80</f>
        <v>0</v>
      </c>
      <c r="CY80" s="603">
        <f>X80*$K80</f>
        <v>0</v>
      </c>
      <c r="CZ80" s="603">
        <f>Z80*$K80</f>
        <v>0</v>
      </c>
      <c r="DA80" s="603">
        <f>AB80*$K80</f>
        <v>0</v>
      </c>
      <c r="DB80" s="603">
        <f>AD80*$K80</f>
        <v>0</v>
      </c>
      <c r="DC80" s="603">
        <f>AF80*$K80</f>
        <v>0</v>
      </c>
      <c r="DD80" s="603">
        <f>N80*$L80</f>
        <v>0</v>
      </c>
      <c r="DE80" s="603">
        <f>P80*$L80</f>
        <v>0</v>
      </c>
      <c r="DF80" s="603">
        <f>R80*$L80</f>
        <v>0</v>
      </c>
      <c r="DG80" s="603">
        <f>T80*$L80</f>
        <v>0</v>
      </c>
      <c r="DH80" s="603">
        <f>V80*$L80</f>
        <v>0</v>
      </c>
      <c r="DI80" s="603">
        <f>X80*$L80</f>
        <v>0</v>
      </c>
      <c r="DJ80" s="603">
        <f>Z80*$L80</f>
        <v>0</v>
      </c>
      <c r="DK80" s="603">
        <f>AB80*$L80</f>
        <v>0</v>
      </c>
      <c r="DL80" s="603">
        <f>AD80*$L80</f>
        <v>0</v>
      </c>
      <c r="DM80" s="603">
        <f>AF80*$L80</f>
        <v>0</v>
      </c>
      <c r="DN80" s="603">
        <f>N80*$M80</f>
        <v>0</v>
      </c>
      <c r="DO80" s="603">
        <f>P80*$M80</f>
        <v>0</v>
      </c>
      <c r="DP80" s="603">
        <f>R80*$M80</f>
        <v>0</v>
      </c>
      <c r="DQ80" s="603">
        <f>T80*$M80</f>
        <v>0</v>
      </c>
      <c r="DR80" s="603">
        <f>V80*$M80</f>
        <v>0</v>
      </c>
      <c r="DS80" s="603">
        <f>X80*$M80</f>
        <v>0</v>
      </c>
      <c r="DT80" s="603">
        <f>Z80*$M80</f>
        <v>0</v>
      </c>
      <c r="DU80" s="603">
        <f>AB80*$M80</f>
        <v>0</v>
      </c>
      <c r="DV80" s="603">
        <f>AD80*$M80</f>
        <v>0</v>
      </c>
      <c r="DW80" s="603">
        <f>AF80*$M80</f>
        <v>0</v>
      </c>
      <c r="DX80" s="603">
        <v>4</v>
      </c>
      <c r="DY80" s="603">
        <f>DY78+1</f>
        <v>53</v>
      </c>
      <c r="DZ80" s="603">
        <f t="shared" si="242"/>
        <v>0</v>
      </c>
      <c r="EA80" s="603">
        <f t="shared" si="243"/>
        <v>0</v>
      </c>
      <c r="EB80" s="603">
        <f t="shared" si="213"/>
        <v>0</v>
      </c>
      <c r="ED80" s="603">
        <f t="shared" si="214"/>
        <v>0</v>
      </c>
    </row>
    <row r="81" spans="1:134" s="602" customFormat="1" hidden="1" x14ac:dyDescent="0.2">
      <c r="A81" s="602" t="s">
        <v>2518</v>
      </c>
      <c r="B81" s="799" t="str">
        <f>"bilancia con WP104 - "&amp;VLOOKUP(tipo_controllore2,controlloreParametri,15,FALSE)</f>
        <v>bilancia con WP104 - PROFIBUS</v>
      </c>
      <c r="C81" s="638" t="s">
        <v>2491</v>
      </c>
      <c r="D81" s="650" t="str">
        <f>VLOOKUP(tipo_controllore2,controlloreParametri,16,FALSE)</f>
        <v>peso wp104 rete PROFIBUS</v>
      </c>
      <c r="E81" s="889"/>
      <c r="F81" s="819">
        <f t="shared" si="118"/>
        <v>880</v>
      </c>
      <c r="G81" s="820"/>
      <c r="H81" s="799"/>
      <c r="I81" s="799"/>
      <c r="J81" s="799"/>
      <c r="K81" s="799"/>
      <c r="L81" s="799"/>
      <c r="M81" s="799"/>
      <c r="N81" s="821">
        <f>N77</f>
        <v>0</v>
      </c>
      <c r="O81" s="821">
        <f t="shared" ref="O81:AF81" si="244">O79</f>
        <v>0</v>
      </c>
      <c r="P81" s="821">
        <f t="shared" si="244"/>
        <v>0</v>
      </c>
      <c r="Q81" s="821">
        <f t="shared" si="244"/>
        <v>0</v>
      </c>
      <c r="R81" s="821">
        <f t="shared" si="244"/>
        <v>0</v>
      </c>
      <c r="S81" s="821">
        <f t="shared" si="244"/>
        <v>0</v>
      </c>
      <c r="T81" s="821">
        <f t="shared" si="244"/>
        <v>0</v>
      </c>
      <c r="U81" s="821">
        <f t="shared" si="244"/>
        <v>0</v>
      </c>
      <c r="V81" s="821">
        <f t="shared" si="244"/>
        <v>0</v>
      </c>
      <c r="W81" s="821">
        <f t="shared" si="244"/>
        <v>0</v>
      </c>
      <c r="X81" s="821">
        <f t="shared" si="244"/>
        <v>0</v>
      </c>
      <c r="Y81" s="821">
        <f t="shared" si="244"/>
        <v>0</v>
      </c>
      <c r="Z81" s="821">
        <f t="shared" si="244"/>
        <v>0</v>
      </c>
      <c r="AA81" s="821">
        <f t="shared" si="244"/>
        <v>0</v>
      </c>
      <c r="AB81" s="821">
        <f t="shared" si="244"/>
        <v>0</v>
      </c>
      <c r="AC81" s="821">
        <f t="shared" si="244"/>
        <v>0</v>
      </c>
      <c r="AD81" s="821">
        <f t="shared" si="244"/>
        <v>0</v>
      </c>
      <c r="AE81" s="821">
        <f t="shared" si="244"/>
        <v>0</v>
      </c>
      <c r="AF81" s="821">
        <f t="shared" si="244"/>
        <v>0</v>
      </c>
      <c r="AH81" s="602">
        <f t="shared" si="212"/>
        <v>0</v>
      </c>
      <c r="AI81" s="602">
        <f t="shared" si="211"/>
        <v>0</v>
      </c>
      <c r="AJ81" s="705">
        <v>2</v>
      </c>
      <c r="AK81" s="705"/>
      <c r="AL81" s="706" t="str">
        <f t="shared" si="5"/>
        <v>2-peso wp104 rete PROFIBUS</v>
      </c>
      <c r="AM81" s="630">
        <f t="shared" si="189"/>
        <v>0</v>
      </c>
      <c r="AN81" s="642">
        <f t="shared" si="171"/>
        <v>0</v>
      </c>
      <c r="AO81" s="630">
        <f t="shared" si="190"/>
        <v>0</v>
      </c>
      <c r="AP81" s="642">
        <f t="shared" si="172"/>
        <v>0</v>
      </c>
      <c r="AQ81" s="630">
        <f t="shared" si="191"/>
        <v>0</v>
      </c>
      <c r="AR81" s="642">
        <f t="shared" si="173"/>
        <v>0</v>
      </c>
      <c r="AS81" s="630">
        <f t="shared" si="192"/>
        <v>0</v>
      </c>
      <c r="AT81" s="642">
        <f t="shared" si="174"/>
        <v>0</v>
      </c>
      <c r="AU81" s="630">
        <f t="shared" si="193"/>
        <v>0</v>
      </c>
      <c r="AV81" s="642">
        <f t="shared" si="175"/>
        <v>0</v>
      </c>
      <c r="AW81" s="630">
        <f t="shared" si="194"/>
        <v>0</v>
      </c>
      <c r="AX81" s="642">
        <f t="shared" si="176"/>
        <v>0</v>
      </c>
      <c r="AY81" s="630">
        <f t="shared" si="195"/>
        <v>0</v>
      </c>
      <c r="AZ81" s="642">
        <f t="shared" si="177"/>
        <v>0</v>
      </c>
      <c r="BA81" s="630">
        <f t="shared" si="196"/>
        <v>0</v>
      </c>
      <c r="BB81" s="642">
        <f t="shared" si="178"/>
        <v>0</v>
      </c>
      <c r="BC81" s="630">
        <f t="shared" si="197"/>
        <v>0</v>
      </c>
      <c r="BD81" s="642">
        <f t="shared" si="179"/>
        <v>0</v>
      </c>
      <c r="BE81" s="630">
        <f t="shared" si="128"/>
        <v>0</v>
      </c>
      <c r="BF81" s="602">
        <f t="shared" si="129"/>
        <v>0</v>
      </c>
      <c r="BG81" s="602">
        <f t="shared" si="130"/>
        <v>0</v>
      </c>
      <c r="BH81" s="602">
        <f t="shared" si="131"/>
        <v>0</v>
      </c>
      <c r="BI81" s="602">
        <f t="shared" si="132"/>
        <v>0</v>
      </c>
      <c r="BJ81" s="602">
        <f t="shared" si="133"/>
        <v>0</v>
      </c>
      <c r="BK81" s="602">
        <f t="shared" si="134"/>
        <v>0</v>
      </c>
      <c r="BL81" s="602">
        <f t="shared" si="135"/>
        <v>0</v>
      </c>
      <c r="BM81" s="602">
        <f t="shared" si="136"/>
        <v>0</v>
      </c>
      <c r="BN81" s="602">
        <f t="shared" si="137"/>
        <v>0</v>
      </c>
      <c r="BO81" s="602">
        <f t="shared" si="138"/>
        <v>0</v>
      </c>
      <c r="BP81" s="602">
        <f t="shared" si="198"/>
        <v>0</v>
      </c>
      <c r="BQ81" s="602">
        <f t="shared" si="215"/>
        <v>0</v>
      </c>
      <c r="BR81" s="602">
        <f t="shared" si="216"/>
        <v>0</v>
      </c>
      <c r="BS81" s="602">
        <f t="shared" si="217"/>
        <v>0</v>
      </c>
      <c r="BT81" s="602">
        <f t="shared" si="218"/>
        <v>0</v>
      </c>
      <c r="BU81" s="602">
        <f t="shared" si="219"/>
        <v>0</v>
      </c>
      <c r="BV81" s="602">
        <f t="shared" si="220"/>
        <v>0</v>
      </c>
      <c r="BW81" s="602">
        <f t="shared" si="221"/>
        <v>0</v>
      </c>
      <c r="BX81" s="602">
        <f t="shared" si="222"/>
        <v>0</v>
      </c>
      <c r="BY81" s="602">
        <f t="shared" si="223"/>
        <v>0</v>
      </c>
      <c r="BZ81" s="602">
        <f t="shared" si="149"/>
        <v>0</v>
      </c>
      <c r="CA81" s="602">
        <f t="shared" si="150"/>
        <v>0</v>
      </c>
      <c r="CB81" s="602">
        <f t="shared" si="151"/>
        <v>0</v>
      </c>
      <c r="CC81" s="602">
        <f t="shared" si="152"/>
        <v>0</v>
      </c>
      <c r="CD81" s="602">
        <f t="shared" si="153"/>
        <v>0</v>
      </c>
      <c r="CE81" s="602">
        <f t="shared" si="154"/>
        <v>0</v>
      </c>
      <c r="CF81" s="602">
        <f t="shared" si="155"/>
        <v>0</v>
      </c>
      <c r="CG81" s="602">
        <f t="shared" si="156"/>
        <v>0</v>
      </c>
      <c r="CH81" s="602">
        <f t="shared" si="157"/>
        <v>0</v>
      </c>
      <c r="CI81" s="602">
        <f t="shared" si="158"/>
        <v>0</v>
      </c>
      <c r="CJ81" s="602">
        <f t="shared" si="159"/>
        <v>0</v>
      </c>
      <c r="CK81" s="602">
        <f t="shared" si="180"/>
        <v>0</v>
      </c>
      <c r="CL81" s="602">
        <f t="shared" si="181"/>
        <v>0</v>
      </c>
      <c r="CM81" s="602">
        <f t="shared" si="182"/>
        <v>0</v>
      </c>
      <c r="CN81" s="602">
        <f t="shared" si="183"/>
        <v>0</v>
      </c>
      <c r="CO81" s="602">
        <f t="shared" si="184"/>
        <v>0</v>
      </c>
      <c r="CP81" s="602">
        <f t="shared" si="185"/>
        <v>0</v>
      </c>
      <c r="CQ81" s="602">
        <f t="shared" si="186"/>
        <v>0</v>
      </c>
      <c r="CR81" s="602">
        <f t="shared" si="187"/>
        <v>0</v>
      </c>
      <c r="CS81" s="602">
        <f t="shared" si="188"/>
        <v>0</v>
      </c>
      <c r="CT81" s="602">
        <f t="shared" si="208"/>
        <v>0</v>
      </c>
      <c r="CU81" s="602">
        <f t="shared" si="224"/>
        <v>0</v>
      </c>
      <c r="CV81" s="602">
        <f t="shared" si="225"/>
        <v>0</v>
      </c>
      <c r="CW81" s="602">
        <f t="shared" si="226"/>
        <v>0</v>
      </c>
      <c r="CX81" s="602">
        <f t="shared" si="227"/>
        <v>0</v>
      </c>
      <c r="CY81" s="602">
        <f t="shared" si="228"/>
        <v>0</v>
      </c>
      <c r="CZ81" s="602">
        <f t="shared" si="229"/>
        <v>0</v>
      </c>
      <c r="DA81" s="602">
        <f t="shared" si="230"/>
        <v>0</v>
      </c>
      <c r="DB81" s="602">
        <f t="shared" si="231"/>
        <v>0</v>
      </c>
      <c r="DC81" s="602">
        <f t="shared" si="232"/>
        <v>0</v>
      </c>
      <c r="DD81" s="602">
        <f t="shared" si="209"/>
        <v>0</v>
      </c>
      <c r="DE81" s="602">
        <f t="shared" si="233"/>
        <v>0</v>
      </c>
      <c r="DF81" s="602">
        <f t="shared" si="234"/>
        <v>0</v>
      </c>
      <c r="DG81" s="602">
        <f t="shared" si="235"/>
        <v>0</v>
      </c>
      <c r="DH81" s="602">
        <f t="shared" si="236"/>
        <v>0</v>
      </c>
      <c r="DI81" s="602">
        <f t="shared" si="237"/>
        <v>0</v>
      </c>
      <c r="DJ81" s="602">
        <f t="shared" si="238"/>
        <v>0</v>
      </c>
      <c r="DK81" s="602">
        <f t="shared" si="239"/>
        <v>0</v>
      </c>
      <c r="DL81" s="602">
        <f t="shared" si="240"/>
        <v>0</v>
      </c>
      <c r="DM81" s="602">
        <f t="shared" si="241"/>
        <v>0</v>
      </c>
      <c r="DN81" s="602">
        <f t="shared" si="160"/>
        <v>0</v>
      </c>
      <c r="DO81" s="602">
        <f t="shared" si="161"/>
        <v>0</v>
      </c>
      <c r="DP81" s="602">
        <f t="shared" si="162"/>
        <v>0</v>
      </c>
      <c r="DQ81" s="602">
        <f t="shared" si="163"/>
        <v>0</v>
      </c>
      <c r="DR81" s="602">
        <f t="shared" si="164"/>
        <v>0</v>
      </c>
      <c r="DS81" s="602">
        <f t="shared" si="165"/>
        <v>0</v>
      </c>
      <c r="DT81" s="602">
        <f t="shared" si="166"/>
        <v>0</v>
      </c>
      <c r="DU81" s="602">
        <f t="shared" si="167"/>
        <v>0</v>
      </c>
      <c r="DV81" s="602">
        <f t="shared" si="168"/>
        <v>0</v>
      </c>
      <c r="DW81" s="602">
        <f t="shared" si="169"/>
        <v>0</v>
      </c>
      <c r="DX81" s="602">
        <v>3</v>
      </c>
      <c r="DY81" s="602">
        <f>DY78+1</f>
        <v>53</v>
      </c>
      <c r="DZ81" s="602">
        <f t="shared" si="242"/>
        <v>0</v>
      </c>
      <c r="EA81" s="602">
        <f t="shared" si="243"/>
        <v>0</v>
      </c>
      <c r="EB81" s="602">
        <f t="shared" si="213"/>
        <v>0</v>
      </c>
      <c r="ED81" s="602">
        <f t="shared" si="214"/>
        <v>0</v>
      </c>
    </row>
    <row r="82" spans="1:134" x14ac:dyDescent="0.2">
      <c r="A82" s="208" t="s">
        <v>666</v>
      </c>
      <c r="B82" s="801" t="s">
        <v>1022</v>
      </c>
      <c r="C82" s="182" t="s">
        <v>872</v>
      </c>
      <c r="D82" s="646" t="s">
        <v>699</v>
      </c>
      <c r="E82" s="889"/>
      <c r="F82" s="625">
        <f t="shared" si="118"/>
        <v>0</v>
      </c>
      <c r="G82" s="700"/>
      <c r="H82" s="342"/>
      <c r="I82" s="342"/>
      <c r="J82" s="342">
        <v>1</v>
      </c>
      <c r="K82" s="342"/>
      <c r="L82" s="342"/>
      <c r="M82" s="342"/>
      <c r="N82" s="658"/>
      <c r="O82" s="256"/>
      <c r="P82" s="256"/>
      <c r="Q82" s="256"/>
      <c r="R82" s="255"/>
      <c r="S82" s="256"/>
      <c r="T82" s="256"/>
      <c r="U82" s="256"/>
      <c r="V82" s="255"/>
      <c r="W82" s="256"/>
      <c r="X82" s="256"/>
      <c r="Y82" s="256"/>
      <c r="Z82" s="255"/>
      <c r="AA82" s="256"/>
      <c r="AB82" s="256"/>
      <c r="AC82" s="256"/>
      <c r="AD82" s="255"/>
      <c r="AE82" s="256"/>
      <c r="AF82" s="256"/>
      <c r="AH82" s="546">
        <f t="shared" si="212"/>
        <v>0</v>
      </c>
      <c r="AI82" s="66">
        <f t="shared" si="211"/>
        <v>0</v>
      </c>
      <c r="AL82" s="706" t="str">
        <f t="shared" si="5"/>
        <v>-livello massimo</v>
      </c>
      <c r="AM82" s="684">
        <f t="shared" si="189"/>
        <v>0</v>
      </c>
      <c r="AN82" s="674">
        <f t="shared" si="171"/>
        <v>0</v>
      </c>
      <c r="AO82" s="684">
        <f t="shared" si="190"/>
        <v>0</v>
      </c>
      <c r="AP82" s="674">
        <f t="shared" si="172"/>
        <v>0</v>
      </c>
      <c r="AQ82" s="684">
        <f t="shared" si="191"/>
        <v>0</v>
      </c>
      <c r="AR82" s="674">
        <f t="shared" si="173"/>
        <v>0</v>
      </c>
      <c r="AS82" s="684">
        <f t="shared" si="192"/>
        <v>0</v>
      </c>
      <c r="AT82" s="674">
        <f t="shared" si="174"/>
        <v>0</v>
      </c>
      <c r="AU82" s="684">
        <f t="shared" si="193"/>
        <v>0</v>
      </c>
      <c r="AV82" s="674">
        <f t="shared" si="175"/>
        <v>0</v>
      </c>
      <c r="AW82" s="684">
        <f t="shared" si="194"/>
        <v>0</v>
      </c>
      <c r="AX82" s="674">
        <f t="shared" si="176"/>
        <v>0</v>
      </c>
      <c r="AY82" s="684">
        <f t="shared" si="195"/>
        <v>0</v>
      </c>
      <c r="AZ82" s="674">
        <f t="shared" si="177"/>
        <v>0</v>
      </c>
      <c r="BA82" s="684">
        <f t="shared" si="196"/>
        <v>0</v>
      </c>
      <c r="BB82" s="674">
        <f t="shared" si="178"/>
        <v>0</v>
      </c>
      <c r="BC82" s="684">
        <f t="shared" si="197"/>
        <v>0</v>
      </c>
      <c r="BD82" s="674">
        <f t="shared" si="179"/>
        <v>0</v>
      </c>
      <c r="BE82" s="684">
        <f t="shared" si="128"/>
        <v>0</v>
      </c>
      <c r="BF82" s="1">
        <f t="shared" si="129"/>
        <v>0</v>
      </c>
      <c r="BG82" s="1">
        <f t="shared" si="130"/>
        <v>0</v>
      </c>
      <c r="BH82" s="1">
        <f t="shared" si="131"/>
        <v>0</v>
      </c>
      <c r="BI82" s="1">
        <f t="shared" si="132"/>
        <v>0</v>
      </c>
      <c r="BJ82" s="1">
        <f t="shared" si="133"/>
        <v>0</v>
      </c>
      <c r="BK82" s="1">
        <f t="shared" si="134"/>
        <v>0</v>
      </c>
      <c r="BL82" s="1">
        <f t="shared" si="135"/>
        <v>0</v>
      </c>
      <c r="BM82" s="1">
        <f t="shared" si="136"/>
        <v>0</v>
      </c>
      <c r="BN82" s="1">
        <f t="shared" si="137"/>
        <v>0</v>
      </c>
      <c r="BO82" s="69">
        <f t="shared" si="138"/>
        <v>0</v>
      </c>
      <c r="BP82" s="1">
        <f t="shared" si="198"/>
        <v>0</v>
      </c>
      <c r="BQ82" s="1">
        <f t="shared" si="215"/>
        <v>0</v>
      </c>
      <c r="BR82" s="1">
        <f t="shared" si="216"/>
        <v>0</v>
      </c>
      <c r="BS82" s="1">
        <f t="shared" si="217"/>
        <v>0</v>
      </c>
      <c r="BT82" s="1">
        <f t="shared" si="218"/>
        <v>0</v>
      </c>
      <c r="BU82" s="1">
        <f t="shared" si="219"/>
        <v>0</v>
      </c>
      <c r="BV82" s="1">
        <f t="shared" si="220"/>
        <v>0</v>
      </c>
      <c r="BW82" s="1">
        <f t="shared" si="221"/>
        <v>0</v>
      </c>
      <c r="BX82" s="1">
        <f t="shared" si="222"/>
        <v>0</v>
      </c>
      <c r="BY82" s="69">
        <f t="shared" si="223"/>
        <v>0</v>
      </c>
      <c r="BZ82" s="1">
        <f t="shared" si="149"/>
        <v>0</v>
      </c>
      <c r="CA82" s="1">
        <f t="shared" si="150"/>
        <v>0</v>
      </c>
      <c r="CB82" s="1">
        <f t="shared" si="151"/>
        <v>0</v>
      </c>
      <c r="CC82" s="1">
        <f t="shared" si="152"/>
        <v>0</v>
      </c>
      <c r="CD82" s="1">
        <f t="shared" si="153"/>
        <v>0</v>
      </c>
      <c r="CE82" s="1">
        <f t="shared" si="154"/>
        <v>0</v>
      </c>
      <c r="CF82" s="1">
        <f t="shared" si="155"/>
        <v>0</v>
      </c>
      <c r="CG82" s="1">
        <f t="shared" si="156"/>
        <v>0</v>
      </c>
      <c r="CH82" s="1">
        <f t="shared" si="157"/>
        <v>0</v>
      </c>
      <c r="CI82" s="69">
        <f t="shared" si="158"/>
        <v>0</v>
      </c>
      <c r="CJ82" s="1">
        <f t="shared" si="159"/>
        <v>0</v>
      </c>
      <c r="CK82" s="1">
        <f t="shared" si="180"/>
        <v>0</v>
      </c>
      <c r="CL82" s="1">
        <f t="shared" si="181"/>
        <v>0</v>
      </c>
      <c r="CM82" s="1">
        <f t="shared" si="182"/>
        <v>0</v>
      </c>
      <c r="CN82" s="1">
        <f t="shared" si="183"/>
        <v>0</v>
      </c>
      <c r="CO82" s="1">
        <f t="shared" si="184"/>
        <v>0</v>
      </c>
      <c r="CP82" s="1">
        <f t="shared" si="185"/>
        <v>0</v>
      </c>
      <c r="CQ82" s="1">
        <f t="shared" si="186"/>
        <v>0</v>
      </c>
      <c r="CR82" s="1">
        <f t="shared" si="187"/>
        <v>0</v>
      </c>
      <c r="CS82" s="69">
        <f t="shared" si="188"/>
        <v>0</v>
      </c>
      <c r="CT82" s="1">
        <f t="shared" si="208"/>
        <v>0</v>
      </c>
      <c r="CU82" s="1">
        <f t="shared" si="224"/>
        <v>0</v>
      </c>
      <c r="CV82" s="1">
        <f t="shared" si="225"/>
        <v>0</v>
      </c>
      <c r="CW82" s="1">
        <f t="shared" si="226"/>
        <v>0</v>
      </c>
      <c r="CX82" s="1">
        <f t="shared" si="227"/>
        <v>0</v>
      </c>
      <c r="CY82" s="1">
        <f t="shared" si="228"/>
        <v>0</v>
      </c>
      <c r="CZ82" s="1">
        <f t="shared" si="229"/>
        <v>0</v>
      </c>
      <c r="DA82" s="1">
        <f t="shared" si="230"/>
        <v>0</v>
      </c>
      <c r="DB82" s="1">
        <f t="shared" si="231"/>
        <v>0</v>
      </c>
      <c r="DC82" s="69">
        <f t="shared" si="232"/>
        <v>0</v>
      </c>
      <c r="DD82" s="1">
        <f t="shared" si="209"/>
        <v>0</v>
      </c>
      <c r="DE82" s="1">
        <f t="shared" si="233"/>
        <v>0</v>
      </c>
      <c r="DF82" s="1">
        <f t="shared" si="234"/>
        <v>0</v>
      </c>
      <c r="DG82" s="1">
        <f t="shared" si="235"/>
        <v>0</v>
      </c>
      <c r="DH82" s="1">
        <f t="shared" si="236"/>
        <v>0</v>
      </c>
      <c r="DI82" s="1">
        <f t="shared" si="237"/>
        <v>0</v>
      </c>
      <c r="DJ82" s="1">
        <f t="shared" si="238"/>
        <v>0</v>
      </c>
      <c r="DK82" s="1">
        <f t="shared" si="239"/>
        <v>0</v>
      </c>
      <c r="DL82" s="1">
        <f t="shared" si="240"/>
        <v>0</v>
      </c>
      <c r="DM82" s="69">
        <f t="shared" si="241"/>
        <v>0</v>
      </c>
      <c r="DN82" s="1">
        <f t="shared" si="160"/>
        <v>0</v>
      </c>
      <c r="DO82" s="1">
        <f t="shared" si="161"/>
        <v>0</v>
      </c>
      <c r="DP82" s="1">
        <f t="shared" si="162"/>
        <v>0</v>
      </c>
      <c r="DQ82" s="1">
        <f t="shared" si="163"/>
        <v>0</v>
      </c>
      <c r="DR82" s="1">
        <f t="shared" si="164"/>
        <v>0</v>
      </c>
      <c r="DS82" s="1">
        <f t="shared" si="165"/>
        <v>0</v>
      </c>
      <c r="DT82" s="1">
        <f t="shared" si="166"/>
        <v>0</v>
      </c>
      <c r="DU82" s="1">
        <f t="shared" si="167"/>
        <v>0</v>
      </c>
      <c r="DV82" s="1">
        <f t="shared" si="168"/>
        <v>0</v>
      </c>
      <c r="DW82" s="69">
        <f t="shared" si="169"/>
        <v>0</v>
      </c>
      <c r="DX82" s="1">
        <v>3</v>
      </c>
      <c r="DY82" s="69">
        <f t="shared" si="94"/>
        <v>54</v>
      </c>
      <c r="DZ82" s="1">
        <f t="shared" si="242"/>
        <v>0</v>
      </c>
      <c r="EA82" s="1">
        <f t="shared" si="243"/>
        <v>0</v>
      </c>
      <c r="EB82" s="1">
        <f t="shared" si="213"/>
        <v>0</v>
      </c>
      <c r="ED82" s="285">
        <f t="shared" si="214"/>
        <v>0</v>
      </c>
    </row>
    <row r="83" spans="1:134" x14ac:dyDescent="0.2">
      <c r="A83" s="208" t="s">
        <v>666</v>
      </c>
      <c r="B83" s="803" t="s">
        <v>1023</v>
      </c>
      <c r="C83" s="192" t="s">
        <v>872</v>
      </c>
      <c r="D83" s="335" t="s">
        <v>698</v>
      </c>
      <c r="E83" s="889"/>
      <c r="F83" s="625">
        <f t="shared" si="118"/>
        <v>0</v>
      </c>
      <c r="G83" s="700"/>
      <c r="H83" s="342"/>
      <c r="I83" s="342"/>
      <c r="J83" s="342">
        <v>2</v>
      </c>
      <c r="K83" s="342"/>
      <c r="L83" s="342"/>
      <c r="M83" s="342"/>
      <c r="N83" s="658"/>
      <c r="O83" s="256"/>
      <c r="P83" s="256"/>
      <c r="Q83" s="256"/>
      <c r="R83" s="255"/>
      <c r="S83" s="256"/>
      <c r="T83" s="256"/>
      <c r="U83" s="256"/>
      <c r="V83" s="255"/>
      <c r="W83" s="256"/>
      <c r="X83" s="256"/>
      <c r="Y83" s="256"/>
      <c r="Z83" s="255"/>
      <c r="AA83" s="256"/>
      <c r="AB83" s="256"/>
      <c r="AC83" s="256"/>
      <c r="AD83" s="255"/>
      <c r="AE83" s="256"/>
      <c r="AF83" s="256"/>
      <c r="AH83" s="546">
        <f t="shared" si="212"/>
        <v>0</v>
      </c>
      <c r="AI83" s="66">
        <f t="shared" si="211"/>
        <v>0</v>
      </c>
      <c r="AL83" s="706" t="str">
        <f t="shared" si="5"/>
        <v>-livello minimo</v>
      </c>
      <c r="AM83" s="684">
        <f t="shared" ref="AM83:AM116" si="245">N83*$F83</f>
        <v>0</v>
      </c>
      <c r="AN83" s="674">
        <f t="shared" si="171"/>
        <v>0</v>
      </c>
      <c r="AO83" s="684">
        <f t="shared" ref="AO83:AO116" si="246">P83*$F83</f>
        <v>0</v>
      </c>
      <c r="AP83" s="674">
        <f t="shared" si="172"/>
        <v>0</v>
      </c>
      <c r="AQ83" s="684">
        <f t="shared" ref="AQ83:AQ116" si="247">R83*$F83</f>
        <v>0</v>
      </c>
      <c r="AR83" s="674">
        <f t="shared" si="173"/>
        <v>0</v>
      </c>
      <c r="AS83" s="684">
        <f t="shared" ref="AS83:AS116" si="248">T83*$F83</f>
        <v>0</v>
      </c>
      <c r="AT83" s="674">
        <f t="shared" si="174"/>
        <v>0</v>
      </c>
      <c r="AU83" s="684">
        <f t="shared" ref="AU83:AU116" si="249">V83*$F83</f>
        <v>0</v>
      </c>
      <c r="AV83" s="674">
        <f t="shared" si="175"/>
        <v>0</v>
      </c>
      <c r="AW83" s="684">
        <f t="shared" ref="AW83:AW116" si="250">X83*$F83</f>
        <v>0</v>
      </c>
      <c r="AX83" s="674">
        <f t="shared" si="176"/>
        <v>0</v>
      </c>
      <c r="AY83" s="684">
        <f t="shared" ref="AY83:AY116" si="251">Z83*$F83</f>
        <v>0</v>
      </c>
      <c r="AZ83" s="674">
        <f t="shared" si="177"/>
        <v>0</v>
      </c>
      <c r="BA83" s="684">
        <f t="shared" ref="BA83:BA116" si="252">AB83*$F83</f>
        <v>0</v>
      </c>
      <c r="BB83" s="674">
        <f t="shared" si="178"/>
        <v>0</v>
      </c>
      <c r="BC83" s="684">
        <f t="shared" ref="BC83:BC116" si="253">AD83*$F83</f>
        <v>0</v>
      </c>
      <c r="BD83" s="674">
        <f t="shared" si="179"/>
        <v>0</v>
      </c>
      <c r="BE83" s="684">
        <f t="shared" si="128"/>
        <v>0</v>
      </c>
      <c r="BF83" s="1">
        <f t="shared" si="129"/>
        <v>0</v>
      </c>
      <c r="BG83" s="1">
        <f t="shared" si="130"/>
        <v>0</v>
      </c>
      <c r="BH83" s="1">
        <f t="shared" si="131"/>
        <v>0</v>
      </c>
      <c r="BI83" s="1">
        <f t="shared" si="132"/>
        <v>0</v>
      </c>
      <c r="BJ83" s="1">
        <f t="shared" si="133"/>
        <v>0</v>
      </c>
      <c r="BK83" s="1">
        <f t="shared" si="134"/>
        <v>0</v>
      </c>
      <c r="BL83" s="1">
        <f t="shared" si="135"/>
        <v>0</v>
      </c>
      <c r="BM83" s="1">
        <f t="shared" si="136"/>
        <v>0</v>
      </c>
      <c r="BN83" s="1">
        <f t="shared" si="137"/>
        <v>0</v>
      </c>
      <c r="BO83" s="69">
        <f t="shared" si="138"/>
        <v>0</v>
      </c>
      <c r="BP83" s="1">
        <f t="shared" si="198"/>
        <v>0</v>
      </c>
      <c r="BQ83" s="1">
        <f t="shared" si="215"/>
        <v>0</v>
      </c>
      <c r="BR83" s="1">
        <f t="shared" si="216"/>
        <v>0</v>
      </c>
      <c r="BS83" s="1">
        <f t="shared" si="217"/>
        <v>0</v>
      </c>
      <c r="BT83" s="1">
        <f t="shared" si="218"/>
        <v>0</v>
      </c>
      <c r="BU83" s="1">
        <f t="shared" si="219"/>
        <v>0</v>
      </c>
      <c r="BV83" s="1">
        <f t="shared" si="220"/>
        <v>0</v>
      </c>
      <c r="BW83" s="1">
        <f t="shared" si="221"/>
        <v>0</v>
      </c>
      <c r="BX83" s="1">
        <f t="shared" si="222"/>
        <v>0</v>
      </c>
      <c r="BY83" s="69">
        <f t="shared" si="223"/>
        <v>0</v>
      </c>
      <c r="BZ83" s="1">
        <f t="shared" si="149"/>
        <v>0</v>
      </c>
      <c r="CA83" s="1">
        <f t="shared" si="150"/>
        <v>0</v>
      </c>
      <c r="CB83" s="1">
        <f t="shared" si="151"/>
        <v>0</v>
      </c>
      <c r="CC83" s="1">
        <f t="shared" si="152"/>
        <v>0</v>
      </c>
      <c r="CD83" s="1">
        <f t="shared" si="153"/>
        <v>0</v>
      </c>
      <c r="CE83" s="1">
        <f t="shared" si="154"/>
        <v>0</v>
      </c>
      <c r="CF83" s="1">
        <f t="shared" si="155"/>
        <v>0</v>
      </c>
      <c r="CG83" s="1">
        <f t="shared" si="156"/>
        <v>0</v>
      </c>
      <c r="CH83" s="1">
        <f t="shared" si="157"/>
        <v>0</v>
      </c>
      <c r="CI83" s="69">
        <f t="shared" si="158"/>
        <v>0</v>
      </c>
      <c r="CJ83" s="1">
        <f t="shared" si="159"/>
        <v>0</v>
      </c>
      <c r="CK83" s="1">
        <f t="shared" si="180"/>
        <v>0</v>
      </c>
      <c r="CL83" s="1">
        <f t="shared" si="181"/>
        <v>0</v>
      </c>
      <c r="CM83" s="1">
        <f t="shared" si="182"/>
        <v>0</v>
      </c>
      <c r="CN83" s="1">
        <f t="shared" si="183"/>
        <v>0</v>
      </c>
      <c r="CO83" s="1">
        <f t="shared" si="184"/>
        <v>0</v>
      </c>
      <c r="CP83" s="1">
        <f t="shared" si="185"/>
        <v>0</v>
      </c>
      <c r="CQ83" s="1">
        <f t="shared" si="186"/>
        <v>0</v>
      </c>
      <c r="CR83" s="1">
        <f t="shared" si="187"/>
        <v>0</v>
      </c>
      <c r="CS83" s="69">
        <f t="shared" si="188"/>
        <v>0</v>
      </c>
      <c r="CT83" s="1">
        <f t="shared" si="208"/>
        <v>0</v>
      </c>
      <c r="CU83" s="1">
        <f t="shared" si="224"/>
        <v>0</v>
      </c>
      <c r="CV83" s="1">
        <f t="shared" si="225"/>
        <v>0</v>
      </c>
      <c r="CW83" s="1">
        <f t="shared" si="226"/>
        <v>0</v>
      </c>
      <c r="CX83" s="1">
        <f t="shared" si="227"/>
        <v>0</v>
      </c>
      <c r="CY83" s="1">
        <f t="shared" si="228"/>
        <v>0</v>
      </c>
      <c r="CZ83" s="1">
        <f t="shared" si="229"/>
        <v>0</v>
      </c>
      <c r="DA83" s="1">
        <f t="shared" si="230"/>
        <v>0</v>
      </c>
      <c r="DB83" s="1">
        <f t="shared" si="231"/>
        <v>0</v>
      </c>
      <c r="DC83" s="69">
        <f t="shared" si="232"/>
        <v>0</v>
      </c>
      <c r="DD83" s="1">
        <f t="shared" si="209"/>
        <v>0</v>
      </c>
      <c r="DE83" s="1">
        <f t="shared" si="233"/>
        <v>0</v>
      </c>
      <c r="DF83" s="1">
        <f t="shared" si="234"/>
        <v>0</v>
      </c>
      <c r="DG83" s="1">
        <f t="shared" si="235"/>
        <v>0</v>
      </c>
      <c r="DH83" s="1">
        <f t="shared" si="236"/>
        <v>0</v>
      </c>
      <c r="DI83" s="1">
        <f t="shared" si="237"/>
        <v>0</v>
      </c>
      <c r="DJ83" s="1">
        <f t="shared" si="238"/>
        <v>0</v>
      </c>
      <c r="DK83" s="1">
        <f t="shared" si="239"/>
        <v>0</v>
      </c>
      <c r="DL83" s="1">
        <f t="shared" si="240"/>
        <v>0</v>
      </c>
      <c r="DM83" s="69">
        <f t="shared" si="241"/>
        <v>0</v>
      </c>
      <c r="DN83" s="1">
        <f t="shared" si="160"/>
        <v>0</v>
      </c>
      <c r="DO83" s="1">
        <f t="shared" si="161"/>
        <v>0</v>
      </c>
      <c r="DP83" s="1">
        <f t="shared" si="162"/>
        <v>0</v>
      </c>
      <c r="DQ83" s="1">
        <f t="shared" si="163"/>
        <v>0</v>
      </c>
      <c r="DR83" s="1">
        <f t="shared" si="164"/>
        <v>0</v>
      </c>
      <c r="DS83" s="1">
        <f t="shared" si="165"/>
        <v>0</v>
      </c>
      <c r="DT83" s="1">
        <f t="shared" si="166"/>
        <v>0</v>
      </c>
      <c r="DU83" s="1">
        <f t="shared" si="167"/>
        <v>0</v>
      </c>
      <c r="DV83" s="1">
        <f t="shared" si="168"/>
        <v>0</v>
      </c>
      <c r="DW83" s="69">
        <f t="shared" si="169"/>
        <v>0</v>
      </c>
      <c r="DX83" s="1">
        <v>3</v>
      </c>
      <c r="DY83" s="69">
        <f t="shared" si="94"/>
        <v>55</v>
      </c>
      <c r="DZ83" s="1">
        <f t="shared" si="242"/>
        <v>0</v>
      </c>
      <c r="EA83" s="1">
        <f t="shared" si="243"/>
        <v>0</v>
      </c>
      <c r="EB83" s="1">
        <f t="shared" si="213"/>
        <v>0</v>
      </c>
      <c r="ED83" s="285">
        <f t="shared" si="214"/>
        <v>0</v>
      </c>
    </row>
    <row r="84" spans="1:134" ht="15" x14ac:dyDescent="0.25">
      <c r="A84" s="208" t="s">
        <v>666</v>
      </c>
      <c r="B84" s="803" t="s">
        <v>2344</v>
      </c>
      <c r="C84" s="192" t="s">
        <v>872</v>
      </c>
      <c r="D84" s="647" t="s">
        <v>1269</v>
      </c>
      <c r="E84" s="889"/>
      <c r="F84" s="625">
        <f t="shared" si="118"/>
        <v>241.5</v>
      </c>
      <c r="G84" s="700"/>
      <c r="H84" s="342"/>
      <c r="I84" s="342"/>
      <c r="J84" s="342">
        <v>1</v>
      </c>
      <c r="K84" s="342"/>
      <c r="L84" s="342"/>
      <c r="M84" s="342"/>
      <c r="N84" s="658"/>
      <c r="O84" s="256"/>
      <c r="P84" s="256"/>
      <c r="Q84" s="256"/>
      <c r="R84" s="255"/>
      <c r="S84" s="256"/>
      <c r="T84" s="256"/>
      <c r="U84" s="256"/>
      <c r="V84" s="255"/>
      <c r="W84" s="256"/>
      <c r="X84" s="256"/>
      <c r="Y84" s="256"/>
      <c r="Z84" s="255"/>
      <c r="AA84" s="256"/>
      <c r="AB84" s="256"/>
      <c r="AC84" s="256"/>
      <c r="AD84" s="255"/>
      <c r="AE84" s="256"/>
      <c r="AF84" s="256"/>
      <c r="AH84" s="546">
        <f t="shared" si="212"/>
        <v>0</v>
      </c>
      <c r="AI84" s="66">
        <f>N84*$E84</f>
        <v>0</v>
      </c>
      <c r="AL84" s="706" t="str">
        <f t="shared" si="5"/>
        <v>-ciclofiltro con scheda esterna 4 valvole</v>
      </c>
      <c r="AM84" s="684">
        <f>N84*$F84</f>
        <v>0</v>
      </c>
      <c r="AN84" s="674">
        <f>P84*$E84</f>
        <v>0</v>
      </c>
      <c r="AO84" s="684">
        <f>P84*$F84</f>
        <v>0</v>
      </c>
      <c r="AP84" s="674">
        <f>R84*$E84</f>
        <v>0</v>
      </c>
      <c r="AQ84" s="684">
        <f>R84*$F84</f>
        <v>0</v>
      </c>
      <c r="AR84" s="674">
        <f>T84*$E84</f>
        <v>0</v>
      </c>
      <c r="AS84" s="684">
        <f>T84*$F84</f>
        <v>0</v>
      </c>
      <c r="AT84" s="674">
        <f>V84*$E84</f>
        <v>0</v>
      </c>
      <c r="AU84" s="684">
        <f>V84*$F84</f>
        <v>0</v>
      </c>
      <c r="AV84" s="674">
        <f>X84*$E84</f>
        <v>0</v>
      </c>
      <c r="AW84" s="684">
        <f>X84*$F84</f>
        <v>0</v>
      </c>
      <c r="AX84" s="674">
        <f>Z84*$E84</f>
        <v>0</v>
      </c>
      <c r="AY84" s="684">
        <f>Z84*$F84</f>
        <v>0</v>
      </c>
      <c r="AZ84" s="674">
        <f>AB84*$E84</f>
        <v>0</v>
      </c>
      <c r="BA84" s="684">
        <f>AB84*$F84</f>
        <v>0</v>
      </c>
      <c r="BB84" s="674">
        <f>AD84*$E84</f>
        <v>0</v>
      </c>
      <c r="BC84" s="684">
        <f>AD84*$F84</f>
        <v>0</v>
      </c>
      <c r="BD84" s="674">
        <f>AF84*$E84</f>
        <v>0</v>
      </c>
      <c r="BE84" s="684">
        <f>AF84*$F84</f>
        <v>0</v>
      </c>
      <c r="BF84" s="1">
        <f>N84*$G84</f>
        <v>0</v>
      </c>
      <c r="BG84" s="1">
        <f>P84*$G84</f>
        <v>0</v>
      </c>
      <c r="BH84" s="1">
        <f>R84*$G84</f>
        <v>0</v>
      </c>
      <c r="BI84" s="1">
        <f>T84*$G84</f>
        <v>0</v>
      </c>
      <c r="BJ84" s="1">
        <f>V84*$G84</f>
        <v>0</v>
      </c>
      <c r="BK84" s="1">
        <f>X84*$G84</f>
        <v>0</v>
      </c>
      <c r="BL84" s="1">
        <f>Z84*$G84</f>
        <v>0</v>
      </c>
      <c r="BM84" s="1">
        <f>AB84*$G84</f>
        <v>0</v>
      </c>
      <c r="BN84" s="1">
        <f>AD84*$G84</f>
        <v>0</v>
      </c>
      <c r="BO84" s="69">
        <f>AF84*$G84</f>
        <v>0</v>
      </c>
      <c r="BP84" s="1">
        <f>N84*$H84</f>
        <v>0</v>
      </c>
      <c r="BQ84" s="1">
        <f>P84*$H84</f>
        <v>0</v>
      </c>
      <c r="BR84" s="1">
        <f>R84*$H84</f>
        <v>0</v>
      </c>
      <c r="BS84" s="1">
        <f>T84*$H84</f>
        <v>0</v>
      </c>
      <c r="BT84" s="1">
        <f>V84*$H84</f>
        <v>0</v>
      </c>
      <c r="BU84" s="1">
        <f>X84*$H84</f>
        <v>0</v>
      </c>
      <c r="BV84" s="1">
        <f>Z84*$H84</f>
        <v>0</v>
      </c>
      <c r="BW84" s="1">
        <f>AB84*$H84</f>
        <v>0</v>
      </c>
      <c r="BX84" s="1">
        <f>AD84*$H84</f>
        <v>0</v>
      </c>
      <c r="BY84" s="69">
        <f>AF84*$H84</f>
        <v>0</v>
      </c>
      <c r="BZ84" s="1">
        <f>N84*$I84</f>
        <v>0</v>
      </c>
      <c r="CA84" s="1">
        <f>P84*$I84</f>
        <v>0</v>
      </c>
      <c r="CB84" s="1">
        <f>R84*$I84</f>
        <v>0</v>
      </c>
      <c r="CC84" s="1">
        <f>T84*$I84</f>
        <v>0</v>
      </c>
      <c r="CD84" s="1">
        <f>V84*$I84</f>
        <v>0</v>
      </c>
      <c r="CE84" s="1">
        <f>X84*$I84</f>
        <v>0</v>
      </c>
      <c r="CF84" s="1">
        <f>Z84*$I84</f>
        <v>0</v>
      </c>
      <c r="CG84" s="1">
        <f>AB84*$I84</f>
        <v>0</v>
      </c>
      <c r="CH84" s="1">
        <f>AD84*$I84</f>
        <v>0</v>
      </c>
      <c r="CI84" s="69">
        <f>AF84*$I84</f>
        <v>0</v>
      </c>
      <c r="CJ84" s="1">
        <f>N84*$J84</f>
        <v>0</v>
      </c>
      <c r="CK84" s="1">
        <f>P84*$J84</f>
        <v>0</v>
      </c>
      <c r="CL84" s="1">
        <f>R84*$J84</f>
        <v>0</v>
      </c>
      <c r="CM84" s="1">
        <f>T84*$J84</f>
        <v>0</v>
      </c>
      <c r="CN84" s="1">
        <f>V84*$J84</f>
        <v>0</v>
      </c>
      <c r="CO84" s="1">
        <f>X84*$J84</f>
        <v>0</v>
      </c>
      <c r="CP84" s="1">
        <f>Z84*$J84</f>
        <v>0</v>
      </c>
      <c r="CQ84" s="1">
        <f>AB84*$J84</f>
        <v>0</v>
      </c>
      <c r="CR84" s="1">
        <f>AD84*$J84</f>
        <v>0</v>
      </c>
      <c r="CS84" s="69">
        <f>AF84*$J84</f>
        <v>0</v>
      </c>
      <c r="CT84" s="1">
        <f>N84*$K84</f>
        <v>0</v>
      </c>
      <c r="CU84" s="1">
        <f>P84*$K84</f>
        <v>0</v>
      </c>
      <c r="CV84" s="1">
        <f>R84*$K84</f>
        <v>0</v>
      </c>
      <c r="CW84" s="1">
        <f>T84*$K84</f>
        <v>0</v>
      </c>
      <c r="CX84" s="1">
        <f>V84*$K84</f>
        <v>0</v>
      </c>
      <c r="CY84" s="1">
        <f>X84*$K84</f>
        <v>0</v>
      </c>
      <c r="CZ84" s="1">
        <f>Z84*$K84</f>
        <v>0</v>
      </c>
      <c r="DA84" s="1">
        <f>AB84*$K84</f>
        <v>0</v>
      </c>
      <c r="DB84" s="1">
        <f>AD84*$K84</f>
        <v>0</v>
      </c>
      <c r="DC84" s="69">
        <f>AF84*$K84</f>
        <v>0</v>
      </c>
      <c r="DD84" s="1">
        <f>N84*$L84</f>
        <v>0</v>
      </c>
      <c r="DE84" s="1">
        <f>P84*$L84</f>
        <v>0</v>
      </c>
      <c r="DF84" s="1">
        <f>R84*$L84</f>
        <v>0</v>
      </c>
      <c r="DG84" s="1">
        <f>T84*$L84</f>
        <v>0</v>
      </c>
      <c r="DH84" s="1">
        <f>V84*$L84</f>
        <v>0</v>
      </c>
      <c r="DI84" s="1">
        <f>X84*$L84</f>
        <v>0</v>
      </c>
      <c r="DJ84" s="1">
        <f>Z84*$L84</f>
        <v>0</v>
      </c>
      <c r="DK84" s="1">
        <f>AB84*$L84</f>
        <v>0</v>
      </c>
      <c r="DL84" s="1">
        <f>AD84*$L84</f>
        <v>0</v>
      </c>
      <c r="DM84" s="69">
        <f>AF84*$L84</f>
        <v>0</v>
      </c>
      <c r="DN84" s="1">
        <f>N84*$M84</f>
        <v>0</v>
      </c>
      <c r="DO84" s="1">
        <f>P84*$M84</f>
        <v>0</v>
      </c>
      <c r="DP84" s="1">
        <f>R84*$M84</f>
        <v>0</v>
      </c>
      <c r="DQ84" s="1">
        <f>T84*$M84</f>
        <v>0</v>
      </c>
      <c r="DR84" s="1">
        <f>V84*$M84</f>
        <v>0</v>
      </c>
      <c r="DS84" s="1">
        <f>X84*$M84</f>
        <v>0</v>
      </c>
      <c r="DT84" s="1">
        <f>Z84*$M84</f>
        <v>0</v>
      </c>
      <c r="DU84" s="1">
        <f>AB84*$M84</f>
        <v>0</v>
      </c>
      <c r="DV84" s="1">
        <f>AD84*$M84</f>
        <v>0</v>
      </c>
      <c r="DW84" s="69">
        <f>AF84*$M84</f>
        <v>0</v>
      </c>
      <c r="DX84" s="1">
        <v>4</v>
      </c>
      <c r="DY84" s="69">
        <f t="shared" si="94"/>
        <v>56</v>
      </c>
      <c r="DZ84" s="1">
        <f t="shared" si="242"/>
        <v>0</v>
      </c>
      <c r="EA84" s="1">
        <f t="shared" si="243"/>
        <v>0</v>
      </c>
      <c r="EB84" s="1">
        <f t="shared" si="213"/>
        <v>0</v>
      </c>
      <c r="ED84" s="285">
        <f t="shared" si="214"/>
        <v>0</v>
      </c>
    </row>
    <row r="85" spans="1:134" ht="15" x14ac:dyDescent="0.25">
      <c r="A85" s="208" t="s">
        <v>666</v>
      </c>
      <c r="B85" s="800" t="s">
        <v>2345</v>
      </c>
      <c r="C85" s="193" t="s">
        <v>872</v>
      </c>
      <c r="D85" s="646" t="s">
        <v>1271</v>
      </c>
      <c r="E85" s="889"/>
      <c r="F85" s="625">
        <f>VLOOKUP(D85,prezzi,5,)*K85</f>
        <v>17.248799999999999</v>
      </c>
      <c r="G85" s="700"/>
      <c r="H85" s="342"/>
      <c r="I85" s="342"/>
      <c r="J85" s="342"/>
      <c r="K85" s="342">
        <v>2</v>
      </c>
      <c r="L85" s="342"/>
      <c r="M85" s="342"/>
      <c r="N85" s="658"/>
      <c r="O85" s="256"/>
      <c r="P85" s="256"/>
      <c r="Q85" s="256"/>
      <c r="R85" s="255"/>
      <c r="S85" s="256"/>
      <c r="T85" s="256"/>
      <c r="U85" s="256"/>
      <c r="V85" s="255"/>
      <c r="W85" s="256"/>
      <c r="X85" s="256"/>
      <c r="Y85" s="256"/>
      <c r="Z85" s="255"/>
      <c r="AA85" s="256"/>
      <c r="AB85" s="256"/>
      <c r="AC85" s="256"/>
      <c r="AD85" s="255"/>
      <c r="AE85" s="256"/>
      <c r="AF85" s="256"/>
      <c r="AH85" s="546">
        <f t="shared" si="212"/>
        <v>0</v>
      </c>
      <c r="AI85" s="66">
        <f t="shared" si="211"/>
        <v>0</v>
      </c>
      <c r="AL85" s="706" t="str">
        <f t="shared" si="5"/>
        <v>-ciclofiltro</v>
      </c>
      <c r="AM85" s="684">
        <f t="shared" si="245"/>
        <v>0</v>
      </c>
      <c r="AN85" s="674">
        <f t="shared" si="171"/>
        <v>0</v>
      </c>
      <c r="AO85" s="684">
        <f t="shared" si="246"/>
        <v>0</v>
      </c>
      <c r="AP85" s="674">
        <f t="shared" si="172"/>
        <v>0</v>
      </c>
      <c r="AQ85" s="684">
        <f t="shared" si="247"/>
        <v>0</v>
      </c>
      <c r="AR85" s="674">
        <f t="shared" si="173"/>
        <v>0</v>
      </c>
      <c r="AS85" s="684">
        <f t="shared" si="248"/>
        <v>0</v>
      </c>
      <c r="AT85" s="674">
        <f t="shared" si="174"/>
        <v>0</v>
      </c>
      <c r="AU85" s="684">
        <f t="shared" si="249"/>
        <v>0</v>
      </c>
      <c r="AV85" s="674">
        <f t="shared" si="175"/>
        <v>0</v>
      </c>
      <c r="AW85" s="684">
        <f t="shared" si="250"/>
        <v>0</v>
      </c>
      <c r="AX85" s="674">
        <f t="shared" si="176"/>
        <v>0</v>
      </c>
      <c r="AY85" s="684">
        <f t="shared" si="251"/>
        <v>0</v>
      </c>
      <c r="AZ85" s="674">
        <f t="shared" si="177"/>
        <v>0</v>
      </c>
      <c r="BA85" s="684">
        <f t="shared" si="252"/>
        <v>0</v>
      </c>
      <c r="BB85" s="674">
        <f t="shared" si="178"/>
        <v>0</v>
      </c>
      <c r="BC85" s="684">
        <f t="shared" si="253"/>
        <v>0</v>
      </c>
      <c r="BD85" s="674">
        <f t="shared" si="179"/>
        <v>0</v>
      </c>
      <c r="BE85" s="684">
        <f t="shared" ref="BE85:BE94" si="254">AF85*$F85</f>
        <v>0</v>
      </c>
      <c r="BF85" s="1">
        <f>N85*$G85</f>
        <v>0</v>
      </c>
      <c r="BG85" s="1">
        <f t="shared" ref="BG85:BG97" si="255">P85*$G85</f>
        <v>0</v>
      </c>
      <c r="BH85" s="1">
        <f t="shared" ref="BH85:BH97" si="256">R85*$G85</f>
        <v>0</v>
      </c>
      <c r="BI85" s="1">
        <f t="shared" ref="BI85:BI97" si="257">T85*$G85</f>
        <v>0</v>
      </c>
      <c r="BJ85" s="1">
        <f t="shared" ref="BJ85:BJ97" si="258">V85*$G85</f>
        <v>0</v>
      </c>
      <c r="BK85" s="1">
        <f t="shared" ref="BK85:BK97" si="259">X85*$G85</f>
        <v>0</v>
      </c>
      <c r="BL85" s="1">
        <f t="shared" ref="BL85:BL97" si="260">Z85*$G85</f>
        <v>0</v>
      </c>
      <c r="BM85" s="1">
        <f t="shared" ref="BM85:BM97" si="261">AB85*$G85</f>
        <v>0</v>
      </c>
      <c r="BN85" s="1">
        <f t="shared" ref="BN85:BN97" si="262">AD85*$G85</f>
        <v>0</v>
      </c>
      <c r="BO85" s="69">
        <f t="shared" ref="BO85:BO97" si="263">AF85*$G85</f>
        <v>0</v>
      </c>
      <c r="BP85" s="1">
        <f t="shared" si="198"/>
        <v>0</v>
      </c>
      <c r="BQ85" s="1">
        <f t="shared" si="215"/>
        <v>0</v>
      </c>
      <c r="BR85" s="1">
        <f t="shared" si="216"/>
        <v>0</v>
      </c>
      <c r="BS85" s="1">
        <f t="shared" si="217"/>
        <v>0</v>
      </c>
      <c r="BT85" s="1">
        <f t="shared" si="218"/>
        <v>0</v>
      </c>
      <c r="BU85" s="1">
        <f t="shared" si="219"/>
        <v>0</v>
      </c>
      <c r="BV85" s="1">
        <f t="shared" si="220"/>
        <v>0</v>
      </c>
      <c r="BW85" s="1">
        <f t="shared" si="221"/>
        <v>0</v>
      </c>
      <c r="BX85" s="1">
        <f t="shared" si="222"/>
        <v>0</v>
      </c>
      <c r="BY85" s="69">
        <f t="shared" si="223"/>
        <v>0</v>
      </c>
      <c r="BZ85" s="1">
        <f>N85*$I85</f>
        <v>0</v>
      </c>
      <c r="CA85" s="1">
        <f t="shared" ref="CA85:CA97" si="264">P85*$I85</f>
        <v>0</v>
      </c>
      <c r="CB85" s="1">
        <f t="shared" ref="CB85:CB97" si="265">R85*$I85</f>
        <v>0</v>
      </c>
      <c r="CC85" s="1">
        <f t="shared" ref="CC85:CC97" si="266">T85*$I85</f>
        <v>0</v>
      </c>
      <c r="CD85" s="1">
        <f t="shared" ref="CD85:CD97" si="267">V85*$I85</f>
        <v>0</v>
      </c>
      <c r="CE85" s="1">
        <f t="shared" ref="CE85:CE97" si="268">X85*$I85</f>
        <v>0</v>
      </c>
      <c r="CF85" s="1">
        <f t="shared" ref="CF85:CF97" si="269">Z85*$I85</f>
        <v>0</v>
      </c>
      <c r="CG85" s="1">
        <f t="shared" ref="CG85:CG97" si="270">AB85*$I85</f>
        <v>0</v>
      </c>
      <c r="CH85" s="1">
        <f t="shared" ref="CH85:CH97" si="271">AD85*$I85</f>
        <v>0</v>
      </c>
      <c r="CI85" s="69">
        <f t="shared" ref="CI85:CI97" si="272">AF85*$I85</f>
        <v>0</v>
      </c>
      <c r="CJ85" s="1">
        <f t="shared" ref="CJ85:CJ94" si="273">N85*$J85</f>
        <v>0</v>
      </c>
      <c r="CK85" s="1">
        <f t="shared" si="180"/>
        <v>0</v>
      </c>
      <c r="CL85" s="1">
        <f t="shared" si="181"/>
        <v>0</v>
      </c>
      <c r="CM85" s="1">
        <f t="shared" si="182"/>
        <v>0</v>
      </c>
      <c r="CN85" s="1">
        <f t="shared" si="183"/>
        <v>0</v>
      </c>
      <c r="CO85" s="1">
        <f t="shared" si="184"/>
        <v>0</v>
      </c>
      <c r="CP85" s="1">
        <f t="shared" si="185"/>
        <v>0</v>
      </c>
      <c r="CQ85" s="1">
        <f t="shared" si="186"/>
        <v>0</v>
      </c>
      <c r="CR85" s="1">
        <f t="shared" si="187"/>
        <v>0</v>
      </c>
      <c r="CS85" s="69">
        <f t="shared" si="188"/>
        <v>0</v>
      </c>
      <c r="CT85" s="1">
        <f>N85*$K85</f>
        <v>0</v>
      </c>
      <c r="CU85" s="1">
        <f t="shared" ref="CU85:CU97" si="274">P85*$K85</f>
        <v>0</v>
      </c>
      <c r="CV85" s="1">
        <f t="shared" ref="CV85:CV97" si="275">R85*$K85</f>
        <v>0</v>
      </c>
      <c r="CW85" s="1">
        <f t="shared" ref="CW85:CW97" si="276">T85*$K85</f>
        <v>0</v>
      </c>
      <c r="CX85" s="1">
        <f t="shared" ref="CX85:CX97" si="277">V85*$K85</f>
        <v>0</v>
      </c>
      <c r="CY85" s="1">
        <f t="shared" ref="CY85:CY97" si="278">X85*$K85</f>
        <v>0</v>
      </c>
      <c r="CZ85" s="1">
        <f t="shared" ref="CZ85:CZ97" si="279">Z85*$K85</f>
        <v>0</v>
      </c>
      <c r="DA85" s="1">
        <f t="shared" ref="DA85:DA97" si="280">AB85*$K85</f>
        <v>0</v>
      </c>
      <c r="DB85" s="1">
        <f t="shared" ref="DB85:DB97" si="281">AD85*$K85</f>
        <v>0</v>
      </c>
      <c r="DC85" s="69">
        <f t="shared" ref="DC85:DC97" si="282">AF85*$K85</f>
        <v>0</v>
      </c>
      <c r="DD85" s="1">
        <f>N85*$L85</f>
        <v>0</v>
      </c>
      <c r="DE85" s="1">
        <f t="shared" ref="DE85:DE97" si="283">P85*$L85</f>
        <v>0</v>
      </c>
      <c r="DF85" s="1">
        <f t="shared" ref="DF85:DF97" si="284">R85*$L85</f>
        <v>0</v>
      </c>
      <c r="DG85" s="1">
        <f t="shared" ref="DG85:DG97" si="285">T85*$L85</f>
        <v>0</v>
      </c>
      <c r="DH85" s="1">
        <f t="shared" ref="DH85:DH97" si="286">V85*$L85</f>
        <v>0</v>
      </c>
      <c r="DI85" s="1">
        <f t="shared" ref="DI85:DI97" si="287">X85*$L85</f>
        <v>0</v>
      </c>
      <c r="DJ85" s="1">
        <f t="shared" ref="DJ85:DJ97" si="288">Z85*$L85</f>
        <v>0</v>
      </c>
      <c r="DK85" s="1">
        <f t="shared" ref="DK85:DK97" si="289">AB85*$L85</f>
        <v>0</v>
      </c>
      <c r="DL85" s="1">
        <f t="shared" ref="DL85:DL97" si="290">AD85*$L85</f>
        <v>0</v>
      </c>
      <c r="DM85" s="69">
        <f t="shared" ref="DM85:DM97" si="291">AF85*$L85</f>
        <v>0</v>
      </c>
      <c r="DN85" s="1">
        <f>N85*$M85</f>
        <v>0</v>
      </c>
      <c r="DO85" s="1">
        <f t="shared" ref="DO85:DO97" si="292">P85*$M85</f>
        <v>0</v>
      </c>
      <c r="DP85" s="1">
        <f t="shared" ref="DP85:DP97" si="293">R85*$M85</f>
        <v>0</v>
      </c>
      <c r="DQ85" s="1">
        <f t="shared" ref="DQ85:DQ97" si="294">T85*$M85</f>
        <v>0</v>
      </c>
      <c r="DR85" s="1">
        <f t="shared" ref="DR85:DR97" si="295">V85*$M85</f>
        <v>0</v>
      </c>
      <c r="DS85" s="1">
        <f t="shared" ref="DS85:DS97" si="296">X85*$M85</f>
        <v>0</v>
      </c>
      <c r="DT85" s="1">
        <f t="shared" ref="DT85:DT97" si="297">Z85*$M85</f>
        <v>0</v>
      </c>
      <c r="DU85" s="1">
        <f t="shared" ref="DU85:DU97" si="298">AB85*$M85</f>
        <v>0</v>
      </c>
      <c r="DV85" s="1">
        <f t="shared" ref="DV85:DV97" si="299">AD85*$M85</f>
        <v>0</v>
      </c>
      <c r="DW85" s="69">
        <f t="shared" ref="DW85:DW97" si="300">AF85*$M85</f>
        <v>0</v>
      </c>
      <c r="DX85" s="1">
        <v>3</v>
      </c>
      <c r="DY85" s="69">
        <f t="shared" si="94"/>
        <v>57</v>
      </c>
      <c r="DZ85" s="1">
        <f t="shared" si="242"/>
        <v>0</v>
      </c>
      <c r="EA85" s="1">
        <f t="shared" si="243"/>
        <v>0</v>
      </c>
      <c r="EB85" s="1">
        <f t="shared" si="213"/>
        <v>0</v>
      </c>
      <c r="ED85" s="285">
        <f t="shared" si="214"/>
        <v>0</v>
      </c>
    </row>
    <row r="86" spans="1:134" ht="15" x14ac:dyDescent="0.25">
      <c r="A86" s="208" t="s">
        <v>666</v>
      </c>
      <c r="B86" s="801" t="s">
        <v>2346</v>
      </c>
      <c r="C86" s="182" t="s">
        <v>872</v>
      </c>
      <c r="D86" s="646" t="s">
        <v>1271</v>
      </c>
      <c r="E86" s="889"/>
      <c r="F86" s="625">
        <f>VLOOKUP(D86,prezzi,5,)*K86</f>
        <v>34.497599999999998</v>
      </c>
      <c r="G86" s="700"/>
      <c r="H86" s="342"/>
      <c r="I86" s="342"/>
      <c r="J86" s="342"/>
      <c r="K86" s="342">
        <v>4</v>
      </c>
      <c r="L86" s="342"/>
      <c r="M86" s="342"/>
      <c r="N86" s="658"/>
      <c r="O86" s="256"/>
      <c r="P86" s="256"/>
      <c r="Q86" s="256"/>
      <c r="R86" s="255"/>
      <c r="S86" s="256"/>
      <c r="T86" s="256"/>
      <c r="U86" s="256"/>
      <c r="V86" s="255"/>
      <c r="W86" s="256"/>
      <c r="X86" s="256"/>
      <c r="Y86" s="256"/>
      <c r="Z86" s="255"/>
      <c r="AA86" s="256"/>
      <c r="AB86" s="256"/>
      <c r="AC86" s="256"/>
      <c r="AD86" s="255"/>
      <c r="AE86" s="256"/>
      <c r="AF86" s="256"/>
      <c r="AH86" s="546">
        <f t="shared" si="212"/>
        <v>0</v>
      </c>
      <c r="AI86" s="66">
        <f t="shared" si="211"/>
        <v>0</v>
      </c>
      <c r="AL86" s="706" t="str">
        <f t="shared" si="5"/>
        <v>-ciclofiltro</v>
      </c>
      <c r="AM86" s="684">
        <f t="shared" si="245"/>
        <v>0</v>
      </c>
      <c r="AN86" s="674">
        <f t="shared" si="171"/>
        <v>0</v>
      </c>
      <c r="AO86" s="684">
        <f t="shared" si="246"/>
        <v>0</v>
      </c>
      <c r="AP86" s="674">
        <f t="shared" si="172"/>
        <v>0</v>
      </c>
      <c r="AQ86" s="684">
        <f t="shared" si="247"/>
        <v>0</v>
      </c>
      <c r="AR86" s="674">
        <f t="shared" si="173"/>
        <v>0</v>
      </c>
      <c r="AS86" s="684">
        <f t="shared" si="248"/>
        <v>0</v>
      </c>
      <c r="AT86" s="674">
        <f t="shared" si="174"/>
        <v>0</v>
      </c>
      <c r="AU86" s="684">
        <f t="shared" si="249"/>
        <v>0</v>
      </c>
      <c r="AV86" s="674">
        <f t="shared" si="175"/>
        <v>0</v>
      </c>
      <c r="AW86" s="684">
        <f t="shared" si="250"/>
        <v>0</v>
      </c>
      <c r="AX86" s="674">
        <f t="shared" si="176"/>
        <v>0</v>
      </c>
      <c r="AY86" s="684">
        <f t="shared" si="251"/>
        <v>0</v>
      </c>
      <c r="AZ86" s="674">
        <f t="shared" si="177"/>
        <v>0</v>
      </c>
      <c r="BA86" s="684">
        <f t="shared" si="252"/>
        <v>0</v>
      </c>
      <c r="BB86" s="674">
        <f t="shared" si="178"/>
        <v>0</v>
      </c>
      <c r="BC86" s="684">
        <f t="shared" si="253"/>
        <v>0</v>
      </c>
      <c r="BD86" s="674">
        <f t="shared" si="179"/>
        <v>0</v>
      </c>
      <c r="BE86" s="684">
        <f t="shared" si="254"/>
        <v>0</v>
      </c>
      <c r="BF86" s="1">
        <f t="shared" ref="BF86:BF162" si="301">N86*$G86</f>
        <v>0</v>
      </c>
      <c r="BG86" s="1">
        <f t="shared" si="255"/>
        <v>0</v>
      </c>
      <c r="BH86" s="1">
        <f t="shared" si="256"/>
        <v>0</v>
      </c>
      <c r="BI86" s="1">
        <f t="shared" si="257"/>
        <v>0</v>
      </c>
      <c r="BJ86" s="1">
        <f t="shared" si="258"/>
        <v>0</v>
      </c>
      <c r="BK86" s="1">
        <f t="shared" si="259"/>
        <v>0</v>
      </c>
      <c r="BL86" s="1">
        <f t="shared" si="260"/>
        <v>0</v>
      </c>
      <c r="BM86" s="1">
        <f t="shared" si="261"/>
        <v>0</v>
      </c>
      <c r="BN86" s="1">
        <f t="shared" si="262"/>
        <v>0</v>
      </c>
      <c r="BO86" s="69">
        <f t="shared" si="263"/>
        <v>0</v>
      </c>
      <c r="BP86" s="1">
        <f t="shared" si="198"/>
        <v>0</v>
      </c>
      <c r="BQ86" s="1">
        <f t="shared" si="215"/>
        <v>0</v>
      </c>
      <c r="BR86" s="1">
        <f t="shared" si="216"/>
        <v>0</v>
      </c>
      <c r="BS86" s="1">
        <f t="shared" si="217"/>
        <v>0</v>
      </c>
      <c r="BT86" s="1">
        <f t="shared" si="218"/>
        <v>0</v>
      </c>
      <c r="BU86" s="1">
        <f t="shared" si="219"/>
        <v>0</v>
      </c>
      <c r="BV86" s="1">
        <f t="shared" si="220"/>
        <v>0</v>
      </c>
      <c r="BW86" s="1">
        <f t="shared" si="221"/>
        <v>0</v>
      </c>
      <c r="BX86" s="1">
        <f t="shared" si="222"/>
        <v>0</v>
      </c>
      <c r="BY86" s="69">
        <f t="shared" si="223"/>
        <v>0</v>
      </c>
      <c r="BZ86" s="1">
        <f t="shared" ref="BZ86:BZ162" si="302">N86*$I86</f>
        <v>0</v>
      </c>
      <c r="CA86" s="1">
        <f t="shared" si="264"/>
        <v>0</v>
      </c>
      <c r="CB86" s="1">
        <f t="shared" si="265"/>
        <v>0</v>
      </c>
      <c r="CC86" s="1">
        <f t="shared" si="266"/>
        <v>0</v>
      </c>
      <c r="CD86" s="1">
        <f t="shared" si="267"/>
        <v>0</v>
      </c>
      <c r="CE86" s="1">
        <f t="shared" si="268"/>
        <v>0</v>
      </c>
      <c r="CF86" s="1">
        <f t="shared" si="269"/>
        <v>0</v>
      </c>
      <c r="CG86" s="1">
        <f t="shared" si="270"/>
        <v>0</v>
      </c>
      <c r="CH86" s="1">
        <f t="shared" si="271"/>
        <v>0</v>
      </c>
      <c r="CI86" s="69">
        <f t="shared" si="272"/>
        <v>0</v>
      </c>
      <c r="CJ86" s="1">
        <f t="shared" si="273"/>
        <v>0</v>
      </c>
      <c r="CK86" s="1">
        <f t="shared" si="180"/>
        <v>0</v>
      </c>
      <c r="CL86" s="1">
        <f t="shared" si="181"/>
        <v>0</v>
      </c>
      <c r="CM86" s="1">
        <f t="shared" si="182"/>
        <v>0</v>
      </c>
      <c r="CN86" s="1">
        <f t="shared" si="183"/>
        <v>0</v>
      </c>
      <c r="CO86" s="1">
        <f t="shared" si="184"/>
        <v>0</v>
      </c>
      <c r="CP86" s="1">
        <f t="shared" si="185"/>
        <v>0</v>
      </c>
      <c r="CQ86" s="1">
        <f t="shared" si="186"/>
        <v>0</v>
      </c>
      <c r="CR86" s="1">
        <f t="shared" si="187"/>
        <v>0</v>
      </c>
      <c r="CS86" s="69">
        <f t="shared" si="188"/>
        <v>0</v>
      </c>
      <c r="CT86" s="1">
        <f t="shared" ref="CT86:CT162" si="303">N86*$K86</f>
        <v>0</v>
      </c>
      <c r="CU86" s="1">
        <f t="shared" si="274"/>
        <v>0</v>
      </c>
      <c r="CV86" s="1">
        <f t="shared" si="275"/>
        <v>0</v>
      </c>
      <c r="CW86" s="1">
        <f t="shared" si="276"/>
        <v>0</v>
      </c>
      <c r="CX86" s="1">
        <f t="shared" si="277"/>
        <v>0</v>
      </c>
      <c r="CY86" s="1">
        <f t="shared" si="278"/>
        <v>0</v>
      </c>
      <c r="CZ86" s="1">
        <f t="shared" si="279"/>
        <v>0</v>
      </c>
      <c r="DA86" s="1">
        <f t="shared" si="280"/>
        <v>0</v>
      </c>
      <c r="DB86" s="1">
        <f t="shared" si="281"/>
        <v>0</v>
      </c>
      <c r="DC86" s="69">
        <f t="shared" si="282"/>
        <v>0</v>
      </c>
      <c r="DD86" s="1">
        <f t="shared" ref="DD86:DD162" si="304">N86*$L86</f>
        <v>0</v>
      </c>
      <c r="DE86" s="1">
        <f t="shared" si="283"/>
        <v>0</v>
      </c>
      <c r="DF86" s="1">
        <f t="shared" si="284"/>
        <v>0</v>
      </c>
      <c r="DG86" s="1">
        <f t="shared" si="285"/>
        <v>0</v>
      </c>
      <c r="DH86" s="1">
        <f t="shared" si="286"/>
        <v>0</v>
      </c>
      <c r="DI86" s="1">
        <f t="shared" si="287"/>
        <v>0</v>
      </c>
      <c r="DJ86" s="1">
        <f t="shared" si="288"/>
        <v>0</v>
      </c>
      <c r="DK86" s="1">
        <f t="shared" si="289"/>
        <v>0</v>
      </c>
      <c r="DL86" s="1">
        <f t="shared" si="290"/>
        <v>0</v>
      </c>
      <c r="DM86" s="69">
        <f t="shared" si="291"/>
        <v>0</v>
      </c>
      <c r="DN86" s="1">
        <f t="shared" ref="DN86:DN162" si="305">N86*$M86</f>
        <v>0</v>
      </c>
      <c r="DO86" s="1">
        <f t="shared" si="292"/>
        <v>0</v>
      </c>
      <c r="DP86" s="1">
        <f t="shared" si="293"/>
        <v>0</v>
      </c>
      <c r="DQ86" s="1">
        <f t="shared" si="294"/>
        <v>0</v>
      </c>
      <c r="DR86" s="1">
        <f t="shared" si="295"/>
        <v>0</v>
      </c>
      <c r="DS86" s="1">
        <f t="shared" si="296"/>
        <v>0</v>
      </c>
      <c r="DT86" s="1">
        <f t="shared" si="297"/>
        <v>0</v>
      </c>
      <c r="DU86" s="1">
        <f t="shared" si="298"/>
        <v>0</v>
      </c>
      <c r="DV86" s="1">
        <f t="shared" si="299"/>
        <v>0</v>
      </c>
      <c r="DW86" s="69">
        <f t="shared" si="300"/>
        <v>0</v>
      </c>
      <c r="DX86" s="1">
        <v>3</v>
      </c>
      <c r="DY86" s="69">
        <f t="shared" si="94"/>
        <v>58</v>
      </c>
      <c r="DZ86" s="1">
        <f t="shared" si="242"/>
        <v>0</v>
      </c>
      <c r="EA86" s="1">
        <f t="shared" si="243"/>
        <v>0</v>
      </c>
      <c r="EB86" s="1">
        <f t="shared" si="213"/>
        <v>0</v>
      </c>
      <c r="ED86" s="285">
        <f t="shared" si="214"/>
        <v>0</v>
      </c>
    </row>
    <row r="87" spans="1:134" ht="15" x14ac:dyDescent="0.25">
      <c r="A87" s="208" t="s">
        <v>666</v>
      </c>
      <c r="B87" s="803" t="s">
        <v>2347</v>
      </c>
      <c r="C87" s="192" t="s">
        <v>872</v>
      </c>
      <c r="D87" s="646" t="s">
        <v>1271</v>
      </c>
      <c r="E87" s="889"/>
      <c r="F87" s="625">
        <f>VLOOKUP(D87,prezzi,5,)*K87</f>
        <v>68.995199999999997</v>
      </c>
      <c r="G87" s="700"/>
      <c r="H87" s="342"/>
      <c r="I87" s="342"/>
      <c r="J87" s="342"/>
      <c r="K87" s="342">
        <v>8</v>
      </c>
      <c r="L87" s="342"/>
      <c r="M87" s="342"/>
      <c r="N87" s="658"/>
      <c r="O87" s="256"/>
      <c r="P87" s="256"/>
      <c r="Q87" s="256"/>
      <c r="R87" s="255"/>
      <c r="S87" s="256"/>
      <c r="T87" s="256"/>
      <c r="U87" s="256"/>
      <c r="V87" s="255"/>
      <c r="W87" s="256"/>
      <c r="X87" s="256"/>
      <c r="Y87" s="256"/>
      <c r="Z87" s="255"/>
      <c r="AA87" s="256"/>
      <c r="AB87" s="256"/>
      <c r="AC87" s="256"/>
      <c r="AD87" s="255"/>
      <c r="AE87" s="256"/>
      <c r="AF87" s="256"/>
      <c r="AH87" s="546">
        <f t="shared" si="212"/>
        <v>0</v>
      </c>
      <c r="AI87" s="66">
        <f t="shared" si="211"/>
        <v>0</v>
      </c>
      <c r="AL87" s="706" t="str">
        <f t="shared" si="5"/>
        <v>-ciclofiltro</v>
      </c>
      <c r="AM87" s="684">
        <f t="shared" si="245"/>
        <v>0</v>
      </c>
      <c r="AN87" s="674">
        <f t="shared" si="171"/>
        <v>0</v>
      </c>
      <c r="AO87" s="684">
        <f t="shared" si="246"/>
        <v>0</v>
      </c>
      <c r="AP87" s="674">
        <f t="shared" si="172"/>
        <v>0</v>
      </c>
      <c r="AQ87" s="684">
        <f t="shared" si="247"/>
        <v>0</v>
      </c>
      <c r="AR87" s="674">
        <f t="shared" si="173"/>
        <v>0</v>
      </c>
      <c r="AS87" s="684">
        <f t="shared" si="248"/>
        <v>0</v>
      </c>
      <c r="AT87" s="674">
        <f t="shared" si="174"/>
        <v>0</v>
      </c>
      <c r="AU87" s="684">
        <f t="shared" si="249"/>
        <v>0</v>
      </c>
      <c r="AV87" s="674">
        <f t="shared" si="175"/>
        <v>0</v>
      </c>
      <c r="AW87" s="684">
        <f t="shared" si="250"/>
        <v>0</v>
      </c>
      <c r="AX87" s="674">
        <f t="shared" si="176"/>
        <v>0</v>
      </c>
      <c r="AY87" s="684">
        <f t="shared" si="251"/>
        <v>0</v>
      </c>
      <c r="AZ87" s="674">
        <f t="shared" si="177"/>
        <v>0</v>
      </c>
      <c r="BA87" s="684">
        <f t="shared" si="252"/>
        <v>0</v>
      </c>
      <c r="BB87" s="674">
        <f t="shared" si="178"/>
        <v>0</v>
      </c>
      <c r="BC87" s="684">
        <f t="shared" si="253"/>
        <v>0</v>
      </c>
      <c r="BD87" s="674">
        <f t="shared" si="179"/>
        <v>0</v>
      </c>
      <c r="BE87" s="684">
        <f t="shared" si="254"/>
        <v>0</v>
      </c>
      <c r="BF87" s="1">
        <f t="shared" si="301"/>
        <v>0</v>
      </c>
      <c r="BG87" s="1">
        <f t="shared" si="255"/>
        <v>0</v>
      </c>
      <c r="BH87" s="1">
        <f t="shared" si="256"/>
        <v>0</v>
      </c>
      <c r="BI87" s="1">
        <f t="shared" si="257"/>
        <v>0</v>
      </c>
      <c r="BJ87" s="1">
        <f t="shared" si="258"/>
        <v>0</v>
      </c>
      <c r="BK87" s="1">
        <f t="shared" si="259"/>
        <v>0</v>
      </c>
      <c r="BL87" s="1">
        <f t="shared" si="260"/>
        <v>0</v>
      </c>
      <c r="BM87" s="1">
        <f t="shared" si="261"/>
        <v>0</v>
      </c>
      <c r="BN87" s="1">
        <f t="shared" si="262"/>
        <v>0</v>
      </c>
      <c r="BO87" s="69">
        <f t="shared" si="263"/>
        <v>0</v>
      </c>
      <c r="BP87" s="1">
        <f t="shared" si="198"/>
        <v>0</v>
      </c>
      <c r="BQ87" s="1">
        <f t="shared" si="215"/>
        <v>0</v>
      </c>
      <c r="BR87" s="1">
        <f t="shared" si="216"/>
        <v>0</v>
      </c>
      <c r="BS87" s="1">
        <f t="shared" si="217"/>
        <v>0</v>
      </c>
      <c r="BT87" s="1">
        <f t="shared" si="218"/>
        <v>0</v>
      </c>
      <c r="BU87" s="1">
        <f t="shared" si="219"/>
        <v>0</v>
      </c>
      <c r="BV87" s="1">
        <f t="shared" si="220"/>
        <v>0</v>
      </c>
      <c r="BW87" s="1">
        <f t="shared" si="221"/>
        <v>0</v>
      </c>
      <c r="BX87" s="1">
        <f t="shared" si="222"/>
        <v>0</v>
      </c>
      <c r="BY87" s="69">
        <f t="shared" si="223"/>
        <v>0</v>
      </c>
      <c r="BZ87" s="1">
        <f t="shared" si="302"/>
        <v>0</v>
      </c>
      <c r="CA87" s="1">
        <f t="shared" si="264"/>
        <v>0</v>
      </c>
      <c r="CB87" s="1">
        <f t="shared" si="265"/>
        <v>0</v>
      </c>
      <c r="CC87" s="1">
        <f t="shared" si="266"/>
        <v>0</v>
      </c>
      <c r="CD87" s="1">
        <f t="shared" si="267"/>
        <v>0</v>
      </c>
      <c r="CE87" s="1">
        <f t="shared" si="268"/>
        <v>0</v>
      </c>
      <c r="CF87" s="1">
        <f t="shared" si="269"/>
        <v>0</v>
      </c>
      <c r="CG87" s="1">
        <f t="shared" si="270"/>
        <v>0</v>
      </c>
      <c r="CH87" s="1">
        <f t="shared" si="271"/>
        <v>0</v>
      </c>
      <c r="CI87" s="69">
        <f t="shared" si="272"/>
        <v>0</v>
      </c>
      <c r="CJ87" s="1">
        <f t="shared" si="273"/>
        <v>0</v>
      </c>
      <c r="CK87" s="1">
        <f t="shared" si="180"/>
        <v>0</v>
      </c>
      <c r="CL87" s="1">
        <f t="shared" si="181"/>
        <v>0</v>
      </c>
      <c r="CM87" s="1">
        <f t="shared" si="182"/>
        <v>0</v>
      </c>
      <c r="CN87" s="1">
        <f t="shared" si="183"/>
        <v>0</v>
      </c>
      <c r="CO87" s="1">
        <f t="shared" si="184"/>
        <v>0</v>
      </c>
      <c r="CP87" s="1">
        <f t="shared" si="185"/>
        <v>0</v>
      </c>
      <c r="CQ87" s="1">
        <f t="shared" si="186"/>
        <v>0</v>
      </c>
      <c r="CR87" s="1">
        <f t="shared" si="187"/>
        <v>0</v>
      </c>
      <c r="CS87" s="69">
        <f t="shared" si="188"/>
        <v>0</v>
      </c>
      <c r="CT87" s="1">
        <f t="shared" si="303"/>
        <v>0</v>
      </c>
      <c r="CU87" s="1">
        <f t="shared" si="274"/>
        <v>0</v>
      </c>
      <c r="CV87" s="1">
        <f t="shared" si="275"/>
        <v>0</v>
      </c>
      <c r="CW87" s="1">
        <f t="shared" si="276"/>
        <v>0</v>
      </c>
      <c r="CX87" s="1">
        <f t="shared" si="277"/>
        <v>0</v>
      </c>
      <c r="CY87" s="1">
        <f t="shared" si="278"/>
        <v>0</v>
      </c>
      <c r="CZ87" s="1">
        <f t="shared" si="279"/>
        <v>0</v>
      </c>
      <c r="DA87" s="1">
        <f t="shared" si="280"/>
        <v>0</v>
      </c>
      <c r="DB87" s="1">
        <f t="shared" si="281"/>
        <v>0</v>
      </c>
      <c r="DC87" s="69">
        <f t="shared" si="282"/>
        <v>0</v>
      </c>
      <c r="DD87" s="1">
        <f t="shared" si="304"/>
        <v>0</v>
      </c>
      <c r="DE87" s="1">
        <f t="shared" si="283"/>
        <v>0</v>
      </c>
      <c r="DF87" s="1">
        <f t="shared" si="284"/>
        <v>0</v>
      </c>
      <c r="DG87" s="1">
        <f t="shared" si="285"/>
        <v>0</v>
      </c>
      <c r="DH87" s="1">
        <f t="shared" si="286"/>
        <v>0</v>
      </c>
      <c r="DI87" s="1">
        <f t="shared" si="287"/>
        <v>0</v>
      </c>
      <c r="DJ87" s="1">
        <f t="shared" si="288"/>
        <v>0</v>
      </c>
      <c r="DK87" s="1">
        <f t="shared" si="289"/>
        <v>0</v>
      </c>
      <c r="DL87" s="1">
        <f t="shared" si="290"/>
        <v>0</v>
      </c>
      <c r="DM87" s="69">
        <f t="shared" si="291"/>
        <v>0</v>
      </c>
      <c r="DN87" s="1">
        <f t="shared" si="305"/>
        <v>0</v>
      </c>
      <c r="DO87" s="1">
        <f t="shared" si="292"/>
        <v>0</v>
      </c>
      <c r="DP87" s="1">
        <f t="shared" si="293"/>
        <v>0</v>
      </c>
      <c r="DQ87" s="1">
        <f t="shared" si="294"/>
        <v>0</v>
      </c>
      <c r="DR87" s="1">
        <f t="shared" si="295"/>
        <v>0</v>
      </c>
      <c r="DS87" s="1">
        <f t="shared" si="296"/>
        <v>0</v>
      </c>
      <c r="DT87" s="1">
        <f t="shared" si="297"/>
        <v>0</v>
      </c>
      <c r="DU87" s="1">
        <f t="shared" si="298"/>
        <v>0</v>
      </c>
      <c r="DV87" s="1">
        <f t="shared" si="299"/>
        <v>0</v>
      </c>
      <c r="DW87" s="69">
        <f t="shared" si="300"/>
        <v>0</v>
      </c>
      <c r="DX87" s="1">
        <v>3</v>
      </c>
      <c r="DY87" s="69">
        <f t="shared" si="94"/>
        <v>59</v>
      </c>
      <c r="DZ87" s="1">
        <f t="shared" si="242"/>
        <v>0</v>
      </c>
      <c r="EA87" s="1">
        <f t="shared" si="243"/>
        <v>0</v>
      </c>
      <c r="EB87" s="1">
        <f t="shared" si="213"/>
        <v>0</v>
      </c>
      <c r="ED87" s="285">
        <f t="shared" si="214"/>
        <v>0</v>
      </c>
    </row>
    <row r="88" spans="1:134" ht="15" x14ac:dyDescent="0.25">
      <c r="A88" s="208" t="s">
        <v>666</v>
      </c>
      <c r="B88" s="800" t="s">
        <v>2321</v>
      </c>
      <c r="C88" s="193" t="s">
        <v>872</v>
      </c>
      <c r="D88" s="647" t="s">
        <v>695</v>
      </c>
      <c r="E88" s="889"/>
      <c r="F88" s="625">
        <f t="shared" ref="F88:F115" si="306">VLOOKUP(D88,prezzi,5,)</f>
        <v>0</v>
      </c>
      <c r="G88" s="694"/>
      <c r="H88" s="58"/>
      <c r="I88" s="58"/>
      <c r="J88" s="58">
        <v>2</v>
      </c>
      <c r="K88" s="58">
        <v>1</v>
      </c>
      <c r="L88" s="58"/>
      <c r="M88" s="58"/>
      <c r="N88" s="658"/>
      <c r="O88" s="256"/>
      <c r="P88" s="256"/>
      <c r="Q88" s="256"/>
      <c r="R88" s="255"/>
      <c r="S88" s="256"/>
      <c r="T88" s="256"/>
      <c r="U88" s="256"/>
      <c r="V88" s="255"/>
      <c r="W88" s="256"/>
      <c r="X88" s="256"/>
      <c r="Y88" s="256"/>
      <c r="Z88" s="255"/>
      <c r="AA88" s="256"/>
      <c r="AB88" s="256"/>
      <c r="AC88" s="256"/>
      <c r="AD88" s="255"/>
      <c r="AE88" s="256"/>
      <c r="AF88" s="256"/>
      <c r="AH88" s="546">
        <f t="shared" si="212"/>
        <v>0</v>
      </c>
      <c r="AI88" s="66">
        <f t="shared" si="211"/>
        <v>0</v>
      </c>
      <c r="AL88" s="706" t="str">
        <f t="shared" si="5"/>
        <v>-valvola monostabile + 2 finecorsa</v>
      </c>
      <c r="AM88" s="684">
        <f t="shared" si="245"/>
        <v>0</v>
      </c>
      <c r="AN88" s="674">
        <f t="shared" si="171"/>
        <v>0</v>
      </c>
      <c r="AO88" s="684">
        <f t="shared" si="246"/>
        <v>0</v>
      </c>
      <c r="AP88" s="674">
        <f t="shared" si="172"/>
        <v>0</v>
      </c>
      <c r="AQ88" s="684">
        <f t="shared" si="247"/>
        <v>0</v>
      </c>
      <c r="AR88" s="674">
        <f t="shared" si="173"/>
        <v>0</v>
      </c>
      <c r="AS88" s="684">
        <f t="shared" si="248"/>
        <v>0</v>
      </c>
      <c r="AT88" s="674">
        <f t="shared" si="174"/>
        <v>0</v>
      </c>
      <c r="AU88" s="684">
        <f t="shared" si="249"/>
        <v>0</v>
      </c>
      <c r="AV88" s="674">
        <f t="shared" si="175"/>
        <v>0</v>
      </c>
      <c r="AW88" s="684">
        <f t="shared" si="250"/>
        <v>0</v>
      </c>
      <c r="AX88" s="674">
        <f t="shared" si="176"/>
        <v>0</v>
      </c>
      <c r="AY88" s="684">
        <f t="shared" si="251"/>
        <v>0</v>
      </c>
      <c r="AZ88" s="674">
        <f t="shared" si="177"/>
        <v>0</v>
      </c>
      <c r="BA88" s="684">
        <f t="shared" si="252"/>
        <v>0</v>
      </c>
      <c r="BB88" s="674">
        <f t="shared" si="178"/>
        <v>0</v>
      </c>
      <c r="BC88" s="684">
        <f t="shared" si="253"/>
        <v>0</v>
      </c>
      <c r="BD88" s="674">
        <f t="shared" si="179"/>
        <v>0</v>
      </c>
      <c r="BE88" s="684">
        <f t="shared" si="254"/>
        <v>0</v>
      </c>
      <c r="BF88" s="1">
        <f t="shared" si="301"/>
        <v>0</v>
      </c>
      <c r="BG88" s="1">
        <f t="shared" si="255"/>
        <v>0</v>
      </c>
      <c r="BH88" s="1">
        <f t="shared" si="256"/>
        <v>0</v>
      </c>
      <c r="BI88" s="1">
        <f t="shared" si="257"/>
        <v>0</v>
      </c>
      <c r="BJ88" s="1">
        <f t="shared" si="258"/>
        <v>0</v>
      </c>
      <c r="BK88" s="1">
        <f t="shared" si="259"/>
        <v>0</v>
      </c>
      <c r="BL88" s="1">
        <f t="shared" si="260"/>
        <v>0</v>
      </c>
      <c r="BM88" s="1">
        <f t="shared" si="261"/>
        <v>0</v>
      </c>
      <c r="BN88" s="1">
        <f t="shared" si="262"/>
        <v>0</v>
      </c>
      <c r="BO88" s="69">
        <f t="shared" si="263"/>
        <v>0</v>
      </c>
      <c r="BP88" s="1">
        <f t="shared" si="198"/>
        <v>0</v>
      </c>
      <c r="BQ88" s="1">
        <f t="shared" si="215"/>
        <v>0</v>
      </c>
      <c r="BR88" s="1">
        <f t="shared" si="216"/>
        <v>0</v>
      </c>
      <c r="BS88" s="1">
        <f t="shared" si="217"/>
        <v>0</v>
      </c>
      <c r="BT88" s="1">
        <f t="shared" si="218"/>
        <v>0</v>
      </c>
      <c r="BU88" s="1">
        <f t="shared" si="219"/>
        <v>0</v>
      </c>
      <c r="BV88" s="1">
        <f t="shared" si="220"/>
        <v>0</v>
      </c>
      <c r="BW88" s="1">
        <f t="shared" si="221"/>
        <v>0</v>
      </c>
      <c r="BX88" s="1">
        <f t="shared" si="222"/>
        <v>0</v>
      </c>
      <c r="BY88" s="69">
        <f t="shared" si="223"/>
        <v>0</v>
      </c>
      <c r="BZ88" s="1">
        <f t="shared" si="302"/>
        <v>0</v>
      </c>
      <c r="CA88" s="1">
        <f t="shared" si="264"/>
        <v>0</v>
      </c>
      <c r="CB88" s="1">
        <f t="shared" si="265"/>
        <v>0</v>
      </c>
      <c r="CC88" s="1">
        <f t="shared" si="266"/>
        <v>0</v>
      </c>
      <c r="CD88" s="1">
        <f t="shared" si="267"/>
        <v>0</v>
      </c>
      <c r="CE88" s="1">
        <f t="shared" si="268"/>
        <v>0</v>
      </c>
      <c r="CF88" s="1">
        <f t="shared" si="269"/>
        <v>0</v>
      </c>
      <c r="CG88" s="1">
        <f t="shared" si="270"/>
        <v>0</v>
      </c>
      <c r="CH88" s="1">
        <f t="shared" si="271"/>
        <v>0</v>
      </c>
      <c r="CI88" s="69">
        <f t="shared" si="272"/>
        <v>0</v>
      </c>
      <c r="CJ88" s="1">
        <f t="shared" si="273"/>
        <v>0</v>
      </c>
      <c r="CK88" s="1">
        <f t="shared" si="180"/>
        <v>0</v>
      </c>
      <c r="CL88" s="1">
        <f t="shared" si="181"/>
        <v>0</v>
      </c>
      <c r="CM88" s="1">
        <f t="shared" si="182"/>
        <v>0</v>
      </c>
      <c r="CN88" s="1">
        <f t="shared" si="183"/>
        <v>0</v>
      </c>
      <c r="CO88" s="1">
        <f t="shared" si="184"/>
        <v>0</v>
      </c>
      <c r="CP88" s="1">
        <f t="shared" si="185"/>
        <v>0</v>
      </c>
      <c r="CQ88" s="1">
        <f t="shared" si="186"/>
        <v>0</v>
      </c>
      <c r="CR88" s="1">
        <f t="shared" si="187"/>
        <v>0</v>
      </c>
      <c r="CS88" s="69">
        <f t="shared" si="188"/>
        <v>0</v>
      </c>
      <c r="CT88" s="1">
        <f t="shared" si="303"/>
        <v>0</v>
      </c>
      <c r="CU88" s="1">
        <f t="shared" si="274"/>
        <v>0</v>
      </c>
      <c r="CV88" s="1">
        <f t="shared" si="275"/>
        <v>0</v>
      </c>
      <c r="CW88" s="1">
        <f t="shared" si="276"/>
        <v>0</v>
      </c>
      <c r="CX88" s="1">
        <f t="shared" si="277"/>
        <v>0</v>
      </c>
      <c r="CY88" s="1">
        <f t="shared" si="278"/>
        <v>0</v>
      </c>
      <c r="CZ88" s="1">
        <f t="shared" si="279"/>
        <v>0</v>
      </c>
      <c r="DA88" s="1">
        <f t="shared" si="280"/>
        <v>0</v>
      </c>
      <c r="DB88" s="1">
        <f t="shared" si="281"/>
        <v>0</v>
      </c>
      <c r="DC88" s="69">
        <f t="shared" si="282"/>
        <v>0</v>
      </c>
      <c r="DD88" s="1">
        <f t="shared" si="304"/>
        <v>0</v>
      </c>
      <c r="DE88" s="1">
        <f t="shared" si="283"/>
        <v>0</v>
      </c>
      <c r="DF88" s="1">
        <f t="shared" si="284"/>
        <v>0</v>
      </c>
      <c r="DG88" s="1">
        <f t="shared" si="285"/>
        <v>0</v>
      </c>
      <c r="DH88" s="1">
        <f t="shared" si="286"/>
        <v>0</v>
      </c>
      <c r="DI88" s="1">
        <f t="shared" si="287"/>
        <v>0</v>
      </c>
      <c r="DJ88" s="1">
        <f t="shared" si="288"/>
        <v>0</v>
      </c>
      <c r="DK88" s="1">
        <f t="shared" si="289"/>
        <v>0</v>
      </c>
      <c r="DL88" s="1">
        <f t="shared" si="290"/>
        <v>0</v>
      </c>
      <c r="DM88" s="69">
        <f t="shared" si="291"/>
        <v>0</v>
      </c>
      <c r="DN88" s="1">
        <f t="shared" si="305"/>
        <v>0</v>
      </c>
      <c r="DO88" s="1">
        <f t="shared" si="292"/>
        <v>0</v>
      </c>
      <c r="DP88" s="1">
        <f t="shared" si="293"/>
        <v>0</v>
      </c>
      <c r="DQ88" s="1">
        <f t="shared" si="294"/>
        <v>0</v>
      </c>
      <c r="DR88" s="1">
        <f t="shared" si="295"/>
        <v>0</v>
      </c>
      <c r="DS88" s="1">
        <f t="shared" si="296"/>
        <v>0</v>
      </c>
      <c r="DT88" s="1">
        <f t="shared" si="297"/>
        <v>0</v>
      </c>
      <c r="DU88" s="1">
        <f t="shared" si="298"/>
        <v>0</v>
      </c>
      <c r="DV88" s="1">
        <f t="shared" si="299"/>
        <v>0</v>
      </c>
      <c r="DW88" s="69">
        <f t="shared" si="300"/>
        <v>0</v>
      </c>
      <c r="DX88" s="1">
        <v>3</v>
      </c>
      <c r="DY88" s="69">
        <f t="shared" si="94"/>
        <v>60</v>
      </c>
      <c r="DZ88" s="1">
        <f t="shared" si="242"/>
        <v>0</v>
      </c>
      <c r="EA88" s="1">
        <f t="shared" si="243"/>
        <v>0</v>
      </c>
      <c r="EB88" s="1">
        <f t="shared" si="213"/>
        <v>0</v>
      </c>
      <c r="EC88" s="281">
        <v>1</v>
      </c>
      <c r="ED88" s="285">
        <f t="shared" si="214"/>
        <v>0</v>
      </c>
    </row>
    <row r="89" spans="1:134" ht="15" x14ac:dyDescent="0.25">
      <c r="A89" s="208" t="s">
        <v>666</v>
      </c>
      <c r="B89" s="803" t="s">
        <v>2322</v>
      </c>
      <c r="C89" s="192" t="s">
        <v>872</v>
      </c>
      <c r="D89" s="335" t="s">
        <v>697</v>
      </c>
      <c r="E89" s="889"/>
      <c r="F89" s="625">
        <f t="shared" si="306"/>
        <v>0</v>
      </c>
      <c r="G89" s="269"/>
      <c r="H89" s="58"/>
      <c r="I89" s="58"/>
      <c r="J89" s="58"/>
      <c r="K89" s="58">
        <v>1</v>
      </c>
      <c r="L89" s="58"/>
      <c r="M89" s="58"/>
      <c r="N89" s="658"/>
      <c r="O89" s="256"/>
      <c r="P89" s="256"/>
      <c r="Q89" s="256"/>
      <c r="R89" s="255"/>
      <c r="S89" s="256"/>
      <c r="T89" s="256"/>
      <c r="U89" s="256"/>
      <c r="V89" s="255"/>
      <c r="W89" s="256"/>
      <c r="X89" s="256"/>
      <c r="Y89" s="256"/>
      <c r="Z89" s="255"/>
      <c r="AA89" s="256"/>
      <c r="AB89" s="256"/>
      <c r="AC89" s="256"/>
      <c r="AD89" s="255"/>
      <c r="AE89" s="256"/>
      <c r="AF89" s="256"/>
      <c r="AH89" s="546">
        <f t="shared" ref="AH89:AH121" si="307">AI89+AN89+AP89+AR89+AT89+AV89+AX89+AZ89+BB89+BD89</f>
        <v>0</v>
      </c>
      <c r="AI89" s="66">
        <f t="shared" si="211"/>
        <v>0</v>
      </c>
      <c r="AL89" s="706" t="str">
        <f t="shared" si="5"/>
        <v>-valvola monostabile</v>
      </c>
      <c r="AM89" s="684">
        <f t="shared" si="245"/>
        <v>0</v>
      </c>
      <c r="AN89" s="674">
        <f t="shared" si="171"/>
        <v>0</v>
      </c>
      <c r="AO89" s="684">
        <f t="shared" si="246"/>
        <v>0</v>
      </c>
      <c r="AP89" s="674">
        <f t="shared" si="172"/>
        <v>0</v>
      </c>
      <c r="AQ89" s="684">
        <f t="shared" si="247"/>
        <v>0</v>
      </c>
      <c r="AR89" s="674">
        <f t="shared" si="173"/>
        <v>0</v>
      </c>
      <c r="AS89" s="684">
        <f t="shared" si="248"/>
        <v>0</v>
      </c>
      <c r="AT89" s="674">
        <f t="shared" si="174"/>
        <v>0</v>
      </c>
      <c r="AU89" s="684">
        <f t="shared" si="249"/>
        <v>0</v>
      </c>
      <c r="AV89" s="674">
        <f t="shared" si="175"/>
        <v>0</v>
      </c>
      <c r="AW89" s="684">
        <f t="shared" si="250"/>
        <v>0</v>
      </c>
      <c r="AX89" s="674">
        <f t="shared" si="176"/>
        <v>0</v>
      </c>
      <c r="AY89" s="684">
        <f t="shared" si="251"/>
        <v>0</v>
      </c>
      <c r="AZ89" s="674">
        <f t="shared" si="177"/>
        <v>0</v>
      </c>
      <c r="BA89" s="684">
        <f t="shared" si="252"/>
        <v>0</v>
      </c>
      <c r="BB89" s="674">
        <f t="shared" si="178"/>
        <v>0</v>
      </c>
      <c r="BC89" s="684">
        <f t="shared" si="253"/>
        <v>0</v>
      </c>
      <c r="BD89" s="674">
        <f t="shared" si="179"/>
        <v>0</v>
      </c>
      <c r="BE89" s="684">
        <f t="shared" si="254"/>
        <v>0</v>
      </c>
      <c r="BF89" s="1">
        <f t="shared" si="301"/>
        <v>0</v>
      </c>
      <c r="BG89" s="1">
        <f t="shared" si="255"/>
        <v>0</v>
      </c>
      <c r="BH89" s="1">
        <f t="shared" si="256"/>
        <v>0</v>
      </c>
      <c r="BI89" s="1">
        <f t="shared" si="257"/>
        <v>0</v>
      </c>
      <c r="BJ89" s="1">
        <f t="shared" si="258"/>
        <v>0</v>
      </c>
      <c r="BK89" s="1">
        <f t="shared" si="259"/>
        <v>0</v>
      </c>
      <c r="BL89" s="1">
        <f t="shared" si="260"/>
        <v>0</v>
      </c>
      <c r="BM89" s="1">
        <f t="shared" si="261"/>
        <v>0</v>
      </c>
      <c r="BN89" s="1">
        <f t="shared" si="262"/>
        <v>0</v>
      </c>
      <c r="BO89" s="69">
        <f t="shared" si="263"/>
        <v>0</v>
      </c>
      <c r="BP89" s="1">
        <f t="shared" si="198"/>
        <v>0</v>
      </c>
      <c r="BQ89" s="1">
        <f t="shared" si="215"/>
        <v>0</v>
      </c>
      <c r="BR89" s="1">
        <f t="shared" si="216"/>
        <v>0</v>
      </c>
      <c r="BS89" s="1">
        <f t="shared" si="217"/>
        <v>0</v>
      </c>
      <c r="BT89" s="1">
        <f t="shared" si="218"/>
        <v>0</v>
      </c>
      <c r="BU89" s="1">
        <f t="shared" si="219"/>
        <v>0</v>
      </c>
      <c r="BV89" s="1">
        <f t="shared" si="220"/>
        <v>0</v>
      </c>
      <c r="BW89" s="1">
        <f t="shared" si="221"/>
        <v>0</v>
      </c>
      <c r="BX89" s="1">
        <f t="shared" si="222"/>
        <v>0</v>
      </c>
      <c r="BY89" s="69">
        <f t="shared" si="223"/>
        <v>0</v>
      </c>
      <c r="BZ89" s="1">
        <f t="shared" si="302"/>
        <v>0</v>
      </c>
      <c r="CA89" s="1">
        <f t="shared" si="264"/>
        <v>0</v>
      </c>
      <c r="CB89" s="1">
        <f t="shared" si="265"/>
        <v>0</v>
      </c>
      <c r="CC89" s="1">
        <f t="shared" si="266"/>
        <v>0</v>
      </c>
      <c r="CD89" s="1">
        <f t="shared" si="267"/>
        <v>0</v>
      </c>
      <c r="CE89" s="1">
        <f t="shared" si="268"/>
        <v>0</v>
      </c>
      <c r="CF89" s="1">
        <f t="shared" si="269"/>
        <v>0</v>
      </c>
      <c r="CG89" s="1">
        <f t="shared" si="270"/>
        <v>0</v>
      </c>
      <c r="CH89" s="1">
        <f t="shared" si="271"/>
        <v>0</v>
      </c>
      <c r="CI89" s="69">
        <f t="shared" si="272"/>
        <v>0</v>
      </c>
      <c r="CJ89" s="1">
        <f t="shared" si="273"/>
        <v>0</v>
      </c>
      <c r="CK89" s="1">
        <f t="shared" si="180"/>
        <v>0</v>
      </c>
      <c r="CL89" s="1">
        <f t="shared" si="181"/>
        <v>0</v>
      </c>
      <c r="CM89" s="1">
        <f t="shared" si="182"/>
        <v>0</v>
      </c>
      <c r="CN89" s="1">
        <f t="shared" si="183"/>
        <v>0</v>
      </c>
      <c r="CO89" s="1">
        <f t="shared" si="184"/>
        <v>0</v>
      </c>
      <c r="CP89" s="1">
        <f t="shared" si="185"/>
        <v>0</v>
      </c>
      <c r="CQ89" s="1">
        <f t="shared" si="186"/>
        <v>0</v>
      </c>
      <c r="CR89" s="1">
        <f t="shared" si="187"/>
        <v>0</v>
      </c>
      <c r="CS89" s="69">
        <f t="shared" si="188"/>
        <v>0</v>
      </c>
      <c r="CT89" s="1">
        <f t="shared" si="303"/>
        <v>0</v>
      </c>
      <c r="CU89" s="1">
        <f t="shared" si="274"/>
        <v>0</v>
      </c>
      <c r="CV89" s="1">
        <f t="shared" si="275"/>
        <v>0</v>
      </c>
      <c r="CW89" s="1">
        <f t="shared" si="276"/>
        <v>0</v>
      </c>
      <c r="CX89" s="1">
        <f t="shared" si="277"/>
        <v>0</v>
      </c>
      <c r="CY89" s="1">
        <f t="shared" si="278"/>
        <v>0</v>
      </c>
      <c r="CZ89" s="1">
        <f t="shared" si="279"/>
        <v>0</v>
      </c>
      <c r="DA89" s="1">
        <f t="shared" si="280"/>
        <v>0</v>
      </c>
      <c r="DB89" s="1">
        <f t="shared" si="281"/>
        <v>0</v>
      </c>
      <c r="DC89" s="69">
        <f t="shared" si="282"/>
        <v>0</v>
      </c>
      <c r="DD89" s="1">
        <f t="shared" si="304"/>
        <v>0</v>
      </c>
      <c r="DE89" s="1">
        <f t="shared" si="283"/>
        <v>0</v>
      </c>
      <c r="DF89" s="1">
        <f t="shared" si="284"/>
        <v>0</v>
      </c>
      <c r="DG89" s="1">
        <f t="shared" si="285"/>
        <v>0</v>
      </c>
      <c r="DH89" s="1">
        <f t="shared" si="286"/>
        <v>0</v>
      </c>
      <c r="DI89" s="1">
        <f t="shared" si="287"/>
        <v>0</v>
      </c>
      <c r="DJ89" s="1">
        <f t="shared" si="288"/>
        <v>0</v>
      </c>
      <c r="DK89" s="1">
        <f t="shared" si="289"/>
        <v>0</v>
      </c>
      <c r="DL89" s="1">
        <f t="shared" si="290"/>
        <v>0</v>
      </c>
      <c r="DM89" s="69">
        <f t="shared" si="291"/>
        <v>0</v>
      </c>
      <c r="DN89" s="1">
        <f t="shared" si="305"/>
        <v>0</v>
      </c>
      <c r="DO89" s="1">
        <f t="shared" si="292"/>
        <v>0</v>
      </c>
      <c r="DP89" s="1">
        <f t="shared" si="293"/>
        <v>0</v>
      </c>
      <c r="DQ89" s="1">
        <f t="shared" si="294"/>
        <v>0</v>
      </c>
      <c r="DR89" s="1">
        <f t="shared" si="295"/>
        <v>0</v>
      </c>
      <c r="DS89" s="1">
        <f t="shared" si="296"/>
        <v>0</v>
      </c>
      <c r="DT89" s="1">
        <f t="shared" si="297"/>
        <v>0</v>
      </c>
      <c r="DU89" s="1">
        <f t="shared" si="298"/>
        <v>0</v>
      </c>
      <c r="DV89" s="1">
        <f t="shared" si="299"/>
        <v>0</v>
      </c>
      <c r="DW89" s="69">
        <f t="shared" si="300"/>
        <v>0</v>
      </c>
      <c r="DX89" s="1">
        <v>3</v>
      </c>
      <c r="DY89" s="69">
        <f t="shared" si="94"/>
        <v>61</v>
      </c>
      <c r="DZ89" s="1">
        <f t="shared" si="242"/>
        <v>0</v>
      </c>
      <c r="EA89" s="1">
        <f t="shared" si="243"/>
        <v>0</v>
      </c>
      <c r="EB89" s="1">
        <f t="shared" ref="EB89:EB121" si="308">IF(C89="r",SUM(N89+P89+R89+T89+V89+X89+Z89+AB89+AD89+AF89),0)</f>
        <v>0</v>
      </c>
      <c r="EC89" s="281">
        <v>1</v>
      </c>
      <c r="ED89" s="285">
        <f t="shared" ref="ED89:ED121" si="309">SUM(N89:AF89)*EC89</f>
        <v>0</v>
      </c>
    </row>
    <row r="90" spans="1:134" x14ac:dyDescent="0.2">
      <c r="A90" s="208" t="s">
        <v>666</v>
      </c>
      <c r="B90" s="803" t="s">
        <v>2309</v>
      </c>
      <c r="C90" s="192" t="s">
        <v>872</v>
      </c>
      <c r="D90" s="647" t="s">
        <v>695</v>
      </c>
      <c r="E90" s="889"/>
      <c r="F90" s="625">
        <f>VLOOKUP(D90,prezzi,5,)</f>
        <v>0</v>
      </c>
      <c r="G90" s="269"/>
      <c r="H90" s="58"/>
      <c r="I90" s="58"/>
      <c r="J90" s="58">
        <v>2</v>
      </c>
      <c r="K90" s="58">
        <v>1</v>
      </c>
      <c r="L90" s="58"/>
      <c r="M90" s="58"/>
      <c r="N90" s="658"/>
      <c r="O90" s="256"/>
      <c r="P90" s="256"/>
      <c r="Q90" s="256"/>
      <c r="R90" s="255"/>
      <c r="S90" s="256"/>
      <c r="T90" s="256"/>
      <c r="U90" s="256"/>
      <c r="V90" s="255"/>
      <c r="W90" s="256"/>
      <c r="X90" s="256"/>
      <c r="Y90" s="256"/>
      <c r="Z90" s="255"/>
      <c r="AA90" s="256"/>
      <c r="AB90" s="256"/>
      <c r="AC90" s="256"/>
      <c r="AD90" s="255"/>
      <c r="AE90" s="256"/>
      <c r="AF90" s="256"/>
      <c r="AH90" s="546">
        <f t="shared" si="307"/>
        <v>0</v>
      </c>
      <c r="AI90" s="66">
        <f>N90*$E90</f>
        <v>0</v>
      </c>
      <c r="AL90" s="706" t="str">
        <f t="shared" ref="AL90:AL156" si="310">AJ90&amp;"-"&amp;D90</f>
        <v>-valvola monostabile + 2 finecorsa</v>
      </c>
      <c r="AM90" s="684">
        <f>N90*$F90</f>
        <v>0</v>
      </c>
      <c r="AN90" s="674">
        <f>P90*$E90</f>
        <v>0</v>
      </c>
      <c r="AO90" s="684">
        <f>P90*$F90</f>
        <v>0</v>
      </c>
      <c r="AP90" s="674">
        <f>R90*$E90</f>
        <v>0</v>
      </c>
      <c r="AQ90" s="684">
        <f>R90*$F90</f>
        <v>0</v>
      </c>
      <c r="AR90" s="674">
        <f>T90*$E90</f>
        <v>0</v>
      </c>
      <c r="AS90" s="684">
        <f>T90*$F90</f>
        <v>0</v>
      </c>
      <c r="AT90" s="674">
        <f>V90*$E90</f>
        <v>0</v>
      </c>
      <c r="AU90" s="684">
        <f>V90*$F90</f>
        <v>0</v>
      </c>
      <c r="AV90" s="674">
        <f>X90*$E90</f>
        <v>0</v>
      </c>
      <c r="AW90" s="684">
        <f>X90*$F90</f>
        <v>0</v>
      </c>
      <c r="AX90" s="674">
        <f>Z90*$E90</f>
        <v>0</v>
      </c>
      <c r="AY90" s="684">
        <f>Z90*$F90</f>
        <v>0</v>
      </c>
      <c r="AZ90" s="674">
        <f>AB90*$E90</f>
        <v>0</v>
      </c>
      <c r="BA90" s="684">
        <f>AB90*$F90</f>
        <v>0</v>
      </c>
      <c r="BB90" s="674">
        <f>AD90*$E90</f>
        <v>0</v>
      </c>
      <c r="BC90" s="684">
        <f>AD90*$F90</f>
        <v>0</v>
      </c>
      <c r="BD90" s="674">
        <f>AF90*$E90</f>
        <v>0</v>
      </c>
      <c r="BE90" s="684">
        <f>AF90*$F90</f>
        <v>0</v>
      </c>
      <c r="BF90" s="1">
        <f>N90*$G90</f>
        <v>0</v>
      </c>
      <c r="BG90" s="1">
        <f>P90*$G90</f>
        <v>0</v>
      </c>
      <c r="BH90" s="1">
        <f>R90*$G90</f>
        <v>0</v>
      </c>
      <c r="BI90" s="1">
        <f>T90*$G90</f>
        <v>0</v>
      </c>
      <c r="BJ90" s="1">
        <f>V90*$G90</f>
        <v>0</v>
      </c>
      <c r="BK90" s="1">
        <f>X90*$G90</f>
        <v>0</v>
      </c>
      <c r="BL90" s="1">
        <f>Z90*$G90</f>
        <v>0</v>
      </c>
      <c r="BM90" s="1">
        <f>AB90*$G90</f>
        <v>0</v>
      </c>
      <c r="BN90" s="1">
        <f>AD90*$G90</f>
        <v>0</v>
      </c>
      <c r="BO90" s="69">
        <f>AF90*$G90</f>
        <v>0</v>
      </c>
      <c r="BP90" s="1">
        <f>N90*$H90</f>
        <v>0</v>
      </c>
      <c r="BQ90" s="1">
        <f>P90*$H90</f>
        <v>0</v>
      </c>
      <c r="BR90" s="1">
        <f>R90*$H90</f>
        <v>0</v>
      </c>
      <c r="BS90" s="1">
        <f>T90*$H90</f>
        <v>0</v>
      </c>
      <c r="BT90" s="1">
        <f>V90*$H90</f>
        <v>0</v>
      </c>
      <c r="BU90" s="1">
        <f>X90*$H90</f>
        <v>0</v>
      </c>
      <c r="BV90" s="1">
        <f>Z90*$H90</f>
        <v>0</v>
      </c>
      <c r="BW90" s="1">
        <f>AB90*$H90</f>
        <v>0</v>
      </c>
      <c r="BX90" s="1">
        <f>AD90*$H90</f>
        <v>0</v>
      </c>
      <c r="BY90" s="69">
        <f>AF90*$H90</f>
        <v>0</v>
      </c>
      <c r="BZ90" s="1">
        <f>N90*$I90</f>
        <v>0</v>
      </c>
      <c r="CA90" s="1">
        <f>P90*$I90</f>
        <v>0</v>
      </c>
      <c r="CB90" s="1">
        <f>R90*$I90</f>
        <v>0</v>
      </c>
      <c r="CC90" s="1">
        <f>T90*$I90</f>
        <v>0</v>
      </c>
      <c r="CD90" s="1">
        <f>V90*$I90</f>
        <v>0</v>
      </c>
      <c r="CE90" s="1">
        <f>X90*$I90</f>
        <v>0</v>
      </c>
      <c r="CF90" s="1">
        <f>Z90*$I90</f>
        <v>0</v>
      </c>
      <c r="CG90" s="1">
        <f>AB90*$I90</f>
        <v>0</v>
      </c>
      <c r="CH90" s="1">
        <f>AD90*$I90</f>
        <v>0</v>
      </c>
      <c r="CI90" s="69">
        <f>AF90*$I90</f>
        <v>0</v>
      </c>
      <c r="CJ90" s="1">
        <f>N90*$J90</f>
        <v>0</v>
      </c>
      <c r="CK90" s="1">
        <f>P90*$J90</f>
        <v>0</v>
      </c>
      <c r="CL90" s="1">
        <f>R90*$J90</f>
        <v>0</v>
      </c>
      <c r="CM90" s="1">
        <f>T90*$J90</f>
        <v>0</v>
      </c>
      <c r="CN90" s="1">
        <f>V90*$J90</f>
        <v>0</v>
      </c>
      <c r="CO90" s="1">
        <f>X90*$J90</f>
        <v>0</v>
      </c>
      <c r="CP90" s="1">
        <f>Z90*$J90</f>
        <v>0</v>
      </c>
      <c r="CQ90" s="1">
        <f>AB90*$J90</f>
        <v>0</v>
      </c>
      <c r="CR90" s="1">
        <f>AD90*$J90</f>
        <v>0</v>
      </c>
      <c r="CS90" s="69">
        <f>AF90*$J90</f>
        <v>0</v>
      </c>
      <c r="CT90" s="1">
        <f>N90*$K90</f>
        <v>0</v>
      </c>
      <c r="CU90" s="1">
        <f>P90*$K90</f>
        <v>0</v>
      </c>
      <c r="CV90" s="1">
        <f>R90*$K90</f>
        <v>0</v>
      </c>
      <c r="CW90" s="1">
        <f>T90*$K90</f>
        <v>0</v>
      </c>
      <c r="CX90" s="1">
        <f>V90*$K90</f>
        <v>0</v>
      </c>
      <c r="CY90" s="1">
        <f>X90*$K90</f>
        <v>0</v>
      </c>
      <c r="CZ90" s="1">
        <f>Z90*$K90</f>
        <v>0</v>
      </c>
      <c r="DA90" s="1">
        <f>AB90*$K90</f>
        <v>0</v>
      </c>
      <c r="DB90" s="1">
        <f>AD90*$K90</f>
        <v>0</v>
      </c>
      <c r="DC90" s="69">
        <f>AF90*$K90</f>
        <v>0</v>
      </c>
      <c r="DD90" s="1">
        <f>N90*$L90</f>
        <v>0</v>
      </c>
      <c r="DE90" s="1">
        <f>P90*$L90</f>
        <v>0</v>
      </c>
      <c r="DF90" s="1">
        <f>R90*$L90</f>
        <v>0</v>
      </c>
      <c r="DG90" s="1">
        <f>T90*$L90</f>
        <v>0</v>
      </c>
      <c r="DH90" s="1">
        <f>V90*$L90</f>
        <v>0</v>
      </c>
      <c r="DI90" s="1">
        <f>X90*$L90</f>
        <v>0</v>
      </c>
      <c r="DJ90" s="1">
        <f>Z90*$L90</f>
        <v>0</v>
      </c>
      <c r="DK90" s="1">
        <f>AB90*$L90</f>
        <v>0</v>
      </c>
      <c r="DL90" s="1">
        <f>AD90*$L90</f>
        <v>0</v>
      </c>
      <c r="DM90" s="69">
        <f>AF90*$L90</f>
        <v>0</v>
      </c>
      <c r="DN90" s="1">
        <f>N90*$M90</f>
        <v>0</v>
      </c>
      <c r="DO90" s="1">
        <f>P90*$M90</f>
        <v>0</v>
      </c>
      <c r="DP90" s="1">
        <f>R90*$M90</f>
        <v>0</v>
      </c>
      <c r="DQ90" s="1">
        <f>T90*$M90</f>
        <v>0</v>
      </c>
      <c r="DR90" s="1">
        <f>V90*$M90</f>
        <v>0</v>
      </c>
      <c r="DS90" s="1">
        <f>X90*$M90</f>
        <v>0</v>
      </c>
      <c r="DT90" s="1">
        <f>Z90*$M90</f>
        <v>0</v>
      </c>
      <c r="DU90" s="1">
        <f>AB90*$M90</f>
        <v>0</v>
      </c>
      <c r="DV90" s="1">
        <f>AD90*$M90</f>
        <v>0</v>
      </c>
      <c r="DW90" s="69">
        <f>AF90*$M90</f>
        <v>0</v>
      </c>
      <c r="DX90" s="1">
        <v>4</v>
      </c>
      <c r="DY90" s="69">
        <f t="shared" si="94"/>
        <v>62</v>
      </c>
      <c r="DZ90" s="1">
        <f t="shared" si="242"/>
        <v>0</v>
      </c>
      <c r="EA90" s="1">
        <f t="shared" si="243"/>
        <v>0</v>
      </c>
      <c r="EB90" s="1">
        <f t="shared" si="308"/>
        <v>0</v>
      </c>
      <c r="EC90" s="281">
        <v>2</v>
      </c>
      <c r="ED90" s="285">
        <f t="shared" si="309"/>
        <v>0</v>
      </c>
    </row>
    <row r="91" spans="1:134" x14ac:dyDescent="0.2">
      <c r="A91" s="208" t="s">
        <v>666</v>
      </c>
      <c r="B91" s="802" t="s">
        <v>1017</v>
      </c>
      <c r="C91" s="194" t="s">
        <v>872</v>
      </c>
      <c r="D91" s="646" t="s">
        <v>1272</v>
      </c>
      <c r="E91" s="889"/>
      <c r="F91" s="618">
        <f>VLOOKUP(D91,prezzi,5,)*K91</f>
        <v>8.6243999999999996</v>
      </c>
      <c r="G91" s="694"/>
      <c r="H91" s="58"/>
      <c r="I91" s="58"/>
      <c r="J91" s="58"/>
      <c r="K91" s="58">
        <v>1</v>
      </c>
      <c r="L91" s="58"/>
      <c r="M91" s="58"/>
      <c r="N91" s="658"/>
      <c r="O91" s="256"/>
      <c r="P91" s="256"/>
      <c r="Q91" s="256"/>
      <c r="R91" s="255"/>
      <c r="S91" s="256"/>
      <c r="T91" s="256"/>
      <c r="U91" s="256"/>
      <c r="V91" s="255"/>
      <c r="W91" s="256"/>
      <c r="X91" s="256"/>
      <c r="Y91" s="256"/>
      <c r="Z91" s="255"/>
      <c r="AA91" s="256"/>
      <c r="AB91" s="256"/>
      <c r="AC91" s="256"/>
      <c r="AD91" s="255"/>
      <c r="AE91" s="256"/>
      <c r="AF91" s="256"/>
      <c r="AG91" s="324"/>
      <c r="AH91" s="546">
        <f t="shared" si="307"/>
        <v>0</v>
      </c>
      <c r="AI91" s="322">
        <f>N91*$E91</f>
        <v>0</v>
      </c>
      <c r="AJ91" s="322"/>
      <c r="AK91" s="322"/>
      <c r="AL91" s="706" t="str">
        <f t="shared" si="310"/>
        <v>-elettrovalvole fluidifcazione</v>
      </c>
      <c r="AM91" s="685">
        <f>N91*$F91</f>
        <v>0</v>
      </c>
      <c r="AN91" s="676">
        <f>P91*$E91</f>
        <v>0</v>
      </c>
      <c r="AO91" s="685">
        <f>P91*$F91</f>
        <v>0</v>
      </c>
      <c r="AP91" s="676">
        <f>R91*$E91</f>
        <v>0</v>
      </c>
      <c r="AQ91" s="685">
        <f>R91*$F91</f>
        <v>0</v>
      </c>
      <c r="AR91" s="676">
        <f>T91*$E91</f>
        <v>0</v>
      </c>
      <c r="AS91" s="685">
        <f>T91*$F91</f>
        <v>0</v>
      </c>
      <c r="AT91" s="676">
        <f>V91*$E91</f>
        <v>0</v>
      </c>
      <c r="AU91" s="685">
        <f>V91*$F91</f>
        <v>0</v>
      </c>
      <c r="AV91" s="676">
        <f>X91*$E91</f>
        <v>0</v>
      </c>
      <c r="AW91" s="685">
        <f>X91*$F91</f>
        <v>0</v>
      </c>
      <c r="AX91" s="676">
        <f>Z91*$E91</f>
        <v>0</v>
      </c>
      <c r="AY91" s="685">
        <f>Z91*$F91</f>
        <v>0</v>
      </c>
      <c r="AZ91" s="676">
        <f>AB91*$E91</f>
        <v>0</v>
      </c>
      <c r="BA91" s="685">
        <f>AB91*$F91</f>
        <v>0</v>
      </c>
      <c r="BB91" s="676">
        <f>AD91*$E91</f>
        <v>0</v>
      </c>
      <c r="BC91" s="685">
        <f>AD91*$F91</f>
        <v>0</v>
      </c>
      <c r="BD91" s="676">
        <f>AF91*$E91</f>
        <v>0</v>
      </c>
      <c r="BE91" s="685">
        <f>AF91*$F91</f>
        <v>0</v>
      </c>
      <c r="BF91" s="321">
        <f>N91*$G91</f>
        <v>0</v>
      </c>
      <c r="BG91" s="321">
        <f>P91*$G91</f>
        <v>0</v>
      </c>
      <c r="BH91" s="321">
        <f>R91*$G91</f>
        <v>0</v>
      </c>
      <c r="BI91" s="321">
        <f>T91*$G91</f>
        <v>0</v>
      </c>
      <c r="BJ91" s="321">
        <f>V91*$G91</f>
        <v>0</v>
      </c>
      <c r="BK91" s="321">
        <f>X91*$G91</f>
        <v>0</v>
      </c>
      <c r="BL91" s="321">
        <f>Z91*$G91</f>
        <v>0</v>
      </c>
      <c r="BM91" s="321">
        <f>AB91*$G91</f>
        <v>0</v>
      </c>
      <c r="BN91" s="321">
        <f>AD91*$G91</f>
        <v>0</v>
      </c>
      <c r="BO91" s="323">
        <f>AF91*$G91</f>
        <v>0</v>
      </c>
      <c r="BP91" s="321">
        <f>N91*$H91</f>
        <v>0</v>
      </c>
      <c r="BQ91" s="321">
        <f>P91*$H91</f>
        <v>0</v>
      </c>
      <c r="BR91" s="321">
        <f>R91*$H91</f>
        <v>0</v>
      </c>
      <c r="BS91" s="321">
        <f>T91*$H91</f>
        <v>0</v>
      </c>
      <c r="BT91" s="321">
        <f>V91*$H91</f>
        <v>0</v>
      </c>
      <c r="BU91" s="321">
        <f>X91*$H91</f>
        <v>0</v>
      </c>
      <c r="BV91" s="321">
        <f>Z91*$H91</f>
        <v>0</v>
      </c>
      <c r="BW91" s="321">
        <f>AB91*$H91</f>
        <v>0</v>
      </c>
      <c r="BX91" s="321">
        <f>AD91*$H91</f>
        <v>0</v>
      </c>
      <c r="BY91" s="323">
        <f>AF91*$H91</f>
        <v>0</v>
      </c>
      <c r="BZ91" s="321">
        <f>N91*$I91</f>
        <v>0</v>
      </c>
      <c r="CA91" s="321">
        <f>P91*$I91</f>
        <v>0</v>
      </c>
      <c r="CB91" s="321">
        <f>R91*$I91</f>
        <v>0</v>
      </c>
      <c r="CC91" s="321">
        <f>T91*$I91</f>
        <v>0</v>
      </c>
      <c r="CD91" s="321">
        <f>V91*$I91</f>
        <v>0</v>
      </c>
      <c r="CE91" s="321">
        <f>X91*$I91</f>
        <v>0</v>
      </c>
      <c r="CF91" s="321">
        <f>Z91*$I91</f>
        <v>0</v>
      </c>
      <c r="CG91" s="321">
        <f>AB91*$I91</f>
        <v>0</v>
      </c>
      <c r="CH91" s="321">
        <f>AD91*$I91</f>
        <v>0</v>
      </c>
      <c r="CI91" s="323">
        <f>AF91*$I91</f>
        <v>0</v>
      </c>
      <c r="CJ91" s="321">
        <f>N91*$J91</f>
        <v>0</v>
      </c>
      <c r="CK91" s="321">
        <f>P91*$J91</f>
        <v>0</v>
      </c>
      <c r="CL91" s="321">
        <f>R91*$J91</f>
        <v>0</v>
      </c>
      <c r="CM91" s="321">
        <f>T91*$J91</f>
        <v>0</v>
      </c>
      <c r="CN91" s="321">
        <f>V91*$J91</f>
        <v>0</v>
      </c>
      <c r="CO91" s="321">
        <f>X91*$J91</f>
        <v>0</v>
      </c>
      <c r="CP91" s="321">
        <f>Z91*$J91</f>
        <v>0</v>
      </c>
      <c r="CQ91" s="321">
        <f>AB91*$J91</f>
        <v>0</v>
      </c>
      <c r="CR91" s="321">
        <f>AD91*$J91</f>
        <v>0</v>
      </c>
      <c r="CS91" s="323">
        <f>AF91*$J91</f>
        <v>0</v>
      </c>
      <c r="CT91" s="321">
        <f>N91*$K91</f>
        <v>0</v>
      </c>
      <c r="CU91" s="321">
        <f>P91*$K91</f>
        <v>0</v>
      </c>
      <c r="CV91" s="321">
        <f>R91*$K91</f>
        <v>0</v>
      </c>
      <c r="CW91" s="321">
        <f>T91*$K91</f>
        <v>0</v>
      </c>
      <c r="CX91" s="321">
        <f>V91*$K91</f>
        <v>0</v>
      </c>
      <c r="CY91" s="321">
        <f>X91*$K91</f>
        <v>0</v>
      </c>
      <c r="CZ91" s="321">
        <f>Z91*$K91</f>
        <v>0</v>
      </c>
      <c r="DA91" s="321">
        <f>AB91*$K91</f>
        <v>0</v>
      </c>
      <c r="DB91" s="321">
        <f>AD91*$K91</f>
        <v>0</v>
      </c>
      <c r="DC91" s="323">
        <f>AF91*$K91</f>
        <v>0</v>
      </c>
      <c r="DD91" s="321">
        <f>N91*$L91</f>
        <v>0</v>
      </c>
      <c r="DE91" s="321">
        <f>P91*$L91</f>
        <v>0</v>
      </c>
      <c r="DF91" s="321">
        <f>R91*$L91</f>
        <v>0</v>
      </c>
      <c r="DG91" s="321">
        <f>T91*$L91</f>
        <v>0</v>
      </c>
      <c r="DH91" s="321">
        <f>V91*$L91</f>
        <v>0</v>
      </c>
      <c r="DI91" s="321">
        <f>X91*$L91</f>
        <v>0</v>
      </c>
      <c r="DJ91" s="321">
        <f>Z91*$L91</f>
        <v>0</v>
      </c>
      <c r="DK91" s="321">
        <f>AB91*$L91</f>
        <v>0</v>
      </c>
      <c r="DL91" s="321">
        <f>AD91*$L91</f>
        <v>0</v>
      </c>
      <c r="DM91" s="323">
        <f>AF91*$L91</f>
        <v>0</v>
      </c>
      <c r="DN91" s="321">
        <f>N91*$M91</f>
        <v>0</v>
      </c>
      <c r="DO91" s="321">
        <f>P91*$M91</f>
        <v>0</v>
      </c>
      <c r="DP91" s="321">
        <f>R91*$M91</f>
        <v>0</v>
      </c>
      <c r="DQ91" s="321">
        <f>T91*$M91</f>
        <v>0</v>
      </c>
      <c r="DR91" s="321">
        <f>V91*$M91</f>
        <v>0</v>
      </c>
      <c r="DS91" s="321">
        <f>X91*$M91</f>
        <v>0</v>
      </c>
      <c r="DT91" s="321">
        <f>Z91*$M91</f>
        <v>0</v>
      </c>
      <c r="DU91" s="321">
        <f>AB91*$M91</f>
        <v>0</v>
      </c>
      <c r="DV91" s="321">
        <f>AD91*$M91</f>
        <v>0</v>
      </c>
      <c r="DW91" s="323">
        <f>AF91*$M91</f>
        <v>0</v>
      </c>
      <c r="DX91" s="321">
        <v>5</v>
      </c>
      <c r="DY91" s="69">
        <f t="shared" si="94"/>
        <v>63</v>
      </c>
      <c r="DZ91" s="321">
        <f t="shared" si="242"/>
        <v>0</v>
      </c>
      <c r="EA91" s="321">
        <f t="shared" si="243"/>
        <v>0</v>
      </c>
      <c r="EB91" s="321">
        <f t="shared" si="308"/>
        <v>0</v>
      </c>
      <c r="EC91" s="324">
        <v>2</v>
      </c>
      <c r="ED91" s="321">
        <f t="shared" si="309"/>
        <v>0</v>
      </c>
    </row>
    <row r="92" spans="1:134" x14ac:dyDescent="0.2">
      <c r="A92" s="208" t="s">
        <v>666</v>
      </c>
      <c r="B92" s="803" t="s">
        <v>2366</v>
      </c>
      <c r="C92" s="192" t="s">
        <v>871</v>
      </c>
      <c r="D92" s="335" t="s">
        <v>563</v>
      </c>
      <c r="E92" s="889">
        <v>0.55000000000000004</v>
      </c>
      <c r="F92" s="633">
        <f t="shared" si="306"/>
        <v>154.36299</v>
      </c>
      <c r="G92" s="700"/>
      <c r="H92" s="342"/>
      <c r="I92" s="342"/>
      <c r="J92" s="342"/>
      <c r="K92" s="342">
        <v>1</v>
      </c>
      <c r="L92" s="342"/>
      <c r="M92" s="342"/>
      <c r="N92" s="658"/>
      <c r="O92" s="256"/>
      <c r="P92" s="256"/>
      <c r="Q92" s="256"/>
      <c r="R92" s="255"/>
      <c r="S92" s="256"/>
      <c r="T92" s="256"/>
      <c r="U92" s="256"/>
      <c r="V92" s="255"/>
      <c r="W92" s="256"/>
      <c r="X92" s="256"/>
      <c r="Y92" s="256"/>
      <c r="Z92" s="255"/>
      <c r="AA92" s="256"/>
      <c r="AB92" s="256"/>
      <c r="AC92" s="256"/>
      <c r="AD92" s="255"/>
      <c r="AE92" s="256"/>
      <c r="AF92" s="256"/>
      <c r="AH92" s="546">
        <f t="shared" si="307"/>
        <v>0</v>
      </c>
      <c r="AI92" s="66">
        <f t="shared" si="211"/>
        <v>0</v>
      </c>
      <c r="AL92" s="706" t="str">
        <f t="shared" si="310"/>
        <v>-motore &lt;0,25 e &lt;3 Kw</v>
      </c>
      <c r="AM92" s="684">
        <f t="shared" si="245"/>
        <v>0</v>
      </c>
      <c r="AN92" s="674">
        <f t="shared" si="171"/>
        <v>0</v>
      </c>
      <c r="AO92" s="684">
        <f t="shared" si="246"/>
        <v>0</v>
      </c>
      <c r="AP92" s="674">
        <f t="shared" si="172"/>
        <v>0</v>
      </c>
      <c r="AQ92" s="684">
        <f t="shared" si="247"/>
        <v>0</v>
      </c>
      <c r="AR92" s="674">
        <f t="shared" si="173"/>
        <v>0</v>
      </c>
      <c r="AS92" s="684">
        <f t="shared" si="248"/>
        <v>0</v>
      </c>
      <c r="AT92" s="674">
        <f t="shared" si="174"/>
        <v>0</v>
      </c>
      <c r="AU92" s="684">
        <f t="shared" si="249"/>
        <v>0</v>
      </c>
      <c r="AV92" s="674">
        <f t="shared" si="175"/>
        <v>0</v>
      </c>
      <c r="AW92" s="684">
        <f t="shared" si="250"/>
        <v>0</v>
      </c>
      <c r="AX92" s="674">
        <f t="shared" si="176"/>
        <v>0</v>
      </c>
      <c r="AY92" s="684">
        <f t="shared" si="251"/>
        <v>0</v>
      </c>
      <c r="AZ92" s="674">
        <f t="shared" si="177"/>
        <v>0</v>
      </c>
      <c r="BA92" s="684">
        <f t="shared" si="252"/>
        <v>0</v>
      </c>
      <c r="BB92" s="674">
        <f t="shared" si="178"/>
        <v>0</v>
      </c>
      <c r="BC92" s="684">
        <f t="shared" si="253"/>
        <v>0</v>
      </c>
      <c r="BD92" s="674">
        <f t="shared" si="179"/>
        <v>0</v>
      </c>
      <c r="BE92" s="684">
        <f t="shared" si="254"/>
        <v>0</v>
      </c>
      <c r="BF92" s="1">
        <f t="shared" si="301"/>
        <v>0</v>
      </c>
      <c r="BG92" s="1">
        <f t="shared" si="255"/>
        <v>0</v>
      </c>
      <c r="BH92" s="1">
        <f t="shared" si="256"/>
        <v>0</v>
      </c>
      <c r="BI92" s="1">
        <f t="shared" si="257"/>
        <v>0</v>
      </c>
      <c r="BJ92" s="1">
        <f t="shared" si="258"/>
        <v>0</v>
      </c>
      <c r="BK92" s="1">
        <f t="shared" si="259"/>
        <v>0</v>
      </c>
      <c r="BL92" s="1">
        <f t="shared" si="260"/>
        <v>0</v>
      </c>
      <c r="BM92" s="1">
        <f t="shared" si="261"/>
        <v>0</v>
      </c>
      <c r="BN92" s="1">
        <f t="shared" si="262"/>
        <v>0</v>
      </c>
      <c r="BO92" s="69">
        <f t="shared" si="263"/>
        <v>0</v>
      </c>
      <c r="BP92" s="1">
        <f t="shared" si="198"/>
        <v>0</v>
      </c>
      <c r="BQ92" s="1">
        <f t="shared" si="215"/>
        <v>0</v>
      </c>
      <c r="BR92" s="1">
        <f t="shared" si="216"/>
        <v>0</v>
      </c>
      <c r="BS92" s="1">
        <f t="shared" si="217"/>
        <v>0</v>
      </c>
      <c r="BT92" s="1">
        <f t="shared" si="218"/>
        <v>0</v>
      </c>
      <c r="BU92" s="1">
        <f t="shared" si="219"/>
        <v>0</v>
      </c>
      <c r="BV92" s="1">
        <f t="shared" si="220"/>
        <v>0</v>
      </c>
      <c r="BW92" s="1">
        <f t="shared" si="221"/>
        <v>0</v>
      </c>
      <c r="BX92" s="1">
        <f t="shared" si="222"/>
        <v>0</v>
      </c>
      <c r="BY92" s="69">
        <f t="shared" si="223"/>
        <v>0</v>
      </c>
      <c r="BZ92" s="1">
        <f t="shared" si="302"/>
        <v>0</v>
      </c>
      <c r="CA92" s="1">
        <f t="shared" si="264"/>
        <v>0</v>
      </c>
      <c r="CB92" s="1">
        <f t="shared" si="265"/>
        <v>0</v>
      </c>
      <c r="CC92" s="1">
        <f t="shared" si="266"/>
        <v>0</v>
      </c>
      <c r="CD92" s="1">
        <f t="shared" si="267"/>
        <v>0</v>
      </c>
      <c r="CE92" s="1">
        <f t="shared" si="268"/>
        <v>0</v>
      </c>
      <c r="CF92" s="1">
        <f t="shared" si="269"/>
        <v>0</v>
      </c>
      <c r="CG92" s="1">
        <f t="shared" si="270"/>
        <v>0</v>
      </c>
      <c r="CH92" s="1">
        <f t="shared" si="271"/>
        <v>0</v>
      </c>
      <c r="CI92" s="69">
        <f t="shared" si="272"/>
        <v>0</v>
      </c>
      <c r="CJ92" s="1">
        <f t="shared" si="273"/>
        <v>0</v>
      </c>
      <c r="CK92" s="1">
        <f t="shared" si="180"/>
        <v>0</v>
      </c>
      <c r="CL92" s="1">
        <f t="shared" si="181"/>
        <v>0</v>
      </c>
      <c r="CM92" s="1">
        <f t="shared" si="182"/>
        <v>0</v>
      </c>
      <c r="CN92" s="1">
        <f t="shared" si="183"/>
        <v>0</v>
      </c>
      <c r="CO92" s="1">
        <f t="shared" si="184"/>
        <v>0</v>
      </c>
      <c r="CP92" s="1">
        <f t="shared" si="185"/>
        <v>0</v>
      </c>
      <c r="CQ92" s="1">
        <f t="shared" si="186"/>
        <v>0</v>
      </c>
      <c r="CR92" s="1">
        <f t="shared" si="187"/>
        <v>0</v>
      </c>
      <c r="CS92" s="69">
        <f t="shared" si="188"/>
        <v>0</v>
      </c>
      <c r="CT92" s="1">
        <f t="shared" si="303"/>
        <v>0</v>
      </c>
      <c r="CU92" s="1">
        <f t="shared" si="274"/>
        <v>0</v>
      </c>
      <c r="CV92" s="1">
        <f t="shared" si="275"/>
        <v>0</v>
      </c>
      <c r="CW92" s="1">
        <f t="shared" si="276"/>
        <v>0</v>
      </c>
      <c r="CX92" s="1">
        <f t="shared" si="277"/>
        <v>0</v>
      </c>
      <c r="CY92" s="1">
        <f t="shared" si="278"/>
        <v>0</v>
      </c>
      <c r="CZ92" s="1">
        <f t="shared" si="279"/>
        <v>0</v>
      </c>
      <c r="DA92" s="1">
        <f t="shared" si="280"/>
        <v>0</v>
      </c>
      <c r="DB92" s="1">
        <f t="shared" si="281"/>
        <v>0</v>
      </c>
      <c r="DC92" s="69">
        <f t="shared" si="282"/>
        <v>0</v>
      </c>
      <c r="DD92" s="1">
        <f t="shared" si="304"/>
        <v>0</v>
      </c>
      <c r="DE92" s="1">
        <f t="shared" si="283"/>
        <v>0</v>
      </c>
      <c r="DF92" s="1">
        <f t="shared" si="284"/>
        <v>0</v>
      </c>
      <c r="DG92" s="1">
        <f t="shared" si="285"/>
        <v>0</v>
      </c>
      <c r="DH92" s="1">
        <f t="shared" si="286"/>
        <v>0</v>
      </c>
      <c r="DI92" s="1">
        <f t="shared" si="287"/>
        <v>0</v>
      </c>
      <c r="DJ92" s="1">
        <f t="shared" si="288"/>
        <v>0</v>
      </c>
      <c r="DK92" s="1">
        <f t="shared" si="289"/>
        <v>0</v>
      </c>
      <c r="DL92" s="1">
        <f t="shared" si="290"/>
        <v>0</v>
      </c>
      <c r="DM92" s="69">
        <f t="shared" si="291"/>
        <v>0</v>
      </c>
      <c r="DN92" s="1">
        <f t="shared" si="305"/>
        <v>0</v>
      </c>
      <c r="DO92" s="1">
        <f t="shared" si="292"/>
        <v>0</v>
      </c>
      <c r="DP92" s="1">
        <f t="shared" si="293"/>
        <v>0</v>
      </c>
      <c r="DQ92" s="1">
        <f t="shared" si="294"/>
        <v>0</v>
      </c>
      <c r="DR92" s="1">
        <f t="shared" si="295"/>
        <v>0</v>
      </c>
      <c r="DS92" s="1">
        <f t="shared" si="296"/>
        <v>0</v>
      </c>
      <c r="DT92" s="1">
        <f t="shared" si="297"/>
        <v>0</v>
      </c>
      <c r="DU92" s="1">
        <f t="shared" si="298"/>
        <v>0</v>
      </c>
      <c r="DV92" s="1">
        <f t="shared" si="299"/>
        <v>0</v>
      </c>
      <c r="DW92" s="69">
        <f t="shared" si="300"/>
        <v>0</v>
      </c>
      <c r="DX92" s="1">
        <v>3</v>
      </c>
      <c r="DY92" s="69">
        <f>DY91+1</f>
        <v>64</v>
      </c>
      <c r="DZ92" s="1">
        <f t="shared" si="242"/>
        <v>0</v>
      </c>
      <c r="EA92" s="1">
        <f t="shared" si="243"/>
        <v>0</v>
      </c>
      <c r="EB92" s="1">
        <f t="shared" si="308"/>
        <v>0</v>
      </c>
      <c r="ED92" s="285">
        <f t="shared" si="309"/>
        <v>0</v>
      </c>
    </row>
    <row r="93" spans="1:134" ht="15" x14ac:dyDescent="0.25">
      <c r="A93" s="208" t="s">
        <v>666</v>
      </c>
      <c r="B93" s="800" t="s">
        <v>2319</v>
      </c>
      <c r="C93" s="193" t="s">
        <v>872</v>
      </c>
      <c r="D93" s="647" t="s">
        <v>695</v>
      </c>
      <c r="E93" s="889"/>
      <c r="F93" s="625">
        <f t="shared" si="306"/>
        <v>0</v>
      </c>
      <c r="G93" s="694"/>
      <c r="H93" s="58"/>
      <c r="I93" s="58"/>
      <c r="J93" s="58">
        <v>2</v>
      </c>
      <c r="K93" s="58">
        <v>1</v>
      </c>
      <c r="L93" s="58"/>
      <c r="M93" s="58"/>
      <c r="N93" s="658"/>
      <c r="O93" s="256"/>
      <c r="P93" s="256"/>
      <c r="Q93" s="256"/>
      <c r="R93" s="255"/>
      <c r="S93" s="256"/>
      <c r="T93" s="256"/>
      <c r="U93" s="256"/>
      <c r="V93" s="255"/>
      <c r="W93" s="256"/>
      <c r="X93" s="256"/>
      <c r="Y93" s="256"/>
      <c r="Z93" s="255"/>
      <c r="AA93" s="256"/>
      <c r="AB93" s="256"/>
      <c r="AC93" s="256"/>
      <c r="AD93" s="255"/>
      <c r="AE93" s="256"/>
      <c r="AF93" s="256"/>
      <c r="AH93" s="546">
        <f t="shared" si="307"/>
        <v>0</v>
      </c>
      <c r="AI93" s="66">
        <f t="shared" si="211"/>
        <v>0</v>
      </c>
      <c r="AL93" s="706" t="str">
        <f t="shared" si="310"/>
        <v>-valvola monostabile + 2 finecorsa</v>
      </c>
      <c r="AM93" s="684">
        <f t="shared" si="245"/>
        <v>0</v>
      </c>
      <c r="AN93" s="674">
        <f t="shared" si="171"/>
        <v>0</v>
      </c>
      <c r="AO93" s="684">
        <f t="shared" si="246"/>
        <v>0</v>
      </c>
      <c r="AP93" s="674">
        <f t="shared" si="172"/>
        <v>0</v>
      </c>
      <c r="AQ93" s="684">
        <f t="shared" si="247"/>
        <v>0</v>
      </c>
      <c r="AR93" s="674">
        <f t="shared" si="173"/>
        <v>0</v>
      </c>
      <c r="AS93" s="684">
        <f t="shared" si="248"/>
        <v>0</v>
      </c>
      <c r="AT93" s="674">
        <f t="shared" si="174"/>
        <v>0</v>
      </c>
      <c r="AU93" s="684">
        <f t="shared" si="249"/>
        <v>0</v>
      </c>
      <c r="AV93" s="674">
        <f t="shared" si="175"/>
        <v>0</v>
      </c>
      <c r="AW93" s="684">
        <f t="shared" si="250"/>
        <v>0</v>
      </c>
      <c r="AX93" s="674">
        <f t="shared" si="176"/>
        <v>0</v>
      </c>
      <c r="AY93" s="684">
        <f t="shared" si="251"/>
        <v>0</v>
      </c>
      <c r="AZ93" s="674">
        <f t="shared" si="177"/>
        <v>0</v>
      </c>
      <c r="BA93" s="684">
        <f t="shared" si="252"/>
        <v>0</v>
      </c>
      <c r="BB93" s="674">
        <f t="shared" si="178"/>
        <v>0</v>
      </c>
      <c r="BC93" s="684">
        <f t="shared" si="253"/>
        <v>0</v>
      </c>
      <c r="BD93" s="674">
        <f t="shared" si="179"/>
        <v>0</v>
      </c>
      <c r="BE93" s="684">
        <f t="shared" si="254"/>
        <v>0</v>
      </c>
      <c r="BF93" s="1">
        <f t="shared" si="301"/>
        <v>0</v>
      </c>
      <c r="BG93" s="1">
        <f t="shared" si="255"/>
        <v>0</v>
      </c>
      <c r="BH93" s="1">
        <f t="shared" si="256"/>
        <v>0</v>
      </c>
      <c r="BI93" s="1">
        <f t="shared" si="257"/>
        <v>0</v>
      </c>
      <c r="BJ93" s="1">
        <f t="shared" si="258"/>
        <v>0</v>
      </c>
      <c r="BK93" s="1">
        <f t="shared" si="259"/>
        <v>0</v>
      </c>
      <c r="BL93" s="1">
        <f t="shared" si="260"/>
        <v>0</v>
      </c>
      <c r="BM93" s="1">
        <f t="shared" si="261"/>
        <v>0</v>
      </c>
      <c r="BN93" s="1">
        <f t="shared" si="262"/>
        <v>0</v>
      </c>
      <c r="BO93" s="69">
        <f t="shared" si="263"/>
        <v>0</v>
      </c>
      <c r="BP93" s="1">
        <f t="shared" si="198"/>
        <v>0</v>
      </c>
      <c r="BQ93" s="1">
        <f t="shared" si="215"/>
        <v>0</v>
      </c>
      <c r="BR93" s="1">
        <f t="shared" si="216"/>
        <v>0</v>
      </c>
      <c r="BS93" s="1">
        <f t="shared" si="217"/>
        <v>0</v>
      </c>
      <c r="BT93" s="1">
        <f t="shared" si="218"/>
        <v>0</v>
      </c>
      <c r="BU93" s="1">
        <f t="shared" si="219"/>
        <v>0</v>
      </c>
      <c r="BV93" s="1">
        <f t="shared" si="220"/>
        <v>0</v>
      </c>
      <c r="BW93" s="1">
        <f t="shared" si="221"/>
        <v>0</v>
      </c>
      <c r="BX93" s="1">
        <f t="shared" si="222"/>
        <v>0</v>
      </c>
      <c r="BY93" s="69">
        <f t="shared" si="223"/>
        <v>0</v>
      </c>
      <c r="BZ93" s="1">
        <f t="shared" si="302"/>
        <v>0</v>
      </c>
      <c r="CA93" s="1">
        <f t="shared" si="264"/>
        <v>0</v>
      </c>
      <c r="CB93" s="1">
        <f t="shared" si="265"/>
        <v>0</v>
      </c>
      <c r="CC93" s="1">
        <f t="shared" si="266"/>
        <v>0</v>
      </c>
      <c r="CD93" s="1">
        <f t="shared" si="267"/>
        <v>0</v>
      </c>
      <c r="CE93" s="1">
        <f t="shared" si="268"/>
        <v>0</v>
      </c>
      <c r="CF93" s="1">
        <f t="shared" si="269"/>
        <v>0</v>
      </c>
      <c r="CG93" s="1">
        <f t="shared" si="270"/>
        <v>0</v>
      </c>
      <c r="CH93" s="1">
        <f t="shared" si="271"/>
        <v>0</v>
      </c>
      <c r="CI93" s="69">
        <f t="shared" si="272"/>
        <v>0</v>
      </c>
      <c r="CJ93" s="1">
        <f t="shared" si="273"/>
        <v>0</v>
      </c>
      <c r="CK93" s="1">
        <f t="shared" si="180"/>
        <v>0</v>
      </c>
      <c r="CL93" s="1">
        <f t="shared" si="181"/>
        <v>0</v>
      </c>
      <c r="CM93" s="1">
        <f t="shared" si="182"/>
        <v>0</v>
      </c>
      <c r="CN93" s="1">
        <f t="shared" si="183"/>
        <v>0</v>
      </c>
      <c r="CO93" s="1">
        <f t="shared" si="184"/>
        <v>0</v>
      </c>
      <c r="CP93" s="1">
        <f t="shared" si="185"/>
        <v>0</v>
      </c>
      <c r="CQ93" s="1">
        <f t="shared" si="186"/>
        <v>0</v>
      </c>
      <c r="CR93" s="1">
        <f t="shared" si="187"/>
        <v>0</v>
      </c>
      <c r="CS93" s="69">
        <f t="shared" si="188"/>
        <v>0</v>
      </c>
      <c r="CT93" s="1">
        <f t="shared" si="303"/>
        <v>0</v>
      </c>
      <c r="CU93" s="1">
        <f t="shared" si="274"/>
        <v>0</v>
      </c>
      <c r="CV93" s="1">
        <f t="shared" si="275"/>
        <v>0</v>
      </c>
      <c r="CW93" s="1">
        <f t="shared" si="276"/>
        <v>0</v>
      </c>
      <c r="CX93" s="1">
        <f t="shared" si="277"/>
        <v>0</v>
      </c>
      <c r="CY93" s="1">
        <f t="shared" si="278"/>
        <v>0</v>
      </c>
      <c r="CZ93" s="1">
        <f t="shared" si="279"/>
        <v>0</v>
      </c>
      <c r="DA93" s="1">
        <f t="shared" si="280"/>
        <v>0</v>
      </c>
      <c r="DB93" s="1">
        <f t="shared" si="281"/>
        <v>0</v>
      </c>
      <c r="DC93" s="69">
        <f t="shared" si="282"/>
        <v>0</v>
      </c>
      <c r="DD93" s="1">
        <f t="shared" si="304"/>
        <v>0</v>
      </c>
      <c r="DE93" s="1">
        <f t="shared" si="283"/>
        <v>0</v>
      </c>
      <c r="DF93" s="1">
        <f t="shared" si="284"/>
        <v>0</v>
      </c>
      <c r="DG93" s="1">
        <f t="shared" si="285"/>
        <v>0</v>
      </c>
      <c r="DH93" s="1">
        <f t="shared" si="286"/>
        <v>0</v>
      </c>
      <c r="DI93" s="1">
        <f t="shared" si="287"/>
        <v>0</v>
      </c>
      <c r="DJ93" s="1">
        <f t="shared" si="288"/>
        <v>0</v>
      </c>
      <c r="DK93" s="1">
        <f t="shared" si="289"/>
        <v>0</v>
      </c>
      <c r="DL93" s="1">
        <f t="shared" si="290"/>
        <v>0</v>
      </c>
      <c r="DM93" s="69">
        <f t="shared" si="291"/>
        <v>0</v>
      </c>
      <c r="DN93" s="1">
        <f t="shared" si="305"/>
        <v>0</v>
      </c>
      <c r="DO93" s="1">
        <f t="shared" si="292"/>
        <v>0</v>
      </c>
      <c r="DP93" s="1">
        <f t="shared" si="293"/>
        <v>0</v>
      </c>
      <c r="DQ93" s="1">
        <f t="shared" si="294"/>
        <v>0</v>
      </c>
      <c r="DR93" s="1">
        <f t="shared" si="295"/>
        <v>0</v>
      </c>
      <c r="DS93" s="1">
        <f t="shared" si="296"/>
        <v>0</v>
      </c>
      <c r="DT93" s="1">
        <f t="shared" si="297"/>
        <v>0</v>
      </c>
      <c r="DU93" s="1">
        <f t="shared" si="298"/>
        <v>0</v>
      </c>
      <c r="DV93" s="1">
        <f t="shared" si="299"/>
        <v>0</v>
      </c>
      <c r="DW93" s="69">
        <f t="shared" si="300"/>
        <v>0</v>
      </c>
      <c r="DX93" s="1">
        <v>3</v>
      </c>
      <c r="DY93" s="69">
        <f t="shared" si="94"/>
        <v>65</v>
      </c>
      <c r="DZ93" s="1">
        <f t="shared" si="242"/>
        <v>0</v>
      </c>
      <c r="EA93" s="1">
        <f t="shared" si="243"/>
        <v>0</v>
      </c>
      <c r="EB93" s="1">
        <f t="shared" si="308"/>
        <v>0</v>
      </c>
      <c r="ED93" s="285">
        <f t="shared" si="309"/>
        <v>0</v>
      </c>
    </row>
    <row r="94" spans="1:134" ht="15" x14ac:dyDescent="0.25">
      <c r="A94" s="208" t="s">
        <v>666</v>
      </c>
      <c r="B94" s="803" t="s">
        <v>2320</v>
      </c>
      <c r="C94" s="192" t="s">
        <v>872</v>
      </c>
      <c r="D94" s="335" t="s">
        <v>697</v>
      </c>
      <c r="E94" s="889"/>
      <c r="F94" s="625">
        <f t="shared" si="306"/>
        <v>0</v>
      </c>
      <c r="G94" s="269"/>
      <c r="H94" s="58"/>
      <c r="I94" s="58"/>
      <c r="J94" s="58"/>
      <c r="K94" s="58">
        <v>1</v>
      </c>
      <c r="L94" s="58"/>
      <c r="M94" s="58"/>
      <c r="N94" s="658"/>
      <c r="O94" s="256"/>
      <c r="P94" s="256"/>
      <c r="Q94" s="256"/>
      <c r="R94" s="255"/>
      <c r="S94" s="256"/>
      <c r="T94" s="256"/>
      <c r="U94" s="256"/>
      <c r="V94" s="255"/>
      <c r="W94" s="256"/>
      <c r="X94" s="256"/>
      <c r="Y94" s="256"/>
      <c r="Z94" s="255"/>
      <c r="AA94" s="256"/>
      <c r="AB94" s="256"/>
      <c r="AC94" s="256"/>
      <c r="AD94" s="255"/>
      <c r="AE94" s="256"/>
      <c r="AF94" s="256"/>
      <c r="AH94" s="546">
        <f t="shared" si="307"/>
        <v>0</v>
      </c>
      <c r="AI94" s="66">
        <f t="shared" si="211"/>
        <v>0</v>
      </c>
      <c r="AL94" s="706" t="str">
        <f t="shared" si="310"/>
        <v>-valvola monostabile</v>
      </c>
      <c r="AM94" s="684">
        <f t="shared" si="245"/>
        <v>0</v>
      </c>
      <c r="AN94" s="674">
        <f t="shared" si="171"/>
        <v>0</v>
      </c>
      <c r="AO94" s="684">
        <f t="shared" si="246"/>
        <v>0</v>
      </c>
      <c r="AP94" s="674">
        <f t="shared" si="172"/>
        <v>0</v>
      </c>
      <c r="AQ94" s="684">
        <f t="shared" si="247"/>
        <v>0</v>
      </c>
      <c r="AR94" s="674">
        <f t="shared" si="173"/>
        <v>0</v>
      </c>
      <c r="AS94" s="684">
        <f t="shared" si="248"/>
        <v>0</v>
      </c>
      <c r="AT94" s="674">
        <f t="shared" si="174"/>
        <v>0</v>
      </c>
      <c r="AU94" s="684">
        <f t="shared" si="249"/>
        <v>0</v>
      </c>
      <c r="AV94" s="674">
        <f t="shared" si="175"/>
        <v>0</v>
      </c>
      <c r="AW94" s="684">
        <f t="shared" si="250"/>
        <v>0</v>
      </c>
      <c r="AX94" s="674">
        <f t="shared" si="176"/>
        <v>0</v>
      </c>
      <c r="AY94" s="684">
        <f t="shared" si="251"/>
        <v>0</v>
      </c>
      <c r="AZ94" s="674">
        <f t="shared" si="177"/>
        <v>0</v>
      </c>
      <c r="BA94" s="684">
        <f t="shared" si="252"/>
        <v>0</v>
      </c>
      <c r="BB94" s="674">
        <f t="shared" si="178"/>
        <v>0</v>
      </c>
      <c r="BC94" s="684">
        <f t="shared" si="253"/>
        <v>0</v>
      </c>
      <c r="BD94" s="674">
        <f t="shared" si="179"/>
        <v>0</v>
      </c>
      <c r="BE94" s="684">
        <f t="shared" si="254"/>
        <v>0</v>
      </c>
      <c r="BF94" s="1">
        <f t="shared" si="301"/>
        <v>0</v>
      </c>
      <c r="BG94" s="1">
        <f t="shared" si="255"/>
        <v>0</v>
      </c>
      <c r="BH94" s="1">
        <f t="shared" si="256"/>
        <v>0</v>
      </c>
      <c r="BI94" s="1">
        <f t="shared" si="257"/>
        <v>0</v>
      </c>
      <c r="BJ94" s="1">
        <f t="shared" si="258"/>
        <v>0</v>
      </c>
      <c r="BK94" s="1">
        <f t="shared" si="259"/>
        <v>0</v>
      </c>
      <c r="BL94" s="1">
        <f t="shared" si="260"/>
        <v>0</v>
      </c>
      <c r="BM94" s="1">
        <f t="shared" si="261"/>
        <v>0</v>
      </c>
      <c r="BN94" s="1">
        <f t="shared" si="262"/>
        <v>0</v>
      </c>
      <c r="BO94" s="69">
        <f t="shared" si="263"/>
        <v>0</v>
      </c>
      <c r="BP94" s="1">
        <f t="shared" si="198"/>
        <v>0</v>
      </c>
      <c r="BQ94" s="1">
        <f t="shared" si="215"/>
        <v>0</v>
      </c>
      <c r="BR94" s="1">
        <f t="shared" si="216"/>
        <v>0</v>
      </c>
      <c r="BS94" s="1">
        <f t="shared" si="217"/>
        <v>0</v>
      </c>
      <c r="BT94" s="1">
        <f t="shared" si="218"/>
        <v>0</v>
      </c>
      <c r="BU94" s="1">
        <f t="shared" si="219"/>
        <v>0</v>
      </c>
      <c r="BV94" s="1">
        <f t="shared" si="220"/>
        <v>0</v>
      </c>
      <c r="BW94" s="1">
        <f t="shared" si="221"/>
        <v>0</v>
      </c>
      <c r="BX94" s="1">
        <f t="shared" si="222"/>
        <v>0</v>
      </c>
      <c r="BY94" s="69">
        <f t="shared" si="223"/>
        <v>0</v>
      </c>
      <c r="BZ94" s="1">
        <f t="shared" si="302"/>
        <v>0</v>
      </c>
      <c r="CA94" s="1">
        <f t="shared" si="264"/>
        <v>0</v>
      </c>
      <c r="CB94" s="1">
        <f t="shared" si="265"/>
        <v>0</v>
      </c>
      <c r="CC94" s="1">
        <f t="shared" si="266"/>
        <v>0</v>
      </c>
      <c r="CD94" s="1">
        <f t="shared" si="267"/>
        <v>0</v>
      </c>
      <c r="CE94" s="1">
        <f t="shared" si="268"/>
        <v>0</v>
      </c>
      <c r="CF94" s="1">
        <f t="shared" si="269"/>
        <v>0</v>
      </c>
      <c r="CG94" s="1">
        <f t="shared" si="270"/>
        <v>0</v>
      </c>
      <c r="CH94" s="1">
        <f t="shared" si="271"/>
        <v>0</v>
      </c>
      <c r="CI94" s="69">
        <f t="shared" si="272"/>
        <v>0</v>
      </c>
      <c r="CJ94" s="1">
        <f t="shared" si="273"/>
        <v>0</v>
      </c>
      <c r="CK94" s="1">
        <f t="shared" si="180"/>
        <v>0</v>
      </c>
      <c r="CL94" s="1">
        <f t="shared" si="181"/>
        <v>0</v>
      </c>
      <c r="CM94" s="1">
        <f t="shared" si="182"/>
        <v>0</v>
      </c>
      <c r="CN94" s="1">
        <f t="shared" si="183"/>
        <v>0</v>
      </c>
      <c r="CO94" s="1">
        <f t="shared" si="184"/>
        <v>0</v>
      </c>
      <c r="CP94" s="1">
        <f t="shared" si="185"/>
        <v>0</v>
      </c>
      <c r="CQ94" s="1">
        <f t="shared" si="186"/>
        <v>0</v>
      </c>
      <c r="CR94" s="1">
        <f t="shared" si="187"/>
        <v>0</v>
      </c>
      <c r="CS94" s="69">
        <f t="shared" si="188"/>
        <v>0</v>
      </c>
      <c r="CT94" s="1">
        <f t="shared" si="303"/>
        <v>0</v>
      </c>
      <c r="CU94" s="1">
        <f t="shared" si="274"/>
        <v>0</v>
      </c>
      <c r="CV94" s="1">
        <f t="shared" si="275"/>
        <v>0</v>
      </c>
      <c r="CW94" s="1">
        <f t="shared" si="276"/>
        <v>0</v>
      </c>
      <c r="CX94" s="1">
        <f t="shared" si="277"/>
        <v>0</v>
      </c>
      <c r="CY94" s="1">
        <f t="shared" si="278"/>
        <v>0</v>
      </c>
      <c r="CZ94" s="1">
        <f t="shared" si="279"/>
        <v>0</v>
      </c>
      <c r="DA94" s="1">
        <f t="shared" si="280"/>
        <v>0</v>
      </c>
      <c r="DB94" s="1">
        <f t="shared" si="281"/>
        <v>0</v>
      </c>
      <c r="DC94" s="69">
        <f t="shared" si="282"/>
        <v>0</v>
      </c>
      <c r="DD94" s="1">
        <f t="shared" si="304"/>
        <v>0</v>
      </c>
      <c r="DE94" s="1">
        <f t="shared" si="283"/>
        <v>0</v>
      </c>
      <c r="DF94" s="1">
        <f t="shared" si="284"/>
        <v>0</v>
      </c>
      <c r="DG94" s="1">
        <f t="shared" si="285"/>
        <v>0</v>
      </c>
      <c r="DH94" s="1">
        <f t="shared" si="286"/>
        <v>0</v>
      </c>
      <c r="DI94" s="1">
        <f t="shared" si="287"/>
        <v>0</v>
      </c>
      <c r="DJ94" s="1">
        <f t="shared" si="288"/>
        <v>0</v>
      </c>
      <c r="DK94" s="1">
        <f t="shared" si="289"/>
        <v>0</v>
      </c>
      <c r="DL94" s="1">
        <f t="shared" si="290"/>
        <v>0</v>
      </c>
      <c r="DM94" s="69">
        <f t="shared" si="291"/>
        <v>0</v>
      </c>
      <c r="DN94" s="1">
        <f t="shared" si="305"/>
        <v>0</v>
      </c>
      <c r="DO94" s="1">
        <f t="shared" si="292"/>
        <v>0</v>
      </c>
      <c r="DP94" s="1">
        <f t="shared" si="293"/>
        <v>0</v>
      </c>
      <c r="DQ94" s="1">
        <f t="shared" si="294"/>
        <v>0</v>
      </c>
      <c r="DR94" s="1">
        <f t="shared" si="295"/>
        <v>0</v>
      </c>
      <c r="DS94" s="1">
        <f t="shared" si="296"/>
        <v>0</v>
      </c>
      <c r="DT94" s="1">
        <f t="shared" si="297"/>
        <v>0</v>
      </c>
      <c r="DU94" s="1">
        <f t="shared" si="298"/>
        <v>0</v>
      </c>
      <c r="DV94" s="1">
        <f t="shared" si="299"/>
        <v>0</v>
      </c>
      <c r="DW94" s="69">
        <f t="shared" si="300"/>
        <v>0</v>
      </c>
      <c r="DX94" s="1">
        <v>3</v>
      </c>
      <c r="DY94" s="69">
        <f t="shared" si="94"/>
        <v>66</v>
      </c>
      <c r="DZ94" s="1">
        <f t="shared" si="242"/>
        <v>0</v>
      </c>
      <c r="EA94" s="1">
        <f t="shared" si="243"/>
        <v>0</v>
      </c>
      <c r="EB94" s="1">
        <f t="shared" si="308"/>
        <v>0</v>
      </c>
      <c r="ED94" s="285">
        <f t="shared" si="309"/>
        <v>0</v>
      </c>
    </row>
    <row r="95" spans="1:134" x14ac:dyDescent="0.2">
      <c r="A95" s="208" t="s">
        <v>666</v>
      </c>
      <c r="B95" s="800" t="s">
        <v>1025</v>
      </c>
      <c r="C95" s="193" t="s">
        <v>871</v>
      </c>
      <c r="D95" s="647" t="s">
        <v>558</v>
      </c>
      <c r="E95" s="889">
        <v>0.18</v>
      </c>
      <c r="F95" s="633">
        <f t="shared" si="306"/>
        <v>138.04434000000001</v>
      </c>
      <c r="G95" s="700"/>
      <c r="H95" s="342"/>
      <c r="I95" s="342"/>
      <c r="J95" s="342">
        <v>1</v>
      </c>
      <c r="K95" s="342">
        <v>1</v>
      </c>
      <c r="L95" s="342"/>
      <c r="M95" s="342"/>
      <c r="N95" s="658"/>
      <c r="O95" s="256"/>
      <c r="P95" s="256"/>
      <c r="Q95" s="256"/>
      <c r="R95" s="255"/>
      <c r="S95" s="256"/>
      <c r="T95" s="256"/>
      <c r="U95" s="256"/>
      <c r="V95" s="255"/>
      <c r="W95" s="256"/>
      <c r="X95" s="256"/>
      <c r="Y95" s="256"/>
      <c r="Z95" s="255"/>
      <c r="AA95" s="256"/>
      <c r="AB95" s="256"/>
      <c r="AC95" s="256"/>
      <c r="AD95" s="255"/>
      <c r="AE95" s="256"/>
      <c r="AF95" s="256"/>
      <c r="AG95" s="550"/>
      <c r="AH95" s="546">
        <f t="shared" si="307"/>
        <v>0</v>
      </c>
      <c r="AI95" s="74">
        <f>IF(SUM(N$97:N$101)&gt;0,0,$E95*N95)</f>
        <v>0</v>
      </c>
      <c r="AJ95" s="74"/>
      <c r="AK95" s="788"/>
      <c r="AL95" s="706" t="str">
        <f t="shared" si="310"/>
        <v>-motore &lt;= 0,25Kw</v>
      </c>
      <c r="AM95" s="681">
        <f>IF(SUM(AM$97:AM$101)&gt;0,N95*inverter_silo,N95*$F95)</f>
        <v>0</v>
      </c>
      <c r="AN95" s="73">
        <f>IF(SUM(P$97:P$101)&gt;0,0,$E95*P95)</f>
        <v>0</v>
      </c>
      <c r="AO95" s="681">
        <f>IF(SUM(AO$97:AO$101)&gt;0,P95*inverter_silo,P95*$F95)</f>
        <v>0</v>
      </c>
      <c r="AP95" s="73">
        <f>IF(SUM(R$97:R$101)&gt;0,0,$E95*R95)</f>
        <v>0</v>
      </c>
      <c r="AQ95" s="681">
        <f>IF(SUM(AQ$97:AQ$101)&gt;0,R95*inverter_silo,R95*$F95)</f>
        <v>0</v>
      </c>
      <c r="AR95" s="73">
        <f>IF(SUM(T$97:T$101)&gt;0,0,$E95*T95)</f>
        <v>0</v>
      </c>
      <c r="AS95" s="681">
        <f>IF(SUM(AS$97:AS$101)&gt;0,T95*inverter_silo,T95*$F95)</f>
        <v>0</v>
      </c>
      <c r="AT95" s="73">
        <f>IF(SUM(V$97:V$101)&gt;0,0,$E95*V95)</f>
        <v>0</v>
      </c>
      <c r="AU95" s="681">
        <f>IF(SUM(AU$97:AU$101)&gt;0,V95*inverter_silo,V95*$F95)</f>
        <v>0</v>
      </c>
      <c r="AV95" s="73">
        <f>IF(SUM(X$97:X$101)&gt;0,0,$E95*X95)</f>
        <v>0</v>
      </c>
      <c r="AW95" s="681">
        <f>IF(SUM(AW$97:AW$101)&gt;0,X95*inverter_silo,X95*$F95)</f>
        <v>0</v>
      </c>
      <c r="AX95" s="73">
        <f>IF(SUM(Z$97:Z$101)&gt;0,0,$E95*Z95)</f>
        <v>0</v>
      </c>
      <c r="AY95" s="681">
        <f>IF(SUM(AY$97:AY$101)&gt;0,Z95*inverter_silo,Z95*$F95)</f>
        <v>0</v>
      </c>
      <c r="AZ95" s="73">
        <f>IF(SUM(AB$97:AB$101)&gt;0,0,$E95*AB95)</f>
        <v>0</v>
      </c>
      <c r="BA95" s="681">
        <f>IF(SUM(BA$97:BA$101)&gt;0,AB95*inverter_silo,AB95*$F95)</f>
        <v>0</v>
      </c>
      <c r="BB95" s="73">
        <f>IF(SUM(AD$97:AD$101)&gt;0,0,$E95*AD95)</f>
        <v>0</v>
      </c>
      <c r="BC95" s="681">
        <f>IF(SUM(BC$97:BC$101)&gt;0,AD95*inverter_silo,AD95*$F95)</f>
        <v>0</v>
      </c>
      <c r="BD95" s="73">
        <f>IF(SUM(AF$97:AF$101)&gt;0,0,$E95*AF95)</f>
        <v>0</v>
      </c>
      <c r="BE95" s="681">
        <f>IF(SUM(BE$97:BE$101)&gt;0,AF95*inverter_silo,AF95*$F95)</f>
        <v>0</v>
      </c>
      <c r="BF95" s="1">
        <f t="shared" si="301"/>
        <v>0</v>
      </c>
      <c r="BG95" s="1">
        <f t="shared" si="255"/>
        <v>0</v>
      </c>
      <c r="BH95" s="1">
        <f t="shared" si="256"/>
        <v>0</v>
      </c>
      <c r="BI95" s="1">
        <f t="shared" si="257"/>
        <v>0</v>
      </c>
      <c r="BJ95" s="1">
        <f t="shared" si="258"/>
        <v>0</v>
      </c>
      <c r="BK95" s="1">
        <f t="shared" si="259"/>
        <v>0</v>
      </c>
      <c r="BL95" s="1">
        <f t="shared" si="260"/>
        <v>0</v>
      </c>
      <c r="BM95" s="1">
        <f t="shared" si="261"/>
        <v>0</v>
      </c>
      <c r="BN95" s="1">
        <f t="shared" si="262"/>
        <v>0</v>
      </c>
      <c r="BO95" s="69">
        <f t="shared" si="263"/>
        <v>0</v>
      </c>
      <c r="BP95" s="1">
        <f t="shared" si="198"/>
        <v>0</v>
      </c>
      <c r="BQ95" s="1">
        <f t="shared" si="215"/>
        <v>0</v>
      </c>
      <c r="BR95" s="1">
        <f t="shared" si="216"/>
        <v>0</v>
      </c>
      <c r="BS95" s="1">
        <f t="shared" si="217"/>
        <v>0</v>
      </c>
      <c r="BT95" s="1">
        <f t="shared" si="218"/>
        <v>0</v>
      </c>
      <c r="BU95" s="1">
        <f t="shared" si="219"/>
        <v>0</v>
      </c>
      <c r="BV95" s="1">
        <f t="shared" si="220"/>
        <v>0</v>
      </c>
      <c r="BW95" s="1">
        <f t="shared" si="221"/>
        <v>0</v>
      </c>
      <c r="BX95" s="1">
        <f t="shared" si="222"/>
        <v>0</v>
      </c>
      <c r="BY95" s="69">
        <f t="shared" si="223"/>
        <v>0</v>
      </c>
      <c r="BZ95" s="1">
        <f t="shared" si="302"/>
        <v>0</v>
      </c>
      <c r="CA95" s="1">
        <f t="shared" si="264"/>
        <v>0</v>
      </c>
      <c r="CB95" s="1">
        <f t="shared" si="265"/>
        <v>0</v>
      </c>
      <c r="CC95" s="1">
        <f t="shared" si="266"/>
        <v>0</v>
      </c>
      <c r="CD95" s="1">
        <f t="shared" si="267"/>
        <v>0</v>
      </c>
      <c r="CE95" s="1">
        <f t="shared" si="268"/>
        <v>0</v>
      </c>
      <c r="CF95" s="1">
        <f t="shared" si="269"/>
        <v>0</v>
      </c>
      <c r="CG95" s="1">
        <f t="shared" si="270"/>
        <v>0</v>
      </c>
      <c r="CH95" s="1">
        <f t="shared" si="271"/>
        <v>0</v>
      </c>
      <c r="CI95" s="69">
        <f t="shared" si="272"/>
        <v>0</v>
      </c>
      <c r="CJ95" s="161">
        <f>IF(SUM(N$97:N$101)&gt;0,0,N95*$J95)</f>
        <v>0</v>
      </c>
      <c r="CK95" s="162">
        <f>IF(SUM(P$97:P$101)&gt;0,0,P95*$J95)</f>
        <v>0</v>
      </c>
      <c r="CL95" s="162">
        <f>IF(SUM(R$97:R$101)&gt;0,0,R95*$J95)</f>
        <v>0</v>
      </c>
      <c r="CM95" s="162">
        <f>IF(SUM(T$97:T$101)&gt;0,0,T95*$J95)</f>
        <v>0</v>
      </c>
      <c r="CN95" s="162">
        <f>IF(SUM(V$97:V$101)&gt;0,0,V95*$J95)</f>
        <v>0</v>
      </c>
      <c r="CO95" s="162">
        <f>IF(SUM(X$97:X$101)&gt;0,0,X95*$J95)</f>
        <v>0</v>
      </c>
      <c r="CP95" s="162">
        <f>IF(SUM(Z$97:Z$101)&gt;0,0,Z95*$J95)</f>
        <v>0</v>
      </c>
      <c r="CQ95" s="162">
        <f>IF(SUM(AB$97:AB$101)&gt;0,0,AB95*$J95)</f>
        <v>0</v>
      </c>
      <c r="CR95" s="163">
        <f>IF(SUM(AD$97:AD$101)&gt;0,0,AD95*$J95)</f>
        <v>0</v>
      </c>
      <c r="CS95" s="161">
        <f>IF(SUM(AF$97:AF$101)&gt;0,0,AF95*$J95)</f>
        <v>0</v>
      </c>
      <c r="CT95" s="1">
        <f t="shared" si="303"/>
        <v>0</v>
      </c>
      <c r="CU95" s="1">
        <f t="shared" si="274"/>
        <v>0</v>
      </c>
      <c r="CV95" s="1">
        <f t="shared" si="275"/>
        <v>0</v>
      </c>
      <c r="CW95" s="1">
        <f t="shared" si="276"/>
        <v>0</v>
      </c>
      <c r="CX95" s="1">
        <f t="shared" si="277"/>
        <v>0</v>
      </c>
      <c r="CY95" s="1">
        <f t="shared" si="278"/>
        <v>0</v>
      </c>
      <c r="CZ95" s="1">
        <f t="shared" si="279"/>
        <v>0</v>
      </c>
      <c r="DA95" s="1">
        <f t="shared" si="280"/>
        <v>0</v>
      </c>
      <c r="DB95" s="1">
        <f t="shared" si="281"/>
        <v>0</v>
      </c>
      <c r="DC95" s="69">
        <f t="shared" si="282"/>
        <v>0</v>
      </c>
      <c r="DD95" s="1">
        <f t="shared" si="304"/>
        <v>0</v>
      </c>
      <c r="DE95" s="1">
        <f t="shared" si="283"/>
        <v>0</v>
      </c>
      <c r="DF95" s="1">
        <f t="shared" si="284"/>
        <v>0</v>
      </c>
      <c r="DG95" s="1">
        <f t="shared" si="285"/>
        <v>0</v>
      </c>
      <c r="DH95" s="1">
        <f t="shared" si="286"/>
        <v>0</v>
      </c>
      <c r="DI95" s="1">
        <f t="shared" si="287"/>
        <v>0</v>
      </c>
      <c r="DJ95" s="1">
        <f t="shared" si="288"/>
        <v>0</v>
      </c>
      <c r="DK95" s="1">
        <f t="shared" si="289"/>
        <v>0</v>
      </c>
      <c r="DL95" s="1">
        <f t="shared" si="290"/>
        <v>0</v>
      </c>
      <c r="DM95" s="69">
        <f t="shared" si="291"/>
        <v>0</v>
      </c>
      <c r="DN95" s="1">
        <f t="shared" si="305"/>
        <v>0</v>
      </c>
      <c r="DO95" s="1">
        <f t="shared" si="292"/>
        <v>0</v>
      </c>
      <c r="DP95" s="1">
        <f t="shared" si="293"/>
        <v>0</v>
      </c>
      <c r="DQ95" s="1">
        <f t="shared" si="294"/>
        <v>0</v>
      </c>
      <c r="DR95" s="1">
        <f t="shared" si="295"/>
        <v>0</v>
      </c>
      <c r="DS95" s="1">
        <f t="shared" si="296"/>
        <v>0</v>
      </c>
      <c r="DT95" s="1">
        <f t="shared" si="297"/>
        <v>0</v>
      </c>
      <c r="DU95" s="1">
        <f t="shared" si="298"/>
        <v>0</v>
      </c>
      <c r="DV95" s="1">
        <f t="shared" si="299"/>
        <v>0</v>
      </c>
      <c r="DW95" s="69">
        <f t="shared" si="300"/>
        <v>0</v>
      </c>
      <c r="DX95" s="1">
        <v>3</v>
      </c>
      <c r="DY95" s="69">
        <f t="shared" ref="DY95:DY167" si="311">DY94+1</f>
        <v>67</v>
      </c>
      <c r="DZ95" s="1">
        <f t="shared" si="242"/>
        <v>0</v>
      </c>
      <c r="EA95" s="1">
        <f t="shared" si="243"/>
        <v>0</v>
      </c>
      <c r="EB95" s="1">
        <f t="shared" si="308"/>
        <v>0</v>
      </c>
      <c r="ED95" s="285">
        <f t="shared" si="309"/>
        <v>0</v>
      </c>
    </row>
    <row r="96" spans="1:134" x14ac:dyDescent="0.2">
      <c r="A96" s="208" t="s">
        <v>666</v>
      </c>
      <c r="B96" s="801" t="s">
        <v>1026</v>
      </c>
      <c r="C96" s="182" t="s">
        <v>871</v>
      </c>
      <c r="D96" s="646" t="s">
        <v>563</v>
      </c>
      <c r="E96" s="889">
        <v>0.25</v>
      </c>
      <c r="F96" s="633">
        <f t="shared" si="306"/>
        <v>154.36299</v>
      </c>
      <c r="G96" s="700"/>
      <c r="H96" s="342"/>
      <c r="I96" s="342"/>
      <c r="J96" s="342">
        <v>1</v>
      </c>
      <c r="K96" s="342">
        <v>1</v>
      </c>
      <c r="L96" s="342"/>
      <c r="M96" s="342"/>
      <c r="N96" s="658"/>
      <c r="O96" s="256"/>
      <c r="P96" s="256"/>
      <c r="Q96" s="256"/>
      <c r="R96" s="255"/>
      <c r="S96" s="256"/>
      <c r="T96" s="256"/>
      <c r="U96" s="256"/>
      <c r="V96" s="255"/>
      <c r="W96" s="256"/>
      <c r="X96" s="256"/>
      <c r="Y96" s="256"/>
      <c r="Z96" s="255"/>
      <c r="AA96" s="256"/>
      <c r="AB96" s="256"/>
      <c r="AC96" s="256"/>
      <c r="AD96" s="255"/>
      <c r="AE96" s="256"/>
      <c r="AF96" s="256"/>
      <c r="AG96" s="551"/>
      <c r="AH96" s="546">
        <f t="shared" si="307"/>
        <v>0</v>
      </c>
      <c r="AI96" s="82">
        <f>IF(SUM(N$97:N$101)&gt;0,0,$E96*N96)</f>
        <v>0</v>
      </c>
      <c r="AJ96" s="82"/>
      <c r="AK96" s="788"/>
      <c r="AL96" s="706" t="str">
        <f t="shared" si="310"/>
        <v>-motore &lt;0,25 e &lt;3 Kw</v>
      </c>
      <c r="AM96" s="682">
        <f>IF(SUM(AM$97:AM$101)&gt;0,N96*inverter_silo,N96*$F96)</f>
        <v>0</v>
      </c>
      <c r="AN96" s="75">
        <f>IF(SUM(P$97:P$101)&gt;0,0,$E96*P96)</f>
        <v>0</v>
      </c>
      <c r="AO96" s="682">
        <f>IF(SUM(AO$97:AO$101)&gt;0,P96*inverter_silo,P96*$F96)</f>
        <v>0</v>
      </c>
      <c r="AP96" s="75">
        <f>IF(SUM(R$97:R$101)&gt;0,0,$E96*R96)</f>
        <v>0</v>
      </c>
      <c r="AQ96" s="682">
        <f>IF(SUM(AQ$97:AQ$101)&gt;0,R96*inverter_silo,R96*$F96)</f>
        <v>0</v>
      </c>
      <c r="AR96" s="75">
        <f>IF(SUM(T$97:T$101)&gt;0,0,$E96*T96)</f>
        <v>0</v>
      </c>
      <c r="AS96" s="682">
        <f>IF(SUM(AS$97:AS$101)&gt;0,T96*inverter_silo,T96*$F96)</f>
        <v>0</v>
      </c>
      <c r="AT96" s="75">
        <f>IF(SUM(V$97:V$101)&gt;0,0,$E96*V96)</f>
        <v>0</v>
      </c>
      <c r="AU96" s="682">
        <f>IF(SUM(AU$97:AU$101)&gt;0,V96*inverter_silo,V96*$F96)</f>
        <v>0</v>
      </c>
      <c r="AV96" s="75">
        <f>IF(SUM(X$97:X$101)&gt;0,0,$E96*X96)</f>
        <v>0</v>
      </c>
      <c r="AW96" s="682">
        <f>IF(SUM(AW$97:AW$101)&gt;0,X96*inverter_silo,X96*$F96)</f>
        <v>0</v>
      </c>
      <c r="AX96" s="75">
        <f>IF(SUM(Z$97:Z$101)&gt;0,0,$E96*Z96)</f>
        <v>0</v>
      </c>
      <c r="AY96" s="682">
        <f>IF(SUM(AY$97:AY$101)&gt;0,Z96*inverter_silo,Z96*$F96)</f>
        <v>0</v>
      </c>
      <c r="AZ96" s="75">
        <f>IF(SUM(AB$97:AB$101)&gt;0,0,$E96*AB96)</f>
        <v>0</v>
      </c>
      <c r="BA96" s="682">
        <f>IF(SUM(BA$97:BA$101)&gt;0,AB96*inverter_silo,AB96*$F96)</f>
        <v>0</v>
      </c>
      <c r="BB96" s="75">
        <f>IF(SUM(AD$97:AD$101)&gt;0,0,$E96*AD96)</f>
        <v>0</v>
      </c>
      <c r="BC96" s="682">
        <f>IF(SUM(BC$97:BC$101)&gt;0,AD96*inverter_silo,AD96*$F96)</f>
        <v>0</v>
      </c>
      <c r="BD96" s="75">
        <f>IF(SUM(AF$97:AF$101)&gt;0,0,$E96*AF96)</f>
        <v>0</v>
      </c>
      <c r="BE96" s="682">
        <f>IF(SUM(BE$97:BE$101)&gt;0,AF96*inverter_silo,AF96*$F96)</f>
        <v>0</v>
      </c>
      <c r="BF96" s="1">
        <f t="shared" si="301"/>
        <v>0</v>
      </c>
      <c r="BG96" s="1">
        <f t="shared" si="255"/>
        <v>0</v>
      </c>
      <c r="BH96" s="1">
        <f t="shared" si="256"/>
        <v>0</v>
      </c>
      <c r="BI96" s="1">
        <f t="shared" si="257"/>
        <v>0</v>
      </c>
      <c r="BJ96" s="1">
        <f t="shared" si="258"/>
        <v>0</v>
      </c>
      <c r="BK96" s="1">
        <f t="shared" si="259"/>
        <v>0</v>
      </c>
      <c r="BL96" s="1">
        <f t="shared" si="260"/>
        <v>0</v>
      </c>
      <c r="BM96" s="1">
        <f t="shared" si="261"/>
        <v>0</v>
      </c>
      <c r="BN96" s="1">
        <f t="shared" si="262"/>
        <v>0</v>
      </c>
      <c r="BO96" s="69">
        <f t="shared" si="263"/>
        <v>0</v>
      </c>
      <c r="BP96" s="1">
        <f t="shared" si="198"/>
        <v>0</v>
      </c>
      <c r="BQ96" s="1">
        <f t="shared" si="215"/>
        <v>0</v>
      </c>
      <c r="BR96" s="1">
        <f t="shared" si="216"/>
        <v>0</v>
      </c>
      <c r="BS96" s="1">
        <f t="shared" si="217"/>
        <v>0</v>
      </c>
      <c r="BT96" s="1">
        <f t="shared" si="218"/>
        <v>0</v>
      </c>
      <c r="BU96" s="1">
        <f t="shared" si="219"/>
        <v>0</v>
      </c>
      <c r="BV96" s="1">
        <f t="shared" si="220"/>
        <v>0</v>
      </c>
      <c r="BW96" s="1">
        <f t="shared" si="221"/>
        <v>0</v>
      </c>
      <c r="BX96" s="1">
        <f t="shared" si="222"/>
        <v>0</v>
      </c>
      <c r="BY96" s="69">
        <f t="shared" si="223"/>
        <v>0</v>
      </c>
      <c r="BZ96" s="1">
        <f t="shared" si="302"/>
        <v>0</v>
      </c>
      <c r="CA96" s="1">
        <f t="shared" si="264"/>
        <v>0</v>
      </c>
      <c r="CB96" s="1">
        <f t="shared" si="265"/>
        <v>0</v>
      </c>
      <c r="CC96" s="1">
        <f t="shared" si="266"/>
        <v>0</v>
      </c>
      <c r="CD96" s="1">
        <f t="shared" si="267"/>
        <v>0</v>
      </c>
      <c r="CE96" s="1">
        <f t="shared" si="268"/>
        <v>0</v>
      </c>
      <c r="CF96" s="1">
        <f t="shared" si="269"/>
        <v>0</v>
      </c>
      <c r="CG96" s="1">
        <f t="shared" si="270"/>
        <v>0</v>
      </c>
      <c r="CH96" s="1">
        <f t="shared" si="271"/>
        <v>0</v>
      </c>
      <c r="CI96" s="69">
        <f t="shared" si="272"/>
        <v>0</v>
      </c>
      <c r="CJ96" s="164">
        <f>IF(SUM(N$97:N$101)&gt;0,0,N96*$J96)</f>
        <v>0</v>
      </c>
      <c r="CK96" s="165">
        <f>IF(SUM(P$97:P$101)&gt;0,0,P96*$J96)</f>
        <v>0</v>
      </c>
      <c r="CL96" s="165">
        <f>IF(SUM(R$97:R$101)&gt;0,0,R96*$J96)</f>
        <v>0</v>
      </c>
      <c r="CM96" s="165">
        <f>IF(SUM(T$97:T$101)&gt;0,0,T96*$J96)</f>
        <v>0</v>
      </c>
      <c r="CN96" s="165">
        <f>IF(SUM(V$97:V$101)&gt;0,0,V96*$J96)</f>
        <v>0</v>
      </c>
      <c r="CO96" s="165">
        <f>IF(SUM(X$97:X$101)&gt;0,0,X96*$J96)</f>
        <v>0</v>
      </c>
      <c r="CP96" s="165">
        <f>IF(SUM(Z$97:Z$101)&gt;0,0,Z96*$J96)</f>
        <v>0</v>
      </c>
      <c r="CQ96" s="165">
        <f>IF(SUM(AB$97:AB$101)&gt;0,0,AB96*$J96)</f>
        <v>0</v>
      </c>
      <c r="CR96" s="166">
        <f>IF(SUM(AD$97:AD$101)&gt;0,0,AD96*$J96)</f>
        <v>0</v>
      </c>
      <c r="CS96" s="164">
        <f>IF(SUM(AF$97:AF$101)&gt;0,0,AF96*$J96)</f>
        <v>0</v>
      </c>
      <c r="CT96" s="1">
        <f t="shared" si="303"/>
        <v>0</v>
      </c>
      <c r="CU96" s="1">
        <f t="shared" si="274"/>
        <v>0</v>
      </c>
      <c r="CV96" s="1">
        <f t="shared" si="275"/>
        <v>0</v>
      </c>
      <c r="CW96" s="1">
        <f t="shared" si="276"/>
        <v>0</v>
      </c>
      <c r="CX96" s="1">
        <f t="shared" si="277"/>
        <v>0</v>
      </c>
      <c r="CY96" s="1">
        <f t="shared" si="278"/>
        <v>0</v>
      </c>
      <c r="CZ96" s="1">
        <f t="shared" si="279"/>
        <v>0</v>
      </c>
      <c r="DA96" s="1">
        <f t="shared" si="280"/>
        <v>0</v>
      </c>
      <c r="DB96" s="1">
        <f t="shared" si="281"/>
        <v>0</v>
      </c>
      <c r="DC96" s="69">
        <f t="shared" si="282"/>
        <v>0</v>
      </c>
      <c r="DD96" s="1">
        <f t="shared" si="304"/>
        <v>0</v>
      </c>
      <c r="DE96" s="1">
        <f t="shared" si="283"/>
        <v>0</v>
      </c>
      <c r="DF96" s="1">
        <f t="shared" si="284"/>
        <v>0</v>
      </c>
      <c r="DG96" s="1">
        <f t="shared" si="285"/>
        <v>0</v>
      </c>
      <c r="DH96" s="1">
        <f t="shared" si="286"/>
        <v>0</v>
      </c>
      <c r="DI96" s="1">
        <f t="shared" si="287"/>
        <v>0</v>
      </c>
      <c r="DJ96" s="1">
        <f t="shared" si="288"/>
        <v>0</v>
      </c>
      <c r="DK96" s="1">
        <f t="shared" si="289"/>
        <v>0</v>
      </c>
      <c r="DL96" s="1">
        <f t="shared" si="290"/>
        <v>0</v>
      </c>
      <c r="DM96" s="69">
        <f t="shared" si="291"/>
        <v>0</v>
      </c>
      <c r="DN96" s="1">
        <f t="shared" si="305"/>
        <v>0</v>
      </c>
      <c r="DO96" s="1">
        <f t="shared" si="292"/>
        <v>0</v>
      </c>
      <c r="DP96" s="1">
        <f t="shared" si="293"/>
        <v>0</v>
      </c>
      <c r="DQ96" s="1">
        <f t="shared" si="294"/>
        <v>0</v>
      </c>
      <c r="DR96" s="1">
        <f t="shared" si="295"/>
        <v>0</v>
      </c>
      <c r="DS96" s="1">
        <f t="shared" si="296"/>
        <v>0</v>
      </c>
      <c r="DT96" s="1">
        <f t="shared" si="297"/>
        <v>0</v>
      </c>
      <c r="DU96" s="1">
        <f t="shared" si="298"/>
        <v>0</v>
      </c>
      <c r="DV96" s="1">
        <f t="shared" si="299"/>
        <v>0</v>
      </c>
      <c r="DW96" s="69">
        <f t="shared" si="300"/>
        <v>0</v>
      </c>
      <c r="DX96" s="1">
        <v>3</v>
      </c>
      <c r="DY96" s="69">
        <f t="shared" si="311"/>
        <v>68</v>
      </c>
      <c r="DZ96" s="1">
        <f t="shared" si="242"/>
        <v>0</v>
      </c>
      <c r="EA96" s="1">
        <f t="shared" si="243"/>
        <v>0</v>
      </c>
      <c r="EB96" s="1">
        <f t="shared" si="308"/>
        <v>0</v>
      </c>
      <c r="ED96" s="285">
        <f t="shared" si="309"/>
        <v>0</v>
      </c>
    </row>
    <row r="97" spans="1:134" ht="15" x14ac:dyDescent="0.25">
      <c r="A97" s="208" t="s">
        <v>666</v>
      </c>
      <c r="B97" s="801" t="s">
        <v>2257</v>
      </c>
      <c r="D97" s="646" t="s">
        <v>994</v>
      </c>
      <c r="E97" s="889">
        <f>0.55</f>
        <v>0.55000000000000004</v>
      </c>
      <c r="F97" s="633">
        <f t="shared" si="306"/>
        <v>0</v>
      </c>
      <c r="G97" s="700"/>
      <c r="H97" s="342"/>
      <c r="I97" s="342"/>
      <c r="J97" s="342">
        <v>2</v>
      </c>
      <c r="K97" s="342">
        <v>1</v>
      </c>
      <c r="L97" s="342"/>
      <c r="M97" s="342">
        <v>1</v>
      </c>
      <c r="N97" s="658"/>
      <c r="O97" s="256"/>
      <c r="P97" s="256"/>
      <c r="Q97" s="256"/>
      <c r="R97" s="255"/>
      <c r="S97" s="256"/>
      <c r="T97" s="256"/>
      <c r="U97" s="256"/>
      <c r="V97" s="255"/>
      <c r="W97" s="256"/>
      <c r="X97" s="256"/>
      <c r="Y97" s="256"/>
      <c r="Z97" s="255"/>
      <c r="AA97" s="256"/>
      <c r="AB97" s="256"/>
      <c r="AC97" s="256"/>
      <c r="AD97" s="255"/>
      <c r="AE97" s="256"/>
      <c r="AF97" s="256"/>
      <c r="AH97" s="546">
        <f t="shared" si="307"/>
        <v>0</v>
      </c>
      <c r="AI97" s="66">
        <f t="shared" ref="AI97:AI112" si="312">N97*$E97</f>
        <v>0</v>
      </c>
      <c r="AL97" s="706" t="str">
        <f t="shared" si="310"/>
        <v>-inverter monofase =0,37 Kw</v>
      </c>
      <c r="AM97" s="684">
        <f t="shared" si="245"/>
        <v>0</v>
      </c>
      <c r="AN97" s="674">
        <f t="shared" ref="AN97:AN111" si="313">P97*$E97</f>
        <v>0</v>
      </c>
      <c r="AO97" s="684">
        <f t="shared" si="246"/>
        <v>0</v>
      </c>
      <c r="AP97" s="674">
        <f t="shared" ref="AP97:AP111" si="314">R97*$E97</f>
        <v>0</v>
      </c>
      <c r="AQ97" s="684">
        <f t="shared" si="247"/>
        <v>0</v>
      </c>
      <c r="AR97" s="674">
        <f t="shared" ref="AR97:AR111" si="315">T97*$E97</f>
        <v>0</v>
      </c>
      <c r="AS97" s="684">
        <f t="shared" si="248"/>
        <v>0</v>
      </c>
      <c r="AT97" s="674">
        <f t="shared" ref="AT97:AT111" si="316">V97*$E97</f>
        <v>0</v>
      </c>
      <c r="AU97" s="684">
        <f t="shared" si="249"/>
        <v>0</v>
      </c>
      <c r="AV97" s="674">
        <f t="shared" ref="AV97:AV111" si="317">X97*$E97</f>
        <v>0</v>
      </c>
      <c r="AW97" s="684">
        <f t="shared" si="250"/>
        <v>0</v>
      </c>
      <c r="AX97" s="674">
        <f t="shared" ref="AX97:AX111" si="318">Z97*$E97</f>
        <v>0</v>
      </c>
      <c r="AY97" s="684">
        <f t="shared" si="251"/>
        <v>0</v>
      </c>
      <c r="AZ97" s="674">
        <f t="shared" ref="AZ97:AZ111" si="319">AB97*$E97</f>
        <v>0</v>
      </c>
      <c r="BA97" s="684">
        <f t="shared" si="252"/>
        <v>0</v>
      </c>
      <c r="BB97" s="674">
        <f t="shared" ref="BB97:BB111" si="320">AD97*$E97</f>
        <v>0</v>
      </c>
      <c r="BC97" s="684">
        <f t="shared" si="253"/>
        <v>0</v>
      </c>
      <c r="BD97" s="674">
        <f t="shared" ref="BD97:BD111" si="321">AF97*$E97</f>
        <v>0</v>
      </c>
      <c r="BE97" s="684">
        <f>AF97*$F97</f>
        <v>0</v>
      </c>
      <c r="BF97" s="1">
        <f t="shared" si="301"/>
        <v>0</v>
      </c>
      <c r="BG97" s="1">
        <f t="shared" si="255"/>
        <v>0</v>
      </c>
      <c r="BH97" s="1">
        <f t="shared" si="256"/>
        <v>0</v>
      </c>
      <c r="BI97" s="1">
        <f t="shared" si="257"/>
        <v>0</v>
      </c>
      <c r="BJ97" s="1">
        <f t="shared" si="258"/>
        <v>0</v>
      </c>
      <c r="BK97" s="1">
        <f t="shared" si="259"/>
        <v>0</v>
      </c>
      <c r="BL97" s="1">
        <f t="shared" si="260"/>
        <v>0</v>
      </c>
      <c r="BM97" s="1">
        <f t="shared" si="261"/>
        <v>0</v>
      </c>
      <c r="BN97" s="1">
        <f t="shared" si="262"/>
        <v>0</v>
      </c>
      <c r="BO97" s="69">
        <f t="shared" si="263"/>
        <v>0</v>
      </c>
      <c r="BP97" s="1">
        <f t="shared" si="198"/>
        <v>0</v>
      </c>
      <c r="BQ97" s="1">
        <f t="shared" si="215"/>
        <v>0</v>
      </c>
      <c r="BR97" s="1">
        <f t="shared" si="216"/>
        <v>0</v>
      </c>
      <c r="BS97" s="1">
        <f t="shared" si="217"/>
        <v>0</v>
      </c>
      <c r="BT97" s="1">
        <f t="shared" si="218"/>
        <v>0</v>
      </c>
      <c r="BU97" s="1">
        <f t="shared" si="219"/>
        <v>0</v>
      </c>
      <c r="BV97" s="1">
        <f t="shared" si="220"/>
        <v>0</v>
      </c>
      <c r="BW97" s="1">
        <f t="shared" si="221"/>
        <v>0</v>
      </c>
      <c r="BX97" s="1">
        <f t="shared" si="222"/>
        <v>0</v>
      </c>
      <c r="BY97" s="69">
        <f t="shared" si="223"/>
        <v>0</v>
      </c>
      <c r="BZ97" s="1">
        <f t="shared" si="302"/>
        <v>0</v>
      </c>
      <c r="CA97" s="1">
        <f t="shared" si="264"/>
        <v>0</v>
      </c>
      <c r="CB97" s="1">
        <f t="shared" si="265"/>
        <v>0</v>
      </c>
      <c r="CC97" s="1">
        <f t="shared" si="266"/>
        <v>0</v>
      </c>
      <c r="CD97" s="1">
        <f t="shared" si="267"/>
        <v>0</v>
      </c>
      <c r="CE97" s="1">
        <f t="shared" si="268"/>
        <v>0</v>
      </c>
      <c r="CF97" s="1">
        <f t="shared" si="269"/>
        <v>0</v>
      </c>
      <c r="CG97" s="1">
        <f t="shared" si="270"/>
        <v>0</v>
      </c>
      <c r="CH97" s="1">
        <f t="shared" si="271"/>
        <v>0</v>
      </c>
      <c r="CI97" s="69">
        <f t="shared" si="272"/>
        <v>0</v>
      </c>
      <c r="CJ97" s="1">
        <f t="shared" ref="CJ97:CJ112" si="322">N97*$J97</f>
        <v>0</v>
      </c>
      <c r="CK97" s="1">
        <f t="shared" ref="CK97:CK106" si="323">P97*$J97</f>
        <v>0</v>
      </c>
      <c r="CL97" s="1">
        <f t="shared" ref="CL97:CL106" si="324">R97*$J97</f>
        <v>0</v>
      </c>
      <c r="CM97" s="1">
        <f t="shared" ref="CM97:CM106" si="325">T97*$J97</f>
        <v>0</v>
      </c>
      <c r="CN97" s="1">
        <f t="shared" ref="CN97:CN106" si="326">V97*$J97</f>
        <v>0</v>
      </c>
      <c r="CO97" s="1">
        <f t="shared" ref="CO97:CO106" si="327">X97*$J97</f>
        <v>0</v>
      </c>
      <c r="CP97" s="1">
        <f t="shared" ref="CP97:CP106" si="328">Z97*$J97</f>
        <v>0</v>
      </c>
      <c r="CQ97" s="1">
        <f t="shared" ref="CQ97:CQ106" si="329">AB97*$J97</f>
        <v>0</v>
      </c>
      <c r="CR97" s="1">
        <f t="shared" ref="CR97:CR106" si="330">AD97*$J97</f>
        <v>0</v>
      </c>
      <c r="CS97" s="69">
        <f t="shared" ref="CS97:CS106" si="331">AF97*$J97</f>
        <v>0</v>
      </c>
      <c r="CT97" s="1">
        <f t="shared" si="303"/>
        <v>0</v>
      </c>
      <c r="CU97" s="1">
        <f t="shared" si="274"/>
        <v>0</v>
      </c>
      <c r="CV97" s="1">
        <f t="shared" si="275"/>
        <v>0</v>
      </c>
      <c r="CW97" s="1">
        <f t="shared" si="276"/>
        <v>0</v>
      </c>
      <c r="CX97" s="1">
        <f t="shared" si="277"/>
        <v>0</v>
      </c>
      <c r="CY97" s="1">
        <f t="shared" si="278"/>
        <v>0</v>
      </c>
      <c r="CZ97" s="1">
        <f t="shared" si="279"/>
        <v>0</v>
      </c>
      <c r="DA97" s="1">
        <f t="shared" si="280"/>
        <v>0</v>
      </c>
      <c r="DB97" s="1">
        <f t="shared" si="281"/>
        <v>0</v>
      </c>
      <c r="DC97" s="69">
        <f t="shared" si="282"/>
        <v>0</v>
      </c>
      <c r="DD97" s="1">
        <f t="shared" si="304"/>
        <v>0</v>
      </c>
      <c r="DE97" s="1">
        <f t="shared" si="283"/>
        <v>0</v>
      </c>
      <c r="DF97" s="1">
        <f t="shared" si="284"/>
        <v>0</v>
      </c>
      <c r="DG97" s="1">
        <f t="shared" si="285"/>
        <v>0</v>
      </c>
      <c r="DH97" s="1">
        <f t="shared" si="286"/>
        <v>0</v>
      </c>
      <c r="DI97" s="1">
        <f t="shared" si="287"/>
        <v>0</v>
      </c>
      <c r="DJ97" s="1">
        <f t="shared" si="288"/>
        <v>0</v>
      </c>
      <c r="DK97" s="1">
        <f t="shared" si="289"/>
        <v>0</v>
      </c>
      <c r="DL97" s="1">
        <f t="shared" si="290"/>
        <v>0</v>
      </c>
      <c r="DM97" s="69">
        <f t="shared" si="291"/>
        <v>0</v>
      </c>
      <c r="DN97" s="1">
        <f t="shared" si="305"/>
        <v>0</v>
      </c>
      <c r="DO97" s="1">
        <f t="shared" si="292"/>
        <v>0</v>
      </c>
      <c r="DP97" s="1">
        <f t="shared" si="293"/>
        <v>0</v>
      </c>
      <c r="DQ97" s="1">
        <f t="shared" si="294"/>
        <v>0</v>
      </c>
      <c r="DR97" s="1">
        <f t="shared" si="295"/>
        <v>0</v>
      </c>
      <c r="DS97" s="1">
        <f t="shared" si="296"/>
        <v>0</v>
      </c>
      <c r="DT97" s="1">
        <f t="shared" si="297"/>
        <v>0</v>
      </c>
      <c r="DU97" s="1">
        <f t="shared" si="298"/>
        <v>0</v>
      </c>
      <c r="DV97" s="1">
        <f t="shared" si="299"/>
        <v>0</v>
      </c>
      <c r="DW97" s="69">
        <f t="shared" si="300"/>
        <v>0</v>
      </c>
      <c r="DX97" s="1">
        <v>3</v>
      </c>
      <c r="DY97" s="69">
        <f t="shared" si="311"/>
        <v>69</v>
      </c>
      <c r="DZ97" s="1">
        <f t="shared" si="242"/>
        <v>0</v>
      </c>
      <c r="EA97" s="1">
        <f t="shared" si="243"/>
        <v>0</v>
      </c>
      <c r="EB97" s="1">
        <f t="shared" si="308"/>
        <v>0</v>
      </c>
      <c r="ED97" s="285">
        <f t="shared" si="309"/>
        <v>0</v>
      </c>
    </row>
    <row r="98" spans="1:134" ht="15" x14ac:dyDescent="0.25">
      <c r="A98" s="208" t="s">
        <v>666</v>
      </c>
      <c r="B98" s="801" t="s">
        <v>2258</v>
      </c>
      <c r="D98" s="646" t="s">
        <v>995</v>
      </c>
      <c r="E98" s="889">
        <v>0.75</v>
      </c>
      <c r="F98" s="633">
        <f t="shared" si="306"/>
        <v>0</v>
      </c>
      <c r="G98" s="700"/>
      <c r="H98" s="342"/>
      <c r="I98" s="342"/>
      <c r="J98" s="342">
        <v>2</v>
      </c>
      <c r="K98" s="342">
        <v>1</v>
      </c>
      <c r="L98" s="342"/>
      <c r="M98" s="342">
        <v>1</v>
      </c>
      <c r="N98" s="658"/>
      <c r="O98" s="256"/>
      <c r="P98" s="256"/>
      <c r="Q98" s="256"/>
      <c r="R98" s="255"/>
      <c r="S98" s="256"/>
      <c r="T98" s="256"/>
      <c r="U98" s="256"/>
      <c r="V98" s="255"/>
      <c r="W98" s="256"/>
      <c r="X98" s="256"/>
      <c r="Y98" s="256"/>
      <c r="Z98" s="255"/>
      <c r="AA98" s="256"/>
      <c r="AB98" s="256"/>
      <c r="AC98" s="256"/>
      <c r="AD98" s="255"/>
      <c r="AE98" s="256"/>
      <c r="AF98" s="256"/>
      <c r="AH98" s="546">
        <f t="shared" si="307"/>
        <v>0</v>
      </c>
      <c r="AI98" s="66">
        <f t="shared" si="312"/>
        <v>0</v>
      </c>
      <c r="AL98" s="706" t="str">
        <f t="shared" si="310"/>
        <v>-inverter monofase =0,75 Kw</v>
      </c>
      <c r="AM98" s="684">
        <f>N98*$F98</f>
        <v>0</v>
      </c>
      <c r="AN98" s="674">
        <f t="shared" si="313"/>
        <v>0</v>
      </c>
      <c r="AO98" s="684">
        <f>P98*$F98</f>
        <v>0</v>
      </c>
      <c r="AP98" s="674">
        <f t="shared" si="314"/>
        <v>0</v>
      </c>
      <c r="AQ98" s="684">
        <f>R98*$F98</f>
        <v>0</v>
      </c>
      <c r="AR98" s="674">
        <f t="shared" si="315"/>
        <v>0</v>
      </c>
      <c r="AS98" s="684">
        <f>T98*$F98</f>
        <v>0</v>
      </c>
      <c r="AT98" s="674">
        <f t="shared" si="316"/>
        <v>0</v>
      </c>
      <c r="AU98" s="684">
        <f>V98*$F98</f>
        <v>0</v>
      </c>
      <c r="AV98" s="674">
        <f t="shared" si="317"/>
        <v>0</v>
      </c>
      <c r="AW98" s="684">
        <f>X98*$F98</f>
        <v>0</v>
      </c>
      <c r="AX98" s="674">
        <f t="shared" si="318"/>
        <v>0</v>
      </c>
      <c r="AY98" s="684">
        <f>Z98*$F98</f>
        <v>0</v>
      </c>
      <c r="AZ98" s="674">
        <f t="shared" si="319"/>
        <v>0</v>
      </c>
      <c r="BA98" s="684">
        <f>AB98*$F98</f>
        <v>0</v>
      </c>
      <c r="BB98" s="674">
        <f t="shared" si="320"/>
        <v>0</v>
      </c>
      <c r="BC98" s="684">
        <f>AD98*$F98</f>
        <v>0</v>
      </c>
      <c r="BD98" s="674">
        <f t="shared" si="321"/>
        <v>0</v>
      </c>
      <c r="BE98" s="684">
        <f>AF98*$F98</f>
        <v>0</v>
      </c>
      <c r="BF98" s="1">
        <f>N98*$G98</f>
        <v>0</v>
      </c>
      <c r="BG98" s="1">
        <f t="shared" ref="BG98:BG130" si="332">P98*$G98</f>
        <v>0</v>
      </c>
      <c r="BH98" s="1">
        <f t="shared" ref="BH98:BH130" si="333">R98*$G98</f>
        <v>0</v>
      </c>
      <c r="BI98" s="1">
        <f t="shared" ref="BI98:BI130" si="334">T98*$G98</f>
        <v>0</v>
      </c>
      <c r="BJ98" s="1">
        <f t="shared" ref="BJ98:BJ130" si="335">V98*$G98</f>
        <v>0</v>
      </c>
      <c r="BK98" s="1">
        <f t="shared" ref="BK98:BK130" si="336">X98*$G98</f>
        <v>0</v>
      </c>
      <c r="BL98" s="1">
        <f t="shared" ref="BL98:BL130" si="337">Z98*$G98</f>
        <v>0</v>
      </c>
      <c r="BM98" s="1">
        <f t="shared" ref="BM98:BM130" si="338">AB98*$G98</f>
        <v>0</v>
      </c>
      <c r="BN98" s="1">
        <f t="shared" ref="BN98:BN130" si="339">AD98*$G98</f>
        <v>0</v>
      </c>
      <c r="BO98" s="69">
        <f t="shared" ref="BO98:BO130" si="340">AF98*$G98</f>
        <v>0</v>
      </c>
      <c r="BP98" s="1">
        <f>N98*$H98</f>
        <v>0</v>
      </c>
      <c r="BQ98" s="1">
        <f>P98*$H98</f>
        <v>0</v>
      </c>
      <c r="BR98" s="1">
        <f>R98*$H98</f>
        <v>0</v>
      </c>
      <c r="BS98" s="1">
        <f>T98*$H98</f>
        <v>0</v>
      </c>
      <c r="BT98" s="1">
        <f>V98*$H98</f>
        <v>0</v>
      </c>
      <c r="BU98" s="1">
        <f>X98*$H98</f>
        <v>0</v>
      </c>
      <c r="BV98" s="1">
        <f>Z98*$H98</f>
        <v>0</v>
      </c>
      <c r="BW98" s="1">
        <f>AB98*$H98</f>
        <v>0</v>
      </c>
      <c r="BX98" s="1">
        <f>AD98*$H98</f>
        <v>0</v>
      </c>
      <c r="BY98" s="69">
        <f>AF98*$H98</f>
        <v>0</v>
      </c>
      <c r="BZ98" s="1">
        <f>N98*$I98</f>
        <v>0</v>
      </c>
      <c r="CA98" s="1">
        <f t="shared" ref="CA98:CA130" si="341">P98*$I98</f>
        <v>0</v>
      </c>
      <c r="CB98" s="1">
        <f t="shared" ref="CB98:CB130" si="342">R98*$I98</f>
        <v>0</v>
      </c>
      <c r="CC98" s="1">
        <f t="shared" ref="CC98:CC130" si="343">T98*$I98</f>
        <v>0</v>
      </c>
      <c r="CD98" s="1">
        <f t="shared" ref="CD98:CD130" si="344">V98*$I98</f>
        <v>0</v>
      </c>
      <c r="CE98" s="1">
        <f t="shared" ref="CE98:CE130" si="345">X98*$I98</f>
        <v>0</v>
      </c>
      <c r="CF98" s="1">
        <f t="shared" ref="CF98:CF130" si="346">Z98*$I98</f>
        <v>0</v>
      </c>
      <c r="CG98" s="1">
        <f t="shared" ref="CG98:CG130" si="347">AB98*$I98</f>
        <v>0</v>
      </c>
      <c r="CH98" s="1">
        <f t="shared" ref="CH98:CH130" si="348">AD98*$I98</f>
        <v>0</v>
      </c>
      <c r="CI98" s="69">
        <f t="shared" ref="CI98:CI130" si="349">AF98*$I98</f>
        <v>0</v>
      </c>
      <c r="CJ98" s="1">
        <f t="shared" si="322"/>
        <v>0</v>
      </c>
      <c r="CK98" s="1">
        <f>P98*$J98</f>
        <v>0</v>
      </c>
      <c r="CL98" s="1">
        <f>R98*$J98</f>
        <v>0</v>
      </c>
      <c r="CM98" s="1">
        <f>T98*$J98</f>
        <v>0</v>
      </c>
      <c r="CN98" s="1">
        <f>V98*$J98</f>
        <v>0</v>
      </c>
      <c r="CO98" s="1">
        <f>X98*$J98</f>
        <v>0</v>
      </c>
      <c r="CP98" s="1">
        <f>Z98*$J98</f>
        <v>0</v>
      </c>
      <c r="CQ98" s="1">
        <f>AB98*$J98</f>
        <v>0</v>
      </c>
      <c r="CR98" s="1">
        <f>AD98*$J98</f>
        <v>0</v>
      </c>
      <c r="CS98" s="69">
        <f>AF98*$J98</f>
        <v>0</v>
      </c>
      <c r="CT98" s="1">
        <f>N98*$K98</f>
        <v>0</v>
      </c>
      <c r="CU98" s="1">
        <f t="shared" ref="CU98:CU130" si="350">P98*$K98</f>
        <v>0</v>
      </c>
      <c r="CV98" s="1">
        <f t="shared" ref="CV98:CV130" si="351">R98*$K98</f>
        <v>0</v>
      </c>
      <c r="CW98" s="1">
        <f t="shared" ref="CW98:CW130" si="352">T98*$K98</f>
        <v>0</v>
      </c>
      <c r="CX98" s="1">
        <f t="shared" ref="CX98:CX130" si="353">V98*$K98</f>
        <v>0</v>
      </c>
      <c r="CY98" s="1">
        <f t="shared" ref="CY98:CY130" si="354">X98*$K98</f>
        <v>0</v>
      </c>
      <c r="CZ98" s="1">
        <f t="shared" ref="CZ98:CZ130" si="355">Z98*$K98</f>
        <v>0</v>
      </c>
      <c r="DA98" s="1">
        <f t="shared" ref="DA98:DA130" si="356">AB98*$K98</f>
        <v>0</v>
      </c>
      <c r="DB98" s="1">
        <f t="shared" ref="DB98:DB130" si="357">AD98*$K98</f>
        <v>0</v>
      </c>
      <c r="DC98" s="69">
        <f t="shared" ref="DC98:DC130" si="358">AF98*$K98</f>
        <v>0</v>
      </c>
      <c r="DD98" s="1">
        <f>N98*$L98</f>
        <v>0</v>
      </c>
      <c r="DE98" s="1">
        <f t="shared" ref="DE98:DE130" si="359">P98*$L98</f>
        <v>0</v>
      </c>
      <c r="DF98" s="1">
        <f t="shared" ref="DF98:DF130" si="360">R98*$L98</f>
        <v>0</v>
      </c>
      <c r="DG98" s="1">
        <f t="shared" ref="DG98:DG130" si="361">T98*$L98</f>
        <v>0</v>
      </c>
      <c r="DH98" s="1">
        <f t="shared" ref="DH98:DH130" si="362">V98*$L98</f>
        <v>0</v>
      </c>
      <c r="DI98" s="1">
        <f t="shared" ref="DI98:DI130" si="363">X98*$L98</f>
        <v>0</v>
      </c>
      <c r="DJ98" s="1">
        <f t="shared" ref="DJ98:DJ130" si="364">Z98*$L98</f>
        <v>0</v>
      </c>
      <c r="DK98" s="1">
        <f t="shared" ref="DK98:DK130" si="365">AB98*$L98</f>
        <v>0</v>
      </c>
      <c r="DL98" s="1">
        <f t="shared" ref="DL98:DL130" si="366">AD98*$L98</f>
        <v>0</v>
      </c>
      <c r="DM98" s="69">
        <f t="shared" ref="DM98:DM130" si="367">AF98*$L98</f>
        <v>0</v>
      </c>
      <c r="DN98" s="1">
        <f>N98*$M98</f>
        <v>0</v>
      </c>
      <c r="DO98" s="1">
        <f t="shared" ref="DO98:DO130" si="368">P98*$M98</f>
        <v>0</v>
      </c>
      <c r="DP98" s="1">
        <f t="shared" ref="DP98:DP130" si="369">R98*$M98</f>
        <v>0</v>
      </c>
      <c r="DQ98" s="1">
        <f t="shared" ref="DQ98:DQ130" si="370">T98*$M98</f>
        <v>0</v>
      </c>
      <c r="DR98" s="1">
        <f t="shared" ref="DR98:DR130" si="371">V98*$M98</f>
        <v>0</v>
      </c>
      <c r="DS98" s="1">
        <f t="shared" ref="DS98:DS130" si="372">X98*$M98</f>
        <v>0</v>
      </c>
      <c r="DT98" s="1">
        <f t="shared" ref="DT98:DT130" si="373">Z98*$M98</f>
        <v>0</v>
      </c>
      <c r="DU98" s="1">
        <f t="shared" ref="DU98:DU130" si="374">AB98*$M98</f>
        <v>0</v>
      </c>
      <c r="DV98" s="1">
        <f t="shared" ref="DV98:DV130" si="375">AD98*$M98</f>
        <v>0</v>
      </c>
      <c r="DW98" s="69">
        <f t="shared" ref="DW98:DW130" si="376">AF98*$M98</f>
        <v>0</v>
      </c>
      <c r="DX98" s="1">
        <v>3</v>
      </c>
      <c r="DY98" s="69">
        <f t="shared" si="311"/>
        <v>70</v>
      </c>
      <c r="DZ98" s="1">
        <f t="shared" si="242"/>
        <v>0</v>
      </c>
      <c r="EA98" s="1">
        <f t="shared" si="243"/>
        <v>0</v>
      </c>
      <c r="EB98" s="1">
        <f t="shared" si="308"/>
        <v>0</v>
      </c>
      <c r="ED98" s="285">
        <f t="shared" si="309"/>
        <v>0</v>
      </c>
    </row>
    <row r="99" spans="1:134" ht="15" x14ac:dyDescent="0.25">
      <c r="A99" s="208" t="s">
        <v>666</v>
      </c>
      <c r="B99" s="801" t="s">
        <v>2259</v>
      </c>
      <c r="D99" s="646" t="s">
        <v>650</v>
      </c>
      <c r="E99" s="889">
        <v>0.75</v>
      </c>
      <c r="F99" s="633">
        <f t="shared" si="306"/>
        <v>0</v>
      </c>
      <c r="G99" s="700"/>
      <c r="H99" s="342"/>
      <c r="I99" s="342"/>
      <c r="J99" s="342">
        <v>2</v>
      </c>
      <c r="K99" s="342">
        <v>1</v>
      </c>
      <c r="L99" s="342"/>
      <c r="M99" s="342">
        <v>1</v>
      </c>
      <c r="N99" s="658"/>
      <c r="O99" s="256"/>
      <c r="P99" s="256"/>
      <c r="Q99" s="256"/>
      <c r="R99" s="255"/>
      <c r="S99" s="256"/>
      <c r="T99" s="256"/>
      <c r="U99" s="256"/>
      <c r="V99" s="255"/>
      <c r="W99" s="256"/>
      <c r="X99" s="256"/>
      <c r="Y99" s="256"/>
      <c r="Z99" s="255"/>
      <c r="AA99" s="256"/>
      <c r="AB99" s="256"/>
      <c r="AC99" s="256"/>
      <c r="AD99" s="255"/>
      <c r="AE99" s="256"/>
      <c r="AF99" s="256"/>
      <c r="AH99" s="546">
        <f t="shared" si="307"/>
        <v>0</v>
      </c>
      <c r="AI99" s="66">
        <f t="shared" si="312"/>
        <v>0</v>
      </c>
      <c r="AL99" s="706" t="str">
        <f t="shared" si="310"/>
        <v>-inverter trifase =0,75 Kw</v>
      </c>
      <c r="AM99" s="684">
        <f>N99*$F99</f>
        <v>0</v>
      </c>
      <c r="AN99" s="674">
        <f t="shared" si="313"/>
        <v>0</v>
      </c>
      <c r="AO99" s="684">
        <f>P99*$F99</f>
        <v>0</v>
      </c>
      <c r="AP99" s="674">
        <f t="shared" si="314"/>
        <v>0</v>
      </c>
      <c r="AQ99" s="684">
        <f>R99*$F99</f>
        <v>0</v>
      </c>
      <c r="AR99" s="674">
        <f t="shared" si="315"/>
        <v>0</v>
      </c>
      <c r="AS99" s="684">
        <f>T99*$F99</f>
        <v>0</v>
      </c>
      <c r="AT99" s="674">
        <f t="shared" si="316"/>
        <v>0</v>
      </c>
      <c r="AU99" s="684">
        <f>V99*$F99</f>
        <v>0</v>
      </c>
      <c r="AV99" s="674">
        <f t="shared" si="317"/>
        <v>0</v>
      </c>
      <c r="AW99" s="684">
        <f>X99*$F99</f>
        <v>0</v>
      </c>
      <c r="AX99" s="674">
        <f t="shared" si="318"/>
        <v>0</v>
      </c>
      <c r="AY99" s="684">
        <f>Z99*$F99</f>
        <v>0</v>
      </c>
      <c r="AZ99" s="674">
        <f t="shared" si="319"/>
        <v>0</v>
      </c>
      <c r="BA99" s="684">
        <f>AB99*$F99</f>
        <v>0</v>
      </c>
      <c r="BB99" s="674">
        <f t="shared" si="320"/>
        <v>0</v>
      </c>
      <c r="BC99" s="684">
        <f>AD99*$F99</f>
        <v>0</v>
      </c>
      <c r="BD99" s="674">
        <f t="shared" si="321"/>
        <v>0</v>
      </c>
      <c r="BE99" s="684">
        <f>AF99*$F99</f>
        <v>0</v>
      </c>
      <c r="BF99" s="1">
        <f>N99*$G99</f>
        <v>0</v>
      </c>
      <c r="BG99" s="1">
        <f t="shared" si="332"/>
        <v>0</v>
      </c>
      <c r="BH99" s="1">
        <f t="shared" si="333"/>
        <v>0</v>
      </c>
      <c r="BI99" s="1">
        <f t="shared" si="334"/>
        <v>0</v>
      </c>
      <c r="BJ99" s="1">
        <f t="shared" si="335"/>
        <v>0</v>
      </c>
      <c r="BK99" s="1">
        <f t="shared" si="336"/>
        <v>0</v>
      </c>
      <c r="BL99" s="1">
        <f t="shared" si="337"/>
        <v>0</v>
      </c>
      <c r="BM99" s="1">
        <f t="shared" si="338"/>
        <v>0</v>
      </c>
      <c r="BN99" s="1">
        <f t="shared" si="339"/>
        <v>0</v>
      </c>
      <c r="BO99" s="69">
        <f t="shared" si="340"/>
        <v>0</v>
      </c>
      <c r="BP99" s="1">
        <f>N99*$H99</f>
        <v>0</v>
      </c>
      <c r="BQ99" s="1">
        <f>P99*$H99</f>
        <v>0</v>
      </c>
      <c r="BR99" s="1">
        <f>R99*$H99</f>
        <v>0</v>
      </c>
      <c r="BS99" s="1">
        <f>T99*$H99</f>
        <v>0</v>
      </c>
      <c r="BT99" s="1">
        <f>V99*$H99</f>
        <v>0</v>
      </c>
      <c r="BU99" s="1">
        <f>X99*$H99</f>
        <v>0</v>
      </c>
      <c r="BV99" s="1">
        <f>Z99*$H99</f>
        <v>0</v>
      </c>
      <c r="BW99" s="1">
        <f>AB99*$H99</f>
        <v>0</v>
      </c>
      <c r="BX99" s="1">
        <f>AD99*$H99</f>
        <v>0</v>
      </c>
      <c r="BY99" s="69">
        <f>AF99*$H99</f>
        <v>0</v>
      </c>
      <c r="BZ99" s="1">
        <f>N99*$I99</f>
        <v>0</v>
      </c>
      <c r="CA99" s="1">
        <f t="shared" si="341"/>
        <v>0</v>
      </c>
      <c r="CB99" s="1">
        <f t="shared" si="342"/>
        <v>0</v>
      </c>
      <c r="CC99" s="1">
        <f t="shared" si="343"/>
        <v>0</v>
      </c>
      <c r="CD99" s="1">
        <f t="shared" si="344"/>
        <v>0</v>
      </c>
      <c r="CE99" s="1">
        <f t="shared" si="345"/>
        <v>0</v>
      </c>
      <c r="CF99" s="1">
        <f t="shared" si="346"/>
        <v>0</v>
      </c>
      <c r="CG99" s="1">
        <f t="shared" si="347"/>
        <v>0</v>
      </c>
      <c r="CH99" s="1">
        <f t="shared" si="348"/>
        <v>0</v>
      </c>
      <c r="CI99" s="69">
        <f t="shared" si="349"/>
        <v>0</v>
      </c>
      <c r="CJ99" s="1">
        <f t="shared" si="322"/>
        <v>0</v>
      </c>
      <c r="CK99" s="1">
        <f>P99*$J99</f>
        <v>0</v>
      </c>
      <c r="CL99" s="1">
        <f>R99*$J99</f>
        <v>0</v>
      </c>
      <c r="CM99" s="1">
        <f>T99*$J99</f>
        <v>0</v>
      </c>
      <c r="CN99" s="1">
        <f>V99*$J99</f>
        <v>0</v>
      </c>
      <c r="CO99" s="1">
        <f>X99*$J99</f>
        <v>0</v>
      </c>
      <c r="CP99" s="1">
        <f>Z99*$J99</f>
        <v>0</v>
      </c>
      <c r="CQ99" s="1">
        <f>AB99*$J99</f>
        <v>0</v>
      </c>
      <c r="CR99" s="1">
        <f>AD99*$J99</f>
        <v>0</v>
      </c>
      <c r="CS99" s="69">
        <f>AF99*$J99</f>
        <v>0</v>
      </c>
      <c r="CT99" s="1">
        <f>N99*$K99</f>
        <v>0</v>
      </c>
      <c r="CU99" s="1">
        <f t="shared" si="350"/>
        <v>0</v>
      </c>
      <c r="CV99" s="1">
        <f t="shared" si="351"/>
        <v>0</v>
      </c>
      <c r="CW99" s="1">
        <f t="shared" si="352"/>
        <v>0</v>
      </c>
      <c r="CX99" s="1">
        <f t="shared" si="353"/>
        <v>0</v>
      </c>
      <c r="CY99" s="1">
        <f t="shared" si="354"/>
        <v>0</v>
      </c>
      <c r="CZ99" s="1">
        <f t="shared" si="355"/>
        <v>0</v>
      </c>
      <c r="DA99" s="1">
        <f t="shared" si="356"/>
        <v>0</v>
      </c>
      <c r="DB99" s="1">
        <f t="shared" si="357"/>
        <v>0</v>
      </c>
      <c r="DC99" s="69">
        <f t="shared" si="358"/>
        <v>0</v>
      </c>
      <c r="DD99" s="1">
        <f>N99*$L99</f>
        <v>0</v>
      </c>
      <c r="DE99" s="1">
        <f t="shared" si="359"/>
        <v>0</v>
      </c>
      <c r="DF99" s="1">
        <f t="shared" si="360"/>
        <v>0</v>
      </c>
      <c r="DG99" s="1">
        <f t="shared" si="361"/>
        <v>0</v>
      </c>
      <c r="DH99" s="1">
        <f t="shared" si="362"/>
        <v>0</v>
      </c>
      <c r="DI99" s="1">
        <f t="shared" si="363"/>
        <v>0</v>
      </c>
      <c r="DJ99" s="1">
        <f t="shared" si="364"/>
        <v>0</v>
      </c>
      <c r="DK99" s="1">
        <f t="shared" si="365"/>
        <v>0</v>
      </c>
      <c r="DL99" s="1">
        <f t="shared" si="366"/>
        <v>0</v>
      </c>
      <c r="DM99" s="69">
        <f t="shared" si="367"/>
        <v>0</v>
      </c>
      <c r="DN99" s="1">
        <f>N99*$M99</f>
        <v>0</v>
      </c>
      <c r="DO99" s="1">
        <f t="shared" si="368"/>
        <v>0</v>
      </c>
      <c r="DP99" s="1">
        <f t="shared" si="369"/>
        <v>0</v>
      </c>
      <c r="DQ99" s="1">
        <f t="shared" si="370"/>
        <v>0</v>
      </c>
      <c r="DR99" s="1">
        <f t="shared" si="371"/>
        <v>0</v>
      </c>
      <c r="DS99" s="1">
        <f t="shared" si="372"/>
        <v>0</v>
      </c>
      <c r="DT99" s="1">
        <f t="shared" si="373"/>
        <v>0</v>
      </c>
      <c r="DU99" s="1">
        <f t="shared" si="374"/>
        <v>0</v>
      </c>
      <c r="DV99" s="1">
        <f t="shared" si="375"/>
        <v>0</v>
      </c>
      <c r="DW99" s="69">
        <f t="shared" si="376"/>
        <v>0</v>
      </c>
      <c r="DX99" s="1">
        <v>3</v>
      </c>
      <c r="DY99" s="69">
        <f t="shared" si="311"/>
        <v>71</v>
      </c>
      <c r="DZ99" s="1">
        <f t="shared" ref="DZ99:DZ119" si="377">IF(C99="m",SUM(N99+P99+R99+T99+V99+X99+Z99+AB99+AD99+AF99),0)</f>
        <v>0</v>
      </c>
      <c r="EA99" s="1">
        <f t="shared" si="243"/>
        <v>0</v>
      </c>
      <c r="EB99" s="1">
        <f t="shared" si="308"/>
        <v>0</v>
      </c>
      <c r="ED99" s="285">
        <f t="shared" si="309"/>
        <v>0</v>
      </c>
    </row>
    <row r="100" spans="1:134" ht="15" x14ac:dyDescent="0.25">
      <c r="A100" s="208" t="s">
        <v>666</v>
      </c>
      <c r="B100" s="801" t="s">
        <v>2260</v>
      </c>
      <c r="D100" s="646" t="s">
        <v>651</v>
      </c>
      <c r="E100" s="889">
        <v>1.5</v>
      </c>
      <c r="F100" s="633">
        <f>VLOOKUP(D100,prezzi,5,)</f>
        <v>0</v>
      </c>
      <c r="G100" s="700"/>
      <c r="H100" s="342"/>
      <c r="I100" s="342"/>
      <c r="J100" s="342">
        <v>2</v>
      </c>
      <c r="K100" s="342">
        <v>1</v>
      </c>
      <c r="L100" s="342"/>
      <c r="M100" s="342">
        <v>1</v>
      </c>
      <c r="N100" s="658"/>
      <c r="O100" s="256"/>
      <c r="P100" s="256"/>
      <c r="Q100" s="256"/>
      <c r="R100" s="255"/>
      <c r="S100" s="256"/>
      <c r="T100" s="256"/>
      <c r="U100" s="256"/>
      <c r="V100" s="255"/>
      <c r="W100" s="256"/>
      <c r="X100" s="256"/>
      <c r="Y100" s="256"/>
      <c r="Z100" s="255"/>
      <c r="AA100" s="256"/>
      <c r="AB100" s="256"/>
      <c r="AC100" s="256"/>
      <c r="AD100" s="255"/>
      <c r="AE100" s="256"/>
      <c r="AF100" s="256"/>
      <c r="AH100" s="546">
        <f t="shared" si="307"/>
        <v>0</v>
      </c>
      <c r="AI100" s="66">
        <f t="shared" si="312"/>
        <v>0</v>
      </c>
      <c r="AL100" s="706" t="str">
        <f t="shared" si="310"/>
        <v>-inverter trifase = 1,5 Kw</v>
      </c>
      <c r="AM100" s="684">
        <f>N100*$F100</f>
        <v>0</v>
      </c>
      <c r="AN100" s="674">
        <f t="shared" si="313"/>
        <v>0</v>
      </c>
      <c r="AO100" s="684">
        <f>P100*$F100</f>
        <v>0</v>
      </c>
      <c r="AP100" s="674">
        <f t="shared" si="314"/>
        <v>0</v>
      </c>
      <c r="AQ100" s="684">
        <f>R100*$F100</f>
        <v>0</v>
      </c>
      <c r="AR100" s="674">
        <f t="shared" si="315"/>
        <v>0</v>
      </c>
      <c r="AS100" s="684">
        <f>T100*$F100</f>
        <v>0</v>
      </c>
      <c r="AT100" s="674">
        <f t="shared" si="316"/>
        <v>0</v>
      </c>
      <c r="AU100" s="684">
        <f>V100*$F100</f>
        <v>0</v>
      </c>
      <c r="AV100" s="674">
        <f t="shared" si="317"/>
        <v>0</v>
      </c>
      <c r="AW100" s="684">
        <f>X100*$F100</f>
        <v>0</v>
      </c>
      <c r="AX100" s="674">
        <f t="shared" si="318"/>
        <v>0</v>
      </c>
      <c r="AY100" s="684">
        <f>Z100*$F100</f>
        <v>0</v>
      </c>
      <c r="AZ100" s="674">
        <f t="shared" si="319"/>
        <v>0</v>
      </c>
      <c r="BA100" s="684">
        <f>AB100*$F100</f>
        <v>0</v>
      </c>
      <c r="BB100" s="674">
        <f t="shared" si="320"/>
        <v>0</v>
      </c>
      <c r="BC100" s="684">
        <f>AD100*$F100</f>
        <v>0</v>
      </c>
      <c r="BD100" s="674">
        <f t="shared" si="321"/>
        <v>0</v>
      </c>
      <c r="BE100" s="684">
        <f>AF100*$F100</f>
        <v>0</v>
      </c>
      <c r="BF100" s="1">
        <f>N100*$G100</f>
        <v>0</v>
      </c>
      <c r="BG100" s="1">
        <f t="shared" si="332"/>
        <v>0</v>
      </c>
      <c r="BH100" s="1">
        <f t="shared" si="333"/>
        <v>0</v>
      </c>
      <c r="BI100" s="1">
        <f t="shared" si="334"/>
        <v>0</v>
      </c>
      <c r="BJ100" s="1">
        <f t="shared" si="335"/>
        <v>0</v>
      </c>
      <c r="BK100" s="1">
        <f t="shared" si="336"/>
        <v>0</v>
      </c>
      <c r="BL100" s="1">
        <f t="shared" si="337"/>
        <v>0</v>
      </c>
      <c r="BM100" s="1">
        <f t="shared" si="338"/>
        <v>0</v>
      </c>
      <c r="BN100" s="1">
        <f t="shared" si="339"/>
        <v>0</v>
      </c>
      <c r="BO100" s="69">
        <f t="shared" si="340"/>
        <v>0</v>
      </c>
      <c r="BP100" s="1">
        <f>N100*$H100</f>
        <v>0</v>
      </c>
      <c r="BQ100" s="1">
        <f>P100*$H100</f>
        <v>0</v>
      </c>
      <c r="BR100" s="1">
        <f>R100*$H100</f>
        <v>0</v>
      </c>
      <c r="BS100" s="1">
        <f>T100*$H100</f>
        <v>0</v>
      </c>
      <c r="BT100" s="1">
        <f>V100*$H100</f>
        <v>0</v>
      </c>
      <c r="BU100" s="1">
        <f>X100*$H100</f>
        <v>0</v>
      </c>
      <c r="BV100" s="1">
        <f>Z100*$H100</f>
        <v>0</v>
      </c>
      <c r="BW100" s="1">
        <f>AB100*$H100</f>
        <v>0</v>
      </c>
      <c r="BX100" s="1">
        <f>AD100*$H100</f>
        <v>0</v>
      </c>
      <c r="BY100" s="69">
        <f>AF100*$H100</f>
        <v>0</v>
      </c>
      <c r="BZ100" s="1">
        <f>N100*$I100</f>
        <v>0</v>
      </c>
      <c r="CA100" s="1">
        <f t="shared" si="341"/>
        <v>0</v>
      </c>
      <c r="CB100" s="1">
        <f t="shared" si="342"/>
        <v>0</v>
      </c>
      <c r="CC100" s="1">
        <f t="shared" si="343"/>
        <v>0</v>
      </c>
      <c r="CD100" s="1">
        <f t="shared" si="344"/>
        <v>0</v>
      </c>
      <c r="CE100" s="1">
        <f t="shared" si="345"/>
        <v>0</v>
      </c>
      <c r="CF100" s="1">
        <f t="shared" si="346"/>
        <v>0</v>
      </c>
      <c r="CG100" s="1">
        <f t="shared" si="347"/>
        <v>0</v>
      </c>
      <c r="CH100" s="1">
        <f t="shared" si="348"/>
        <v>0</v>
      </c>
      <c r="CI100" s="69">
        <f t="shared" si="349"/>
        <v>0</v>
      </c>
      <c r="CJ100" s="1">
        <f t="shared" si="322"/>
        <v>0</v>
      </c>
      <c r="CK100" s="1">
        <f>P100*$J100</f>
        <v>0</v>
      </c>
      <c r="CL100" s="1">
        <f>R100*$J100</f>
        <v>0</v>
      </c>
      <c r="CM100" s="1">
        <f>T100*$J100</f>
        <v>0</v>
      </c>
      <c r="CN100" s="1">
        <f>V100*$J100</f>
        <v>0</v>
      </c>
      <c r="CO100" s="1">
        <f>X100*$J100</f>
        <v>0</v>
      </c>
      <c r="CP100" s="1">
        <f>Z100*$J100</f>
        <v>0</v>
      </c>
      <c r="CQ100" s="1">
        <f>AB100*$J100</f>
        <v>0</v>
      </c>
      <c r="CR100" s="1">
        <f>AD100*$J100</f>
        <v>0</v>
      </c>
      <c r="CS100" s="69">
        <f>AF100*$J100</f>
        <v>0</v>
      </c>
      <c r="CT100" s="1">
        <f>N100*$K100</f>
        <v>0</v>
      </c>
      <c r="CU100" s="1">
        <f t="shared" si="350"/>
        <v>0</v>
      </c>
      <c r="CV100" s="1">
        <f t="shared" si="351"/>
        <v>0</v>
      </c>
      <c r="CW100" s="1">
        <f t="shared" si="352"/>
        <v>0</v>
      </c>
      <c r="CX100" s="1">
        <f t="shared" si="353"/>
        <v>0</v>
      </c>
      <c r="CY100" s="1">
        <f t="shared" si="354"/>
        <v>0</v>
      </c>
      <c r="CZ100" s="1">
        <f t="shared" si="355"/>
        <v>0</v>
      </c>
      <c r="DA100" s="1">
        <f t="shared" si="356"/>
        <v>0</v>
      </c>
      <c r="DB100" s="1">
        <f t="shared" si="357"/>
        <v>0</v>
      </c>
      <c r="DC100" s="69">
        <f t="shared" si="358"/>
        <v>0</v>
      </c>
      <c r="DD100" s="1">
        <f>N100*$L100</f>
        <v>0</v>
      </c>
      <c r="DE100" s="1">
        <f t="shared" si="359"/>
        <v>0</v>
      </c>
      <c r="DF100" s="1">
        <f t="shared" si="360"/>
        <v>0</v>
      </c>
      <c r="DG100" s="1">
        <f t="shared" si="361"/>
        <v>0</v>
      </c>
      <c r="DH100" s="1">
        <f t="shared" si="362"/>
        <v>0</v>
      </c>
      <c r="DI100" s="1">
        <f t="shared" si="363"/>
        <v>0</v>
      </c>
      <c r="DJ100" s="1">
        <f t="shared" si="364"/>
        <v>0</v>
      </c>
      <c r="DK100" s="1">
        <f t="shared" si="365"/>
        <v>0</v>
      </c>
      <c r="DL100" s="1">
        <f t="shared" si="366"/>
        <v>0</v>
      </c>
      <c r="DM100" s="69">
        <f t="shared" si="367"/>
        <v>0</v>
      </c>
      <c r="DN100" s="1">
        <f>N100*$M100</f>
        <v>0</v>
      </c>
      <c r="DO100" s="1">
        <f t="shared" si="368"/>
        <v>0</v>
      </c>
      <c r="DP100" s="1">
        <f t="shared" si="369"/>
        <v>0</v>
      </c>
      <c r="DQ100" s="1">
        <f t="shared" si="370"/>
        <v>0</v>
      </c>
      <c r="DR100" s="1">
        <f t="shared" si="371"/>
        <v>0</v>
      </c>
      <c r="DS100" s="1">
        <f t="shared" si="372"/>
        <v>0</v>
      </c>
      <c r="DT100" s="1">
        <f t="shared" si="373"/>
        <v>0</v>
      </c>
      <c r="DU100" s="1">
        <f t="shared" si="374"/>
        <v>0</v>
      </c>
      <c r="DV100" s="1">
        <f t="shared" si="375"/>
        <v>0</v>
      </c>
      <c r="DW100" s="69">
        <f t="shared" si="376"/>
        <v>0</v>
      </c>
      <c r="DX100" s="1">
        <v>4</v>
      </c>
      <c r="DY100" s="69">
        <f t="shared" si="311"/>
        <v>72</v>
      </c>
      <c r="DZ100" s="1">
        <f t="shared" si="377"/>
        <v>0</v>
      </c>
      <c r="EA100" s="1">
        <f t="shared" si="243"/>
        <v>0</v>
      </c>
      <c r="EB100" s="1">
        <f t="shared" si="308"/>
        <v>0</v>
      </c>
      <c r="ED100" s="285">
        <f t="shared" si="309"/>
        <v>0</v>
      </c>
    </row>
    <row r="101" spans="1:134" ht="15" x14ac:dyDescent="0.25">
      <c r="A101" s="208" t="s">
        <v>666</v>
      </c>
      <c r="B101" s="801" t="s">
        <v>2343</v>
      </c>
      <c r="D101" s="646" t="s">
        <v>2340</v>
      </c>
      <c r="E101" s="889">
        <v>3</v>
      </c>
      <c r="F101" s="633">
        <f t="shared" si="306"/>
        <v>0</v>
      </c>
      <c r="G101" s="700"/>
      <c r="H101" s="342"/>
      <c r="I101" s="342"/>
      <c r="J101" s="342">
        <v>2</v>
      </c>
      <c r="K101" s="342">
        <v>1</v>
      </c>
      <c r="L101" s="342"/>
      <c r="M101" s="342">
        <v>1</v>
      </c>
      <c r="N101" s="658"/>
      <c r="O101" s="256"/>
      <c r="P101" s="256"/>
      <c r="Q101" s="256"/>
      <c r="R101" s="255"/>
      <c r="S101" s="256"/>
      <c r="T101" s="256"/>
      <c r="U101" s="256"/>
      <c r="V101" s="255"/>
      <c r="W101" s="256"/>
      <c r="X101" s="256"/>
      <c r="Y101" s="256"/>
      <c r="Z101" s="255"/>
      <c r="AA101" s="256"/>
      <c r="AB101" s="256"/>
      <c r="AC101" s="256"/>
      <c r="AD101" s="255"/>
      <c r="AE101" s="256"/>
      <c r="AF101" s="256"/>
      <c r="AH101" s="546">
        <f t="shared" si="307"/>
        <v>0</v>
      </c>
      <c r="AI101" s="66">
        <f t="shared" si="312"/>
        <v>0</v>
      </c>
      <c r="AL101" s="706" t="str">
        <f t="shared" si="310"/>
        <v>-inverter trifase = 3 Kw</v>
      </c>
      <c r="AM101" s="684">
        <f>N101*$F101</f>
        <v>0</v>
      </c>
      <c r="AN101" s="674">
        <f t="shared" si="313"/>
        <v>0</v>
      </c>
      <c r="AO101" s="684">
        <f>P101*$F101</f>
        <v>0</v>
      </c>
      <c r="AP101" s="674">
        <f t="shared" si="314"/>
        <v>0</v>
      </c>
      <c r="AQ101" s="684">
        <f>R101*$F101</f>
        <v>0</v>
      </c>
      <c r="AR101" s="674">
        <f t="shared" si="315"/>
        <v>0</v>
      </c>
      <c r="AS101" s="684">
        <f>T101*$F101</f>
        <v>0</v>
      </c>
      <c r="AT101" s="674">
        <f t="shared" si="316"/>
        <v>0</v>
      </c>
      <c r="AU101" s="684">
        <f>V101*$F101</f>
        <v>0</v>
      </c>
      <c r="AV101" s="674">
        <f t="shared" si="317"/>
        <v>0</v>
      </c>
      <c r="AW101" s="684">
        <f>X101*$F101</f>
        <v>0</v>
      </c>
      <c r="AX101" s="674">
        <f t="shared" si="318"/>
        <v>0</v>
      </c>
      <c r="AY101" s="684">
        <f>Z101*$F101</f>
        <v>0</v>
      </c>
      <c r="AZ101" s="674">
        <f t="shared" si="319"/>
        <v>0</v>
      </c>
      <c r="BA101" s="684">
        <f>AB101*$F101</f>
        <v>0</v>
      </c>
      <c r="BB101" s="674">
        <f t="shared" si="320"/>
        <v>0</v>
      </c>
      <c r="BC101" s="684">
        <f>AD101*$F101</f>
        <v>0</v>
      </c>
      <c r="BD101" s="674">
        <f t="shared" si="321"/>
        <v>0</v>
      </c>
      <c r="BE101" s="684">
        <f>AF101*$F101</f>
        <v>0</v>
      </c>
      <c r="BF101" s="1">
        <f>N101*$G101</f>
        <v>0</v>
      </c>
      <c r="BG101" s="1">
        <f t="shared" si="332"/>
        <v>0</v>
      </c>
      <c r="BH101" s="1">
        <f t="shared" si="333"/>
        <v>0</v>
      </c>
      <c r="BI101" s="1">
        <f t="shared" si="334"/>
        <v>0</v>
      </c>
      <c r="BJ101" s="1">
        <f t="shared" si="335"/>
        <v>0</v>
      </c>
      <c r="BK101" s="1">
        <f t="shared" si="336"/>
        <v>0</v>
      </c>
      <c r="BL101" s="1">
        <f t="shared" si="337"/>
        <v>0</v>
      </c>
      <c r="BM101" s="1">
        <f t="shared" si="338"/>
        <v>0</v>
      </c>
      <c r="BN101" s="1">
        <f t="shared" si="339"/>
        <v>0</v>
      </c>
      <c r="BO101" s="69">
        <f t="shared" si="340"/>
        <v>0</v>
      </c>
      <c r="BP101" s="1">
        <f>N101*$H101</f>
        <v>0</v>
      </c>
      <c r="BQ101" s="1">
        <f>P101*$H101</f>
        <v>0</v>
      </c>
      <c r="BR101" s="1">
        <f>R101*$H101</f>
        <v>0</v>
      </c>
      <c r="BS101" s="1">
        <f>T101*$H101</f>
        <v>0</v>
      </c>
      <c r="BT101" s="1">
        <f>V101*$H101</f>
        <v>0</v>
      </c>
      <c r="BU101" s="1">
        <f>X101*$H101</f>
        <v>0</v>
      </c>
      <c r="BV101" s="1">
        <f>Z101*$H101</f>
        <v>0</v>
      </c>
      <c r="BW101" s="1">
        <f>AB101*$H101</f>
        <v>0</v>
      </c>
      <c r="BX101" s="1">
        <f>AD101*$H101</f>
        <v>0</v>
      </c>
      <c r="BY101" s="69">
        <f>AF101*$H101</f>
        <v>0</v>
      </c>
      <c r="BZ101" s="1">
        <f>N101*$I101</f>
        <v>0</v>
      </c>
      <c r="CA101" s="1">
        <f t="shared" si="341"/>
        <v>0</v>
      </c>
      <c r="CB101" s="1">
        <f t="shared" si="342"/>
        <v>0</v>
      </c>
      <c r="CC101" s="1">
        <f t="shared" si="343"/>
        <v>0</v>
      </c>
      <c r="CD101" s="1">
        <f t="shared" si="344"/>
        <v>0</v>
      </c>
      <c r="CE101" s="1">
        <f t="shared" si="345"/>
        <v>0</v>
      </c>
      <c r="CF101" s="1">
        <f t="shared" si="346"/>
        <v>0</v>
      </c>
      <c r="CG101" s="1">
        <f t="shared" si="347"/>
        <v>0</v>
      </c>
      <c r="CH101" s="1">
        <f t="shared" si="348"/>
        <v>0</v>
      </c>
      <c r="CI101" s="69">
        <f t="shared" si="349"/>
        <v>0</v>
      </c>
      <c r="CJ101" s="1">
        <f t="shared" si="322"/>
        <v>0</v>
      </c>
      <c r="CK101" s="1">
        <f>P101*$J101</f>
        <v>0</v>
      </c>
      <c r="CL101" s="1">
        <f>R101*$J101</f>
        <v>0</v>
      </c>
      <c r="CM101" s="1">
        <f>T101*$J101</f>
        <v>0</v>
      </c>
      <c r="CN101" s="1">
        <f>V101*$J101</f>
        <v>0</v>
      </c>
      <c r="CO101" s="1">
        <f>X101*$J101</f>
        <v>0</v>
      </c>
      <c r="CP101" s="1">
        <f>Z101*$J101</f>
        <v>0</v>
      </c>
      <c r="CQ101" s="1">
        <f>AB101*$J101</f>
        <v>0</v>
      </c>
      <c r="CR101" s="1">
        <f>AD101*$J101</f>
        <v>0</v>
      </c>
      <c r="CS101" s="69">
        <f>AF101*$J101</f>
        <v>0</v>
      </c>
      <c r="CT101" s="1">
        <f>N101*$K101</f>
        <v>0</v>
      </c>
      <c r="CU101" s="1">
        <f t="shared" si="350"/>
        <v>0</v>
      </c>
      <c r="CV101" s="1">
        <f t="shared" si="351"/>
        <v>0</v>
      </c>
      <c r="CW101" s="1">
        <f t="shared" si="352"/>
        <v>0</v>
      </c>
      <c r="CX101" s="1">
        <f t="shared" si="353"/>
        <v>0</v>
      </c>
      <c r="CY101" s="1">
        <f t="shared" si="354"/>
        <v>0</v>
      </c>
      <c r="CZ101" s="1">
        <f t="shared" si="355"/>
        <v>0</v>
      </c>
      <c r="DA101" s="1">
        <f t="shared" si="356"/>
        <v>0</v>
      </c>
      <c r="DB101" s="1">
        <f t="shared" si="357"/>
        <v>0</v>
      </c>
      <c r="DC101" s="69">
        <f t="shared" si="358"/>
        <v>0</v>
      </c>
      <c r="DD101" s="1">
        <f>N101*$L101</f>
        <v>0</v>
      </c>
      <c r="DE101" s="1">
        <f t="shared" si="359"/>
        <v>0</v>
      </c>
      <c r="DF101" s="1">
        <f t="shared" si="360"/>
        <v>0</v>
      </c>
      <c r="DG101" s="1">
        <f t="shared" si="361"/>
        <v>0</v>
      </c>
      <c r="DH101" s="1">
        <f t="shared" si="362"/>
        <v>0</v>
      </c>
      <c r="DI101" s="1">
        <f t="shared" si="363"/>
        <v>0</v>
      </c>
      <c r="DJ101" s="1">
        <f t="shared" si="364"/>
        <v>0</v>
      </c>
      <c r="DK101" s="1">
        <f t="shared" si="365"/>
        <v>0</v>
      </c>
      <c r="DL101" s="1">
        <f t="shared" si="366"/>
        <v>0</v>
      </c>
      <c r="DM101" s="69">
        <f t="shared" si="367"/>
        <v>0</v>
      </c>
      <c r="DN101" s="1">
        <f>N101*$M101</f>
        <v>0</v>
      </c>
      <c r="DO101" s="1">
        <f t="shared" si="368"/>
        <v>0</v>
      </c>
      <c r="DP101" s="1">
        <f t="shared" si="369"/>
        <v>0</v>
      </c>
      <c r="DQ101" s="1">
        <f t="shared" si="370"/>
        <v>0</v>
      </c>
      <c r="DR101" s="1">
        <f t="shared" si="371"/>
        <v>0</v>
      </c>
      <c r="DS101" s="1">
        <f t="shared" si="372"/>
        <v>0</v>
      </c>
      <c r="DT101" s="1">
        <f t="shared" si="373"/>
        <v>0</v>
      </c>
      <c r="DU101" s="1">
        <f t="shared" si="374"/>
        <v>0</v>
      </c>
      <c r="DV101" s="1">
        <f t="shared" si="375"/>
        <v>0</v>
      </c>
      <c r="DW101" s="69">
        <f t="shared" si="376"/>
        <v>0</v>
      </c>
      <c r="DX101" s="1">
        <v>3</v>
      </c>
      <c r="DY101" s="69">
        <f t="shared" si="311"/>
        <v>73</v>
      </c>
      <c r="DZ101" s="1">
        <f t="shared" si="377"/>
        <v>0</v>
      </c>
      <c r="EA101" s="1">
        <f t="shared" si="243"/>
        <v>0</v>
      </c>
      <c r="EB101" s="1">
        <f t="shared" si="308"/>
        <v>0</v>
      </c>
      <c r="ED101" s="285">
        <f t="shared" si="309"/>
        <v>0</v>
      </c>
    </row>
    <row r="102" spans="1:134" ht="15" x14ac:dyDescent="0.25">
      <c r="A102" s="208" t="s">
        <v>666</v>
      </c>
      <c r="B102" s="808" t="s">
        <v>2307</v>
      </c>
      <c r="C102" s="196" t="s">
        <v>872</v>
      </c>
      <c r="D102" s="647" t="s">
        <v>694</v>
      </c>
      <c r="E102" s="889"/>
      <c r="F102" s="625">
        <f t="shared" si="306"/>
        <v>0</v>
      </c>
      <c r="G102" s="700"/>
      <c r="H102" s="342"/>
      <c r="I102" s="342"/>
      <c r="J102" s="342">
        <v>2</v>
      </c>
      <c r="K102" s="342">
        <v>2</v>
      </c>
      <c r="L102" s="342"/>
      <c r="M102" s="342"/>
      <c r="N102" s="658"/>
      <c r="O102" s="256"/>
      <c r="P102" s="256"/>
      <c r="Q102" s="256"/>
      <c r="R102" s="255"/>
      <c r="S102" s="256"/>
      <c r="T102" s="256"/>
      <c r="U102" s="256"/>
      <c r="V102" s="255"/>
      <c r="W102" s="256"/>
      <c r="X102" s="256"/>
      <c r="Y102" s="256"/>
      <c r="Z102" s="255"/>
      <c r="AA102" s="256"/>
      <c r="AB102" s="256"/>
      <c r="AC102" s="256"/>
      <c r="AD102" s="255"/>
      <c r="AE102" s="256"/>
      <c r="AF102" s="256"/>
      <c r="AH102" s="546">
        <f t="shared" si="307"/>
        <v>0</v>
      </c>
      <c r="AI102" s="66">
        <f t="shared" si="312"/>
        <v>0</v>
      </c>
      <c r="AL102" s="706" t="str">
        <f t="shared" si="310"/>
        <v>-valvola bistabile + 2 finecorsa</v>
      </c>
      <c r="AM102" s="684">
        <f t="shared" si="245"/>
        <v>0</v>
      </c>
      <c r="AN102" s="674">
        <f t="shared" si="313"/>
        <v>0</v>
      </c>
      <c r="AO102" s="684">
        <f t="shared" si="246"/>
        <v>0</v>
      </c>
      <c r="AP102" s="674">
        <f t="shared" si="314"/>
        <v>0</v>
      </c>
      <c r="AQ102" s="684">
        <f t="shared" si="247"/>
        <v>0</v>
      </c>
      <c r="AR102" s="674">
        <f t="shared" si="315"/>
        <v>0</v>
      </c>
      <c r="AS102" s="684">
        <f t="shared" si="248"/>
        <v>0</v>
      </c>
      <c r="AT102" s="674">
        <f t="shared" si="316"/>
        <v>0</v>
      </c>
      <c r="AU102" s="684">
        <f t="shared" si="249"/>
        <v>0</v>
      </c>
      <c r="AV102" s="674">
        <f t="shared" si="317"/>
        <v>0</v>
      </c>
      <c r="AW102" s="684">
        <f t="shared" si="250"/>
        <v>0</v>
      </c>
      <c r="AX102" s="674">
        <f t="shared" si="318"/>
        <v>0</v>
      </c>
      <c r="AY102" s="684">
        <f t="shared" si="251"/>
        <v>0</v>
      </c>
      <c r="AZ102" s="674">
        <f t="shared" si="319"/>
        <v>0</v>
      </c>
      <c r="BA102" s="684">
        <f t="shared" si="252"/>
        <v>0</v>
      </c>
      <c r="BB102" s="674">
        <f t="shared" si="320"/>
        <v>0</v>
      </c>
      <c r="BC102" s="684">
        <f t="shared" si="253"/>
        <v>0</v>
      </c>
      <c r="BD102" s="674">
        <f t="shared" si="321"/>
        <v>0</v>
      </c>
      <c r="BE102" s="684">
        <f t="shared" ref="BE102:BE167" si="378">AF102*$F102</f>
        <v>0</v>
      </c>
      <c r="BF102" s="1">
        <f t="shared" si="301"/>
        <v>0</v>
      </c>
      <c r="BG102" s="1">
        <f t="shared" si="332"/>
        <v>0</v>
      </c>
      <c r="BH102" s="1">
        <f t="shared" si="333"/>
        <v>0</v>
      </c>
      <c r="BI102" s="1">
        <f t="shared" si="334"/>
        <v>0</v>
      </c>
      <c r="BJ102" s="1">
        <f t="shared" si="335"/>
        <v>0</v>
      </c>
      <c r="BK102" s="1">
        <f t="shared" si="336"/>
        <v>0</v>
      </c>
      <c r="BL102" s="1">
        <f t="shared" si="337"/>
        <v>0</v>
      </c>
      <c r="BM102" s="1">
        <f t="shared" si="338"/>
        <v>0</v>
      </c>
      <c r="BN102" s="1">
        <f t="shared" si="339"/>
        <v>0</v>
      </c>
      <c r="BO102" s="69">
        <f t="shared" si="340"/>
        <v>0</v>
      </c>
      <c r="BP102" s="1">
        <f t="shared" si="198"/>
        <v>0</v>
      </c>
      <c r="BQ102" s="1">
        <f t="shared" si="215"/>
        <v>0</v>
      </c>
      <c r="BR102" s="1">
        <f t="shared" si="216"/>
        <v>0</v>
      </c>
      <c r="BS102" s="1">
        <f t="shared" si="217"/>
        <v>0</v>
      </c>
      <c r="BT102" s="1">
        <f t="shared" si="218"/>
        <v>0</v>
      </c>
      <c r="BU102" s="1">
        <f t="shared" si="219"/>
        <v>0</v>
      </c>
      <c r="BV102" s="1">
        <f t="shared" si="220"/>
        <v>0</v>
      </c>
      <c r="BW102" s="1">
        <f t="shared" si="221"/>
        <v>0</v>
      </c>
      <c r="BX102" s="1">
        <f t="shared" si="222"/>
        <v>0</v>
      </c>
      <c r="BY102" s="69">
        <f t="shared" si="223"/>
        <v>0</v>
      </c>
      <c r="BZ102" s="1">
        <f t="shared" si="302"/>
        <v>0</v>
      </c>
      <c r="CA102" s="1">
        <f t="shared" si="341"/>
        <v>0</v>
      </c>
      <c r="CB102" s="1">
        <f t="shared" si="342"/>
        <v>0</v>
      </c>
      <c r="CC102" s="1">
        <f t="shared" si="343"/>
        <v>0</v>
      </c>
      <c r="CD102" s="1">
        <f t="shared" si="344"/>
        <v>0</v>
      </c>
      <c r="CE102" s="1">
        <f t="shared" si="345"/>
        <v>0</v>
      </c>
      <c r="CF102" s="1">
        <f t="shared" si="346"/>
        <v>0</v>
      </c>
      <c r="CG102" s="1">
        <f t="shared" si="347"/>
        <v>0</v>
      </c>
      <c r="CH102" s="1">
        <f t="shared" si="348"/>
        <v>0</v>
      </c>
      <c r="CI102" s="69">
        <f t="shared" si="349"/>
        <v>0</v>
      </c>
      <c r="CJ102" s="1">
        <f t="shared" si="322"/>
        <v>0</v>
      </c>
      <c r="CK102" s="1">
        <f t="shared" si="323"/>
        <v>0</v>
      </c>
      <c r="CL102" s="1">
        <f t="shared" si="324"/>
        <v>0</v>
      </c>
      <c r="CM102" s="1">
        <f t="shared" si="325"/>
        <v>0</v>
      </c>
      <c r="CN102" s="1">
        <f t="shared" si="326"/>
        <v>0</v>
      </c>
      <c r="CO102" s="1">
        <f t="shared" si="327"/>
        <v>0</v>
      </c>
      <c r="CP102" s="1">
        <f t="shared" si="328"/>
        <v>0</v>
      </c>
      <c r="CQ102" s="1">
        <f t="shared" si="329"/>
        <v>0</v>
      </c>
      <c r="CR102" s="1">
        <f t="shared" si="330"/>
        <v>0</v>
      </c>
      <c r="CS102" s="69">
        <f t="shared" si="331"/>
        <v>0</v>
      </c>
      <c r="CT102" s="1">
        <f t="shared" si="303"/>
        <v>0</v>
      </c>
      <c r="CU102" s="1">
        <f t="shared" si="350"/>
        <v>0</v>
      </c>
      <c r="CV102" s="1">
        <f t="shared" si="351"/>
        <v>0</v>
      </c>
      <c r="CW102" s="1">
        <f t="shared" si="352"/>
        <v>0</v>
      </c>
      <c r="CX102" s="1">
        <f t="shared" si="353"/>
        <v>0</v>
      </c>
      <c r="CY102" s="1">
        <f t="shared" si="354"/>
        <v>0</v>
      </c>
      <c r="CZ102" s="1">
        <f t="shared" si="355"/>
        <v>0</v>
      </c>
      <c r="DA102" s="1">
        <f t="shared" si="356"/>
        <v>0</v>
      </c>
      <c r="DB102" s="1">
        <f t="shared" si="357"/>
        <v>0</v>
      </c>
      <c r="DC102" s="69">
        <f t="shared" si="358"/>
        <v>0</v>
      </c>
      <c r="DD102" s="1">
        <f t="shared" si="304"/>
        <v>0</v>
      </c>
      <c r="DE102" s="1">
        <f t="shared" si="359"/>
        <v>0</v>
      </c>
      <c r="DF102" s="1">
        <f t="shared" si="360"/>
        <v>0</v>
      </c>
      <c r="DG102" s="1">
        <f t="shared" si="361"/>
        <v>0</v>
      </c>
      <c r="DH102" s="1">
        <f t="shared" si="362"/>
        <v>0</v>
      </c>
      <c r="DI102" s="1">
        <f t="shared" si="363"/>
        <v>0</v>
      </c>
      <c r="DJ102" s="1">
        <f t="shared" si="364"/>
        <v>0</v>
      </c>
      <c r="DK102" s="1">
        <f t="shared" si="365"/>
        <v>0</v>
      </c>
      <c r="DL102" s="1">
        <f t="shared" si="366"/>
        <v>0</v>
      </c>
      <c r="DM102" s="69">
        <f t="shared" si="367"/>
        <v>0</v>
      </c>
      <c r="DN102" s="1">
        <f t="shared" si="305"/>
        <v>0</v>
      </c>
      <c r="DO102" s="1">
        <f t="shared" si="368"/>
        <v>0</v>
      </c>
      <c r="DP102" s="1">
        <f t="shared" si="369"/>
        <v>0</v>
      </c>
      <c r="DQ102" s="1">
        <f t="shared" si="370"/>
        <v>0</v>
      </c>
      <c r="DR102" s="1">
        <f t="shared" si="371"/>
        <v>0</v>
      </c>
      <c r="DS102" s="1">
        <f t="shared" si="372"/>
        <v>0</v>
      </c>
      <c r="DT102" s="1">
        <f t="shared" si="373"/>
        <v>0</v>
      </c>
      <c r="DU102" s="1">
        <f t="shared" si="374"/>
        <v>0</v>
      </c>
      <c r="DV102" s="1">
        <f t="shared" si="375"/>
        <v>0</v>
      </c>
      <c r="DW102" s="69">
        <f t="shared" si="376"/>
        <v>0</v>
      </c>
      <c r="DX102" s="1">
        <v>3</v>
      </c>
      <c r="DY102" s="69">
        <f t="shared" si="311"/>
        <v>74</v>
      </c>
      <c r="DZ102" s="1">
        <f t="shared" si="377"/>
        <v>0</v>
      </c>
      <c r="EA102" s="1">
        <f t="shared" si="243"/>
        <v>0</v>
      </c>
      <c r="EB102" s="1">
        <f t="shared" si="308"/>
        <v>0</v>
      </c>
      <c r="EC102" s="281">
        <v>1</v>
      </c>
      <c r="ED102" s="285">
        <f t="shared" si="309"/>
        <v>0</v>
      </c>
    </row>
    <row r="103" spans="1:134" ht="15" x14ac:dyDescent="0.25">
      <c r="A103" s="208" t="s">
        <v>666</v>
      </c>
      <c r="B103" s="809" t="s">
        <v>2308</v>
      </c>
      <c r="C103" s="197" t="s">
        <v>872</v>
      </c>
      <c r="D103" s="335" t="s">
        <v>695</v>
      </c>
      <c r="E103" s="889"/>
      <c r="F103" s="625">
        <f t="shared" si="306"/>
        <v>0</v>
      </c>
      <c r="G103" s="700"/>
      <c r="H103" s="342"/>
      <c r="I103" s="342"/>
      <c r="J103" s="342">
        <v>2</v>
      </c>
      <c r="K103" s="342">
        <v>1</v>
      </c>
      <c r="L103" s="342"/>
      <c r="M103" s="342"/>
      <c r="N103" s="658"/>
      <c r="O103" s="256"/>
      <c r="P103" s="256"/>
      <c r="Q103" s="256"/>
      <c r="R103" s="255"/>
      <c r="S103" s="256"/>
      <c r="T103" s="256"/>
      <c r="U103" s="256"/>
      <c r="V103" s="255"/>
      <c r="W103" s="256"/>
      <c r="X103" s="256"/>
      <c r="Y103" s="256"/>
      <c r="Z103" s="255"/>
      <c r="AA103" s="256"/>
      <c r="AB103" s="256"/>
      <c r="AC103" s="256"/>
      <c r="AD103" s="255"/>
      <c r="AE103" s="256"/>
      <c r="AF103" s="256"/>
      <c r="AH103" s="546">
        <f t="shared" si="307"/>
        <v>0</v>
      </c>
      <c r="AI103" s="66">
        <f t="shared" si="312"/>
        <v>0</v>
      </c>
      <c r="AL103" s="706" t="str">
        <f t="shared" si="310"/>
        <v>-valvola monostabile + 2 finecorsa</v>
      </c>
      <c r="AM103" s="684">
        <f t="shared" si="245"/>
        <v>0</v>
      </c>
      <c r="AN103" s="674">
        <f t="shared" si="313"/>
        <v>0</v>
      </c>
      <c r="AO103" s="684">
        <f t="shared" si="246"/>
        <v>0</v>
      </c>
      <c r="AP103" s="674">
        <f t="shared" si="314"/>
        <v>0</v>
      </c>
      <c r="AQ103" s="684">
        <f t="shared" si="247"/>
        <v>0</v>
      </c>
      <c r="AR103" s="674">
        <f t="shared" si="315"/>
        <v>0</v>
      </c>
      <c r="AS103" s="684">
        <f t="shared" si="248"/>
        <v>0</v>
      </c>
      <c r="AT103" s="674">
        <f t="shared" si="316"/>
        <v>0</v>
      </c>
      <c r="AU103" s="684">
        <f t="shared" si="249"/>
        <v>0</v>
      </c>
      <c r="AV103" s="674">
        <f t="shared" si="317"/>
        <v>0</v>
      </c>
      <c r="AW103" s="684">
        <f t="shared" si="250"/>
        <v>0</v>
      </c>
      <c r="AX103" s="674">
        <f t="shared" si="318"/>
        <v>0</v>
      </c>
      <c r="AY103" s="684">
        <f t="shared" si="251"/>
        <v>0</v>
      </c>
      <c r="AZ103" s="674">
        <f t="shared" si="319"/>
        <v>0</v>
      </c>
      <c r="BA103" s="684">
        <f t="shared" si="252"/>
        <v>0</v>
      </c>
      <c r="BB103" s="674">
        <f t="shared" si="320"/>
        <v>0</v>
      </c>
      <c r="BC103" s="684">
        <f t="shared" si="253"/>
        <v>0</v>
      </c>
      <c r="BD103" s="674">
        <f t="shared" si="321"/>
        <v>0</v>
      </c>
      <c r="BE103" s="684">
        <f t="shared" si="378"/>
        <v>0</v>
      </c>
      <c r="BF103" s="1">
        <f t="shared" si="301"/>
        <v>0</v>
      </c>
      <c r="BG103" s="1">
        <f t="shared" si="332"/>
        <v>0</v>
      </c>
      <c r="BH103" s="1">
        <f t="shared" si="333"/>
        <v>0</v>
      </c>
      <c r="BI103" s="1">
        <f t="shared" si="334"/>
        <v>0</v>
      </c>
      <c r="BJ103" s="1">
        <f t="shared" si="335"/>
        <v>0</v>
      </c>
      <c r="BK103" s="1">
        <f t="shared" si="336"/>
        <v>0</v>
      </c>
      <c r="BL103" s="1">
        <f t="shared" si="337"/>
        <v>0</v>
      </c>
      <c r="BM103" s="1">
        <f t="shared" si="338"/>
        <v>0</v>
      </c>
      <c r="BN103" s="1">
        <f t="shared" si="339"/>
        <v>0</v>
      </c>
      <c r="BO103" s="69">
        <f t="shared" si="340"/>
        <v>0</v>
      </c>
      <c r="BP103" s="1">
        <f t="shared" si="198"/>
        <v>0</v>
      </c>
      <c r="BQ103" s="1">
        <f t="shared" si="215"/>
        <v>0</v>
      </c>
      <c r="BR103" s="1">
        <f t="shared" si="216"/>
        <v>0</v>
      </c>
      <c r="BS103" s="1">
        <f t="shared" si="217"/>
        <v>0</v>
      </c>
      <c r="BT103" s="1">
        <f t="shared" si="218"/>
        <v>0</v>
      </c>
      <c r="BU103" s="1">
        <f t="shared" si="219"/>
        <v>0</v>
      </c>
      <c r="BV103" s="1">
        <f t="shared" si="220"/>
        <v>0</v>
      </c>
      <c r="BW103" s="1">
        <f t="shared" si="221"/>
        <v>0</v>
      </c>
      <c r="BX103" s="1">
        <f t="shared" si="222"/>
        <v>0</v>
      </c>
      <c r="BY103" s="69">
        <f t="shared" si="223"/>
        <v>0</v>
      </c>
      <c r="BZ103" s="1">
        <f t="shared" si="302"/>
        <v>0</v>
      </c>
      <c r="CA103" s="1">
        <f t="shared" si="341"/>
        <v>0</v>
      </c>
      <c r="CB103" s="1">
        <f t="shared" si="342"/>
        <v>0</v>
      </c>
      <c r="CC103" s="1">
        <f t="shared" si="343"/>
        <v>0</v>
      </c>
      <c r="CD103" s="1">
        <f t="shared" si="344"/>
        <v>0</v>
      </c>
      <c r="CE103" s="1">
        <f t="shared" si="345"/>
        <v>0</v>
      </c>
      <c r="CF103" s="1">
        <f t="shared" si="346"/>
        <v>0</v>
      </c>
      <c r="CG103" s="1">
        <f t="shared" si="347"/>
        <v>0</v>
      </c>
      <c r="CH103" s="1">
        <f t="shared" si="348"/>
        <v>0</v>
      </c>
      <c r="CI103" s="69">
        <f t="shared" si="349"/>
        <v>0</v>
      </c>
      <c r="CJ103" s="1">
        <f t="shared" si="322"/>
        <v>0</v>
      </c>
      <c r="CK103" s="1">
        <f t="shared" si="323"/>
        <v>0</v>
      </c>
      <c r="CL103" s="1">
        <f t="shared" si="324"/>
        <v>0</v>
      </c>
      <c r="CM103" s="1">
        <f t="shared" si="325"/>
        <v>0</v>
      </c>
      <c r="CN103" s="1">
        <f t="shared" si="326"/>
        <v>0</v>
      </c>
      <c r="CO103" s="1">
        <f t="shared" si="327"/>
        <v>0</v>
      </c>
      <c r="CP103" s="1">
        <f t="shared" si="328"/>
        <v>0</v>
      </c>
      <c r="CQ103" s="1">
        <f t="shared" si="329"/>
        <v>0</v>
      </c>
      <c r="CR103" s="1">
        <f t="shared" si="330"/>
        <v>0</v>
      </c>
      <c r="CS103" s="69">
        <f t="shared" si="331"/>
        <v>0</v>
      </c>
      <c r="CT103" s="1">
        <f t="shared" si="303"/>
        <v>0</v>
      </c>
      <c r="CU103" s="1">
        <f t="shared" si="350"/>
        <v>0</v>
      </c>
      <c r="CV103" s="1">
        <f t="shared" si="351"/>
        <v>0</v>
      </c>
      <c r="CW103" s="1">
        <f t="shared" si="352"/>
        <v>0</v>
      </c>
      <c r="CX103" s="1">
        <f t="shared" si="353"/>
        <v>0</v>
      </c>
      <c r="CY103" s="1">
        <f t="shared" si="354"/>
        <v>0</v>
      </c>
      <c r="CZ103" s="1">
        <f t="shared" si="355"/>
        <v>0</v>
      </c>
      <c r="DA103" s="1">
        <f t="shared" si="356"/>
        <v>0</v>
      </c>
      <c r="DB103" s="1">
        <f t="shared" si="357"/>
        <v>0</v>
      </c>
      <c r="DC103" s="69">
        <f t="shared" si="358"/>
        <v>0</v>
      </c>
      <c r="DD103" s="1">
        <f t="shared" si="304"/>
        <v>0</v>
      </c>
      <c r="DE103" s="1">
        <f t="shared" si="359"/>
        <v>0</v>
      </c>
      <c r="DF103" s="1">
        <f t="shared" si="360"/>
        <v>0</v>
      </c>
      <c r="DG103" s="1">
        <f t="shared" si="361"/>
        <v>0</v>
      </c>
      <c r="DH103" s="1">
        <f t="shared" si="362"/>
        <v>0</v>
      </c>
      <c r="DI103" s="1">
        <f t="shared" si="363"/>
        <v>0</v>
      </c>
      <c r="DJ103" s="1">
        <f t="shared" si="364"/>
        <v>0</v>
      </c>
      <c r="DK103" s="1">
        <f t="shared" si="365"/>
        <v>0</v>
      </c>
      <c r="DL103" s="1">
        <f t="shared" si="366"/>
        <v>0</v>
      </c>
      <c r="DM103" s="69">
        <f t="shared" si="367"/>
        <v>0</v>
      </c>
      <c r="DN103" s="1">
        <f t="shared" si="305"/>
        <v>0</v>
      </c>
      <c r="DO103" s="1">
        <f t="shared" si="368"/>
        <v>0</v>
      </c>
      <c r="DP103" s="1">
        <f t="shared" si="369"/>
        <v>0</v>
      </c>
      <c r="DQ103" s="1">
        <f t="shared" si="370"/>
        <v>0</v>
      </c>
      <c r="DR103" s="1">
        <f t="shared" si="371"/>
        <v>0</v>
      </c>
      <c r="DS103" s="1">
        <f t="shared" si="372"/>
        <v>0</v>
      </c>
      <c r="DT103" s="1">
        <f t="shared" si="373"/>
        <v>0</v>
      </c>
      <c r="DU103" s="1">
        <f t="shared" si="374"/>
        <v>0</v>
      </c>
      <c r="DV103" s="1">
        <f t="shared" si="375"/>
        <v>0</v>
      </c>
      <c r="DW103" s="69">
        <f t="shared" si="376"/>
        <v>0</v>
      </c>
      <c r="DX103" s="1">
        <v>3</v>
      </c>
      <c r="DY103" s="69">
        <f t="shared" si="311"/>
        <v>75</v>
      </c>
      <c r="DZ103" s="1">
        <f t="shared" si="377"/>
        <v>0</v>
      </c>
      <c r="EA103" s="1">
        <f t="shared" si="243"/>
        <v>0</v>
      </c>
      <c r="EB103" s="1">
        <f t="shared" si="308"/>
        <v>0</v>
      </c>
      <c r="EC103" s="281">
        <v>1</v>
      </c>
      <c r="ED103" s="285">
        <f t="shared" si="309"/>
        <v>0</v>
      </c>
    </row>
    <row r="104" spans="1:134" x14ac:dyDescent="0.2">
      <c r="A104" s="208" t="s">
        <v>666</v>
      </c>
      <c r="B104" s="802" t="s">
        <v>2318</v>
      </c>
      <c r="C104" s="194" t="s">
        <v>872</v>
      </c>
      <c r="D104" s="644" t="s">
        <v>563</v>
      </c>
      <c r="E104" s="889">
        <v>1.1000000000000001</v>
      </c>
      <c r="F104" s="633">
        <f t="shared" si="306"/>
        <v>154.36299</v>
      </c>
      <c r="G104" s="700"/>
      <c r="H104" s="342"/>
      <c r="I104" s="342"/>
      <c r="J104" s="342">
        <v>1</v>
      </c>
      <c r="K104" s="342">
        <v>1</v>
      </c>
      <c r="L104" s="342"/>
      <c r="M104" s="342"/>
      <c r="N104" s="658"/>
      <c r="O104" s="256"/>
      <c r="P104" s="256"/>
      <c r="Q104" s="256"/>
      <c r="R104" s="255"/>
      <c r="S104" s="256"/>
      <c r="T104" s="256"/>
      <c r="U104" s="256"/>
      <c r="V104" s="255"/>
      <c r="W104" s="256"/>
      <c r="X104" s="256"/>
      <c r="Y104" s="256"/>
      <c r="Z104" s="255"/>
      <c r="AA104" s="256"/>
      <c r="AB104" s="256"/>
      <c r="AC104" s="256"/>
      <c r="AD104" s="255"/>
      <c r="AE104" s="256"/>
      <c r="AF104" s="256"/>
      <c r="AH104" s="546">
        <f t="shared" si="307"/>
        <v>0</v>
      </c>
      <c r="AI104" s="66">
        <f t="shared" si="312"/>
        <v>0</v>
      </c>
      <c r="AL104" s="706" t="str">
        <f t="shared" si="310"/>
        <v>-motore &lt;0,25 e &lt;3 Kw</v>
      </c>
      <c r="AM104" s="684">
        <f t="shared" si="245"/>
        <v>0</v>
      </c>
      <c r="AN104" s="674">
        <f t="shared" si="313"/>
        <v>0</v>
      </c>
      <c r="AO104" s="684">
        <f t="shared" si="246"/>
        <v>0</v>
      </c>
      <c r="AP104" s="674">
        <f t="shared" si="314"/>
        <v>0</v>
      </c>
      <c r="AQ104" s="684">
        <f t="shared" si="247"/>
        <v>0</v>
      </c>
      <c r="AR104" s="674">
        <f t="shared" si="315"/>
        <v>0</v>
      </c>
      <c r="AS104" s="684">
        <f t="shared" si="248"/>
        <v>0</v>
      </c>
      <c r="AT104" s="674">
        <f t="shared" si="316"/>
        <v>0</v>
      </c>
      <c r="AU104" s="684">
        <f t="shared" si="249"/>
        <v>0</v>
      </c>
      <c r="AV104" s="674">
        <f t="shared" si="317"/>
        <v>0</v>
      </c>
      <c r="AW104" s="684">
        <f t="shared" si="250"/>
        <v>0</v>
      </c>
      <c r="AX104" s="674">
        <f t="shared" si="318"/>
        <v>0</v>
      </c>
      <c r="AY104" s="684">
        <f t="shared" si="251"/>
        <v>0</v>
      </c>
      <c r="AZ104" s="674">
        <f t="shared" si="319"/>
        <v>0</v>
      </c>
      <c r="BA104" s="684">
        <f t="shared" si="252"/>
        <v>0</v>
      </c>
      <c r="BB104" s="674">
        <f t="shared" si="320"/>
        <v>0</v>
      </c>
      <c r="BC104" s="684">
        <f t="shared" si="253"/>
        <v>0</v>
      </c>
      <c r="BD104" s="674">
        <f t="shared" si="321"/>
        <v>0</v>
      </c>
      <c r="BE104" s="684">
        <f t="shared" si="378"/>
        <v>0</v>
      </c>
      <c r="BF104" s="1">
        <f t="shared" si="301"/>
        <v>0</v>
      </c>
      <c r="BG104" s="1">
        <f t="shared" si="332"/>
        <v>0</v>
      </c>
      <c r="BH104" s="1">
        <f t="shared" si="333"/>
        <v>0</v>
      </c>
      <c r="BI104" s="1">
        <f t="shared" si="334"/>
        <v>0</v>
      </c>
      <c r="BJ104" s="1">
        <f t="shared" si="335"/>
        <v>0</v>
      </c>
      <c r="BK104" s="1">
        <f t="shared" si="336"/>
        <v>0</v>
      </c>
      <c r="BL104" s="1">
        <f t="shared" si="337"/>
        <v>0</v>
      </c>
      <c r="BM104" s="1">
        <f t="shared" si="338"/>
        <v>0</v>
      </c>
      <c r="BN104" s="1">
        <f t="shared" si="339"/>
        <v>0</v>
      </c>
      <c r="BO104" s="69">
        <f t="shared" si="340"/>
        <v>0</v>
      </c>
      <c r="BP104" s="1">
        <f t="shared" si="198"/>
        <v>0</v>
      </c>
      <c r="BQ104" s="1">
        <f t="shared" si="215"/>
        <v>0</v>
      </c>
      <c r="BR104" s="1">
        <f t="shared" si="216"/>
        <v>0</v>
      </c>
      <c r="BS104" s="1">
        <f t="shared" si="217"/>
        <v>0</v>
      </c>
      <c r="BT104" s="1">
        <f t="shared" si="218"/>
        <v>0</v>
      </c>
      <c r="BU104" s="1">
        <f t="shared" si="219"/>
        <v>0</v>
      </c>
      <c r="BV104" s="1">
        <f t="shared" si="220"/>
        <v>0</v>
      </c>
      <c r="BW104" s="1">
        <f t="shared" si="221"/>
        <v>0</v>
      </c>
      <c r="BX104" s="1">
        <f t="shared" si="222"/>
        <v>0</v>
      </c>
      <c r="BY104" s="69">
        <f t="shared" si="223"/>
        <v>0</v>
      </c>
      <c r="BZ104" s="1">
        <f t="shared" si="302"/>
        <v>0</v>
      </c>
      <c r="CA104" s="1">
        <f t="shared" si="341"/>
        <v>0</v>
      </c>
      <c r="CB104" s="1">
        <f t="shared" si="342"/>
        <v>0</v>
      </c>
      <c r="CC104" s="1">
        <f t="shared" si="343"/>
        <v>0</v>
      </c>
      <c r="CD104" s="1">
        <f t="shared" si="344"/>
        <v>0</v>
      </c>
      <c r="CE104" s="1">
        <f t="shared" si="345"/>
        <v>0</v>
      </c>
      <c r="CF104" s="1">
        <f t="shared" si="346"/>
        <v>0</v>
      </c>
      <c r="CG104" s="1">
        <f t="shared" si="347"/>
        <v>0</v>
      </c>
      <c r="CH104" s="1">
        <f t="shared" si="348"/>
        <v>0</v>
      </c>
      <c r="CI104" s="69">
        <f t="shared" si="349"/>
        <v>0</v>
      </c>
      <c r="CJ104" s="1">
        <f t="shared" si="322"/>
        <v>0</v>
      </c>
      <c r="CK104" s="1">
        <f t="shared" si="323"/>
        <v>0</v>
      </c>
      <c r="CL104" s="1">
        <f t="shared" si="324"/>
        <v>0</v>
      </c>
      <c r="CM104" s="1">
        <f t="shared" si="325"/>
        <v>0</v>
      </c>
      <c r="CN104" s="1">
        <f t="shared" si="326"/>
        <v>0</v>
      </c>
      <c r="CO104" s="1">
        <f t="shared" si="327"/>
        <v>0</v>
      </c>
      <c r="CP104" s="1">
        <f t="shared" si="328"/>
        <v>0</v>
      </c>
      <c r="CQ104" s="1">
        <f t="shared" si="329"/>
        <v>0</v>
      </c>
      <c r="CR104" s="1">
        <f t="shared" si="330"/>
        <v>0</v>
      </c>
      <c r="CS104" s="69">
        <f t="shared" si="331"/>
        <v>0</v>
      </c>
      <c r="CT104" s="1">
        <f t="shared" si="303"/>
        <v>0</v>
      </c>
      <c r="CU104" s="1">
        <f t="shared" si="350"/>
        <v>0</v>
      </c>
      <c r="CV104" s="1">
        <f t="shared" si="351"/>
        <v>0</v>
      </c>
      <c r="CW104" s="1">
        <f t="shared" si="352"/>
        <v>0</v>
      </c>
      <c r="CX104" s="1">
        <f t="shared" si="353"/>
        <v>0</v>
      </c>
      <c r="CY104" s="1">
        <f t="shared" si="354"/>
        <v>0</v>
      </c>
      <c r="CZ104" s="1">
        <f t="shared" si="355"/>
        <v>0</v>
      </c>
      <c r="DA104" s="1">
        <f t="shared" si="356"/>
        <v>0</v>
      </c>
      <c r="DB104" s="1">
        <f t="shared" si="357"/>
        <v>0</v>
      </c>
      <c r="DC104" s="69">
        <f t="shared" si="358"/>
        <v>0</v>
      </c>
      <c r="DD104" s="1">
        <f t="shared" si="304"/>
        <v>0</v>
      </c>
      <c r="DE104" s="1">
        <f t="shared" si="359"/>
        <v>0</v>
      </c>
      <c r="DF104" s="1">
        <f t="shared" si="360"/>
        <v>0</v>
      </c>
      <c r="DG104" s="1">
        <f t="shared" si="361"/>
        <v>0</v>
      </c>
      <c r="DH104" s="1">
        <f t="shared" si="362"/>
        <v>0</v>
      </c>
      <c r="DI104" s="1">
        <f t="shared" si="363"/>
        <v>0</v>
      </c>
      <c r="DJ104" s="1">
        <f t="shared" si="364"/>
        <v>0</v>
      </c>
      <c r="DK104" s="1">
        <f t="shared" si="365"/>
        <v>0</v>
      </c>
      <c r="DL104" s="1">
        <f t="shared" si="366"/>
        <v>0</v>
      </c>
      <c r="DM104" s="69">
        <f t="shared" si="367"/>
        <v>0</v>
      </c>
      <c r="DN104" s="1">
        <f t="shared" si="305"/>
        <v>0</v>
      </c>
      <c r="DO104" s="1">
        <f t="shared" si="368"/>
        <v>0</v>
      </c>
      <c r="DP104" s="1">
        <f t="shared" si="369"/>
        <v>0</v>
      </c>
      <c r="DQ104" s="1">
        <f t="shared" si="370"/>
        <v>0</v>
      </c>
      <c r="DR104" s="1">
        <f t="shared" si="371"/>
        <v>0</v>
      </c>
      <c r="DS104" s="1">
        <f t="shared" si="372"/>
        <v>0</v>
      </c>
      <c r="DT104" s="1">
        <f t="shared" si="373"/>
        <v>0</v>
      </c>
      <c r="DU104" s="1">
        <f t="shared" si="374"/>
        <v>0</v>
      </c>
      <c r="DV104" s="1">
        <f t="shared" si="375"/>
        <v>0</v>
      </c>
      <c r="DW104" s="69">
        <f t="shared" si="376"/>
        <v>0</v>
      </c>
      <c r="DX104" s="1">
        <v>3</v>
      </c>
      <c r="DY104" s="69">
        <f t="shared" si="311"/>
        <v>76</v>
      </c>
      <c r="DZ104" s="1">
        <f t="shared" si="377"/>
        <v>0</v>
      </c>
      <c r="EA104" s="1">
        <f t="shared" si="243"/>
        <v>0</v>
      </c>
      <c r="EB104" s="1">
        <f t="shared" si="308"/>
        <v>0</v>
      </c>
      <c r="ED104" s="285">
        <f t="shared" si="309"/>
        <v>0</v>
      </c>
    </row>
    <row r="105" spans="1:134" ht="15" thickBot="1" x14ac:dyDescent="0.25">
      <c r="A105" s="208" t="s">
        <v>666</v>
      </c>
      <c r="B105" s="810" t="s">
        <v>1027</v>
      </c>
      <c r="C105" s="197" t="s">
        <v>872</v>
      </c>
      <c r="D105" s="335" t="s">
        <v>658</v>
      </c>
      <c r="E105" s="889"/>
      <c r="F105" s="633">
        <f t="shared" si="306"/>
        <v>239.30138999999997</v>
      </c>
      <c r="G105" s="700"/>
      <c r="H105" s="342">
        <v>1</v>
      </c>
      <c r="I105" s="342"/>
      <c r="J105" s="342"/>
      <c r="K105" s="342"/>
      <c r="L105" s="342"/>
      <c r="M105" s="342"/>
      <c r="N105" s="658"/>
      <c r="O105" s="256"/>
      <c r="P105" s="256"/>
      <c r="Q105" s="256"/>
      <c r="R105" s="255"/>
      <c r="S105" s="256"/>
      <c r="T105" s="256"/>
      <c r="U105" s="256"/>
      <c r="V105" s="255"/>
      <c r="W105" s="256"/>
      <c r="X105" s="256"/>
      <c r="Y105" s="256"/>
      <c r="Z105" s="255"/>
      <c r="AA105" s="256"/>
      <c r="AB105" s="256"/>
      <c r="AC105" s="256"/>
      <c r="AD105" s="255"/>
      <c r="AE105" s="256"/>
      <c r="AF105" s="256"/>
      <c r="AH105" s="546">
        <f t="shared" si="307"/>
        <v>0</v>
      </c>
      <c r="AI105" s="66">
        <f t="shared" si="312"/>
        <v>0</v>
      </c>
      <c r="AL105" s="706" t="str">
        <f t="shared" si="310"/>
        <v>-temperatura PLC</v>
      </c>
      <c r="AM105" s="684">
        <f t="shared" si="245"/>
        <v>0</v>
      </c>
      <c r="AN105" s="674">
        <f t="shared" si="313"/>
        <v>0</v>
      </c>
      <c r="AO105" s="684">
        <f t="shared" si="246"/>
        <v>0</v>
      </c>
      <c r="AP105" s="674">
        <f t="shared" si="314"/>
        <v>0</v>
      </c>
      <c r="AQ105" s="684">
        <f t="shared" si="247"/>
        <v>0</v>
      </c>
      <c r="AR105" s="674">
        <f t="shared" si="315"/>
        <v>0</v>
      </c>
      <c r="AS105" s="684">
        <f t="shared" si="248"/>
        <v>0</v>
      </c>
      <c r="AT105" s="674">
        <f t="shared" si="316"/>
        <v>0</v>
      </c>
      <c r="AU105" s="684">
        <f t="shared" si="249"/>
        <v>0</v>
      </c>
      <c r="AV105" s="674">
        <f t="shared" si="317"/>
        <v>0</v>
      </c>
      <c r="AW105" s="684">
        <f t="shared" si="250"/>
        <v>0</v>
      </c>
      <c r="AX105" s="674">
        <f t="shared" si="318"/>
        <v>0</v>
      </c>
      <c r="AY105" s="684">
        <f t="shared" si="251"/>
        <v>0</v>
      </c>
      <c r="AZ105" s="674">
        <f t="shared" si="319"/>
        <v>0</v>
      </c>
      <c r="BA105" s="684">
        <f t="shared" si="252"/>
        <v>0</v>
      </c>
      <c r="BB105" s="674">
        <f t="shared" si="320"/>
        <v>0</v>
      </c>
      <c r="BC105" s="684">
        <f t="shared" si="253"/>
        <v>0</v>
      </c>
      <c r="BD105" s="674">
        <f t="shared" si="321"/>
        <v>0</v>
      </c>
      <c r="BE105" s="684">
        <f t="shared" si="378"/>
        <v>0</v>
      </c>
      <c r="BF105" s="1">
        <f t="shared" si="301"/>
        <v>0</v>
      </c>
      <c r="BG105" s="1">
        <f t="shared" si="332"/>
        <v>0</v>
      </c>
      <c r="BH105" s="1">
        <f t="shared" si="333"/>
        <v>0</v>
      </c>
      <c r="BI105" s="1">
        <f t="shared" si="334"/>
        <v>0</v>
      </c>
      <c r="BJ105" s="1">
        <f t="shared" si="335"/>
        <v>0</v>
      </c>
      <c r="BK105" s="1">
        <f t="shared" si="336"/>
        <v>0</v>
      </c>
      <c r="BL105" s="1">
        <f t="shared" si="337"/>
        <v>0</v>
      </c>
      <c r="BM105" s="1">
        <f t="shared" si="338"/>
        <v>0</v>
      </c>
      <c r="BN105" s="1">
        <f t="shared" si="339"/>
        <v>0</v>
      </c>
      <c r="BO105" s="69">
        <f t="shared" si="340"/>
        <v>0</v>
      </c>
      <c r="BP105" s="1">
        <f t="shared" si="198"/>
        <v>0</v>
      </c>
      <c r="BQ105" s="1">
        <f t="shared" si="215"/>
        <v>0</v>
      </c>
      <c r="BR105" s="1">
        <f t="shared" si="216"/>
        <v>0</v>
      </c>
      <c r="BS105" s="1">
        <f t="shared" si="217"/>
        <v>0</v>
      </c>
      <c r="BT105" s="1">
        <f t="shared" si="218"/>
        <v>0</v>
      </c>
      <c r="BU105" s="1">
        <f t="shared" si="219"/>
        <v>0</v>
      </c>
      <c r="BV105" s="1">
        <f t="shared" si="220"/>
        <v>0</v>
      </c>
      <c r="BW105" s="1">
        <f t="shared" si="221"/>
        <v>0</v>
      </c>
      <c r="BX105" s="1">
        <f t="shared" si="222"/>
        <v>0</v>
      </c>
      <c r="BY105" s="69">
        <f t="shared" si="223"/>
        <v>0</v>
      </c>
      <c r="BZ105" s="1">
        <f t="shared" si="302"/>
        <v>0</v>
      </c>
      <c r="CA105" s="1">
        <f t="shared" si="341"/>
        <v>0</v>
      </c>
      <c r="CB105" s="1">
        <f t="shared" si="342"/>
        <v>0</v>
      </c>
      <c r="CC105" s="1">
        <f t="shared" si="343"/>
        <v>0</v>
      </c>
      <c r="CD105" s="1">
        <f t="shared" si="344"/>
        <v>0</v>
      </c>
      <c r="CE105" s="1">
        <f t="shared" si="345"/>
        <v>0</v>
      </c>
      <c r="CF105" s="1">
        <f t="shared" si="346"/>
        <v>0</v>
      </c>
      <c r="CG105" s="1">
        <f t="shared" si="347"/>
        <v>0</v>
      </c>
      <c r="CH105" s="1">
        <f t="shared" si="348"/>
        <v>0</v>
      </c>
      <c r="CI105" s="69">
        <f t="shared" si="349"/>
        <v>0</v>
      </c>
      <c r="CJ105" s="1">
        <f t="shared" si="322"/>
        <v>0</v>
      </c>
      <c r="CK105" s="1">
        <f t="shared" si="323"/>
        <v>0</v>
      </c>
      <c r="CL105" s="1">
        <f t="shared" si="324"/>
        <v>0</v>
      </c>
      <c r="CM105" s="1">
        <f t="shared" si="325"/>
        <v>0</v>
      </c>
      <c r="CN105" s="1">
        <f t="shared" si="326"/>
        <v>0</v>
      </c>
      <c r="CO105" s="1">
        <f t="shared" si="327"/>
        <v>0</v>
      </c>
      <c r="CP105" s="1">
        <f t="shared" si="328"/>
        <v>0</v>
      </c>
      <c r="CQ105" s="1">
        <f t="shared" si="329"/>
        <v>0</v>
      </c>
      <c r="CR105" s="1">
        <f t="shared" si="330"/>
        <v>0</v>
      </c>
      <c r="CS105" s="69">
        <f t="shared" si="331"/>
        <v>0</v>
      </c>
      <c r="CT105" s="1">
        <f t="shared" si="303"/>
        <v>0</v>
      </c>
      <c r="CU105" s="1">
        <f t="shared" si="350"/>
        <v>0</v>
      </c>
      <c r="CV105" s="1">
        <f t="shared" si="351"/>
        <v>0</v>
      </c>
      <c r="CW105" s="1">
        <f t="shared" si="352"/>
        <v>0</v>
      </c>
      <c r="CX105" s="1">
        <f t="shared" si="353"/>
        <v>0</v>
      </c>
      <c r="CY105" s="1">
        <f t="shared" si="354"/>
        <v>0</v>
      </c>
      <c r="CZ105" s="1">
        <f t="shared" si="355"/>
        <v>0</v>
      </c>
      <c r="DA105" s="1">
        <f t="shared" si="356"/>
        <v>0</v>
      </c>
      <c r="DB105" s="1">
        <f t="shared" si="357"/>
        <v>0</v>
      </c>
      <c r="DC105" s="69">
        <f t="shared" si="358"/>
        <v>0</v>
      </c>
      <c r="DD105" s="1">
        <f t="shared" si="304"/>
        <v>0</v>
      </c>
      <c r="DE105" s="1">
        <f t="shared" si="359"/>
        <v>0</v>
      </c>
      <c r="DF105" s="1">
        <f t="shared" si="360"/>
        <v>0</v>
      </c>
      <c r="DG105" s="1">
        <f t="shared" si="361"/>
        <v>0</v>
      </c>
      <c r="DH105" s="1">
        <f t="shared" si="362"/>
        <v>0</v>
      </c>
      <c r="DI105" s="1">
        <f t="shared" si="363"/>
        <v>0</v>
      </c>
      <c r="DJ105" s="1">
        <f t="shared" si="364"/>
        <v>0</v>
      </c>
      <c r="DK105" s="1">
        <f t="shared" si="365"/>
        <v>0</v>
      </c>
      <c r="DL105" s="1">
        <f t="shared" si="366"/>
        <v>0</v>
      </c>
      <c r="DM105" s="69">
        <f t="shared" si="367"/>
        <v>0</v>
      </c>
      <c r="DN105" s="1">
        <f t="shared" si="305"/>
        <v>0</v>
      </c>
      <c r="DO105" s="1">
        <f t="shared" si="368"/>
        <v>0</v>
      </c>
      <c r="DP105" s="1">
        <f t="shared" si="369"/>
        <v>0</v>
      </c>
      <c r="DQ105" s="1">
        <f t="shared" si="370"/>
        <v>0</v>
      </c>
      <c r="DR105" s="1">
        <f t="shared" si="371"/>
        <v>0</v>
      </c>
      <c r="DS105" s="1">
        <f t="shared" si="372"/>
        <v>0</v>
      </c>
      <c r="DT105" s="1">
        <f t="shared" si="373"/>
        <v>0</v>
      </c>
      <c r="DU105" s="1">
        <f t="shared" si="374"/>
        <v>0</v>
      </c>
      <c r="DV105" s="1">
        <f t="shared" si="375"/>
        <v>0</v>
      </c>
      <c r="DW105" s="69">
        <f t="shared" si="376"/>
        <v>0</v>
      </c>
      <c r="DX105" s="1">
        <v>3</v>
      </c>
      <c r="DY105" s="69">
        <f t="shared" si="311"/>
        <v>77</v>
      </c>
      <c r="DZ105" s="1">
        <f t="shared" si="377"/>
        <v>0</v>
      </c>
      <c r="EA105" s="1">
        <f t="shared" si="243"/>
        <v>0</v>
      </c>
      <c r="EB105" s="1">
        <f t="shared" si="308"/>
        <v>0</v>
      </c>
      <c r="ED105" s="285">
        <f t="shared" si="309"/>
        <v>0</v>
      </c>
    </row>
    <row r="106" spans="1:134" ht="15" thickBot="1" x14ac:dyDescent="0.25">
      <c r="A106" s="211" t="s">
        <v>666</v>
      </c>
      <c r="B106" s="807" t="s">
        <v>1028</v>
      </c>
      <c r="C106" s="198" t="s">
        <v>872</v>
      </c>
      <c r="D106" s="645" t="s">
        <v>657</v>
      </c>
      <c r="E106" s="889"/>
      <c r="F106" s="634">
        <f t="shared" si="306"/>
        <v>82.163759999999996</v>
      </c>
      <c r="G106" s="699"/>
      <c r="H106" s="519"/>
      <c r="I106" s="519"/>
      <c r="J106" s="526">
        <v>1</v>
      </c>
      <c r="K106" s="526">
        <v>1</v>
      </c>
      <c r="L106" s="519"/>
      <c r="M106" s="519"/>
      <c r="N106" s="666">
        <f>N93+N94+N95+N96</f>
        <v>0</v>
      </c>
      <c r="O106" s="666">
        <f t="shared" ref="O106" si="379">IF(O81&gt;0,1,0)</f>
        <v>0</v>
      </c>
      <c r="P106" s="666">
        <f t="shared" ref="P106:AF106" si="380">P93+P94+P95+P96</f>
        <v>0</v>
      </c>
      <c r="Q106" s="666">
        <f t="shared" si="380"/>
        <v>0</v>
      </c>
      <c r="R106" s="666">
        <f t="shared" si="380"/>
        <v>0</v>
      </c>
      <c r="S106" s="666">
        <f t="shared" si="380"/>
        <v>0</v>
      </c>
      <c r="T106" s="666">
        <f t="shared" si="380"/>
        <v>0</v>
      </c>
      <c r="U106" s="666">
        <f t="shared" si="380"/>
        <v>0</v>
      </c>
      <c r="V106" s="666">
        <f t="shared" si="380"/>
        <v>0</v>
      </c>
      <c r="W106" s="666">
        <f t="shared" si="380"/>
        <v>0</v>
      </c>
      <c r="X106" s="666">
        <f t="shared" si="380"/>
        <v>0</v>
      </c>
      <c r="Y106" s="666">
        <f t="shared" si="380"/>
        <v>0</v>
      </c>
      <c r="Z106" s="666">
        <f t="shared" si="380"/>
        <v>0</v>
      </c>
      <c r="AA106" s="666">
        <f t="shared" si="380"/>
        <v>0</v>
      </c>
      <c r="AB106" s="666">
        <f t="shared" si="380"/>
        <v>0</v>
      </c>
      <c r="AC106" s="666">
        <f t="shared" si="380"/>
        <v>0</v>
      </c>
      <c r="AD106" s="666">
        <f t="shared" si="380"/>
        <v>0</v>
      </c>
      <c r="AE106" s="666">
        <f t="shared" si="380"/>
        <v>0</v>
      </c>
      <c r="AF106" s="666">
        <f t="shared" si="380"/>
        <v>0</v>
      </c>
      <c r="AG106" s="552"/>
      <c r="AH106" s="546">
        <f t="shared" si="307"/>
        <v>0</v>
      </c>
      <c r="AI106" s="160">
        <f t="shared" si="312"/>
        <v>0</v>
      </c>
      <c r="AJ106" s="160"/>
      <c r="AL106" s="706" t="str">
        <f t="shared" si="310"/>
        <v>-pulsante</v>
      </c>
      <c r="AM106" s="686">
        <f t="shared" si="245"/>
        <v>0</v>
      </c>
      <c r="AN106" s="678">
        <f t="shared" si="313"/>
        <v>0</v>
      </c>
      <c r="AO106" s="686">
        <f t="shared" si="246"/>
        <v>0</v>
      </c>
      <c r="AP106" s="678">
        <f t="shared" si="314"/>
        <v>0</v>
      </c>
      <c r="AQ106" s="686">
        <f t="shared" si="247"/>
        <v>0</v>
      </c>
      <c r="AR106" s="678">
        <f t="shared" si="315"/>
        <v>0</v>
      </c>
      <c r="AS106" s="686">
        <f t="shared" si="248"/>
        <v>0</v>
      </c>
      <c r="AT106" s="678">
        <f t="shared" si="316"/>
        <v>0</v>
      </c>
      <c r="AU106" s="686">
        <f t="shared" si="249"/>
        <v>0</v>
      </c>
      <c r="AV106" s="678">
        <f t="shared" si="317"/>
        <v>0</v>
      </c>
      <c r="AW106" s="686">
        <f t="shared" si="250"/>
        <v>0</v>
      </c>
      <c r="AX106" s="678">
        <f t="shared" si="318"/>
        <v>0</v>
      </c>
      <c r="AY106" s="686">
        <f t="shared" si="251"/>
        <v>0</v>
      </c>
      <c r="AZ106" s="678">
        <f t="shared" si="319"/>
        <v>0</v>
      </c>
      <c r="BA106" s="686">
        <f t="shared" si="252"/>
        <v>0</v>
      </c>
      <c r="BB106" s="678">
        <f t="shared" si="320"/>
        <v>0</v>
      </c>
      <c r="BC106" s="686">
        <f t="shared" si="253"/>
        <v>0</v>
      </c>
      <c r="BD106" s="678">
        <f t="shared" si="321"/>
        <v>0</v>
      </c>
      <c r="BE106" s="686">
        <f t="shared" si="378"/>
        <v>0</v>
      </c>
      <c r="BF106" s="158">
        <f t="shared" si="301"/>
        <v>0</v>
      </c>
      <c r="BG106" s="158">
        <f t="shared" si="332"/>
        <v>0</v>
      </c>
      <c r="BH106" s="158">
        <f t="shared" si="333"/>
        <v>0</v>
      </c>
      <c r="BI106" s="158">
        <f t="shared" si="334"/>
        <v>0</v>
      </c>
      <c r="BJ106" s="158">
        <f t="shared" si="335"/>
        <v>0</v>
      </c>
      <c r="BK106" s="158">
        <f t="shared" si="336"/>
        <v>0</v>
      </c>
      <c r="BL106" s="158">
        <f t="shared" si="337"/>
        <v>0</v>
      </c>
      <c r="BM106" s="158">
        <f t="shared" si="338"/>
        <v>0</v>
      </c>
      <c r="BN106" s="158">
        <f t="shared" si="339"/>
        <v>0</v>
      </c>
      <c r="BO106" s="159">
        <f t="shared" si="340"/>
        <v>0</v>
      </c>
      <c r="BP106" s="158">
        <f t="shared" si="198"/>
        <v>0</v>
      </c>
      <c r="BQ106" s="158">
        <f t="shared" si="215"/>
        <v>0</v>
      </c>
      <c r="BR106" s="158">
        <f t="shared" si="216"/>
        <v>0</v>
      </c>
      <c r="BS106" s="158">
        <f t="shared" si="217"/>
        <v>0</v>
      </c>
      <c r="BT106" s="158">
        <f t="shared" si="218"/>
        <v>0</v>
      </c>
      <c r="BU106" s="158">
        <f t="shared" si="219"/>
        <v>0</v>
      </c>
      <c r="BV106" s="158">
        <f t="shared" si="220"/>
        <v>0</v>
      </c>
      <c r="BW106" s="158">
        <f t="shared" si="221"/>
        <v>0</v>
      </c>
      <c r="BX106" s="158">
        <f t="shared" si="222"/>
        <v>0</v>
      </c>
      <c r="BY106" s="159">
        <f t="shared" si="223"/>
        <v>0</v>
      </c>
      <c r="BZ106" s="158">
        <f t="shared" si="302"/>
        <v>0</v>
      </c>
      <c r="CA106" s="158">
        <f t="shared" si="341"/>
        <v>0</v>
      </c>
      <c r="CB106" s="158">
        <f t="shared" si="342"/>
        <v>0</v>
      </c>
      <c r="CC106" s="158">
        <f t="shared" si="343"/>
        <v>0</v>
      </c>
      <c r="CD106" s="158">
        <f t="shared" si="344"/>
        <v>0</v>
      </c>
      <c r="CE106" s="158">
        <f t="shared" si="345"/>
        <v>0</v>
      </c>
      <c r="CF106" s="158">
        <f t="shared" si="346"/>
        <v>0</v>
      </c>
      <c r="CG106" s="158">
        <f t="shared" si="347"/>
        <v>0</v>
      </c>
      <c r="CH106" s="158">
        <f t="shared" si="348"/>
        <v>0</v>
      </c>
      <c r="CI106" s="159">
        <f t="shared" si="349"/>
        <v>0</v>
      </c>
      <c r="CJ106" s="158">
        <f t="shared" si="322"/>
        <v>0</v>
      </c>
      <c r="CK106" s="158">
        <f t="shared" si="323"/>
        <v>0</v>
      </c>
      <c r="CL106" s="158">
        <f t="shared" si="324"/>
        <v>0</v>
      </c>
      <c r="CM106" s="158">
        <f t="shared" si="325"/>
        <v>0</v>
      </c>
      <c r="CN106" s="158">
        <f t="shared" si="326"/>
        <v>0</v>
      </c>
      <c r="CO106" s="158">
        <f t="shared" si="327"/>
        <v>0</v>
      </c>
      <c r="CP106" s="158">
        <f t="shared" si="328"/>
        <v>0</v>
      </c>
      <c r="CQ106" s="158">
        <f t="shared" si="329"/>
        <v>0</v>
      </c>
      <c r="CR106" s="158">
        <f t="shared" si="330"/>
        <v>0</v>
      </c>
      <c r="CS106" s="159">
        <f t="shared" si="331"/>
        <v>0</v>
      </c>
      <c r="CT106" s="158">
        <f t="shared" si="303"/>
        <v>0</v>
      </c>
      <c r="CU106" s="158">
        <f t="shared" si="350"/>
        <v>0</v>
      </c>
      <c r="CV106" s="158">
        <f t="shared" si="351"/>
        <v>0</v>
      </c>
      <c r="CW106" s="158">
        <f t="shared" si="352"/>
        <v>0</v>
      </c>
      <c r="CX106" s="158">
        <f t="shared" si="353"/>
        <v>0</v>
      </c>
      <c r="CY106" s="158">
        <f t="shared" si="354"/>
        <v>0</v>
      </c>
      <c r="CZ106" s="158">
        <f t="shared" si="355"/>
        <v>0</v>
      </c>
      <c r="DA106" s="158">
        <f t="shared" si="356"/>
        <v>0</v>
      </c>
      <c r="DB106" s="158">
        <f t="shared" si="357"/>
        <v>0</v>
      </c>
      <c r="DC106" s="159">
        <f t="shared" si="358"/>
        <v>0</v>
      </c>
      <c r="DD106" s="158">
        <f t="shared" si="304"/>
        <v>0</v>
      </c>
      <c r="DE106" s="158">
        <f t="shared" si="359"/>
        <v>0</v>
      </c>
      <c r="DF106" s="158">
        <f t="shared" si="360"/>
        <v>0</v>
      </c>
      <c r="DG106" s="158">
        <f t="shared" si="361"/>
        <v>0</v>
      </c>
      <c r="DH106" s="158">
        <f t="shared" si="362"/>
        <v>0</v>
      </c>
      <c r="DI106" s="158">
        <f t="shared" si="363"/>
        <v>0</v>
      </c>
      <c r="DJ106" s="158">
        <f t="shared" si="364"/>
        <v>0</v>
      </c>
      <c r="DK106" s="158">
        <f t="shared" si="365"/>
        <v>0</v>
      </c>
      <c r="DL106" s="158">
        <f t="shared" si="366"/>
        <v>0</v>
      </c>
      <c r="DM106" s="159">
        <f t="shared" si="367"/>
        <v>0</v>
      </c>
      <c r="DN106" s="158">
        <f t="shared" si="305"/>
        <v>0</v>
      </c>
      <c r="DO106" s="158">
        <f t="shared" si="368"/>
        <v>0</v>
      </c>
      <c r="DP106" s="158">
        <f t="shared" si="369"/>
        <v>0</v>
      </c>
      <c r="DQ106" s="158">
        <f t="shared" si="370"/>
        <v>0</v>
      </c>
      <c r="DR106" s="158">
        <f t="shared" si="371"/>
        <v>0</v>
      </c>
      <c r="DS106" s="158">
        <f t="shared" si="372"/>
        <v>0</v>
      </c>
      <c r="DT106" s="158">
        <f t="shared" si="373"/>
        <v>0</v>
      </c>
      <c r="DU106" s="158">
        <f t="shared" si="374"/>
        <v>0</v>
      </c>
      <c r="DV106" s="158">
        <f t="shared" si="375"/>
        <v>0</v>
      </c>
      <c r="DW106" s="159">
        <f t="shared" si="376"/>
        <v>0</v>
      </c>
      <c r="DX106" s="158">
        <v>3</v>
      </c>
      <c r="DY106" s="69">
        <f t="shared" si="311"/>
        <v>78</v>
      </c>
      <c r="DZ106" s="1">
        <f t="shared" si="377"/>
        <v>0</v>
      </c>
      <c r="EA106" s="1">
        <f t="shared" si="243"/>
        <v>0</v>
      </c>
      <c r="EB106" s="1">
        <f t="shared" si="308"/>
        <v>0</v>
      </c>
      <c r="ED106" s="285">
        <f t="shared" si="309"/>
        <v>0</v>
      </c>
    </row>
    <row r="107" spans="1:134" x14ac:dyDescent="0.2">
      <c r="A107" s="833"/>
      <c r="B107" s="834" t="s">
        <v>2500</v>
      </c>
      <c r="C107" s="835"/>
      <c r="D107" s="836" t="s">
        <v>2499</v>
      </c>
      <c r="E107" s="889"/>
      <c r="F107" s="633"/>
      <c r="G107" s="694"/>
      <c r="H107" s="58"/>
      <c r="I107" s="58"/>
      <c r="J107" s="342"/>
      <c r="K107" s="342"/>
      <c r="L107" s="58"/>
      <c r="M107" s="58"/>
      <c r="N107" s="839"/>
      <c r="O107" s="839"/>
      <c r="P107" s="839"/>
      <c r="Q107" s="839"/>
      <c r="R107" s="839"/>
      <c r="S107" s="839"/>
      <c r="T107" s="839"/>
      <c r="U107" s="839"/>
      <c r="V107" s="839"/>
      <c r="W107" s="839"/>
      <c r="X107" s="839"/>
      <c r="Y107" s="839"/>
      <c r="Z107" s="839"/>
      <c r="AA107" s="839"/>
      <c r="AB107" s="839"/>
      <c r="AC107" s="839"/>
      <c r="AD107" s="839"/>
      <c r="AE107" s="831"/>
      <c r="AF107" s="839"/>
      <c r="AG107" s="837"/>
      <c r="AH107" s="832"/>
      <c r="AL107" s="706" t="str">
        <f t="shared" si="310"/>
        <v>-Totale punti dosaggi Tmx/tme</v>
      </c>
      <c r="AM107" s="683"/>
      <c r="AN107" s="674"/>
      <c r="AO107" s="683"/>
      <c r="AP107" s="674"/>
      <c r="AQ107" s="683"/>
      <c r="AR107" s="674"/>
      <c r="AS107" s="683"/>
      <c r="AT107" s="674"/>
      <c r="AU107" s="683"/>
      <c r="AV107" s="674"/>
      <c r="AW107" s="683"/>
      <c r="AX107" s="674"/>
      <c r="AY107" s="683"/>
      <c r="AZ107" s="674"/>
      <c r="BA107" s="683"/>
      <c r="BB107" s="674"/>
      <c r="BC107" s="683"/>
      <c r="BD107" s="674"/>
      <c r="BE107" s="683"/>
      <c r="BO107" s="1"/>
      <c r="BY107" s="1"/>
      <c r="CI107" s="1"/>
      <c r="CS107" s="1"/>
      <c r="DC107" s="1"/>
      <c r="DM107" s="1"/>
      <c r="DW107" s="1"/>
      <c r="DY107" s="1"/>
    </row>
    <row r="108" spans="1:134" s="604" customFormat="1" hidden="1" x14ac:dyDescent="0.2">
      <c r="A108" s="604" t="s">
        <v>2518</v>
      </c>
      <c r="B108" s="250" t="s">
        <v>2362</v>
      </c>
      <c r="C108" s="549" t="s">
        <v>2490</v>
      </c>
      <c r="D108" s="643" t="s">
        <v>659</v>
      </c>
      <c r="E108" s="889"/>
      <c r="F108" s="250">
        <f>VLOOKUP(D108,prezzi,5,)</f>
        <v>0</v>
      </c>
      <c r="G108" s="818">
        <v>1</v>
      </c>
      <c r="H108" s="250"/>
      <c r="I108" s="250"/>
      <c r="J108" s="250"/>
      <c r="K108" s="250"/>
      <c r="L108" s="250"/>
      <c r="M108" s="250"/>
      <c r="N108" s="668"/>
      <c r="O108" s="250"/>
      <c r="P108" s="250"/>
      <c r="Q108" s="250"/>
      <c r="R108" s="250"/>
      <c r="S108" s="250"/>
      <c r="T108" s="250"/>
      <c r="U108" s="250"/>
      <c r="V108" s="250"/>
      <c r="W108" s="250"/>
      <c r="X108" s="250"/>
      <c r="Y108" s="250"/>
      <c r="Z108" s="250"/>
      <c r="AA108" s="250"/>
      <c r="AB108" s="250"/>
      <c r="AC108" s="250"/>
      <c r="AD108" s="250"/>
      <c r="AE108" s="250"/>
      <c r="AF108" s="250"/>
      <c r="AG108" s="549"/>
      <c r="AH108" s="549">
        <f t="shared" si="307"/>
        <v>0</v>
      </c>
      <c r="AI108" s="604">
        <f t="shared" si="312"/>
        <v>0</v>
      </c>
      <c r="AJ108" s="705">
        <v>1</v>
      </c>
      <c r="AK108" s="705"/>
      <c r="AL108" s="706" t="str">
        <f t="shared" si="310"/>
        <v>1-peso SIWAREX</v>
      </c>
      <c r="AM108" s="632">
        <f>N108*$F108</f>
        <v>0</v>
      </c>
      <c r="AN108" s="640">
        <f t="shared" si="313"/>
        <v>0</v>
      </c>
      <c r="AO108" s="632">
        <f>P108*$F108</f>
        <v>0</v>
      </c>
      <c r="AP108" s="640">
        <f t="shared" si="314"/>
        <v>0</v>
      </c>
      <c r="AQ108" s="632">
        <f>R108*$F108</f>
        <v>0</v>
      </c>
      <c r="AR108" s="640">
        <f t="shared" si="315"/>
        <v>0</v>
      </c>
      <c r="AS108" s="632">
        <f>T108*$F108</f>
        <v>0</v>
      </c>
      <c r="AT108" s="640">
        <f t="shared" si="316"/>
        <v>0</v>
      </c>
      <c r="AU108" s="632">
        <f>V108*$F108</f>
        <v>0</v>
      </c>
      <c r="AV108" s="640">
        <f t="shared" si="317"/>
        <v>0</v>
      </c>
      <c r="AW108" s="632">
        <f>X108*$F108</f>
        <v>0</v>
      </c>
      <c r="AX108" s="640">
        <f t="shared" si="318"/>
        <v>0</v>
      </c>
      <c r="AY108" s="632">
        <f>Z108*$F108</f>
        <v>0</v>
      </c>
      <c r="AZ108" s="640">
        <f t="shared" si="319"/>
        <v>0</v>
      </c>
      <c r="BA108" s="632">
        <f>AB108*$F108</f>
        <v>0</v>
      </c>
      <c r="BB108" s="640">
        <f t="shared" si="320"/>
        <v>0</v>
      </c>
      <c r="BC108" s="632">
        <f>AD108*$F108</f>
        <v>0</v>
      </c>
      <c r="BD108" s="640">
        <f t="shared" si="321"/>
        <v>0</v>
      </c>
      <c r="BE108" s="632">
        <f>AF108*$F108</f>
        <v>0</v>
      </c>
      <c r="BF108" s="604">
        <f>N108*$G108</f>
        <v>0</v>
      </c>
      <c r="BG108" s="604">
        <f t="shared" si="332"/>
        <v>0</v>
      </c>
      <c r="BH108" s="604">
        <f t="shared" si="333"/>
        <v>0</v>
      </c>
      <c r="BI108" s="604">
        <f t="shared" si="334"/>
        <v>0</v>
      </c>
      <c r="BJ108" s="604">
        <f t="shared" si="335"/>
        <v>0</v>
      </c>
      <c r="BK108" s="604">
        <f t="shared" si="336"/>
        <v>0</v>
      </c>
      <c r="BL108" s="604">
        <f t="shared" si="337"/>
        <v>0</v>
      </c>
      <c r="BM108" s="604">
        <f t="shared" si="338"/>
        <v>0</v>
      </c>
      <c r="BN108" s="604">
        <f t="shared" si="339"/>
        <v>0</v>
      </c>
      <c r="BO108" s="604">
        <f t="shared" si="340"/>
        <v>0</v>
      </c>
      <c r="BP108" s="604">
        <f>N108*$H108</f>
        <v>0</v>
      </c>
      <c r="BQ108" s="604">
        <f>P108*$H108</f>
        <v>0</v>
      </c>
      <c r="BR108" s="604">
        <f>R108*$H108</f>
        <v>0</v>
      </c>
      <c r="BS108" s="604">
        <f>T108*$H108</f>
        <v>0</v>
      </c>
      <c r="BT108" s="604">
        <f>V108*$H108</f>
        <v>0</v>
      </c>
      <c r="BU108" s="604">
        <f>X108*$H108</f>
        <v>0</v>
      </c>
      <c r="BV108" s="604">
        <f>Z108*$H108</f>
        <v>0</v>
      </c>
      <c r="BW108" s="604">
        <f>AB108*$H108</f>
        <v>0</v>
      </c>
      <c r="BX108" s="604">
        <f>AD108*$H108</f>
        <v>0</v>
      </c>
      <c r="BY108" s="604">
        <f>AF108*$H108</f>
        <v>0</v>
      </c>
      <c r="BZ108" s="604">
        <f>N108*$I108</f>
        <v>0</v>
      </c>
      <c r="CA108" s="604">
        <f t="shared" si="341"/>
        <v>0</v>
      </c>
      <c r="CB108" s="604">
        <f t="shared" si="342"/>
        <v>0</v>
      </c>
      <c r="CC108" s="604">
        <f t="shared" si="343"/>
        <v>0</v>
      </c>
      <c r="CD108" s="604">
        <f t="shared" si="344"/>
        <v>0</v>
      </c>
      <c r="CE108" s="604">
        <f t="shared" si="345"/>
        <v>0</v>
      </c>
      <c r="CF108" s="604">
        <f t="shared" si="346"/>
        <v>0</v>
      </c>
      <c r="CG108" s="604">
        <f t="shared" si="347"/>
        <v>0</v>
      </c>
      <c r="CH108" s="604">
        <f t="shared" si="348"/>
        <v>0</v>
      </c>
      <c r="CI108" s="604">
        <f t="shared" si="349"/>
        <v>0</v>
      </c>
      <c r="CJ108" s="604">
        <f t="shared" si="322"/>
        <v>0</v>
      </c>
      <c r="CK108" s="604">
        <f>P108*$J108</f>
        <v>0</v>
      </c>
      <c r="CL108" s="604">
        <f>R108*$J108</f>
        <v>0</v>
      </c>
      <c r="CM108" s="604">
        <f>T108*$J108</f>
        <v>0</v>
      </c>
      <c r="CN108" s="604">
        <f>V108*$J108</f>
        <v>0</v>
      </c>
      <c r="CO108" s="604">
        <f>X108*$J108</f>
        <v>0</v>
      </c>
      <c r="CP108" s="604">
        <f>Z108*$J108</f>
        <v>0</v>
      </c>
      <c r="CQ108" s="604">
        <f>AB108*$J108</f>
        <v>0</v>
      </c>
      <c r="CR108" s="604">
        <f>AD108*$J108</f>
        <v>0</v>
      </c>
      <c r="CS108" s="604">
        <f>AF108*$J108</f>
        <v>0</v>
      </c>
      <c r="CT108" s="604">
        <f>N108*$K108</f>
        <v>0</v>
      </c>
      <c r="CU108" s="604">
        <f t="shared" si="350"/>
        <v>0</v>
      </c>
      <c r="CV108" s="604">
        <f t="shared" si="351"/>
        <v>0</v>
      </c>
      <c r="CW108" s="604">
        <f t="shared" si="352"/>
        <v>0</v>
      </c>
      <c r="CX108" s="604">
        <f t="shared" si="353"/>
        <v>0</v>
      </c>
      <c r="CY108" s="604">
        <f t="shared" si="354"/>
        <v>0</v>
      </c>
      <c r="CZ108" s="604">
        <f t="shared" si="355"/>
        <v>0</v>
      </c>
      <c r="DA108" s="604">
        <f t="shared" si="356"/>
        <v>0</v>
      </c>
      <c r="DB108" s="604">
        <f t="shared" si="357"/>
        <v>0</v>
      </c>
      <c r="DC108" s="604">
        <f t="shared" si="358"/>
        <v>0</v>
      </c>
      <c r="DD108" s="604">
        <f>N108*$L108</f>
        <v>0</v>
      </c>
      <c r="DE108" s="604">
        <f t="shared" si="359"/>
        <v>0</v>
      </c>
      <c r="DF108" s="604">
        <f t="shared" si="360"/>
        <v>0</v>
      </c>
      <c r="DG108" s="604">
        <f t="shared" si="361"/>
        <v>0</v>
      </c>
      <c r="DH108" s="604">
        <f t="shared" si="362"/>
        <v>0</v>
      </c>
      <c r="DI108" s="604">
        <f t="shared" si="363"/>
        <v>0</v>
      </c>
      <c r="DJ108" s="604">
        <f t="shared" si="364"/>
        <v>0</v>
      </c>
      <c r="DK108" s="604">
        <f t="shared" si="365"/>
        <v>0</v>
      </c>
      <c r="DL108" s="604">
        <f t="shared" si="366"/>
        <v>0</v>
      </c>
      <c r="DM108" s="604">
        <f t="shared" si="367"/>
        <v>0</v>
      </c>
      <c r="DN108" s="604">
        <f>N108*$M108</f>
        <v>0</v>
      </c>
      <c r="DO108" s="604">
        <f t="shared" si="368"/>
        <v>0</v>
      </c>
      <c r="DP108" s="604">
        <f t="shared" si="369"/>
        <v>0</v>
      </c>
      <c r="DQ108" s="604">
        <f t="shared" si="370"/>
        <v>0</v>
      </c>
      <c r="DR108" s="604">
        <f t="shared" si="371"/>
        <v>0</v>
      </c>
      <c r="DS108" s="604">
        <f t="shared" si="372"/>
        <v>0</v>
      </c>
      <c r="DT108" s="604">
        <f t="shared" si="373"/>
        <v>0</v>
      </c>
      <c r="DU108" s="604">
        <f t="shared" si="374"/>
        <v>0</v>
      </c>
      <c r="DV108" s="604">
        <f t="shared" si="375"/>
        <v>0</v>
      </c>
      <c r="DW108" s="604">
        <f t="shared" si="376"/>
        <v>0</v>
      </c>
      <c r="DX108" s="604">
        <v>4</v>
      </c>
      <c r="DY108" s="604">
        <f>DY106+1</f>
        <v>79</v>
      </c>
      <c r="DZ108" s="604">
        <f t="shared" si="377"/>
        <v>0</v>
      </c>
      <c r="EA108" s="604">
        <f t="shared" ref="EA108:EA119" si="381">IF(C108="a",SUM(N108+P108+R108+T108+V108+X108+Z108+AB108+AD108+AF108),0)</f>
        <v>0</v>
      </c>
      <c r="EB108" s="604">
        <f t="shared" si="308"/>
        <v>0</v>
      </c>
      <c r="EC108" s="604">
        <v>0.5</v>
      </c>
      <c r="ED108" s="604">
        <f t="shared" si="309"/>
        <v>0</v>
      </c>
    </row>
    <row r="109" spans="1:134" s="604" customFormat="1" hidden="1" x14ac:dyDescent="0.2">
      <c r="A109" s="604" t="s">
        <v>2518</v>
      </c>
      <c r="B109" s="798" t="str">
        <f>"bilancia con WP104 - "&amp;VLOOKUP(tipo_controllore1,controlloreParametri,15,FALSE)</f>
        <v>bilancia con WP104 - MODBUS RTU</v>
      </c>
      <c r="C109" s="639" t="s">
        <v>2490</v>
      </c>
      <c r="D109" s="649" t="str">
        <f>VLOOKUP(tipo_controllore1,controlloreParametri,16,FALSE)</f>
        <v>peso wp104 rete MODBUS RTU</v>
      </c>
      <c r="E109" s="889"/>
      <c r="F109" s="822">
        <f>VLOOKUP(D109,prezzi,5,)</f>
        <v>430</v>
      </c>
      <c r="G109" s="823"/>
      <c r="H109" s="798"/>
      <c r="I109" s="798"/>
      <c r="J109" s="798"/>
      <c r="K109" s="798"/>
      <c r="L109" s="798"/>
      <c r="M109" s="798"/>
      <c r="N109" s="824">
        <f>N107</f>
        <v>0</v>
      </c>
      <c r="O109" s="798"/>
      <c r="P109" s="798"/>
      <c r="Q109" s="798"/>
      <c r="R109" s="798"/>
      <c r="S109" s="798"/>
      <c r="T109" s="798"/>
      <c r="U109" s="798"/>
      <c r="V109" s="798"/>
      <c r="W109" s="798"/>
      <c r="X109" s="798"/>
      <c r="Y109" s="798"/>
      <c r="Z109" s="798"/>
      <c r="AA109" s="798"/>
      <c r="AB109" s="798"/>
      <c r="AC109" s="798"/>
      <c r="AD109" s="798"/>
      <c r="AE109" s="798"/>
      <c r="AF109" s="798"/>
      <c r="AH109" s="604">
        <f t="shared" si="307"/>
        <v>0</v>
      </c>
      <c r="AI109" s="604">
        <f t="shared" si="312"/>
        <v>0</v>
      </c>
      <c r="AJ109" s="705">
        <v>1</v>
      </c>
      <c r="AK109" s="705"/>
      <c r="AL109" s="706" t="str">
        <f t="shared" si="310"/>
        <v>1-peso wp104 rete MODBUS RTU</v>
      </c>
      <c r="AM109" s="632">
        <f>N109*$F109</f>
        <v>0</v>
      </c>
      <c r="AN109" s="640">
        <f t="shared" si="313"/>
        <v>0</v>
      </c>
      <c r="AO109" s="632">
        <f>P109*$F109</f>
        <v>0</v>
      </c>
      <c r="AP109" s="640">
        <f t="shared" si="314"/>
        <v>0</v>
      </c>
      <c r="AQ109" s="632">
        <f>R109*$F109</f>
        <v>0</v>
      </c>
      <c r="AR109" s="640">
        <f t="shared" si="315"/>
        <v>0</v>
      </c>
      <c r="AS109" s="632">
        <f>T109*$F109</f>
        <v>0</v>
      </c>
      <c r="AT109" s="640">
        <f t="shared" si="316"/>
        <v>0</v>
      </c>
      <c r="AU109" s="632">
        <f>V109*$F109</f>
        <v>0</v>
      </c>
      <c r="AV109" s="640">
        <f t="shared" si="317"/>
        <v>0</v>
      </c>
      <c r="AW109" s="632">
        <f>X109*$F109</f>
        <v>0</v>
      </c>
      <c r="AX109" s="640">
        <f t="shared" si="318"/>
        <v>0</v>
      </c>
      <c r="AY109" s="632">
        <f>Z109*$F109</f>
        <v>0</v>
      </c>
      <c r="AZ109" s="640">
        <f t="shared" si="319"/>
        <v>0</v>
      </c>
      <c r="BA109" s="632">
        <f>AB109*$F109</f>
        <v>0</v>
      </c>
      <c r="BB109" s="640">
        <f t="shared" si="320"/>
        <v>0</v>
      </c>
      <c r="BC109" s="632">
        <f>AD109*$F109</f>
        <v>0</v>
      </c>
      <c r="BD109" s="640">
        <f t="shared" si="321"/>
        <v>0</v>
      </c>
      <c r="BE109" s="632">
        <f>AF109*$F109</f>
        <v>0</v>
      </c>
      <c r="BF109" s="604">
        <f>N109*$G109</f>
        <v>0</v>
      </c>
      <c r="BG109" s="604">
        <f t="shared" si="332"/>
        <v>0</v>
      </c>
      <c r="BH109" s="604">
        <f t="shared" si="333"/>
        <v>0</v>
      </c>
      <c r="BI109" s="604">
        <f t="shared" si="334"/>
        <v>0</v>
      </c>
      <c r="BJ109" s="604">
        <f t="shared" si="335"/>
        <v>0</v>
      </c>
      <c r="BK109" s="604">
        <f t="shared" si="336"/>
        <v>0</v>
      </c>
      <c r="BL109" s="604">
        <f t="shared" si="337"/>
        <v>0</v>
      </c>
      <c r="BM109" s="604">
        <f t="shared" si="338"/>
        <v>0</v>
      </c>
      <c r="BN109" s="604">
        <f t="shared" si="339"/>
        <v>0</v>
      </c>
      <c r="BO109" s="604">
        <f t="shared" si="340"/>
        <v>0</v>
      </c>
      <c r="BP109" s="604">
        <f>N109*$H109</f>
        <v>0</v>
      </c>
      <c r="BQ109" s="604">
        <f>P109*$H109</f>
        <v>0</v>
      </c>
      <c r="BR109" s="604">
        <f>R109*$H109</f>
        <v>0</v>
      </c>
      <c r="BS109" s="604">
        <f>T109*$H109</f>
        <v>0</v>
      </c>
      <c r="BT109" s="604">
        <f>V109*$H109</f>
        <v>0</v>
      </c>
      <c r="BU109" s="604">
        <f>X109*$H109</f>
        <v>0</v>
      </c>
      <c r="BV109" s="604">
        <f>Z109*$H109</f>
        <v>0</v>
      </c>
      <c r="BW109" s="604">
        <f>AB109*$H109</f>
        <v>0</v>
      </c>
      <c r="BX109" s="604">
        <f>AD109*$H109</f>
        <v>0</v>
      </c>
      <c r="BY109" s="604">
        <f>AF109*$H109</f>
        <v>0</v>
      </c>
      <c r="BZ109" s="604">
        <f>N109*$I109</f>
        <v>0</v>
      </c>
      <c r="CA109" s="604">
        <f t="shared" si="341"/>
        <v>0</v>
      </c>
      <c r="CB109" s="604">
        <f t="shared" si="342"/>
        <v>0</v>
      </c>
      <c r="CC109" s="604">
        <f t="shared" si="343"/>
        <v>0</v>
      </c>
      <c r="CD109" s="604">
        <f t="shared" si="344"/>
        <v>0</v>
      </c>
      <c r="CE109" s="604">
        <f t="shared" si="345"/>
        <v>0</v>
      </c>
      <c r="CF109" s="604">
        <f t="shared" si="346"/>
        <v>0</v>
      </c>
      <c r="CG109" s="604">
        <f t="shared" si="347"/>
        <v>0</v>
      </c>
      <c r="CH109" s="604">
        <f t="shared" si="348"/>
        <v>0</v>
      </c>
      <c r="CI109" s="604">
        <f t="shared" si="349"/>
        <v>0</v>
      </c>
      <c r="CJ109" s="604">
        <f t="shared" si="322"/>
        <v>0</v>
      </c>
      <c r="CK109" s="604">
        <f>P109*$J109</f>
        <v>0</v>
      </c>
      <c r="CL109" s="604">
        <f>R109*$J109</f>
        <v>0</v>
      </c>
      <c r="CM109" s="604">
        <f>T109*$J109</f>
        <v>0</v>
      </c>
      <c r="CN109" s="604">
        <f>V109*$J109</f>
        <v>0</v>
      </c>
      <c r="CO109" s="604">
        <f>X109*$J109</f>
        <v>0</v>
      </c>
      <c r="CP109" s="604">
        <f>Z109*$J109</f>
        <v>0</v>
      </c>
      <c r="CQ109" s="604">
        <f>AB109*$J109</f>
        <v>0</v>
      </c>
      <c r="CR109" s="604">
        <f>AD109*$J109</f>
        <v>0</v>
      </c>
      <c r="CS109" s="604">
        <f>AF109*$J109</f>
        <v>0</v>
      </c>
      <c r="CT109" s="604">
        <f>N109*$K109</f>
        <v>0</v>
      </c>
      <c r="CU109" s="604">
        <f t="shared" si="350"/>
        <v>0</v>
      </c>
      <c r="CV109" s="604">
        <f t="shared" si="351"/>
        <v>0</v>
      </c>
      <c r="CW109" s="604">
        <f t="shared" si="352"/>
        <v>0</v>
      </c>
      <c r="CX109" s="604">
        <f t="shared" si="353"/>
        <v>0</v>
      </c>
      <c r="CY109" s="604">
        <f t="shared" si="354"/>
        <v>0</v>
      </c>
      <c r="CZ109" s="604">
        <f t="shared" si="355"/>
        <v>0</v>
      </c>
      <c r="DA109" s="604">
        <f t="shared" si="356"/>
        <v>0</v>
      </c>
      <c r="DB109" s="604">
        <f t="shared" si="357"/>
        <v>0</v>
      </c>
      <c r="DC109" s="604">
        <f t="shared" si="358"/>
        <v>0</v>
      </c>
      <c r="DD109" s="604">
        <f>N109*$L109</f>
        <v>0</v>
      </c>
      <c r="DE109" s="604">
        <f t="shared" si="359"/>
        <v>0</v>
      </c>
      <c r="DF109" s="604">
        <f t="shared" si="360"/>
        <v>0</v>
      </c>
      <c r="DG109" s="604">
        <f t="shared" si="361"/>
        <v>0</v>
      </c>
      <c r="DH109" s="604">
        <f t="shared" si="362"/>
        <v>0</v>
      </c>
      <c r="DI109" s="604">
        <f t="shared" si="363"/>
        <v>0</v>
      </c>
      <c r="DJ109" s="604">
        <f t="shared" si="364"/>
        <v>0</v>
      </c>
      <c r="DK109" s="604">
        <f t="shared" si="365"/>
        <v>0</v>
      </c>
      <c r="DL109" s="604">
        <f t="shared" si="366"/>
        <v>0</v>
      </c>
      <c r="DM109" s="604">
        <f t="shared" si="367"/>
        <v>0</v>
      </c>
      <c r="DN109" s="604">
        <f>N109*$M109</f>
        <v>0</v>
      </c>
      <c r="DO109" s="604">
        <f t="shared" si="368"/>
        <v>0</v>
      </c>
      <c r="DP109" s="604">
        <f t="shared" si="369"/>
        <v>0</v>
      </c>
      <c r="DQ109" s="604">
        <f t="shared" si="370"/>
        <v>0</v>
      </c>
      <c r="DR109" s="604">
        <f t="shared" si="371"/>
        <v>0</v>
      </c>
      <c r="DS109" s="604">
        <f t="shared" si="372"/>
        <v>0</v>
      </c>
      <c r="DT109" s="604">
        <f t="shared" si="373"/>
        <v>0</v>
      </c>
      <c r="DU109" s="604">
        <f t="shared" si="374"/>
        <v>0</v>
      </c>
      <c r="DV109" s="604">
        <f t="shared" si="375"/>
        <v>0</v>
      </c>
      <c r="DW109" s="604">
        <f t="shared" si="376"/>
        <v>0</v>
      </c>
      <c r="DX109" s="604">
        <v>5</v>
      </c>
      <c r="DY109" s="604">
        <f t="shared" si="311"/>
        <v>80</v>
      </c>
      <c r="DZ109" s="604">
        <f t="shared" si="377"/>
        <v>0</v>
      </c>
      <c r="EA109" s="604">
        <f t="shared" si="381"/>
        <v>0</v>
      </c>
      <c r="EB109" s="604">
        <f t="shared" si="308"/>
        <v>0</v>
      </c>
      <c r="EC109" s="604">
        <v>1.5</v>
      </c>
      <c r="ED109" s="604">
        <f t="shared" si="309"/>
        <v>0</v>
      </c>
    </row>
    <row r="110" spans="1:134" s="603" customFormat="1" ht="15" hidden="1" thickBot="1" x14ac:dyDescent="0.25">
      <c r="A110" s="603" t="s">
        <v>2518</v>
      </c>
      <c r="B110" s="250" t="s">
        <v>2362</v>
      </c>
      <c r="C110" s="549" t="s">
        <v>2491</v>
      </c>
      <c r="D110" s="643" t="s">
        <v>659</v>
      </c>
      <c r="E110" s="889"/>
      <c r="F110" s="250">
        <f>VLOOKUP(D110,prezzi,5,)</f>
        <v>0</v>
      </c>
      <c r="G110" s="818">
        <v>1</v>
      </c>
      <c r="H110" s="250"/>
      <c r="I110" s="250"/>
      <c r="J110" s="250"/>
      <c r="K110" s="250"/>
      <c r="L110" s="250"/>
      <c r="M110" s="250"/>
      <c r="N110" s="668"/>
      <c r="O110" s="26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250"/>
      <c r="AA110" s="250"/>
      <c r="AB110" s="250"/>
      <c r="AC110" s="250"/>
      <c r="AD110" s="250"/>
      <c r="AE110" s="250"/>
      <c r="AF110" s="250"/>
      <c r="AG110" s="549"/>
      <c r="AH110" s="549">
        <f t="shared" si="307"/>
        <v>0</v>
      </c>
      <c r="AI110" s="603">
        <f t="shared" si="312"/>
        <v>0</v>
      </c>
      <c r="AJ110" s="705">
        <v>2</v>
      </c>
      <c r="AK110" s="705"/>
      <c r="AL110" s="706" t="str">
        <f t="shared" si="310"/>
        <v>2-peso SIWAREX</v>
      </c>
      <c r="AM110" s="629">
        <f>N110*$F110</f>
        <v>0</v>
      </c>
      <c r="AN110" s="641">
        <f t="shared" si="313"/>
        <v>0</v>
      </c>
      <c r="AO110" s="629">
        <f>P110*$F110</f>
        <v>0</v>
      </c>
      <c r="AP110" s="641">
        <f t="shared" si="314"/>
        <v>0</v>
      </c>
      <c r="AQ110" s="629">
        <f>R110*$F110</f>
        <v>0</v>
      </c>
      <c r="AR110" s="641">
        <f t="shared" si="315"/>
        <v>0</v>
      </c>
      <c r="AS110" s="629">
        <f>T110*$F110</f>
        <v>0</v>
      </c>
      <c r="AT110" s="641">
        <f t="shared" si="316"/>
        <v>0</v>
      </c>
      <c r="AU110" s="629">
        <f>V110*$F110</f>
        <v>0</v>
      </c>
      <c r="AV110" s="641">
        <f t="shared" si="317"/>
        <v>0</v>
      </c>
      <c r="AW110" s="629">
        <f>X110*$F110</f>
        <v>0</v>
      </c>
      <c r="AX110" s="641">
        <f t="shared" si="318"/>
        <v>0</v>
      </c>
      <c r="AY110" s="629">
        <f>Z110*$F110</f>
        <v>0</v>
      </c>
      <c r="AZ110" s="641">
        <f t="shared" si="319"/>
        <v>0</v>
      </c>
      <c r="BA110" s="629">
        <f>AB110*$F110</f>
        <v>0</v>
      </c>
      <c r="BB110" s="641">
        <f t="shared" si="320"/>
        <v>0</v>
      </c>
      <c r="BC110" s="629">
        <f>AD110*$F110</f>
        <v>0</v>
      </c>
      <c r="BD110" s="641">
        <f t="shared" si="321"/>
        <v>0</v>
      </c>
      <c r="BE110" s="629">
        <f>AF110*$F110</f>
        <v>0</v>
      </c>
      <c r="BF110" s="603">
        <f>N110*$G110</f>
        <v>0</v>
      </c>
      <c r="BG110" s="603">
        <f t="shared" si="332"/>
        <v>0</v>
      </c>
      <c r="BH110" s="603">
        <f t="shared" si="333"/>
        <v>0</v>
      </c>
      <c r="BI110" s="603">
        <f t="shared" si="334"/>
        <v>0</v>
      </c>
      <c r="BJ110" s="603">
        <f t="shared" si="335"/>
        <v>0</v>
      </c>
      <c r="BK110" s="603">
        <f t="shared" si="336"/>
        <v>0</v>
      </c>
      <c r="BL110" s="603">
        <f t="shared" si="337"/>
        <v>0</v>
      </c>
      <c r="BM110" s="603">
        <f t="shared" si="338"/>
        <v>0</v>
      </c>
      <c r="BN110" s="603">
        <f t="shared" si="339"/>
        <v>0</v>
      </c>
      <c r="BO110" s="603">
        <f t="shared" si="340"/>
        <v>0</v>
      </c>
      <c r="BP110" s="603">
        <f>N110*$H110</f>
        <v>0</v>
      </c>
      <c r="BQ110" s="603">
        <f>P110*$H110</f>
        <v>0</v>
      </c>
      <c r="BR110" s="603">
        <f>R110*$H110</f>
        <v>0</v>
      </c>
      <c r="BS110" s="603">
        <f>T110*$H110</f>
        <v>0</v>
      </c>
      <c r="BT110" s="603">
        <f>V110*$H110</f>
        <v>0</v>
      </c>
      <c r="BU110" s="603">
        <f>X110*$H110</f>
        <v>0</v>
      </c>
      <c r="BV110" s="603">
        <f>Z110*$H110</f>
        <v>0</v>
      </c>
      <c r="BW110" s="603">
        <f>AB110*$H110</f>
        <v>0</v>
      </c>
      <c r="BX110" s="603">
        <f>AD110*$H110</f>
        <v>0</v>
      </c>
      <c r="BY110" s="603">
        <f>AF110*$H110</f>
        <v>0</v>
      </c>
      <c r="BZ110" s="603">
        <f>N110*$I110</f>
        <v>0</v>
      </c>
      <c r="CA110" s="603">
        <f t="shared" si="341"/>
        <v>0</v>
      </c>
      <c r="CB110" s="603">
        <f t="shared" si="342"/>
        <v>0</v>
      </c>
      <c r="CC110" s="603">
        <f t="shared" si="343"/>
        <v>0</v>
      </c>
      <c r="CD110" s="603">
        <f t="shared" si="344"/>
        <v>0</v>
      </c>
      <c r="CE110" s="603">
        <f t="shared" si="345"/>
        <v>0</v>
      </c>
      <c r="CF110" s="603">
        <f t="shared" si="346"/>
        <v>0</v>
      </c>
      <c r="CG110" s="603">
        <f t="shared" si="347"/>
        <v>0</v>
      </c>
      <c r="CH110" s="603">
        <f t="shared" si="348"/>
        <v>0</v>
      </c>
      <c r="CI110" s="603">
        <f t="shared" si="349"/>
        <v>0</v>
      </c>
      <c r="CJ110" s="603">
        <f t="shared" si="322"/>
        <v>0</v>
      </c>
      <c r="CK110" s="603">
        <f>P110*$J110</f>
        <v>0</v>
      </c>
      <c r="CL110" s="603">
        <f>R110*$J110</f>
        <v>0</v>
      </c>
      <c r="CM110" s="603">
        <f>T110*$J110</f>
        <v>0</v>
      </c>
      <c r="CN110" s="603">
        <f>V110*$J110</f>
        <v>0</v>
      </c>
      <c r="CO110" s="603">
        <f>X110*$J110</f>
        <v>0</v>
      </c>
      <c r="CP110" s="603">
        <f>Z110*$J110</f>
        <v>0</v>
      </c>
      <c r="CQ110" s="603">
        <f>AB110*$J110</f>
        <v>0</v>
      </c>
      <c r="CR110" s="603">
        <f>AD110*$J110</f>
        <v>0</v>
      </c>
      <c r="CS110" s="603">
        <f>AF110*$J110</f>
        <v>0</v>
      </c>
      <c r="CT110" s="603">
        <f>N110*$K110</f>
        <v>0</v>
      </c>
      <c r="CU110" s="603">
        <f t="shared" si="350"/>
        <v>0</v>
      </c>
      <c r="CV110" s="603">
        <f t="shared" si="351"/>
        <v>0</v>
      </c>
      <c r="CW110" s="603">
        <f t="shared" si="352"/>
        <v>0</v>
      </c>
      <c r="CX110" s="603">
        <f t="shared" si="353"/>
        <v>0</v>
      </c>
      <c r="CY110" s="603">
        <f t="shared" si="354"/>
        <v>0</v>
      </c>
      <c r="CZ110" s="603">
        <f t="shared" si="355"/>
        <v>0</v>
      </c>
      <c r="DA110" s="603">
        <f t="shared" si="356"/>
        <v>0</v>
      </c>
      <c r="DB110" s="603">
        <f t="shared" si="357"/>
        <v>0</v>
      </c>
      <c r="DC110" s="603">
        <f t="shared" si="358"/>
        <v>0</v>
      </c>
      <c r="DD110" s="603">
        <f>N110*$L110</f>
        <v>0</v>
      </c>
      <c r="DE110" s="603">
        <f t="shared" si="359"/>
        <v>0</v>
      </c>
      <c r="DF110" s="603">
        <f t="shared" si="360"/>
        <v>0</v>
      </c>
      <c r="DG110" s="603">
        <f t="shared" si="361"/>
        <v>0</v>
      </c>
      <c r="DH110" s="603">
        <f t="shared" si="362"/>
        <v>0</v>
      </c>
      <c r="DI110" s="603">
        <f t="shared" si="363"/>
        <v>0</v>
      </c>
      <c r="DJ110" s="603">
        <f t="shared" si="364"/>
        <v>0</v>
      </c>
      <c r="DK110" s="603">
        <f t="shared" si="365"/>
        <v>0</v>
      </c>
      <c r="DL110" s="603">
        <f t="shared" si="366"/>
        <v>0</v>
      </c>
      <c r="DM110" s="603">
        <f t="shared" si="367"/>
        <v>0</v>
      </c>
      <c r="DN110" s="603">
        <f>N110*$M110</f>
        <v>0</v>
      </c>
      <c r="DO110" s="603">
        <f t="shared" si="368"/>
        <v>0</v>
      </c>
      <c r="DP110" s="603">
        <f t="shared" si="369"/>
        <v>0</v>
      </c>
      <c r="DQ110" s="603">
        <f t="shared" si="370"/>
        <v>0</v>
      </c>
      <c r="DR110" s="603">
        <f t="shared" si="371"/>
        <v>0</v>
      </c>
      <c r="DS110" s="603">
        <f t="shared" si="372"/>
        <v>0</v>
      </c>
      <c r="DT110" s="603">
        <f t="shared" si="373"/>
        <v>0</v>
      </c>
      <c r="DU110" s="603">
        <f t="shared" si="374"/>
        <v>0</v>
      </c>
      <c r="DV110" s="603">
        <f t="shared" si="375"/>
        <v>0</v>
      </c>
      <c r="DW110" s="603">
        <f t="shared" si="376"/>
        <v>0</v>
      </c>
      <c r="DX110" s="603">
        <v>6</v>
      </c>
      <c r="DY110" s="603">
        <f t="shared" si="311"/>
        <v>81</v>
      </c>
      <c r="DZ110" s="603">
        <f t="shared" si="377"/>
        <v>0</v>
      </c>
      <c r="EA110" s="603">
        <f t="shared" si="381"/>
        <v>0</v>
      </c>
      <c r="EB110" s="603">
        <f t="shared" si="308"/>
        <v>0</v>
      </c>
      <c r="EC110" s="603">
        <v>2.5</v>
      </c>
      <c r="ED110" s="603">
        <f t="shared" si="309"/>
        <v>0</v>
      </c>
    </row>
    <row r="111" spans="1:134" s="602" customFormat="1" hidden="1" x14ac:dyDescent="0.2">
      <c r="A111" s="602" t="s">
        <v>2518</v>
      </c>
      <c r="B111" s="799" t="str">
        <f>"bilancia con WP104 - "&amp;VLOOKUP(tipo_controllore2,controlloreParametri,15,FALSE)</f>
        <v>bilancia con WP104 - PROFIBUS</v>
      </c>
      <c r="C111" s="638" t="s">
        <v>2491</v>
      </c>
      <c r="D111" s="650" t="str">
        <f>VLOOKUP(tipo_controllore2,controlloreParametri,16,FALSE)</f>
        <v>peso wp104 rete PROFIBUS</v>
      </c>
      <c r="E111" s="889"/>
      <c r="F111" s="819">
        <f>VLOOKUP(D111,prezzi,5,)</f>
        <v>880</v>
      </c>
      <c r="G111" s="820"/>
      <c r="H111" s="799"/>
      <c r="I111" s="799"/>
      <c r="J111" s="799"/>
      <c r="K111" s="799"/>
      <c r="L111" s="799"/>
      <c r="M111" s="799"/>
      <c r="N111" s="821">
        <f>N107</f>
        <v>0</v>
      </c>
      <c r="O111" s="821">
        <f t="shared" ref="O111:AF111" si="382">O109</f>
        <v>0</v>
      </c>
      <c r="P111" s="821">
        <f t="shared" si="382"/>
        <v>0</v>
      </c>
      <c r="Q111" s="821">
        <f t="shared" si="382"/>
        <v>0</v>
      </c>
      <c r="R111" s="821">
        <f t="shared" si="382"/>
        <v>0</v>
      </c>
      <c r="S111" s="821">
        <f t="shared" si="382"/>
        <v>0</v>
      </c>
      <c r="T111" s="821">
        <f t="shared" si="382"/>
        <v>0</v>
      </c>
      <c r="U111" s="821">
        <f t="shared" si="382"/>
        <v>0</v>
      </c>
      <c r="V111" s="821">
        <f t="shared" si="382"/>
        <v>0</v>
      </c>
      <c r="W111" s="821">
        <f t="shared" si="382"/>
        <v>0</v>
      </c>
      <c r="X111" s="821">
        <f t="shared" si="382"/>
        <v>0</v>
      </c>
      <c r="Y111" s="821">
        <f t="shared" si="382"/>
        <v>0</v>
      </c>
      <c r="Z111" s="821">
        <f t="shared" si="382"/>
        <v>0</v>
      </c>
      <c r="AA111" s="821">
        <f t="shared" si="382"/>
        <v>0</v>
      </c>
      <c r="AB111" s="821">
        <f t="shared" si="382"/>
        <v>0</v>
      </c>
      <c r="AC111" s="821">
        <f t="shared" si="382"/>
        <v>0</v>
      </c>
      <c r="AD111" s="821">
        <f t="shared" si="382"/>
        <v>0</v>
      </c>
      <c r="AE111" s="821">
        <f t="shared" si="382"/>
        <v>0</v>
      </c>
      <c r="AF111" s="821">
        <f t="shared" si="382"/>
        <v>0</v>
      </c>
      <c r="AH111" s="602">
        <f t="shared" si="307"/>
        <v>0</v>
      </c>
      <c r="AI111" s="602">
        <f t="shared" si="312"/>
        <v>0</v>
      </c>
      <c r="AJ111" s="705">
        <v>2</v>
      </c>
      <c r="AK111" s="705"/>
      <c r="AL111" s="706" t="str">
        <f t="shared" si="310"/>
        <v>2-peso wp104 rete PROFIBUS</v>
      </c>
      <c r="AM111" s="630">
        <f>N111*$F111</f>
        <v>0</v>
      </c>
      <c r="AN111" s="642">
        <f t="shared" si="313"/>
        <v>0</v>
      </c>
      <c r="AO111" s="630">
        <f>P111*$F111</f>
        <v>0</v>
      </c>
      <c r="AP111" s="642">
        <f t="shared" si="314"/>
        <v>0</v>
      </c>
      <c r="AQ111" s="630">
        <f>R111*$F111</f>
        <v>0</v>
      </c>
      <c r="AR111" s="642">
        <f t="shared" si="315"/>
        <v>0</v>
      </c>
      <c r="AS111" s="630">
        <f>T111*$F111</f>
        <v>0</v>
      </c>
      <c r="AT111" s="642">
        <f t="shared" si="316"/>
        <v>0</v>
      </c>
      <c r="AU111" s="630">
        <f>V111*$F111</f>
        <v>0</v>
      </c>
      <c r="AV111" s="642">
        <f t="shared" si="317"/>
        <v>0</v>
      </c>
      <c r="AW111" s="630">
        <f>X111*$F111</f>
        <v>0</v>
      </c>
      <c r="AX111" s="642">
        <f t="shared" si="318"/>
        <v>0</v>
      </c>
      <c r="AY111" s="630">
        <f>Z111*$F111</f>
        <v>0</v>
      </c>
      <c r="AZ111" s="642">
        <f t="shared" si="319"/>
        <v>0</v>
      </c>
      <c r="BA111" s="630">
        <f>AB111*$F111</f>
        <v>0</v>
      </c>
      <c r="BB111" s="642">
        <f t="shared" si="320"/>
        <v>0</v>
      </c>
      <c r="BC111" s="630">
        <f>AD111*$F111</f>
        <v>0</v>
      </c>
      <c r="BD111" s="642">
        <f t="shared" si="321"/>
        <v>0</v>
      </c>
      <c r="BE111" s="630">
        <f>AF111*$F111</f>
        <v>0</v>
      </c>
      <c r="BF111" s="602">
        <f>N111*$G111</f>
        <v>0</v>
      </c>
      <c r="BG111" s="602">
        <f t="shared" si="332"/>
        <v>0</v>
      </c>
      <c r="BH111" s="602">
        <f t="shared" si="333"/>
        <v>0</v>
      </c>
      <c r="BI111" s="602">
        <f t="shared" si="334"/>
        <v>0</v>
      </c>
      <c r="BJ111" s="602">
        <f t="shared" si="335"/>
        <v>0</v>
      </c>
      <c r="BK111" s="602">
        <f t="shared" si="336"/>
        <v>0</v>
      </c>
      <c r="BL111" s="602">
        <f t="shared" si="337"/>
        <v>0</v>
      </c>
      <c r="BM111" s="602">
        <f t="shared" si="338"/>
        <v>0</v>
      </c>
      <c r="BN111" s="602">
        <f t="shared" si="339"/>
        <v>0</v>
      </c>
      <c r="BO111" s="602">
        <f t="shared" si="340"/>
        <v>0</v>
      </c>
      <c r="BP111" s="602">
        <f>N111*$H111</f>
        <v>0</v>
      </c>
      <c r="BQ111" s="602">
        <f>P111*$H111</f>
        <v>0</v>
      </c>
      <c r="BR111" s="602">
        <f>R111*$H111</f>
        <v>0</v>
      </c>
      <c r="BS111" s="602">
        <f>T111*$H111</f>
        <v>0</v>
      </c>
      <c r="BT111" s="602">
        <f>V111*$H111</f>
        <v>0</v>
      </c>
      <c r="BU111" s="602">
        <f>X111*$H111</f>
        <v>0</v>
      </c>
      <c r="BV111" s="602">
        <f>Z111*$H111</f>
        <v>0</v>
      </c>
      <c r="BW111" s="602">
        <f>AB111*$H111</f>
        <v>0</v>
      </c>
      <c r="BX111" s="602">
        <f>AD111*$H111</f>
        <v>0</v>
      </c>
      <c r="BY111" s="602">
        <f>AF111*$H111</f>
        <v>0</v>
      </c>
      <c r="BZ111" s="602">
        <f>N111*$I111</f>
        <v>0</v>
      </c>
      <c r="CA111" s="602">
        <f t="shared" si="341"/>
        <v>0</v>
      </c>
      <c r="CB111" s="602">
        <f t="shared" si="342"/>
        <v>0</v>
      </c>
      <c r="CC111" s="602">
        <f t="shared" si="343"/>
        <v>0</v>
      </c>
      <c r="CD111" s="602">
        <f t="shared" si="344"/>
        <v>0</v>
      </c>
      <c r="CE111" s="602">
        <f t="shared" si="345"/>
        <v>0</v>
      </c>
      <c r="CF111" s="602">
        <f t="shared" si="346"/>
        <v>0</v>
      </c>
      <c r="CG111" s="602">
        <f t="shared" si="347"/>
        <v>0</v>
      </c>
      <c r="CH111" s="602">
        <f t="shared" si="348"/>
        <v>0</v>
      </c>
      <c r="CI111" s="602">
        <f t="shared" si="349"/>
        <v>0</v>
      </c>
      <c r="CJ111" s="602">
        <f t="shared" si="322"/>
        <v>0</v>
      </c>
      <c r="CK111" s="602">
        <f>P111*$J111</f>
        <v>0</v>
      </c>
      <c r="CL111" s="602">
        <f>R111*$J111</f>
        <v>0</v>
      </c>
      <c r="CM111" s="602">
        <f>T111*$J111</f>
        <v>0</v>
      </c>
      <c r="CN111" s="602">
        <f>V111*$J111</f>
        <v>0</v>
      </c>
      <c r="CO111" s="602">
        <f>X111*$J111</f>
        <v>0</v>
      </c>
      <c r="CP111" s="602">
        <f>Z111*$J111</f>
        <v>0</v>
      </c>
      <c r="CQ111" s="602">
        <f>AB111*$J111</f>
        <v>0</v>
      </c>
      <c r="CR111" s="602">
        <f>AD111*$J111</f>
        <v>0</v>
      </c>
      <c r="CS111" s="602">
        <f>AF111*$J111</f>
        <v>0</v>
      </c>
      <c r="CT111" s="602">
        <f>N111*$K111</f>
        <v>0</v>
      </c>
      <c r="CU111" s="602">
        <f t="shared" si="350"/>
        <v>0</v>
      </c>
      <c r="CV111" s="602">
        <f t="shared" si="351"/>
        <v>0</v>
      </c>
      <c r="CW111" s="602">
        <f t="shared" si="352"/>
        <v>0</v>
      </c>
      <c r="CX111" s="602">
        <f t="shared" si="353"/>
        <v>0</v>
      </c>
      <c r="CY111" s="602">
        <f t="shared" si="354"/>
        <v>0</v>
      </c>
      <c r="CZ111" s="602">
        <f t="shared" si="355"/>
        <v>0</v>
      </c>
      <c r="DA111" s="602">
        <f t="shared" si="356"/>
        <v>0</v>
      </c>
      <c r="DB111" s="602">
        <f t="shared" si="357"/>
        <v>0</v>
      </c>
      <c r="DC111" s="602">
        <f t="shared" si="358"/>
        <v>0</v>
      </c>
      <c r="DD111" s="602">
        <f>N111*$L111</f>
        <v>0</v>
      </c>
      <c r="DE111" s="602">
        <f t="shared" si="359"/>
        <v>0</v>
      </c>
      <c r="DF111" s="602">
        <f t="shared" si="360"/>
        <v>0</v>
      </c>
      <c r="DG111" s="602">
        <f t="shared" si="361"/>
        <v>0</v>
      </c>
      <c r="DH111" s="602">
        <f t="shared" si="362"/>
        <v>0</v>
      </c>
      <c r="DI111" s="602">
        <f t="shared" si="363"/>
        <v>0</v>
      </c>
      <c r="DJ111" s="602">
        <f t="shared" si="364"/>
        <v>0</v>
      </c>
      <c r="DK111" s="602">
        <f t="shared" si="365"/>
        <v>0</v>
      </c>
      <c r="DL111" s="602">
        <f t="shared" si="366"/>
        <v>0</v>
      </c>
      <c r="DM111" s="602">
        <f t="shared" si="367"/>
        <v>0</v>
      </c>
      <c r="DN111" s="602">
        <f>N111*$M111</f>
        <v>0</v>
      </c>
      <c r="DO111" s="602">
        <f t="shared" si="368"/>
        <v>0</v>
      </c>
      <c r="DP111" s="602">
        <f t="shared" si="369"/>
        <v>0</v>
      </c>
      <c r="DQ111" s="602">
        <f t="shared" si="370"/>
        <v>0</v>
      </c>
      <c r="DR111" s="602">
        <f t="shared" si="371"/>
        <v>0</v>
      </c>
      <c r="DS111" s="602">
        <f t="shared" si="372"/>
        <v>0</v>
      </c>
      <c r="DT111" s="602">
        <f t="shared" si="373"/>
        <v>0</v>
      </c>
      <c r="DU111" s="602">
        <f t="shared" si="374"/>
        <v>0</v>
      </c>
      <c r="DV111" s="602">
        <f t="shared" si="375"/>
        <v>0</v>
      </c>
      <c r="DW111" s="602">
        <f t="shared" si="376"/>
        <v>0</v>
      </c>
      <c r="DX111" s="602">
        <v>4</v>
      </c>
      <c r="DY111" s="602">
        <f>DY108+1</f>
        <v>80</v>
      </c>
      <c r="DZ111" s="602">
        <f t="shared" si="377"/>
        <v>0</v>
      </c>
      <c r="EA111" s="602">
        <f t="shared" si="381"/>
        <v>0</v>
      </c>
      <c r="EB111" s="602">
        <f t="shared" si="308"/>
        <v>0</v>
      </c>
      <c r="ED111" s="602">
        <f t="shared" si="309"/>
        <v>0</v>
      </c>
    </row>
    <row r="112" spans="1:134" ht="15" x14ac:dyDescent="0.25">
      <c r="A112" s="208" t="s">
        <v>665</v>
      </c>
      <c r="B112" s="801" t="s">
        <v>2263</v>
      </c>
      <c r="D112" s="646" t="s">
        <v>650</v>
      </c>
      <c r="E112" s="889">
        <v>0.75</v>
      </c>
      <c r="F112" s="633">
        <f t="shared" si="306"/>
        <v>0</v>
      </c>
      <c r="G112" s="700"/>
      <c r="H112" s="342"/>
      <c r="I112" s="342"/>
      <c r="J112" s="342">
        <v>2</v>
      </c>
      <c r="K112" s="342">
        <v>5</v>
      </c>
      <c r="L112" s="342"/>
      <c r="M112" s="342"/>
      <c r="N112" s="664"/>
      <c r="O112" s="256"/>
      <c r="P112" s="256"/>
      <c r="Q112" s="256"/>
      <c r="R112" s="319"/>
      <c r="S112" s="256"/>
      <c r="T112" s="256"/>
      <c r="U112" s="256"/>
      <c r="V112" s="319"/>
      <c r="W112" s="256"/>
      <c r="X112" s="256"/>
      <c r="Y112" s="256"/>
      <c r="Z112" s="319"/>
      <c r="AA112" s="256"/>
      <c r="AB112" s="256"/>
      <c r="AC112" s="256"/>
      <c r="AD112" s="319"/>
      <c r="AE112" s="256"/>
      <c r="AF112" s="256"/>
      <c r="AH112" s="546">
        <f t="shared" si="307"/>
        <v>0</v>
      </c>
      <c r="AI112" s="66">
        <f t="shared" si="312"/>
        <v>0</v>
      </c>
      <c r="AL112" s="706" t="str">
        <f t="shared" si="310"/>
        <v>-inverter trifase =0,75 Kw</v>
      </c>
      <c r="AM112" s="684">
        <f t="shared" si="245"/>
        <v>0</v>
      </c>
      <c r="AN112" s="674">
        <f t="shared" ref="AN112:AN127" si="383">P112*$E112</f>
        <v>0</v>
      </c>
      <c r="AO112" s="684">
        <f t="shared" si="246"/>
        <v>0</v>
      </c>
      <c r="AP112" s="674">
        <f t="shared" ref="AP112:AP131" si="384">R112*$E112</f>
        <v>0</v>
      </c>
      <c r="AQ112" s="684">
        <f t="shared" si="247"/>
        <v>0</v>
      </c>
      <c r="AR112" s="674">
        <f t="shared" ref="AR112:AR131" si="385">T112*$E112</f>
        <v>0</v>
      </c>
      <c r="AS112" s="684">
        <f t="shared" si="248"/>
        <v>0</v>
      </c>
      <c r="AT112" s="674">
        <f t="shared" ref="AT112:AT131" si="386">V112*$E112</f>
        <v>0</v>
      </c>
      <c r="AU112" s="684">
        <f t="shared" si="249"/>
        <v>0</v>
      </c>
      <c r="AV112" s="674">
        <f t="shared" ref="AV112:AV131" si="387">X112*$E112</f>
        <v>0</v>
      </c>
      <c r="AW112" s="684">
        <f t="shared" si="250"/>
        <v>0</v>
      </c>
      <c r="AX112" s="674">
        <f t="shared" ref="AX112:AX131" si="388">Z112*$E112</f>
        <v>0</v>
      </c>
      <c r="AY112" s="684">
        <f t="shared" si="251"/>
        <v>0</v>
      </c>
      <c r="AZ112" s="674">
        <f t="shared" ref="AZ112:AZ131" si="389">AB112*$E112</f>
        <v>0</v>
      </c>
      <c r="BA112" s="684">
        <f t="shared" si="252"/>
        <v>0</v>
      </c>
      <c r="BB112" s="674">
        <f t="shared" ref="BB112:BB131" si="390">AD112*$E112</f>
        <v>0</v>
      </c>
      <c r="BC112" s="684">
        <f t="shared" si="253"/>
        <v>0</v>
      </c>
      <c r="BD112" s="674">
        <f t="shared" ref="BD112:BD131" si="391">AF112*$E112</f>
        <v>0</v>
      </c>
      <c r="BE112" s="684">
        <f t="shared" si="378"/>
        <v>0</v>
      </c>
      <c r="BF112" s="1">
        <f t="shared" si="301"/>
        <v>0</v>
      </c>
      <c r="BG112" s="1">
        <f t="shared" si="332"/>
        <v>0</v>
      </c>
      <c r="BH112" s="1">
        <f t="shared" si="333"/>
        <v>0</v>
      </c>
      <c r="BI112" s="1">
        <f t="shared" si="334"/>
        <v>0</v>
      </c>
      <c r="BJ112" s="1">
        <f t="shared" si="335"/>
        <v>0</v>
      </c>
      <c r="BK112" s="1">
        <f t="shared" si="336"/>
        <v>0</v>
      </c>
      <c r="BL112" s="1">
        <f t="shared" si="337"/>
        <v>0</v>
      </c>
      <c r="BM112" s="1">
        <f t="shared" si="338"/>
        <v>0</v>
      </c>
      <c r="BN112" s="1">
        <f t="shared" si="339"/>
        <v>0</v>
      </c>
      <c r="BO112" s="69">
        <f t="shared" si="340"/>
        <v>0</v>
      </c>
      <c r="BP112" s="1">
        <f t="shared" si="198"/>
        <v>0</v>
      </c>
      <c r="BQ112" s="1">
        <f t="shared" si="215"/>
        <v>0</v>
      </c>
      <c r="BR112" s="1">
        <f t="shared" si="216"/>
        <v>0</v>
      </c>
      <c r="BS112" s="1">
        <f t="shared" si="217"/>
        <v>0</v>
      </c>
      <c r="BT112" s="1">
        <f t="shared" si="218"/>
        <v>0</v>
      </c>
      <c r="BU112" s="1">
        <f t="shared" si="219"/>
        <v>0</v>
      </c>
      <c r="BV112" s="1">
        <f t="shared" si="220"/>
        <v>0</v>
      </c>
      <c r="BW112" s="1">
        <f t="shared" si="221"/>
        <v>0</v>
      </c>
      <c r="BX112" s="1">
        <f t="shared" si="222"/>
        <v>0</v>
      </c>
      <c r="BY112" s="69">
        <f t="shared" si="223"/>
        <v>0</v>
      </c>
      <c r="BZ112" s="1">
        <f t="shared" si="302"/>
        <v>0</v>
      </c>
      <c r="CA112" s="1">
        <f t="shared" si="341"/>
        <v>0</v>
      </c>
      <c r="CB112" s="1">
        <f t="shared" si="342"/>
        <v>0</v>
      </c>
      <c r="CC112" s="1">
        <f t="shared" si="343"/>
        <v>0</v>
      </c>
      <c r="CD112" s="1">
        <f t="shared" si="344"/>
        <v>0</v>
      </c>
      <c r="CE112" s="1">
        <f t="shared" si="345"/>
        <v>0</v>
      </c>
      <c r="CF112" s="1">
        <f t="shared" si="346"/>
        <v>0</v>
      </c>
      <c r="CG112" s="1">
        <f t="shared" si="347"/>
        <v>0</v>
      </c>
      <c r="CH112" s="1">
        <f t="shared" si="348"/>
        <v>0</v>
      </c>
      <c r="CI112" s="69">
        <f t="shared" si="349"/>
        <v>0</v>
      </c>
      <c r="CJ112" s="1">
        <f t="shared" si="322"/>
        <v>0</v>
      </c>
      <c r="CK112" s="1">
        <f t="shared" ref="CK112:CK127" si="392">P112*$J112</f>
        <v>0</v>
      </c>
      <c r="CL112" s="1">
        <f t="shared" ref="CL112:CL127" si="393">R112*$J112</f>
        <v>0</v>
      </c>
      <c r="CM112" s="1">
        <f t="shared" ref="CM112:CM127" si="394">T112*$J112</f>
        <v>0</v>
      </c>
      <c r="CN112" s="1">
        <f t="shared" ref="CN112:CN127" si="395">V112*$J112</f>
        <v>0</v>
      </c>
      <c r="CO112" s="1">
        <f t="shared" ref="CO112:CO127" si="396">X112*$J112</f>
        <v>0</v>
      </c>
      <c r="CP112" s="1">
        <f t="shared" ref="CP112:CP127" si="397">Z112*$J112</f>
        <v>0</v>
      </c>
      <c r="CQ112" s="1">
        <f t="shared" ref="CQ112:CQ127" si="398">AB112*$J112</f>
        <v>0</v>
      </c>
      <c r="CR112" s="1">
        <f t="shared" ref="CR112:CR127" si="399">AD112*$J112</f>
        <v>0</v>
      </c>
      <c r="CS112" s="69">
        <f t="shared" ref="CS112:CS127" si="400">AF112*$J112</f>
        <v>0</v>
      </c>
      <c r="CT112" s="1">
        <f t="shared" si="303"/>
        <v>0</v>
      </c>
      <c r="CU112" s="1">
        <f t="shared" si="350"/>
        <v>0</v>
      </c>
      <c r="CV112" s="1">
        <f t="shared" si="351"/>
        <v>0</v>
      </c>
      <c r="CW112" s="1">
        <f t="shared" si="352"/>
        <v>0</v>
      </c>
      <c r="CX112" s="1">
        <f t="shared" si="353"/>
        <v>0</v>
      </c>
      <c r="CY112" s="1">
        <f t="shared" si="354"/>
        <v>0</v>
      </c>
      <c r="CZ112" s="1">
        <f t="shared" si="355"/>
        <v>0</v>
      </c>
      <c r="DA112" s="1">
        <f t="shared" si="356"/>
        <v>0</v>
      </c>
      <c r="DB112" s="1">
        <f t="shared" si="357"/>
        <v>0</v>
      </c>
      <c r="DC112" s="69">
        <f t="shared" si="358"/>
        <v>0</v>
      </c>
      <c r="DD112" s="1">
        <f t="shared" si="304"/>
        <v>0</v>
      </c>
      <c r="DE112" s="1">
        <f t="shared" si="359"/>
        <v>0</v>
      </c>
      <c r="DF112" s="1">
        <f t="shared" si="360"/>
        <v>0</v>
      </c>
      <c r="DG112" s="1">
        <f t="shared" si="361"/>
        <v>0</v>
      </c>
      <c r="DH112" s="1">
        <f t="shared" si="362"/>
        <v>0</v>
      </c>
      <c r="DI112" s="1">
        <f t="shared" si="363"/>
        <v>0</v>
      </c>
      <c r="DJ112" s="1">
        <f t="shared" si="364"/>
        <v>0</v>
      </c>
      <c r="DK112" s="1">
        <f t="shared" si="365"/>
        <v>0</v>
      </c>
      <c r="DL112" s="1">
        <f t="shared" si="366"/>
        <v>0</v>
      </c>
      <c r="DM112" s="69">
        <f t="shared" si="367"/>
        <v>0</v>
      </c>
      <c r="DN112" s="1">
        <f t="shared" si="305"/>
        <v>0</v>
      </c>
      <c r="DO112" s="1">
        <f t="shared" si="368"/>
        <v>0</v>
      </c>
      <c r="DP112" s="1">
        <f t="shared" si="369"/>
        <v>0</v>
      </c>
      <c r="DQ112" s="1">
        <f t="shared" si="370"/>
        <v>0</v>
      </c>
      <c r="DR112" s="1">
        <f t="shared" si="371"/>
        <v>0</v>
      </c>
      <c r="DS112" s="1">
        <f t="shared" si="372"/>
        <v>0</v>
      </c>
      <c r="DT112" s="1">
        <f t="shared" si="373"/>
        <v>0</v>
      </c>
      <c r="DU112" s="1">
        <f t="shared" si="374"/>
        <v>0</v>
      </c>
      <c r="DV112" s="1">
        <f t="shared" si="375"/>
        <v>0</v>
      </c>
      <c r="DW112" s="69">
        <f t="shared" si="376"/>
        <v>0</v>
      </c>
      <c r="DX112" s="1">
        <v>4</v>
      </c>
      <c r="DY112" s="69">
        <f t="shared" si="311"/>
        <v>81</v>
      </c>
      <c r="DZ112" s="1">
        <f t="shared" si="377"/>
        <v>0</v>
      </c>
      <c r="EA112" s="1">
        <f t="shared" si="381"/>
        <v>0</v>
      </c>
      <c r="EB112" s="1">
        <f t="shared" si="308"/>
        <v>0</v>
      </c>
      <c r="ED112" s="285">
        <f t="shared" si="309"/>
        <v>0</v>
      </c>
    </row>
    <row r="113" spans="1:134" x14ac:dyDescent="0.2">
      <c r="A113" s="208" t="s">
        <v>665</v>
      </c>
      <c r="B113" s="811" t="s">
        <v>2329</v>
      </c>
      <c r="C113" s="199" t="s">
        <v>871</v>
      </c>
      <c r="D113" s="646" t="s">
        <v>563</v>
      </c>
      <c r="E113" s="889">
        <v>0.75</v>
      </c>
      <c r="F113" s="633">
        <f>VLOOKUP(D113,prezzi,5,)</f>
        <v>154.36299</v>
      </c>
      <c r="G113" s="700"/>
      <c r="H113" s="342"/>
      <c r="I113" s="342"/>
      <c r="J113" s="342">
        <v>1</v>
      </c>
      <c r="K113" s="342">
        <v>1</v>
      </c>
      <c r="L113" s="342"/>
      <c r="M113" s="342"/>
      <c r="N113" s="662"/>
      <c r="O113" s="256"/>
      <c r="P113" s="258"/>
      <c r="Q113" s="256"/>
      <c r="R113" s="257"/>
      <c r="S113" s="256"/>
      <c r="T113" s="258"/>
      <c r="U113" s="256"/>
      <c r="V113" s="257"/>
      <c r="W113" s="256"/>
      <c r="X113" s="258"/>
      <c r="Y113" s="256"/>
      <c r="Z113" s="257"/>
      <c r="AA113" s="256"/>
      <c r="AB113" s="258"/>
      <c r="AC113" s="256"/>
      <c r="AD113" s="257"/>
      <c r="AE113" s="258"/>
      <c r="AF113" s="258"/>
      <c r="AG113" s="551"/>
      <c r="AH113" s="546">
        <f t="shared" si="307"/>
        <v>0</v>
      </c>
      <c r="AI113" s="82">
        <f>IF(SUM(N112:N112)&gt;0,0,$E113*N113)</f>
        <v>0</v>
      </c>
      <c r="AJ113" s="82"/>
      <c r="AK113" s="788"/>
      <c r="AL113" s="706" t="str">
        <f t="shared" si="310"/>
        <v>-motore &lt;0,25 e &lt;3 Kw</v>
      </c>
      <c r="AM113" s="682">
        <f>IF(SUM(AM112:AM112)&gt;0,N113*inverter_silo,N113*$F113)</f>
        <v>0</v>
      </c>
      <c r="AN113" s="75">
        <f>IF(SUM(P112:P112)&gt;0,0,$E113*P113)</f>
        <v>0</v>
      </c>
      <c r="AO113" s="682">
        <f>IF(SUM(AO112:AO112)&gt;0,P113*inverter_silo,P113*$F113)</f>
        <v>0</v>
      </c>
      <c r="AP113" s="75">
        <f>IF(SUM(R112:R112)&gt;0,0,$E113*R113)</f>
        <v>0</v>
      </c>
      <c r="AQ113" s="682">
        <f>IF(SUM(AQ112:AQ112)&gt;0,R113*inverter_silo,R113*$F113)</f>
        <v>0</v>
      </c>
      <c r="AR113" s="75">
        <f>IF(SUM(T112:T112)&gt;0,0,$E113*T113)</f>
        <v>0</v>
      </c>
      <c r="AS113" s="682">
        <f>IF(SUM(AS112:AS112)&gt;0,T113*inverter_silo,T113*$F113)</f>
        <v>0</v>
      </c>
      <c r="AT113" s="75">
        <f>IF(SUM(V112:V112)&gt;0,0,$E113*V113)</f>
        <v>0</v>
      </c>
      <c r="AU113" s="682">
        <f>IF(SUM(AU112:AU112)&gt;0,V113*inverter_silo,V113*$F113)</f>
        <v>0</v>
      </c>
      <c r="AV113" s="75">
        <f>IF(SUM(X112:X112)&gt;0,0,$E113*X113)</f>
        <v>0</v>
      </c>
      <c r="AW113" s="682">
        <f>IF(SUM(AW112:AW112)&gt;0,X113*inverter_silo,X113*$F113)</f>
        <v>0</v>
      </c>
      <c r="AX113" s="75">
        <f>IF(SUM(Z112:Z112)&gt;0,0,$E113*Z113)</f>
        <v>0</v>
      </c>
      <c r="AY113" s="682">
        <f>IF(SUM(AY112:AY112)&gt;0,Z113*inverter_silo,Z113*$F113)</f>
        <v>0</v>
      </c>
      <c r="AZ113" s="75">
        <f>IF(SUM(AB112:AB112)&gt;0,0,$E113*AB113)</f>
        <v>0</v>
      </c>
      <c r="BA113" s="682">
        <f>IF(SUM(BA112:BA112)&gt;0,AB113*inverter_silo,AB113*$F113)</f>
        <v>0</v>
      </c>
      <c r="BB113" s="75">
        <f>IF(SUM(AD112:AD112)&gt;0,0,$E113*AD113)</f>
        <v>0</v>
      </c>
      <c r="BC113" s="682">
        <f>IF(SUM(BC112:BC112)&gt;0,AD113*inverter_silo,AD113*$F113)</f>
        <v>0</v>
      </c>
      <c r="BD113" s="75">
        <f>IF(SUM(AF112:AF112)&gt;0,0,$E113*AF113)</f>
        <v>0</v>
      </c>
      <c r="BE113" s="682">
        <f>IF(SUM(BE112:BE112)&gt;0,AF113*inverter_silo,AF113*$F113)</f>
        <v>0</v>
      </c>
      <c r="BF113" s="1">
        <f>N113*$G113</f>
        <v>0</v>
      </c>
      <c r="BG113" s="1">
        <f t="shared" si="332"/>
        <v>0</v>
      </c>
      <c r="BH113" s="1">
        <f t="shared" si="333"/>
        <v>0</v>
      </c>
      <c r="BI113" s="1">
        <f t="shared" si="334"/>
        <v>0</v>
      </c>
      <c r="BJ113" s="1">
        <f t="shared" si="335"/>
        <v>0</v>
      </c>
      <c r="BK113" s="1">
        <f t="shared" si="336"/>
        <v>0</v>
      </c>
      <c r="BL113" s="1">
        <f t="shared" si="337"/>
        <v>0</v>
      </c>
      <c r="BM113" s="1">
        <f t="shared" si="338"/>
        <v>0</v>
      </c>
      <c r="BN113" s="1">
        <f t="shared" si="339"/>
        <v>0</v>
      </c>
      <c r="BO113" s="69">
        <f t="shared" si="340"/>
        <v>0</v>
      </c>
      <c r="BP113" s="1">
        <f>N113*$H113</f>
        <v>0</v>
      </c>
      <c r="BQ113" s="1">
        <f>P113*$H113</f>
        <v>0</v>
      </c>
      <c r="BR113" s="1">
        <f>R113*$H113</f>
        <v>0</v>
      </c>
      <c r="BS113" s="1">
        <f>T113*$H113</f>
        <v>0</v>
      </c>
      <c r="BT113" s="1">
        <f>V113*$H113</f>
        <v>0</v>
      </c>
      <c r="BU113" s="1">
        <f>X113*$H113</f>
        <v>0</v>
      </c>
      <c r="BV113" s="1">
        <f>Z113*$H113</f>
        <v>0</v>
      </c>
      <c r="BW113" s="1">
        <f>AB113*$H113</f>
        <v>0</v>
      </c>
      <c r="BX113" s="1">
        <f>AD113*$H113</f>
        <v>0</v>
      </c>
      <c r="BY113" s="69">
        <f>AF113*$H113</f>
        <v>0</v>
      </c>
      <c r="BZ113" s="1">
        <f>N113*$I113</f>
        <v>0</v>
      </c>
      <c r="CA113" s="1">
        <f t="shared" si="341"/>
        <v>0</v>
      </c>
      <c r="CB113" s="1">
        <f t="shared" si="342"/>
        <v>0</v>
      </c>
      <c r="CC113" s="1">
        <f t="shared" si="343"/>
        <v>0</v>
      </c>
      <c r="CD113" s="1">
        <f t="shared" si="344"/>
        <v>0</v>
      </c>
      <c r="CE113" s="1">
        <f t="shared" si="345"/>
        <v>0</v>
      </c>
      <c r="CF113" s="1">
        <f t="shared" si="346"/>
        <v>0</v>
      </c>
      <c r="CG113" s="1">
        <f t="shared" si="347"/>
        <v>0</v>
      </c>
      <c r="CH113" s="1">
        <f t="shared" si="348"/>
        <v>0</v>
      </c>
      <c r="CI113" s="69">
        <f t="shared" si="349"/>
        <v>0</v>
      </c>
      <c r="CJ113" s="168">
        <f>IF(N112&gt;0,0,N113*$J113)</f>
        <v>0</v>
      </c>
      <c r="CK113" s="169">
        <f>IF(P112&gt;0,0,P113*$J113)</f>
        <v>0</v>
      </c>
      <c r="CL113" s="169">
        <f>IF(R112&gt;0,0,R113*$J113)</f>
        <v>0</v>
      </c>
      <c r="CM113" s="169">
        <f>IF(T112&gt;0,0,T113*$J113)</f>
        <v>0</v>
      </c>
      <c r="CN113" s="169">
        <f>IF(V112&gt;0,0,V113*$J113)</f>
        <v>0</v>
      </c>
      <c r="CO113" s="169">
        <f>IF(X112&gt;0,0,X113*$J113)</f>
        <v>0</v>
      </c>
      <c r="CP113" s="169">
        <f>IF(Z112&gt;0,0,Z113*$J113)</f>
        <v>0</v>
      </c>
      <c r="CQ113" s="169">
        <f>IF(AB112&gt;0,0,AB113*$J113)</f>
        <v>0</v>
      </c>
      <c r="CR113" s="170">
        <f>IF(AD112&gt;0,0,AD113*$J113)</f>
        <v>0</v>
      </c>
      <c r="CS113" s="168">
        <f>IF(AF112&gt;0,0,AF113*$J113)</f>
        <v>0</v>
      </c>
      <c r="CT113" s="1">
        <f>N113*$K113</f>
        <v>0</v>
      </c>
      <c r="CU113" s="1">
        <f t="shared" si="350"/>
        <v>0</v>
      </c>
      <c r="CV113" s="1">
        <f t="shared" si="351"/>
        <v>0</v>
      </c>
      <c r="CW113" s="1">
        <f t="shared" si="352"/>
        <v>0</v>
      </c>
      <c r="CX113" s="1">
        <f t="shared" si="353"/>
        <v>0</v>
      </c>
      <c r="CY113" s="1">
        <f t="shared" si="354"/>
        <v>0</v>
      </c>
      <c r="CZ113" s="1">
        <f t="shared" si="355"/>
        <v>0</v>
      </c>
      <c r="DA113" s="1">
        <f t="shared" si="356"/>
        <v>0</v>
      </c>
      <c r="DB113" s="1">
        <f t="shared" si="357"/>
        <v>0</v>
      </c>
      <c r="DC113" s="69">
        <f t="shared" si="358"/>
        <v>0</v>
      </c>
      <c r="DD113" s="1">
        <f>N113*$L113</f>
        <v>0</v>
      </c>
      <c r="DE113" s="1">
        <f t="shared" si="359"/>
        <v>0</v>
      </c>
      <c r="DF113" s="1">
        <f t="shared" si="360"/>
        <v>0</v>
      </c>
      <c r="DG113" s="1">
        <f t="shared" si="361"/>
        <v>0</v>
      </c>
      <c r="DH113" s="1">
        <f t="shared" si="362"/>
        <v>0</v>
      </c>
      <c r="DI113" s="1">
        <f t="shared" si="363"/>
        <v>0</v>
      </c>
      <c r="DJ113" s="1">
        <f t="shared" si="364"/>
        <v>0</v>
      </c>
      <c r="DK113" s="1">
        <f t="shared" si="365"/>
        <v>0</v>
      </c>
      <c r="DL113" s="1">
        <f t="shared" si="366"/>
        <v>0</v>
      </c>
      <c r="DM113" s="69">
        <f t="shared" si="367"/>
        <v>0</v>
      </c>
      <c r="DN113" s="1">
        <f>N113*$M113</f>
        <v>0</v>
      </c>
      <c r="DO113" s="1">
        <f t="shared" si="368"/>
        <v>0</v>
      </c>
      <c r="DP113" s="1">
        <f t="shared" si="369"/>
        <v>0</v>
      </c>
      <c r="DQ113" s="1">
        <f t="shared" si="370"/>
        <v>0</v>
      </c>
      <c r="DR113" s="1">
        <f t="shared" si="371"/>
        <v>0</v>
      </c>
      <c r="DS113" s="1">
        <f t="shared" si="372"/>
        <v>0</v>
      </c>
      <c r="DT113" s="1">
        <f t="shared" si="373"/>
        <v>0</v>
      </c>
      <c r="DU113" s="1">
        <f t="shared" si="374"/>
        <v>0</v>
      </c>
      <c r="DV113" s="1">
        <f t="shared" si="375"/>
        <v>0</v>
      </c>
      <c r="DW113" s="69">
        <f t="shared" si="376"/>
        <v>0</v>
      </c>
      <c r="DX113" s="1">
        <v>4</v>
      </c>
      <c r="DY113" s="69">
        <f t="shared" si="311"/>
        <v>82</v>
      </c>
      <c r="DZ113" s="1">
        <f t="shared" si="377"/>
        <v>0</v>
      </c>
      <c r="EA113" s="1">
        <f t="shared" si="381"/>
        <v>0</v>
      </c>
      <c r="EB113" s="1">
        <f t="shared" si="308"/>
        <v>0</v>
      </c>
      <c r="ED113" s="285">
        <f t="shared" si="309"/>
        <v>0</v>
      </c>
    </row>
    <row r="114" spans="1:134" x14ac:dyDescent="0.2">
      <c r="A114" s="208" t="s">
        <v>665</v>
      </c>
      <c r="B114" s="802" t="s">
        <v>2330</v>
      </c>
      <c r="C114" s="194" t="s">
        <v>872</v>
      </c>
      <c r="D114" s="644" t="s">
        <v>696</v>
      </c>
      <c r="E114" s="889"/>
      <c r="F114" s="633">
        <f t="shared" si="306"/>
        <v>0</v>
      </c>
      <c r="G114" s="700"/>
      <c r="H114" s="342"/>
      <c r="I114" s="342"/>
      <c r="J114" s="342">
        <v>1</v>
      </c>
      <c r="K114" s="342">
        <v>1</v>
      </c>
      <c r="L114" s="342"/>
      <c r="M114" s="342"/>
      <c r="N114" s="658"/>
      <c r="O114" s="256"/>
      <c r="P114" s="256"/>
      <c r="Q114" s="256"/>
      <c r="R114" s="255"/>
      <c r="S114" s="256"/>
      <c r="T114" s="256"/>
      <c r="U114" s="256"/>
      <c r="V114" s="255"/>
      <c r="W114" s="256"/>
      <c r="X114" s="256"/>
      <c r="Y114" s="256"/>
      <c r="Z114" s="255"/>
      <c r="AA114" s="256"/>
      <c r="AB114" s="256"/>
      <c r="AC114" s="256"/>
      <c r="AD114" s="255"/>
      <c r="AE114" s="256"/>
      <c r="AF114" s="256"/>
      <c r="AH114" s="546">
        <f t="shared" si="307"/>
        <v>0</v>
      </c>
      <c r="AI114" s="66">
        <f t="shared" ref="AI114:AI131" si="401">N114*$E114</f>
        <v>0</v>
      </c>
      <c r="AL114" s="706" t="str">
        <f t="shared" si="310"/>
        <v>-valvola monostabile + 1 finecorsa</v>
      </c>
      <c r="AM114" s="684">
        <f t="shared" si="245"/>
        <v>0</v>
      </c>
      <c r="AN114" s="674">
        <f t="shared" si="383"/>
        <v>0</v>
      </c>
      <c r="AO114" s="684">
        <f t="shared" si="246"/>
        <v>0</v>
      </c>
      <c r="AP114" s="674">
        <f t="shared" si="384"/>
        <v>0</v>
      </c>
      <c r="AQ114" s="684">
        <f t="shared" si="247"/>
        <v>0</v>
      </c>
      <c r="AR114" s="674">
        <f t="shared" si="385"/>
        <v>0</v>
      </c>
      <c r="AS114" s="684">
        <f t="shared" si="248"/>
        <v>0</v>
      </c>
      <c r="AT114" s="674">
        <f t="shared" si="386"/>
        <v>0</v>
      </c>
      <c r="AU114" s="684">
        <f t="shared" si="249"/>
        <v>0</v>
      </c>
      <c r="AV114" s="674">
        <f t="shared" si="387"/>
        <v>0</v>
      </c>
      <c r="AW114" s="684">
        <f t="shared" si="250"/>
        <v>0</v>
      </c>
      <c r="AX114" s="674">
        <f t="shared" si="388"/>
        <v>0</v>
      </c>
      <c r="AY114" s="684">
        <f t="shared" si="251"/>
        <v>0</v>
      </c>
      <c r="AZ114" s="674">
        <f t="shared" si="389"/>
        <v>0</v>
      </c>
      <c r="BA114" s="684">
        <f t="shared" si="252"/>
        <v>0</v>
      </c>
      <c r="BB114" s="674">
        <f t="shared" si="390"/>
        <v>0</v>
      </c>
      <c r="BC114" s="684">
        <f t="shared" si="253"/>
        <v>0</v>
      </c>
      <c r="BD114" s="674">
        <f t="shared" si="391"/>
        <v>0</v>
      </c>
      <c r="BE114" s="684">
        <f t="shared" si="378"/>
        <v>0</v>
      </c>
      <c r="BF114" s="1">
        <f t="shared" si="301"/>
        <v>0</v>
      </c>
      <c r="BG114" s="1">
        <f t="shared" si="332"/>
        <v>0</v>
      </c>
      <c r="BH114" s="1">
        <f t="shared" si="333"/>
        <v>0</v>
      </c>
      <c r="BI114" s="1">
        <f t="shared" si="334"/>
        <v>0</v>
      </c>
      <c r="BJ114" s="1">
        <f t="shared" si="335"/>
        <v>0</v>
      </c>
      <c r="BK114" s="1">
        <f t="shared" si="336"/>
        <v>0</v>
      </c>
      <c r="BL114" s="1">
        <f t="shared" si="337"/>
        <v>0</v>
      </c>
      <c r="BM114" s="1">
        <f t="shared" si="338"/>
        <v>0</v>
      </c>
      <c r="BN114" s="1">
        <f t="shared" si="339"/>
        <v>0</v>
      </c>
      <c r="BO114" s="69">
        <f t="shared" si="340"/>
        <v>0</v>
      </c>
      <c r="BP114" s="1">
        <f t="shared" si="198"/>
        <v>0</v>
      </c>
      <c r="BQ114" s="1">
        <f t="shared" si="215"/>
        <v>0</v>
      </c>
      <c r="BR114" s="1">
        <f t="shared" si="216"/>
        <v>0</v>
      </c>
      <c r="BS114" s="1">
        <f t="shared" si="217"/>
        <v>0</v>
      </c>
      <c r="BT114" s="1">
        <f t="shared" si="218"/>
        <v>0</v>
      </c>
      <c r="BU114" s="1">
        <f t="shared" si="219"/>
        <v>0</v>
      </c>
      <c r="BV114" s="1">
        <f t="shared" si="220"/>
        <v>0</v>
      </c>
      <c r="BW114" s="1">
        <f t="shared" si="221"/>
        <v>0</v>
      </c>
      <c r="BX114" s="1">
        <f t="shared" si="222"/>
        <v>0</v>
      </c>
      <c r="BY114" s="69">
        <f t="shared" si="223"/>
        <v>0</v>
      </c>
      <c r="BZ114" s="1">
        <f t="shared" si="302"/>
        <v>0</v>
      </c>
      <c r="CA114" s="1">
        <f t="shared" si="341"/>
        <v>0</v>
      </c>
      <c r="CB114" s="1">
        <f t="shared" si="342"/>
        <v>0</v>
      </c>
      <c r="CC114" s="1">
        <f t="shared" si="343"/>
        <v>0</v>
      </c>
      <c r="CD114" s="1">
        <f t="shared" si="344"/>
        <v>0</v>
      </c>
      <c r="CE114" s="1">
        <f t="shared" si="345"/>
        <v>0</v>
      </c>
      <c r="CF114" s="1">
        <f t="shared" si="346"/>
        <v>0</v>
      </c>
      <c r="CG114" s="1">
        <f t="shared" si="347"/>
        <v>0</v>
      </c>
      <c r="CH114" s="1">
        <f t="shared" si="348"/>
        <v>0</v>
      </c>
      <c r="CI114" s="69">
        <f t="shared" si="349"/>
        <v>0</v>
      </c>
      <c r="CJ114" s="1">
        <f t="shared" ref="CJ114:CJ146" si="402">N114*$J114</f>
        <v>0</v>
      </c>
      <c r="CK114" s="1">
        <f t="shared" si="392"/>
        <v>0</v>
      </c>
      <c r="CL114" s="1">
        <f t="shared" si="393"/>
        <v>0</v>
      </c>
      <c r="CM114" s="1">
        <f t="shared" si="394"/>
        <v>0</v>
      </c>
      <c r="CN114" s="1">
        <f t="shared" si="395"/>
        <v>0</v>
      </c>
      <c r="CO114" s="1">
        <f t="shared" si="396"/>
        <v>0</v>
      </c>
      <c r="CP114" s="1">
        <f t="shared" si="397"/>
        <v>0</v>
      </c>
      <c r="CQ114" s="1">
        <f t="shared" si="398"/>
        <v>0</v>
      </c>
      <c r="CR114" s="1">
        <f t="shared" si="399"/>
        <v>0</v>
      </c>
      <c r="CS114" s="69">
        <f t="shared" si="400"/>
        <v>0</v>
      </c>
      <c r="CT114" s="1">
        <f t="shared" si="303"/>
        <v>0</v>
      </c>
      <c r="CU114" s="1">
        <f t="shared" si="350"/>
        <v>0</v>
      </c>
      <c r="CV114" s="1">
        <f t="shared" si="351"/>
        <v>0</v>
      </c>
      <c r="CW114" s="1">
        <f t="shared" si="352"/>
        <v>0</v>
      </c>
      <c r="CX114" s="1">
        <f t="shared" si="353"/>
        <v>0</v>
      </c>
      <c r="CY114" s="1">
        <f t="shared" si="354"/>
        <v>0</v>
      </c>
      <c r="CZ114" s="1">
        <f t="shared" si="355"/>
        <v>0</v>
      </c>
      <c r="DA114" s="1">
        <f t="shared" si="356"/>
        <v>0</v>
      </c>
      <c r="DB114" s="1">
        <f t="shared" si="357"/>
        <v>0</v>
      </c>
      <c r="DC114" s="69">
        <f t="shared" si="358"/>
        <v>0</v>
      </c>
      <c r="DD114" s="1">
        <f t="shared" si="304"/>
        <v>0</v>
      </c>
      <c r="DE114" s="1">
        <f t="shared" si="359"/>
        <v>0</v>
      </c>
      <c r="DF114" s="1">
        <f t="shared" si="360"/>
        <v>0</v>
      </c>
      <c r="DG114" s="1">
        <f t="shared" si="361"/>
        <v>0</v>
      </c>
      <c r="DH114" s="1">
        <f t="shared" si="362"/>
        <v>0</v>
      </c>
      <c r="DI114" s="1">
        <f t="shared" si="363"/>
        <v>0</v>
      </c>
      <c r="DJ114" s="1">
        <f t="shared" si="364"/>
        <v>0</v>
      </c>
      <c r="DK114" s="1">
        <f t="shared" si="365"/>
        <v>0</v>
      </c>
      <c r="DL114" s="1">
        <f t="shared" si="366"/>
        <v>0</v>
      </c>
      <c r="DM114" s="69">
        <f t="shared" si="367"/>
        <v>0</v>
      </c>
      <c r="DN114" s="1">
        <f t="shared" si="305"/>
        <v>0</v>
      </c>
      <c r="DO114" s="1">
        <f t="shared" si="368"/>
        <v>0</v>
      </c>
      <c r="DP114" s="1">
        <f t="shared" si="369"/>
        <v>0</v>
      </c>
      <c r="DQ114" s="1">
        <f t="shared" si="370"/>
        <v>0</v>
      </c>
      <c r="DR114" s="1">
        <f t="shared" si="371"/>
        <v>0</v>
      </c>
      <c r="DS114" s="1">
        <f t="shared" si="372"/>
        <v>0</v>
      </c>
      <c r="DT114" s="1">
        <f t="shared" si="373"/>
        <v>0</v>
      </c>
      <c r="DU114" s="1">
        <f t="shared" si="374"/>
        <v>0</v>
      </c>
      <c r="DV114" s="1">
        <f t="shared" si="375"/>
        <v>0</v>
      </c>
      <c r="DW114" s="69">
        <f t="shared" si="376"/>
        <v>0</v>
      </c>
      <c r="DX114" s="1">
        <v>4</v>
      </c>
      <c r="DY114" s="69">
        <f t="shared" si="311"/>
        <v>83</v>
      </c>
      <c r="DZ114" s="1">
        <f t="shared" si="377"/>
        <v>0</v>
      </c>
      <c r="EA114" s="1">
        <f t="shared" si="381"/>
        <v>0</v>
      </c>
      <c r="EB114" s="1">
        <f t="shared" si="308"/>
        <v>0</v>
      </c>
      <c r="ED114" s="285">
        <f t="shared" si="309"/>
        <v>0</v>
      </c>
    </row>
    <row r="115" spans="1:134" x14ac:dyDescent="0.2">
      <c r="A115" s="208" t="s">
        <v>665</v>
      </c>
      <c r="B115" s="802" t="s">
        <v>1029</v>
      </c>
      <c r="C115" s="194" t="s">
        <v>871</v>
      </c>
      <c r="D115" s="644" t="s">
        <v>656</v>
      </c>
      <c r="E115" s="889">
        <f>0.25</f>
        <v>0.25</v>
      </c>
      <c r="F115" s="633">
        <f t="shared" si="306"/>
        <v>1261.5</v>
      </c>
      <c r="G115" s="700"/>
      <c r="H115" s="342"/>
      <c r="I115" s="342"/>
      <c r="J115" s="342">
        <v>6</v>
      </c>
      <c r="K115" s="342">
        <v>3</v>
      </c>
      <c r="L115" s="342"/>
      <c r="M115" s="342"/>
      <c r="N115" s="658"/>
      <c r="O115" s="256"/>
      <c r="P115" s="256"/>
      <c r="Q115" s="256"/>
      <c r="R115" s="255"/>
      <c r="S115" s="256"/>
      <c r="T115" s="256"/>
      <c r="U115" s="256"/>
      <c r="V115" s="255"/>
      <c r="W115" s="256"/>
      <c r="X115" s="256"/>
      <c r="Y115" s="256"/>
      <c r="Z115" s="255"/>
      <c r="AA115" s="256"/>
      <c r="AB115" s="256"/>
      <c r="AC115" s="256"/>
      <c r="AD115" s="255"/>
      <c r="AE115" s="256"/>
      <c r="AF115" s="256"/>
      <c r="AH115" s="546">
        <f t="shared" si="307"/>
        <v>0</v>
      </c>
      <c r="AI115" s="66">
        <f t="shared" si="401"/>
        <v>0</v>
      </c>
      <c r="AL115" s="706" t="str">
        <f t="shared" si="310"/>
        <v>-posizionatore</v>
      </c>
      <c r="AM115" s="684">
        <f t="shared" si="245"/>
        <v>0</v>
      </c>
      <c r="AN115" s="674">
        <f t="shared" si="383"/>
        <v>0</v>
      </c>
      <c r="AO115" s="684">
        <f t="shared" si="246"/>
        <v>0</v>
      </c>
      <c r="AP115" s="674">
        <f t="shared" si="384"/>
        <v>0</v>
      </c>
      <c r="AQ115" s="684">
        <f t="shared" si="247"/>
        <v>0</v>
      </c>
      <c r="AR115" s="674">
        <f t="shared" si="385"/>
        <v>0</v>
      </c>
      <c r="AS115" s="684">
        <f t="shared" si="248"/>
        <v>0</v>
      </c>
      <c r="AT115" s="674">
        <f t="shared" si="386"/>
        <v>0</v>
      </c>
      <c r="AU115" s="684">
        <f t="shared" si="249"/>
        <v>0</v>
      </c>
      <c r="AV115" s="674">
        <f t="shared" si="387"/>
        <v>0</v>
      </c>
      <c r="AW115" s="684">
        <f t="shared" si="250"/>
        <v>0</v>
      </c>
      <c r="AX115" s="674">
        <f t="shared" si="388"/>
        <v>0</v>
      </c>
      <c r="AY115" s="684">
        <f t="shared" si="251"/>
        <v>0</v>
      </c>
      <c r="AZ115" s="674">
        <f t="shared" si="389"/>
        <v>0</v>
      </c>
      <c r="BA115" s="684">
        <f t="shared" si="252"/>
        <v>0</v>
      </c>
      <c r="BB115" s="674">
        <f t="shared" si="390"/>
        <v>0</v>
      </c>
      <c r="BC115" s="684">
        <f t="shared" si="253"/>
        <v>0</v>
      </c>
      <c r="BD115" s="674">
        <f t="shared" si="391"/>
        <v>0</v>
      </c>
      <c r="BE115" s="684">
        <f t="shared" si="378"/>
        <v>0</v>
      </c>
      <c r="BF115" s="1">
        <f t="shared" si="301"/>
        <v>0</v>
      </c>
      <c r="BG115" s="1">
        <f t="shared" si="332"/>
        <v>0</v>
      </c>
      <c r="BH115" s="1">
        <f t="shared" si="333"/>
        <v>0</v>
      </c>
      <c r="BI115" s="1">
        <f t="shared" si="334"/>
        <v>0</v>
      </c>
      <c r="BJ115" s="1">
        <f t="shared" si="335"/>
        <v>0</v>
      </c>
      <c r="BK115" s="1">
        <f t="shared" si="336"/>
        <v>0</v>
      </c>
      <c r="BL115" s="1">
        <f t="shared" si="337"/>
        <v>0</v>
      </c>
      <c r="BM115" s="1">
        <f t="shared" si="338"/>
        <v>0</v>
      </c>
      <c r="BN115" s="1">
        <f t="shared" si="339"/>
        <v>0</v>
      </c>
      <c r="BO115" s="69">
        <f t="shared" si="340"/>
        <v>0</v>
      </c>
      <c r="BP115" s="1">
        <f t="shared" si="198"/>
        <v>0</v>
      </c>
      <c r="BQ115" s="1">
        <f t="shared" si="215"/>
        <v>0</v>
      </c>
      <c r="BR115" s="1">
        <f t="shared" si="216"/>
        <v>0</v>
      </c>
      <c r="BS115" s="1">
        <f t="shared" si="217"/>
        <v>0</v>
      </c>
      <c r="BT115" s="1">
        <f t="shared" si="218"/>
        <v>0</v>
      </c>
      <c r="BU115" s="1">
        <f t="shared" si="219"/>
        <v>0</v>
      </c>
      <c r="BV115" s="1">
        <f t="shared" si="220"/>
        <v>0</v>
      </c>
      <c r="BW115" s="1">
        <f t="shared" si="221"/>
        <v>0</v>
      </c>
      <c r="BX115" s="1">
        <f t="shared" si="222"/>
        <v>0</v>
      </c>
      <c r="BY115" s="69">
        <f t="shared" si="223"/>
        <v>0</v>
      </c>
      <c r="BZ115" s="1">
        <f t="shared" si="302"/>
        <v>0</v>
      </c>
      <c r="CA115" s="1">
        <f t="shared" si="341"/>
        <v>0</v>
      </c>
      <c r="CB115" s="1">
        <f t="shared" si="342"/>
        <v>0</v>
      </c>
      <c r="CC115" s="1">
        <f t="shared" si="343"/>
        <v>0</v>
      </c>
      <c r="CD115" s="1">
        <f t="shared" si="344"/>
        <v>0</v>
      </c>
      <c r="CE115" s="1">
        <f t="shared" si="345"/>
        <v>0</v>
      </c>
      <c r="CF115" s="1">
        <f t="shared" si="346"/>
        <v>0</v>
      </c>
      <c r="CG115" s="1">
        <f t="shared" si="347"/>
        <v>0</v>
      </c>
      <c r="CH115" s="1">
        <f t="shared" si="348"/>
        <v>0</v>
      </c>
      <c r="CI115" s="69">
        <f t="shared" si="349"/>
        <v>0</v>
      </c>
      <c r="CJ115" s="1">
        <f t="shared" si="402"/>
        <v>0</v>
      </c>
      <c r="CK115" s="1">
        <f t="shared" si="392"/>
        <v>0</v>
      </c>
      <c r="CL115" s="1">
        <f t="shared" si="393"/>
        <v>0</v>
      </c>
      <c r="CM115" s="1">
        <f t="shared" si="394"/>
        <v>0</v>
      </c>
      <c r="CN115" s="1">
        <f t="shared" si="395"/>
        <v>0</v>
      </c>
      <c r="CO115" s="1">
        <f t="shared" si="396"/>
        <v>0</v>
      </c>
      <c r="CP115" s="1">
        <f t="shared" si="397"/>
        <v>0</v>
      </c>
      <c r="CQ115" s="1">
        <f t="shared" si="398"/>
        <v>0</v>
      </c>
      <c r="CR115" s="1">
        <f t="shared" si="399"/>
        <v>0</v>
      </c>
      <c r="CS115" s="69">
        <f t="shared" si="400"/>
        <v>0</v>
      </c>
      <c r="CT115" s="1">
        <f t="shared" si="303"/>
        <v>0</v>
      </c>
      <c r="CU115" s="1">
        <f t="shared" si="350"/>
        <v>0</v>
      </c>
      <c r="CV115" s="1">
        <f t="shared" si="351"/>
        <v>0</v>
      </c>
      <c r="CW115" s="1">
        <f t="shared" si="352"/>
        <v>0</v>
      </c>
      <c r="CX115" s="1">
        <f t="shared" si="353"/>
        <v>0</v>
      </c>
      <c r="CY115" s="1">
        <f t="shared" si="354"/>
        <v>0</v>
      </c>
      <c r="CZ115" s="1">
        <f t="shared" si="355"/>
        <v>0</v>
      </c>
      <c r="DA115" s="1">
        <f t="shared" si="356"/>
        <v>0</v>
      </c>
      <c r="DB115" s="1">
        <f t="shared" si="357"/>
        <v>0</v>
      </c>
      <c r="DC115" s="69">
        <f t="shared" si="358"/>
        <v>0</v>
      </c>
      <c r="DD115" s="1">
        <f t="shared" si="304"/>
        <v>0</v>
      </c>
      <c r="DE115" s="1">
        <f t="shared" si="359"/>
        <v>0</v>
      </c>
      <c r="DF115" s="1">
        <f t="shared" si="360"/>
        <v>0</v>
      </c>
      <c r="DG115" s="1">
        <f t="shared" si="361"/>
        <v>0</v>
      </c>
      <c r="DH115" s="1">
        <f t="shared" si="362"/>
        <v>0</v>
      </c>
      <c r="DI115" s="1">
        <f t="shared" si="363"/>
        <v>0</v>
      </c>
      <c r="DJ115" s="1">
        <f t="shared" si="364"/>
        <v>0</v>
      </c>
      <c r="DK115" s="1">
        <f t="shared" si="365"/>
        <v>0</v>
      </c>
      <c r="DL115" s="1">
        <f t="shared" si="366"/>
        <v>0</v>
      </c>
      <c r="DM115" s="69">
        <f t="shared" si="367"/>
        <v>0</v>
      </c>
      <c r="DN115" s="1">
        <f t="shared" si="305"/>
        <v>0</v>
      </c>
      <c r="DO115" s="1">
        <f t="shared" si="368"/>
        <v>0</v>
      </c>
      <c r="DP115" s="1">
        <f t="shared" si="369"/>
        <v>0</v>
      </c>
      <c r="DQ115" s="1">
        <f t="shared" si="370"/>
        <v>0</v>
      </c>
      <c r="DR115" s="1">
        <f t="shared" si="371"/>
        <v>0</v>
      </c>
      <c r="DS115" s="1">
        <f t="shared" si="372"/>
        <v>0</v>
      </c>
      <c r="DT115" s="1">
        <f t="shared" si="373"/>
        <v>0</v>
      </c>
      <c r="DU115" s="1">
        <f t="shared" si="374"/>
        <v>0</v>
      </c>
      <c r="DV115" s="1">
        <f t="shared" si="375"/>
        <v>0</v>
      </c>
      <c r="DW115" s="69">
        <f t="shared" si="376"/>
        <v>0</v>
      </c>
      <c r="DX115" s="1">
        <v>4</v>
      </c>
      <c r="DY115" s="69">
        <f t="shared" si="311"/>
        <v>84</v>
      </c>
      <c r="DZ115" s="1">
        <f t="shared" si="377"/>
        <v>0</v>
      </c>
      <c r="EA115" s="1">
        <f t="shared" si="381"/>
        <v>0</v>
      </c>
      <c r="EB115" s="1">
        <f t="shared" si="308"/>
        <v>0</v>
      </c>
      <c r="ED115" s="285">
        <f t="shared" si="309"/>
        <v>0</v>
      </c>
    </row>
    <row r="116" spans="1:134" x14ac:dyDescent="0.2">
      <c r="A116" s="208" t="s">
        <v>665</v>
      </c>
      <c r="B116" s="800" t="s">
        <v>247</v>
      </c>
      <c r="C116" s="193" t="s">
        <v>871</v>
      </c>
      <c r="D116" s="647" t="s">
        <v>558</v>
      </c>
      <c r="E116" s="889">
        <v>0.25</v>
      </c>
      <c r="F116" s="633">
        <f t="shared" ref="F116:F143" si="403">VLOOKUP(D116,prezzi,5,)</f>
        <v>138.04434000000001</v>
      </c>
      <c r="G116" s="700"/>
      <c r="H116" s="342"/>
      <c r="I116" s="342"/>
      <c r="J116" s="342"/>
      <c r="K116" s="342">
        <v>1</v>
      </c>
      <c r="L116" s="342"/>
      <c r="M116" s="342"/>
      <c r="N116" s="658"/>
      <c r="O116" s="256"/>
      <c r="P116" s="256"/>
      <c r="Q116" s="256"/>
      <c r="R116" s="255"/>
      <c r="S116" s="256"/>
      <c r="T116" s="256"/>
      <c r="U116" s="256"/>
      <c r="V116" s="255"/>
      <c r="W116" s="256"/>
      <c r="X116" s="256"/>
      <c r="Y116" s="256"/>
      <c r="Z116" s="255"/>
      <c r="AA116" s="256"/>
      <c r="AB116" s="256"/>
      <c r="AC116" s="256"/>
      <c r="AD116" s="255"/>
      <c r="AE116" s="256"/>
      <c r="AF116" s="256"/>
      <c r="AH116" s="546">
        <f t="shared" si="307"/>
        <v>0</v>
      </c>
      <c r="AI116" s="66">
        <f t="shared" si="401"/>
        <v>0</v>
      </c>
      <c r="AL116" s="706" t="str">
        <f t="shared" si="310"/>
        <v>-motore &lt;= 0,25Kw</v>
      </c>
      <c r="AM116" s="684">
        <f t="shared" si="245"/>
        <v>0</v>
      </c>
      <c r="AN116" s="674">
        <f t="shared" si="383"/>
        <v>0</v>
      </c>
      <c r="AO116" s="684">
        <f t="shared" si="246"/>
        <v>0</v>
      </c>
      <c r="AP116" s="674">
        <f t="shared" si="384"/>
        <v>0</v>
      </c>
      <c r="AQ116" s="684">
        <f t="shared" si="247"/>
        <v>0</v>
      </c>
      <c r="AR116" s="674">
        <f t="shared" si="385"/>
        <v>0</v>
      </c>
      <c r="AS116" s="684">
        <f t="shared" si="248"/>
        <v>0</v>
      </c>
      <c r="AT116" s="674">
        <f t="shared" si="386"/>
        <v>0</v>
      </c>
      <c r="AU116" s="684">
        <f t="shared" si="249"/>
        <v>0</v>
      </c>
      <c r="AV116" s="674">
        <f t="shared" si="387"/>
        <v>0</v>
      </c>
      <c r="AW116" s="684">
        <f t="shared" si="250"/>
        <v>0</v>
      </c>
      <c r="AX116" s="674">
        <f t="shared" si="388"/>
        <v>0</v>
      </c>
      <c r="AY116" s="684">
        <f t="shared" si="251"/>
        <v>0</v>
      </c>
      <c r="AZ116" s="674">
        <f t="shared" si="389"/>
        <v>0</v>
      </c>
      <c r="BA116" s="684">
        <f t="shared" si="252"/>
        <v>0</v>
      </c>
      <c r="BB116" s="674">
        <f t="shared" si="390"/>
        <v>0</v>
      </c>
      <c r="BC116" s="684">
        <f t="shared" si="253"/>
        <v>0</v>
      </c>
      <c r="BD116" s="674">
        <f t="shared" si="391"/>
        <v>0</v>
      </c>
      <c r="BE116" s="684">
        <f t="shared" si="378"/>
        <v>0</v>
      </c>
      <c r="BF116" s="1">
        <f t="shared" si="301"/>
        <v>0</v>
      </c>
      <c r="BG116" s="1">
        <f t="shared" si="332"/>
        <v>0</v>
      </c>
      <c r="BH116" s="1">
        <f t="shared" si="333"/>
        <v>0</v>
      </c>
      <c r="BI116" s="1">
        <f t="shared" si="334"/>
        <v>0</v>
      </c>
      <c r="BJ116" s="1">
        <f t="shared" si="335"/>
        <v>0</v>
      </c>
      <c r="BK116" s="1">
        <f t="shared" si="336"/>
        <v>0</v>
      </c>
      <c r="BL116" s="1">
        <f t="shared" si="337"/>
        <v>0</v>
      </c>
      <c r="BM116" s="1">
        <f t="shared" si="338"/>
        <v>0</v>
      </c>
      <c r="BN116" s="1">
        <f t="shared" si="339"/>
        <v>0</v>
      </c>
      <c r="BO116" s="69">
        <f t="shared" si="340"/>
        <v>0</v>
      </c>
      <c r="BP116" s="1">
        <f t="shared" ref="BP116:BP194" si="404">N116*$H116</f>
        <v>0</v>
      </c>
      <c r="BQ116" s="1">
        <f t="shared" si="215"/>
        <v>0</v>
      </c>
      <c r="BR116" s="1">
        <f t="shared" si="216"/>
        <v>0</v>
      </c>
      <c r="BS116" s="1">
        <f t="shared" si="217"/>
        <v>0</v>
      </c>
      <c r="BT116" s="1">
        <f t="shared" si="218"/>
        <v>0</v>
      </c>
      <c r="BU116" s="1">
        <f t="shared" si="219"/>
        <v>0</v>
      </c>
      <c r="BV116" s="1">
        <f t="shared" si="220"/>
        <v>0</v>
      </c>
      <c r="BW116" s="1">
        <f t="shared" si="221"/>
        <v>0</v>
      </c>
      <c r="BX116" s="1">
        <f t="shared" si="222"/>
        <v>0</v>
      </c>
      <c r="BY116" s="69">
        <f t="shared" si="223"/>
        <v>0</v>
      </c>
      <c r="BZ116" s="1">
        <f t="shared" si="302"/>
        <v>0</v>
      </c>
      <c r="CA116" s="1">
        <f t="shared" si="341"/>
        <v>0</v>
      </c>
      <c r="CB116" s="1">
        <f t="shared" si="342"/>
        <v>0</v>
      </c>
      <c r="CC116" s="1">
        <f t="shared" si="343"/>
        <v>0</v>
      </c>
      <c r="CD116" s="1">
        <f t="shared" si="344"/>
        <v>0</v>
      </c>
      <c r="CE116" s="1">
        <f t="shared" si="345"/>
        <v>0</v>
      </c>
      <c r="CF116" s="1">
        <f t="shared" si="346"/>
        <v>0</v>
      </c>
      <c r="CG116" s="1">
        <f t="shared" si="347"/>
        <v>0</v>
      </c>
      <c r="CH116" s="1">
        <f t="shared" si="348"/>
        <v>0</v>
      </c>
      <c r="CI116" s="69">
        <f t="shared" si="349"/>
        <v>0</v>
      </c>
      <c r="CJ116" s="1">
        <f t="shared" si="402"/>
        <v>0</v>
      </c>
      <c r="CK116" s="1">
        <f t="shared" si="392"/>
        <v>0</v>
      </c>
      <c r="CL116" s="1">
        <f t="shared" si="393"/>
        <v>0</v>
      </c>
      <c r="CM116" s="1">
        <f t="shared" si="394"/>
        <v>0</v>
      </c>
      <c r="CN116" s="1">
        <f t="shared" si="395"/>
        <v>0</v>
      </c>
      <c r="CO116" s="1">
        <f t="shared" si="396"/>
        <v>0</v>
      </c>
      <c r="CP116" s="1">
        <f t="shared" si="397"/>
        <v>0</v>
      </c>
      <c r="CQ116" s="1">
        <f t="shared" si="398"/>
        <v>0</v>
      </c>
      <c r="CR116" s="1">
        <f t="shared" si="399"/>
        <v>0</v>
      </c>
      <c r="CS116" s="69">
        <f t="shared" si="400"/>
        <v>0</v>
      </c>
      <c r="CT116" s="1">
        <f t="shared" si="303"/>
        <v>0</v>
      </c>
      <c r="CU116" s="1">
        <f t="shared" si="350"/>
        <v>0</v>
      </c>
      <c r="CV116" s="1">
        <f t="shared" si="351"/>
        <v>0</v>
      </c>
      <c r="CW116" s="1">
        <f t="shared" si="352"/>
        <v>0</v>
      </c>
      <c r="CX116" s="1">
        <f t="shared" si="353"/>
        <v>0</v>
      </c>
      <c r="CY116" s="1">
        <f t="shared" si="354"/>
        <v>0</v>
      </c>
      <c r="CZ116" s="1">
        <f t="shared" si="355"/>
        <v>0</v>
      </c>
      <c r="DA116" s="1">
        <f t="shared" si="356"/>
        <v>0</v>
      </c>
      <c r="DB116" s="1">
        <f t="shared" si="357"/>
        <v>0</v>
      </c>
      <c r="DC116" s="69">
        <f t="shared" si="358"/>
        <v>0</v>
      </c>
      <c r="DD116" s="1">
        <f t="shared" si="304"/>
        <v>0</v>
      </c>
      <c r="DE116" s="1">
        <f t="shared" si="359"/>
        <v>0</v>
      </c>
      <c r="DF116" s="1">
        <f t="shared" si="360"/>
        <v>0</v>
      </c>
      <c r="DG116" s="1">
        <f t="shared" si="361"/>
        <v>0</v>
      </c>
      <c r="DH116" s="1">
        <f t="shared" si="362"/>
        <v>0</v>
      </c>
      <c r="DI116" s="1">
        <f t="shared" si="363"/>
        <v>0</v>
      </c>
      <c r="DJ116" s="1">
        <f t="shared" si="364"/>
        <v>0</v>
      </c>
      <c r="DK116" s="1">
        <f t="shared" si="365"/>
        <v>0</v>
      </c>
      <c r="DL116" s="1">
        <f t="shared" si="366"/>
        <v>0</v>
      </c>
      <c r="DM116" s="69">
        <f t="shared" si="367"/>
        <v>0</v>
      </c>
      <c r="DN116" s="1">
        <f t="shared" si="305"/>
        <v>0</v>
      </c>
      <c r="DO116" s="1">
        <f t="shared" si="368"/>
        <v>0</v>
      </c>
      <c r="DP116" s="1">
        <f t="shared" si="369"/>
        <v>0</v>
      </c>
      <c r="DQ116" s="1">
        <f t="shared" si="370"/>
        <v>0</v>
      </c>
      <c r="DR116" s="1">
        <f t="shared" si="371"/>
        <v>0</v>
      </c>
      <c r="DS116" s="1">
        <f t="shared" si="372"/>
        <v>0</v>
      </c>
      <c r="DT116" s="1">
        <f t="shared" si="373"/>
        <v>0</v>
      </c>
      <c r="DU116" s="1">
        <f t="shared" si="374"/>
        <v>0</v>
      </c>
      <c r="DV116" s="1">
        <f t="shared" si="375"/>
        <v>0</v>
      </c>
      <c r="DW116" s="69">
        <f t="shared" si="376"/>
        <v>0</v>
      </c>
      <c r="DX116" s="1">
        <v>4</v>
      </c>
      <c r="DY116" s="69">
        <f t="shared" si="311"/>
        <v>85</v>
      </c>
      <c r="DZ116" s="1">
        <f t="shared" si="377"/>
        <v>0</v>
      </c>
      <c r="EA116" s="1">
        <f t="shared" si="381"/>
        <v>0</v>
      </c>
      <c r="EB116" s="1">
        <f t="shared" si="308"/>
        <v>0</v>
      </c>
      <c r="ED116" s="285">
        <f t="shared" si="309"/>
        <v>0</v>
      </c>
    </row>
    <row r="117" spans="1:134" x14ac:dyDescent="0.2">
      <c r="A117" s="208" t="s">
        <v>665</v>
      </c>
      <c r="B117" s="803" t="s">
        <v>1030</v>
      </c>
      <c r="C117" s="192" t="s">
        <v>871</v>
      </c>
      <c r="D117" s="335" t="s">
        <v>697</v>
      </c>
      <c r="E117" s="889"/>
      <c r="F117" s="633">
        <f t="shared" si="403"/>
        <v>0</v>
      </c>
      <c r="G117" s="700"/>
      <c r="H117" s="342"/>
      <c r="I117" s="342"/>
      <c r="J117" s="342">
        <f>IF(SUM(N116:N116)&gt;0,0,1)</f>
        <v>1</v>
      </c>
      <c r="K117" s="342">
        <v>1</v>
      </c>
      <c r="L117" s="342"/>
      <c r="M117" s="342"/>
      <c r="N117" s="658"/>
      <c r="O117" s="256"/>
      <c r="P117" s="256"/>
      <c r="Q117" s="256"/>
      <c r="R117" s="255"/>
      <c r="S117" s="256"/>
      <c r="T117" s="256"/>
      <c r="U117" s="256"/>
      <c r="V117" s="255"/>
      <c r="W117" s="256"/>
      <c r="X117" s="256"/>
      <c r="Y117" s="256"/>
      <c r="Z117" s="255"/>
      <c r="AA117" s="256"/>
      <c r="AB117" s="256"/>
      <c r="AC117" s="256"/>
      <c r="AD117" s="255"/>
      <c r="AE117" s="256"/>
      <c r="AF117" s="256"/>
      <c r="AH117" s="546">
        <f t="shared" si="307"/>
        <v>0</v>
      </c>
      <c r="AI117" s="66">
        <f t="shared" si="401"/>
        <v>0</v>
      </c>
      <c r="AL117" s="706" t="str">
        <f t="shared" si="310"/>
        <v>-valvola monostabile</v>
      </c>
      <c r="AM117" s="684">
        <f t="shared" ref="AM117:AM160" si="405">N117*$F117</f>
        <v>0</v>
      </c>
      <c r="AN117" s="674">
        <f t="shared" si="383"/>
        <v>0</v>
      </c>
      <c r="AO117" s="684">
        <f t="shared" ref="AO117:AO160" si="406">P117*$F117</f>
        <v>0</v>
      </c>
      <c r="AP117" s="674">
        <f t="shared" si="384"/>
        <v>0</v>
      </c>
      <c r="AQ117" s="684">
        <f t="shared" ref="AQ117:AQ160" si="407">R117*$F117</f>
        <v>0</v>
      </c>
      <c r="AR117" s="674">
        <f t="shared" si="385"/>
        <v>0</v>
      </c>
      <c r="AS117" s="684">
        <f t="shared" ref="AS117:AS160" si="408">T117*$F117</f>
        <v>0</v>
      </c>
      <c r="AT117" s="674">
        <f t="shared" si="386"/>
        <v>0</v>
      </c>
      <c r="AU117" s="684">
        <f t="shared" ref="AU117:AU160" si="409">V117*$F117</f>
        <v>0</v>
      </c>
      <c r="AV117" s="674">
        <f t="shared" si="387"/>
        <v>0</v>
      </c>
      <c r="AW117" s="684">
        <f t="shared" ref="AW117:AW160" si="410">X117*$F117</f>
        <v>0</v>
      </c>
      <c r="AX117" s="674">
        <f t="shared" si="388"/>
        <v>0</v>
      </c>
      <c r="AY117" s="684">
        <f t="shared" ref="AY117:AY160" si="411">Z117*$F117</f>
        <v>0</v>
      </c>
      <c r="AZ117" s="674">
        <f t="shared" si="389"/>
        <v>0</v>
      </c>
      <c r="BA117" s="684">
        <f t="shared" ref="BA117:BA160" si="412">AB117*$F117</f>
        <v>0</v>
      </c>
      <c r="BB117" s="674">
        <f t="shared" si="390"/>
        <v>0</v>
      </c>
      <c r="BC117" s="684">
        <f t="shared" ref="BC117:BC160" si="413">AD117*$F117</f>
        <v>0</v>
      </c>
      <c r="BD117" s="674">
        <f t="shared" si="391"/>
        <v>0</v>
      </c>
      <c r="BE117" s="684">
        <f t="shared" si="378"/>
        <v>0</v>
      </c>
      <c r="BF117" s="1">
        <f t="shared" si="301"/>
        <v>0</v>
      </c>
      <c r="BG117" s="1">
        <f t="shared" si="332"/>
        <v>0</v>
      </c>
      <c r="BH117" s="1">
        <f t="shared" si="333"/>
        <v>0</v>
      </c>
      <c r="BI117" s="1">
        <f t="shared" si="334"/>
        <v>0</v>
      </c>
      <c r="BJ117" s="1">
        <f t="shared" si="335"/>
        <v>0</v>
      </c>
      <c r="BK117" s="1">
        <f t="shared" si="336"/>
        <v>0</v>
      </c>
      <c r="BL117" s="1">
        <f t="shared" si="337"/>
        <v>0</v>
      </c>
      <c r="BM117" s="1">
        <f t="shared" si="338"/>
        <v>0</v>
      </c>
      <c r="BN117" s="1">
        <f t="shared" si="339"/>
        <v>0</v>
      </c>
      <c r="BO117" s="69">
        <f t="shared" si="340"/>
        <v>0</v>
      </c>
      <c r="BP117" s="1">
        <f t="shared" si="404"/>
        <v>0</v>
      </c>
      <c r="BQ117" s="1">
        <f t="shared" si="215"/>
        <v>0</v>
      </c>
      <c r="BR117" s="1">
        <f t="shared" si="216"/>
        <v>0</v>
      </c>
      <c r="BS117" s="1">
        <f t="shared" si="217"/>
        <v>0</v>
      </c>
      <c r="BT117" s="1">
        <f t="shared" si="218"/>
        <v>0</v>
      </c>
      <c r="BU117" s="1">
        <f t="shared" si="219"/>
        <v>0</v>
      </c>
      <c r="BV117" s="1">
        <f t="shared" si="220"/>
        <v>0</v>
      </c>
      <c r="BW117" s="1">
        <f t="shared" si="221"/>
        <v>0</v>
      </c>
      <c r="BX117" s="1">
        <f t="shared" si="222"/>
        <v>0</v>
      </c>
      <c r="BY117" s="69">
        <f t="shared" si="223"/>
        <v>0</v>
      </c>
      <c r="BZ117" s="1">
        <f t="shared" si="302"/>
        <v>0</v>
      </c>
      <c r="CA117" s="1">
        <f t="shared" si="341"/>
        <v>0</v>
      </c>
      <c r="CB117" s="1">
        <f t="shared" si="342"/>
        <v>0</v>
      </c>
      <c r="CC117" s="1">
        <f t="shared" si="343"/>
        <v>0</v>
      </c>
      <c r="CD117" s="1">
        <f t="shared" si="344"/>
        <v>0</v>
      </c>
      <c r="CE117" s="1">
        <f t="shared" si="345"/>
        <v>0</v>
      </c>
      <c r="CF117" s="1">
        <f t="shared" si="346"/>
        <v>0</v>
      </c>
      <c r="CG117" s="1">
        <f t="shared" si="347"/>
        <v>0</v>
      </c>
      <c r="CH117" s="1">
        <f t="shared" si="348"/>
        <v>0</v>
      </c>
      <c r="CI117" s="69">
        <f t="shared" si="349"/>
        <v>0</v>
      </c>
      <c r="CJ117" s="1">
        <f t="shared" si="402"/>
        <v>0</v>
      </c>
      <c r="CK117" s="1">
        <f t="shared" si="392"/>
        <v>0</v>
      </c>
      <c r="CL117" s="1">
        <f t="shared" si="393"/>
        <v>0</v>
      </c>
      <c r="CM117" s="1">
        <f t="shared" si="394"/>
        <v>0</v>
      </c>
      <c r="CN117" s="1">
        <f t="shared" si="395"/>
        <v>0</v>
      </c>
      <c r="CO117" s="1">
        <f t="shared" si="396"/>
        <v>0</v>
      </c>
      <c r="CP117" s="1">
        <f t="shared" si="397"/>
        <v>0</v>
      </c>
      <c r="CQ117" s="1">
        <f t="shared" si="398"/>
        <v>0</v>
      </c>
      <c r="CR117" s="1">
        <f t="shared" si="399"/>
        <v>0</v>
      </c>
      <c r="CS117" s="69">
        <f t="shared" si="400"/>
        <v>0</v>
      </c>
      <c r="CT117" s="1">
        <f t="shared" si="303"/>
        <v>0</v>
      </c>
      <c r="CU117" s="1">
        <f t="shared" si="350"/>
        <v>0</v>
      </c>
      <c r="CV117" s="1">
        <f t="shared" si="351"/>
        <v>0</v>
      </c>
      <c r="CW117" s="1">
        <f t="shared" si="352"/>
        <v>0</v>
      </c>
      <c r="CX117" s="1">
        <f t="shared" si="353"/>
        <v>0</v>
      </c>
      <c r="CY117" s="1">
        <f t="shared" si="354"/>
        <v>0</v>
      </c>
      <c r="CZ117" s="1">
        <f t="shared" si="355"/>
        <v>0</v>
      </c>
      <c r="DA117" s="1">
        <f t="shared" si="356"/>
        <v>0</v>
      </c>
      <c r="DB117" s="1">
        <f t="shared" si="357"/>
        <v>0</v>
      </c>
      <c r="DC117" s="69">
        <f t="shared" si="358"/>
        <v>0</v>
      </c>
      <c r="DD117" s="1">
        <f t="shared" si="304"/>
        <v>0</v>
      </c>
      <c r="DE117" s="1">
        <f t="shared" si="359"/>
        <v>0</v>
      </c>
      <c r="DF117" s="1">
        <f t="shared" si="360"/>
        <v>0</v>
      </c>
      <c r="DG117" s="1">
        <f t="shared" si="361"/>
        <v>0</v>
      </c>
      <c r="DH117" s="1">
        <f t="shared" si="362"/>
        <v>0</v>
      </c>
      <c r="DI117" s="1">
        <f t="shared" si="363"/>
        <v>0</v>
      </c>
      <c r="DJ117" s="1">
        <f t="shared" si="364"/>
        <v>0</v>
      </c>
      <c r="DK117" s="1">
        <f t="shared" si="365"/>
        <v>0</v>
      </c>
      <c r="DL117" s="1">
        <f t="shared" si="366"/>
        <v>0</v>
      </c>
      <c r="DM117" s="69">
        <f t="shared" si="367"/>
        <v>0</v>
      </c>
      <c r="DN117" s="1">
        <f t="shared" si="305"/>
        <v>0</v>
      </c>
      <c r="DO117" s="1">
        <f t="shared" si="368"/>
        <v>0</v>
      </c>
      <c r="DP117" s="1">
        <f t="shared" si="369"/>
        <v>0</v>
      </c>
      <c r="DQ117" s="1">
        <f t="shared" si="370"/>
        <v>0</v>
      </c>
      <c r="DR117" s="1">
        <f t="shared" si="371"/>
        <v>0</v>
      </c>
      <c r="DS117" s="1">
        <f t="shared" si="372"/>
        <v>0</v>
      </c>
      <c r="DT117" s="1">
        <f t="shared" si="373"/>
        <v>0</v>
      </c>
      <c r="DU117" s="1">
        <f t="shared" si="374"/>
        <v>0</v>
      </c>
      <c r="DV117" s="1">
        <f t="shared" si="375"/>
        <v>0</v>
      </c>
      <c r="DW117" s="69">
        <f t="shared" si="376"/>
        <v>0</v>
      </c>
      <c r="DX117" s="1">
        <v>4</v>
      </c>
      <c r="DY117" s="69">
        <f t="shared" si="311"/>
        <v>86</v>
      </c>
      <c r="DZ117" s="1">
        <f t="shared" si="377"/>
        <v>0</v>
      </c>
      <c r="EA117" s="1">
        <f t="shared" si="381"/>
        <v>0</v>
      </c>
      <c r="EB117" s="1">
        <f t="shared" si="308"/>
        <v>0</v>
      </c>
      <c r="ED117" s="285">
        <f t="shared" si="309"/>
        <v>0</v>
      </c>
    </row>
    <row r="118" spans="1:134" x14ac:dyDescent="0.2">
      <c r="A118" s="208" t="s">
        <v>665</v>
      </c>
      <c r="B118" s="802" t="s">
        <v>2331</v>
      </c>
      <c r="C118" s="194" t="s">
        <v>871</v>
      </c>
      <c r="D118" s="644" t="s">
        <v>558</v>
      </c>
      <c r="E118" s="889">
        <v>1.1000000000000001</v>
      </c>
      <c r="F118" s="633">
        <f t="shared" si="403"/>
        <v>138.04434000000001</v>
      </c>
      <c r="G118" s="700"/>
      <c r="H118" s="342"/>
      <c r="I118" s="342"/>
      <c r="J118" s="342">
        <v>1</v>
      </c>
      <c r="K118" s="342">
        <v>1</v>
      </c>
      <c r="L118" s="342"/>
      <c r="M118" s="342"/>
      <c r="N118" s="658"/>
      <c r="O118" s="256"/>
      <c r="P118" s="256"/>
      <c r="Q118" s="256"/>
      <c r="R118" s="255"/>
      <c r="S118" s="256"/>
      <c r="T118" s="256"/>
      <c r="U118" s="256"/>
      <c r="V118" s="255"/>
      <c r="W118" s="256"/>
      <c r="X118" s="256"/>
      <c r="Y118" s="256"/>
      <c r="Z118" s="255"/>
      <c r="AA118" s="256"/>
      <c r="AB118" s="256"/>
      <c r="AC118" s="256"/>
      <c r="AD118" s="255"/>
      <c r="AE118" s="256"/>
      <c r="AF118" s="256"/>
      <c r="AH118" s="546">
        <f t="shared" si="307"/>
        <v>0</v>
      </c>
      <c r="AI118" s="66">
        <f t="shared" si="401"/>
        <v>0</v>
      </c>
      <c r="AL118" s="706" t="str">
        <f t="shared" si="310"/>
        <v>-motore &lt;= 0,25Kw</v>
      </c>
      <c r="AM118" s="684">
        <f t="shared" si="405"/>
        <v>0</v>
      </c>
      <c r="AN118" s="674">
        <f t="shared" si="383"/>
        <v>0</v>
      </c>
      <c r="AO118" s="684">
        <f t="shared" si="406"/>
        <v>0</v>
      </c>
      <c r="AP118" s="674">
        <f t="shared" si="384"/>
        <v>0</v>
      </c>
      <c r="AQ118" s="684">
        <f t="shared" si="407"/>
        <v>0</v>
      </c>
      <c r="AR118" s="674">
        <f t="shared" si="385"/>
        <v>0</v>
      </c>
      <c r="AS118" s="684">
        <f t="shared" si="408"/>
        <v>0</v>
      </c>
      <c r="AT118" s="674">
        <f t="shared" si="386"/>
        <v>0</v>
      </c>
      <c r="AU118" s="684">
        <f t="shared" si="409"/>
        <v>0</v>
      </c>
      <c r="AV118" s="674">
        <f t="shared" si="387"/>
        <v>0</v>
      </c>
      <c r="AW118" s="684">
        <f t="shared" si="410"/>
        <v>0</v>
      </c>
      <c r="AX118" s="674">
        <f t="shared" si="388"/>
        <v>0</v>
      </c>
      <c r="AY118" s="684">
        <f t="shared" si="411"/>
        <v>0</v>
      </c>
      <c r="AZ118" s="674">
        <f t="shared" si="389"/>
        <v>0</v>
      </c>
      <c r="BA118" s="684">
        <f t="shared" si="412"/>
        <v>0</v>
      </c>
      <c r="BB118" s="674">
        <f t="shared" si="390"/>
        <v>0</v>
      </c>
      <c r="BC118" s="684">
        <f t="shared" si="413"/>
        <v>0</v>
      </c>
      <c r="BD118" s="674">
        <f t="shared" si="391"/>
        <v>0</v>
      </c>
      <c r="BE118" s="684">
        <f t="shared" si="378"/>
        <v>0</v>
      </c>
      <c r="BF118" s="1">
        <f t="shared" si="301"/>
        <v>0</v>
      </c>
      <c r="BG118" s="1">
        <f t="shared" si="332"/>
        <v>0</v>
      </c>
      <c r="BH118" s="1">
        <f t="shared" si="333"/>
        <v>0</v>
      </c>
      <c r="BI118" s="1">
        <f t="shared" si="334"/>
        <v>0</v>
      </c>
      <c r="BJ118" s="1">
        <f t="shared" si="335"/>
        <v>0</v>
      </c>
      <c r="BK118" s="1">
        <f t="shared" si="336"/>
        <v>0</v>
      </c>
      <c r="BL118" s="1">
        <f t="shared" si="337"/>
        <v>0</v>
      </c>
      <c r="BM118" s="1">
        <f t="shared" si="338"/>
        <v>0</v>
      </c>
      <c r="BN118" s="1">
        <f t="shared" si="339"/>
        <v>0</v>
      </c>
      <c r="BO118" s="69">
        <f t="shared" si="340"/>
        <v>0</v>
      </c>
      <c r="BP118" s="1">
        <f t="shared" si="404"/>
        <v>0</v>
      </c>
      <c r="BQ118" s="1">
        <f t="shared" si="215"/>
        <v>0</v>
      </c>
      <c r="BR118" s="1">
        <f t="shared" si="216"/>
        <v>0</v>
      </c>
      <c r="BS118" s="1">
        <f t="shared" si="217"/>
        <v>0</v>
      </c>
      <c r="BT118" s="1">
        <f t="shared" si="218"/>
        <v>0</v>
      </c>
      <c r="BU118" s="1">
        <f t="shared" si="219"/>
        <v>0</v>
      </c>
      <c r="BV118" s="1">
        <f t="shared" si="220"/>
        <v>0</v>
      </c>
      <c r="BW118" s="1">
        <f t="shared" si="221"/>
        <v>0</v>
      </c>
      <c r="BX118" s="1">
        <f t="shared" si="222"/>
        <v>0</v>
      </c>
      <c r="BY118" s="69">
        <f t="shared" si="223"/>
        <v>0</v>
      </c>
      <c r="BZ118" s="1">
        <f t="shared" si="302"/>
        <v>0</v>
      </c>
      <c r="CA118" s="1">
        <f t="shared" si="341"/>
        <v>0</v>
      </c>
      <c r="CB118" s="1">
        <f t="shared" si="342"/>
        <v>0</v>
      </c>
      <c r="CC118" s="1">
        <f t="shared" si="343"/>
        <v>0</v>
      </c>
      <c r="CD118" s="1">
        <f t="shared" si="344"/>
        <v>0</v>
      </c>
      <c r="CE118" s="1">
        <f t="shared" si="345"/>
        <v>0</v>
      </c>
      <c r="CF118" s="1">
        <f t="shared" si="346"/>
        <v>0</v>
      </c>
      <c r="CG118" s="1">
        <f t="shared" si="347"/>
        <v>0</v>
      </c>
      <c r="CH118" s="1">
        <f t="shared" si="348"/>
        <v>0</v>
      </c>
      <c r="CI118" s="69">
        <f t="shared" si="349"/>
        <v>0</v>
      </c>
      <c r="CJ118" s="1">
        <f t="shared" si="402"/>
        <v>0</v>
      </c>
      <c r="CK118" s="1">
        <f t="shared" si="392"/>
        <v>0</v>
      </c>
      <c r="CL118" s="1">
        <f t="shared" si="393"/>
        <v>0</v>
      </c>
      <c r="CM118" s="1">
        <f t="shared" si="394"/>
        <v>0</v>
      </c>
      <c r="CN118" s="1">
        <f t="shared" si="395"/>
        <v>0</v>
      </c>
      <c r="CO118" s="1">
        <f t="shared" si="396"/>
        <v>0</v>
      </c>
      <c r="CP118" s="1">
        <f t="shared" si="397"/>
        <v>0</v>
      </c>
      <c r="CQ118" s="1">
        <f t="shared" si="398"/>
        <v>0</v>
      </c>
      <c r="CR118" s="1">
        <f t="shared" si="399"/>
        <v>0</v>
      </c>
      <c r="CS118" s="69">
        <f t="shared" si="400"/>
        <v>0</v>
      </c>
      <c r="CT118" s="1">
        <f t="shared" si="303"/>
        <v>0</v>
      </c>
      <c r="CU118" s="1">
        <f t="shared" si="350"/>
        <v>0</v>
      </c>
      <c r="CV118" s="1">
        <f t="shared" si="351"/>
        <v>0</v>
      </c>
      <c r="CW118" s="1">
        <f t="shared" si="352"/>
        <v>0</v>
      </c>
      <c r="CX118" s="1">
        <f t="shared" si="353"/>
        <v>0</v>
      </c>
      <c r="CY118" s="1">
        <f t="shared" si="354"/>
        <v>0</v>
      </c>
      <c r="CZ118" s="1">
        <f t="shared" si="355"/>
        <v>0</v>
      </c>
      <c r="DA118" s="1">
        <f t="shared" si="356"/>
        <v>0</v>
      </c>
      <c r="DB118" s="1">
        <f t="shared" si="357"/>
        <v>0</v>
      </c>
      <c r="DC118" s="69">
        <f t="shared" si="358"/>
        <v>0</v>
      </c>
      <c r="DD118" s="1">
        <f t="shared" si="304"/>
        <v>0</v>
      </c>
      <c r="DE118" s="1">
        <f t="shared" si="359"/>
        <v>0</v>
      </c>
      <c r="DF118" s="1">
        <f t="shared" si="360"/>
        <v>0</v>
      </c>
      <c r="DG118" s="1">
        <f t="shared" si="361"/>
        <v>0</v>
      </c>
      <c r="DH118" s="1">
        <f t="shared" si="362"/>
        <v>0</v>
      </c>
      <c r="DI118" s="1">
        <f t="shared" si="363"/>
        <v>0</v>
      </c>
      <c r="DJ118" s="1">
        <f t="shared" si="364"/>
        <v>0</v>
      </c>
      <c r="DK118" s="1">
        <f t="shared" si="365"/>
        <v>0</v>
      </c>
      <c r="DL118" s="1">
        <f t="shared" si="366"/>
        <v>0</v>
      </c>
      <c r="DM118" s="69">
        <f t="shared" si="367"/>
        <v>0</v>
      </c>
      <c r="DN118" s="1">
        <f t="shared" si="305"/>
        <v>0</v>
      </c>
      <c r="DO118" s="1">
        <f t="shared" si="368"/>
        <v>0</v>
      </c>
      <c r="DP118" s="1">
        <f t="shared" si="369"/>
        <v>0</v>
      </c>
      <c r="DQ118" s="1">
        <f t="shared" si="370"/>
        <v>0</v>
      </c>
      <c r="DR118" s="1">
        <f t="shared" si="371"/>
        <v>0</v>
      </c>
      <c r="DS118" s="1">
        <f t="shared" si="372"/>
        <v>0</v>
      </c>
      <c r="DT118" s="1">
        <f t="shared" si="373"/>
        <v>0</v>
      </c>
      <c r="DU118" s="1">
        <f t="shared" si="374"/>
        <v>0</v>
      </c>
      <c r="DV118" s="1">
        <f t="shared" si="375"/>
        <v>0</v>
      </c>
      <c r="DW118" s="69">
        <f t="shared" si="376"/>
        <v>0</v>
      </c>
      <c r="DX118" s="1">
        <v>4</v>
      </c>
      <c r="DY118" s="69">
        <f t="shared" si="311"/>
        <v>87</v>
      </c>
      <c r="DZ118" s="1">
        <f t="shared" si="377"/>
        <v>0</v>
      </c>
      <c r="EA118" s="1">
        <f t="shared" si="381"/>
        <v>0</v>
      </c>
      <c r="EB118" s="1">
        <f t="shared" si="308"/>
        <v>0</v>
      </c>
      <c r="ED118" s="285">
        <f t="shared" si="309"/>
        <v>0</v>
      </c>
    </row>
    <row r="119" spans="1:134" ht="15" x14ac:dyDescent="0.25">
      <c r="A119" s="208" t="s">
        <v>665</v>
      </c>
      <c r="B119" s="803" t="s">
        <v>2344</v>
      </c>
      <c r="C119" s="196" t="s">
        <v>872</v>
      </c>
      <c r="D119" s="268" t="s">
        <v>1269</v>
      </c>
      <c r="E119" s="889"/>
      <c r="F119" s="633">
        <f t="shared" si="403"/>
        <v>241.5</v>
      </c>
      <c r="G119" s="700"/>
      <c r="H119" s="342"/>
      <c r="I119" s="342"/>
      <c r="J119" s="342"/>
      <c r="K119" s="342">
        <v>1</v>
      </c>
      <c r="L119" s="342"/>
      <c r="M119" s="342"/>
      <c r="N119" s="658"/>
      <c r="O119" s="256"/>
      <c r="P119" s="256"/>
      <c r="Q119" s="256"/>
      <c r="R119" s="255"/>
      <c r="S119" s="256"/>
      <c r="T119" s="256"/>
      <c r="U119" s="256"/>
      <c r="V119" s="255"/>
      <c r="W119" s="256"/>
      <c r="X119" s="256"/>
      <c r="Y119" s="256"/>
      <c r="Z119" s="255"/>
      <c r="AA119" s="256"/>
      <c r="AB119" s="256"/>
      <c r="AC119" s="256"/>
      <c r="AD119" s="255"/>
      <c r="AE119" s="256"/>
      <c r="AF119" s="256"/>
      <c r="AH119" s="546">
        <f t="shared" si="307"/>
        <v>0</v>
      </c>
      <c r="AI119" s="66">
        <f t="shared" si="401"/>
        <v>0</v>
      </c>
      <c r="AL119" s="706" t="str">
        <f t="shared" si="310"/>
        <v>-ciclofiltro con scheda esterna 4 valvole</v>
      </c>
      <c r="AM119" s="684">
        <f t="shared" si="405"/>
        <v>0</v>
      </c>
      <c r="AN119" s="674">
        <f t="shared" si="383"/>
        <v>0</v>
      </c>
      <c r="AO119" s="684">
        <f t="shared" si="406"/>
        <v>0</v>
      </c>
      <c r="AP119" s="674">
        <f t="shared" si="384"/>
        <v>0</v>
      </c>
      <c r="AQ119" s="684">
        <f t="shared" si="407"/>
        <v>0</v>
      </c>
      <c r="AR119" s="674">
        <f t="shared" si="385"/>
        <v>0</v>
      </c>
      <c r="AS119" s="684">
        <f t="shared" si="408"/>
        <v>0</v>
      </c>
      <c r="AT119" s="674">
        <f t="shared" si="386"/>
        <v>0</v>
      </c>
      <c r="AU119" s="684">
        <f t="shared" si="409"/>
        <v>0</v>
      </c>
      <c r="AV119" s="674">
        <f t="shared" si="387"/>
        <v>0</v>
      </c>
      <c r="AW119" s="684">
        <f t="shared" si="410"/>
        <v>0</v>
      </c>
      <c r="AX119" s="674">
        <f t="shared" si="388"/>
        <v>0</v>
      </c>
      <c r="AY119" s="684">
        <f t="shared" si="411"/>
        <v>0</v>
      </c>
      <c r="AZ119" s="674">
        <f t="shared" si="389"/>
        <v>0</v>
      </c>
      <c r="BA119" s="684">
        <f t="shared" si="412"/>
        <v>0</v>
      </c>
      <c r="BB119" s="674">
        <f t="shared" si="390"/>
        <v>0</v>
      </c>
      <c r="BC119" s="684">
        <f t="shared" si="413"/>
        <v>0</v>
      </c>
      <c r="BD119" s="674">
        <f t="shared" si="391"/>
        <v>0</v>
      </c>
      <c r="BE119" s="684">
        <f t="shared" si="378"/>
        <v>0</v>
      </c>
      <c r="BF119" s="1">
        <f t="shared" si="301"/>
        <v>0</v>
      </c>
      <c r="BG119" s="1">
        <f t="shared" si="332"/>
        <v>0</v>
      </c>
      <c r="BH119" s="1">
        <f t="shared" si="333"/>
        <v>0</v>
      </c>
      <c r="BI119" s="1">
        <f t="shared" si="334"/>
        <v>0</v>
      </c>
      <c r="BJ119" s="1">
        <f t="shared" si="335"/>
        <v>0</v>
      </c>
      <c r="BK119" s="1">
        <f t="shared" si="336"/>
        <v>0</v>
      </c>
      <c r="BL119" s="1">
        <f t="shared" si="337"/>
        <v>0</v>
      </c>
      <c r="BM119" s="1">
        <f t="shared" si="338"/>
        <v>0</v>
      </c>
      <c r="BN119" s="1">
        <f t="shared" si="339"/>
        <v>0</v>
      </c>
      <c r="BO119" s="69">
        <f t="shared" si="340"/>
        <v>0</v>
      </c>
      <c r="BP119" s="1">
        <f t="shared" si="404"/>
        <v>0</v>
      </c>
      <c r="BQ119" s="1">
        <f t="shared" si="215"/>
        <v>0</v>
      </c>
      <c r="BR119" s="1">
        <f t="shared" si="216"/>
        <v>0</v>
      </c>
      <c r="BS119" s="1">
        <f t="shared" si="217"/>
        <v>0</v>
      </c>
      <c r="BT119" s="1">
        <f t="shared" si="218"/>
        <v>0</v>
      </c>
      <c r="BU119" s="1">
        <f t="shared" si="219"/>
        <v>0</v>
      </c>
      <c r="BV119" s="1">
        <f t="shared" si="220"/>
        <v>0</v>
      </c>
      <c r="BW119" s="1">
        <f t="shared" si="221"/>
        <v>0</v>
      </c>
      <c r="BX119" s="1">
        <f t="shared" si="222"/>
        <v>0</v>
      </c>
      <c r="BY119" s="69">
        <f t="shared" si="223"/>
        <v>0</v>
      </c>
      <c r="BZ119" s="1">
        <f t="shared" si="302"/>
        <v>0</v>
      </c>
      <c r="CA119" s="1">
        <f t="shared" si="341"/>
        <v>0</v>
      </c>
      <c r="CB119" s="1">
        <f t="shared" si="342"/>
        <v>0</v>
      </c>
      <c r="CC119" s="1">
        <f t="shared" si="343"/>
        <v>0</v>
      </c>
      <c r="CD119" s="1">
        <f t="shared" si="344"/>
        <v>0</v>
      </c>
      <c r="CE119" s="1">
        <f t="shared" si="345"/>
        <v>0</v>
      </c>
      <c r="CF119" s="1">
        <f t="shared" si="346"/>
        <v>0</v>
      </c>
      <c r="CG119" s="1">
        <f t="shared" si="347"/>
        <v>0</v>
      </c>
      <c r="CH119" s="1">
        <f t="shared" si="348"/>
        <v>0</v>
      </c>
      <c r="CI119" s="69">
        <f t="shared" si="349"/>
        <v>0</v>
      </c>
      <c r="CJ119" s="1">
        <f t="shared" si="402"/>
        <v>0</v>
      </c>
      <c r="CK119" s="1">
        <f t="shared" si="392"/>
        <v>0</v>
      </c>
      <c r="CL119" s="1">
        <f t="shared" si="393"/>
        <v>0</v>
      </c>
      <c r="CM119" s="1">
        <f t="shared" si="394"/>
        <v>0</v>
      </c>
      <c r="CN119" s="1">
        <f t="shared" si="395"/>
        <v>0</v>
      </c>
      <c r="CO119" s="1">
        <f t="shared" si="396"/>
        <v>0</v>
      </c>
      <c r="CP119" s="1">
        <f t="shared" si="397"/>
        <v>0</v>
      </c>
      <c r="CQ119" s="1">
        <f t="shared" si="398"/>
        <v>0</v>
      </c>
      <c r="CR119" s="1">
        <f t="shared" si="399"/>
        <v>0</v>
      </c>
      <c r="CS119" s="69">
        <f t="shared" si="400"/>
        <v>0</v>
      </c>
      <c r="CT119" s="1">
        <f t="shared" si="303"/>
        <v>0</v>
      </c>
      <c r="CU119" s="1">
        <f t="shared" si="350"/>
        <v>0</v>
      </c>
      <c r="CV119" s="1">
        <f t="shared" si="351"/>
        <v>0</v>
      </c>
      <c r="CW119" s="1">
        <f t="shared" si="352"/>
        <v>0</v>
      </c>
      <c r="CX119" s="1">
        <f t="shared" si="353"/>
        <v>0</v>
      </c>
      <c r="CY119" s="1">
        <f t="shared" si="354"/>
        <v>0</v>
      </c>
      <c r="CZ119" s="1">
        <f t="shared" si="355"/>
        <v>0</v>
      </c>
      <c r="DA119" s="1">
        <f t="shared" si="356"/>
        <v>0</v>
      </c>
      <c r="DB119" s="1">
        <f t="shared" si="357"/>
        <v>0</v>
      </c>
      <c r="DC119" s="69">
        <f t="shared" si="358"/>
        <v>0</v>
      </c>
      <c r="DD119" s="1">
        <f t="shared" si="304"/>
        <v>0</v>
      </c>
      <c r="DE119" s="1">
        <f t="shared" si="359"/>
        <v>0</v>
      </c>
      <c r="DF119" s="1">
        <f t="shared" si="360"/>
        <v>0</v>
      </c>
      <c r="DG119" s="1">
        <f t="shared" si="361"/>
        <v>0</v>
      </c>
      <c r="DH119" s="1">
        <f t="shared" si="362"/>
        <v>0</v>
      </c>
      <c r="DI119" s="1">
        <f t="shared" si="363"/>
        <v>0</v>
      </c>
      <c r="DJ119" s="1">
        <f t="shared" si="364"/>
        <v>0</v>
      </c>
      <c r="DK119" s="1">
        <f t="shared" si="365"/>
        <v>0</v>
      </c>
      <c r="DL119" s="1">
        <f t="shared" si="366"/>
        <v>0</v>
      </c>
      <c r="DM119" s="69">
        <f t="shared" si="367"/>
        <v>0</v>
      </c>
      <c r="DN119" s="1">
        <f t="shared" si="305"/>
        <v>0</v>
      </c>
      <c r="DO119" s="1">
        <f t="shared" si="368"/>
        <v>0</v>
      </c>
      <c r="DP119" s="1">
        <f t="shared" si="369"/>
        <v>0</v>
      </c>
      <c r="DQ119" s="1">
        <f t="shared" si="370"/>
        <v>0</v>
      </c>
      <c r="DR119" s="1">
        <f t="shared" si="371"/>
        <v>0</v>
      </c>
      <c r="DS119" s="1">
        <f t="shared" si="372"/>
        <v>0</v>
      </c>
      <c r="DT119" s="1">
        <f t="shared" si="373"/>
        <v>0</v>
      </c>
      <c r="DU119" s="1">
        <f t="shared" si="374"/>
        <v>0</v>
      </c>
      <c r="DV119" s="1">
        <f t="shared" si="375"/>
        <v>0</v>
      </c>
      <c r="DW119" s="69">
        <f t="shared" si="376"/>
        <v>0</v>
      </c>
      <c r="DX119" s="1">
        <v>4</v>
      </c>
      <c r="DY119" s="69">
        <f t="shared" si="311"/>
        <v>88</v>
      </c>
      <c r="DZ119" s="1">
        <f t="shared" si="377"/>
        <v>0</v>
      </c>
      <c r="EA119" s="1">
        <f t="shared" si="381"/>
        <v>0</v>
      </c>
      <c r="EB119" s="1">
        <f t="shared" si="308"/>
        <v>0</v>
      </c>
      <c r="ED119" s="285">
        <f t="shared" si="309"/>
        <v>0</v>
      </c>
    </row>
    <row r="120" spans="1:134" ht="15" x14ac:dyDescent="0.25">
      <c r="A120" s="208" t="s">
        <v>665</v>
      </c>
      <c r="B120" s="800" t="s">
        <v>2345</v>
      </c>
      <c r="C120" s="197" t="s">
        <v>872</v>
      </c>
      <c r="D120" s="646" t="s">
        <v>1271</v>
      </c>
      <c r="E120" s="889"/>
      <c r="F120" s="633">
        <f t="shared" si="403"/>
        <v>8.6243999999999996</v>
      </c>
      <c r="G120" s="700"/>
      <c r="H120" s="342"/>
      <c r="I120" s="342"/>
      <c r="J120" s="342"/>
      <c r="K120" s="342">
        <v>4</v>
      </c>
      <c r="L120" s="342"/>
      <c r="M120" s="342"/>
      <c r="N120" s="665"/>
      <c r="O120" s="262"/>
      <c r="P120" s="262"/>
      <c r="Q120" s="262"/>
      <c r="R120" s="261"/>
      <c r="S120" s="262"/>
      <c r="T120" s="262"/>
      <c r="U120" s="262"/>
      <c r="V120" s="261"/>
      <c r="W120" s="262"/>
      <c r="X120" s="262"/>
      <c r="Y120" s="262"/>
      <c r="Z120" s="261"/>
      <c r="AA120" s="262"/>
      <c r="AB120" s="262"/>
      <c r="AC120" s="262"/>
      <c r="AD120" s="261"/>
      <c r="AE120" s="262"/>
      <c r="AF120" s="262"/>
      <c r="AH120" s="546">
        <f t="shared" si="307"/>
        <v>0</v>
      </c>
      <c r="AI120" s="66">
        <f t="shared" si="401"/>
        <v>0</v>
      </c>
      <c r="AL120" s="706" t="str">
        <f t="shared" si="310"/>
        <v>-ciclofiltro</v>
      </c>
      <c r="AM120" s="684">
        <f t="shared" si="405"/>
        <v>0</v>
      </c>
      <c r="AN120" s="674">
        <f t="shared" si="383"/>
        <v>0</v>
      </c>
      <c r="AO120" s="684">
        <f t="shared" si="406"/>
        <v>0</v>
      </c>
      <c r="AP120" s="674">
        <f t="shared" si="384"/>
        <v>0</v>
      </c>
      <c r="AQ120" s="684">
        <f t="shared" si="407"/>
        <v>0</v>
      </c>
      <c r="AR120" s="674">
        <f t="shared" si="385"/>
        <v>0</v>
      </c>
      <c r="AS120" s="684">
        <f t="shared" si="408"/>
        <v>0</v>
      </c>
      <c r="AT120" s="674">
        <f t="shared" si="386"/>
        <v>0</v>
      </c>
      <c r="AU120" s="684">
        <f t="shared" si="409"/>
        <v>0</v>
      </c>
      <c r="AV120" s="674">
        <f t="shared" si="387"/>
        <v>0</v>
      </c>
      <c r="AW120" s="684">
        <f t="shared" si="410"/>
        <v>0</v>
      </c>
      <c r="AX120" s="674">
        <f t="shared" si="388"/>
        <v>0</v>
      </c>
      <c r="AY120" s="684">
        <f t="shared" si="411"/>
        <v>0</v>
      </c>
      <c r="AZ120" s="674">
        <f t="shared" si="389"/>
        <v>0</v>
      </c>
      <c r="BA120" s="684">
        <f t="shared" si="412"/>
        <v>0</v>
      </c>
      <c r="BB120" s="674">
        <f t="shared" si="390"/>
        <v>0</v>
      </c>
      <c r="BC120" s="684">
        <f t="shared" si="413"/>
        <v>0</v>
      </c>
      <c r="BD120" s="674">
        <f t="shared" si="391"/>
        <v>0</v>
      </c>
      <c r="BE120" s="684">
        <f t="shared" si="378"/>
        <v>0</v>
      </c>
      <c r="BF120" s="1">
        <f t="shared" si="301"/>
        <v>0</v>
      </c>
      <c r="BG120" s="1">
        <f t="shared" si="332"/>
        <v>0</v>
      </c>
      <c r="BH120" s="1">
        <f t="shared" si="333"/>
        <v>0</v>
      </c>
      <c r="BI120" s="1">
        <f t="shared" si="334"/>
        <v>0</v>
      </c>
      <c r="BJ120" s="1">
        <f t="shared" si="335"/>
        <v>0</v>
      </c>
      <c r="BK120" s="1">
        <f t="shared" si="336"/>
        <v>0</v>
      </c>
      <c r="BL120" s="1">
        <f t="shared" si="337"/>
        <v>0</v>
      </c>
      <c r="BM120" s="1">
        <f t="shared" si="338"/>
        <v>0</v>
      </c>
      <c r="BN120" s="1">
        <f t="shared" si="339"/>
        <v>0</v>
      </c>
      <c r="BO120" s="69">
        <f t="shared" si="340"/>
        <v>0</v>
      </c>
      <c r="BP120" s="1">
        <f t="shared" si="404"/>
        <v>0</v>
      </c>
      <c r="BQ120" s="1">
        <f t="shared" si="215"/>
        <v>0</v>
      </c>
      <c r="BR120" s="1">
        <f t="shared" si="216"/>
        <v>0</v>
      </c>
      <c r="BS120" s="1">
        <f t="shared" si="217"/>
        <v>0</v>
      </c>
      <c r="BT120" s="1">
        <f t="shared" si="218"/>
        <v>0</v>
      </c>
      <c r="BU120" s="1">
        <f t="shared" si="219"/>
        <v>0</v>
      </c>
      <c r="BV120" s="1">
        <f t="shared" si="220"/>
        <v>0</v>
      </c>
      <c r="BW120" s="1">
        <f t="shared" si="221"/>
        <v>0</v>
      </c>
      <c r="BX120" s="1">
        <f t="shared" si="222"/>
        <v>0</v>
      </c>
      <c r="BY120" s="69">
        <f t="shared" si="223"/>
        <v>0</v>
      </c>
      <c r="BZ120" s="1">
        <f t="shared" si="302"/>
        <v>0</v>
      </c>
      <c r="CA120" s="1">
        <f t="shared" si="341"/>
        <v>0</v>
      </c>
      <c r="CB120" s="1">
        <f t="shared" si="342"/>
        <v>0</v>
      </c>
      <c r="CC120" s="1">
        <f t="shared" si="343"/>
        <v>0</v>
      </c>
      <c r="CD120" s="1">
        <f t="shared" si="344"/>
        <v>0</v>
      </c>
      <c r="CE120" s="1">
        <f t="shared" si="345"/>
        <v>0</v>
      </c>
      <c r="CF120" s="1">
        <f t="shared" si="346"/>
        <v>0</v>
      </c>
      <c r="CG120" s="1">
        <f t="shared" si="347"/>
        <v>0</v>
      </c>
      <c r="CH120" s="1">
        <f t="shared" si="348"/>
        <v>0</v>
      </c>
      <c r="CI120" s="69">
        <f t="shared" si="349"/>
        <v>0</v>
      </c>
      <c r="CJ120" s="1">
        <f t="shared" si="402"/>
        <v>0</v>
      </c>
      <c r="CK120" s="1">
        <f t="shared" si="392"/>
        <v>0</v>
      </c>
      <c r="CL120" s="1">
        <f t="shared" si="393"/>
        <v>0</v>
      </c>
      <c r="CM120" s="1">
        <f t="shared" si="394"/>
        <v>0</v>
      </c>
      <c r="CN120" s="1">
        <f t="shared" si="395"/>
        <v>0</v>
      </c>
      <c r="CO120" s="1">
        <f t="shared" si="396"/>
        <v>0</v>
      </c>
      <c r="CP120" s="1">
        <f t="shared" si="397"/>
        <v>0</v>
      </c>
      <c r="CQ120" s="1">
        <f t="shared" si="398"/>
        <v>0</v>
      </c>
      <c r="CR120" s="1">
        <f t="shared" si="399"/>
        <v>0</v>
      </c>
      <c r="CS120" s="69">
        <f t="shared" si="400"/>
        <v>0</v>
      </c>
      <c r="CT120" s="1">
        <f t="shared" si="303"/>
        <v>0</v>
      </c>
      <c r="CU120" s="1">
        <f t="shared" si="350"/>
        <v>0</v>
      </c>
      <c r="CV120" s="1">
        <f t="shared" si="351"/>
        <v>0</v>
      </c>
      <c r="CW120" s="1">
        <f t="shared" si="352"/>
        <v>0</v>
      </c>
      <c r="CX120" s="1">
        <f t="shared" si="353"/>
        <v>0</v>
      </c>
      <c r="CY120" s="1">
        <f t="shared" si="354"/>
        <v>0</v>
      </c>
      <c r="CZ120" s="1">
        <f t="shared" si="355"/>
        <v>0</v>
      </c>
      <c r="DA120" s="1">
        <f t="shared" si="356"/>
        <v>0</v>
      </c>
      <c r="DB120" s="1">
        <f t="shared" si="357"/>
        <v>0</v>
      </c>
      <c r="DC120" s="69">
        <f t="shared" si="358"/>
        <v>0</v>
      </c>
      <c r="DD120" s="1">
        <f t="shared" si="304"/>
        <v>0</v>
      </c>
      <c r="DE120" s="1">
        <f t="shared" si="359"/>
        <v>0</v>
      </c>
      <c r="DF120" s="1">
        <f t="shared" si="360"/>
        <v>0</v>
      </c>
      <c r="DG120" s="1">
        <f t="shared" si="361"/>
        <v>0</v>
      </c>
      <c r="DH120" s="1">
        <f t="shared" si="362"/>
        <v>0</v>
      </c>
      <c r="DI120" s="1">
        <f t="shared" si="363"/>
        <v>0</v>
      </c>
      <c r="DJ120" s="1">
        <f t="shared" si="364"/>
        <v>0</v>
      </c>
      <c r="DK120" s="1">
        <f t="shared" si="365"/>
        <v>0</v>
      </c>
      <c r="DL120" s="1">
        <f t="shared" si="366"/>
        <v>0</v>
      </c>
      <c r="DM120" s="69">
        <f t="shared" si="367"/>
        <v>0</v>
      </c>
      <c r="DN120" s="1">
        <f t="shared" si="305"/>
        <v>0</v>
      </c>
      <c r="DO120" s="1">
        <f t="shared" si="368"/>
        <v>0</v>
      </c>
      <c r="DP120" s="1">
        <f t="shared" si="369"/>
        <v>0</v>
      </c>
      <c r="DQ120" s="1">
        <f t="shared" si="370"/>
        <v>0</v>
      </c>
      <c r="DR120" s="1">
        <f t="shared" si="371"/>
        <v>0</v>
      </c>
      <c r="DS120" s="1">
        <f t="shared" si="372"/>
        <v>0</v>
      </c>
      <c r="DT120" s="1">
        <f t="shared" si="373"/>
        <v>0</v>
      </c>
      <c r="DU120" s="1">
        <f t="shared" si="374"/>
        <v>0</v>
      </c>
      <c r="DV120" s="1">
        <f t="shared" si="375"/>
        <v>0</v>
      </c>
      <c r="DW120" s="69">
        <f t="shared" si="376"/>
        <v>0</v>
      </c>
      <c r="DX120" s="1">
        <v>4</v>
      </c>
      <c r="DY120" s="69">
        <f t="shared" si="311"/>
        <v>89</v>
      </c>
      <c r="DZ120" s="202">
        <f>IF(C120="m",SUM(N120+P120+R120+T120+V120+X120+Z120+AB120+AD120+AF120)/4,0)</f>
        <v>0</v>
      </c>
      <c r="EA120" s="202">
        <f>IF(C120="a",SUM((N120+P120+R120+T120+V120+X120+Z120+AB120+AD120+AF120)/4,0))</f>
        <v>0</v>
      </c>
      <c r="EB120" s="1">
        <f t="shared" si="308"/>
        <v>0</v>
      </c>
      <c r="ED120" s="285">
        <f t="shared" si="309"/>
        <v>0</v>
      </c>
    </row>
    <row r="121" spans="1:134" ht="15" x14ac:dyDescent="0.25">
      <c r="A121" s="208" t="s">
        <v>665</v>
      </c>
      <c r="B121" s="801" t="s">
        <v>2346</v>
      </c>
      <c r="C121" s="197" t="s">
        <v>872</v>
      </c>
      <c r="D121" s="646" t="s">
        <v>1271</v>
      </c>
      <c r="E121" s="889"/>
      <c r="F121" s="633">
        <f t="shared" si="403"/>
        <v>8.6243999999999996</v>
      </c>
      <c r="G121" s="700"/>
      <c r="H121" s="342"/>
      <c r="I121" s="342"/>
      <c r="J121" s="342"/>
      <c r="K121" s="342">
        <v>5</v>
      </c>
      <c r="L121" s="342"/>
      <c r="M121" s="342"/>
      <c r="N121" s="665"/>
      <c r="O121" s="262"/>
      <c r="P121" s="262"/>
      <c r="Q121" s="262"/>
      <c r="R121" s="261"/>
      <c r="S121" s="262"/>
      <c r="T121" s="262"/>
      <c r="U121" s="262"/>
      <c r="V121" s="261"/>
      <c r="W121" s="262"/>
      <c r="X121" s="262"/>
      <c r="Y121" s="262"/>
      <c r="Z121" s="261"/>
      <c r="AA121" s="262"/>
      <c r="AB121" s="262"/>
      <c r="AC121" s="262"/>
      <c r="AD121" s="261"/>
      <c r="AE121" s="262"/>
      <c r="AF121" s="262"/>
      <c r="AH121" s="546">
        <f t="shared" si="307"/>
        <v>0</v>
      </c>
      <c r="AI121" s="66">
        <f t="shared" si="401"/>
        <v>0</v>
      </c>
      <c r="AL121" s="706" t="str">
        <f t="shared" si="310"/>
        <v>-ciclofiltro</v>
      </c>
      <c r="AM121" s="684">
        <f>N121*$F121</f>
        <v>0</v>
      </c>
      <c r="AN121" s="674">
        <f>P121*$E121</f>
        <v>0</v>
      </c>
      <c r="AO121" s="684">
        <f>P121*$F121</f>
        <v>0</v>
      </c>
      <c r="AP121" s="674">
        <f>R121*$E121</f>
        <v>0</v>
      </c>
      <c r="AQ121" s="684">
        <f>R121*$F121</f>
        <v>0</v>
      </c>
      <c r="AR121" s="674">
        <f>T121*$E121</f>
        <v>0</v>
      </c>
      <c r="AS121" s="684">
        <f>T121*$F121</f>
        <v>0</v>
      </c>
      <c r="AT121" s="674">
        <f>V121*$E121</f>
        <v>0</v>
      </c>
      <c r="AU121" s="684">
        <f>V121*$F121</f>
        <v>0</v>
      </c>
      <c r="AV121" s="674">
        <f>X121*$E121</f>
        <v>0</v>
      </c>
      <c r="AW121" s="684">
        <f>X121*$F121</f>
        <v>0</v>
      </c>
      <c r="AX121" s="674">
        <f>Z121*$E121</f>
        <v>0</v>
      </c>
      <c r="AY121" s="684">
        <f>Z121*$F121</f>
        <v>0</v>
      </c>
      <c r="AZ121" s="674">
        <f>AB121*$E121</f>
        <v>0</v>
      </c>
      <c r="BA121" s="684">
        <f>AB121*$F121</f>
        <v>0</v>
      </c>
      <c r="BB121" s="674">
        <f>AD121*$E121</f>
        <v>0</v>
      </c>
      <c r="BC121" s="684">
        <f>AD121*$F121</f>
        <v>0</v>
      </c>
      <c r="BD121" s="674">
        <f>AF121*$E121</f>
        <v>0</v>
      </c>
      <c r="BE121" s="684">
        <f>AF121*$F121</f>
        <v>0</v>
      </c>
      <c r="BF121" s="1">
        <f>N121*$G121</f>
        <v>0</v>
      </c>
      <c r="BG121" s="1">
        <f t="shared" si="332"/>
        <v>0</v>
      </c>
      <c r="BH121" s="1">
        <f t="shared" si="333"/>
        <v>0</v>
      </c>
      <c r="BI121" s="1">
        <f t="shared" si="334"/>
        <v>0</v>
      </c>
      <c r="BJ121" s="1">
        <f t="shared" si="335"/>
        <v>0</v>
      </c>
      <c r="BK121" s="1">
        <f t="shared" si="336"/>
        <v>0</v>
      </c>
      <c r="BL121" s="1">
        <f t="shared" si="337"/>
        <v>0</v>
      </c>
      <c r="BM121" s="1">
        <f t="shared" si="338"/>
        <v>0</v>
      </c>
      <c r="BN121" s="1">
        <f t="shared" si="339"/>
        <v>0</v>
      </c>
      <c r="BO121" s="69">
        <f t="shared" si="340"/>
        <v>0</v>
      </c>
      <c r="BP121" s="1">
        <f>N121*$H121</f>
        <v>0</v>
      </c>
      <c r="BQ121" s="1">
        <f>P121*$H121</f>
        <v>0</v>
      </c>
      <c r="BR121" s="1">
        <f>R121*$H121</f>
        <v>0</v>
      </c>
      <c r="BS121" s="1">
        <f>T121*$H121</f>
        <v>0</v>
      </c>
      <c r="BT121" s="1">
        <f>V121*$H121</f>
        <v>0</v>
      </c>
      <c r="BU121" s="1">
        <f>X121*$H121</f>
        <v>0</v>
      </c>
      <c r="BV121" s="1">
        <f>Z121*$H121</f>
        <v>0</v>
      </c>
      <c r="BW121" s="1">
        <f>AB121*$H121</f>
        <v>0</v>
      </c>
      <c r="BX121" s="1">
        <f>AD121*$H121</f>
        <v>0</v>
      </c>
      <c r="BY121" s="69">
        <f>AF121*$H121</f>
        <v>0</v>
      </c>
      <c r="BZ121" s="1">
        <f>N121*$I121</f>
        <v>0</v>
      </c>
      <c r="CA121" s="1">
        <f t="shared" si="341"/>
        <v>0</v>
      </c>
      <c r="CB121" s="1">
        <f t="shared" si="342"/>
        <v>0</v>
      </c>
      <c r="CC121" s="1">
        <f t="shared" si="343"/>
        <v>0</v>
      </c>
      <c r="CD121" s="1">
        <f t="shared" si="344"/>
        <v>0</v>
      </c>
      <c r="CE121" s="1">
        <f t="shared" si="345"/>
        <v>0</v>
      </c>
      <c r="CF121" s="1">
        <f t="shared" si="346"/>
        <v>0</v>
      </c>
      <c r="CG121" s="1">
        <f t="shared" si="347"/>
        <v>0</v>
      </c>
      <c r="CH121" s="1">
        <f t="shared" si="348"/>
        <v>0</v>
      </c>
      <c r="CI121" s="69">
        <f t="shared" si="349"/>
        <v>0</v>
      </c>
      <c r="CJ121" s="1">
        <f t="shared" si="402"/>
        <v>0</v>
      </c>
      <c r="CK121" s="1">
        <f>P121*$J121</f>
        <v>0</v>
      </c>
      <c r="CL121" s="1">
        <f>R121*$J121</f>
        <v>0</v>
      </c>
      <c r="CM121" s="1">
        <f>T121*$J121</f>
        <v>0</v>
      </c>
      <c r="CN121" s="1">
        <f>V121*$J121</f>
        <v>0</v>
      </c>
      <c r="CO121" s="1">
        <f>X121*$J121</f>
        <v>0</v>
      </c>
      <c r="CP121" s="1">
        <f>Z121*$J121</f>
        <v>0</v>
      </c>
      <c r="CQ121" s="1">
        <f>AB121*$J121</f>
        <v>0</v>
      </c>
      <c r="CR121" s="1">
        <f>AD121*$J121</f>
        <v>0</v>
      </c>
      <c r="CS121" s="69">
        <f>AF121*$J121</f>
        <v>0</v>
      </c>
      <c r="CT121" s="1">
        <f>N121*$K121</f>
        <v>0</v>
      </c>
      <c r="CU121" s="1">
        <f t="shared" si="350"/>
        <v>0</v>
      </c>
      <c r="CV121" s="1">
        <f t="shared" si="351"/>
        <v>0</v>
      </c>
      <c r="CW121" s="1">
        <f t="shared" si="352"/>
        <v>0</v>
      </c>
      <c r="CX121" s="1">
        <f t="shared" si="353"/>
        <v>0</v>
      </c>
      <c r="CY121" s="1">
        <f t="shared" si="354"/>
        <v>0</v>
      </c>
      <c r="CZ121" s="1">
        <f t="shared" si="355"/>
        <v>0</v>
      </c>
      <c r="DA121" s="1">
        <f t="shared" si="356"/>
        <v>0</v>
      </c>
      <c r="DB121" s="1">
        <f t="shared" si="357"/>
        <v>0</v>
      </c>
      <c r="DC121" s="69">
        <f t="shared" si="358"/>
        <v>0</v>
      </c>
      <c r="DD121" s="1">
        <f>N121*$L121</f>
        <v>0</v>
      </c>
      <c r="DE121" s="1">
        <f t="shared" si="359"/>
        <v>0</v>
      </c>
      <c r="DF121" s="1">
        <f t="shared" si="360"/>
        <v>0</v>
      </c>
      <c r="DG121" s="1">
        <f t="shared" si="361"/>
        <v>0</v>
      </c>
      <c r="DH121" s="1">
        <f t="shared" si="362"/>
        <v>0</v>
      </c>
      <c r="DI121" s="1">
        <f t="shared" si="363"/>
        <v>0</v>
      </c>
      <c r="DJ121" s="1">
        <f t="shared" si="364"/>
        <v>0</v>
      </c>
      <c r="DK121" s="1">
        <f t="shared" si="365"/>
        <v>0</v>
      </c>
      <c r="DL121" s="1">
        <f t="shared" si="366"/>
        <v>0</v>
      </c>
      <c r="DM121" s="69">
        <f t="shared" si="367"/>
        <v>0</v>
      </c>
      <c r="DN121" s="1">
        <f>N121*$M121</f>
        <v>0</v>
      </c>
      <c r="DO121" s="1">
        <f t="shared" si="368"/>
        <v>0</v>
      </c>
      <c r="DP121" s="1">
        <f t="shared" si="369"/>
        <v>0</v>
      </c>
      <c r="DQ121" s="1">
        <f t="shared" si="370"/>
        <v>0</v>
      </c>
      <c r="DR121" s="1">
        <f t="shared" si="371"/>
        <v>0</v>
      </c>
      <c r="DS121" s="1">
        <f t="shared" si="372"/>
        <v>0</v>
      </c>
      <c r="DT121" s="1">
        <f t="shared" si="373"/>
        <v>0</v>
      </c>
      <c r="DU121" s="1">
        <f t="shared" si="374"/>
        <v>0</v>
      </c>
      <c r="DV121" s="1">
        <f t="shared" si="375"/>
        <v>0</v>
      </c>
      <c r="DW121" s="69">
        <f t="shared" si="376"/>
        <v>0</v>
      </c>
      <c r="DX121" s="1">
        <v>5</v>
      </c>
      <c r="DY121" s="69">
        <f t="shared" si="311"/>
        <v>90</v>
      </c>
      <c r="DZ121" s="202">
        <f>IF(C121="m",SUM(N121+P121+R121+T121+V121+X121+Z121+AB121+AD121+AF121)/4,0)</f>
        <v>0</v>
      </c>
      <c r="EA121" s="202">
        <f>IF(C121="a",SUM((N121+P121+R121+T121+V121+X121+Z121+AB121+AD121+AF121)/4,0))</f>
        <v>0</v>
      </c>
      <c r="EB121" s="1">
        <f t="shared" si="308"/>
        <v>0</v>
      </c>
      <c r="ED121" s="285">
        <f t="shared" si="309"/>
        <v>0</v>
      </c>
    </row>
    <row r="122" spans="1:134" ht="15.75" thickBot="1" x14ac:dyDescent="0.3">
      <c r="A122" s="208" t="s">
        <v>665</v>
      </c>
      <c r="B122" s="803" t="s">
        <v>2347</v>
      </c>
      <c r="C122" s="197" t="s">
        <v>872</v>
      </c>
      <c r="D122" s="646" t="s">
        <v>1271</v>
      </c>
      <c r="E122" s="889"/>
      <c r="F122" s="633">
        <f t="shared" si="403"/>
        <v>8.6243999999999996</v>
      </c>
      <c r="G122" s="700"/>
      <c r="H122" s="342"/>
      <c r="I122" s="342"/>
      <c r="J122" s="342"/>
      <c r="K122" s="342">
        <v>6</v>
      </c>
      <c r="L122" s="342"/>
      <c r="M122" s="342"/>
      <c r="N122" s="665"/>
      <c r="O122" s="262"/>
      <c r="P122" s="262"/>
      <c r="Q122" s="262"/>
      <c r="R122" s="261"/>
      <c r="S122" s="262"/>
      <c r="T122" s="262"/>
      <c r="U122" s="262"/>
      <c r="V122" s="261"/>
      <c r="W122" s="262"/>
      <c r="X122" s="262"/>
      <c r="Y122" s="262"/>
      <c r="Z122" s="261"/>
      <c r="AA122" s="262"/>
      <c r="AB122" s="262"/>
      <c r="AC122" s="262"/>
      <c r="AD122" s="261"/>
      <c r="AE122" s="262"/>
      <c r="AF122" s="262"/>
      <c r="AH122" s="546">
        <f t="shared" ref="AH122:AH155" si="414">AI122+AN122+AP122+AR122+AT122+AV122+AX122+AZ122+BB122+BD122</f>
        <v>0</v>
      </c>
      <c r="AI122" s="66">
        <f t="shared" si="401"/>
        <v>0</v>
      </c>
      <c r="AL122" s="706" t="str">
        <f t="shared" si="310"/>
        <v>-ciclofiltro</v>
      </c>
      <c r="AM122" s="684">
        <f>N122*$F122</f>
        <v>0</v>
      </c>
      <c r="AN122" s="674">
        <f>P122*$E122</f>
        <v>0</v>
      </c>
      <c r="AO122" s="684">
        <f>P122*$F122</f>
        <v>0</v>
      </c>
      <c r="AP122" s="674">
        <f>R122*$E122</f>
        <v>0</v>
      </c>
      <c r="AQ122" s="684">
        <f>R122*$F122</f>
        <v>0</v>
      </c>
      <c r="AR122" s="674">
        <f>T122*$E122</f>
        <v>0</v>
      </c>
      <c r="AS122" s="684">
        <f>T122*$F122</f>
        <v>0</v>
      </c>
      <c r="AT122" s="674">
        <f>V122*$E122</f>
        <v>0</v>
      </c>
      <c r="AU122" s="684">
        <f>V122*$F122</f>
        <v>0</v>
      </c>
      <c r="AV122" s="674">
        <f>X122*$E122</f>
        <v>0</v>
      </c>
      <c r="AW122" s="684">
        <f>X122*$F122</f>
        <v>0</v>
      </c>
      <c r="AX122" s="674">
        <f>Z122*$E122</f>
        <v>0</v>
      </c>
      <c r="AY122" s="684">
        <f>Z122*$F122</f>
        <v>0</v>
      </c>
      <c r="AZ122" s="674">
        <f>AB122*$E122</f>
        <v>0</v>
      </c>
      <c r="BA122" s="684">
        <f>AB122*$F122</f>
        <v>0</v>
      </c>
      <c r="BB122" s="674">
        <f>AD122*$E122</f>
        <v>0</v>
      </c>
      <c r="BC122" s="684">
        <f>AD122*$F122</f>
        <v>0</v>
      </c>
      <c r="BD122" s="674">
        <f>AF122*$E122</f>
        <v>0</v>
      </c>
      <c r="BE122" s="684">
        <f>AF122*$F122</f>
        <v>0</v>
      </c>
      <c r="BF122" s="1">
        <f>N122*$G122</f>
        <v>0</v>
      </c>
      <c r="BG122" s="1">
        <f t="shared" si="332"/>
        <v>0</v>
      </c>
      <c r="BH122" s="1">
        <f t="shared" si="333"/>
        <v>0</v>
      </c>
      <c r="BI122" s="1">
        <f t="shared" si="334"/>
        <v>0</v>
      </c>
      <c r="BJ122" s="1">
        <f t="shared" si="335"/>
        <v>0</v>
      </c>
      <c r="BK122" s="1">
        <f t="shared" si="336"/>
        <v>0</v>
      </c>
      <c r="BL122" s="1">
        <f t="shared" si="337"/>
        <v>0</v>
      </c>
      <c r="BM122" s="1">
        <f t="shared" si="338"/>
        <v>0</v>
      </c>
      <c r="BN122" s="1">
        <f t="shared" si="339"/>
        <v>0</v>
      </c>
      <c r="BO122" s="69">
        <f t="shared" si="340"/>
        <v>0</v>
      </c>
      <c r="BP122" s="1">
        <f>N122*$H122</f>
        <v>0</v>
      </c>
      <c r="BQ122" s="1">
        <f>P122*$H122</f>
        <v>0</v>
      </c>
      <c r="BR122" s="1">
        <f>R122*$H122</f>
        <v>0</v>
      </c>
      <c r="BS122" s="1">
        <f>T122*$H122</f>
        <v>0</v>
      </c>
      <c r="BT122" s="1">
        <f>V122*$H122</f>
        <v>0</v>
      </c>
      <c r="BU122" s="1">
        <f>X122*$H122</f>
        <v>0</v>
      </c>
      <c r="BV122" s="1">
        <f>Z122*$H122</f>
        <v>0</v>
      </c>
      <c r="BW122" s="1">
        <f>AB122*$H122</f>
        <v>0</v>
      </c>
      <c r="BX122" s="1">
        <f>AD122*$H122</f>
        <v>0</v>
      </c>
      <c r="BY122" s="69">
        <f>AF122*$H122</f>
        <v>0</v>
      </c>
      <c r="BZ122" s="1">
        <f>N122*$I122</f>
        <v>0</v>
      </c>
      <c r="CA122" s="1">
        <f t="shared" si="341"/>
        <v>0</v>
      </c>
      <c r="CB122" s="1">
        <f t="shared" si="342"/>
        <v>0</v>
      </c>
      <c r="CC122" s="1">
        <f t="shared" si="343"/>
        <v>0</v>
      </c>
      <c r="CD122" s="1">
        <f t="shared" si="344"/>
        <v>0</v>
      </c>
      <c r="CE122" s="1">
        <f t="shared" si="345"/>
        <v>0</v>
      </c>
      <c r="CF122" s="1">
        <f t="shared" si="346"/>
        <v>0</v>
      </c>
      <c r="CG122" s="1">
        <f t="shared" si="347"/>
        <v>0</v>
      </c>
      <c r="CH122" s="1">
        <f t="shared" si="348"/>
        <v>0</v>
      </c>
      <c r="CI122" s="69">
        <f t="shared" si="349"/>
        <v>0</v>
      </c>
      <c r="CJ122" s="1">
        <f t="shared" si="402"/>
        <v>0</v>
      </c>
      <c r="CK122" s="1">
        <f>P122*$J122</f>
        <v>0</v>
      </c>
      <c r="CL122" s="1">
        <f>R122*$J122</f>
        <v>0</v>
      </c>
      <c r="CM122" s="1">
        <f>T122*$J122</f>
        <v>0</v>
      </c>
      <c r="CN122" s="1">
        <f>V122*$J122</f>
        <v>0</v>
      </c>
      <c r="CO122" s="1">
        <f>X122*$J122</f>
        <v>0</v>
      </c>
      <c r="CP122" s="1">
        <f>Z122*$J122</f>
        <v>0</v>
      </c>
      <c r="CQ122" s="1">
        <f>AB122*$J122</f>
        <v>0</v>
      </c>
      <c r="CR122" s="1">
        <f>AD122*$J122</f>
        <v>0</v>
      </c>
      <c r="CS122" s="69">
        <f>AF122*$J122</f>
        <v>0</v>
      </c>
      <c r="CT122" s="1">
        <f>N122*$K122</f>
        <v>0</v>
      </c>
      <c r="CU122" s="1">
        <f t="shared" si="350"/>
        <v>0</v>
      </c>
      <c r="CV122" s="1">
        <f t="shared" si="351"/>
        <v>0</v>
      </c>
      <c r="CW122" s="1">
        <f t="shared" si="352"/>
        <v>0</v>
      </c>
      <c r="CX122" s="1">
        <f t="shared" si="353"/>
        <v>0</v>
      </c>
      <c r="CY122" s="1">
        <f t="shared" si="354"/>
        <v>0</v>
      </c>
      <c r="CZ122" s="1">
        <f t="shared" si="355"/>
        <v>0</v>
      </c>
      <c r="DA122" s="1">
        <f t="shared" si="356"/>
        <v>0</v>
      </c>
      <c r="DB122" s="1">
        <f t="shared" si="357"/>
        <v>0</v>
      </c>
      <c r="DC122" s="69">
        <f t="shared" si="358"/>
        <v>0</v>
      </c>
      <c r="DD122" s="1">
        <f>N122*$L122</f>
        <v>0</v>
      </c>
      <c r="DE122" s="1">
        <f t="shared" si="359"/>
        <v>0</v>
      </c>
      <c r="DF122" s="1">
        <f t="shared" si="360"/>
        <v>0</v>
      </c>
      <c r="DG122" s="1">
        <f t="shared" si="361"/>
        <v>0</v>
      </c>
      <c r="DH122" s="1">
        <f t="shared" si="362"/>
        <v>0</v>
      </c>
      <c r="DI122" s="1">
        <f t="shared" si="363"/>
        <v>0</v>
      </c>
      <c r="DJ122" s="1">
        <f t="shared" si="364"/>
        <v>0</v>
      </c>
      <c r="DK122" s="1">
        <f t="shared" si="365"/>
        <v>0</v>
      </c>
      <c r="DL122" s="1">
        <f t="shared" si="366"/>
        <v>0</v>
      </c>
      <c r="DM122" s="69">
        <f t="shared" si="367"/>
        <v>0</v>
      </c>
      <c r="DN122" s="1">
        <f>N122*$M122</f>
        <v>0</v>
      </c>
      <c r="DO122" s="1">
        <f t="shared" si="368"/>
        <v>0</v>
      </c>
      <c r="DP122" s="1">
        <f t="shared" si="369"/>
        <v>0</v>
      </c>
      <c r="DQ122" s="1">
        <f t="shared" si="370"/>
        <v>0</v>
      </c>
      <c r="DR122" s="1">
        <f t="shared" si="371"/>
        <v>0</v>
      </c>
      <c r="DS122" s="1">
        <f t="shared" si="372"/>
        <v>0</v>
      </c>
      <c r="DT122" s="1">
        <f t="shared" si="373"/>
        <v>0</v>
      </c>
      <c r="DU122" s="1">
        <f t="shared" si="374"/>
        <v>0</v>
      </c>
      <c r="DV122" s="1">
        <f t="shared" si="375"/>
        <v>0</v>
      </c>
      <c r="DW122" s="69">
        <f t="shared" si="376"/>
        <v>0</v>
      </c>
      <c r="DX122" s="1">
        <v>6</v>
      </c>
      <c r="DY122" s="69">
        <f t="shared" si="311"/>
        <v>91</v>
      </c>
      <c r="DZ122" s="202">
        <f>IF(C122="m",SUM(N122+P122+R122+T122+V122+X122+Z122+AB122+AD122+AF122)/4,0)</f>
        <v>0</v>
      </c>
      <c r="EA122" s="202">
        <f>IF(C122="a",SUM((N122+P122+R122+T122+V122+X122+Z122+AB122+AD122+AF122)/4,0))</f>
        <v>0</v>
      </c>
      <c r="EB122" s="1">
        <f t="shared" ref="EB122:EB155" si="415">IF(C122="r",SUM(N122+P122+R122+T122+V122+X122+Z122+AB122+AD122+AF122),0)</f>
        <v>0</v>
      </c>
      <c r="ED122" s="285">
        <f t="shared" ref="ED122:ED155" si="416">SUM(N122:AF122)*EC122</f>
        <v>0</v>
      </c>
    </row>
    <row r="123" spans="1:134" ht="15" thickBot="1" x14ac:dyDescent="0.25">
      <c r="A123" s="208" t="s">
        <v>665</v>
      </c>
      <c r="B123" s="808" t="s">
        <v>1031</v>
      </c>
      <c r="C123" s="196" t="s">
        <v>872</v>
      </c>
      <c r="D123" s="647" t="s">
        <v>698</v>
      </c>
      <c r="E123" s="889"/>
      <c r="F123" s="633">
        <f t="shared" si="403"/>
        <v>0</v>
      </c>
      <c r="G123" s="700"/>
      <c r="H123" s="342"/>
      <c r="I123" s="342"/>
      <c r="J123" s="342">
        <v>1</v>
      </c>
      <c r="K123" s="342"/>
      <c r="L123" s="342"/>
      <c r="M123" s="342"/>
      <c r="N123" s="666">
        <f>N113</f>
        <v>0</v>
      </c>
      <c r="O123" s="527"/>
      <c r="P123" s="527">
        <f>P113</f>
        <v>0</v>
      </c>
      <c r="Q123" s="527"/>
      <c r="R123" s="527">
        <f>R113</f>
        <v>0</v>
      </c>
      <c r="S123" s="527"/>
      <c r="T123" s="527">
        <f>T113</f>
        <v>0</v>
      </c>
      <c r="U123" s="527"/>
      <c r="V123" s="527">
        <f>V113</f>
        <v>0</v>
      </c>
      <c r="W123" s="527"/>
      <c r="X123" s="527">
        <f>X113</f>
        <v>0</v>
      </c>
      <c r="Y123" s="527"/>
      <c r="Z123" s="527">
        <f>Z113</f>
        <v>0</v>
      </c>
      <c r="AA123" s="527"/>
      <c r="AB123" s="527">
        <f>AB113</f>
        <v>0</v>
      </c>
      <c r="AC123" s="528"/>
      <c r="AD123" s="527">
        <f>AD113</f>
        <v>0</v>
      </c>
      <c r="AE123" s="528"/>
      <c r="AF123" s="527">
        <f>AF113</f>
        <v>0</v>
      </c>
      <c r="AG123" s="346"/>
      <c r="AH123" s="546">
        <f t="shared" si="414"/>
        <v>0</v>
      </c>
      <c r="AI123" s="66">
        <f t="shared" si="401"/>
        <v>0</v>
      </c>
      <c r="AL123" s="706" t="str">
        <f t="shared" si="310"/>
        <v>-livello minimo</v>
      </c>
      <c r="AM123" s="684">
        <f t="shared" si="405"/>
        <v>0</v>
      </c>
      <c r="AN123" s="674">
        <f t="shared" si="383"/>
        <v>0</v>
      </c>
      <c r="AO123" s="684">
        <f t="shared" si="406"/>
        <v>0</v>
      </c>
      <c r="AP123" s="674">
        <f t="shared" si="384"/>
        <v>0</v>
      </c>
      <c r="AQ123" s="684">
        <f t="shared" si="407"/>
        <v>0</v>
      </c>
      <c r="AR123" s="674">
        <f t="shared" si="385"/>
        <v>0</v>
      </c>
      <c r="AS123" s="684">
        <f t="shared" si="408"/>
        <v>0</v>
      </c>
      <c r="AT123" s="674">
        <f t="shared" si="386"/>
        <v>0</v>
      </c>
      <c r="AU123" s="684">
        <f t="shared" si="409"/>
        <v>0</v>
      </c>
      <c r="AV123" s="674">
        <f t="shared" si="387"/>
        <v>0</v>
      </c>
      <c r="AW123" s="684">
        <f t="shared" si="410"/>
        <v>0</v>
      </c>
      <c r="AX123" s="674">
        <f t="shared" si="388"/>
        <v>0</v>
      </c>
      <c r="AY123" s="684">
        <f t="shared" si="411"/>
        <v>0</v>
      </c>
      <c r="AZ123" s="674">
        <f t="shared" si="389"/>
        <v>0</v>
      </c>
      <c r="BA123" s="684">
        <f t="shared" si="412"/>
        <v>0</v>
      </c>
      <c r="BB123" s="674">
        <f t="shared" si="390"/>
        <v>0</v>
      </c>
      <c r="BC123" s="684">
        <f t="shared" si="413"/>
        <v>0</v>
      </c>
      <c r="BD123" s="674">
        <f t="shared" si="391"/>
        <v>0</v>
      </c>
      <c r="BE123" s="684">
        <f t="shared" si="378"/>
        <v>0</v>
      </c>
      <c r="BF123" s="1">
        <f t="shared" si="301"/>
        <v>0</v>
      </c>
      <c r="BG123" s="1">
        <f t="shared" si="332"/>
        <v>0</v>
      </c>
      <c r="BH123" s="1">
        <f t="shared" si="333"/>
        <v>0</v>
      </c>
      <c r="BI123" s="1">
        <f t="shared" si="334"/>
        <v>0</v>
      </c>
      <c r="BJ123" s="1">
        <f t="shared" si="335"/>
        <v>0</v>
      </c>
      <c r="BK123" s="1">
        <f t="shared" si="336"/>
        <v>0</v>
      </c>
      <c r="BL123" s="1">
        <f t="shared" si="337"/>
        <v>0</v>
      </c>
      <c r="BM123" s="1">
        <f t="shared" si="338"/>
        <v>0</v>
      </c>
      <c r="BN123" s="1">
        <f t="shared" si="339"/>
        <v>0</v>
      </c>
      <c r="BO123" s="69">
        <f t="shared" si="340"/>
        <v>0</v>
      </c>
      <c r="BP123" s="1">
        <f t="shared" si="404"/>
        <v>0</v>
      </c>
      <c r="BQ123" s="1">
        <f t="shared" si="215"/>
        <v>0</v>
      </c>
      <c r="BR123" s="1">
        <f t="shared" si="216"/>
        <v>0</v>
      </c>
      <c r="BS123" s="1">
        <f t="shared" si="217"/>
        <v>0</v>
      </c>
      <c r="BT123" s="1">
        <f t="shared" si="218"/>
        <v>0</v>
      </c>
      <c r="BU123" s="1">
        <f t="shared" si="219"/>
        <v>0</v>
      </c>
      <c r="BV123" s="1">
        <f t="shared" si="220"/>
        <v>0</v>
      </c>
      <c r="BW123" s="1">
        <f t="shared" si="221"/>
        <v>0</v>
      </c>
      <c r="BX123" s="1">
        <f t="shared" si="222"/>
        <v>0</v>
      </c>
      <c r="BY123" s="69">
        <f t="shared" si="223"/>
        <v>0</v>
      </c>
      <c r="BZ123" s="1">
        <f t="shared" si="302"/>
        <v>0</v>
      </c>
      <c r="CA123" s="1">
        <f t="shared" si="341"/>
        <v>0</v>
      </c>
      <c r="CB123" s="1">
        <f t="shared" si="342"/>
        <v>0</v>
      </c>
      <c r="CC123" s="1">
        <f t="shared" si="343"/>
        <v>0</v>
      </c>
      <c r="CD123" s="1">
        <f t="shared" si="344"/>
        <v>0</v>
      </c>
      <c r="CE123" s="1">
        <f t="shared" si="345"/>
        <v>0</v>
      </c>
      <c r="CF123" s="1">
        <f t="shared" si="346"/>
        <v>0</v>
      </c>
      <c r="CG123" s="1">
        <f t="shared" si="347"/>
        <v>0</v>
      </c>
      <c r="CH123" s="1">
        <f t="shared" si="348"/>
        <v>0</v>
      </c>
      <c r="CI123" s="69">
        <f t="shared" si="349"/>
        <v>0</v>
      </c>
      <c r="CJ123" s="1">
        <f t="shared" si="402"/>
        <v>0</v>
      </c>
      <c r="CK123" s="1">
        <f t="shared" si="392"/>
        <v>0</v>
      </c>
      <c r="CL123" s="1">
        <f t="shared" si="393"/>
        <v>0</v>
      </c>
      <c r="CM123" s="1">
        <f t="shared" si="394"/>
        <v>0</v>
      </c>
      <c r="CN123" s="1">
        <f t="shared" si="395"/>
        <v>0</v>
      </c>
      <c r="CO123" s="1">
        <f t="shared" si="396"/>
        <v>0</v>
      </c>
      <c r="CP123" s="1">
        <f t="shared" si="397"/>
        <v>0</v>
      </c>
      <c r="CQ123" s="1">
        <f t="shared" si="398"/>
        <v>0</v>
      </c>
      <c r="CR123" s="1">
        <f t="shared" si="399"/>
        <v>0</v>
      </c>
      <c r="CS123" s="69">
        <f t="shared" si="400"/>
        <v>0</v>
      </c>
      <c r="CT123" s="1">
        <f t="shared" si="303"/>
        <v>0</v>
      </c>
      <c r="CU123" s="1">
        <f t="shared" si="350"/>
        <v>0</v>
      </c>
      <c r="CV123" s="1">
        <f t="shared" si="351"/>
        <v>0</v>
      </c>
      <c r="CW123" s="1">
        <f t="shared" si="352"/>
        <v>0</v>
      </c>
      <c r="CX123" s="1">
        <f t="shared" si="353"/>
        <v>0</v>
      </c>
      <c r="CY123" s="1">
        <f t="shared" si="354"/>
        <v>0</v>
      </c>
      <c r="CZ123" s="1">
        <f t="shared" si="355"/>
        <v>0</v>
      </c>
      <c r="DA123" s="1">
        <f t="shared" si="356"/>
        <v>0</v>
      </c>
      <c r="DB123" s="1">
        <f t="shared" si="357"/>
        <v>0</v>
      </c>
      <c r="DC123" s="69">
        <f t="shared" si="358"/>
        <v>0</v>
      </c>
      <c r="DD123" s="1">
        <f t="shared" si="304"/>
        <v>0</v>
      </c>
      <c r="DE123" s="1">
        <f t="shared" si="359"/>
        <v>0</v>
      </c>
      <c r="DF123" s="1">
        <f t="shared" si="360"/>
        <v>0</v>
      </c>
      <c r="DG123" s="1">
        <f t="shared" si="361"/>
        <v>0</v>
      </c>
      <c r="DH123" s="1">
        <f t="shared" si="362"/>
        <v>0</v>
      </c>
      <c r="DI123" s="1">
        <f t="shared" si="363"/>
        <v>0</v>
      </c>
      <c r="DJ123" s="1">
        <f t="shared" si="364"/>
        <v>0</v>
      </c>
      <c r="DK123" s="1">
        <f t="shared" si="365"/>
        <v>0</v>
      </c>
      <c r="DL123" s="1">
        <f t="shared" si="366"/>
        <v>0</v>
      </c>
      <c r="DM123" s="69">
        <f t="shared" si="367"/>
        <v>0</v>
      </c>
      <c r="DN123" s="1">
        <f t="shared" si="305"/>
        <v>0</v>
      </c>
      <c r="DO123" s="1">
        <f t="shared" si="368"/>
        <v>0</v>
      </c>
      <c r="DP123" s="1">
        <f t="shared" si="369"/>
        <v>0</v>
      </c>
      <c r="DQ123" s="1">
        <f t="shared" si="370"/>
        <v>0</v>
      </c>
      <c r="DR123" s="1">
        <f t="shared" si="371"/>
        <v>0</v>
      </c>
      <c r="DS123" s="1">
        <f t="shared" si="372"/>
        <v>0</v>
      </c>
      <c r="DT123" s="1">
        <f t="shared" si="373"/>
        <v>0</v>
      </c>
      <c r="DU123" s="1">
        <f t="shared" si="374"/>
        <v>0</v>
      </c>
      <c r="DV123" s="1">
        <f t="shared" si="375"/>
        <v>0</v>
      </c>
      <c r="DW123" s="69">
        <f t="shared" si="376"/>
        <v>0</v>
      </c>
      <c r="DX123" s="1">
        <v>4</v>
      </c>
      <c r="DY123" s="69">
        <f t="shared" si="311"/>
        <v>92</v>
      </c>
      <c r="DZ123" s="1">
        <f t="shared" ref="DZ123:DZ167" si="417">IF(C123="m",SUM(N123+P123+R123+T123+V123+X123+Z123+AB123+AD123+AF123),0)</f>
        <v>0</v>
      </c>
      <c r="EA123" s="1">
        <f t="shared" ref="EA123:EA167" si="418">IF(C123="a",SUM(N123+P123+R123+T123+V123+X123+Z123+AB123+AD123+AF123),0)</f>
        <v>0</v>
      </c>
      <c r="EB123" s="1">
        <f t="shared" si="415"/>
        <v>0</v>
      </c>
      <c r="ED123" s="285">
        <f t="shared" si="416"/>
        <v>0</v>
      </c>
    </row>
    <row r="124" spans="1:134" x14ac:dyDescent="0.2">
      <c r="A124" s="208" t="s">
        <v>665</v>
      </c>
      <c r="B124" s="812" t="s">
        <v>1032</v>
      </c>
      <c r="C124" s="199" t="s">
        <v>872</v>
      </c>
      <c r="D124" s="646" t="s">
        <v>699</v>
      </c>
      <c r="E124" s="889"/>
      <c r="F124" s="633">
        <f t="shared" si="403"/>
        <v>0</v>
      </c>
      <c r="G124" s="700"/>
      <c r="H124" s="342"/>
      <c r="I124" s="342"/>
      <c r="J124" s="342">
        <v>1</v>
      </c>
      <c r="K124" s="342"/>
      <c r="L124" s="342"/>
      <c r="M124" s="342"/>
      <c r="N124" s="662"/>
      <c r="O124" s="258"/>
      <c r="P124" s="258"/>
      <c r="Q124" s="258"/>
      <c r="R124" s="257"/>
      <c r="S124" s="258"/>
      <c r="T124" s="258"/>
      <c r="U124" s="258"/>
      <c r="V124" s="257"/>
      <c r="W124" s="258"/>
      <c r="X124" s="258"/>
      <c r="Y124" s="258"/>
      <c r="Z124" s="257"/>
      <c r="AA124" s="258"/>
      <c r="AB124" s="258"/>
      <c r="AC124" s="258"/>
      <c r="AD124" s="257"/>
      <c r="AE124" s="258"/>
      <c r="AF124" s="258"/>
      <c r="AH124" s="546">
        <f t="shared" si="414"/>
        <v>0</v>
      </c>
      <c r="AI124" s="66">
        <f t="shared" si="401"/>
        <v>0</v>
      </c>
      <c r="AL124" s="706" t="str">
        <f t="shared" si="310"/>
        <v>-livello massimo</v>
      </c>
      <c r="AM124" s="684">
        <f t="shared" si="405"/>
        <v>0</v>
      </c>
      <c r="AN124" s="674">
        <f t="shared" si="383"/>
        <v>0</v>
      </c>
      <c r="AO124" s="684">
        <f t="shared" si="406"/>
        <v>0</v>
      </c>
      <c r="AP124" s="674">
        <f t="shared" si="384"/>
        <v>0</v>
      </c>
      <c r="AQ124" s="684">
        <f t="shared" si="407"/>
        <v>0</v>
      </c>
      <c r="AR124" s="674">
        <f t="shared" si="385"/>
        <v>0</v>
      </c>
      <c r="AS124" s="684">
        <f t="shared" si="408"/>
        <v>0</v>
      </c>
      <c r="AT124" s="674">
        <f t="shared" si="386"/>
        <v>0</v>
      </c>
      <c r="AU124" s="684">
        <f t="shared" si="409"/>
        <v>0</v>
      </c>
      <c r="AV124" s="674">
        <f t="shared" si="387"/>
        <v>0</v>
      </c>
      <c r="AW124" s="684">
        <f t="shared" si="410"/>
        <v>0</v>
      </c>
      <c r="AX124" s="674">
        <f t="shared" si="388"/>
        <v>0</v>
      </c>
      <c r="AY124" s="684">
        <f t="shared" si="411"/>
        <v>0</v>
      </c>
      <c r="AZ124" s="674">
        <f t="shared" si="389"/>
        <v>0</v>
      </c>
      <c r="BA124" s="684">
        <f t="shared" si="412"/>
        <v>0</v>
      </c>
      <c r="BB124" s="674">
        <f t="shared" si="390"/>
        <v>0</v>
      </c>
      <c r="BC124" s="684">
        <f t="shared" si="413"/>
        <v>0</v>
      </c>
      <c r="BD124" s="674">
        <f t="shared" si="391"/>
        <v>0</v>
      </c>
      <c r="BE124" s="684">
        <f t="shared" si="378"/>
        <v>0</v>
      </c>
      <c r="BF124" s="1">
        <f t="shared" si="301"/>
        <v>0</v>
      </c>
      <c r="BG124" s="1">
        <f t="shared" si="332"/>
        <v>0</v>
      </c>
      <c r="BH124" s="1">
        <f t="shared" si="333"/>
        <v>0</v>
      </c>
      <c r="BI124" s="1">
        <f t="shared" si="334"/>
        <v>0</v>
      </c>
      <c r="BJ124" s="1">
        <f t="shared" si="335"/>
        <v>0</v>
      </c>
      <c r="BK124" s="1">
        <f t="shared" si="336"/>
        <v>0</v>
      </c>
      <c r="BL124" s="1">
        <f t="shared" si="337"/>
        <v>0</v>
      </c>
      <c r="BM124" s="1">
        <f t="shared" si="338"/>
        <v>0</v>
      </c>
      <c r="BN124" s="1">
        <f t="shared" si="339"/>
        <v>0</v>
      </c>
      <c r="BO124" s="69">
        <f t="shared" si="340"/>
        <v>0</v>
      </c>
      <c r="BP124" s="1">
        <f t="shared" si="404"/>
        <v>0</v>
      </c>
      <c r="BQ124" s="1">
        <f t="shared" si="215"/>
        <v>0</v>
      </c>
      <c r="BR124" s="1">
        <f t="shared" si="216"/>
        <v>0</v>
      </c>
      <c r="BS124" s="1">
        <f t="shared" si="217"/>
        <v>0</v>
      </c>
      <c r="BT124" s="1">
        <f t="shared" si="218"/>
        <v>0</v>
      </c>
      <c r="BU124" s="1">
        <f t="shared" si="219"/>
        <v>0</v>
      </c>
      <c r="BV124" s="1">
        <f t="shared" si="220"/>
        <v>0</v>
      </c>
      <c r="BW124" s="1">
        <f t="shared" si="221"/>
        <v>0</v>
      </c>
      <c r="BX124" s="1">
        <f t="shared" si="222"/>
        <v>0</v>
      </c>
      <c r="BY124" s="69">
        <f t="shared" si="223"/>
        <v>0</v>
      </c>
      <c r="BZ124" s="1">
        <f t="shared" si="302"/>
        <v>0</v>
      </c>
      <c r="CA124" s="1">
        <f t="shared" si="341"/>
        <v>0</v>
      </c>
      <c r="CB124" s="1">
        <f t="shared" si="342"/>
        <v>0</v>
      </c>
      <c r="CC124" s="1">
        <f t="shared" si="343"/>
        <v>0</v>
      </c>
      <c r="CD124" s="1">
        <f t="shared" si="344"/>
        <v>0</v>
      </c>
      <c r="CE124" s="1">
        <f t="shared" si="345"/>
        <v>0</v>
      </c>
      <c r="CF124" s="1">
        <f t="shared" si="346"/>
        <v>0</v>
      </c>
      <c r="CG124" s="1">
        <f t="shared" si="347"/>
        <v>0</v>
      </c>
      <c r="CH124" s="1">
        <f t="shared" si="348"/>
        <v>0</v>
      </c>
      <c r="CI124" s="69">
        <f t="shared" si="349"/>
        <v>0</v>
      </c>
      <c r="CJ124" s="1">
        <f t="shared" si="402"/>
        <v>0</v>
      </c>
      <c r="CK124" s="1">
        <f t="shared" si="392"/>
        <v>0</v>
      </c>
      <c r="CL124" s="1">
        <f t="shared" si="393"/>
        <v>0</v>
      </c>
      <c r="CM124" s="1">
        <f t="shared" si="394"/>
        <v>0</v>
      </c>
      <c r="CN124" s="1">
        <f t="shared" si="395"/>
        <v>0</v>
      </c>
      <c r="CO124" s="1">
        <f t="shared" si="396"/>
        <v>0</v>
      </c>
      <c r="CP124" s="1">
        <f t="shared" si="397"/>
        <v>0</v>
      </c>
      <c r="CQ124" s="1">
        <f t="shared" si="398"/>
        <v>0</v>
      </c>
      <c r="CR124" s="1">
        <f t="shared" si="399"/>
        <v>0</v>
      </c>
      <c r="CS124" s="69">
        <f t="shared" si="400"/>
        <v>0</v>
      </c>
      <c r="CT124" s="1">
        <f t="shared" si="303"/>
        <v>0</v>
      </c>
      <c r="CU124" s="1">
        <f t="shared" si="350"/>
        <v>0</v>
      </c>
      <c r="CV124" s="1">
        <f t="shared" si="351"/>
        <v>0</v>
      </c>
      <c r="CW124" s="1">
        <f t="shared" si="352"/>
        <v>0</v>
      </c>
      <c r="CX124" s="1">
        <f t="shared" si="353"/>
        <v>0</v>
      </c>
      <c r="CY124" s="1">
        <f t="shared" si="354"/>
        <v>0</v>
      </c>
      <c r="CZ124" s="1">
        <f t="shared" si="355"/>
        <v>0</v>
      </c>
      <c r="DA124" s="1">
        <f t="shared" si="356"/>
        <v>0</v>
      </c>
      <c r="DB124" s="1">
        <f t="shared" si="357"/>
        <v>0</v>
      </c>
      <c r="DC124" s="69">
        <f t="shared" si="358"/>
        <v>0</v>
      </c>
      <c r="DD124" s="1">
        <f t="shared" si="304"/>
        <v>0</v>
      </c>
      <c r="DE124" s="1">
        <f t="shared" si="359"/>
        <v>0</v>
      </c>
      <c r="DF124" s="1">
        <f t="shared" si="360"/>
        <v>0</v>
      </c>
      <c r="DG124" s="1">
        <f t="shared" si="361"/>
        <v>0</v>
      </c>
      <c r="DH124" s="1">
        <f t="shared" si="362"/>
        <v>0</v>
      </c>
      <c r="DI124" s="1">
        <f t="shared" si="363"/>
        <v>0</v>
      </c>
      <c r="DJ124" s="1">
        <f t="shared" si="364"/>
        <v>0</v>
      </c>
      <c r="DK124" s="1">
        <f t="shared" si="365"/>
        <v>0</v>
      </c>
      <c r="DL124" s="1">
        <f t="shared" si="366"/>
        <v>0</v>
      </c>
      <c r="DM124" s="69">
        <f t="shared" si="367"/>
        <v>0</v>
      </c>
      <c r="DN124" s="1">
        <f t="shared" si="305"/>
        <v>0</v>
      </c>
      <c r="DO124" s="1">
        <f t="shared" si="368"/>
        <v>0</v>
      </c>
      <c r="DP124" s="1">
        <f t="shared" si="369"/>
        <v>0</v>
      </c>
      <c r="DQ124" s="1">
        <f t="shared" si="370"/>
        <v>0</v>
      </c>
      <c r="DR124" s="1">
        <f t="shared" si="371"/>
        <v>0</v>
      </c>
      <c r="DS124" s="1">
        <f t="shared" si="372"/>
        <v>0</v>
      </c>
      <c r="DT124" s="1">
        <f t="shared" si="373"/>
        <v>0</v>
      </c>
      <c r="DU124" s="1">
        <f t="shared" si="374"/>
        <v>0</v>
      </c>
      <c r="DV124" s="1">
        <f t="shared" si="375"/>
        <v>0</v>
      </c>
      <c r="DW124" s="69">
        <f t="shared" si="376"/>
        <v>0</v>
      </c>
      <c r="DX124" s="1">
        <v>4</v>
      </c>
      <c r="DY124" s="69">
        <f t="shared" si="311"/>
        <v>93</v>
      </c>
      <c r="DZ124" s="1">
        <f t="shared" si="417"/>
        <v>0</v>
      </c>
      <c r="EA124" s="1">
        <f t="shared" si="418"/>
        <v>0</v>
      </c>
      <c r="EB124" s="1">
        <f t="shared" si="415"/>
        <v>0</v>
      </c>
      <c r="ED124" s="285">
        <f t="shared" si="416"/>
        <v>0</v>
      </c>
    </row>
    <row r="125" spans="1:134" x14ac:dyDescent="0.2">
      <c r="A125" s="208" t="s">
        <v>665</v>
      </c>
      <c r="B125" s="803" t="s">
        <v>1019</v>
      </c>
      <c r="C125" s="192" t="s">
        <v>872</v>
      </c>
      <c r="D125" s="335" t="s">
        <v>693</v>
      </c>
      <c r="E125" s="889"/>
      <c r="F125" s="633">
        <f t="shared" si="403"/>
        <v>0</v>
      </c>
      <c r="G125" s="700"/>
      <c r="H125" s="342"/>
      <c r="I125" s="342"/>
      <c r="J125" s="342">
        <v>1</v>
      </c>
      <c r="K125" s="342"/>
      <c r="L125" s="342"/>
      <c r="M125" s="342"/>
      <c r="N125" s="658"/>
      <c r="O125" s="256"/>
      <c r="P125" s="256"/>
      <c r="Q125" s="256"/>
      <c r="R125" s="255"/>
      <c r="S125" s="256"/>
      <c r="T125" s="256"/>
      <c r="U125" s="256"/>
      <c r="V125" s="255"/>
      <c r="W125" s="256"/>
      <c r="X125" s="256"/>
      <c r="Y125" s="256"/>
      <c r="Z125" s="255"/>
      <c r="AA125" s="256"/>
      <c r="AB125" s="256"/>
      <c r="AC125" s="256"/>
      <c r="AD125" s="255"/>
      <c r="AE125" s="256"/>
      <c r="AF125" s="256"/>
      <c r="AH125" s="546">
        <f t="shared" si="414"/>
        <v>0</v>
      </c>
      <c r="AI125" s="66">
        <f t="shared" si="401"/>
        <v>0</v>
      </c>
      <c r="AL125" s="706" t="str">
        <f t="shared" si="310"/>
        <v>-finecorsa</v>
      </c>
      <c r="AM125" s="684">
        <f t="shared" si="405"/>
        <v>0</v>
      </c>
      <c r="AN125" s="674">
        <f t="shared" si="383"/>
        <v>0</v>
      </c>
      <c r="AO125" s="684">
        <f t="shared" si="406"/>
        <v>0</v>
      </c>
      <c r="AP125" s="674">
        <f t="shared" si="384"/>
        <v>0</v>
      </c>
      <c r="AQ125" s="684">
        <f t="shared" si="407"/>
        <v>0</v>
      </c>
      <c r="AR125" s="674">
        <f t="shared" si="385"/>
        <v>0</v>
      </c>
      <c r="AS125" s="684">
        <f t="shared" si="408"/>
        <v>0</v>
      </c>
      <c r="AT125" s="674">
        <f t="shared" si="386"/>
        <v>0</v>
      </c>
      <c r="AU125" s="684">
        <f t="shared" si="409"/>
        <v>0</v>
      </c>
      <c r="AV125" s="674">
        <f t="shared" si="387"/>
        <v>0</v>
      </c>
      <c r="AW125" s="684">
        <f t="shared" si="410"/>
        <v>0</v>
      </c>
      <c r="AX125" s="674">
        <f t="shared" si="388"/>
        <v>0</v>
      </c>
      <c r="AY125" s="684">
        <f t="shared" si="411"/>
        <v>0</v>
      </c>
      <c r="AZ125" s="674">
        <f t="shared" si="389"/>
        <v>0</v>
      </c>
      <c r="BA125" s="684">
        <f t="shared" si="412"/>
        <v>0</v>
      </c>
      <c r="BB125" s="674">
        <f t="shared" si="390"/>
        <v>0</v>
      </c>
      <c r="BC125" s="684">
        <f t="shared" si="413"/>
        <v>0</v>
      </c>
      <c r="BD125" s="674">
        <f t="shared" si="391"/>
        <v>0</v>
      </c>
      <c r="BE125" s="684">
        <f t="shared" si="378"/>
        <v>0</v>
      </c>
      <c r="BF125" s="1">
        <f t="shared" si="301"/>
        <v>0</v>
      </c>
      <c r="BG125" s="1">
        <f t="shared" si="332"/>
        <v>0</v>
      </c>
      <c r="BH125" s="1">
        <f t="shared" si="333"/>
        <v>0</v>
      </c>
      <c r="BI125" s="1">
        <f t="shared" si="334"/>
        <v>0</v>
      </c>
      <c r="BJ125" s="1">
        <f t="shared" si="335"/>
        <v>0</v>
      </c>
      <c r="BK125" s="1">
        <f t="shared" si="336"/>
        <v>0</v>
      </c>
      <c r="BL125" s="1">
        <f t="shared" si="337"/>
        <v>0</v>
      </c>
      <c r="BM125" s="1">
        <f t="shared" si="338"/>
        <v>0</v>
      </c>
      <c r="BN125" s="1">
        <f t="shared" si="339"/>
        <v>0</v>
      </c>
      <c r="BO125" s="69">
        <f t="shared" si="340"/>
        <v>0</v>
      </c>
      <c r="BP125" s="1">
        <f t="shared" si="404"/>
        <v>0</v>
      </c>
      <c r="BQ125" s="1">
        <f t="shared" si="215"/>
        <v>0</v>
      </c>
      <c r="BR125" s="1">
        <f t="shared" si="216"/>
        <v>0</v>
      </c>
      <c r="BS125" s="1">
        <f t="shared" si="217"/>
        <v>0</v>
      </c>
      <c r="BT125" s="1">
        <f t="shared" si="218"/>
        <v>0</v>
      </c>
      <c r="BU125" s="1">
        <f t="shared" si="219"/>
        <v>0</v>
      </c>
      <c r="BV125" s="1">
        <f t="shared" si="220"/>
        <v>0</v>
      </c>
      <c r="BW125" s="1">
        <f t="shared" si="221"/>
        <v>0</v>
      </c>
      <c r="BX125" s="1">
        <f t="shared" si="222"/>
        <v>0</v>
      </c>
      <c r="BY125" s="69">
        <f t="shared" si="223"/>
        <v>0</v>
      </c>
      <c r="BZ125" s="1">
        <f t="shared" si="302"/>
        <v>0</v>
      </c>
      <c r="CA125" s="1">
        <f t="shared" si="341"/>
        <v>0</v>
      </c>
      <c r="CB125" s="1">
        <f t="shared" si="342"/>
        <v>0</v>
      </c>
      <c r="CC125" s="1">
        <f t="shared" si="343"/>
        <v>0</v>
      </c>
      <c r="CD125" s="1">
        <f t="shared" si="344"/>
        <v>0</v>
      </c>
      <c r="CE125" s="1">
        <f t="shared" si="345"/>
        <v>0</v>
      </c>
      <c r="CF125" s="1">
        <f t="shared" si="346"/>
        <v>0</v>
      </c>
      <c r="CG125" s="1">
        <f t="shared" si="347"/>
        <v>0</v>
      </c>
      <c r="CH125" s="1">
        <f t="shared" si="348"/>
        <v>0</v>
      </c>
      <c r="CI125" s="69">
        <f t="shared" si="349"/>
        <v>0</v>
      </c>
      <c r="CJ125" s="1">
        <f t="shared" si="402"/>
        <v>0</v>
      </c>
      <c r="CK125" s="1">
        <f t="shared" si="392"/>
        <v>0</v>
      </c>
      <c r="CL125" s="1">
        <f t="shared" si="393"/>
        <v>0</v>
      </c>
      <c r="CM125" s="1">
        <f t="shared" si="394"/>
        <v>0</v>
      </c>
      <c r="CN125" s="1">
        <f t="shared" si="395"/>
        <v>0</v>
      </c>
      <c r="CO125" s="1">
        <f t="shared" si="396"/>
        <v>0</v>
      </c>
      <c r="CP125" s="1">
        <f t="shared" si="397"/>
        <v>0</v>
      </c>
      <c r="CQ125" s="1">
        <f t="shared" si="398"/>
        <v>0</v>
      </c>
      <c r="CR125" s="1">
        <f t="shared" si="399"/>
        <v>0</v>
      </c>
      <c r="CS125" s="69">
        <f t="shared" si="400"/>
        <v>0</v>
      </c>
      <c r="CT125" s="1">
        <f t="shared" si="303"/>
        <v>0</v>
      </c>
      <c r="CU125" s="1">
        <f t="shared" si="350"/>
        <v>0</v>
      </c>
      <c r="CV125" s="1">
        <f t="shared" si="351"/>
        <v>0</v>
      </c>
      <c r="CW125" s="1">
        <f t="shared" si="352"/>
        <v>0</v>
      </c>
      <c r="CX125" s="1">
        <f t="shared" si="353"/>
        <v>0</v>
      </c>
      <c r="CY125" s="1">
        <f t="shared" si="354"/>
        <v>0</v>
      </c>
      <c r="CZ125" s="1">
        <f t="shared" si="355"/>
        <v>0</v>
      </c>
      <c r="DA125" s="1">
        <f t="shared" si="356"/>
        <v>0</v>
      </c>
      <c r="DB125" s="1">
        <f t="shared" si="357"/>
        <v>0</v>
      </c>
      <c r="DC125" s="69">
        <f t="shared" si="358"/>
        <v>0</v>
      </c>
      <c r="DD125" s="1">
        <f t="shared" si="304"/>
        <v>0</v>
      </c>
      <c r="DE125" s="1">
        <f t="shared" si="359"/>
        <v>0</v>
      </c>
      <c r="DF125" s="1">
        <f t="shared" si="360"/>
        <v>0</v>
      </c>
      <c r="DG125" s="1">
        <f t="shared" si="361"/>
        <v>0</v>
      </c>
      <c r="DH125" s="1">
        <f t="shared" si="362"/>
        <v>0</v>
      </c>
      <c r="DI125" s="1">
        <f t="shared" si="363"/>
        <v>0</v>
      </c>
      <c r="DJ125" s="1">
        <f t="shared" si="364"/>
        <v>0</v>
      </c>
      <c r="DK125" s="1">
        <f t="shared" si="365"/>
        <v>0</v>
      </c>
      <c r="DL125" s="1">
        <f t="shared" si="366"/>
        <v>0</v>
      </c>
      <c r="DM125" s="69">
        <f t="shared" si="367"/>
        <v>0</v>
      </c>
      <c r="DN125" s="1">
        <f t="shared" si="305"/>
        <v>0</v>
      </c>
      <c r="DO125" s="1">
        <f t="shared" si="368"/>
        <v>0</v>
      </c>
      <c r="DP125" s="1">
        <f t="shared" si="369"/>
        <v>0</v>
      </c>
      <c r="DQ125" s="1">
        <f t="shared" si="370"/>
        <v>0</v>
      </c>
      <c r="DR125" s="1">
        <f t="shared" si="371"/>
        <v>0</v>
      </c>
      <c r="DS125" s="1">
        <f t="shared" si="372"/>
        <v>0</v>
      </c>
      <c r="DT125" s="1">
        <f t="shared" si="373"/>
        <v>0</v>
      </c>
      <c r="DU125" s="1">
        <f t="shared" si="374"/>
        <v>0</v>
      </c>
      <c r="DV125" s="1">
        <f t="shared" si="375"/>
        <v>0</v>
      </c>
      <c r="DW125" s="69">
        <f t="shared" si="376"/>
        <v>0</v>
      </c>
      <c r="DX125" s="1">
        <v>4</v>
      </c>
      <c r="DY125" s="69">
        <f t="shared" si="311"/>
        <v>94</v>
      </c>
      <c r="DZ125" s="1">
        <f t="shared" si="417"/>
        <v>0</v>
      </c>
      <c r="EA125" s="1">
        <f t="shared" si="418"/>
        <v>0</v>
      </c>
      <c r="EB125" s="1">
        <f t="shared" si="415"/>
        <v>0</v>
      </c>
      <c r="ED125" s="285">
        <f t="shared" si="416"/>
        <v>0</v>
      </c>
    </row>
    <row r="126" spans="1:134" x14ac:dyDescent="0.2">
      <c r="A126" s="208" t="s">
        <v>665</v>
      </c>
      <c r="B126" s="808" t="s">
        <v>1033</v>
      </c>
      <c r="C126" s="196" t="s">
        <v>871</v>
      </c>
      <c r="D126" s="647" t="s">
        <v>564</v>
      </c>
      <c r="E126" s="889">
        <v>4</v>
      </c>
      <c r="F126" s="633">
        <f t="shared" si="403"/>
        <v>168.65441999999999</v>
      </c>
      <c r="G126" s="700"/>
      <c r="H126" s="342"/>
      <c r="I126" s="342"/>
      <c r="J126" s="342">
        <v>1</v>
      </c>
      <c r="K126" s="342">
        <v>1</v>
      </c>
      <c r="L126" s="342"/>
      <c r="M126" s="342"/>
      <c r="N126" s="658"/>
      <c r="O126" s="256"/>
      <c r="P126" s="256"/>
      <c r="Q126" s="256"/>
      <c r="R126" s="255"/>
      <c r="S126" s="256"/>
      <c r="T126" s="256"/>
      <c r="U126" s="256"/>
      <c r="V126" s="255"/>
      <c r="W126" s="256"/>
      <c r="X126" s="256"/>
      <c r="Y126" s="256"/>
      <c r="Z126" s="255"/>
      <c r="AA126" s="256"/>
      <c r="AB126" s="256"/>
      <c r="AC126" s="256"/>
      <c r="AD126" s="255"/>
      <c r="AE126" s="256"/>
      <c r="AF126" s="256"/>
      <c r="AH126" s="546">
        <f t="shared" si="414"/>
        <v>0</v>
      </c>
      <c r="AI126" s="66">
        <f t="shared" si="401"/>
        <v>0</v>
      </c>
      <c r="AL126" s="706" t="str">
        <f t="shared" si="310"/>
        <v>-motore &gt;=3 e &lt;= 4Kw</v>
      </c>
      <c r="AM126" s="684">
        <f t="shared" si="405"/>
        <v>0</v>
      </c>
      <c r="AN126" s="674">
        <f t="shared" si="383"/>
        <v>0</v>
      </c>
      <c r="AO126" s="684">
        <f t="shared" si="406"/>
        <v>0</v>
      </c>
      <c r="AP126" s="674">
        <f t="shared" si="384"/>
        <v>0</v>
      </c>
      <c r="AQ126" s="684">
        <f t="shared" si="407"/>
        <v>0</v>
      </c>
      <c r="AR126" s="674">
        <f t="shared" si="385"/>
        <v>0</v>
      </c>
      <c r="AS126" s="684">
        <f t="shared" si="408"/>
        <v>0</v>
      </c>
      <c r="AT126" s="674">
        <f t="shared" si="386"/>
        <v>0</v>
      </c>
      <c r="AU126" s="684">
        <f t="shared" si="409"/>
        <v>0</v>
      </c>
      <c r="AV126" s="674">
        <f t="shared" si="387"/>
        <v>0</v>
      </c>
      <c r="AW126" s="684">
        <f t="shared" si="410"/>
        <v>0</v>
      </c>
      <c r="AX126" s="674">
        <f t="shared" si="388"/>
        <v>0</v>
      </c>
      <c r="AY126" s="684">
        <f t="shared" si="411"/>
        <v>0</v>
      </c>
      <c r="AZ126" s="674">
        <f t="shared" si="389"/>
        <v>0</v>
      </c>
      <c r="BA126" s="684">
        <f t="shared" si="412"/>
        <v>0</v>
      </c>
      <c r="BB126" s="674">
        <f t="shared" si="390"/>
        <v>0</v>
      </c>
      <c r="BC126" s="684">
        <f t="shared" si="413"/>
        <v>0</v>
      </c>
      <c r="BD126" s="674">
        <f t="shared" si="391"/>
        <v>0</v>
      </c>
      <c r="BE126" s="684">
        <f t="shared" si="378"/>
        <v>0</v>
      </c>
      <c r="BF126" s="1">
        <f t="shared" si="301"/>
        <v>0</v>
      </c>
      <c r="BG126" s="1">
        <f t="shared" si="332"/>
        <v>0</v>
      </c>
      <c r="BH126" s="1">
        <f t="shared" si="333"/>
        <v>0</v>
      </c>
      <c r="BI126" s="1">
        <f t="shared" si="334"/>
        <v>0</v>
      </c>
      <c r="BJ126" s="1">
        <f t="shared" si="335"/>
        <v>0</v>
      </c>
      <c r="BK126" s="1">
        <f t="shared" si="336"/>
        <v>0</v>
      </c>
      <c r="BL126" s="1">
        <f t="shared" si="337"/>
        <v>0</v>
      </c>
      <c r="BM126" s="1">
        <f t="shared" si="338"/>
        <v>0</v>
      </c>
      <c r="BN126" s="1">
        <f t="shared" si="339"/>
        <v>0</v>
      </c>
      <c r="BO126" s="69">
        <f t="shared" si="340"/>
        <v>0</v>
      </c>
      <c r="BP126" s="1">
        <f t="shared" si="404"/>
        <v>0</v>
      </c>
      <c r="BQ126" s="1">
        <f t="shared" si="215"/>
        <v>0</v>
      </c>
      <c r="BR126" s="1">
        <f t="shared" si="216"/>
        <v>0</v>
      </c>
      <c r="BS126" s="1">
        <f t="shared" si="217"/>
        <v>0</v>
      </c>
      <c r="BT126" s="1">
        <f t="shared" si="218"/>
        <v>0</v>
      </c>
      <c r="BU126" s="1">
        <f t="shared" si="219"/>
        <v>0</v>
      </c>
      <c r="BV126" s="1">
        <f t="shared" si="220"/>
        <v>0</v>
      </c>
      <c r="BW126" s="1">
        <f t="shared" si="221"/>
        <v>0</v>
      </c>
      <c r="BX126" s="1">
        <f t="shared" si="222"/>
        <v>0</v>
      </c>
      <c r="BY126" s="69">
        <f t="shared" si="223"/>
        <v>0</v>
      </c>
      <c r="BZ126" s="1">
        <f t="shared" si="302"/>
        <v>0</v>
      </c>
      <c r="CA126" s="1">
        <f t="shared" si="341"/>
        <v>0</v>
      </c>
      <c r="CB126" s="1">
        <f t="shared" si="342"/>
        <v>0</v>
      </c>
      <c r="CC126" s="1">
        <f t="shared" si="343"/>
        <v>0</v>
      </c>
      <c r="CD126" s="1">
        <f t="shared" si="344"/>
        <v>0</v>
      </c>
      <c r="CE126" s="1">
        <f t="shared" si="345"/>
        <v>0</v>
      </c>
      <c r="CF126" s="1">
        <f t="shared" si="346"/>
        <v>0</v>
      </c>
      <c r="CG126" s="1">
        <f t="shared" si="347"/>
        <v>0</v>
      </c>
      <c r="CH126" s="1">
        <f t="shared" si="348"/>
        <v>0</v>
      </c>
      <c r="CI126" s="69">
        <f t="shared" si="349"/>
        <v>0</v>
      </c>
      <c r="CJ126" s="1">
        <f t="shared" si="402"/>
        <v>0</v>
      </c>
      <c r="CK126" s="1">
        <f t="shared" si="392"/>
        <v>0</v>
      </c>
      <c r="CL126" s="1">
        <f t="shared" si="393"/>
        <v>0</v>
      </c>
      <c r="CM126" s="1">
        <f t="shared" si="394"/>
        <v>0</v>
      </c>
      <c r="CN126" s="1">
        <f t="shared" si="395"/>
        <v>0</v>
      </c>
      <c r="CO126" s="1">
        <f t="shared" si="396"/>
        <v>0</v>
      </c>
      <c r="CP126" s="1">
        <f t="shared" si="397"/>
        <v>0</v>
      </c>
      <c r="CQ126" s="1">
        <f t="shared" si="398"/>
        <v>0</v>
      </c>
      <c r="CR126" s="1">
        <f t="shared" si="399"/>
        <v>0</v>
      </c>
      <c r="CS126" s="69">
        <f t="shared" si="400"/>
        <v>0</v>
      </c>
      <c r="CT126" s="1">
        <f t="shared" si="303"/>
        <v>0</v>
      </c>
      <c r="CU126" s="1">
        <f t="shared" si="350"/>
        <v>0</v>
      </c>
      <c r="CV126" s="1">
        <f t="shared" si="351"/>
        <v>0</v>
      </c>
      <c r="CW126" s="1">
        <f t="shared" si="352"/>
        <v>0</v>
      </c>
      <c r="CX126" s="1">
        <f t="shared" si="353"/>
        <v>0</v>
      </c>
      <c r="CY126" s="1">
        <f t="shared" si="354"/>
        <v>0</v>
      </c>
      <c r="CZ126" s="1">
        <f t="shared" si="355"/>
        <v>0</v>
      </c>
      <c r="DA126" s="1">
        <f t="shared" si="356"/>
        <v>0</v>
      </c>
      <c r="DB126" s="1">
        <f t="shared" si="357"/>
        <v>0</v>
      </c>
      <c r="DC126" s="69">
        <f t="shared" si="358"/>
        <v>0</v>
      </c>
      <c r="DD126" s="1">
        <f t="shared" si="304"/>
        <v>0</v>
      </c>
      <c r="DE126" s="1">
        <f t="shared" si="359"/>
        <v>0</v>
      </c>
      <c r="DF126" s="1">
        <f t="shared" si="360"/>
        <v>0</v>
      </c>
      <c r="DG126" s="1">
        <f t="shared" si="361"/>
        <v>0</v>
      </c>
      <c r="DH126" s="1">
        <f t="shared" si="362"/>
        <v>0</v>
      </c>
      <c r="DI126" s="1">
        <f t="shared" si="363"/>
        <v>0</v>
      </c>
      <c r="DJ126" s="1">
        <f t="shared" si="364"/>
        <v>0</v>
      </c>
      <c r="DK126" s="1">
        <f t="shared" si="365"/>
        <v>0</v>
      </c>
      <c r="DL126" s="1">
        <f t="shared" si="366"/>
        <v>0</v>
      </c>
      <c r="DM126" s="69">
        <f t="shared" si="367"/>
        <v>0</v>
      </c>
      <c r="DN126" s="1">
        <f t="shared" si="305"/>
        <v>0</v>
      </c>
      <c r="DO126" s="1">
        <f t="shared" si="368"/>
        <v>0</v>
      </c>
      <c r="DP126" s="1">
        <f t="shared" si="369"/>
        <v>0</v>
      </c>
      <c r="DQ126" s="1">
        <f t="shared" si="370"/>
        <v>0</v>
      </c>
      <c r="DR126" s="1">
        <f t="shared" si="371"/>
        <v>0</v>
      </c>
      <c r="DS126" s="1">
        <f t="shared" si="372"/>
        <v>0</v>
      </c>
      <c r="DT126" s="1">
        <f t="shared" si="373"/>
        <v>0</v>
      </c>
      <c r="DU126" s="1">
        <f t="shared" si="374"/>
        <v>0</v>
      </c>
      <c r="DV126" s="1">
        <f t="shared" si="375"/>
        <v>0</v>
      </c>
      <c r="DW126" s="69">
        <f t="shared" si="376"/>
        <v>0</v>
      </c>
      <c r="DX126" s="1">
        <v>4</v>
      </c>
      <c r="DY126" s="69">
        <f t="shared" si="311"/>
        <v>95</v>
      </c>
      <c r="DZ126" s="1">
        <f t="shared" si="417"/>
        <v>0</v>
      </c>
      <c r="EA126" s="1">
        <f t="shared" si="418"/>
        <v>0</v>
      </c>
      <c r="EB126" s="1">
        <f t="shared" si="415"/>
        <v>0</v>
      </c>
      <c r="ED126" s="285">
        <f t="shared" si="416"/>
        <v>0</v>
      </c>
    </row>
    <row r="127" spans="1:134" x14ac:dyDescent="0.2">
      <c r="A127" s="208" t="s">
        <v>665</v>
      </c>
      <c r="B127" s="809" t="s">
        <v>1034</v>
      </c>
      <c r="C127" s="197" t="s">
        <v>871</v>
      </c>
      <c r="D127" s="335" t="s">
        <v>563</v>
      </c>
      <c r="E127" s="889">
        <v>2.2000000000000002</v>
      </c>
      <c r="F127" s="633">
        <f t="shared" si="403"/>
        <v>154.36299</v>
      </c>
      <c r="G127" s="700"/>
      <c r="H127" s="342"/>
      <c r="I127" s="342"/>
      <c r="J127" s="342">
        <v>1</v>
      </c>
      <c r="K127" s="342">
        <v>1</v>
      </c>
      <c r="L127" s="342"/>
      <c r="M127" s="342"/>
      <c r="N127" s="658"/>
      <c r="O127" s="256"/>
      <c r="P127" s="256"/>
      <c r="Q127" s="256"/>
      <c r="R127" s="255"/>
      <c r="S127" s="256"/>
      <c r="T127" s="256"/>
      <c r="U127" s="256"/>
      <c r="V127" s="255"/>
      <c r="W127" s="256"/>
      <c r="X127" s="256"/>
      <c r="Y127" s="256"/>
      <c r="Z127" s="255"/>
      <c r="AA127" s="256"/>
      <c r="AB127" s="256"/>
      <c r="AC127" s="256"/>
      <c r="AD127" s="255"/>
      <c r="AE127" s="256"/>
      <c r="AF127" s="256"/>
      <c r="AH127" s="546">
        <f t="shared" si="414"/>
        <v>0</v>
      </c>
      <c r="AI127" s="66">
        <f t="shared" si="401"/>
        <v>0</v>
      </c>
      <c r="AL127" s="706" t="str">
        <f t="shared" si="310"/>
        <v>-motore &lt;0,25 e &lt;3 Kw</v>
      </c>
      <c r="AM127" s="684">
        <f t="shared" si="405"/>
        <v>0</v>
      </c>
      <c r="AN127" s="674">
        <f t="shared" si="383"/>
        <v>0</v>
      </c>
      <c r="AO127" s="684">
        <f t="shared" si="406"/>
        <v>0</v>
      </c>
      <c r="AP127" s="674">
        <f t="shared" si="384"/>
        <v>0</v>
      </c>
      <c r="AQ127" s="684">
        <f t="shared" si="407"/>
        <v>0</v>
      </c>
      <c r="AR127" s="674">
        <f t="shared" si="385"/>
        <v>0</v>
      </c>
      <c r="AS127" s="684">
        <f t="shared" si="408"/>
        <v>0</v>
      </c>
      <c r="AT127" s="674">
        <f t="shared" si="386"/>
        <v>0</v>
      </c>
      <c r="AU127" s="684">
        <f t="shared" si="409"/>
        <v>0</v>
      </c>
      <c r="AV127" s="674">
        <f t="shared" si="387"/>
        <v>0</v>
      </c>
      <c r="AW127" s="684">
        <f t="shared" si="410"/>
        <v>0</v>
      </c>
      <c r="AX127" s="674">
        <f t="shared" si="388"/>
        <v>0</v>
      </c>
      <c r="AY127" s="684">
        <f t="shared" si="411"/>
        <v>0</v>
      </c>
      <c r="AZ127" s="674">
        <f t="shared" si="389"/>
        <v>0</v>
      </c>
      <c r="BA127" s="684">
        <f t="shared" si="412"/>
        <v>0</v>
      </c>
      <c r="BB127" s="674">
        <f t="shared" si="390"/>
        <v>0</v>
      </c>
      <c r="BC127" s="684">
        <f t="shared" si="413"/>
        <v>0</v>
      </c>
      <c r="BD127" s="674">
        <f t="shared" si="391"/>
        <v>0</v>
      </c>
      <c r="BE127" s="684">
        <f t="shared" si="378"/>
        <v>0</v>
      </c>
      <c r="BF127" s="1">
        <f t="shared" si="301"/>
        <v>0</v>
      </c>
      <c r="BG127" s="1">
        <f t="shared" si="332"/>
        <v>0</v>
      </c>
      <c r="BH127" s="1">
        <f t="shared" si="333"/>
        <v>0</v>
      </c>
      <c r="BI127" s="1">
        <f t="shared" si="334"/>
        <v>0</v>
      </c>
      <c r="BJ127" s="1">
        <f t="shared" si="335"/>
        <v>0</v>
      </c>
      <c r="BK127" s="1">
        <f t="shared" si="336"/>
        <v>0</v>
      </c>
      <c r="BL127" s="1">
        <f t="shared" si="337"/>
        <v>0</v>
      </c>
      <c r="BM127" s="1">
        <f t="shared" si="338"/>
        <v>0</v>
      </c>
      <c r="BN127" s="1">
        <f t="shared" si="339"/>
        <v>0</v>
      </c>
      <c r="BO127" s="69">
        <f t="shared" si="340"/>
        <v>0</v>
      </c>
      <c r="BP127" s="1">
        <f t="shared" si="404"/>
        <v>0</v>
      </c>
      <c r="BQ127" s="1">
        <f t="shared" si="215"/>
        <v>0</v>
      </c>
      <c r="BR127" s="1">
        <f t="shared" si="216"/>
        <v>0</v>
      </c>
      <c r="BS127" s="1">
        <f t="shared" si="217"/>
        <v>0</v>
      </c>
      <c r="BT127" s="1">
        <f t="shared" si="218"/>
        <v>0</v>
      </c>
      <c r="BU127" s="1">
        <f t="shared" si="219"/>
        <v>0</v>
      </c>
      <c r="BV127" s="1">
        <f t="shared" si="220"/>
        <v>0</v>
      </c>
      <c r="BW127" s="1">
        <f t="shared" si="221"/>
        <v>0</v>
      </c>
      <c r="BX127" s="1">
        <f t="shared" si="222"/>
        <v>0</v>
      </c>
      <c r="BY127" s="69">
        <f t="shared" si="223"/>
        <v>0</v>
      </c>
      <c r="BZ127" s="1">
        <f t="shared" si="302"/>
        <v>0</v>
      </c>
      <c r="CA127" s="1">
        <f t="shared" si="341"/>
        <v>0</v>
      </c>
      <c r="CB127" s="1">
        <f t="shared" si="342"/>
        <v>0</v>
      </c>
      <c r="CC127" s="1">
        <f t="shared" si="343"/>
        <v>0</v>
      </c>
      <c r="CD127" s="1">
        <f t="shared" si="344"/>
        <v>0</v>
      </c>
      <c r="CE127" s="1">
        <f t="shared" si="345"/>
        <v>0</v>
      </c>
      <c r="CF127" s="1">
        <f t="shared" si="346"/>
        <v>0</v>
      </c>
      <c r="CG127" s="1">
        <f t="shared" si="347"/>
        <v>0</v>
      </c>
      <c r="CH127" s="1">
        <f t="shared" si="348"/>
        <v>0</v>
      </c>
      <c r="CI127" s="69">
        <f t="shared" si="349"/>
        <v>0</v>
      </c>
      <c r="CJ127" s="1">
        <f t="shared" si="402"/>
        <v>0</v>
      </c>
      <c r="CK127" s="1">
        <f t="shared" si="392"/>
        <v>0</v>
      </c>
      <c r="CL127" s="1">
        <f t="shared" si="393"/>
        <v>0</v>
      </c>
      <c r="CM127" s="1">
        <f t="shared" si="394"/>
        <v>0</v>
      </c>
      <c r="CN127" s="1">
        <f t="shared" si="395"/>
        <v>0</v>
      </c>
      <c r="CO127" s="1">
        <f t="shared" si="396"/>
        <v>0</v>
      </c>
      <c r="CP127" s="1">
        <f t="shared" si="397"/>
        <v>0</v>
      </c>
      <c r="CQ127" s="1">
        <f t="shared" si="398"/>
        <v>0</v>
      </c>
      <c r="CR127" s="1">
        <f t="shared" si="399"/>
        <v>0</v>
      </c>
      <c r="CS127" s="69">
        <f t="shared" si="400"/>
        <v>0</v>
      </c>
      <c r="CT127" s="1">
        <f t="shared" si="303"/>
        <v>0</v>
      </c>
      <c r="CU127" s="1">
        <f t="shared" si="350"/>
        <v>0</v>
      </c>
      <c r="CV127" s="1">
        <f t="shared" si="351"/>
        <v>0</v>
      </c>
      <c r="CW127" s="1">
        <f t="shared" si="352"/>
        <v>0</v>
      </c>
      <c r="CX127" s="1">
        <f t="shared" si="353"/>
        <v>0</v>
      </c>
      <c r="CY127" s="1">
        <f t="shared" si="354"/>
        <v>0</v>
      </c>
      <c r="CZ127" s="1">
        <f t="shared" si="355"/>
        <v>0</v>
      </c>
      <c r="DA127" s="1">
        <f t="shared" si="356"/>
        <v>0</v>
      </c>
      <c r="DB127" s="1">
        <f t="shared" si="357"/>
        <v>0</v>
      </c>
      <c r="DC127" s="69">
        <f t="shared" si="358"/>
        <v>0</v>
      </c>
      <c r="DD127" s="1">
        <f t="shared" si="304"/>
        <v>0</v>
      </c>
      <c r="DE127" s="1">
        <f t="shared" si="359"/>
        <v>0</v>
      </c>
      <c r="DF127" s="1">
        <f t="shared" si="360"/>
        <v>0</v>
      </c>
      <c r="DG127" s="1">
        <f t="shared" si="361"/>
        <v>0</v>
      </c>
      <c r="DH127" s="1">
        <f t="shared" si="362"/>
        <v>0</v>
      </c>
      <c r="DI127" s="1">
        <f t="shared" si="363"/>
        <v>0</v>
      </c>
      <c r="DJ127" s="1">
        <f t="shared" si="364"/>
        <v>0</v>
      </c>
      <c r="DK127" s="1">
        <f t="shared" si="365"/>
        <v>0</v>
      </c>
      <c r="DL127" s="1">
        <f t="shared" si="366"/>
        <v>0</v>
      </c>
      <c r="DM127" s="69">
        <f t="shared" si="367"/>
        <v>0</v>
      </c>
      <c r="DN127" s="1">
        <f t="shared" si="305"/>
        <v>0</v>
      </c>
      <c r="DO127" s="1">
        <f t="shared" si="368"/>
        <v>0</v>
      </c>
      <c r="DP127" s="1">
        <f t="shared" si="369"/>
        <v>0</v>
      </c>
      <c r="DQ127" s="1">
        <f t="shared" si="370"/>
        <v>0</v>
      </c>
      <c r="DR127" s="1">
        <f t="shared" si="371"/>
        <v>0</v>
      </c>
      <c r="DS127" s="1">
        <f t="shared" si="372"/>
        <v>0</v>
      </c>
      <c r="DT127" s="1">
        <f t="shared" si="373"/>
        <v>0</v>
      </c>
      <c r="DU127" s="1">
        <f t="shared" si="374"/>
        <v>0</v>
      </c>
      <c r="DV127" s="1">
        <f t="shared" si="375"/>
        <v>0</v>
      </c>
      <c r="DW127" s="69">
        <f t="shared" si="376"/>
        <v>0</v>
      </c>
      <c r="DX127" s="1">
        <v>4</v>
      </c>
      <c r="DY127" s="69">
        <f t="shared" si="311"/>
        <v>96</v>
      </c>
      <c r="DZ127" s="1">
        <f t="shared" si="417"/>
        <v>0</v>
      </c>
      <c r="EA127" s="1">
        <f t="shared" si="418"/>
        <v>0</v>
      </c>
      <c r="EB127" s="1">
        <f t="shared" si="415"/>
        <v>0</v>
      </c>
      <c r="ED127" s="285">
        <f t="shared" si="416"/>
        <v>0</v>
      </c>
    </row>
    <row r="128" spans="1:134" ht="15" thickBot="1" x14ac:dyDescent="0.25">
      <c r="A128" s="211" t="s">
        <v>665</v>
      </c>
      <c r="B128" s="813" t="s">
        <v>2332</v>
      </c>
      <c r="C128" s="200" t="s">
        <v>874</v>
      </c>
      <c r="D128" s="645" t="s">
        <v>644</v>
      </c>
      <c r="E128" s="889"/>
      <c r="F128" s="634">
        <f t="shared" si="403"/>
        <v>441.68871000000001</v>
      </c>
      <c r="G128" s="699"/>
      <c r="H128" s="519"/>
      <c r="I128" s="519"/>
      <c r="J128" s="526">
        <v>5</v>
      </c>
      <c r="K128" s="519">
        <v>3</v>
      </c>
      <c r="L128" s="519"/>
      <c r="M128" s="519"/>
      <c r="N128" s="659"/>
      <c r="O128" s="256"/>
      <c r="P128" s="260"/>
      <c r="Q128" s="256"/>
      <c r="R128" s="259"/>
      <c r="S128" s="256"/>
      <c r="T128" s="260"/>
      <c r="U128" s="256"/>
      <c r="V128" s="259"/>
      <c r="W128" s="256"/>
      <c r="X128" s="260"/>
      <c r="Y128" s="256"/>
      <c r="Z128" s="259"/>
      <c r="AA128" s="256"/>
      <c r="AB128" s="260"/>
      <c r="AC128" s="256"/>
      <c r="AD128" s="259"/>
      <c r="AE128" s="260"/>
      <c r="AF128" s="260"/>
      <c r="AG128" s="548"/>
      <c r="AH128" s="546">
        <f t="shared" si="414"/>
        <v>0</v>
      </c>
      <c r="AI128" s="160">
        <f t="shared" si="401"/>
        <v>0</v>
      </c>
      <c r="AJ128" s="160"/>
      <c r="AL128" s="706" t="str">
        <f t="shared" si="310"/>
        <v>-quadro carico silo</v>
      </c>
      <c r="AM128" s="686">
        <f t="shared" si="405"/>
        <v>0</v>
      </c>
      <c r="AN128" s="678">
        <f>P128*$E128</f>
        <v>0</v>
      </c>
      <c r="AO128" s="686">
        <f t="shared" si="406"/>
        <v>0</v>
      </c>
      <c r="AP128" s="678">
        <f t="shared" si="384"/>
        <v>0</v>
      </c>
      <c r="AQ128" s="686">
        <f t="shared" si="407"/>
        <v>0</v>
      </c>
      <c r="AR128" s="678">
        <f t="shared" si="385"/>
        <v>0</v>
      </c>
      <c r="AS128" s="686">
        <f t="shared" si="408"/>
        <v>0</v>
      </c>
      <c r="AT128" s="678">
        <f t="shared" si="386"/>
        <v>0</v>
      </c>
      <c r="AU128" s="686">
        <f t="shared" si="409"/>
        <v>0</v>
      </c>
      <c r="AV128" s="678">
        <f t="shared" si="387"/>
        <v>0</v>
      </c>
      <c r="AW128" s="686">
        <f t="shared" si="410"/>
        <v>0</v>
      </c>
      <c r="AX128" s="678">
        <f t="shared" si="388"/>
        <v>0</v>
      </c>
      <c r="AY128" s="686">
        <f t="shared" si="411"/>
        <v>0</v>
      </c>
      <c r="AZ128" s="678">
        <f t="shared" si="389"/>
        <v>0</v>
      </c>
      <c r="BA128" s="686">
        <f t="shared" si="412"/>
        <v>0</v>
      </c>
      <c r="BB128" s="678">
        <f t="shared" si="390"/>
        <v>0</v>
      </c>
      <c r="BC128" s="686">
        <f t="shared" si="413"/>
        <v>0</v>
      </c>
      <c r="BD128" s="678">
        <f t="shared" si="391"/>
        <v>0</v>
      </c>
      <c r="BE128" s="686">
        <f t="shared" si="378"/>
        <v>0</v>
      </c>
      <c r="BF128" s="158">
        <f t="shared" si="301"/>
        <v>0</v>
      </c>
      <c r="BG128" s="158">
        <f t="shared" si="332"/>
        <v>0</v>
      </c>
      <c r="BH128" s="158">
        <f t="shared" si="333"/>
        <v>0</v>
      </c>
      <c r="BI128" s="158">
        <f t="shared" si="334"/>
        <v>0</v>
      </c>
      <c r="BJ128" s="158">
        <f t="shared" si="335"/>
        <v>0</v>
      </c>
      <c r="BK128" s="158">
        <f t="shared" si="336"/>
        <v>0</v>
      </c>
      <c r="BL128" s="158">
        <f t="shared" si="337"/>
        <v>0</v>
      </c>
      <c r="BM128" s="158">
        <f t="shared" si="338"/>
        <v>0</v>
      </c>
      <c r="BN128" s="158">
        <f t="shared" si="339"/>
        <v>0</v>
      </c>
      <c r="BO128" s="159">
        <f t="shared" si="340"/>
        <v>0</v>
      </c>
      <c r="BP128" s="158">
        <f t="shared" si="404"/>
        <v>0</v>
      </c>
      <c r="BQ128" s="158">
        <f t="shared" si="215"/>
        <v>0</v>
      </c>
      <c r="BR128" s="158">
        <f t="shared" si="216"/>
        <v>0</v>
      </c>
      <c r="BS128" s="158">
        <f t="shared" si="217"/>
        <v>0</v>
      </c>
      <c r="BT128" s="158">
        <f t="shared" si="218"/>
        <v>0</v>
      </c>
      <c r="BU128" s="158">
        <f t="shared" si="219"/>
        <v>0</v>
      </c>
      <c r="BV128" s="158">
        <f t="shared" si="220"/>
        <v>0</v>
      </c>
      <c r="BW128" s="158">
        <f t="shared" si="221"/>
        <v>0</v>
      </c>
      <c r="BX128" s="158">
        <f t="shared" si="222"/>
        <v>0</v>
      </c>
      <c r="BY128" s="159">
        <f t="shared" si="223"/>
        <v>0</v>
      </c>
      <c r="BZ128" s="158">
        <f t="shared" si="302"/>
        <v>0</v>
      </c>
      <c r="CA128" s="158">
        <f t="shared" si="341"/>
        <v>0</v>
      </c>
      <c r="CB128" s="158">
        <f t="shared" si="342"/>
        <v>0</v>
      </c>
      <c r="CC128" s="158">
        <f t="shared" si="343"/>
        <v>0</v>
      </c>
      <c r="CD128" s="158">
        <f t="shared" si="344"/>
        <v>0</v>
      </c>
      <c r="CE128" s="158">
        <f t="shared" si="345"/>
        <v>0</v>
      </c>
      <c r="CF128" s="158">
        <f t="shared" si="346"/>
        <v>0</v>
      </c>
      <c r="CG128" s="158">
        <f t="shared" si="347"/>
        <v>0</v>
      </c>
      <c r="CH128" s="158">
        <f t="shared" si="348"/>
        <v>0</v>
      </c>
      <c r="CI128" s="159">
        <f t="shared" si="349"/>
        <v>0</v>
      </c>
      <c r="CJ128" s="158">
        <f t="shared" si="402"/>
        <v>0</v>
      </c>
      <c r="CK128" s="158">
        <f t="shared" ref="CK128:CK167" si="419">P128*$J128</f>
        <v>0</v>
      </c>
      <c r="CL128" s="158">
        <f t="shared" ref="CL128:CL167" si="420">R128*$J128</f>
        <v>0</v>
      </c>
      <c r="CM128" s="158">
        <f t="shared" ref="CM128:CM167" si="421">T128*$J128</f>
        <v>0</v>
      </c>
      <c r="CN128" s="158">
        <f t="shared" ref="CN128:CN167" si="422">V128*$J128</f>
        <v>0</v>
      </c>
      <c r="CO128" s="158">
        <f t="shared" ref="CO128:CO167" si="423">X128*$J128</f>
        <v>0</v>
      </c>
      <c r="CP128" s="158">
        <f t="shared" ref="CP128:CP167" si="424">Z128*$J128</f>
        <v>0</v>
      </c>
      <c r="CQ128" s="158">
        <f t="shared" ref="CQ128:CQ167" si="425">AB128*$J128</f>
        <v>0</v>
      </c>
      <c r="CR128" s="158">
        <f t="shared" ref="CR128:CR167" si="426">AD128*$J128</f>
        <v>0</v>
      </c>
      <c r="CS128" s="159">
        <f t="shared" ref="CS128:CS167" si="427">AF128*$J128</f>
        <v>0</v>
      </c>
      <c r="CT128" s="158">
        <f t="shared" si="303"/>
        <v>0</v>
      </c>
      <c r="CU128" s="158">
        <f t="shared" si="350"/>
        <v>0</v>
      </c>
      <c r="CV128" s="158">
        <f t="shared" si="351"/>
        <v>0</v>
      </c>
      <c r="CW128" s="158">
        <f t="shared" si="352"/>
        <v>0</v>
      </c>
      <c r="CX128" s="158">
        <f t="shared" si="353"/>
        <v>0</v>
      </c>
      <c r="CY128" s="158">
        <f t="shared" si="354"/>
        <v>0</v>
      </c>
      <c r="CZ128" s="158">
        <f t="shared" si="355"/>
        <v>0</v>
      </c>
      <c r="DA128" s="158">
        <f t="shared" si="356"/>
        <v>0</v>
      </c>
      <c r="DB128" s="158">
        <f t="shared" si="357"/>
        <v>0</v>
      </c>
      <c r="DC128" s="159">
        <f t="shared" si="358"/>
        <v>0</v>
      </c>
      <c r="DD128" s="158">
        <f t="shared" si="304"/>
        <v>0</v>
      </c>
      <c r="DE128" s="158">
        <f t="shared" si="359"/>
        <v>0</v>
      </c>
      <c r="DF128" s="158">
        <f t="shared" si="360"/>
        <v>0</v>
      </c>
      <c r="DG128" s="158">
        <f t="shared" si="361"/>
        <v>0</v>
      </c>
      <c r="DH128" s="158">
        <f t="shared" si="362"/>
        <v>0</v>
      </c>
      <c r="DI128" s="158">
        <f t="shared" si="363"/>
        <v>0</v>
      </c>
      <c r="DJ128" s="158">
        <f t="shared" si="364"/>
        <v>0</v>
      </c>
      <c r="DK128" s="158">
        <f t="shared" si="365"/>
        <v>0</v>
      </c>
      <c r="DL128" s="158">
        <f t="shared" si="366"/>
        <v>0</v>
      </c>
      <c r="DM128" s="159">
        <f t="shared" si="367"/>
        <v>0</v>
      </c>
      <c r="DN128" s="158">
        <f t="shared" si="305"/>
        <v>0</v>
      </c>
      <c r="DO128" s="158">
        <f t="shared" si="368"/>
        <v>0</v>
      </c>
      <c r="DP128" s="158">
        <f t="shared" si="369"/>
        <v>0</v>
      </c>
      <c r="DQ128" s="158">
        <f t="shared" si="370"/>
        <v>0</v>
      </c>
      <c r="DR128" s="158">
        <f t="shared" si="371"/>
        <v>0</v>
      </c>
      <c r="DS128" s="158">
        <f t="shared" si="372"/>
        <v>0</v>
      </c>
      <c r="DT128" s="158">
        <f t="shared" si="373"/>
        <v>0</v>
      </c>
      <c r="DU128" s="158">
        <f t="shared" si="374"/>
        <v>0</v>
      </c>
      <c r="DV128" s="158">
        <f t="shared" si="375"/>
        <v>0</v>
      </c>
      <c r="DW128" s="159">
        <f t="shared" si="376"/>
        <v>0</v>
      </c>
      <c r="DX128" s="158">
        <v>4</v>
      </c>
      <c r="DY128" s="69">
        <f t="shared" si="311"/>
        <v>97</v>
      </c>
      <c r="DZ128" s="1">
        <f t="shared" si="417"/>
        <v>0</v>
      </c>
      <c r="EA128" s="1">
        <f t="shared" si="418"/>
        <v>0</v>
      </c>
      <c r="EB128" s="1">
        <f t="shared" si="415"/>
        <v>0</v>
      </c>
      <c r="ED128" s="285">
        <f t="shared" si="416"/>
        <v>0</v>
      </c>
    </row>
    <row r="129" spans="1:134" ht="15" x14ac:dyDescent="0.25">
      <c r="A129" s="847" t="s">
        <v>1035</v>
      </c>
      <c r="B129" s="847" t="s">
        <v>2311</v>
      </c>
      <c r="C129" s="847" t="s">
        <v>872</v>
      </c>
      <c r="D129" s="847" t="s">
        <v>694</v>
      </c>
      <c r="E129" s="889"/>
      <c r="F129" s="633">
        <f t="shared" si="403"/>
        <v>0</v>
      </c>
      <c r="G129" s="700"/>
      <c r="H129" s="342"/>
      <c r="I129" s="342"/>
      <c r="J129" s="342">
        <v>2</v>
      </c>
      <c r="K129" s="342">
        <v>2</v>
      </c>
      <c r="L129" s="342"/>
      <c r="M129" s="342"/>
      <c r="N129" s="848">
        <v>0</v>
      </c>
      <c r="O129" s="848"/>
      <c r="P129" s="848"/>
      <c r="Q129" s="848"/>
      <c r="R129" s="848"/>
      <c r="S129" s="848"/>
      <c r="T129" s="848"/>
      <c r="U129" s="848"/>
      <c r="V129" s="848"/>
      <c r="W129" s="848"/>
      <c r="X129" s="848"/>
      <c r="Y129" s="848"/>
      <c r="Z129" s="848"/>
      <c r="AA129" s="848"/>
      <c r="AB129" s="848"/>
      <c r="AC129" s="848"/>
      <c r="AD129" s="848"/>
      <c r="AE129" s="849"/>
      <c r="AF129" s="848"/>
      <c r="AH129" s="546">
        <f t="shared" si="414"/>
        <v>0</v>
      </c>
      <c r="AI129" s="66">
        <f t="shared" si="401"/>
        <v>0</v>
      </c>
      <c r="AL129" s="706" t="str">
        <f t="shared" si="310"/>
        <v>-valvola bistabile + 2 finecorsa</v>
      </c>
      <c r="AM129" s="684">
        <f t="shared" si="405"/>
        <v>0</v>
      </c>
      <c r="AN129" s="674">
        <f>P129*$E129</f>
        <v>0</v>
      </c>
      <c r="AO129" s="684">
        <f t="shared" si="406"/>
        <v>0</v>
      </c>
      <c r="AP129" s="674">
        <f t="shared" si="384"/>
        <v>0</v>
      </c>
      <c r="AQ129" s="684">
        <f t="shared" si="407"/>
        <v>0</v>
      </c>
      <c r="AR129" s="674">
        <f t="shared" si="385"/>
        <v>0</v>
      </c>
      <c r="AS129" s="684">
        <f t="shared" si="408"/>
        <v>0</v>
      </c>
      <c r="AT129" s="674">
        <f t="shared" si="386"/>
        <v>0</v>
      </c>
      <c r="AU129" s="684">
        <f t="shared" si="409"/>
        <v>0</v>
      </c>
      <c r="AV129" s="674">
        <f t="shared" si="387"/>
        <v>0</v>
      </c>
      <c r="AW129" s="684">
        <f t="shared" si="410"/>
        <v>0</v>
      </c>
      <c r="AX129" s="674">
        <f t="shared" si="388"/>
        <v>0</v>
      </c>
      <c r="AY129" s="684">
        <f t="shared" si="411"/>
        <v>0</v>
      </c>
      <c r="AZ129" s="674">
        <f t="shared" si="389"/>
        <v>0</v>
      </c>
      <c r="BA129" s="684">
        <f t="shared" si="412"/>
        <v>0</v>
      </c>
      <c r="BB129" s="674">
        <f t="shared" si="390"/>
        <v>0</v>
      </c>
      <c r="BC129" s="684">
        <f t="shared" si="413"/>
        <v>0</v>
      </c>
      <c r="BD129" s="674">
        <f t="shared" si="391"/>
        <v>0</v>
      </c>
      <c r="BE129" s="684">
        <f t="shared" si="378"/>
        <v>0</v>
      </c>
      <c r="BF129" s="1">
        <f t="shared" si="301"/>
        <v>0</v>
      </c>
      <c r="BG129" s="1">
        <f t="shared" si="332"/>
        <v>0</v>
      </c>
      <c r="BH129" s="1">
        <f t="shared" si="333"/>
        <v>0</v>
      </c>
      <c r="BI129" s="1">
        <f t="shared" si="334"/>
        <v>0</v>
      </c>
      <c r="BJ129" s="1">
        <f t="shared" si="335"/>
        <v>0</v>
      </c>
      <c r="BK129" s="1">
        <f t="shared" si="336"/>
        <v>0</v>
      </c>
      <c r="BL129" s="1">
        <f t="shared" si="337"/>
        <v>0</v>
      </c>
      <c r="BM129" s="1">
        <f t="shared" si="338"/>
        <v>0</v>
      </c>
      <c r="BN129" s="1">
        <f t="shared" si="339"/>
        <v>0</v>
      </c>
      <c r="BO129" s="69">
        <f t="shared" si="340"/>
        <v>0</v>
      </c>
      <c r="BP129" s="1">
        <f t="shared" si="404"/>
        <v>0</v>
      </c>
      <c r="BQ129" s="1">
        <f t="shared" si="215"/>
        <v>0</v>
      </c>
      <c r="BR129" s="1">
        <f t="shared" si="216"/>
        <v>0</v>
      </c>
      <c r="BS129" s="1">
        <f t="shared" si="217"/>
        <v>0</v>
      </c>
      <c r="BT129" s="1">
        <f t="shared" si="218"/>
        <v>0</v>
      </c>
      <c r="BU129" s="1">
        <f t="shared" si="219"/>
        <v>0</v>
      </c>
      <c r="BV129" s="1">
        <f t="shared" si="220"/>
        <v>0</v>
      </c>
      <c r="BW129" s="1">
        <f t="shared" si="221"/>
        <v>0</v>
      </c>
      <c r="BX129" s="1">
        <f t="shared" si="222"/>
        <v>0</v>
      </c>
      <c r="BY129" s="69">
        <f t="shared" si="223"/>
        <v>0</v>
      </c>
      <c r="BZ129" s="1">
        <f t="shared" si="302"/>
        <v>0</v>
      </c>
      <c r="CA129" s="1">
        <f t="shared" si="341"/>
        <v>0</v>
      </c>
      <c r="CB129" s="1">
        <f t="shared" si="342"/>
        <v>0</v>
      </c>
      <c r="CC129" s="1">
        <f t="shared" si="343"/>
        <v>0</v>
      </c>
      <c r="CD129" s="1">
        <f t="shared" si="344"/>
        <v>0</v>
      </c>
      <c r="CE129" s="1">
        <f t="shared" si="345"/>
        <v>0</v>
      </c>
      <c r="CF129" s="1">
        <f t="shared" si="346"/>
        <v>0</v>
      </c>
      <c r="CG129" s="1">
        <f t="shared" si="347"/>
        <v>0</v>
      </c>
      <c r="CH129" s="1">
        <f t="shared" si="348"/>
        <v>0</v>
      </c>
      <c r="CI129" s="69">
        <f t="shared" si="349"/>
        <v>0</v>
      </c>
      <c r="CJ129" s="1">
        <f t="shared" si="402"/>
        <v>0</v>
      </c>
      <c r="CK129" s="1">
        <f t="shared" si="419"/>
        <v>0</v>
      </c>
      <c r="CL129" s="1">
        <f t="shared" si="420"/>
        <v>0</v>
      </c>
      <c r="CM129" s="1">
        <f t="shared" si="421"/>
        <v>0</v>
      </c>
      <c r="CN129" s="1">
        <f t="shared" si="422"/>
        <v>0</v>
      </c>
      <c r="CO129" s="1">
        <f t="shared" si="423"/>
        <v>0</v>
      </c>
      <c r="CP129" s="1">
        <f t="shared" si="424"/>
        <v>0</v>
      </c>
      <c r="CQ129" s="1">
        <f t="shared" si="425"/>
        <v>0</v>
      </c>
      <c r="CR129" s="1">
        <f t="shared" si="426"/>
        <v>0</v>
      </c>
      <c r="CS129" s="69">
        <f t="shared" si="427"/>
        <v>0</v>
      </c>
      <c r="CT129" s="1">
        <f t="shared" si="303"/>
        <v>0</v>
      </c>
      <c r="CU129" s="1">
        <f t="shared" si="350"/>
        <v>0</v>
      </c>
      <c r="CV129" s="1">
        <f t="shared" si="351"/>
        <v>0</v>
      </c>
      <c r="CW129" s="1">
        <f t="shared" si="352"/>
        <v>0</v>
      </c>
      <c r="CX129" s="1">
        <f t="shared" si="353"/>
        <v>0</v>
      </c>
      <c r="CY129" s="1">
        <f t="shared" si="354"/>
        <v>0</v>
      </c>
      <c r="CZ129" s="1">
        <f t="shared" si="355"/>
        <v>0</v>
      </c>
      <c r="DA129" s="1">
        <f t="shared" si="356"/>
        <v>0</v>
      </c>
      <c r="DB129" s="1">
        <f t="shared" si="357"/>
        <v>0</v>
      </c>
      <c r="DC129" s="69">
        <f t="shared" si="358"/>
        <v>0</v>
      </c>
      <c r="DD129" s="1">
        <f t="shared" si="304"/>
        <v>0</v>
      </c>
      <c r="DE129" s="1">
        <f t="shared" si="359"/>
        <v>0</v>
      </c>
      <c r="DF129" s="1">
        <f t="shared" si="360"/>
        <v>0</v>
      </c>
      <c r="DG129" s="1">
        <f t="shared" si="361"/>
        <v>0</v>
      </c>
      <c r="DH129" s="1">
        <f t="shared" si="362"/>
        <v>0</v>
      </c>
      <c r="DI129" s="1">
        <f t="shared" si="363"/>
        <v>0</v>
      </c>
      <c r="DJ129" s="1">
        <f t="shared" si="364"/>
        <v>0</v>
      </c>
      <c r="DK129" s="1">
        <f t="shared" si="365"/>
        <v>0</v>
      </c>
      <c r="DL129" s="1">
        <f t="shared" si="366"/>
        <v>0</v>
      </c>
      <c r="DM129" s="69">
        <f t="shared" si="367"/>
        <v>0</v>
      </c>
      <c r="DN129" s="1">
        <f t="shared" si="305"/>
        <v>0</v>
      </c>
      <c r="DO129" s="1">
        <f t="shared" si="368"/>
        <v>0</v>
      </c>
      <c r="DP129" s="1">
        <f t="shared" si="369"/>
        <v>0</v>
      </c>
      <c r="DQ129" s="1">
        <f t="shared" si="370"/>
        <v>0</v>
      </c>
      <c r="DR129" s="1">
        <f t="shared" si="371"/>
        <v>0</v>
      </c>
      <c r="DS129" s="1">
        <f t="shared" si="372"/>
        <v>0</v>
      </c>
      <c r="DT129" s="1">
        <f t="shared" si="373"/>
        <v>0</v>
      </c>
      <c r="DU129" s="1">
        <f t="shared" si="374"/>
        <v>0</v>
      </c>
      <c r="DV129" s="1">
        <f t="shared" si="375"/>
        <v>0</v>
      </c>
      <c r="DW129" s="69">
        <f t="shared" si="376"/>
        <v>0</v>
      </c>
      <c r="DX129" s="1">
        <v>5</v>
      </c>
      <c r="DY129" s="69">
        <f t="shared" si="311"/>
        <v>98</v>
      </c>
      <c r="DZ129" s="1">
        <f t="shared" si="417"/>
        <v>0</v>
      </c>
      <c r="EA129" s="1">
        <f t="shared" si="418"/>
        <v>0</v>
      </c>
      <c r="EB129" s="1">
        <f t="shared" si="415"/>
        <v>0</v>
      </c>
      <c r="EC129" s="284">
        <v>0.5</v>
      </c>
      <c r="ED129" s="285">
        <f t="shared" si="416"/>
        <v>0</v>
      </c>
    </row>
    <row r="130" spans="1:134" ht="15" x14ac:dyDescent="0.25">
      <c r="A130" s="208" t="s">
        <v>1035</v>
      </c>
      <c r="B130" s="801" t="s">
        <v>2310</v>
      </c>
      <c r="C130" s="182" t="s">
        <v>872</v>
      </c>
      <c r="D130" s="646" t="s">
        <v>695</v>
      </c>
      <c r="E130" s="889"/>
      <c r="F130" s="633">
        <f t="shared" si="403"/>
        <v>0</v>
      </c>
      <c r="G130" s="694"/>
      <c r="H130" s="58"/>
      <c r="I130" s="58"/>
      <c r="J130" s="58">
        <v>2</v>
      </c>
      <c r="K130" s="58">
        <v>1</v>
      </c>
      <c r="L130" s="58"/>
      <c r="M130" s="58"/>
      <c r="N130" s="658"/>
      <c r="O130" s="256"/>
      <c r="P130" s="256"/>
      <c r="Q130" s="256"/>
      <c r="R130" s="255"/>
      <c r="S130" s="256"/>
      <c r="T130" s="256"/>
      <c r="U130" s="256"/>
      <c r="V130" s="255"/>
      <c r="W130" s="256"/>
      <c r="X130" s="256"/>
      <c r="Y130" s="256"/>
      <c r="Z130" s="255"/>
      <c r="AA130" s="256"/>
      <c r="AB130" s="256"/>
      <c r="AC130" s="256"/>
      <c r="AD130" s="255"/>
      <c r="AE130" s="256"/>
      <c r="AF130" s="256"/>
      <c r="AH130" s="546">
        <f t="shared" si="414"/>
        <v>0</v>
      </c>
      <c r="AI130" s="66">
        <f t="shared" si="401"/>
        <v>0</v>
      </c>
      <c r="AL130" s="706" t="str">
        <f t="shared" si="310"/>
        <v>-valvola monostabile + 2 finecorsa</v>
      </c>
      <c r="AM130" s="684">
        <f t="shared" si="405"/>
        <v>0</v>
      </c>
      <c r="AN130" s="674">
        <f>P130*$E130</f>
        <v>0</v>
      </c>
      <c r="AO130" s="684">
        <f t="shared" si="406"/>
        <v>0</v>
      </c>
      <c r="AP130" s="674">
        <f t="shared" si="384"/>
        <v>0</v>
      </c>
      <c r="AQ130" s="684">
        <f t="shared" si="407"/>
        <v>0</v>
      </c>
      <c r="AR130" s="674">
        <f t="shared" si="385"/>
        <v>0</v>
      </c>
      <c r="AS130" s="684">
        <f t="shared" si="408"/>
        <v>0</v>
      </c>
      <c r="AT130" s="674">
        <f t="shared" si="386"/>
        <v>0</v>
      </c>
      <c r="AU130" s="684">
        <f t="shared" si="409"/>
        <v>0</v>
      </c>
      <c r="AV130" s="674">
        <f t="shared" si="387"/>
        <v>0</v>
      </c>
      <c r="AW130" s="684">
        <f t="shared" si="410"/>
        <v>0</v>
      </c>
      <c r="AX130" s="674">
        <f t="shared" si="388"/>
        <v>0</v>
      </c>
      <c r="AY130" s="684">
        <f t="shared" si="411"/>
        <v>0</v>
      </c>
      <c r="AZ130" s="674">
        <f t="shared" si="389"/>
        <v>0</v>
      </c>
      <c r="BA130" s="684">
        <f t="shared" si="412"/>
        <v>0</v>
      </c>
      <c r="BB130" s="674">
        <f t="shared" si="390"/>
        <v>0</v>
      </c>
      <c r="BC130" s="684">
        <f t="shared" si="413"/>
        <v>0</v>
      </c>
      <c r="BD130" s="674">
        <f t="shared" si="391"/>
        <v>0</v>
      </c>
      <c r="BE130" s="684">
        <f t="shared" si="378"/>
        <v>0</v>
      </c>
      <c r="BF130" s="1">
        <f t="shared" si="301"/>
        <v>0</v>
      </c>
      <c r="BG130" s="1">
        <f t="shared" si="332"/>
        <v>0</v>
      </c>
      <c r="BH130" s="1">
        <f t="shared" si="333"/>
        <v>0</v>
      </c>
      <c r="BI130" s="1">
        <f t="shared" si="334"/>
        <v>0</v>
      </c>
      <c r="BJ130" s="1">
        <f t="shared" si="335"/>
        <v>0</v>
      </c>
      <c r="BK130" s="1">
        <f t="shared" si="336"/>
        <v>0</v>
      </c>
      <c r="BL130" s="1">
        <f t="shared" si="337"/>
        <v>0</v>
      </c>
      <c r="BM130" s="1">
        <f t="shared" si="338"/>
        <v>0</v>
      </c>
      <c r="BN130" s="1">
        <f t="shared" si="339"/>
        <v>0</v>
      </c>
      <c r="BO130" s="69">
        <f t="shared" si="340"/>
        <v>0</v>
      </c>
      <c r="BP130" s="1">
        <f t="shared" si="404"/>
        <v>0</v>
      </c>
      <c r="BQ130" s="1">
        <f t="shared" si="215"/>
        <v>0</v>
      </c>
      <c r="BR130" s="1">
        <f t="shared" si="216"/>
        <v>0</v>
      </c>
      <c r="BS130" s="1">
        <f t="shared" si="217"/>
        <v>0</v>
      </c>
      <c r="BT130" s="1">
        <f t="shared" si="218"/>
        <v>0</v>
      </c>
      <c r="BU130" s="1">
        <f t="shared" si="219"/>
        <v>0</v>
      </c>
      <c r="BV130" s="1">
        <f t="shared" si="220"/>
        <v>0</v>
      </c>
      <c r="BW130" s="1">
        <f t="shared" si="221"/>
        <v>0</v>
      </c>
      <c r="BX130" s="1">
        <f t="shared" si="222"/>
        <v>0</v>
      </c>
      <c r="BY130" s="69">
        <f t="shared" si="223"/>
        <v>0</v>
      </c>
      <c r="BZ130" s="1">
        <f t="shared" si="302"/>
        <v>0</v>
      </c>
      <c r="CA130" s="1">
        <f t="shared" si="341"/>
        <v>0</v>
      </c>
      <c r="CB130" s="1">
        <f t="shared" si="342"/>
        <v>0</v>
      </c>
      <c r="CC130" s="1">
        <f t="shared" si="343"/>
        <v>0</v>
      </c>
      <c r="CD130" s="1">
        <f t="shared" si="344"/>
        <v>0</v>
      </c>
      <c r="CE130" s="1">
        <f t="shared" si="345"/>
        <v>0</v>
      </c>
      <c r="CF130" s="1">
        <f t="shared" si="346"/>
        <v>0</v>
      </c>
      <c r="CG130" s="1">
        <f t="shared" si="347"/>
        <v>0</v>
      </c>
      <c r="CH130" s="1">
        <f t="shared" si="348"/>
        <v>0</v>
      </c>
      <c r="CI130" s="69">
        <f t="shared" si="349"/>
        <v>0</v>
      </c>
      <c r="CJ130" s="1">
        <f t="shared" si="402"/>
        <v>0</v>
      </c>
      <c r="CK130" s="1">
        <f t="shared" si="419"/>
        <v>0</v>
      </c>
      <c r="CL130" s="1">
        <f t="shared" si="420"/>
        <v>0</v>
      </c>
      <c r="CM130" s="1">
        <f t="shared" si="421"/>
        <v>0</v>
      </c>
      <c r="CN130" s="1">
        <f t="shared" si="422"/>
        <v>0</v>
      </c>
      <c r="CO130" s="1">
        <f t="shared" si="423"/>
        <v>0</v>
      </c>
      <c r="CP130" s="1">
        <f t="shared" si="424"/>
        <v>0</v>
      </c>
      <c r="CQ130" s="1">
        <f t="shared" si="425"/>
        <v>0</v>
      </c>
      <c r="CR130" s="1">
        <f t="shared" si="426"/>
        <v>0</v>
      </c>
      <c r="CS130" s="69">
        <f t="shared" si="427"/>
        <v>0</v>
      </c>
      <c r="CT130" s="1">
        <f t="shared" si="303"/>
        <v>0</v>
      </c>
      <c r="CU130" s="1">
        <f t="shared" si="350"/>
        <v>0</v>
      </c>
      <c r="CV130" s="1">
        <f t="shared" si="351"/>
        <v>0</v>
      </c>
      <c r="CW130" s="1">
        <f t="shared" si="352"/>
        <v>0</v>
      </c>
      <c r="CX130" s="1">
        <f t="shared" si="353"/>
        <v>0</v>
      </c>
      <c r="CY130" s="1">
        <f t="shared" si="354"/>
        <v>0</v>
      </c>
      <c r="CZ130" s="1">
        <f t="shared" si="355"/>
        <v>0</v>
      </c>
      <c r="DA130" s="1">
        <f t="shared" si="356"/>
        <v>0</v>
      </c>
      <c r="DB130" s="1">
        <f t="shared" si="357"/>
        <v>0</v>
      </c>
      <c r="DC130" s="69">
        <f t="shared" si="358"/>
        <v>0</v>
      </c>
      <c r="DD130" s="1">
        <f t="shared" si="304"/>
        <v>0</v>
      </c>
      <c r="DE130" s="1">
        <f t="shared" si="359"/>
        <v>0</v>
      </c>
      <c r="DF130" s="1">
        <f t="shared" si="360"/>
        <v>0</v>
      </c>
      <c r="DG130" s="1">
        <f t="shared" si="361"/>
        <v>0</v>
      </c>
      <c r="DH130" s="1">
        <f t="shared" si="362"/>
        <v>0</v>
      </c>
      <c r="DI130" s="1">
        <f t="shared" si="363"/>
        <v>0</v>
      </c>
      <c r="DJ130" s="1">
        <f t="shared" si="364"/>
        <v>0</v>
      </c>
      <c r="DK130" s="1">
        <f t="shared" si="365"/>
        <v>0</v>
      </c>
      <c r="DL130" s="1">
        <f t="shared" si="366"/>
        <v>0</v>
      </c>
      <c r="DM130" s="69">
        <f t="shared" si="367"/>
        <v>0</v>
      </c>
      <c r="DN130" s="1">
        <f t="shared" si="305"/>
        <v>0</v>
      </c>
      <c r="DO130" s="1">
        <f t="shared" si="368"/>
        <v>0</v>
      </c>
      <c r="DP130" s="1">
        <f t="shared" si="369"/>
        <v>0</v>
      </c>
      <c r="DQ130" s="1">
        <f t="shared" si="370"/>
        <v>0</v>
      </c>
      <c r="DR130" s="1">
        <f t="shared" si="371"/>
        <v>0</v>
      </c>
      <c r="DS130" s="1">
        <f t="shared" si="372"/>
        <v>0</v>
      </c>
      <c r="DT130" s="1">
        <f t="shared" si="373"/>
        <v>0</v>
      </c>
      <c r="DU130" s="1">
        <f t="shared" si="374"/>
        <v>0</v>
      </c>
      <c r="DV130" s="1">
        <f t="shared" si="375"/>
        <v>0</v>
      </c>
      <c r="DW130" s="69">
        <f t="shared" si="376"/>
        <v>0</v>
      </c>
      <c r="DX130" s="1">
        <v>5</v>
      </c>
      <c r="DY130" s="69">
        <f t="shared" si="311"/>
        <v>99</v>
      </c>
      <c r="DZ130" s="1">
        <f t="shared" si="417"/>
        <v>0</v>
      </c>
      <c r="EA130" s="1">
        <f t="shared" si="418"/>
        <v>0</v>
      </c>
      <c r="EB130" s="1">
        <f t="shared" si="415"/>
        <v>0</v>
      </c>
      <c r="EC130" s="284">
        <v>0.5</v>
      </c>
      <c r="ED130" s="285">
        <f t="shared" si="416"/>
        <v>0</v>
      </c>
    </row>
    <row r="131" spans="1:134" ht="15" x14ac:dyDescent="0.25">
      <c r="A131" s="208" t="s">
        <v>1035</v>
      </c>
      <c r="B131" s="803" t="s">
        <v>2312</v>
      </c>
      <c r="C131" s="192" t="s">
        <v>872</v>
      </c>
      <c r="D131" s="335" t="s">
        <v>697</v>
      </c>
      <c r="E131" s="889"/>
      <c r="F131" s="633">
        <f t="shared" si="403"/>
        <v>0</v>
      </c>
      <c r="G131" s="269"/>
      <c r="H131" s="58"/>
      <c r="I131" s="58"/>
      <c r="J131" s="58"/>
      <c r="K131" s="58">
        <v>1</v>
      </c>
      <c r="L131" s="58"/>
      <c r="M131" s="58"/>
      <c r="N131" s="658"/>
      <c r="O131" s="256"/>
      <c r="P131" s="256"/>
      <c r="Q131" s="256"/>
      <c r="R131" s="255"/>
      <c r="S131" s="256"/>
      <c r="T131" s="256"/>
      <c r="U131" s="256"/>
      <c r="V131" s="255"/>
      <c r="W131" s="256"/>
      <c r="X131" s="256"/>
      <c r="Y131" s="256"/>
      <c r="Z131" s="255"/>
      <c r="AA131" s="256"/>
      <c r="AB131" s="256"/>
      <c r="AC131" s="256"/>
      <c r="AD131" s="255"/>
      <c r="AE131" s="256"/>
      <c r="AF131" s="256"/>
      <c r="AH131" s="546">
        <f t="shared" si="414"/>
        <v>0</v>
      </c>
      <c r="AI131" s="66">
        <f t="shared" si="401"/>
        <v>0</v>
      </c>
      <c r="AL131" s="706" t="str">
        <f t="shared" si="310"/>
        <v>-valvola monostabile</v>
      </c>
      <c r="AM131" s="684">
        <f t="shared" si="405"/>
        <v>0</v>
      </c>
      <c r="AN131" s="674">
        <f>P131*$E131</f>
        <v>0</v>
      </c>
      <c r="AO131" s="684">
        <f t="shared" si="406"/>
        <v>0</v>
      </c>
      <c r="AP131" s="674">
        <f t="shared" si="384"/>
        <v>0</v>
      </c>
      <c r="AQ131" s="684">
        <f t="shared" si="407"/>
        <v>0</v>
      </c>
      <c r="AR131" s="674">
        <f t="shared" si="385"/>
        <v>0</v>
      </c>
      <c r="AS131" s="684">
        <f t="shared" si="408"/>
        <v>0</v>
      </c>
      <c r="AT131" s="674">
        <f t="shared" si="386"/>
        <v>0</v>
      </c>
      <c r="AU131" s="684">
        <f t="shared" si="409"/>
        <v>0</v>
      </c>
      <c r="AV131" s="674">
        <f t="shared" si="387"/>
        <v>0</v>
      </c>
      <c r="AW131" s="684">
        <f t="shared" si="410"/>
        <v>0</v>
      </c>
      <c r="AX131" s="674">
        <f t="shared" si="388"/>
        <v>0</v>
      </c>
      <c r="AY131" s="684">
        <f t="shared" si="411"/>
        <v>0</v>
      </c>
      <c r="AZ131" s="674">
        <f t="shared" si="389"/>
        <v>0</v>
      </c>
      <c r="BA131" s="684">
        <f t="shared" si="412"/>
        <v>0</v>
      </c>
      <c r="BB131" s="674">
        <f t="shared" si="390"/>
        <v>0</v>
      </c>
      <c r="BC131" s="684">
        <f t="shared" si="413"/>
        <v>0</v>
      </c>
      <c r="BD131" s="674">
        <f t="shared" si="391"/>
        <v>0</v>
      </c>
      <c r="BE131" s="684">
        <f t="shared" si="378"/>
        <v>0</v>
      </c>
      <c r="BF131" s="1">
        <f t="shared" si="301"/>
        <v>0</v>
      </c>
      <c r="BG131" s="1">
        <f t="shared" ref="BG131:BG167" si="428">P131*$G131</f>
        <v>0</v>
      </c>
      <c r="BH131" s="1">
        <f t="shared" ref="BH131:BH167" si="429">R131*$G131</f>
        <v>0</v>
      </c>
      <c r="BI131" s="1">
        <f t="shared" ref="BI131:BI167" si="430">T131*$G131</f>
        <v>0</v>
      </c>
      <c r="BJ131" s="1">
        <f t="shared" ref="BJ131:BJ167" si="431">V131*$G131</f>
        <v>0</v>
      </c>
      <c r="BK131" s="1">
        <f t="shared" ref="BK131:BK167" si="432">X131*$G131</f>
        <v>0</v>
      </c>
      <c r="BL131" s="1">
        <f t="shared" ref="BL131:BL167" si="433">Z131*$G131</f>
        <v>0</v>
      </c>
      <c r="BM131" s="1">
        <f t="shared" ref="BM131:BM167" si="434">AB131*$G131</f>
        <v>0</v>
      </c>
      <c r="BN131" s="1">
        <f t="shared" ref="BN131:BN167" si="435">AD131*$G131</f>
        <v>0</v>
      </c>
      <c r="BO131" s="69">
        <f t="shared" ref="BO131:BO167" si="436">AF131*$G131</f>
        <v>0</v>
      </c>
      <c r="BP131" s="1">
        <f t="shared" si="404"/>
        <v>0</v>
      </c>
      <c r="BQ131" s="1">
        <f t="shared" si="215"/>
        <v>0</v>
      </c>
      <c r="BR131" s="1">
        <f t="shared" si="216"/>
        <v>0</v>
      </c>
      <c r="BS131" s="1">
        <f t="shared" si="217"/>
        <v>0</v>
      </c>
      <c r="BT131" s="1">
        <f t="shared" si="218"/>
        <v>0</v>
      </c>
      <c r="BU131" s="1">
        <f t="shared" si="219"/>
        <v>0</v>
      </c>
      <c r="BV131" s="1">
        <f t="shared" si="220"/>
        <v>0</v>
      </c>
      <c r="BW131" s="1">
        <f t="shared" si="221"/>
        <v>0</v>
      </c>
      <c r="BX131" s="1">
        <f t="shared" si="222"/>
        <v>0</v>
      </c>
      <c r="BY131" s="69">
        <f t="shared" si="223"/>
        <v>0</v>
      </c>
      <c r="BZ131" s="1">
        <f t="shared" si="302"/>
        <v>0</v>
      </c>
      <c r="CA131" s="1">
        <f t="shared" ref="CA131:CA167" si="437">P131*$I131</f>
        <v>0</v>
      </c>
      <c r="CB131" s="1">
        <f t="shared" ref="CB131:CB167" si="438">R131*$I131</f>
        <v>0</v>
      </c>
      <c r="CC131" s="1">
        <f t="shared" ref="CC131:CC167" si="439">T131*$I131</f>
        <v>0</v>
      </c>
      <c r="CD131" s="1">
        <f t="shared" ref="CD131:CD167" si="440">V131*$I131</f>
        <v>0</v>
      </c>
      <c r="CE131" s="1">
        <f t="shared" ref="CE131:CE167" si="441">X131*$I131</f>
        <v>0</v>
      </c>
      <c r="CF131" s="1">
        <f t="shared" ref="CF131:CF167" si="442">Z131*$I131</f>
        <v>0</v>
      </c>
      <c r="CG131" s="1">
        <f t="shared" ref="CG131:CG167" si="443">AB131*$I131</f>
        <v>0</v>
      </c>
      <c r="CH131" s="1">
        <f t="shared" ref="CH131:CH167" si="444">AD131*$I131</f>
        <v>0</v>
      </c>
      <c r="CI131" s="69">
        <f t="shared" ref="CI131:CI167" si="445">AF131*$I131</f>
        <v>0</v>
      </c>
      <c r="CJ131" s="1">
        <f t="shared" si="402"/>
        <v>0</v>
      </c>
      <c r="CK131" s="1">
        <f t="shared" si="419"/>
        <v>0</v>
      </c>
      <c r="CL131" s="1">
        <f t="shared" si="420"/>
        <v>0</v>
      </c>
      <c r="CM131" s="1">
        <f t="shared" si="421"/>
        <v>0</v>
      </c>
      <c r="CN131" s="1">
        <f t="shared" si="422"/>
        <v>0</v>
      </c>
      <c r="CO131" s="1">
        <f t="shared" si="423"/>
        <v>0</v>
      </c>
      <c r="CP131" s="1">
        <f t="shared" si="424"/>
        <v>0</v>
      </c>
      <c r="CQ131" s="1">
        <f t="shared" si="425"/>
        <v>0</v>
      </c>
      <c r="CR131" s="1">
        <f t="shared" si="426"/>
        <v>0</v>
      </c>
      <c r="CS131" s="69">
        <f t="shared" si="427"/>
        <v>0</v>
      </c>
      <c r="CT131" s="1">
        <f t="shared" si="303"/>
        <v>0</v>
      </c>
      <c r="CU131" s="1">
        <f t="shared" ref="CU131:CU167" si="446">P131*$K131</f>
        <v>0</v>
      </c>
      <c r="CV131" s="1">
        <f t="shared" ref="CV131:CV167" si="447">R131*$K131</f>
        <v>0</v>
      </c>
      <c r="CW131" s="1">
        <f t="shared" ref="CW131:CW167" si="448">T131*$K131</f>
        <v>0</v>
      </c>
      <c r="CX131" s="1">
        <f t="shared" ref="CX131:CX167" si="449">V131*$K131</f>
        <v>0</v>
      </c>
      <c r="CY131" s="1">
        <f t="shared" ref="CY131:CY167" si="450">X131*$K131</f>
        <v>0</v>
      </c>
      <c r="CZ131" s="1">
        <f t="shared" ref="CZ131:CZ167" si="451">Z131*$K131</f>
        <v>0</v>
      </c>
      <c r="DA131" s="1">
        <f t="shared" ref="DA131:DA167" si="452">AB131*$K131</f>
        <v>0</v>
      </c>
      <c r="DB131" s="1">
        <f t="shared" ref="DB131:DB167" si="453">AD131*$K131</f>
        <v>0</v>
      </c>
      <c r="DC131" s="69">
        <f t="shared" ref="DC131:DC167" si="454">AF131*$K131</f>
        <v>0</v>
      </c>
      <c r="DD131" s="1">
        <f t="shared" si="304"/>
        <v>0</v>
      </c>
      <c r="DE131" s="1">
        <f t="shared" ref="DE131:DE167" si="455">P131*$L131</f>
        <v>0</v>
      </c>
      <c r="DF131" s="1">
        <f t="shared" ref="DF131:DF167" si="456">R131*$L131</f>
        <v>0</v>
      </c>
      <c r="DG131" s="1">
        <f t="shared" ref="DG131:DG167" si="457">T131*$L131</f>
        <v>0</v>
      </c>
      <c r="DH131" s="1">
        <f t="shared" ref="DH131:DH167" si="458">V131*$L131</f>
        <v>0</v>
      </c>
      <c r="DI131" s="1">
        <f t="shared" ref="DI131:DI167" si="459">X131*$L131</f>
        <v>0</v>
      </c>
      <c r="DJ131" s="1">
        <f t="shared" ref="DJ131:DJ167" si="460">Z131*$L131</f>
        <v>0</v>
      </c>
      <c r="DK131" s="1">
        <f t="shared" ref="DK131:DK167" si="461">AB131*$L131</f>
        <v>0</v>
      </c>
      <c r="DL131" s="1">
        <f t="shared" ref="DL131:DL167" si="462">AD131*$L131</f>
        <v>0</v>
      </c>
      <c r="DM131" s="69">
        <f t="shared" ref="DM131:DM167" si="463">AF131*$L131</f>
        <v>0</v>
      </c>
      <c r="DN131" s="1">
        <f t="shared" si="305"/>
        <v>0</v>
      </c>
      <c r="DO131" s="1">
        <f t="shared" ref="DO131:DO167" si="464">P131*$M131</f>
        <v>0</v>
      </c>
      <c r="DP131" s="1">
        <f t="shared" ref="DP131:DP167" si="465">R131*$M131</f>
        <v>0</v>
      </c>
      <c r="DQ131" s="1">
        <f t="shared" ref="DQ131:DQ167" si="466">T131*$M131</f>
        <v>0</v>
      </c>
      <c r="DR131" s="1">
        <f t="shared" ref="DR131:DR167" si="467">V131*$M131</f>
        <v>0</v>
      </c>
      <c r="DS131" s="1">
        <f t="shared" ref="DS131:DS167" si="468">X131*$M131</f>
        <v>0</v>
      </c>
      <c r="DT131" s="1">
        <f t="shared" ref="DT131:DT167" si="469">Z131*$M131</f>
        <v>0</v>
      </c>
      <c r="DU131" s="1">
        <f t="shared" ref="DU131:DU167" si="470">AB131*$M131</f>
        <v>0</v>
      </c>
      <c r="DV131" s="1">
        <f t="shared" ref="DV131:DV167" si="471">AD131*$M131</f>
        <v>0</v>
      </c>
      <c r="DW131" s="69">
        <f t="shared" ref="DW131:DW167" si="472">AF131*$M131</f>
        <v>0</v>
      </c>
      <c r="DX131" s="1">
        <v>5</v>
      </c>
      <c r="DY131" s="69">
        <f t="shared" si="311"/>
        <v>100</v>
      </c>
      <c r="DZ131" s="1">
        <f t="shared" si="417"/>
        <v>0</v>
      </c>
      <c r="EA131" s="1">
        <f t="shared" si="418"/>
        <v>0</v>
      </c>
      <c r="EB131" s="1">
        <f t="shared" si="415"/>
        <v>0</v>
      </c>
      <c r="EC131" s="284">
        <v>0.5</v>
      </c>
      <c r="ED131" s="285">
        <f t="shared" si="416"/>
        <v>0</v>
      </c>
    </row>
    <row r="132" spans="1:134" x14ac:dyDescent="0.2">
      <c r="A132" s="208" t="s">
        <v>1035</v>
      </c>
      <c r="B132" s="808" t="s">
        <v>633</v>
      </c>
      <c r="C132" s="196" t="s">
        <v>871</v>
      </c>
      <c r="D132" s="647" t="s">
        <v>558</v>
      </c>
      <c r="E132" s="889">
        <v>0.18</v>
      </c>
      <c r="F132" s="633">
        <f t="shared" si="403"/>
        <v>138.04434000000001</v>
      </c>
      <c r="G132" s="700"/>
      <c r="H132" s="342"/>
      <c r="I132" s="342"/>
      <c r="J132" s="342">
        <v>1</v>
      </c>
      <c r="K132" s="342">
        <v>1</v>
      </c>
      <c r="L132" s="342"/>
      <c r="M132" s="342"/>
      <c r="N132" s="658"/>
      <c r="O132" s="256"/>
      <c r="P132" s="256"/>
      <c r="Q132" s="256"/>
      <c r="R132" s="255"/>
      <c r="S132" s="256"/>
      <c r="T132" s="256"/>
      <c r="U132" s="256"/>
      <c r="V132" s="255"/>
      <c r="W132" s="256"/>
      <c r="X132" s="256"/>
      <c r="Y132" s="256"/>
      <c r="Z132" s="255"/>
      <c r="AA132" s="256"/>
      <c r="AB132" s="256"/>
      <c r="AC132" s="256"/>
      <c r="AD132" s="255"/>
      <c r="AE132" s="256"/>
      <c r="AF132" s="256"/>
      <c r="AG132" s="550"/>
      <c r="AH132" s="546">
        <f t="shared" si="414"/>
        <v>0</v>
      </c>
      <c r="AI132" s="74">
        <f>IF(SUM(N$134:N$138)&gt;0,0,$E132*N132)</f>
        <v>0</v>
      </c>
      <c r="AJ132" s="74"/>
      <c r="AK132" s="788"/>
      <c r="AL132" s="706" t="str">
        <f t="shared" si="310"/>
        <v>-motore &lt;= 0,25Kw</v>
      </c>
      <c r="AM132" s="681">
        <f>IF(SUM(AM$134:AM$138)&gt;0,N132*inverter_silo,N132*$F132)</f>
        <v>0</v>
      </c>
      <c r="AN132" s="73">
        <f>IF(SUM(P$134:P$138)&gt;0,0,$E132*P132)</f>
        <v>0</v>
      </c>
      <c r="AO132" s="681">
        <f>IF(SUM(AO$134:AO$138)&gt;0,P132*inverter_silo,P132*$F132)</f>
        <v>0</v>
      </c>
      <c r="AP132" s="73">
        <f>IF(SUM(R$134:R$138)&gt;0,0,$E132*R132)</f>
        <v>0</v>
      </c>
      <c r="AQ132" s="681">
        <f>IF(SUM(AQ$134:AQ$138)&gt;0,R132*inverter_silo,R132*$F132)</f>
        <v>0</v>
      </c>
      <c r="AR132" s="73">
        <f>IF(SUM(T$134:T$138)&gt;0,0,$E132*T132)</f>
        <v>0</v>
      </c>
      <c r="AS132" s="681">
        <f>IF(SUM(AS$134:AS$138)&gt;0,T132*inverter_silo,T132*$F132)</f>
        <v>0</v>
      </c>
      <c r="AT132" s="73">
        <f>IF(SUM(V$134:V$138)&gt;0,0,$E132*V132)</f>
        <v>0</v>
      </c>
      <c r="AU132" s="681">
        <f>IF(SUM(AU$134:AU$138)&gt;0,V132*inverter_silo,V132*$F132)</f>
        <v>0</v>
      </c>
      <c r="AV132" s="73">
        <f>IF(SUM(X$134:X$138)&gt;0,0,$E132*X132)</f>
        <v>0</v>
      </c>
      <c r="AW132" s="681">
        <f>IF(SUM(AW$134:AW$138)&gt;0,X132*inverter_silo,X132*$F132)</f>
        <v>0</v>
      </c>
      <c r="AX132" s="73">
        <f>IF(SUM(Z$134:Z$138)&gt;0,0,$E132*Z132)</f>
        <v>0</v>
      </c>
      <c r="AY132" s="681">
        <f>IF(SUM(AY$134:AY$138)&gt;0,Z132*inverter_silo,Z132*$F132)</f>
        <v>0</v>
      </c>
      <c r="AZ132" s="73">
        <f>IF(SUM(AB$134:AB$138)&gt;0,0,$E132*AB132)</f>
        <v>0</v>
      </c>
      <c r="BA132" s="681">
        <f>IF(SUM(BA$134:BA$138)&gt;0,AB132*inverter_silo,AB132*$F132)</f>
        <v>0</v>
      </c>
      <c r="BB132" s="73">
        <f>IF(SUM(AD$134:AD$138)&gt;0,0,$E132*AD132)</f>
        <v>0</v>
      </c>
      <c r="BC132" s="681">
        <f>IF(SUM(BC$134:BC$138)&gt;0,AD132*inverter_silo,AD132*$F132)</f>
        <v>0</v>
      </c>
      <c r="BD132" s="73">
        <f>IF(SUM(AF$134:AF$138)&gt;0,0,$E132*AF132)</f>
        <v>0</v>
      </c>
      <c r="BE132" s="681">
        <f>IF(SUM(BE$134:BE$138)&gt;0,AF132*inverter_silo,AF132*$F132)</f>
        <v>0</v>
      </c>
      <c r="BF132" s="1">
        <f t="shared" si="301"/>
        <v>0</v>
      </c>
      <c r="BG132" s="1">
        <f t="shared" si="428"/>
        <v>0</v>
      </c>
      <c r="BH132" s="1">
        <f t="shared" si="429"/>
        <v>0</v>
      </c>
      <c r="BI132" s="1">
        <f t="shared" si="430"/>
        <v>0</v>
      </c>
      <c r="BJ132" s="1">
        <f t="shared" si="431"/>
        <v>0</v>
      </c>
      <c r="BK132" s="1">
        <f t="shared" si="432"/>
        <v>0</v>
      </c>
      <c r="BL132" s="1">
        <f t="shared" si="433"/>
        <v>0</v>
      </c>
      <c r="BM132" s="1">
        <f t="shared" si="434"/>
        <v>0</v>
      </c>
      <c r="BN132" s="1">
        <f t="shared" si="435"/>
        <v>0</v>
      </c>
      <c r="BO132" s="69">
        <f t="shared" si="436"/>
        <v>0</v>
      </c>
      <c r="BP132" s="1">
        <f t="shared" si="404"/>
        <v>0</v>
      </c>
      <c r="BQ132" s="1">
        <f t="shared" ref="BQ132:BQ167" si="473">P132*$H132</f>
        <v>0</v>
      </c>
      <c r="BR132" s="1">
        <f t="shared" ref="BR132:BR167" si="474">R132*$H132</f>
        <v>0</v>
      </c>
      <c r="BS132" s="1">
        <f t="shared" ref="BS132:BS167" si="475">T132*$H132</f>
        <v>0</v>
      </c>
      <c r="BT132" s="1">
        <f t="shared" ref="BT132:BT167" si="476">V132*$H132</f>
        <v>0</v>
      </c>
      <c r="BU132" s="1">
        <f t="shared" ref="BU132:BU167" si="477">X132*$H132</f>
        <v>0</v>
      </c>
      <c r="BV132" s="1">
        <f t="shared" ref="BV132:BV167" si="478">Z132*$H132</f>
        <v>0</v>
      </c>
      <c r="BW132" s="1">
        <f t="shared" ref="BW132:BW167" si="479">AB132*$H132</f>
        <v>0</v>
      </c>
      <c r="BX132" s="1">
        <f t="shared" ref="BX132:BX167" si="480">AD132*$H132</f>
        <v>0</v>
      </c>
      <c r="BY132" s="69">
        <f t="shared" ref="BY132:BY167" si="481">AF132*$H132</f>
        <v>0</v>
      </c>
      <c r="BZ132" s="1">
        <f t="shared" si="302"/>
        <v>0</v>
      </c>
      <c r="CA132" s="1">
        <f t="shared" si="437"/>
        <v>0</v>
      </c>
      <c r="CB132" s="1">
        <f t="shared" si="438"/>
        <v>0</v>
      </c>
      <c r="CC132" s="1">
        <f t="shared" si="439"/>
        <v>0</v>
      </c>
      <c r="CD132" s="1">
        <f t="shared" si="440"/>
        <v>0</v>
      </c>
      <c r="CE132" s="1">
        <f t="shared" si="441"/>
        <v>0</v>
      </c>
      <c r="CF132" s="1">
        <f t="shared" si="442"/>
        <v>0</v>
      </c>
      <c r="CG132" s="1">
        <f t="shared" si="443"/>
        <v>0</v>
      </c>
      <c r="CH132" s="1">
        <f t="shared" si="444"/>
        <v>0</v>
      </c>
      <c r="CI132" s="69">
        <f t="shared" si="445"/>
        <v>0</v>
      </c>
      <c r="CJ132" s="1">
        <f t="shared" si="402"/>
        <v>0</v>
      </c>
      <c r="CK132" s="1">
        <f t="shared" si="419"/>
        <v>0</v>
      </c>
      <c r="CL132" s="1">
        <f t="shared" si="420"/>
        <v>0</v>
      </c>
      <c r="CM132" s="1">
        <f t="shared" si="421"/>
        <v>0</v>
      </c>
      <c r="CN132" s="1">
        <f t="shared" si="422"/>
        <v>0</v>
      </c>
      <c r="CO132" s="1">
        <f t="shared" si="423"/>
        <v>0</v>
      </c>
      <c r="CP132" s="1">
        <f t="shared" si="424"/>
        <v>0</v>
      </c>
      <c r="CQ132" s="1">
        <f t="shared" si="425"/>
        <v>0</v>
      </c>
      <c r="CR132" s="1">
        <f t="shared" si="426"/>
        <v>0</v>
      </c>
      <c r="CS132" s="69">
        <f t="shared" si="427"/>
        <v>0</v>
      </c>
      <c r="CT132" s="1">
        <f t="shared" si="303"/>
        <v>0</v>
      </c>
      <c r="CU132" s="1">
        <f t="shared" si="446"/>
        <v>0</v>
      </c>
      <c r="CV132" s="1">
        <f t="shared" si="447"/>
        <v>0</v>
      </c>
      <c r="CW132" s="1">
        <f t="shared" si="448"/>
        <v>0</v>
      </c>
      <c r="CX132" s="1">
        <f t="shared" si="449"/>
        <v>0</v>
      </c>
      <c r="CY132" s="1">
        <f t="shared" si="450"/>
        <v>0</v>
      </c>
      <c r="CZ132" s="1">
        <f t="shared" si="451"/>
        <v>0</v>
      </c>
      <c r="DA132" s="1">
        <f t="shared" si="452"/>
        <v>0</v>
      </c>
      <c r="DB132" s="1">
        <f t="shared" si="453"/>
        <v>0</v>
      </c>
      <c r="DC132" s="69">
        <f t="shared" si="454"/>
        <v>0</v>
      </c>
      <c r="DD132" s="1">
        <f t="shared" si="304"/>
        <v>0</v>
      </c>
      <c r="DE132" s="1">
        <f t="shared" si="455"/>
        <v>0</v>
      </c>
      <c r="DF132" s="1">
        <f t="shared" si="456"/>
        <v>0</v>
      </c>
      <c r="DG132" s="1">
        <f t="shared" si="457"/>
        <v>0</v>
      </c>
      <c r="DH132" s="1">
        <f t="shared" si="458"/>
        <v>0</v>
      </c>
      <c r="DI132" s="1">
        <f t="shared" si="459"/>
        <v>0</v>
      </c>
      <c r="DJ132" s="1">
        <f t="shared" si="460"/>
        <v>0</v>
      </c>
      <c r="DK132" s="1">
        <f t="shared" si="461"/>
        <v>0</v>
      </c>
      <c r="DL132" s="1">
        <f t="shared" si="462"/>
        <v>0</v>
      </c>
      <c r="DM132" s="69">
        <f t="shared" si="463"/>
        <v>0</v>
      </c>
      <c r="DN132" s="1">
        <f t="shared" si="305"/>
        <v>0</v>
      </c>
      <c r="DO132" s="1">
        <f t="shared" si="464"/>
        <v>0</v>
      </c>
      <c r="DP132" s="1">
        <f t="shared" si="465"/>
        <v>0</v>
      </c>
      <c r="DQ132" s="1">
        <f t="shared" si="466"/>
        <v>0</v>
      </c>
      <c r="DR132" s="1">
        <f t="shared" si="467"/>
        <v>0</v>
      </c>
      <c r="DS132" s="1">
        <f t="shared" si="468"/>
        <v>0</v>
      </c>
      <c r="DT132" s="1">
        <f t="shared" si="469"/>
        <v>0</v>
      </c>
      <c r="DU132" s="1">
        <f t="shared" si="470"/>
        <v>0</v>
      </c>
      <c r="DV132" s="1">
        <f t="shared" si="471"/>
        <v>0</v>
      </c>
      <c r="DW132" s="69">
        <f t="shared" si="472"/>
        <v>0</v>
      </c>
      <c r="DX132" s="1">
        <v>5</v>
      </c>
      <c r="DY132" s="69">
        <f t="shared" si="311"/>
        <v>101</v>
      </c>
      <c r="DZ132" s="1">
        <f t="shared" si="417"/>
        <v>0</v>
      </c>
      <c r="EA132" s="1">
        <f t="shared" si="418"/>
        <v>0</v>
      </c>
      <c r="EB132" s="1">
        <f t="shared" si="415"/>
        <v>0</v>
      </c>
      <c r="ED132" s="285">
        <f t="shared" si="416"/>
        <v>0</v>
      </c>
    </row>
    <row r="133" spans="1:134" x14ac:dyDescent="0.2">
      <c r="A133" s="208" t="s">
        <v>1035</v>
      </c>
      <c r="B133" s="812" t="s">
        <v>635</v>
      </c>
      <c r="C133" s="199" t="s">
        <v>871</v>
      </c>
      <c r="D133" s="646" t="s">
        <v>563</v>
      </c>
      <c r="E133" s="889">
        <v>0.25</v>
      </c>
      <c r="F133" s="633">
        <f t="shared" si="403"/>
        <v>154.36299</v>
      </c>
      <c r="G133" s="700"/>
      <c r="H133" s="342"/>
      <c r="I133" s="342"/>
      <c r="J133" s="342">
        <v>1</v>
      </c>
      <c r="K133" s="342">
        <v>1</v>
      </c>
      <c r="L133" s="342"/>
      <c r="M133" s="342"/>
      <c r="N133" s="658">
        <v>0</v>
      </c>
      <c r="O133" s="256"/>
      <c r="P133" s="256"/>
      <c r="Q133" s="256"/>
      <c r="R133" s="255"/>
      <c r="S133" s="256"/>
      <c r="T133" s="256"/>
      <c r="U133" s="256"/>
      <c r="V133" s="255"/>
      <c r="W133" s="256"/>
      <c r="X133" s="256"/>
      <c r="Y133" s="256"/>
      <c r="Z133" s="255"/>
      <c r="AA133" s="256"/>
      <c r="AB133" s="256"/>
      <c r="AC133" s="256"/>
      <c r="AD133" s="255"/>
      <c r="AE133" s="256"/>
      <c r="AF133" s="256"/>
      <c r="AG133" s="551"/>
      <c r="AH133" s="546">
        <f t="shared" si="414"/>
        <v>0</v>
      </c>
      <c r="AI133" s="82">
        <f>IF(SUM(N$134:N$138)&gt;0,0,$E133*N133)</f>
        <v>0</v>
      </c>
      <c r="AJ133" s="82"/>
      <c r="AK133" s="788"/>
      <c r="AL133" s="706" t="str">
        <f t="shared" si="310"/>
        <v>-motore &lt;0,25 e &lt;3 Kw</v>
      </c>
      <c r="AM133" s="682">
        <f>IF(SUM(AM$134:AM$138)&gt;0,N133*inverter_silo,N133*$F133)</f>
        <v>0</v>
      </c>
      <c r="AN133" s="75">
        <f>IF(SUM(P$134:P$138)&gt;0,0,$E133*P133)</f>
        <v>0</v>
      </c>
      <c r="AO133" s="682">
        <f>IF(SUM(AO$134:AO$138)&gt;0,P133*inverter_silo,P133*$F133)</f>
        <v>0</v>
      </c>
      <c r="AP133" s="75">
        <f>IF(SUM(R$134:R$138)&gt;0,0,$E133*R133)</f>
        <v>0</v>
      </c>
      <c r="AQ133" s="682">
        <f>IF(SUM(AQ$134:AQ$138)&gt;0,R133*inverter_silo,R133*$F133)</f>
        <v>0</v>
      </c>
      <c r="AR133" s="75">
        <f>IF(SUM(T$134:T$138)&gt;0,0,$E133*T133)</f>
        <v>0</v>
      </c>
      <c r="AS133" s="682">
        <f>IF(SUM(AS$134:AS$138)&gt;0,T133*inverter_silo,T133*$F133)</f>
        <v>0</v>
      </c>
      <c r="AT133" s="75">
        <f>IF(SUM(V$134:V$138)&gt;0,0,$E133*V133)</f>
        <v>0</v>
      </c>
      <c r="AU133" s="682">
        <f>IF(SUM(AU$134:AU$138)&gt;0,V133*inverter_silo,V133*$F133)</f>
        <v>0</v>
      </c>
      <c r="AV133" s="75">
        <f>IF(SUM(X$134:X$138)&gt;0,0,$E133*X133)</f>
        <v>0</v>
      </c>
      <c r="AW133" s="682">
        <f>IF(SUM(AW$134:AW$138)&gt;0,X133*inverter_silo,X133*$F133)</f>
        <v>0</v>
      </c>
      <c r="AX133" s="75">
        <f>IF(SUM(Z$134:Z$138)&gt;0,0,$E133*Z133)</f>
        <v>0</v>
      </c>
      <c r="AY133" s="682">
        <f>IF(SUM(AY$134:AY$138)&gt;0,Z133*inverter_silo,Z133*$F133)</f>
        <v>0</v>
      </c>
      <c r="AZ133" s="75">
        <f>IF(SUM(AB$134:AB$138)&gt;0,0,$E133*AB133)</f>
        <v>0</v>
      </c>
      <c r="BA133" s="682">
        <f>IF(SUM(BA$134:BA$138)&gt;0,AB133*inverter_silo,AB133*$F133)</f>
        <v>0</v>
      </c>
      <c r="BB133" s="75">
        <f>IF(SUM(AD$134:AD$138)&gt;0,0,$E133*AD133)</f>
        <v>0</v>
      </c>
      <c r="BC133" s="682">
        <f>IF(SUM(BC$134:BC$138)&gt;0,AD133*inverter_silo,AD133*$F133)</f>
        <v>0</v>
      </c>
      <c r="BD133" s="75">
        <f>IF(SUM(AF$134:AF$138)&gt;0,0,$E133*AF133)</f>
        <v>0</v>
      </c>
      <c r="BE133" s="682">
        <f>IF(SUM(BE$134:BE$138)&gt;0,AF133*inverter_silo,AF133*$F133)</f>
        <v>0</v>
      </c>
      <c r="BF133" s="1">
        <f t="shared" si="301"/>
        <v>0</v>
      </c>
      <c r="BG133" s="1">
        <f t="shared" si="428"/>
        <v>0</v>
      </c>
      <c r="BH133" s="1">
        <f t="shared" si="429"/>
        <v>0</v>
      </c>
      <c r="BI133" s="1">
        <f t="shared" si="430"/>
        <v>0</v>
      </c>
      <c r="BJ133" s="1">
        <f t="shared" si="431"/>
        <v>0</v>
      </c>
      <c r="BK133" s="1">
        <f t="shared" si="432"/>
        <v>0</v>
      </c>
      <c r="BL133" s="1">
        <f t="shared" si="433"/>
        <v>0</v>
      </c>
      <c r="BM133" s="1">
        <f t="shared" si="434"/>
        <v>0</v>
      </c>
      <c r="BN133" s="1">
        <f t="shared" si="435"/>
        <v>0</v>
      </c>
      <c r="BO133" s="69">
        <f t="shared" si="436"/>
        <v>0</v>
      </c>
      <c r="BP133" s="1">
        <f t="shared" si="404"/>
        <v>0</v>
      </c>
      <c r="BQ133" s="1">
        <f t="shared" si="473"/>
        <v>0</v>
      </c>
      <c r="BR133" s="1">
        <f t="shared" si="474"/>
        <v>0</v>
      </c>
      <c r="BS133" s="1">
        <f t="shared" si="475"/>
        <v>0</v>
      </c>
      <c r="BT133" s="1">
        <f t="shared" si="476"/>
        <v>0</v>
      </c>
      <c r="BU133" s="1">
        <f t="shared" si="477"/>
        <v>0</v>
      </c>
      <c r="BV133" s="1">
        <f t="shared" si="478"/>
        <v>0</v>
      </c>
      <c r="BW133" s="1">
        <f t="shared" si="479"/>
        <v>0</v>
      </c>
      <c r="BX133" s="1">
        <f t="shared" si="480"/>
        <v>0</v>
      </c>
      <c r="BY133" s="69">
        <f t="shared" si="481"/>
        <v>0</v>
      </c>
      <c r="BZ133" s="1">
        <f t="shared" si="302"/>
        <v>0</v>
      </c>
      <c r="CA133" s="1">
        <f t="shared" si="437"/>
        <v>0</v>
      </c>
      <c r="CB133" s="1">
        <f t="shared" si="438"/>
        <v>0</v>
      </c>
      <c r="CC133" s="1">
        <f t="shared" si="439"/>
        <v>0</v>
      </c>
      <c r="CD133" s="1">
        <f t="shared" si="440"/>
        <v>0</v>
      </c>
      <c r="CE133" s="1">
        <f t="shared" si="441"/>
        <v>0</v>
      </c>
      <c r="CF133" s="1">
        <f t="shared" si="442"/>
        <v>0</v>
      </c>
      <c r="CG133" s="1">
        <f t="shared" si="443"/>
        <v>0</v>
      </c>
      <c r="CH133" s="1">
        <f t="shared" si="444"/>
        <v>0</v>
      </c>
      <c r="CI133" s="69">
        <f t="shared" si="445"/>
        <v>0</v>
      </c>
      <c r="CJ133" s="1">
        <f t="shared" si="402"/>
        <v>0</v>
      </c>
      <c r="CK133" s="1">
        <f t="shared" si="419"/>
        <v>0</v>
      </c>
      <c r="CL133" s="1">
        <f t="shared" si="420"/>
        <v>0</v>
      </c>
      <c r="CM133" s="1">
        <f t="shared" si="421"/>
        <v>0</v>
      </c>
      <c r="CN133" s="1">
        <f t="shared" si="422"/>
        <v>0</v>
      </c>
      <c r="CO133" s="1">
        <f t="shared" si="423"/>
        <v>0</v>
      </c>
      <c r="CP133" s="1">
        <f t="shared" si="424"/>
        <v>0</v>
      </c>
      <c r="CQ133" s="1">
        <f t="shared" si="425"/>
        <v>0</v>
      </c>
      <c r="CR133" s="1">
        <f t="shared" si="426"/>
        <v>0</v>
      </c>
      <c r="CS133" s="69">
        <f t="shared" si="427"/>
        <v>0</v>
      </c>
      <c r="CT133" s="1">
        <f t="shared" si="303"/>
        <v>0</v>
      </c>
      <c r="CU133" s="1">
        <f t="shared" si="446"/>
        <v>0</v>
      </c>
      <c r="CV133" s="1">
        <f t="shared" si="447"/>
        <v>0</v>
      </c>
      <c r="CW133" s="1">
        <f t="shared" si="448"/>
        <v>0</v>
      </c>
      <c r="CX133" s="1">
        <f t="shared" si="449"/>
        <v>0</v>
      </c>
      <c r="CY133" s="1">
        <f t="shared" si="450"/>
        <v>0</v>
      </c>
      <c r="CZ133" s="1">
        <f t="shared" si="451"/>
        <v>0</v>
      </c>
      <c r="DA133" s="1">
        <f t="shared" si="452"/>
        <v>0</v>
      </c>
      <c r="DB133" s="1">
        <f t="shared" si="453"/>
        <v>0</v>
      </c>
      <c r="DC133" s="69">
        <f t="shared" si="454"/>
        <v>0</v>
      </c>
      <c r="DD133" s="1">
        <f t="shared" si="304"/>
        <v>0</v>
      </c>
      <c r="DE133" s="1">
        <f t="shared" si="455"/>
        <v>0</v>
      </c>
      <c r="DF133" s="1">
        <f t="shared" si="456"/>
        <v>0</v>
      </c>
      <c r="DG133" s="1">
        <f t="shared" si="457"/>
        <v>0</v>
      </c>
      <c r="DH133" s="1">
        <f t="shared" si="458"/>
        <v>0</v>
      </c>
      <c r="DI133" s="1">
        <f t="shared" si="459"/>
        <v>0</v>
      </c>
      <c r="DJ133" s="1">
        <f t="shared" si="460"/>
        <v>0</v>
      </c>
      <c r="DK133" s="1">
        <f t="shared" si="461"/>
        <v>0</v>
      </c>
      <c r="DL133" s="1">
        <f t="shared" si="462"/>
        <v>0</v>
      </c>
      <c r="DM133" s="69">
        <f t="shared" si="463"/>
        <v>0</v>
      </c>
      <c r="DN133" s="1">
        <f t="shared" si="305"/>
        <v>0</v>
      </c>
      <c r="DO133" s="1">
        <f t="shared" si="464"/>
        <v>0</v>
      </c>
      <c r="DP133" s="1">
        <f t="shared" si="465"/>
        <v>0</v>
      </c>
      <c r="DQ133" s="1">
        <f t="shared" si="466"/>
        <v>0</v>
      </c>
      <c r="DR133" s="1">
        <f t="shared" si="467"/>
        <v>0</v>
      </c>
      <c r="DS133" s="1">
        <f t="shared" si="468"/>
        <v>0</v>
      </c>
      <c r="DT133" s="1">
        <f t="shared" si="469"/>
        <v>0</v>
      </c>
      <c r="DU133" s="1">
        <f t="shared" si="470"/>
        <v>0</v>
      </c>
      <c r="DV133" s="1">
        <f t="shared" si="471"/>
        <v>0</v>
      </c>
      <c r="DW133" s="69">
        <f t="shared" si="472"/>
        <v>0</v>
      </c>
      <c r="DX133" s="1">
        <v>5</v>
      </c>
      <c r="DY133" s="69">
        <f t="shared" si="311"/>
        <v>102</v>
      </c>
      <c r="DZ133" s="1">
        <f t="shared" si="417"/>
        <v>0</v>
      </c>
      <c r="EA133" s="1">
        <f t="shared" si="418"/>
        <v>0</v>
      </c>
      <c r="EB133" s="1">
        <f t="shared" si="415"/>
        <v>0</v>
      </c>
      <c r="ED133" s="285">
        <f t="shared" si="416"/>
        <v>0</v>
      </c>
    </row>
    <row r="134" spans="1:134" ht="15" x14ac:dyDescent="0.25">
      <c r="A134" s="208" t="s">
        <v>1035</v>
      </c>
      <c r="B134" s="801" t="s">
        <v>2265</v>
      </c>
      <c r="D134" s="646" t="s">
        <v>994</v>
      </c>
      <c r="E134" s="889">
        <f>0.55</f>
        <v>0.55000000000000004</v>
      </c>
      <c r="F134" s="633">
        <f t="shared" si="403"/>
        <v>0</v>
      </c>
      <c r="G134" s="700"/>
      <c r="H134" s="342"/>
      <c r="I134" s="342"/>
      <c r="J134" s="342">
        <v>2</v>
      </c>
      <c r="K134" s="342">
        <v>1</v>
      </c>
      <c r="L134" s="342"/>
      <c r="M134" s="342">
        <v>1</v>
      </c>
      <c r="N134" s="658"/>
      <c r="O134" s="256"/>
      <c r="P134" s="256"/>
      <c r="Q134" s="256"/>
      <c r="R134" s="255"/>
      <c r="S134" s="256"/>
      <c r="T134" s="256"/>
      <c r="U134" s="256"/>
      <c r="V134" s="255"/>
      <c r="W134" s="256"/>
      <c r="X134" s="256"/>
      <c r="Y134" s="256"/>
      <c r="Z134" s="255"/>
      <c r="AA134" s="256"/>
      <c r="AB134" s="256"/>
      <c r="AC134" s="256"/>
      <c r="AD134" s="255"/>
      <c r="AE134" s="256"/>
      <c r="AF134" s="256"/>
      <c r="AH134" s="546">
        <f t="shared" si="414"/>
        <v>0</v>
      </c>
      <c r="AI134" s="66">
        <f t="shared" ref="AI134:AI167" si="482">N134*$E134</f>
        <v>0</v>
      </c>
      <c r="AL134" s="706" t="str">
        <f t="shared" si="310"/>
        <v>-inverter monofase =0,37 Kw</v>
      </c>
      <c r="AM134" s="684">
        <f t="shared" si="405"/>
        <v>0</v>
      </c>
      <c r="AN134" s="674">
        <f t="shared" ref="AN134:AN167" si="483">P134*$E134</f>
        <v>0</v>
      </c>
      <c r="AO134" s="684">
        <f t="shared" si="406"/>
        <v>0</v>
      </c>
      <c r="AP134" s="674">
        <f t="shared" ref="AP134:AP167" si="484">R134*$E134</f>
        <v>0</v>
      </c>
      <c r="AQ134" s="684">
        <f t="shared" si="407"/>
        <v>0</v>
      </c>
      <c r="AR134" s="674">
        <f t="shared" ref="AR134:AR167" si="485">T134*$E134</f>
        <v>0</v>
      </c>
      <c r="AS134" s="684">
        <f t="shared" si="408"/>
        <v>0</v>
      </c>
      <c r="AT134" s="674">
        <f t="shared" ref="AT134:AT167" si="486">V134*$E134</f>
        <v>0</v>
      </c>
      <c r="AU134" s="684">
        <f t="shared" si="409"/>
        <v>0</v>
      </c>
      <c r="AV134" s="674">
        <f t="shared" ref="AV134:AV167" si="487">X134*$E134</f>
        <v>0</v>
      </c>
      <c r="AW134" s="684">
        <f t="shared" si="410"/>
        <v>0</v>
      </c>
      <c r="AX134" s="674">
        <f t="shared" ref="AX134:AX167" si="488">Z134*$E134</f>
        <v>0</v>
      </c>
      <c r="AY134" s="684">
        <f t="shared" si="411"/>
        <v>0</v>
      </c>
      <c r="AZ134" s="674">
        <f t="shared" ref="AZ134:AZ167" si="489">AB134*$E134</f>
        <v>0</v>
      </c>
      <c r="BA134" s="684">
        <f t="shared" si="412"/>
        <v>0</v>
      </c>
      <c r="BB134" s="674">
        <f t="shared" ref="BB134:BB167" si="490">AD134*$E134</f>
        <v>0</v>
      </c>
      <c r="BC134" s="684">
        <f t="shared" si="413"/>
        <v>0</v>
      </c>
      <c r="BD134" s="674">
        <f t="shared" ref="BD134:BD167" si="491">AF134*$E134</f>
        <v>0</v>
      </c>
      <c r="BE134" s="684">
        <f t="shared" si="378"/>
        <v>0</v>
      </c>
      <c r="BF134" s="1">
        <f t="shared" si="301"/>
        <v>0</v>
      </c>
      <c r="BG134" s="1">
        <f t="shared" si="428"/>
        <v>0</v>
      </c>
      <c r="BH134" s="1">
        <f t="shared" si="429"/>
        <v>0</v>
      </c>
      <c r="BI134" s="1">
        <f t="shared" si="430"/>
        <v>0</v>
      </c>
      <c r="BJ134" s="1">
        <f t="shared" si="431"/>
        <v>0</v>
      </c>
      <c r="BK134" s="1">
        <f t="shared" si="432"/>
        <v>0</v>
      </c>
      <c r="BL134" s="1">
        <f t="shared" si="433"/>
        <v>0</v>
      </c>
      <c r="BM134" s="1">
        <f t="shared" si="434"/>
        <v>0</v>
      </c>
      <c r="BN134" s="1">
        <f t="shared" si="435"/>
        <v>0</v>
      </c>
      <c r="BO134" s="69">
        <f t="shared" si="436"/>
        <v>0</v>
      </c>
      <c r="BP134" s="1">
        <f t="shared" si="404"/>
        <v>0</v>
      </c>
      <c r="BQ134" s="1">
        <f t="shared" si="473"/>
        <v>0</v>
      </c>
      <c r="BR134" s="1">
        <f t="shared" si="474"/>
        <v>0</v>
      </c>
      <c r="BS134" s="1">
        <f t="shared" si="475"/>
        <v>0</v>
      </c>
      <c r="BT134" s="1">
        <f t="shared" si="476"/>
        <v>0</v>
      </c>
      <c r="BU134" s="1">
        <f t="shared" si="477"/>
        <v>0</v>
      </c>
      <c r="BV134" s="1">
        <f t="shared" si="478"/>
        <v>0</v>
      </c>
      <c r="BW134" s="1">
        <f t="shared" si="479"/>
        <v>0</v>
      </c>
      <c r="BX134" s="1">
        <f t="shared" si="480"/>
        <v>0</v>
      </c>
      <c r="BY134" s="69">
        <f t="shared" si="481"/>
        <v>0</v>
      </c>
      <c r="BZ134" s="1">
        <f t="shared" si="302"/>
        <v>0</v>
      </c>
      <c r="CA134" s="1">
        <f t="shared" si="437"/>
        <v>0</v>
      </c>
      <c r="CB134" s="1">
        <f t="shared" si="438"/>
        <v>0</v>
      </c>
      <c r="CC134" s="1">
        <f t="shared" si="439"/>
        <v>0</v>
      </c>
      <c r="CD134" s="1">
        <f t="shared" si="440"/>
        <v>0</v>
      </c>
      <c r="CE134" s="1">
        <f t="shared" si="441"/>
        <v>0</v>
      </c>
      <c r="CF134" s="1">
        <f t="shared" si="442"/>
        <v>0</v>
      </c>
      <c r="CG134" s="1">
        <f t="shared" si="443"/>
        <v>0</v>
      </c>
      <c r="CH134" s="1">
        <f t="shared" si="444"/>
        <v>0</v>
      </c>
      <c r="CI134" s="69">
        <f t="shared" si="445"/>
        <v>0</v>
      </c>
      <c r="CJ134" s="1">
        <f t="shared" si="402"/>
        <v>0</v>
      </c>
      <c r="CK134" s="1">
        <f t="shared" si="419"/>
        <v>0</v>
      </c>
      <c r="CL134" s="1">
        <f t="shared" si="420"/>
        <v>0</v>
      </c>
      <c r="CM134" s="1">
        <f t="shared" si="421"/>
        <v>0</v>
      </c>
      <c r="CN134" s="1">
        <f t="shared" si="422"/>
        <v>0</v>
      </c>
      <c r="CO134" s="1">
        <f t="shared" si="423"/>
        <v>0</v>
      </c>
      <c r="CP134" s="1">
        <f t="shared" si="424"/>
        <v>0</v>
      </c>
      <c r="CQ134" s="1">
        <f t="shared" si="425"/>
        <v>0</v>
      </c>
      <c r="CR134" s="1">
        <f t="shared" si="426"/>
        <v>0</v>
      </c>
      <c r="CS134" s="69">
        <f t="shared" si="427"/>
        <v>0</v>
      </c>
      <c r="CT134" s="1">
        <f t="shared" si="303"/>
        <v>0</v>
      </c>
      <c r="CU134" s="1">
        <f t="shared" si="446"/>
        <v>0</v>
      </c>
      <c r="CV134" s="1">
        <f t="shared" si="447"/>
        <v>0</v>
      </c>
      <c r="CW134" s="1">
        <f t="shared" si="448"/>
        <v>0</v>
      </c>
      <c r="CX134" s="1">
        <f t="shared" si="449"/>
        <v>0</v>
      </c>
      <c r="CY134" s="1">
        <f t="shared" si="450"/>
        <v>0</v>
      </c>
      <c r="CZ134" s="1">
        <f t="shared" si="451"/>
        <v>0</v>
      </c>
      <c r="DA134" s="1">
        <f t="shared" si="452"/>
        <v>0</v>
      </c>
      <c r="DB134" s="1">
        <f t="shared" si="453"/>
        <v>0</v>
      </c>
      <c r="DC134" s="69">
        <f t="shared" si="454"/>
        <v>0</v>
      </c>
      <c r="DD134" s="1">
        <f t="shared" si="304"/>
        <v>0</v>
      </c>
      <c r="DE134" s="1">
        <f t="shared" si="455"/>
        <v>0</v>
      </c>
      <c r="DF134" s="1">
        <f t="shared" si="456"/>
        <v>0</v>
      </c>
      <c r="DG134" s="1">
        <f t="shared" si="457"/>
        <v>0</v>
      </c>
      <c r="DH134" s="1">
        <f t="shared" si="458"/>
        <v>0</v>
      </c>
      <c r="DI134" s="1">
        <f t="shared" si="459"/>
        <v>0</v>
      </c>
      <c r="DJ134" s="1">
        <f t="shared" si="460"/>
        <v>0</v>
      </c>
      <c r="DK134" s="1">
        <f t="shared" si="461"/>
        <v>0</v>
      </c>
      <c r="DL134" s="1">
        <f t="shared" si="462"/>
        <v>0</v>
      </c>
      <c r="DM134" s="69">
        <f t="shared" si="463"/>
        <v>0</v>
      </c>
      <c r="DN134" s="1">
        <f t="shared" si="305"/>
        <v>0</v>
      </c>
      <c r="DO134" s="1">
        <f t="shared" si="464"/>
        <v>0</v>
      </c>
      <c r="DP134" s="1">
        <f t="shared" si="465"/>
        <v>0</v>
      </c>
      <c r="DQ134" s="1">
        <f t="shared" si="466"/>
        <v>0</v>
      </c>
      <c r="DR134" s="1">
        <f t="shared" si="467"/>
        <v>0</v>
      </c>
      <c r="DS134" s="1">
        <f t="shared" si="468"/>
        <v>0</v>
      </c>
      <c r="DT134" s="1">
        <f t="shared" si="469"/>
        <v>0</v>
      </c>
      <c r="DU134" s="1">
        <f t="shared" si="470"/>
        <v>0</v>
      </c>
      <c r="DV134" s="1">
        <f t="shared" si="471"/>
        <v>0</v>
      </c>
      <c r="DW134" s="69">
        <f t="shared" si="472"/>
        <v>0</v>
      </c>
      <c r="DX134" s="1">
        <v>5</v>
      </c>
      <c r="DY134" s="69">
        <f t="shared" si="311"/>
        <v>103</v>
      </c>
      <c r="DZ134" s="1">
        <f t="shared" si="417"/>
        <v>0</v>
      </c>
      <c r="EA134" s="1">
        <f t="shared" si="418"/>
        <v>0</v>
      </c>
      <c r="EB134" s="1">
        <f t="shared" si="415"/>
        <v>0</v>
      </c>
      <c r="ED134" s="285">
        <f t="shared" si="416"/>
        <v>0</v>
      </c>
    </row>
    <row r="135" spans="1:134" ht="15" x14ac:dyDescent="0.25">
      <c r="A135" s="208" t="s">
        <v>1035</v>
      </c>
      <c r="B135" s="801" t="s">
        <v>2266</v>
      </c>
      <c r="D135" s="646" t="s">
        <v>995</v>
      </c>
      <c r="E135" s="889">
        <f>0.75</f>
        <v>0.75</v>
      </c>
      <c r="F135" s="633">
        <f t="shared" si="403"/>
        <v>0</v>
      </c>
      <c r="G135" s="700"/>
      <c r="H135" s="342"/>
      <c r="I135" s="342"/>
      <c r="J135" s="342">
        <v>2</v>
      </c>
      <c r="K135" s="342">
        <v>1</v>
      </c>
      <c r="L135" s="342"/>
      <c r="M135" s="342">
        <v>1</v>
      </c>
      <c r="N135" s="658"/>
      <c r="O135" s="256"/>
      <c r="P135" s="256"/>
      <c r="Q135" s="256"/>
      <c r="R135" s="255"/>
      <c r="S135" s="256"/>
      <c r="T135" s="256"/>
      <c r="U135" s="256"/>
      <c r="V135" s="255"/>
      <c r="W135" s="256"/>
      <c r="X135" s="256"/>
      <c r="Y135" s="256"/>
      <c r="Z135" s="255"/>
      <c r="AA135" s="256"/>
      <c r="AB135" s="256"/>
      <c r="AC135" s="256"/>
      <c r="AD135" s="255"/>
      <c r="AE135" s="256"/>
      <c r="AF135" s="256"/>
      <c r="AH135" s="546">
        <f t="shared" si="414"/>
        <v>0</v>
      </c>
      <c r="AI135" s="66">
        <f t="shared" si="482"/>
        <v>0</v>
      </c>
      <c r="AL135" s="706" t="str">
        <f t="shared" si="310"/>
        <v>-inverter monofase =0,75 Kw</v>
      </c>
      <c r="AM135" s="684">
        <f>N135*$F135</f>
        <v>0</v>
      </c>
      <c r="AN135" s="674">
        <f t="shared" si="483"/>
        <v>0</v>
      </c>
      <c r="AO135" s="684">
        <f>P135*$F135</f>
        <v>0</v>
      </c>
      <c r="AP135" s="674">
        <f t="shared" si="484"/>
        <v>0</v>
      </c>
      <c r="AQ135" s="684">
        <f>R135*$F135</f>
        <v>0</v>
      </c>
      <c r="AR135" s="674">
        <f t="shared" si="485"/>
        <v>0</v>
      </c>
      <c r="AS135" s="684">
        <f>T135*$F135</f>
        <v>0</v>
      </c>
      <c r="AT135" s="674">
        <f t="shared" si="486"/>
        <v>0</v>
      </c>
      <c r="AU135" s="684">
        <f>V135*$F135</f>
        <v>0</v>
      </c>
      <c r="AV135" s="674">
        <f t="shared" si="487"/>
        <v>0</v>
      </c>
      <c r="AW135" s="684">
        <f>X135*$F135</f>
        <v>0</v>
      </c>
      <c r="AX135" s="674">
        <f t="shared" si="488"/>
        <v>0</v>
      </c>
      <c r="AY135" s="684">
        <f>Z135*$F135</f>
        <v>0</v>
      </c>
      <c r="AZ135" s="674">
        <f t="shared" si="489"/>
        <v>0</v>
      </c>
      <c r="BA135" s="684">
        <f>AB135*$F135</f>
        <v>0</v>
      </c>
      <c r="BB135" s="674">
        <f t="shared" si="490"/>
        <v>0</v>
      </c>
      <c r="BC135" s="684">
        <f>AD135*$F135</f>
        <v>0</v>
      </c>
      <c r="BD135" s="674">
        <f t="shared" si="491"/>
        <v>0</v>
      </c>
      <c r="BE135" s="684">
        <f>AF135*$F135</f>
        <v>0</v>
      </c>
      <c r="BF135" s="1">
        <f>N135*$G135</f>
        <v>0</v>
      </c>
      <c r="BG135" s="1">
        <f t="shared" si="428"/>
        <v>0</v>
      </c>
      <c r="BH135" s="1">
        <f t="shared" si="429"/>
        <v>0</v>
      </c>
      <c r="BI135" s="1">
        <f t="shared" si="430"/>
        <v>0</v>
      </c>
      <c r="BJ135" s="1">
        <f t="shared" si="431"/>
        <v>0</v>
      </c>
      <c r="BK135" s="1">
        <f t="shared" si="432"/>
        <v>0</v>
      </c>
      <c r="BL135" s="1">
        <f t="shared" si="433"/>
        <v>0</v>
      </c>
      <c r="BM135" s="1">
        <f t="shared" si="434"/>
        <v>0</v>
      </c>
      <c r="BN135" s="1">
        <f t="shared" si="435"/>
        <v>0</v>
      </c>
      <c r="BO135" s="69">
        <f t="shared" si="436"/>
        <v>0</v>
      </c>
      <c r="BP135" s="1">
        <f>N135*$H135</f>
        <v>0</v>
      </c>
      <c r="BQ135" s="1">
        <f t="shared" si="473"/>
        <v>0</v>
      </c>
      <c r="BR135" s="1">
        <f t="shared" si="474"/>
        <v>0</v>
      </c>
      <c r="BS135" s="1">
        <f t="shared" si="475"/>
        <v>0</v>
      </c>
      <c r="BT135" s="1">
        <f t="shared" si="476"/>
        <v>0</v>
      </c>
      <c r="BU135" s="1">
        <f t="shared" si="477"/>
        <v>0</v>
      </c>
      <c r="BV135" s="1">
        <f t="shared" si="478"/>
        <v>0</v>
      </c>
      <c r="BW135" s="1">
        <f t="shared" si="479"/>
        <v>0</v>
      </c>
      <c r="BX135" s="1">
        <f t="shared" si="480"/>
        <v>0</v>
      </c>
      <c r="BY135" s="69">
        <f t="shared" si="481"/>
        <v>0</v>
      </c>
      <c r="BZ135" s="1">
        <f>N135*$I135</f>
        <v>0</v>
      </c>
      <c r="CA135" s="1">
        <f t="shared" si="437"/>
        <v>0</v>
      </c>
      <c r="CB135" s="1">
        <f t="shared" si="438"/>
        <v>0</v>
      </c>
      <c r="CC135" s="1">
        <f t="shared" si="439"/>
        <v>0</v>
      </c>
      <c r="CD135" s="1">
        <f t="shared" si="440"/>
        <v>0</v>
      </c>
      <c r="CE135" s="1">
        <f t="shared" si="441"/>
        <v>0</v>
      </c>
      <c r="CF135" s="1">
        <f t="shared" si="442"/>
        <v>0</v>
      </c>
      <c r="CG135" s="1">
        <f t="shared" si="443"/>
        <v>0</v>
      </c>
      <c r="CH135" s="1">
        <f t="shared" si="444"/>
        <v>0</v>
      </c>
      <c r="CI135" s="69">
        <f t="shared" si="445"/>
        <v>0</v>
      </c>
      <c r="CJ135" s="1">
        <f t="shared" si="402"/>
        <v>0</v>
      </c>
      <c r="CK135" s="1">
        <f t="shared" si="419"/>
        <v>0</v>
      </c>
      <c r="CL135" s="1">
        <f t="shared" si="420"/>
        <v>0</v>
      </c>
      <c r="CM135" s="1">
        <f t="shared" si="421"/>
        <v>0</v>
      </c>
      <c r="CN135" s="1">
        <f t="shared" si="422"/>
        <v>0</v>
      </c>
      <c r="CO135" s="1">
        <f t="shared" si="423"/>
        <v>0</v>
      </c>
      <c r="CP135" s="1">
        <f t="shared" si="424"/>
        <v>0</v>
      </c>
      <c r="CQ135" s="1">
        <f t="shared" si="425"/>
        <v>0</v>
      </c>
      <c r="CR135" s="1">
        <f t="shared" si="426"/>
        <v>0</v>
      </c>
      <c r="CS135" s="69">
        <f t="shared" si="427"/>
        <v>0</v>
      </c>
      <c r="CT135" s="1">
        <f>N135*$K135</f>
        <v>0</v>
      </c>
      <c r="CU135" s="1">
        <f t="shared" si="446"/>
        <v>0</v>
      </c>
      <c r="CV135" s="1">
        <f t="shared" si="447"/>
        <v>0</v>
      </c>
      <c r="CW135" s="1">
        <f t="shared" si="448"/>
        <v>0</v>
      </c>
      <c r="CX135" s="1">
        <f t="shared" si="449"/>
        <v>0</v>
      </c>
      <c r="CY135" s="1">
        <f t="shared" si="450"/>
        <v>0</v>
      </c>
      <c r="CZ135" s="1">
        <f t="shared" si="451"/>
        <v>0</v>
      </c>
      <c r="DA135" s="1">
        <f t="shared" si="452"/>
        <v>0</v>
      </c>
      <c r="DB135" s="1">
        <f t="shared" si="453"/>
        <v>0</v>
      </c>
      <c r="DC135" s="69">
        <f t="shared" si="454"/>
        <v>0</v>
      </c>
      <c r="DD135" s="1">
        <f>N135*$L135</f>
        <v>0</v>
      </c>
      <c r="DE135" s="1">
        <f t="shared" si="455"/>
        <v>0</v>
      </c>
      <c r="DF135" s="1">
        <f t="shared" si="456"/>
        <v>0</v>
      </c>
      <c r="DG135" s="1">
        <f t="shared" si="457"/>
        <v>0</v>
      </c>
      <c r="DH135" s="1">
        <f t="shared" si="458"/>
        <v>0</v>
      </c>
      <c r="DI135" s="1">
        <f t="shared" si="459"/>
        <v>0</v>
      </c>
      <c r="DJ135" s="1">
        <f t="shared" si="460"/>
        <v>0</v>
      </c>
      <c r="DK135" s="1">
        <f t="shared" si="461"/>
        <v>0</v>
      </c>
      <c r="DL135" s="1">
        <f t="shared" si="462"/>
        <v>0</v>
      </c>
      <c r="DM135" s="69">
        <f t="shared" si="463"/>
        <v>0</v>
      </c>
      <c r="DN135" s="1">
        <f>N135*$M135</f>
        <v>0</v>
      </c>
      <c r="DO135" s="1">
        <f t="shared" si="464"/>
        <v>0</v>
      </c>
      <c r="DP135" s="1">
        <f t="shared" si="465"/>
        <v>0</v>
      </c>
      <c r="DQ135" s="1">
        <f t="shared" si="466"/>
        <v>0</v>
      </c>
      <c r="DR135" s="1">
        <f t="shared" si="467"/>
        <v>0</v>
      </c>
      <c r="DS135" s="1">
        <f t="shared" si="468"/>
        <v>0</v>
      </c>
      <c r="DT135" s="1">
        <f t="shared" si="469"/>
        <v>0</v>
      </c>
      <c r="DU135" s="1">
        <f t="shared" si="470"/>
        <v>0</v>
      </c>
      <c r="DV135" s="1">
        <f t="shared" si="471"/>
        <v>0</v>
      </c>
      <c r="DW135" s="69">
        <f t="shared" si="472"/>
        <v>0</v>
      </c>
      <c r="DX135" s="1">
        <v>5</v>
      </c>
      <c r="DY135" s="69">
        <f t="shared" si="311"/>
        <v>104</v>
      </c>
      <c r="DZ135" s="1">
        <f t="shared" si="417"/>
        <v>0</v>
      </c>
      <c r="EA135" s="1">
        <f t="shared" si="418"/>
        <v>0</v>
      </c>
      <c r="EB135" s="1">
        <f t="shared" si="415"/>
        <v>0</v>
      </c>
      <c r="ED135" s="285">
        <f t="shared" si="416"/>
        <v>0</v>
      </c>
    </row>
    <row r="136" spans="1:134" ht="15" x14ac:dyDescent="0.25">
      <c r="A136" s="208" t="s">
        <v>1035</v>
      </c>
      <c r="B136" s="801" t="s">
        <v>2267</v>
      </c>
      <c r="D136" s="646" t="s">
        <v>650</v>
      </c>
      <c r="E136" s="889">
        <f>0.75</f>
        <v>0.75</v>
      </c>
      <c r="F136" s="633">
        <f t="shared" si="403"/>
        <v>0</v>
      </c>
      <c r="G136" s="700"/>
      <c r="H136" s="342"/>
      <c r="I136" s="342"/>
      <c r="J136" s="342">
        <v>2</v>
      </c>
      <c r="K136" s="342">
        <v>1</v>
      </c>
      <c r="L136" s="342"/>
      <c r="M136" s="342">
        <v>1</v>
      </c>
      <c r="N136" s="658"/>
      <c r="O136" s="256"/>
      <c r="P136" s="256"/>
      <c r="Q136" s="256"/>
      <c r="R136" s="255"/>
      <c r="S136" s="256"/>
      <c r="T136" s="256"/>
      <c r="U136" s="256"/>
      <c r="V136" s="255"/>
      <c r="W136" s="256"/>
      <c r="X136" s="256"/>
      <c r="Y136" s="256"/>
      <c r="Z136" s="255"/>
      <c r="AA136" s="256"/>
      <c r="AB136" s="256"/>
      <c r="AC136" s="256"/>
      <c r="AD136" s="255"/>
      <c r="AE136" s="256"/>
      <c r="AF136" s="256"/>
      <c r="AH136" s="546">
        <f t="shared" si="414"/>
        <v>0</v>
      </c>
      <c r="AI136" s="66">
        <f t="shared" si="482"/>
        <v>0</v>
      </c>
      <c r="AL136" s="706" t="str">
        <f t="shared" si="310"/>
        <v>-inverter trifase =0,75 Kw</v>
      </c>
      <c r="AM136" s="684">
        <f>N136*$F136</f>
        <v>0</v>
      </c>
      <c r="AN136" s="674">
        <f t="shared" si="483"/>
        <v>0</v>
      </c>
      <c r="AO136" s="684">
        <f>P136*$F136</f>
        <v>0</v>
      </c>
      <c r="AP136" s="674">
        <f t="shared" si="484"/>
        <v>0</v>
      </c>
      <c r="AQ136" s="684">
        <f>R136*$F136</f>
        <v>0</v>
      </c>
      <c r="AR136" s="674">
        <f t="shared" si="485"/>
        <v>0</v>
      </c>
      <c r="AS136" s="684">
        <f>T136*$F136</f>
        <v>0</v>
      </c>
      <c r="AT136" s="674">
        <f t="shared" si="486"/>
        <v>0</v>
      </c>
      <c r="AU136" s="684">
        <f>V136*$F136</f>
        <v>0</v>
      </c>
      <c r="AV136" s="674">
        <f t="shared" si="487"/>
        <v>0</v>
      </c>
      <c r="AW136" s="684">
        <f>X136*$F136</f>
        <v>0</v>
      </c>
      <c r="AX136" s="674">
        <f t="shared" si="488"/>
        <v>0</v>
      </c>
      <c r="AY136" s="684">
        <f>Z136*$F136</f>
        <v>0</v>
      </c>
      <c r="AZ136" s="674">
        <f t="shared" si="489"/>
        <v>0</v>
      </c>
      <c r="BA136" s="684">
        <f>AB136*$F136</f>
        <v>0</v>
      </c>
      <c r="BB136" s="674">
        <f t="shared" si="490"/>
        <v>0</v>
      </c>
      <c r="BC136" s="684">
        <f>AD136*$F136</f>
        <v>0</v>
      </c>
      <c r="BD136" s="674">
        <f t="shared" si="491"/>
        <v>0</v>
      </c>
      <c r="BE136" s="684">
        <f>AF136*$F136</f>
        <v>0</v>
      </c>
      <c r="BF136" s="1">
        <f>N136*$G136</f>
        <v>0</v>
      </c>
      <c r="BG136" s="1">
        <f t="shared" si="428"/>
        <v>0</v>
      </c>
      <c r="BH136" s="1">
        <f t="shared" si="429"/>
        <v>0</v>
      </c>
      <c r="BI136" s="1">
        <f t="shared" si="430"/>
        <v>0</v>
      </c>
      <c r="BJ136" s="1">
        <f t="shared" si="431"/>
        <v>0</v>
      </c>
      <c r="BK136" s="1">
        <f t="shared" si="432"/>
        <v>0</v>
      </c>
      <c r="BL136" s="1">
        <f t="shared" si="433"/>
        <v>0</v>
      </c>
      <c r="BM136" s="1">
        <f t="shared" si="434"/>
        <v>0</v>
      </c>
      <c r="BN136" s="1">
        <f t="shared" si="435"/>
        <v>0</v>
      </c>
      <c r="BO136" s="69">
        <f t="shared" si="436"/>
        <v>0</v>
      </c>
      <c r="BP136" s="1">
        <f>N136*$H136</f>
        <v>0</v>
      </c>
      <c r="BQ136" s="1">
        <f t="shared" si="473"/>
        <v>0</v>
      </c>
      <c r="BR136" s="1">
        <f t="shared" si="474"/>
        <v>0</v>
      </c>
      <c r="BS136" s="1">
        <f t="shared" si="475"/>
        <v>0</v>
      </c>
      <c r="BT136" s="1">
        <f t="shared" si="476"/>
        <v>0</v>
      </c>
      <c r="BU136" s="1">
        <f t="shared" si="477"/>
        <v>0</v>
      </c>
      <c r="BV136" s="1">
        <f t="shared" si="478"/>
        <v>0</v>
      </c>
      <c r="BW136" s="1">
        <f t="shared" si="479"/>
        <v>0</v>
      </c>
      <c r="BX136" s="1">
        <f t="shared" si="480"/>
        <v>0</v>
      </c>
      <c r="BY136" s="69">
        <f t="shared" si="481"/>
        <v>0</v>
      </c>
      <c r="BZ136" s="1">
        <f>N136*$I136</f>
        <v>0</v>
      </c>
      <c r="CA136" s="1">
        <f t="shared" si="437"/>
        <v>0</v>
      </c>
      <c r="CB136" s="1">
        <f t="shared" si="438"/>
        <v>0</v>
      </c>
      <c r="CC136" s="1">
        <f t="shared" si="439"/>
        <v>0</v>
      </c>
      <c r="CD136" s="1">
        <f t="shared" si="440"/>
        <v>0</v>
      </c>
      <c r="CE136" s="1">
        <f t="shared" si="441"/>
        <v>0</v>
      </c>
      <c r="CF136" s="1">
        <f t="shared" si="442"/>
        <v>0</v>
      </c>
      <c r="CG136" s="1">
        <f t="shared" si="443"/>
        <v>0</v>
      </c>
      <c r="CH136" s="1">
        <f t="shared" si="444"/>
        <v>0</v>
      </c>
      <c r="CI136" s="69">
        <f t="shared" si="445"/>
        <v>0</v>
      </c>
      <c r="CJ136" s="1">
        <f t="shared" si="402"/>
        <v>0</v>
      </c>
      <c r="CK136" s="1">
        <f t="shared" si="419"/>
        <v>0</v>
      </c>
      <c r="CL136" s="1">
        <f t="shared" si="420"/>
        <v>0</v>
      </c>
      <c r="CM136" s="1">
        <f t="shared" si="421"/>
        <v>0</v>
      </c>
      <c r="CN136" s="1">
        <f t="shared" si="422"/>
        <v>0</v>
      </c>
      <c r="CO136" s="1">
        <f t="shared" si="423"/>
        <v>0</v>
      </c>
      <c r="CP136" s="1">
        <f t="shared" si="424"/>
        <v>0</v>
      </c>
      <c r="CQ136" s="1">
        <f t="shared" si="425"/>
        <v>0</v>
      </c>
      <c r="CR136" s="1">
        <f t="shared" si="426"/>
        <v>0</v>
      </c>
      <c r="CS136" s="69">
        <f t="shared" si="427"/>
        <v>0</v>
      </c>
      <c r="CT136" s="1">
        <f>N136*$K136</f>
        <v>0</v>
      </c>
      <c r="CU136" s="1">
        <f t="shared" si="446"/>
        <v>0</v>
      </c>
      <c r="CV136" s="1">
        <f t="shared" si="447"/>
        <v>0</v>
      </c>
      <c r="CW136" s="1">
        <f t="shared" si="448"/>
        <v>0</v>
      </c>
      <c r="CX136" s="1">
        <f t="shared" si="449"/>
        <v>0</v>
      </c>
      <c r="CY136" s="1">
        <f t="shared" si="450"/>
        <v>0</v>
      </c>
      <c r="CZ136" s="1">
        <f t="shared" si="451"/>
        <v>0</v>
      </c>
      <c r="DA136" s="1">
        <f t="shared" si="452"/>
        <v>0</v>
      </c>
      <c r="DB136" s="1">
        <f t="shared" si="453"/>
        <v>0</v>
      </c>
      <c r="DC136" s="69">
        <f t="shared" si="454"/>
        <v>0</v>
      </c>
      <c r="DD136" s="1">
        <f>N136*$L136</f>
        <v>0</v>
      </c>
      <c r="DE136" s="1">
        <f t="shared" si="455"/>
        <v>0</v>
      </c>
      <c r="DF136" s="1">
        <f t="shared" si="456"/>
        <v>0</v>
      </c>
      <c r="DG136" s="1">
        <f t="shared" si="457"/>
        <v>0</v>
      </c>
      <c r="DH136" s="1">
        <f t="shared" si="458"/>
        <v>0</v>
      </c>
      <c r="DI136" s="1">
        <f t="shared" si="459"/>
        <v>0</v>
      </c>
      <c r="DJ136" s="1">
        <f t="shared" si="460"/>
        <v>0</v>
      </c>
      <c r="DK136" s="1">
        <f t="shared" si="461"/>
        <v>0</v>
      </c>
      <c r="DL136" s="1">
        <f t="shared" si="462"/>
        <v>0</v>
      </c>
      <c r="DM136" s="69">
        <f t="shared" si="463"/>
        <v>0</v>
      </c>
      <c r="DN136" s="1">
        <f>N136*$M136</f>
        <v>0</v>
      </c>
      <c r="DO136" s="1">
        <f t="shared" si="464"/>
        <v>0</v>
      </c>
      <c r="DP136" s="1">
        <f t="shared" si="465"/>
        <v>0</v>
      </c>
      <c r="DQ136" s="1">
        <f t="shared" si="466"/>
        <v>0</v>
      </c>
      <c r="DR136" s="1">
        <f t="shared" si="467"/>
        <v>0</v>
      </c>
      <c r="DS136" s="1">
        <f t="shared" si="468"/>
        <v>0</v>
      </c>
      <c r="DT136" s="1">
        <f t="shared" si="469"/>
        <v>0</v>
      </c>
      <c r="DU136" s="1">
        <f t="shared" si="470"/>
        <v>0</v>
      </c>
      <c r="DV136" s="1">
        <f t="shared" si="471"/>
        <v>0</v>
      </c>
      <c r="DW136" s="69">
        <f t="shared" si="472"/>
        <v>0</v>
      </c>
      <c r="DX136" s="1">
        <v>5</v>
      </c>
      <c r="DY136" s="69">
        <f t="shared" si="311"/>
        <v>105</v>
      </c>
      <c r="DZ136" s="1">
        <f t="shared" si="417"/>
        <v>0</v>
      </c>
      <c r="EA136" s="1">
        <f t="shared" si="418"/>
        <v>0</v>
      </c>
      <c r="EB136" s="1">
        <f t="shared" si="415"/>
        <v>0</v>
      </c>
      <c r="ED136" s="285">
        <f t="shared" si="416"/>
        <v>0</v>
      </c>
    </row>
    <row r="137" spans="1:134" ht="15" x14ac:dyDescent="0.25">
      <c r="A137" s="208" t="s">
        <v>1035</v>
      </c>
      <c r="B137" s="801" t="s">
        <v>2391</v>
      </c>
      <c r="D137" s="646" t="s">
        <v>651</v>
      </c>
      <c r="E137" s="889">
        <v>1.5</v>
      </c>
      <c r="F137" s="633">
        <f>VLOOKUP(D137,prezzi,5,)</f>
        <v>0</v>
      </c>
      <c r="G137" s="700"/>
      <c r="H137" s="342"/>
      <c r="I137" s="342"/>
      <c r="J137" s="342">
        <v>2</v>
      </c>
      <c r="K137" s="342">
        <v>1</v>
      </c>
      <c r="L137" s="342"/>
      <c r="M137" s="342">
        <v>1</v>
      </c>
      <c r="N137" s="658"/>
      <c r="O137" s="256"/>
      <c r="P137" s="256"/>
      <c r="Q137" s="256"/>
      <c r="R137" s="255"/>
      <c r="S137" s="256"/>
      <c r="T137" s="256"/>
      <c r="U137" s="256"/>
      <c r="V137" s="255"/>
      <c r="W137" s="256"/>
      <c r="X137" s="256"/>
      <c r="Y137" s="256"/>
      <c r="Z137" s="255"/>
      <c r="AA137" s="256"/>
      <c r="AB137" s="256"/>
      <c r="AC137" s="256"/>
      <c r="AD137" s="255"/>
      <c r="AE137" s="256"/>
      <c r="AF137" s="256"/>
      <c r="AH137" s="546">
        <f t="shared" si="414"/>
        <v>0</v>
      </c>
      <c r="AI137" s="66">
        <f t="shared" si="482"/>
        <v>0</v>
      </c>
      <c r="AL137" s="706" t="str">
        <f t="shared" si="310"/>
        <v>-inverter trifase = 1,5 Kw</v>
      </c>
      <c r="AM137" s="684">
        <f>N137*$F137</f>
        <v>0</v>
      </c>
      <c r="AN137" s="674">
        <f t="shared" si="483"/>
        <v>0</v>
      </c>
      <c r="AO137" s="684">
        <f>P137*$F137</f>
        <v>0</v>
      </c>
      <c r="AP137" s="674">
        <f t="shared" si="484"/>
        <v>0</v>
      </c>
      <c r="AQ137" s="684">
        <f>R137*$F137</f>
        <v>0</v>
      </c>
      <c r="AR137" s="674">
        <f t="shared" si="485"/>
        <v>0</v>
      </c>
      <c r="AS137" s="684">
        <f>T137*$F137</f>
        <v>0</v>
      </c>
      <c r="AT137" s="674">
        <f t="shared" si="486"/>
        <v>0</v>
      </c>
      <c r="AU137" s="684">
        <f>V137*$F137</f>
        <v>0</v>
      </c>
      <c r="AV137" s="674">
        <f t="shared" si="487"/>
        <v>0</v>
      </c>
      <c r="AW137" s="684">
        <f>X137*$F137</f>
        <v>0</v>
      </c>
      <c r="AX137" s="674">
        <f t="shared" si="488"/>
        <v>0</v>
      </c>
      <c r="AY137" s="684">
        <f>Z137*$F137</f>
        <v>0</v>
      </c>
      <c r="AZ137" s="674">
        <f t="shared" si="489"/>
        <v>0</v>
      </c>
      <c r="BA137" s="684">
        <f>AB137*$F137</f>
        <v>0</v>
      </c>
      <c r="BB137" s="674">
        <f t="shared" si="490"/>
        <v>0</v>
      </c>
      <c r="BC137" s="684">
        <f>AD137*$F137</f>
        <v>0</v>
      </c>
      <c r="BD137" s="674">
        <f t="shared" si="491"/>
        <v>0</v>
      </c>
      <c r="BE137" s="684">
        <f>AF137*$F137</f>
        <v>0</v>
      </c>
      <c r="BF137" s="1">
        <f>N137*$G137</f>
        <v>0</v>
      </c>
      <c r="BG137" s="1">
        <f t="shared" si="428"/>
        <v>0</v>
      </c>
      <c r="BH137" s="1">
        <f t="shared" si="429"/>
        <v>0</v>
      </c>
      <c r="BI137" s="1">
        <f t="shared" si="430"/>
        <v>0</v>
      </c>
      <c r="BJ137" s="1">
        <f t="shared" si="431"/>
        <v>0</v>
      </c>
      <c r="BK137" s="1">
        <f t="shared" si="432"/>
        <v>0</v>
      </c>
      <c r="BL137" s="1">
        <f t="shared" si="433"/>
        <v>0</v>
      </c>
      <c r="BM137" s="1">
        <f t="shared" si="434"/>
        <v>0</v>
      </c>
      <c r="BN137" s="1">
        <f t="shared" si="435"/>
        <v>0</v>
      </c>
      <c r="BO137" s="69">
        <f t="shared" si="436"/>
        <v>0</v>
      </c>
      <c r="BP137" s="1">
        <f>N137*$H137</f>
        <v>0</v>
      </c>
      <c r="BQ137" s="1">
        <f t="shared" si="473"/>
        <v>0</v>
      </c>
      <c r="BR137" s="1">
        <f t="shared" si="474"/>
        <v>0</v>
      </c>
      <c r="BS137" s="1">
        <f t="shared" si="475"/>
        <v>0</v>
      </c>
      <c r="BT137" s="1">
        <f t="shared" si="476"/>
        <v>0</v>
      </c>
      <c r="BU137" s="1">
        <f t="shared" si="477"/>
        <v>0</v>
      </c>
      <c r="BV137" s="1">
        <f t="shared" si="478"/>
        <v>0</v>
      </c>
      <c r="BW137" s="1">
        <f t="shared" si="479"/>
        <v>0</v>
      </c>
      <c r="BX137" s="1">
        <f t="shared" si="480"/>
        <v>0</v>
      </c>
      <c r="BY137" s="69">
        <f t="shared" si="481"/>
        <v>0</v>
      </c>
      <c r="BZ137" s="1">
        <f>N137*$I137</f>
        <v>0</v>
      </c>
      <c r="CA137" s="1">
        <f t="shared" si="437"/>
        <v>0</v>
      </c>
      <c r="CB137" s="1">
        <f t="shared" si="438"/>
        <v>0</v>
      </c>
      <c r="CC137" s="1">
        <f t="shared" si="439"/>
        <v>0</v>
      </c>
      <c r="CD137" s="1">
        <f t="shared" si="440"/>
        <v>0</v>
      </c>
      <c r="CE137" s="1">
        <f t="shared" si="441"/>
        <v>0</v>
      </c>
      <c r="CF137" s="1">
        <f t="shared" si="442"/>
        <v>0</v>
      </c>
      <c r="CG137" s="1">
        <f t="shared" si="443"/>
        <v>0</v>
      </c>
      <c r="CH137" s="1">
        <f t="shared" si="444"/>
        <v>0</v>
      </c>
      <c r="CI137" s="69">
        <f t="shared" si="445"/>
        <v>0</v>
      </c>
      <c r="CJ137" s="1">
        <f t="shared" si="402"/>
        <v>0</v>
      </c>
      <c r="CK137" s="1">
        <f t="shared" si="419"/>
        <v>0</v>
      </c>
      <c r="CL137" s="1">
        <f t="shared" si="420"/>
        <v>0</v>
      </c>
      <c r="CM137" s="1">
        <f t="shared" si="421"/>
        <v>0</v>
      </c>
      <c r="CN137" s="1">
        <f t="shared" si="422"/>
        <v>0</v>
      </c>
      <c r="CO137" s="1">
        <f t="shared" si="423"/>
        <v>0</v>
      </c>
      <c r="CP137" s="1">
        <f t="shared" si="424"/>
        <v>0</v>
      </c>
      <c r="CQ137" s="1">
        <f t="shared" si="425"/>
        <v>0</v>
      </c>
      <c r="CR137" s="1">
        <f t="shared" si="426"/>
        <v>0</v>
      </c>
      <c r="CS137" s="69">
        <f t="shared" si="427"/>
        <v>0</v>
      </c>
      <c r="CT137" s="1">
        <f>N137*$K137</f>
        <v>0</v>
      </c>
      <c r="CU137" s="1">
        <f t="shared" si="446"/>
        <v>0</v>
      </c>
      <c r="CV137" s="1">
        <f t="shared" si="447"/>
        <v>0</v>
      </c>
      <c r="CW137" s="1">
        <f t="shared" si="448"/>
        <v>0</v>
      </c>
      <c r="CX137" s="1">
        <f t="shared" si="449"/>
        <v>0</v>
      </c>
      <c r="CY137" s="1">
        <f t="shared" si="450"/>
        <v>0</v>
      </c>
      <c r="CZ137" s="1">
        <f t="shared" si="451"/>
        <v>0</v>
      </c>
      <c r="DA137" s="1">
        <f t="shared" si="452"/>
        <v>0</v>
      </c>
      <c r="DB137" s="1">
        <f t="shared" si="453"/>
        <v>0</v>
      </c>
      <c r="DC137" s="69">
        <f t="shared" si="454"/>
        <v>0</v>
      </c>
      <c r="DD137" s="1">
        <f>N137*$L137</f>
        <v>0</v>
      </c>
      <c r="DE137" s="1">
        <f t="shared" si="455"/>
        <v>0</v>
      </c>
      <c r="DF137" s="1">
        <f t="shared" si="456"/>
        <v>0</v>
      </c>
      <c r="DG137" s="1">
        <f t="shared" si="457"/>
        <v>0</v>
      </c>
      <c r="DH137" s="1">
        <f t="shared" si="458"/>
        <v>0</v>
      </c>
      <c r="DI137" s="1">
        <f t="shared" si="459"/>
        <v>0</v>
      </c>
      <c r="DJ137" s="1">
        <f t="shared" si="460"/>
        <v>0</v>
      </c>
      <c r="DK137" s="1">
        <f t="shared" si="461"/>
        <v>0</v>
      </c>
      <c r="DL137" s="1">
        <f t="shared" si="462"/>
        <v>0</v>
      </c>
      <c r="DM137" s="69">
        <f t="shared" si="463"/>
        <v>0</v>
      </c>
      <c r="DN137" s="1">
        <f>N137*$M137</f>
        <v>0</v>
      </c>
      <c r="DO137" s="1">
        <f t="shared" si="464"/>
        <v>0</v>
      </c>
      <c r="DP137" s="1">
        <f t="shared" si="465"/>
        <v>0</v>
      </c>
      <c r="DQ137" s="1">
        <f t="shared" si="466"/>
        <v>0</v>
      </c>
      <c r="DR137" s="1">
        <f t="shared" si="467"/>
        <v>0</v>
      </c>
      <c r="DS137" s="1">
        <f t="shared" si="468"/>
        <v>0</v>
      </c>
      <c r="DT137" s="1">
        <f t="shared" si="469"/>
        <v>0</v>
      </c>
      <c r="DU137" s="1">
        <f t="shared" si="470"/>
        <v>0</v>
      </c>
      <c r="DV137" s="1">
        <f t="shared" si="471"/>
        <v>0</v>
      </c>
      <c r="DW137" s="69">
        <f t="shared" si="472"/>
        <v>0</v>
      </c>
      <c r="DX137" s="1">
        <v>6</v>
      </c>
      <c r="DY137" s="69">
        <f t="shared" si="311"/>
        <v>106</v>
      </c>
      <c r="DZ137" s="1">
        <f t="shared" si="417"/>
        <v>0</v>
      </c>
      <c r="EA137" s="1">
        <f t="shared" si="418"/>
        <v>0</v>
      </c>
      <c r="EB137" s="1">
        <f t="shared" si="415"/>
        <v>0</v>
      </c>
      <c r="ED137" s="285">
        <f t="shared" si="416"/>
        <v>0</v>
      </c>
    </row>
    <row r="138" spans="1:134" ht="15" x14ac:dyDescent="0.25">
      <c r="A138" s="208" t="s">
        <v>1035</v>
      </c>
      <c r="B138" s="801" t="s">
        <v>2392</v>
      </c>
      <c r="D138" s="646" t="s">
        <v>2340</v>
      </c>
      <c r="E138" s="889">
        <v>3</v>
      </c>
      <c r="F138" s="633">
        <f t="shared" si="403"/>
        <v>0</v>
      </c>
      <c r="G138" s="700"/>
      <c r="H138" s="342"/>
      <c r="I138" s="342"/>
      <c r="J138" s="342">
        <v>2</v>
      </c>
      <c r="K138" s="342">
        <v>1</v>
      </c>
      <c r="L138" s="342"/>
      <c r="M138" s="342">
        <v>1</v>
      </c>
      <c r="N138" s="658"/>
      <c r="O138" s="256"/>
      <c r="P138" s="256"/>
      <c r="Q138" s="256"/>
      <c r="R138" s="255"/>
      <c r="S138" s="256"/>
      <c r="T138" s="256"/>
      <c r="U138" s="256"/>
      <c r="V138" s="255"/>
      <c r="W138" s="256"/>
      <c r="X138" s="256"/>
      <c r="Y138" s="256"/>
      <c r="Z138" s="255"/>
      <c r="AA138" s="256"/>
      <c r="AB138" s="256"/>
      <c r="AC138" s="256"/>
      <c r="AD138" s="255"/>
      <c r="AE138" s="256"/>
      <c r="AF138" s="256"/>
      <c r="AH138" s="546">
        <f t="shared" si="414"/>
        <v>0</v>
      </c>
      <c r="AI138" s="66">
        <f t="shared" si="482"/>
        <v>0</v>
      </c>
      <c r="AL138" s="706" t="str">
        <f t="shared" si="310"/>
        <v>-inverter trifase = 3 Kw</v>
      </c>
      <c r="AM138" s="684">
        <f>N138*$F138</f>
        <v>0</v>
      </c>
      <c r="AN138" s="674">
        <f t="shared" si="483"/>
        <v>0</v>
      </c>
      <c r="AO138" s="684">
        <f>P138*$F138</f>
        <v>0</v>
      </c>
      <c r="AP138" s="674">
        <f t="shared" si="484"/>
        <v>0</v>
      </c>
      <c r="AQ138" s="684">
        <f>R138*$F138</f>
        <v>0</v>
      </c>
      <c r="AR138" s="674">
        <f t="shared" si="485"/>
        <v>0</v>
      </c>
      <c r="AS138" s="684">
        <f>T138*$F138</f>
        <v>0</v>
      </c>
      <c r="AT138" s="674">
        <f t="shared" si="486"/>
        <v>0</v>
      </c>
      <c r="AU138" s="684">
        <f>V138*$F138</f>
        <v>0</v>
      </c>
      <c r="AV138" s="674">
        <f t="shared" si="487"/>
        <v>0</v>
      </c>
      <c r="AW138" s="684">
        <f>X138*$F138</f>
        <v>0</v>
      </c>
      <c r="AX138" s="674">
        <f t="shared" si="488"/>
        <v>0</v>
      </c>
      <c r="AY138" s="684">
        <f>Z138*$F138</f>
        <v>0</v>
      </c>
      <c r="AZ138" s="674">
        <f t="shared" si="489"/>
        <v>0</v>
      </c>
      <c r="BA138" s="684">
        <f>AB138*$F138</f>
        <v>0</v>
      </c>
      <c r="BB138" s="674">
        <f t="shared" si="490"/>
        <v>0</v>
      </c>
      <c r="BC138" s="684">
        <f>AD138*$F138</f>
        <v>0</v>
      </c>
      <c r="BD138" s="674">
        <f t="shared" si="491"/>
        <v>0</v>
      </c>
      <c r="BE138" s="684">
        <f>AF138*$F138</f>
        <v>0</v>
      </c>
      <c r="BF138" s="1">
        <f>N138*$G138</f>
        <v>0</v>
      </c>
      <c r="BG138" s="1">
        <f t="shared" si="428"/>
        <v>0</v>
      </c>
      <c r="BH138" s="1">
        <f t="shared" si="429"/>
        <v>0</v>
      </c>
      <c r="BI138" s="1">
        <f t="shared" si="430"/>
        <v>0</v>
      </c>
      <c r="BJ138" s="1">
        <f t="shared" si="431"/>
        <v>0</v>
      </c>
      <c r="BK138" s="1">
        <f t="shared" si="432"/>
        <v>0</v>
      </c>
      <c r="BL138" s="1">
        <f t="shared" si="433"/>
        <v>0</v>
      </c>
      <c r="BM138" s="1">
        <f t="shared" si="434"/>
        <v>0</v>
      </c>
      <c r="BN138" s="1">
        <f t="shared" si="435"/>
        <v>0</v>
      </c>
      <c r="BO138" s="69">
        <f t="shared" si="436"/>
        <v>0</v>
      </c>
      <c r="BP138" s="1">
        <f>N138*$H138</f>
        <v>0</v>
      </c>
      <c r="BQ138" s="1">
        <f t="shared" si="473"/>
        <v>0</v>
      </c>
      <c r="BR138" s="1">
        <f t="shared" si="474"/>
        <v>0</v>
      </c>
      <c r="BS138" s="1">
        <f t="shared" si="475"/>
        <v>0</v>
      </c>
      <c r="BT138" s="1">
        <f t="shared" si="476"/>
        <v>0</v>
      </c>
      <c r="BU138" s="1">
        <f t="shared" si="477"/>
        <v>0</v>
      </c>
      <c r="BV138" s="1">
        <f t="shared" si="478"/>
        <v>0</v>
      </c>
      <c r="BW138" s="1">
        <f t="shared" si="479"/>
        <v>0</v>
      </c>
      <c r="BX138" s="1">
        <f t="shared" si="480"/>
        <v>0</v>
      </c>
      <c r="BY138" s="69">
        <f t="shared" si="481"/>
        <v>0</v>
      </c>
      <c r="BZ138" s="1">
        <f>N138*$I138</f>
        <v>0</v>
      </c>
      <c r="CA138" s="1">
        <f t="shared" si="437"/>
        <v>0</v>
      </c>
      <c r="CB138" s="1">
        <f t="shared" si="438"/>
        <v>0</v>
      </c>
      <c r="CC138" s="1">
        <f t="shared" si="439"/>
        <v>0</v>
      </c>
      <c r="CD138" s="1">
        <f t="shared" si="440"/>
        <v>0</v>
      </c>
      <c r="CE138" s="1">
        <f t="shared" si="441"/>
        <v>0</v>
      </c>
      <c r="CF138" s="1">
        <f t="shared" si="442"/>
        <v>0</v>
      </c>
      <c r="CG138" s="1">
        <f t="shared" si="443"/>
        <v>0</v>
      </c>
      <c r="CH138" s="1">
        <f t="shared" si="444"/>
        <v>0</v>
      </c>
      <c r="CI138" s="69">
        <f t="shared" si="445"/>
        <v>0</v>
      </c>
      <c r="CJ138" s="1">
        <f t="shared" si="402"/>
        <v>0</v>
      </c>
      <c r="CK138" s="1">
        <f t="shared" si="419"/>
        <v>0</v>
      </c>
      <c r="CL138" s="1">
        <f t="shared" si="420"/>
        <v>0</v>
      </c>
      <c r="CM138" s="1">
        <f t="shared" si="421"/>
        <v>0</v>
      </c>
      <c r="CN138" s="1">
        <f t="shared" si="422"/>
        <v>0</v>
      </c>
      <c r="CO138" s="1">
        <f t="shared" si="423"/>
        <v>0</v>
      </c>
      <c r="CP138" s="1">
        <f t="shared" si="424"/>
        <v>0</v>
      </c>
      <c r="CQ138" s="1">
        <f t="shared" si="425"/>
        <v>0</v>
      </c>
      <c r="CR138" s="1">
        <f t="shared" si="426"/>
        <v>0</v>
      </c>
      <c r="CS138" s="69">
        <f t="shared" si="427"/>
        <v>0</v>
      </c>
      <c r="CT138" s="1">
        <f>N138*$K138</f>
        <v>0</v>
      </c>
      <c r="CU138" s="1">
        <f t="shared" si="446"/>
        <v>0</v>
      </c>
      <c r="CV138" s="1">
        <f t="shared" si="447"/>
        <v>0</v>
      </c>
      <c r="CW138" s="1">
        <f t="shared" si="448"/>
        <v>0</v>
      </c>
      <c r="CX138" s="1">
        <f t="shared" si="449"/>
        <v>0</v>
      </c>
      <c r="CY138" s="1">
        <f t="shared" si="450"/>
        <v>0</v>
      </c>
      <c r="CZ138" s="1">
        <f t="shared" si="451"/>
        <v>0</v>
      </c>
      <c r="DA138" s="1">
        <f t="shared" si="452"/>
        <v>0</v>
      </c>
      <c r="DB138" s="1">
        <f t="shared" si="453"/>
        <v>0</v>
      </c>
      <c r="DC138" s="69">
        <f t="shared" si="454"/>
        <v>0</v>
      </c>
      <c r="DD138" s="1">
        <f>N138*$L138</f>
        <v>0</v>
      </c>
      <c r="DE138" s="1">
        <f t="shared" si="455"/>
        <v>0</v>
      </c>
      <c r="DF138" s="1">
        <f t="shared" si="456"/>
        <v>0</v>
      </c>
      <c r="DG138" s="1">
        <f t="shared" si="457"/>
        <v>0</v>
      </c>
      <c r="DH138" s="1">
        <f t="shared" si="458"/>
        <v>0</v>
      </c>
      <c r="DI138" s="1">
        <f t="shared" si="459"/>
        <v>0</v>
      </c>
      <c r="DJ138" s="1">
        <f t="shared" si="460"/>
        <v>0</v>
      </c>
      <c r="DK138" s="1">
        <f t="shared" si="461"/>
        <v>0</v>
      </c>
      <c r="DL138" s="1">
        <f t="shared" si="462"/>
        <v>0</v>
      </c>
      <c r="DM138" s="69">
        <f t="shared" si="463"/>
        <v>0</v>
      </c>
      <c r="DN138" s="1">
        <f>N138*$M138</f>
        <v>0</v>
      </c>
      <c r="DO138" s="1">
        <f t="shared" si="464"/>
        <v>0</v>
      </c>
      <c r="DP138" s="1">
        <f t="shared" si="465"/>
        <v>0</v>
      </c>
      <c r="DQ138" s="1">
        <f t="shared" si="466"/>
        <v>0</v>
      </c>
      <c r="DR138" s="1">
        <f t="shared" si="467"/>
        <v>0</v>
      </c>
      <c r="DS138" s="1">
        <f t="shared" si="468"/>
        <v>0</v>
      </c>
      <c r="DT138" s="1">
        <f t="shared" si="469"/>
        <v>0</v>
      </c>
      <c r="DU138" s="1">
        <f t="shared" si="470"/>
        <v>0</v>
      </c>
      <c r="DV138" s="1">
        <f t="shared" si="471"/>
        <v>0</v>
      </c>
      <c r="DW138" s="69">
        <f t="shared" si="472"/>
        <v>0</v>
      </c>
      <c r="DX138" s="1">
        <v>5</v>
      </c>
      <c r="DY138" s="69">
        <f t="shared" si="311"/>
        <v>107</v>
      </c>
      <c r="DZ138" s="1">
        <f t="shared" si="417"/>
        <v>0</v>
      </c>
      <c r="EA138" s="1">
        <f t="shared" si="418"/>
        <v>0</v>
      </c>
      <c r="EB138" s="1">
        <f t="shared" si="415"/>
        <v>0</v>
      </c>
      <c r="ED138" s="285">
        <f t="shared" si="416"/>
        <v>0</v>
      </c>
    </row>
    <row r="139" spans="1:134" x14ac:dyDescent="0.2">
      <c r="A139" s="208" t="s">
        <v>1035</v>
      </c>
      <c r="B139" s="800" t="s">
        <v>634</v>
      </c>
      <c r="C139" s="193" t="s">
        <v>871</v>
      </c>
      <c r="D139" s="647" t="s">
        <v>558</v>
      </c>
      <c r="E139" s="889">
        <v>0.75</v>
      </c>
      <c r="F139" s="633">
        <f t="shared" si="403"/>
        <v>138.04434000000001</v>
      </c>
      <c r="G139" s="700"/>
      <c r="H139" s="342"/>
      <c r="I139" s="342"/>
      <c r="J139" s="342">
        <v>1</v>
      </c>
      <c r="K139" s="342">
        <v>1</v>
      </c>
      <c r="L139" s="342"/>
      <c r="M139" s="342"/>
      <c r="N139" s="658"/>
      <c r="O139" s="256"/>
      <c r="P139" s="256"/>
      <c r="Q139" s="256"/>
      <c r="R139" s="255"/>
      <c r="S139" s="256"/>
      <c r="T139" s="256"/>
      <c r="U139" s="256"/>
      <c r="V139" s="255"/>
      <c r="W139" s="256"/>
      <c r="X139" s="256"/>
      <c r="Y139" s="256"/>
      <c r="Z139" s="255"/>
      <c r="AA139" s="256"/>
      <c r="AB139" s="256"/>
      <c r="AC139" s="256"/>
      <c r="AD139" s="255"/>
      <c r="AE139" s="256"/>
      <c r="AF139" s="256"/>
      <c r="AH139" s="546">
        <f t="shared" si="414"/>
        <v>0</v>
      </c>
      <c r="AI139" s="66">
        <f t="shared" si="482"/>
        <v>0</v>
      </c>
      <c r="AL139" s="706" t="str">
        <f t="shared" si="310"/>
        <v>-motore &lt;= 0,25Kw</v>
      </c>
      <c r="AM139" s="684">
        <f t="shared" si="405"/>
        <v>0</v>
      </c>
      <c r="AN139" s="674">
        <f t="shared" si="483"/>
        <v>0</v>
      </c>
      <c r="AO139" s="684">
        <f t="shared" si="406"/>
        <v>0</v>
      </c>
      <c r="AP139" s="674">
        <f t="shared" si="484"/>
        <v>0</v>
      </c>
      <c r="AQ139" s="684">
        <f t="shared" si="407"/>
        <v>0</v>
      </c>
      <c r="AR139" s="674">
        <f t="shared" si="485"/>
        <v>0</v>
      </c>
      <c r="AS139" s="684">
        <f t="shared" si="408"/>
        <v>0</v>
      </c>
      <c r="AT139" s="674">
        <f t="shared" si="486"/>
        <v>0</v>
      </c>
      <c r="AU139" s="684">
        <f t="shared" si="409"/>
        <v>0</v>
      </c>
      <c r="AV139" s="674">
        <f t="shared" si="487"/>
        <v>0</v>
      </c>
      <c r="AW139" s="684">
        <f t="shared" si="410"/>
        <v>0</v>
      </c>
      <c r="AX139" s="674">
        <f t="shared" si="488"/>
        <v>0</v>
      </c>
      <c r="AY139" s="684">
        <f t="shared" si="411"/>
        <v>0</v>
      </c>
      <c r="AZ139" s="674">
        <f t="shared" si="489"/>
        <v>0</v>
      </c>
      <c r="BA139" s="684">
        <f t="shared" si="412"/>
        <v>0</v>
      </c>
      <c r="BB139" s="674">
        <f t="shared" si="490"/>
        <v>0</v>
      </c>
      <c r="BC139" s="684">
        <f t="shared" si="413"/>
        <v>0</v>
      </c>
      <c r="BD139" s="674">
        <f t="shared" si="491"/>
        <v>0</v>
      </c>
      <c r="BE139" s="684">
        <f t="shared" si="378"/>
        <v>0</v>
      </c>
      <c r="BF139" s="1">
        <f t="shared" si="301"/>
        <v>0</v>
      </c>
      <c r="BG139" s="1">
        <f t="shared" si="428"/>
        <v>0</v>
      </c>
      <c r="BH139" s="1">
        <f t="shared" si="429"/>
        <v>0</v>
      </c>
      <c r="BI139" s="1">
        <f t="shared" si="430"/>
        <v>0</v>
      </c>
      <c r="BJ139" s="1">
        <f t="shared" si="431"/>
        <v>0</v>
      </c>
      <c r="BK139" s="1">
        <f t="shared" si="432"/>
        <v>0</v>
      </c>
      <c r="BL139" s="1">
        <f t="shared" si="433"/>
        <v>0</v>
      </c>
      <c r="BM139" s="1">
        <f t="shared" si="434"/>
        <v>0</v>
      </c>
      <c r="BN139" s="1">
        <f t="shared" si="435"/>
        <v>0</v>
      </c>
      <c r="BO139" s="69">
        <f t="shared" si="436"/>
        <v>0</v>
      </c>
      <c r="BP139" s="1">
        <f t="shared" si="404"/>
        <v>0</v>
      </c>
      <c r="BQ139" s="1">
        <f t="shared" si="473"/>
        <v>0</v>
      </c>
      <c r="BR139" s="1">
        <f t="shared" si="474"/>
        <v>0</v>
      </c>
      <c r="BS139" s="1">
        <f t="shared" si="475"/>
        <v>0</v>
      </c>
      <c r="BT139" s="1">
        <f t="shared" si="476"/>
        <v>0</v>
      </c>
      <c r="BU139" s="1">
        <f t="shared" si="477"/>
        <v>0</v>
      </c>
      <c r="BV139" s="1">
        <f t="shared" si="478"/>
        <v>0</v>
      </c>
      <c r="BW139" s="1">
        <f t="shared" si="479"/>
        <v>0</v>
      </c>
      <c r="BX139" s="1">
        <f t="shared" si="480"/>
        <v>0</v>
      </c>
      <c r="BY139" s="69">
        <f t="shared" si="481"/>
        <v>0</v>
      </c>
      <c r="BZ139" s="1">
        <f t="shared" si="302"/>
        <v>0</v>
      </c>
      <c r="CA139" s="1">
        <f t="shared" si="437"/>
        <v>0</v>
      </c>
      <c r="CB139" s="1">
        <f t="shared" si="438"/>
        <v>0</v>
      </c>
      <c r="CC139" s="1">
        <f t="shared" si="439"/>
        <v>0</v>
      </c>
      <c r="CD139" s="1">
        <f t="shared" si="440"/>
        <v>0</v>
      </c>
      <c r="CE139" s="1">
        <f t="shared" si="441"/>
        <v>0</v>
      </c>
      <c r="CF139" s="1">
        <f t="shared" si="442"/>
        <v>0</v>
      </c>
      <c r="CG139" s="1">
        <f t="shared" si="443"/>
        <v>0</v>
      </c>
      <c r="CH139" s="1">
        <f t="shared" si="444"/>
        <v>0</v>
      </c>
      <c r="CI139" s="69">
        <f t="shared" si="445"/>
        <v>0</v>
      </c>
      <c r="CJ139" s="1">
        <f t="shared" si="402"/>
        <v>0</v>
      </c>
      <c r="CK139" s="1">
        <f t="shared" si="419"/>
        <v>0</v>
      </c>
      <c r="CL139" s="1">
        <f t="shared" si="420"/>
        <v>0</v>
      </c>
      <c r="CM139" s="1">
        <f t="shared" si="421"/>
        <v>0</v>
      </c>
      <c r="CN139" s="1">
        <f t="shared" si="422"/>
        <v>0</v>
      </c>
      <c r="CO139" s="1">
        <f t="shared" si="423"/>
        <v>0</v>
      </c>
      <c r="CP139" s="1">
        <f t="shared" si="424"/>
        <v>0</v>
      </c>
      <c r="CQ139" s="1">
        <f t="shared" si="425"/>
        <v>0</v>
      </c>
      <c r="CR139" s="1">
        <f t="shared" si="426"/>
        <v>0</v>
      </c>
      <c r="CS139" s="69">
        <f t="shared" si="427"/>
        <v>0</v>
      </c>
      <c r="CT139" s="1">
        <f t="shared" si="303"/>
        <v>0</v>
      </c>
      <c r="CU139" s="1">
        <f t="shared" si="446"/>
        <v>0</v>
      </c>
      <c r="CV139" s="1">
        <f t="shared" si="447"/>
        <v>0</v>
      </c>
      <c r="CW139" s="1">
        <f t="shared" si="448"/>
        <v>0</v>
      </c>
      <c r="CX139" s="1">
        <f t="shared" si="449"/>
        <v>0</v>
      </c>
      <c r="CY139" s="1">
        <f t="shared" si="450"/>
        <v>0</v>
      </c>
      <c r="CZ139" s="1">
        <f t="shared" si="451"/>
        <v>0</v>
      </c>
      <c r="DA139" s="1">
        <f t="shared" si="452"/>
        <v>0</v>
      </c>
      <c r="DB139" s="1">
        <f t="shared" si="453"/>
        <v>0</v>
      </c>
      <c r="DC139" s="69">
        <f t="shared" si="454"/>
        <v>0</v>
      </c>
      <c r="DD139" s="1">
        <f t="shared" si="304"/>
        <v>0</v>
      </c>
      <c r="DE139" s="1">
        <f t="shared" si="455"/>
        <v>0</v>
      </c>
      <c r="DF139" s="1">
        <f t="shared" si="456"/>
        <v>0</v>
      </c>
      <c r="DG139" s="1">
        <f t="shared" si="457"/>
        <v>0</v>
      </c>
      <c r="DH139" s="1">
        <f t="shared" si="458"/>
        <v>0</v>
      </c>
      <c r="DI139" s="1">
        <f t="shared" si="459"/>
        <v>0</v>
      </c>
      <c r="DJ139" s="1">
        <f t="shared" si="460"/>
        <v>0</v>
      </c>
      <c r="DK139" s="1">
        <f t="shared" si="461"/>
        <v>0</v>
      </c>
      <c r="DL139" s="1">
        <f t="shared" si="462"/>
        <v>0</v>
      </c>
      <c r="DM139" s="69">
        <f t="shared" si="463"/>
        <v>0</v>
      </c>
      <c r="DN139" s="1">
        <f t="shared" si="305"/>
        <v>0</v>
      </c>
      <c r="DO139" s="1">
        <f t="shared" si="464"/>
        <v>0</v>
      </c>
      <c r="DP139" s="1">
        <f t="shared" si="465"/>
        <v>0</v>
      </c>
      <c r="DQ139" s="1">
        <f t="shared" si="466"/>
        <v>0</v>
      </c>
      <c r="DR139" s="1">
        <f t="shared" si="467"/>
        <v>0</v>
      </c>
      <c r="DS139" s="1">
        <f t="shared" si="468"/>
        <v>0</v>
      </c>
      <c r="DT139" s="1">
        <f t="shared" si="469"/>
        <v>0</v>
      </c>
      <c r="DU139" s="1">
        <f t="shared" si="470"/>
        <v>0</v>
      </c>
      <c r="DV139" s="1">
        <f t="shared" si="471"/>
        <v>0</v>
      </c>
      <c r="DW139" s="69">
        <f t="shared" si="472"/>
        <v>0</v>
      </c>
      <c r="DX139" s="1">
        <v>5</v>
      </c>
      <c r="DY139" s="69">
        <f t="shared" si="311"/>
        <v>108</v>
      </c>
      <c r="DZ139" s="1">
        <f t="shared" si="417"/>
        <v>0</v>
      </c>
      <c r="EA139" s="1">
        <f t="shared" si="418"/>
        <v>0</v>
      </c>
      <c r="EB139" s="1">
        <f t="shared" si="415"/>
        <v>0</v>
      </c>
      <c r="ED139" s="285">
        <f t="shared" si="416"/>
        <v>0</v>
      </c>
    </row>
    <row r="140" spans="1:134" x14ac:dyDescent="0.2">
      <c r="A140" s="208" t="s">
        <v>1035</v>
      </c>
      <c r="B140" s="803" t="s">
        <v>2342</v>
      </c>
      <c r="C140" s="192" t="s">
        <v>871</v>
      </c>
      <c r="D140" s="335" t="s">
        <v>563</v>
      </c>
      <c r="E140" s="889">
        <v>1.5</v>
      </c>
      <c r="F140" s="633">
        <f t="shared" si="403"/>
        <v>154.36299</v>
      </c>
      <c r="G140" s="700"/>
      <c r="H140" s="342"/>
      <c r="I140" s="342"/>
      <c r="J140" s="342">
        <v>1</v>
      </c>
      <c r="K140" s="342">
        <v>1</v>
      </c>
      <c r="L140" s="342"/>
      <c r="M140" s="342"/>
      <c r="N140" s="658"/>
      <c r="O140" s="256"/>
      <c r="P140" s="256"/>
      <c r="Q140" s="256"/>
      <c r="R140" s="255"/>
      <c r="S140" s="256"/>
      <c r="T140" s="256"/>
      <c r="U140" s="256"/>
      <c r="V140" s="255"/>
      <c r="W140" s="256"/>
      <c r="X140" s="256"/>
      <c r="Y140" s="256"/>
      <c r="Z140" s="255"/>
      <c r="AA140" s="256"/>
      <c r="AB140" s="256"/>
      <c r="AC140" s="256"/>
      <c r="AD140" s="255"/>
      <c r="AE140" s="256"/>
      <c r="AF140" s="256"/>
      <c r="AH140" s="546">
        <f t="shared" si="414"/>
        <v>0</v>
      </c>
      <c r="AI140" s="66">
        <f t="shared" si="482"/>
        <v>0</v>
      </c>
      <c r="AL140" s="706" t="str">
        <f t="shared" si="310"/>
        <v>-motore &lt;0,25 e &lt;3 Kw</v>
      </c>
      <c r="AM140" s="684">
        <f t="shared" si="405"/>
        <v>0</v>
      </c>
      <c r="AN140" s="674">
        <f t="shared" si="483"/>
        <v>0</v>
      </c>
      <c r="AO140" s="684">
        <f t="shared" si="406"/>
        <v>0</v>
      </c>
      <c r="AP140" s="674">
        <f t="shared" si="484"/>
        <v>0</v>
      </c>
      <c r="AQ140" s="684">
        <f t="shared" si="407"/>
        <v>0</v>
      </c>
      <c r="AR140" s="674">
        <f t="shared" si="485"/>
        <v>0</v>
      </c>
      <c r="AS140" s="684">
        <f t="shared" si="408"/>
        <v>0</v>
      </c>
      <c r="AT140" s="674">
        <f t="shared" si="486"/>
        <v>0</v>
      </c>
      <c r="AU140" s="684">
        <f t="shared" si="409"/>
        <v>0</v>
      </c>
      <c r="AV140" s="674">
        <f t="shared" si="487"/>
        <v>0</v>
      </c>
      <c r="AW140" s="684">
        <f t="shared" si="410"/>
        <v>0</v>
      </c>
      <c r="AX140" s="674">
        <f t="shared" si="488"/>
        <v>0</v>
      </c>
      <c r="AY140" s="684">
        <f t="shared" si="411"/>
        <v>0</v>
      </c>
      <c r="AZ140" s="674">
        <f t="shared" si="489"/>
        <v>0</v>
      </c>
      <c r="BA140" s="684">
        <f t="shared" si="412"/>
        <v>0</v>
      </c>
      <c r="BB140" s="674">
        <f t="shared" si="490"/>
        <v>0</v>
      </c>
      <c r="BC140" s="684">
        <f t="shared" si="413"/>
        <v>0</v>
      </c>
      <c r="BD140" s="674">
        <f t="shared" si="491"/>
        <v>0</v>
      </c>
      <c r="BE140" s="684">
        <f t="shared" si="378"/>
        <v>0</v>
      </c>
      <c r="BF140" s="1">
        <f t="shared" si="301"/>
        <v>0</v>
      </c>
      <c r="BG140" s="1">
        <f t="shared" si="428"/>
        <v>0</v>
      </c>
      <c r="BH140" s="1">
        <f t="shared" si="429"/>
        <v>0</v>
      </c>
      <c r="BI140" s="1">
        <f t="shared" si="430"/>
        <v>0</v>
      </c>
      <c r="BJ140" s="1">
        <f t="shared" si="431"/>
        <v>0</v>
      </c>
      <c r="BK140" s="1">
        <f t="shared" si="432"/>
        <v>0</v>
      </c>
      <c r="BL140" s="1">
        <f t="shared" si="433"/>
        <v>0</v>
      </c>
      <c r="BM140" s="1">
        <f t="shared" si="434"/>
        <v>0</v>
      </c>
      <c r="BN140" s="1">
        <f t="shared" si="435"/>
        <v>0</v>
      </c>
      <c r="BO140" s="69">
        <f t="shared" si="436"/>
        <v>0</v>
      </c>
      <c r="BP140" s="1">
        <f t="shared" si="404"/>
        <v>0</v>
      </c>
      <c r="BQ140" s="1">
        <f t="shared" si="473"/>
        <v>0</v>
      </c>
      <c r="BR140" s="1">
        <f t="shared" si="474"/>
        <v>0</v>
      </c>
      <c r="BS140" s="1">
        <f t="shared" si="475"/>
        <v>0</v>
      </c>
      <c r="BT140" s="1">
        <f t="shared" si="476"/>
        <v>0</v>
      </c>
      <c r="BU140" s="1">
        <f t="shared" si="477"/>
        <v>0</v>
      </c>
      <c r="BV140" s="1">
        <f t="shared" si="478"/>
        <v>0</v>
      </c>
      <c r="BW140" s="1">
        <f t="shared" si="479"/>
        <v>0</v>
      </c>
      <c r="BX140" s="1">
        <f t="shared" si="480"/>
        <v>0</v>
      </c>
      <c r="BY140" s="69">
        <f t="shared" si="481"/>
        <v>0</v>
      </c>
      <c r="BZ140" s="1">
        <f t="shared" si="302"/>
        <v>0</v>
      </c>
      <c r="CA140" s="1">
        <f t="shared" si="437"/>
        <v>0</v>
      </c>
      <c r="CB140" s="1">
        <f t="shared" si="438"/>
        <v>0</v>
      </c>
      <c r="CC140" s="1">
        <f t="shared" si="439"/>
        <v>0</v>
      </c>
      <c r="CD140" s="1">
        <f t="shared" si="440"/>
        <v>0</v>
      </c>
      <c r="CE140" s="1">
        <f t="shared" si="441"/>
        <v>0</v>
      </c>
      <c r="CF140" s="1">
        <f t="shared" si="442"/>
        <v>0</v>
      </c>
      <c r="CG140" s="1">
        <f t="shared" si="443"/>
        <v>0</v>
      </c>
      <c r="CH140" s="1">
        <f t="shared" si="444"/>
        <v>0</v>
      </c>
      <c r="CI140" s="69">
        <f t="shared" si="445"/>
        <v>0</v>
      </c>
      <c r="CJ140" s="1">
        <f t="shared" si="402"/>
        <v>0</v>
      </c>
      <c r="CK140" s="1">
        <f t="shared" si="419"/>
        <v>0</v>
      </c>
      <c r="CL140" s="1">
        <f t="shared" si="420"/>
        <v>0</v>
      </c>
      <c r="CM140" s="1">
        <f t="shared" si="421"/>
        <v>0</v>
      </c>
      <c r="CN140" s="1">
        <f t="shared" si="422"/>
        <v>0</v>
      </c>
      <c r="CO140" s="1">
        <f t="shared" si="423"/>
        <v>0</v>
      </c>
      <c r="CP140" s="1">
        <f t="shared" si="424"/>
        <v>0</v>
      </c>
      <c r="CQ140" s="1">
        <f t="shared" si="425"/>
        <v>0</v>
      </c>
      <c r="CR140" s="1">
        <f t="shared" si="426"/>
        <v>0</v>
      </c>
      <c r="CS140" s="69">
        <f t="shared" si="427"/>
        <v>0</v>
      </c>
      <c r="CT140" s="1">
        <f t="shared" si="303"/>
        <v>0</v>
      </c>
      <c r="CU140" s="1">
        <f t="shared" si="446"/>
        <v>0</v>
      </c>
      <c r="CV140" s="1">
        <f t="shared" si="447"/>
        <v>0</v>
      </c>
      <c r="CW140" s="1">
        <f t="shared" si="448"/>
        <v>0</v>
      </c>
      <c r="CX140" s="1">
        <f t="shared" si="449"/>
        <v>0</v>
      </c>
      <c r="CY140" s="1">
        <f t="shared" si="450"/>
        <v>0</v>
      </c>
      <c r="CZ140" s="1">
        <f t="shared" si="451"/>
        <v>0</v>
      </c>
      <c r="DA140" s="1">
        <f t="shared" si="452"/>
        <v>0</v>
      </c>
      <c r="DB140" s="1">
        <f t="shared" si="453"/>
        <v>0</v>
      </c>
      <c r="DC140" s="69">
        <f t="shared" si="454"/>
        <v>0</v>
      </c>
      <c r="DD140" s="1">
        <f t="shared" si="304"/>
        <v>0</v>
      </c>
      <c r="DE140" s="1">
        <f t="shared" si="455"/>
        <v>0</v>
      </c>
      <c r="DF140" s="1">
        <f t="shared" si="456"/>
        <v>0</v>
      </c>
      <c r="DG140" s="1">
        <f t="shared" si="457"/>
        <v>0</v>
      </c>
      <c r="DH140" s="1">
        <f t="shared" si="458"/>
        <v>0</v>
      </c>
      <c r="DI140" s="1">
        <f t="shared" si="459"/>
        <v>0</v>
      </c>
      <c r="DJ140" s="1">
        <f t="shared" si="460"/>
        <v>0</v>
      </c>
      <c r="DK140" s="1">
        <f t="shared" si="461"/>
        <v>0</v>
      </c>
      <c r="DL140" s="1">
        <f t="shared" si="462"/>
        <v>0</v>
      </c>
      <c r="DM140" s="69">
        <f t="shared" si="463"/>
        <v>0</v>
      </c>
      <c r="DN140" s="1">
        <f t="shared" si="305"/>
        <v>0</v>
      </c>
      <c r="DO140" s="1">
        <f t="shared" si="464"/>
        <v>0</v>
      </c>
      <c r="DP140" s="1">
        <f t="shared" si="465"/>
        <v>0</v>
      </c>
      <c r="DQ140" s="1">
        <f t="shared" si="466"/>
        <v>0</v>
      </c>
      <c r="DR140" s="1">
        <f t="shared" si="467"/>
        <v>0</v>
      </c>
      <c r="DS140" s="1">
        <f t="shared" si="468"/>
        <v>0</v>
      </c>
      <c r="DT140" s="1">
        <f t="shared" si="469"/>
        <v>0</v>
      </c>
      <c r="DU140" s="1">
        <f t="shared" si="470"/>
        <v>0</v>
      </c>
      <c r="DV140" s="1">
        <f t="shared" si="471"/>
        <v>0</v>
      </c>
      <c r="DW140" s="69">
        <f t="shared" si="472"/>
        <v>0</v>
      </c>
      <c r="DX140" s="1">
        <v>5</v>
      </c>
      <c r="DY140" s="69">
        <f t="shared" si="311"/>
        <v>109</v>
      </c>
      <c r="DZ140" s="1">
        <f t="shared" si="417"/>
        <v>0</v>
      </c>
      <c r="EA140" s="1">
        <f t="shared" si="418"/>
        <v>0</v>
      </c>
      <c r="EB140" s="1">
        <f t="shared" si="415"/>
        <v>0</v>
      </c>
      <c r="ED140" s="285">
        <f t="shared" si="416"/>
        <v>0</v>
      </c>
    </row>
    <row r="141" spans="1:134" x14ac:dyDescent="0.2">
      <c r="A141" s="208" t="s">
        <v>1035</v>
      </c>
      <c r="B141" s="808" t="s">
        <v>636</v>
      </c>
      <c r="C141" s="196" t="s">
        <v>872</v>
      </c>
      <c r="D141" s="647" t="s">
        <v>563</v>
      </c>
      <c r="E141" s="889">
        <v>3</v>
      </c>
      <c r="F141" s="633">
        <f t="shared" si="403"/>
        <v>154.36299</v>
      </c>
      <c r="G141" s="700"/>
      <c r="H141" s="342"/>
      <c r="I141" s="342"/>
      <c r="J141" s="342">
        <v>1</v>
      </c>
      <c r="K141" s="342">
        <v>1</v>
      </c>
      <c r="L141" s="342"/>
      <c r="M141" s="342"/>
      <c r="N141" s="658">
        <v>0</v>
      </c>
      <c r="O141" s="256"/>
      <c r="P141" s="256"/>
      <c r="Q141" s="256"/>
      <c r="R141" s="255"/>
      <c r="S141" s="256"/>
      <c r="T141" s="256"/>
      <c r="U141" s="256"/>
      <c r="V141" s="255"/>
      <c r="W141" s="256"/>
      <c r="X141" s="256"/>
      <c r="Y141" s="256"/>
      <c r="Z141" s="255"/>
      <c r="AA141" s="256"/>
      <c r="AB141" s="256"/>
      <c r="AC141" s="256"/>
      <c r="AD141" s="255"/>
      <c r="AE141" s="256"/>
      <c r="AF141" s="256"/>
      <c r="AH141" s="546">
        <f t="shared" si="414"/>
        <v>0</v>
      </c>
      <c r="AI141" s="66">
        <f t="shared" si="482"/>
        <v>0</v>
      </c>
      <c r="AL141" s="706" t="str">
        <f t="shared" si="310"/>
        <v>-motore &lt;0,25 e &lt;3 Kw</v>
      </c>
      <c r="AM141" s="684">
        <f t="shared" si="405"/>
        <v>0</v>
      </c>
      <c r="AN141" s="674">
        <f t="shared" si="483"/>
        <v>0</v>
      </c>
      <c r="AO141" s="684">
        <f t="shared" si="406"/>
        <v>0</v>
      </c>
      <c r="AP141" s="674">
        <f t="shared" si="484"/>
        <v>0</v>
      </c>
      <c r="AQ141" s="684">
        <f t="shared" si="407"/>
        <v>0</v>
      </c>
      <c r="AR141" s="674">
        <f t="shared" si="485"/>
        <v>0</v>
      </c>
      <c r="AS141" s="684">
        <f t="shared" si="408"/>
        <v>0</v>
      </c>
      <c r="AT141" s="674">
        <f t="shared" si="486"/>
        <v>0</v>
      </c>
      <c r="AU141" s="684">
        <f t="shared" si="409"/>
        <v>0</v>
      </c>
      <c r="AV141" s="674">
        <f t="shared" si="487"/>
        <v>0</v>
      </c>
      <c r="AW141" s="684">
        <f t="shared" si="410"/>
        <v>0</v>
      </c>
      <c r="AX141" s="674">
        <f t="shared" si="488"/>
        <v>0</v>
      </c>
      <c r="AY141" s="684">
        <f t="shared" si="411"/>
        <v>0</v>
      </c>
      <c r="AZ141" s="674">
        <f t="shared" si="489"/>
        <v>0</v>
      </c>
      <c r="BA141" s="684">
        <f t="shared" si="412"/>
        <v>0</v>
      </c>
      <c r="BB141" s="674">
        <f t="shared" si="490"/>
        <v>0</v>
      </c>
      <c r="BC141" s="684">
        <f t="shared" si="413"/>
        <v>0</v>
      </c>
      <c r="BD141" s="674">
        <f t="shared" si="491"/>
        <v>0</v>
      </c>
      <c r="BE141" s="684">
        <f t="shared" si="378"/>
        <v>0</v>
      </c>
      <c r="BF141" s="1">
        <f t="shared" si="301"/>
        <v>0</v>
      </c>
      <c r="BG141" s="1">
        <f t="shared" si="428"/>
        <v>0</v>
      </c>
      <c r="BH141" s="1">
        <f t="shared" si="429"/>
        <v>0</v>
      </c>
      <c r="BI141" s="1">
        <f t="shared" si="430"/>
        <v>0</v>
      </c>
      <c r="BJ141" s="1">
        <f t="shared" si="431"/>
        <v>0</v>
      </c>
      <c r="BK141" s="1">
        <f t="shared" si="432"/>
        <v>0</v>
      </c>
      <c r="BL141" s="1">
        <f t="shared" si="433"/>
        <v>0</v>
      </c>
      <c r="BM141" s="1">
        <f t="shared" si="434"/>
        <v>0</v>
      </c>
      <c r="BN141" s="1">
        <f t="shared" si="435"/>
        <v>0</v>
      </c>
      <c r="BO141" s="69">
        <f t="shared" si="436"/>
        <v>0</v>
      </c>
      <c r="BP141" s="1">
        <f t="shared" si="404"/>
        <v>0</v>
      </c>
      <c r="BQ141" s="1">
        <f t="shared" si="473"/>
        <v>0</v>
      </c>
      <c r="BR141" s="1">
        <f t="shared" si="474"/>
        <v>0</v>
      </c>
      <c r="BS141" s="1">
        <f t="shared" si="475"/>
        <v>0</v>
      </c>
      <c r="BT141" s="1">
        <f t="shared" si="476"/>
        <v>0</v>
      </c>
      <c r="BU141" s="1">
        <f t="shared" si="477"/>
        <v>0</v>
      </c>
      <c r="BV141" s="1">
        <f t="shared" si="478"/>
        <v>0</v>
      </c>
      <c r="BW141" s="1">
        <f t="shared" si="479"/>
        <v>0</v>
      </c>
      <c r="BX141" s="1">
        <f t="shared" si="480"/>
        <v>0</v>
      </c>
      <c r="BY141" s="69">
        <f t="shared" si="481"/>
        <v>0</v>
      </c>
      <c r="BZ141" s="1">
        <f t="shared" si="302"/>
        <v>0</v>
      </c>
      <c r="CA141" s="1">
        <f t="shared" si="437"/>
        <v>0</v>
      </c>
      <c r="CB141" s="1">
        <f t="shared" si="438"/>
        <v>0</v>
      </c>
      <c r="CC141" s="1">
        <f t="shared" si="439"/>
        <v>0</v>
      </c>
      <c r="CD141" s="1">
        <f t="shared" si="440"/>
        <v>0</v>
      </c>
      <c r="CE141" s="1">
        <f t="shared" si="441"/>
        <v>0</v>
      </c>
      <c r="CF141" s="1">
        <f t="shared" si="442"/>
        <v>0</v>
      </c>
      <c r="CG141" s="1">
        <f t="shared" si="443"/>
        <v>0</v>
      </c>
      <c r="CH141" s="1">
        <f t="shared" si="444"/>
        <v>0</v>
      </c>
      <c r="CI141" s="69">
        <f t="shared" si="445"/>
        <v>0</v>
      </c>
      <c r="CJ141" s="1">
        <f t="shared" si="402"/>
        <v>0</v>
      </c>
      <c r="CK141" s="1">
        <f t="shared" si="419"/>
        <v>0</v>
      </c>
      <c r="CL141" s="1">
        <f t="shared" si="420"/>
        <v>0</v>
      </c>
      <c r="CM141" s="1">
        <f t="shared" si="421"/>
        <v>0</v>
      </c>
      <c r="CN141" s="1">
        <f t="shared" si="422"/>
        <v>0</v>
      </c>
      <c r="CO141" s="1">
        <f t="shared" si="423"/>
        <v>0</v>
      </c>
      <c r="CP141" s="1">
        <f t="shared" si="424"/>
        <v>0</v>
      </c>
      <c r="CQ141" s="1">
        <f t="shared" si="425"/>
        <v>0</v>
      </c>
      <c r="CR141" s="1">
        <f t="shared" si="426"/>
        <v>0</v>
      </c>
      <c r="CS141" s="69">
        <f t="shared" si="427"/>
        <v>0</v>
      </c>
      <c r="CT141" s="1">
        <f t="shared" si="303"/>
        <v>0</v>
      </c>
      <c r="CU141" s="1">
        <f t="shared" si="446"/>
        <v>0</v>
      </c>
      <c r="CV141" s="1">
        <f t="shared" si="447"/>
        <v>0</v>
      </c>
      <c r="CW141" s="1">
        <f t="shared" si="448"/>
        <v>0</v>
      </c>
      <c r="CX141" s="1">
        <f t="shared" si="449"/>
        <v>0</v>
      </c>
      <c r="CY141" s="1">
        <f t="shared" si="450"/>
        <v>0</v>
      </c>
      <c r="CZ141" s="1">
        <f t="shared" si="451"/>
        <v>0</v>
      </c>
      <c r="DA141" s="1">
        <f t="shared" si="452"/>
        <v>0</v>
      </c>
      <c r="DB141" s="1">
        <f t="shared" si="453"/>
        <v>0</v>
      </c>
      <c r="DC141" s="69">
        <f t="shared" si="454"/>
        <v>0</v>
      </c>
      <c r="DD141" s="1">
        <f t="shared" si="304"/>
        <v>0</v>
      </c>
      <c r="DE141" s="1">
        <f t="shared" si="455"/>
        <v>0</v>
      </c>
      <c r="DF141" s="1">
        <f t="shared" si="456"/>
        <v>0</v>
      </c>
      <c r="DG141" s="1">
        <f t="shared" si="457"/>
        <v>0</v>
      </c>
      <c r="DH141" s="1">
        <f t="shared" si="458"/>
        <v>0</v>
      </c>
      <c r="DI141" s="1">
        <f t="shared" si="459"/>
        <v>0</v>
      </c>
      <c r="DJ141" s="1">
        <f t="shared" si="460"/>
        <v>0</v>
      </c>
      <c r="DK141" s="1">
        <f t="shared" si="461"/>
        <v>0</v>
      </c>
      <c r="DL141" s="1">
        <f t="shared" si="462"/>
        <v>0</v>
      </c>
      <c r="DM141" s="69">
        <f t="shared" si="463"/>
        <v>0</v>
      </c>
      <c r="DN141" s="1">
        <f t="shared" si="305"/>
        <v>0</v>
      </c>
      <c r="DO141" s="1">
        <f t="shared" si="464"/>
        <v>0</v>
      </c>
      <c r="DP141" s="1">
        <f t="shared" si="465"/>
        <v>0</v>
      </c>
      <c r="DQ141" s="1">
        <f t="shared" si="466"/>
        <v>0</v>
      </c>
      <c r="DR141" s="1">
        <f t="shared" si="467"/>
        <v>0</v>
      </c>
      <c r="DS141" s="1">
        <f t="shared" si="468"/>
        <v>0</v>
      </c>
      <c r="DT141" s="1">
        <f t="shared" si="469"/>
        <v>0</v>
      </c>
      <c r="DU141" s="1">
        <f t="shared" si="470"/>
        <v>0</v>
      </c>
      <c r="DV141" s="1">
        <f t="shared" si="471"/>
        <v>0</v>
      </c>
      <c r="DW141" s="69">
        <f t="shared" si="472"/>
        <v>0</v>
      </c>
      <c r="DX141" s="1">
        <v>5</v>
      </c>
      <c r="DY141" s="69">
        <f t="shared" si="311"/>
        <v>110</v>
      </c>
      <c r="DZ141" s="1">
        <f t="shared" si="417"/>
        <v>0</v>
      </c>
      <c r="EA141" s="1">
        <f t="shared" si="418"/>
        <v>0</v>
      </c>
      <c r="EB141" s="1">
        <f t="shared" si="415"/>
        <v>0</v>
      </c>
      <c r="ED141" s="285">
        <f t="shared" si="416"/>
        <v>0</v>
      </c>
    </row>
    <row r="142" spans="1:134" x14ac:dyDescent="0.2">
      <c r="A142" s="208" t="s">
        <v>1035</v>
      </c>
      <c r="B142" s="809" t="s">
        <v>253</v>
      </c>
      <c r="C142" s="197" t="s">
        <v>872</v>
      </c>
      <c r="D142" s="335" t="s">
        <v>564</v>
      </c>
      <c r="E142" s="889">
        <v>4</v>
      </c>
      <c r="F142" s="633">
        <f t="shared" si="403"/>
        <v>168.65441999999999</v>
      </c>
      <c r="G142" s="700"/>
      <c r="H142" s="342"/>
      <c r="I142" s="342"/>
      <c r="J142" s="342">
        <v>1</v>
      </c>
      <c r="K142" s="342">
        <v>1</v>
      </c>
      <c r="L142" s="342"/>
      <c r="M142" s="342"/>
      <c r="N142" s="658"/>
      <c r="O142" s="256"/>
      <c r="P142" s="256"/>
      <c r="Q142" s="256"/>
      <c r="R142" s="255"/>
      <c r="S142" s="256"/>
      <c r="T142" s="256"/>
      <c r="U142" s="256"/>
      <c r="V142" s="255"/>
      <c r="W142" s="256"/>
      <c r="X142" s="256"/>
      <c r="Y142" s="256"/>
      <c r="Z142" s="255"/>
      <c r="AA142" s="256"/>
      <c r="AB142" s="256"/>
      <c r="AC142" s="256"/>
      <c r="AD142" s="255"/>
      <c r="AE142" s="256"/>
      <c r="AF142" s="256"/>
      <c r="AH142" s="546">
        <f t="shared" si="414"/>
        <v>0</v>
      </c>
      <c r="AI142" s="66">
        <f t="shared" si="482"/>
        <v>0</v>
      </c>
      <c r="AL142" s="706" t="str">
        <f t="shared" si="310"/>
        <v>-motore &gt;=3 e &lt;= 4Kw</v>
      </c>
      <c r="AM142" s="684">
        <f t="shared" si="405"/>
        <v>0</v>
      </c>
      <c r="AN142" s="674">
        <f t="shared" si="483"/>
        <v>0</v>
      </c>
      <c r="AO142" s="684">
        <f t="shared" si="406"/>
        <v>0</v>
      </c>
      <c r="AP142" s="674">
        <f t="shared" si="484"/>
        <v>0</v>
      </c>
      <c r="AQ142" s="684">
        <f t="shared" si="407"/>
        <v>0</v>
      </c>
      <c r="AR142" s="674">
        <f t="shared" si="485"/>
        <v>0</v>
      </c>
      <c r="AS142" s="684">
        <f t="shared" si="408"/>
        <v>0</v>
      </c>
      <c r="AT142" s="674">
        <f t="shared" si="486"/>
        <v>0</v>
      </c>
      <c r="AU142" s="684">
        <f t="shared" si="409"/>
        <v>0</v>
      </c>
      <c r="AV142" s="674">
        <f t="shared" si="487"/>
        <v>0</v>
      </c>
      <c r="AW142" s="684">
        <f t="shared" si="410"/>
        <v>0</v>
      </c>
      <c r="AX142" s="674">
        <f t="shared" si="488"/>
        <v>0</v>
      </c>
      <c r="AY142" s="684">
        <f t="shared" si="411"/>
        <v>0</v>
      </c>
      <c r="AZ142" s="674">
        <f t="shared" si="489"/>
        <v>0</v>
      </c>
      <c r="BA142" s="684">
        <f t="shared" si="412"/>
        <v>0</v>
      </c>
      <c r="BB142" s="674">
        <f t="shared" si="490"/>
        <v>0</v>
      </c>
      <c r="BC142" s="684">
        <f t="shared" si="413"/>
        <v>0</v>
      </c>
      <c r="BD142" s="674">
        <f t="shared" si="491"/>
        <v>0</v>
      </c>
      <c r="BE142" s="684">
        <f t="shared" si="378"/>
        <v>0</v>
      </c>
      <c r="BF142" s="1">
        <f t="shared" si="301"/>
        <v>0</v>
      </c>
      <c r="BG142" s="1">
        <f t="shared" si="428"/>
        <v>0</v>
      </c>
      <c r="BH142" s="1">
        <f t="shared" si="429"/>
        <v>0</v>
      </c>
      <c r="BI142" s="1">
        <f t="shared" si="430"/>
        <v>0</v>
      </c>
      <c r="BJ142" s="1">
        <f t="shared" si="431"/>
        <v>0</v>
      </c>
      <c r="BK142" s="1">
        <f t="shared" si="432"/>
        <v>0</v>
      </c>
      <c r="BL142" s="1">
        <f t="shared" si="433"/>
        <v>0</v>
      </c>
      <c r="BM142" s="1">
        <f t="shared" si="434"/>
        <v>0</v>
      </c>
      <c r="BN142" s="1">
        <f t="shared" si="435"/>
        <v>0</v>
      </c>
      <c r="BO142" s="69">
        <f t="shared" si="436"/>
        <v>0</v>
      </c>
      <c r="BP142" s="1">
        <f t="shared" si="404"/>
        <v>0</v>
      </c>
      <c r="BQ142" s="1">
        <f t="shared" si="473"/>
        <v>0</v>
      </c>
      <c r="BR142" s="1">
        <f t="shared" si="474"/>
        <v>0</v>
      </c>
      <c r="BS142" s="1">
        <f t="shared" si="475"/>
        <v>0</v>
      </c>
      <c r="BT142" s="1">
        <f t="shared" si="476"/>
        <v>0</v>
      </c>
      <c r="BU142" s="1">
        <f t="shared" si="477"/>
        <v>0</v>
      </c>
      <c r="BV142" s="1">
        <f t="shared" si="478"/>
        <v>0</v>
      </c>
      <c r="BW142" s="1">
        <f t="shared" si="479"/>
        <v>0</v>
      </c>
      <c r="BX142" s="1">
        <f t="shared" si="480"/>
        <v>0</v>
      </c>
      <c r="BY142" s="69">
        <f t="shared" si="481"/>
        <v>0</v>
      </c>
      <c r="BZ142" s="1">
        <f t="shared" si="302"/>
        <v>0</v>
      </c>
      <c r="CA142" s="1">
        <f t="shared" si="437"/>
        <v>0</v>
      </c>
      <c r="CB142" s="1">
        <f t="shared" si="438"/>
        <v>0</v>
      </c>
      <c r="CC142" s="1">
        <f t="shared" si="439"/>
        <v>0</v>
      </c>
      <c r="CD142" s="1">
        <f t="shared" si="440"/>
        <v>0</v>
      </c>
      <c r="CE142" s="1">
        <f t="shared" si="441"/>
        <v>0</v>
      </c>
      <c r="CF142" s="1">
        <f t="shared" si="442"/>
        <v>0</v>
      </c>
      <c r="CG142" s="1">
        <f t="shared" si="443"/>
        <v>0</v>
      </c>
      <c r="CH142" s="1">
        <f t="shared" si="444"/>
        <v>0</v>
      </c>
      <c r="CI142" s="69">
        <f t="shared" si="445"/>
        <v>0</v>
      </c>
      <c r="CJ142" s="1">
        <f t="shared" si="402"/>
        <v>0</v>
      </c>
      <c r="CK142" s="1">
        <f t="shared" si="419"/>
        <v>0</v>
      </c>
      <c r="CL142" s="1">
        <f t="shared" si="420"/>
        <v>0</v>
      </c>
      <c r="CM142" s="1">
        <f t="shared" si="421"/>
        <v>0</v>
      </c>
      <c r="CN142" s="1">
        <f t="shared" si="422"/>
        <v>0</v>
      </c>
      <c r="CO142" s="1">
        <f t="shared" si="423"/>
        <v>0</v>
      </c>
      <c r="CP142" s="1">
        <f t="shared" si="424"/>
        <v>0</v>
      </c>
      <c r="CQ142" s="1">
        <f t="shared" si="425"/>
        <v>0</v>
      </c>
      <c r="CR142" s="1">
        <f t="shared" si="426"/>
        <v>0</v>
      </c>
      <c r="CS142" s="69">
        <f t="shared" si="427"/>
        <v>0</v>
      </c>
      <c r="CT142" s="1">
        <f t="shared" si="303"/>
        <v>0</v>
      </c>
      <c r="CU142" s="1">
        <f t="shared" si="446"/>
        <v>0</v>
      </c>
      <c r="CV142" s="1">
        <f t="shared" si="447"/>
        <v>0</v>
      </c>
      <c r="CW142" s="1">
        <f t="shared" si="448"/>
        <v>0</v>
      </c>
      <c r="CX142" s="1">
        <f t="shared" si="449"/>
        <v>0</v>
      </c>
      <c r="CY142" s="1">
        <f t="shared" si="450"/>
        <v>0</v>
      </c>
      <c r="CZ142" s="1">
        <f t="shared" si="451"/>
        <v>0</v>
      </c>
      <c r="DA142" s="1">
        <f t="shared" si="452"/>
        <v>0</v>
      </c>
      <c r="DB142" s="1">
        <f t="shared" si="453"/>
        <v>0</v>
      </c>
      <c r="DC142" s="69">
        <f t="shared" si="454"/>
        <v>0</v>
      </c>
      <c r="DD142" s="1">
        <f t="shared" si="304"/>
        <v>0</v>
      </c>
      <c r="DE142" s="1">
        <f t="shared" si="455"/>
        <v>0</v>
      </c>
      <c r="DF142" s="1">
        <f t="shared" si="456"/>
        <v>0</v>
      </c>
      <c r="DG142" s="1">
        <f t="shared" si="457"/>
        <v>0</v>
      </c>
      <c r="DH142" s="1">
        <f t="shared" si="458"/>
        <v>0</v>
      </c>
      <c r="DI142" s="1">
        <f t="shared" si="459"/>
        <v>0</v>
      </c>
      <c r="DJ142" s="1">
        <f t="shared" si="460"/>
        <v>0</v>
      </c>
      <c r="DK142" s="1">
        <f t="shared" si="461"/>
        <v>0</v>
      </c>
      <c r="DL142" s="1">
        <f t="shared" si="462"/>
        <v>0</v>
      </c>
      <c r="DM142" s="69">
        <f t="shared" si="463"/>
        <v>0</v>
      </c>
      <c r="DN142" s="1">
        <f t="shared" si="305"/>
        <v>0</v>
      </c>
      <c r="DO142" s="1">
        <f t="shared" si="464"/>
        <v>0</v>
      </c>
      <c r="DP142" s="1">
        <f t="shared" si="465"/>
        <v>0</v>
      </c>
      <c r="DQ142" s="1">
        <f t="shared" si="466"/>
        <v>0</v>
      </c>
      <c r="DR142" s="1">
        <f t="shared" si="467"/>
        <v>0</v>
      </c>
      <c r="DS142" s="1">
        <f t="shared" si="468"/>
        <v>0</v>
      </c>
      <c r="DT142" s="1">
        <f t="shared" si="469"/>
        <v>0</v>
      </c>
      <c r="DU142" s="1">
        <f t="shared" si="470"/>
        <v>0</v>
      </c>
      <c r="DV142" s="1">
        <f t="shared" si="471"/>
        <v>0</v>
      </c>
      <c r="DW142" s="69">
        <f t="shared" si="472"/>
        <v>0</v>
      </c>
      <c r="DX142" s="1">
        <v>5</v>
      </c>
      <c r="DY142" s="69">
        <f t="shared" si="311"/>
        <v>111</v>
      </c>
      <c r="DZ142" s="1">
        <f t="shared" si="417"/>
        <v>0</v>
      </c>
      <c r="EA142" s="1">
        <f t="shared" si="418"/>
        <v>0</v>
      </c>
      <c r="EB142" s="1">
        <f t="shared" si="415"/>
        <v>0</v>
      </c>
      <c r="ED142" s="285">
        <f t="shared" si="416"/>
        <v>0</v>
      </c>
    </row>
    <row r="143" spans="1:134" x14ac:dyDescent="0.2">
      <c r="A143" s="208" t="s">
        <v>1035</v>
      </c>
      <c r="B143" s="815" t="s">
        <v>254</v>
      </c>
      <c r="C143" s="196" t="s">
        <v>872</v>
      </c>
      <c r="D143" s="647" t="s">
        <v>658</v>
      </c>
      <c r="E143" s="889"/>
      <c r="F143" s="633">
        <f t="shared" si="403"/>
        <v>239.30138999999997</v>
      </c>
      <c r="G143" s="700"/>
      <c r="H143" s="342">
        <v>1</v>
      </c>
      <c r="I143" s="342"/>
      <c r="J143" s="342"/>
      <c r="K143" s="342"/>
      <c r="L143" s="342"/>
      <c r="M143" s="342"/>
      <c r="N143" s="658">
        <v>0</v>
      </c>
      <c r="O143" s="256"/>
      <c r="P143" s="256"/>
      <c r="Q143" s="256"/>
      <c r="R143" s="255"/>
      <c r="S143" s="256"/>
      <c r="T143" s="256"/>
      <c r="U143" s="256"/>
      <c r="V143" s="255"/>
      <c r="W143" s="256"/>
      <c r="X143" s="256"/>
      <c r="Y143" s="256"/>
      <c r="Z143" s="255"/>
      <c r="AA143" s="256"/>
      <c r="AB143" s="256"/>
      <c r="AC143" s="256"/>
      <c r="AD143" s="255"/>
      <c r="AE143" s="256"/>
      <c r="AF143" s="256"/>
      <c r="AH143" s="546">
        <f t="shared" si="414"/>
        <v>0</v>
      </c>
      <c r="AI143" s="66">
        <f t="shared" si="482"/>
        <v>0</v>
      </c>
      <c r="AL143" s="706" t="str">
        <f t="shared" si="310"/>
        <v>-temperatura PLC</v>
      </c>
      <c r="AM143" s="684">
        <f t="shared" si="405"/>
        <v>0</v>
      </c>
      <c r="AN143" s="674">
        <f t="shared" si="483"/>
        <v>0</v>
      </c>
      <c r="AO143" s="684">
        <f t="shared" si="406"/>
        <v>0</v>
      </c>
      <c r="AP143" s="674">
        <f t="shared" si="484"/>
        <v>0</v>
      </c>
      <c r="AQ143" s="684">
        <f t="shared" si="407"/>
        <v>0</v>
      </c>
      <c r="AR143" s="674">
        <f t="shared" si="485"/>
        <v>0</v>
      </c>
      <c r="AS143" s="684">
        <f t="shared" si="408"/>
        <v>0</v>
      </c>
      <c r="AT143" s="674">
        <f t="shared" si="486"/>
        <v>0</v>
      </c>
      <c r="AU143" s="684">
        <f t="shared" si="409"/>
        <v>0</v>
      </c>
      <c r="AV143" s="674">
        <f t="shared" si="487"/>
        <v>0</v>
      </c>
      <c r="AW143" s="684">
        <f t="shared" si="410"/>
        <v>0</v>
      </c>
      <c r="AX143" s="674">
        <f t="shared" si="488"/>
        <v>0</v>
      </c>
      <c r="AY143" s="684">
        <f t="shared" si="411"/>
        <v>0</v>
      </c>
      <c r="AZ143" s="674">
        <f t="shared" si="489"/>
        <v>0</v>
      </c>
      <c r="BA143" s="684">
        <f t="shared" si="412"/>
        <v>0</v>
      </c>
      <c r="BB143" s="674">
        <f t="shared" si="490"/>
        <v>0</v>
      </c>
      <c r="BC143" s="684">
        <f t="shared" si="413"/>
        <v>0</v>
      </c>
      <c r="BD143" s="674">
        <f t="shared" si="491"/>
        <v>0</v>
      </c>
      <c r="BE143" s="684">
        <f t="shared" si="378"/>
        <v>0</v>
      </c>
      <c r="BF143" s="1">
        <f t="shared" si="301"/>
        <v>0</v>
      </c>
      <c r="BG143" s="1">
        <f t="shared" si="428"/>
        <v>0</v>
      </c>
      <c r="BH143" s="1">
        <f t="shared" si="429"/>
        <v>0</v>
      </c>
      <c r="BI143" s="1">
        <f t="shared" si="430"/>
        <v>0</v>
      </c>
      <c r="BJ143" s="1">
        <f t="shared" si="431"/>
        <v>0</v>
      </c>
      <c r="BK143" s="1">
        <f t="shared" si="432"/>
        <v>0</v>
      </c>
      <c r="BL143" s="1">
        <f t="shared" si="433"/>
        <v>0</v>
      </c>
      <c r="BM143" s="1">
        <f t="shared" si="434"/>
        <v>0</v>
      </c>
      <c r="BN143" s="1">
        <f t="shared" si="435"/>
        <v>0</v>
      </c>
      <c r="BO143" s="69">
        <f t="shared" si="436"/>
        <v>0</v>
      </c>
      <c r="BP143" s="1">
        <f t="shared" si="404"/>
        <v>0</v>
      </c>
      <c r="BQ143" s="1">
        <f t="shared" si="473"/>
        <v>0</v>
      </c>
      <c r="BR143" s="1">
        <f t="shared" si="474"/>
        <v>0</v>
      </c>
      <c r="BS143" s="1">
        <f t="shared" si="475"/>
        <v>0</v>
      </c>
      <c r="BT143" s="1">
        <f t="shared" si="476"/>
        <v>0</v>
      </c>
      <c r="BU143" s="1">
        <f t="shared" si="477"/>
        <v>0</v>
      </c>
      <c r="BV143" s="1">
        <f t="shared" si="478"/>
        <v>0</v>
      </c>
      <c r="BW143" s="1">
        <f t="shared" si="479"/>
        <v>0</v>
      </c>
      <c r="BX143" s="1">
        <f t="shared" si="480"/>
        <v>0</v>
      </c>
      <c r="BY143" s="69">
        <f t="shared" si="481"/>
        <v>0</v>
      </c>
      <c r="BZ143" s="1">
        <f t="shared" si="302"/>
        <v>0</v>
      </c>
      <c r="CA143" s="1">
        <f t="shared" si="437"/>
        <v>0</v>
      </c>
      <c r="CB143" s="1">
        <f t="shared" si="438"/>
        <v>0</v>
      </c>
      <c r="CC143" s="1">
        <f t="shared" si="439"/>
        <v>0</v>
      </c>
      <c r="CD143" s="1">
        <f t="shared" si="440"/>
        <v>0</v>
      </c>
      <c r="CE143" s="1">
        <f t="shared" si="441"/>
        <v>0</v>
      </c>
      <c r="CF143" s="1">
        <f t="shared" si="442"/>
        <v>0</v>
      </c>
      <c r="CG143" s="1">
        <f t="shared" si="443"/>
        <v>0</v>
      </c>
      <c r="CH143" s="1">
        <f t="shared" si="444"/>
        <v>0</v>
      </c>
      <c r="CI143" s="69">
        <f t="shared" si="445"/>
        <v>0</v>
      </c>
      <c r="CJ143" s="1">
        <f t="shared" si="402"/>
        <v>0</v>
      </c>
      <c r="CK143" s="1">
        <f t="shared" si="419"/>
        <v>0</v>
      </c>
      <c r="CL143" s="1">
        <f t="shared" si="420"/>
        <v>0</v>
      </c>
      <c r="CM143" s="1">
        <f t="shared" si="421"/>
        <v>0</v>
      </c>
      <c r="CN143" s="1">
        <f t="shared" si="422"/>
        <v>0</v>
      </c>
      <c r="CO143" s="1">
        <f t="shared" si="423"/>
        <v>0</v>
      </c>
      <c r="CP143" s="1">
        <f t="shared" si="424"/>
        <v>0</v>
      </c>
      <c r="CQ143" s="1">
        <f t="shared" si="425"/>
        <v>0</v>
      </c>
      <c r="CR143" s="1">
        <f t="shared" si="426"/>
        <v>0</v>
      </c>
      <c r="CS143" s="69">
        <f t="shared" si="427"/>
        <v>0</v>
      </c>
      <c r="CT143" s="1">
        <f t="shared" si="303"/>
        <v>0</v>
      </c>
      <c r="CU143" s="1">
        <f t="shared" si="446"/>
        <v>0</v>
      </c>
      <c r="CV143" s="1">
        <f t="shared" si="447"/>
        <v>0</v>
      </c>
      <c r="CW143" s="1">
        <f t="shared" si="448"/>
        <v>0</v>
      </c>
      <c r="CX143" s="1">
        <f t="shared" si="449"/>
        <v>0</v>
      </c>
      <c r="CY143" s="1">
        <f t="shared" si="450"/>
        <v>0</v>
      </c>
      <c r="CZ143" s="1">
        <f t="shared" si="451"/>
        <v>0</v>
      </c>
      <c r="DA143" s="1">
        <f t="shared" si="452"/>
        <v>0</v>
      </c>
      <c r="DB143" s="1">
        <f t="shared" si="453"/>
        <v>0</v>
      </c>
      <c r="DC143" s="69">
        <f t="shared" si="454"/>
        <v>0</v>
      </c>
      <c r="DD143" s="1">
        <f t="shared" si="304"/>
        <v>0</v>
      </c>
      <c r="DE143" s="1">
        <f t="shared" si="455"/>
        <v>0</v>
      </c>
      <c r="DF143" s="1">
        <f t="shared" si="456"/>
        <v>0</v>
      </c>
      <c r="DG143" s="1">
        <f t="shared" si="457"/>
        <v>0</v>
      </c>
      <c r="DH143" s="1">
        <f t="shared" si="458"/>
        <v>0</v>
      </c>
      <c r="DI143" s="1">
        <f t="shared" si="459"/>
        <v>0</v>
      </c>
      <c r="DJ143" s="1">
        <f t="shared" si="460"/>
        <v>0</v>
      </c>
      <c r="DK143" s="1">
        <f t="shared" si="461"/>
        <v>0</v>
      </c>
      <c r="DL143" s="1">
        <f t="shared" si="462"/>
        <v>0</v>
      </c>
      <c r="DM143" s="69">
        <f t="shared" si="463"/>
        <v>0</v>
      </c>
      <c r="DN143" s="1">
        <f t="shared" si="305"/>
        <v>0</v>
      </c>
      <c r="DO143" s="1">
        <f t="shared" si="464"/>
        <v>0</v>
      </c>
      <c r="DP143" s="1">
        <f t="shared" si="465"/>
        <v>0</v>
      </c>
      <c r="DQ143" s="1">
        <f t="shared" si="466"/>
        <v>0</v>
      </c>
      <c r="DR143" s="1">
        <f t="shared" si="467"/>
        <v>0</v>
      </c>
      <c r="DS143" s="1">
        <f t="shared" si="468"/>
        <v>0</v>
      </c>
      <c r="DT143" s="1">
        <f t="shared" si="469"/>
        <v>0</v>
      </c>
      <c r="DU143" s="1">
        <f t="shared" si="470"/>
        <v>0</v>
      </c>
      <c r="DV143" s="1">
        <f t="shared" si="471"/>
        <v>0</v>
      </c>
      <c r="DW143" s="69">
        <f t="shared" si="472"/>
        <v>0</v>
      </c>
      <c r="DX143" s="1">
        <v>5</v>
      </c>
      <c r="DY143" s="69">
        <f t="shared" si="311"/>
        <v>112</v>
      </c>
      <c r="DZ143" s="1">
        <f t="shared" si="417"/>
        <v>0</v>
      </c>
      <c r="EA143" s="1">
        <f t="shared" si="418"/>
        <v>0</v>
      </c>
      <c r="EB143" s="1">
        <f t="shared" si="415"/>
        <v>0</v>
      </c>
      <c r="ED143" s="285">
        <f t="shared" si="416"/>
        <v>0</v>
      </c>
    </row>
    <row r="144" spans="1:134" ht="15" thickBot="1" x14ac:dyDescent="0.25">
      <c r="A144" s="211" t="s">
        <v>1035</v>
      </c>
      <c r="B144" s="813" t="s">
        <v>255</v>
      </c>
      <c r="C144" s="201" t="s">
        <v>872</v>
      </c>
      <c r="D144" s="648" t="s">
        <v>658</v>
      </c>
      <c r="E144" s="889"/>
      <c r="F144" s="634">
        <f t="shared" ref="F144:F167" si="492">VLOOKUP(D144,prezzi,5,)</f>
        <v>239.30138999999997</v>
      </c>
      <c r="G144" s="701"/>
      <c r="H144" s="526">
        <v>1</v>
      </c>
      <c r="I144" s="526"/>
      <c r="J144" s="526"/>
      <c r="K144" s="526"/>
      <c r="L144" s="526"/>
      <c r="M144" s="526"/>
      <c r="N144" s="659">
        <v>0</v>
      </c>
      <c r="O144" s="256"/>
      <c r="P144" s="260"/>
      <c r="Q144" s="256"/>
      <c r="R144" s="259"/>
      <c r="S144" s="256"/>
      <c r="T144" s="260"/>
      <c r="U144" s="256"/>
      <c r="V144" s="259"/>
      <c r="W144" s="256"/>
      <c r="X144" s="260"/>
      <c r="Y144" s="256"/>
      <c r="Z144" s="259"/>
      <c r="AA144" s="256"/>
      <c r="AB144" s="260"/>
      <c r="AC144" s="256"/>
      <c r="AD144" s="259"/>
      <c r="AE144" s="260"/>
      <c r="AF144" s="260"/>
      <c r="AG144" s="548"/>
      <c r="AH144" s="546">
        <f t="shared" si="414"/>
        <v>0</v>
      </c>
      <c r="AI144" s="160">
        <f t="shared" si="482"/>
        <v>0</v>
      </c>
      <c r="AJ144" s="160"/>
      <c r="AL144" s="706" t="str">
        <f t="shared" si="310"/>
        <v>-temperatura PLC</v>
      </c>
      <c r="AM144" s="686">
        <f t="shared" si="405"/>
        <v>0</v>
      </c>
      <c r="AN144" s="678">
        <f t="shared" si="483"/>
        <v>0</v>
      </c>
      <c r="AO144" s="686">
        <f t="shared" si="406"/>
        <v>0</v>
      </c>
      <c r="AP144" s="678">
        <f t="shared" si="484"/>
        <v>0</v>
      </c>
      <c r="AQ144" s="686">
        <f t="shared" si="407"/>
        <v>0</v>
      </c>
      <c r="AR144" s="678">
        <f t="shared" si="485"/>
        <v>0</v>
      </c>
      <c r="AS144" s="686">
        <f t="shared" si="408"/>
        <v>0</v>
      </c>
      <c r="AT144" s="678">
        <f t="shared" si="486"/>
        <v>0</v>
      </c>
      <c r="AU144" s="686">
        <f t="shared" si="409"/>
        <v>0</v>
      </c>
      <c r="AV144" s="678">
        <f t="shared" si="487"/>
        <v>0</v>
      </c>
      <c r="AW144" s="686">
        <f t="shared" si="410"/>
        <v>0</v>
      </c>
      <c r="AX144" s="678">
        <f t="shared" si="488"/>
        <v>0</v>
      </c>
      <c r="AY144" s="686">
        <f t="shared" si="411"/>
        <v>0</v>
      </c>
      <c r="AZ144" s="678">
        <f t="shared" si="489"/>
        <v>0</v>
      </c>
      <c r="BA144" s="686">
        <f t="shared" si="412"/>
        <v>0</v>
      </c>
      <c r="BB144" s="678">
        <f t="shared" si="490"/>
        <v>0</v>
      </c>
      <c r="BC144" s="686">
        <f t="shared" si="413"/>
        <v>0</v>
      </c>
      <c r="BD144" s="678">
        <f t="shared" si="491"/>
        <v>0</v>
      </c>
      <c r="BE144" s="686">
        <f t="shared" si="378"/>
        <v>0</v>
      </c>
      <c r="BF144" s="158">
        <f t="shared" si="301"/>
        <v>0</v>
      </c>
      <c r="BG144" s="158">
        <f t="shared" si="428"/>
        <v>0</v>
      </c>
      <c r="BH144" s="158">
        <f t="shared" si="429"/>
        <v>0</v>
      </c>
      <c r="BI144" s="158">
        <f t="shared" si="430"/>
        <v>0</v>
      </c>
      <c r="BJ144" s="158">
        <f t="shared" si="431"/>
        <v>0</v>
      </c>
      <c r="BK144" s="158">
        <f t="shared" si="432"/>
        <v>0</v>
      </c>
      <c r="BL144" s="158">
        <f t="shared" si="433"/>
        <v>0</v>
      </c>
      <c r="BM144" s="158">
        <f t="shared" si="434"/>
        <v>0</v>
      </c>
      <c r="BN144" s="158">
        <f t="shared" si="435"/>
        <v>0</v>
      </c>
      <c r="BO144" s="159">
        <f t="shared" si="436"/>
        <v>0</v>
      </c>
      <c r="BP144" s="158">
        <f t="shared" si="404"/>
        <v>0</v>
      </c>
      <c r="BQ144" s="158">
        <f t="shared" si="473"/>
        <v>0</v>
      </c>
      <c r="BR144" s="158">
        <f t="shared" si="474"/>
        <v>0</v>
      </c>
      <c r="BS144" s="158">
        <f t="shared" si="475"/>
        <v>0</v>
      </c>
      <c r="BT144" s="158">
        <f t="shared" si="476"/>
        <v>0</v>
      </c>
      <c r="BU144" s="158">
        <f t="shared" si="477"/>
        <v>0</v>
      </c>
      <c r="BV144" s="158">
        <f t="shared" si="478"/>
        <v>0</v>
      </c>
      <c r="BW144" s="158">
        <f t="shared" si="479"/>
        <v>0</v>
      </c>
      <c r="BX144" s="158">
        <f t="shared" si="480"/>
        <v>0</v>
      </c>
      <c r="BY144" s="159">
        <f t="shared" si="481"/>
        <v>0</v>
      </c>
      <c r="BZ144" s="158">
        <f t="shared" si="302"/>
        <v>0</v>
      </c>
      <c r="CA144" s="158">
        <f t="shared" si="437"/>
        <v>0</v>
      </c>
      <c r="CB144" s="158">
        <f t="shared" si="438"/>
        <v>0</v>
      </c>
      <c r="CC144" s="158">
        <f t="shared" si="439"/>
        <v>0</v>
      </c>
      <c r="CD144" s="158">
        <f t="shared" si="440"/>
        <v>0</v>
      </c>
      <c r="CE144" s="158">
        <f t="shared" si="441"/>
        <v>0</v>
      </c>
      <c r="CF144" s="158">
        <f t="shared" si="442"/>
        <v>0</v>
      </c>
      <c r="CG144" s="158">
        <f t="shared" si="443"/>
        <v>0</v>
      </c>
      <c r="CH144" s="158">
        <f t="shared" si="444"/>
        <v>0</v>
      </c>
      <c r="CI144" s="159">
        <f t="shared" si="445"/>
        <v>0</v>
      </c>
      <c r="CJ144" s="158">
        <f t="shared" si="402"/>
        <v>0</v>
      </c>
      <c r="CK144" s="158">
        <f t="shared" si="419"/>
        <v>0</v>
      </c>
      <c r="CL144" s="158">
        <f t="shared" si="420"/>
        <v>0</v>
      </c>
      <c r="CM144" s="158">
        <f t="shared" si="421"/>
        <v>0</v>
      </c>
      <c r="CN144" s="158">
        <f t="shared" si="422"/>
        <v>0</v>
      </c>
      <c r="CO144" s="158">
        <f t="shared" si="423"/>
        <v>0</v>
      </c>
      <c r="CP144" s="158">
        <f t="shared" si="424"/>
        <v>0</v>
      </c>
      <c r="CQ144" s="158">
        <f t="shared" si="425"/>
        <v>0</v>
      </c>
      <c r="CR144" s="158">
        <f t="shared" si="426"/>
        <v>0</v>
      </c>
      <c r="CS144" s="159">
        <f t="shared" si="427"/>
        <v>0</v>
      </c>
      <c r="CT144" s="158">
        <f t="shared" si="303"/>
        <v>0</v>
      </c>
      <c r="CU144" s="158">
        <f t="shared" si="446"/>
        <v>0</v>
      </c>
      <c r="CV144" s="158">
        <f t="shared" si="447"/>
        <v>0</v>
      </c>
      <c r="CW144" s="158">
        <f t="shared" si="448"/>
        <v>0</v>
      </c>
      <c r="CX144" s="158">
        <f t="shared" si="449"/>
        <v>0</v>
      </c>
      <c r="CY144" s="158">
        <f t="shared" si="450"/>
        <v>0</v>
      </c>
      <c r="CZ144" s="158">
        <f t="shared" si="451"/>
        <v>0</v>
      </c>
      <c r="DA144" s="158">
        <f t="shared" si="452"/>
        <v>0</v>
      </c>
      <c r="DB144" s="158">
        <f t="shared" si="453"/>
        <v>0</v>
      </c>
      <c r="DC144" s="159">
        <f t="shared" si="454"/>
        <v>0</v>
      </c>
      <c r="DD144" s="158">
        <f t="shared" si="304"/>
        <v>0</v>
      </c>
      <c r="DE144" s="158">
        <f t="shared" si="455"/>
        <v>0</v>
      </c>
      <c r="DF144" s="158">
        <f t="shared" si="456"/>
        <v>0</v>
      </c>
      <c r="DG144" s="158">
        <f t="shared" si="457"/>
        <v>0</v>
      </c>
      <c r="DH144" s="158">
        <f t="shared" si="458"/>
        <v>0</v>
      </c>
      <c r="DI144" s="158">
        <f t="shared" si="459"/>
        <v>0</v>
      </c>
      <c r="DJ144" s="158">
        <f t="shared" si="460"/>
        <v>0</v>
      </c>
      <c r="DK144" s="158">
        <f t="shared" si="461"/>
        <v>0</v>
      </c>
      <c r="DL144" s="158">
        <f t="shared" si="462"/>
        <v>0</v>
      </c>
      <c r="DM144" s="159">
        <f t="shared" si="463"/>
        <v>0</v>
      </c>
      <c r="DN144" s="158">
        <f t="shared" si="305"/>
        <v>0</v>
      </c>
      <c r="DO144" s="158">
        <f t="shared" si="464"/>
        <v>0</v>
      </c>
      <c r="DP144" s="158">
        <f t="shared" si="465"/>
        <v>0</v>
      </c>
      <c r="DQ144" s="158">
        <f t="shared" si="466"/>
        <v>0</v>
      </c>
      <c r="DR144" s="158">
        <f t="shared" si="467"/>
        <v>0</v>
      </c>
      <c r="DS144" s="158">
        <f t="shared" si="468"/>
        <v>0</v>
      </c>
      <c r="DT144" s="158">
        <f t="shared" si="469"/>
        <v>0</v>
      </c>
      <c r="DU144" s="158">
        <f t="shared" si="470"/>
        <v>0</v>
      </c>
      <c r="DV144" s="158">
        <f t="shared" si="471"/>
        <v>0</v>
      </c>
      <c r="DW144" s="159">
        <f t="shared" si="472"/>
        <v>0</v>
      </c>
      <c r="DX144" s="158">
        <v>5</v>
      </c>
      <c r="DY144" s="69">
        <f t="shared" si="311"/>
        <v>113</v>
      </c>
      <c r="DZ144" s="1">
        <f t="shared" si="417"/>
        <v>0</v>
      </c>
      <c r="EA144" s="1">
        <f t="shared" si="418"/>
        <v>0</v>
      </c>
      <c r="EB144" s="1">
        <f t="shared" si="415"/>
        <v>0</v>
      </c>
      <c r="ED144" s="285">
        <f t="shared" si="416"/>
        <v>0</v>
      </c>
    </row>
    <row r="145" spans="1:328" x14ac:dyDescent="0.2">
      <c r="A145" s="842"/>
      <c r="B145" s="843" t="s">
        <v>2502</v>
      </c>
      <c r="C145" s="844"/>
      <c r="D145" s="845" t="s">
        <v>2501</v>
      </c>
      <c r="E145" s="889"/>
      <c r="F145" s="633"/>
      <c r="G145" s="700"/>
      <c r="H145" s="342"/>
      <c r="I145" s="342"/>
      <c r="J145" s="342"/>
      <c r="K145" s="342"/>
      <c r="L145" s="342"/>
      <c r="M145" s="342"/>
      <c r="N145" s="846"/>
      <c r="O145" s="846"/>
      <c r="P145" s="846"/>
      <c r="Q145" s="846"/>
      <c r="R145" s="846"/>
      <c r="S145" s="846"/>
      <c r="T145" s="846"/>
      <c r="U145" s="846"/>
      <c r="V145" s="846"/>
      <c r="W145" s="846"/>
      <c r="X145" s="846"/>
      <c r="Y145" s="846"/>
      <c r="Z145" s="846"/>
      <c r="AA145" s="846"/>
      <c r="AB145" s="846"/>
      <c r="AC145" s="846"/>
      <c r="AD145" s="846"/>
      <c r="AE145" s="841"/>
      <c r="AF145" s="846"/>
      <c r="AH145" s="832"/>
      <c r="AL145" s="706" t="str">
        <f t="shared" si="310"/>
        <v>-punti di pesatura serbatoio liquidi</v>
      </c>
      <c r="AM145" s="683"/>
      <c r="AN145" s="674"/>
      <c r="AO145" s="683"/>
      <c r="AP145" s="674"/>
      <c r="AQ145" s="683"/>
      <c r="AR145" s="674"/>
      <c r="AS145" s="683"/>
      <c r="AT145" s="674"/>
      <c r="AU145" s="683"/>
      <c r="AV145" s="674"/>
      <c r="AW145" s="683"/>
      <c r="AX145" s="674"/>
      <c r="AY145" s="683"/>
      <c r="AZ145" s="674"/>
      <c r="BA145" s="683"/>
      <c r="BB145" s="674"/>
      <c r="BC145" s="683"/>
      <c r="BD145" s="674"/>
      <c r="BE145" s="683"/>
      <c r="BO145" s="1"/>
      <c r="BY145" s="1"/>
      <c r="CI145" s="1"/>
      <c r="CS145" s="1"/>
      <c r="DC145" s="1"/>
      <c r="DM145" s="1"/>
      <c r="DW145" s="1"/>
      <c r="DY145" s="1"/>
    </row>
    <row r="146" spans="1:328" s="604" customFormat="1" hidden="1" x14ac:dyDescent="0.2">
      <c r="A146" s="604" t="s">
        <v>2518</v>
      </c>
      <c r="B146" s="250" t="s">
        <v>2363</v>
      </c>
      <c r="C146" s="549" t="s">
        <v>2492</v>
      </c>
      <c r="D146" s="643" t="s">
        <v>659</v>
      </c>
      <c r="E146" s="889"/>
      <c r="F146" s="250">
        <f t="shared" si="492"/>
        <v>0</v>
      </c>
      <c r="G146" s="818">
        <v>1</v>
      </c>
      <c r="H146" s="250"/>
      <c r="I146" s="250"/>
      <c r="J146" s="250"/>
      <c r="K146" s="250"/>
      <c r="L146" s="250"/>
      <c r="M146" s="250"/>
      <c r="N146" s="668"/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250"/>
      <c r="AA146" s="250"/>
      <c r="AB146" s="250"/>
      <c r="AC146" s="250"/>
      <c r="AD146" s="250"/>
      <c r="AE146" s="250"/>
      <c r="AF146" s="250"/>
      <c r="AG146" s="549"/>
      <c r="AH146" s="549">
        <f t="shared" si="414"/>
        <v>0</v>
      </c>
      <c r="AI146" s="604">
        <f t="shared" si="482"/>
        <v>0</v>
      </c>
      <c r="AJ146" s="705">
        <v>1</v>
      </c>
      <c r="AK146" s="705"/>
      <c r="AL146" s="706" t="str">
        <f t="shared" si="310"/>
        <v>1-peso SIWAREX</v>
      </c>
      <c r="AM146" s="632">
        <f t="shared" si="405"/>
        <v>0</v>
      </c>
      <c r="AN146" s="640">
        <f t="shared" si="483"/>
        <v>0</v>
      </c>
      <c r="AO146" s="632">
        <f t="shared" si="406"/>
        <v>0</v>
      </c>
      <c r="AP146" s="640">
        <f t="shared" si="484"/>
        <v>0</v>
      </c>
      <c r="AQ146" s="632">
        <f t="shared" si="407"/>
        <v>0</v>
      </c>
      <c r="AR146" s="640">
        <f t="shared" si="485"/>
        <v>0</v>
      </c>
      <c r="AS146" s="632">
        <f t="shared" si="408"/>
        <v>0</v>
      </c>
      <c r="AT146" s="640">
        <f t="shared" si="486"/>
        <v>0</v>
      </c>
      <c r="AU146" s="632">
        <f t="shared" si="409"/>
        <v>0</v>
      </c>
      <c r="AV146" s="640">
        <f t="shared" si="487"/>
        <v>0</v>
      </c>
      <c r="AW146" s="632">
        <f t="shared" si="410"/>
        <v>0</v>
      </c>
      <c r="AX146" s="640">
        <f t="shared" si="488"/>
        <v>0</v>
      </c>
      <c r="AY146" s="632">
        <f t="shared" si="411"/>
        <v>0</v>
      </c>
      <c r="AZ146" s="640">
        <f t="shared" si="489"/>
        <v>0</v>
      </c>
      <c r="BA146" s="632">
        <f t="shared" si="412"/>
        <v>0</v>
      </c>
      <c r="BB146" s="640">
        <f t="shared" si="490"/>
        <v>0</v>
      </c>
      <c r="BC146" s="632">
        <f t="shared" si="413"/>
        <v>0</v>
      </c>
      <c r="BD146" s="640">
        <f t="shared" si="491"/>
        <v>0</v>
      </c>
      <c r="BE146" s="632">
        <f>AF146*$F146</f>
        <v>0</v>
      </c>
      <c r="BF146" s="604">
        <f>N146*$G146</f>
        <v>0</v>
      </c>
      <c r="BG146" s="604">
        <f t="shared" si="428"/>
        <v>0</v>
      </c>
      <c r="BH146" s="604">
        <f t="shared" si="429"/>
        <v>0</v>
      </c>
      <c r="BI146" s="604">
        <f t="shared" si="430"/>
        <v>0</v>
      </c>
      <c r="BJ146" s="604">
        <f t="shared" si="431"/>
        <v>0</v>
      </c>
      <c r="BK146" s="604">
        <f t="shared" si="432"/>
        <v>0</v>
      </c>
      <c r="BL146" s="604">
        <f t="shared" si="433"/>
        <v>0</v>
      </c>
      <c r="BM146" s="604">
        <f t="shared" si="434"/>
        <v>0</v>
      </c>
      <c r="BN146" s="604">
        <f t="shared" si="435"/>
        <v>0</v>
      </c>
      <c r="BO146" s="604">
        <f t="shared" si="436"/>
        <v>0</v>
      </c>
      <c r="BP146" s="604">
        <f t="shared" si="404"/>
        <v>0</v>
      </c>
      <c r="BQ146" s="604">
        <f t="shared" si="473"/>
        <v>0</v>
      </c>
      <c r="BR146" s="604">
        <f t="shared" si="474"/>
        <v>0</v>
      </c>
      <c r="BS146" s="604">
        <f t="shared" si="475"/>
        <v>0</v>
      </c>
      <c r="BT146" s="604">
        <f t="shared" si="476"/>
        <v>0</v>
      </c>
      <c r="BU146" s="604">
        <f t="shared" si="477"/>
        <v>0</v>
      </c>
      <c r="BV146" s="604">
        <f t="shared" si="478"/>
        <v>0</v>
      </c>
      <c r="BW146" s="604">
        <f t="shared" si="479"/>
        <v>0</v>
      </c>
      <c r="BX146" s="604">
        <f t="shared" si="480"/>
        <v>0</v>
      </c>
      <c r="BY146" s="604">
        <f t="shared" si="481"/>
        <v>0</v>
      </c>
      <c r="BZ146" s="604">
        <f>N146*$I146</f>
        <v>0</v>
      </c>
      <c r="CA146" s="604">
        <f t="shared" si="437"/>
        <v>0</v>
      </c>
      <c r="CB146" s="604">
        <f t="shared" si="438"/>
        <v>0</v>
      </c>
      <c r="CC146" s="604">
        <f t="shared" si="439"/>
        <v>0</v>
      </c>
      <c r="CD146" s="604">
        <f t="shared" si="440"/>
        <v>0</v>
      </c>
      <c r="CE146" s="604">
        <f t="shared" si="441"/>
        <v>0</v>
      </c>
      <c r="CF146" s="604">
        <f t="shared" si="442"/>
        <v>0</v>
      </c>
      <c r="CG146" s="604">
        <f t="shared" si="443"/>
        <v>0</v>
      </c>
      <c r="CH146" s="604">
        <f t="shared" si="444"/>
        <v>0</v>
      </c>
      <c r="CI146" s="604">
        <f t="shared" si="445"/>
        <v>0</v>
      </c>
      <c r="CJ146" s="604">
        <f t="shared" si="402"/>
        <v>0</v>
      </c>
      <c r="CK146" s="604">
        <f t="shared" si="419"/>
        <v>0</v>
      </c>
      <c r="CL146" s="604">
        <f t="shared" si="420"/>
        <v>0</v>
      </c>
      <c r="CM146" s="604">
        <f t="shared" si="421"/>
        <v>0</v>
      </c>
      <c r="CN146" s="604">
        <f t="shared" si="422"/>
        <v>0</v>
      </c>
      <c r="CO146" s="604">
        <f t="shared" si="423"/>
        <v>0</v>
      </c>
      <c r="CP146" s="604">
        <f t="shared" si="424"/>
        <v>0</v>
      </c>
      <c r="CQ146" s="604">
        <f t="shared" si="425"/>
        <v>0</v>
      </c>
      <c r="CR146" s="604">
        <f t="shared" si="426"/>
        <v>0</v>
      </c>
      <c r="CS146" s="604">
        <f t="shared" si="427"/>
        <v>0</v>
      </c>
      <c r="CT146" s="604">
        <f>N146*$K146</f>
        <v>0</v>
      </c>
      <c r="CU146" s="604">
        <f t="shared" si="446"/>
        <v>0</v>
      </c>
      <c r="CV146" s="604">
        <f t="shared" si="447"/>
        <v>0</v>
      </c>
      <c r="CW146" s="604">
        <f t="shared" si="448"/>
        <v>0</v>
      </c>
      <c r="CX146" s="604">
        <f t="shared" si="449"/>
        <v>0</v>
      </c>
      <c r="CY146" s="604">
        <f t="shared" si="450"/>
        <v>0</v>
      </c>
      <c r="CZ146" s="604">
        <f t="shared" si="451"/>
        <v>0</v>
      </c>
      <c r="DA146" s="604">
        <f t="shared" si="452"/>
        <v>0</v>
      </c>
      <c r="DB146" s="604">
        <f t="shared" si="453"/>
        <v>0</v>
      </c>
      <c r="DC146" s="604">
        <f t="shared" si="454"/>
        <v>0</v>
      </c>
      <c r="DD146" s="604">
        <f>N146*$L146</f>
        <v>0</v>
      </c>
      <c r="DE146" s="604">
        <f t="shared" si="455"/>
        <v>0</v>
      </c>
      <c r="DF146" s="604">
        <f t="shared" si="456"/>
        <v>0</v>
      </c>
      <c r="DG146" s="604">
        <f t="shared" si="457"/>
        <v>0</v>
      </c>
      <c r="DH146" s="604">
        <f t="shared" si="458"/>
        <v>0</v>
      </c>
      <c r="DI146" s="604">
        <f t="shared" si="459"/>
        <v>0</v>
      </c>
      <c r="DJ146" s="604">
        <f t="shared" si="460"/>
        <v>0</v>
      </c>
      <c r="DK146" s="604">
        <f t="shared" si="461"/>
        <v>0</v>
      </c>
      <c r="DL146" s="604">
        <f t="shared" si="462"/>
        <v>0</v>
      </c>
      <c r="DM146" s="604">
        <f t="shared" si="463"/>
        <v>0</v>
      </c>
      <c r="DN146" s="604">
        <f>N146*$M146</f>
        <v>0</v>
      </c>
      <c r="DO146" s="604">
        <f t="shared" si="464"/>
        <v>0</v>
      </c>
      <c r="DP146" s="604">
        <f t="shared" si="465"/>
        <v>0</v>
      </c>
      <c r="DQ146" s="604">
        <f t="shared" si="466"/>
        <v>0</v>
      </c>
      <c r="DR146" s="604">
        <f t="shared" si="467"/>
        <v>0</v>
      </c>
      <c r="DS146" s="604">
        <f t="shared" si="468"/>
        <v>0</v>
      </c>
      <c r="DT146" s="604">
        <f t="shared" si="469"/>
        <v>0</v>
      </c>
      <c r="DU146" s="604">
        <f t="shared" si="470"/>
        <v>0</v>
      </c>
      <c r="DV146" s="604">
        <f t="shared" si="471"/>
        <v>0</v>
      </c>
      <c r="DW146" s="604">
        <f t="shared" si="472"/>
        <v>0</v>
      </c>
      <c r="DX146" s="604">
        <v>4</v>
      </c>
      <c r="DY146" s="604">
        <f>DY144+1</f>
        <v>114</v>
      </c>
      <c r="DZ146" s="604">
        <f t="shared" si="417"/>
        <v>0</v>
      </c>
      <c r="EA146" s="604">
        <f t="shared" si="418"/>
        <v>0</v>
      </c>
      <c r="EB146" s="604">
        <f t="shared" si="415"/>
        <v>0</v>
      </c>
      <c r="EC146" s="604">
        <v>0.5</v>
      </c>
      <c r="ED146" s="604">
        <f t="shared" si="416"/>
        <v>0</v>
      </c>
    </row>
    <row r="147" spans="1:328" s="604" customFormat="1" hidden="1" x14ac:dyDescent="0.2">
      <c r="A147" s="604" t="s">
        <v>2518</v>
      </c>
      <c r="B147" s="798" t="str">
        <f>"bilancia con WP104 - "&amp;VLOOKUP(tipo_controllore1,controlloreParametri,13,FALSE)</f>
        <v>bilancia con WP104 - MODBUS RTU</v>
      </c>
      <c r="C147" s="639" t="s">
        <v>2493</v>
      </c>
      <c r="D147" s="649" t="str">
        <f>VLOOKUP(tipo_controllore1,controlloreParametri,14,FALSE)</f>
        <v>peso wp104 rete MODBUS RTU</v>
      </c>
      <c r="E147" s="889"/>
      <c r="F147" s="822">
        <f t="shared" si="492"/>
        <v>430</v>
      </c>
      <c r="G147" s="823"/>
      <c r="H147" s="798"/>
      <c r="I147" s="798"/>
      <c r="J147" s="798"/>
      <c r="K147" s="798"/>
      <c r="L147" s="798"/>
      <c r="M147" s="798"/>
      <c r="N147" s="824">
        <f>N145</f>
        <v>0</v>
      </c>
      <c r="O147" s="798"/>
      <c r="P147" s="798"/>
      <c r="Q147" s="798"/>
      <c r="R147" s="798"/>
      <c r="S147" s="798"/>
      <c r="T147" s="798"/>
      <c r="U147" s="798"/>
      <c r="V147" s="798"/>
      <c r="W147" s="798"/>
      <c r="X147" s="798"/>
      <c r="Y147" s="798"/>
      <c r="Z147" s="798"/>
      <c r="AA147" s="798"/>
      <c r="AB147" s="798"/>
      <c r="AC147" s="798"/>
      <c r="AD147" s="798"/>
      <c r="AE147" s="798"/>
      <c r="AF147" s="798"/>
      <c r="AH147" s="604">
        <f t="shared" si="414"/>
        <v>0</v>
      </c>
      <c r="AI147" s="604">
        <f t="shared" si="482"/>
        <v>0</v>
      </c>
      <c r="AJ147" s="705">
        <v>1</v>
      </c>
      <c r="AK147" s="705"/>
      <c r="AL147" s="706" t="str">
        <f t="shared" si="310"/>
        <v>1-peso wp104 rete MODBUS RTU</v>
      </c>
      <c r="AM147" s="632">
        <f>N147*$F147</f>
        <v>0</v>
      </c>
      <c r="AN147" s="640">
        <f t="shared" si="483"/>
        <v>0</v>
      </c>
      <c r="AO147" s="632">
        <f>P147*$F147</f>
        <v>0</v>
      </c>
      <c r="AP147" s="640">
        <f t="shared" si="484"/>
        <v>0</v>
      </c>
      <c r="AQ147" s="632">
        <f>R147*$F147</f>
        <v>0</v>
      </c>
      <c r="AR147" s="640">
        <f t="shared" si="485"/>
        <v>0</v>
      </c>
      <c r="AS147" s="632">
        <f>T147*$F147</f>
        <v>0</v>
      </c>
      <c r="AT147" s="640">
        <f t="shared" si="486"/>
        <v>0</v>
      </c>
      <c r="AU147" s="632">
        <f>V147*$F147</f>
        <v>0</v>
      </c>
      <c r="AV147" s="640">
        <f t="shared" si="487"/>
        <v>0</v>
      </c>
      <c r="AW147" s="632">
        <f>X147*$F147</f>
        <v>0</v>
      </c>
      <c r="AX147" s="640">
        <f t="shared" si="488"/>
        <v>0</v>
      </c>
      <c r="AY147" s="632">
        <f>Z147*$F147</f>
        <v>0</v>
      </c>
      <c r="AZ147" s="640">
        <f t="shared" si="489"/>
        <v>0</v>
      </c>
      <c r="BA147" s="632">
        <f>AB147*$F147</f>
        <v>0</v>
      </c>
      <c r="BB147" s="640">
        <f t="shared" si="490"/>
        <v>0</v>
      </c>
      <c r="BC147" s="632">
        <f>AD147*$F147</f>
        <v>0</v>
      </c>
      <c r="BD147" s="640">
        <f t="shared" si="491"/>
        <v>0</v>
      </c>
      <c r="BE147" s="632">
        <f>AF147*$F147</f>
        <v>0</v>
      </c>
      <c r="BF147" s="604">
        <f>N147*$G147</f>
        <v>0</v>
      </c>
      <c r="BG147" s="604">
        <f t="shared" si="428"/>
        <v>0</v>
      </c>
      <c r="BH147" s="604">
        <f t="shared" si="429"/>
        <v>0</v>
      </c>
      <c r="BI147" s="604">
        <f t="shared" si="430"/>
        <v>0</v>
      </c>
      <c r="BJ147" s="604">
        <f t="shared" si="431"/>
        <v>0</v>
      </c>
      <c r="BK147" s="604">
        <f t="shared" si="432"/>
        <v>0</v>
      </c>
      <c r="BL147" s="604">
        <f t="shared" si="433"/>
        <v>0</v>
      </c>
      <c r="BM147" s="604">
        <f t="shared" si="434"/>
        <v>0</v>
      </c>
      <c r="BN147" s="604">
        <f t="shared" si="435"/>
        <v>0</v>
      </c>
      <c r="BO147" s="604">
        <f t="shared" si="436"/>
        <v>0</v>
      </c>
      <c r="BP147" s="604">
        <f>N147*$H147</f>
        <v>0</v>
      </c>
      <c r="BQ147" s="604">
        <f t="shared" si="473"/>
        <v>0</v>
      </c>
      <c r="BR147" s="604">
        <f t="shared" si="474"/>
        <v>0</v>
      </c>
      <c r="BS147" s="604">
        <f t="shared" si="475"/>
        <v>0</v>
      </c>
      <c r="BT147" s="604">
        <f t="shared" si="476"/>
        <v>0</v>
      </c>
      <c r="BU147" s="604">
        <f t="shared" si="477"/>
        <v>0</v>
      </c>
      <c r="BV147" s="604">
        <f t="shared" si="478"/>
        <v>0</v>
      </c>
      <c r="BW147" s="604">
        <f t="shared" si="479"/>
        <v>0</v>
      </c>
      <c r="BX147" s="604">
        <f t="shared" si="480"/>
        <v>0</v>
      </c>
      <c r="BY147" s="604">
        <f t="shared" si="481"/>
        <v>0</v>
      </c>
      <c r="BZ147" s="604">
        <f>N147*$I147</f>
        <v>0</v>
      </c>
      <c r="CA147" s="604">
        <f t="shared" si="437"/>
        <v>0</v>
      </c>
      <c r="CB147" s="604">
        <f t="shared" si="438"/>
        <v>0</v>
      </c>
      <c r="CC147" s="604">
        <f t="shared" si="439"/>
        <v>0</v>
      </c>
      <c r="CD147" s="604">
        <f t="shared" si="440"/>
        <v>0</v>
      </c>
      <c r="CE147" s="604">
        <f t="shared" si="441"/>
        <v>0</v>
      </c>
      <c r="CF147" s="604">
        <f t="shared" si="442"/>
        <v>0</v>
      </c>
      <c r="CG147" s="604">
        <f t="shared" si="443"/>
        <v>0</v>
      </c>
      <c r="CH147" s="604">
        <f t="shared" si="444"/>
        <v>0</v>
      </c>
      <c r="CI147" s="604">
        <f t="shared" si="445"/>
        <v>0</v>
      </c>
      <c r="CJ147" s="604">
        <f t="shared" ref="CJ147:CJ167" si="493">N147*$J147</f>
        <v>0</v>
      </c>
      <c r="CK147" s="604">
        <f t="shared" si="419"/>
        <v>0</v>
      </c>
      <c r="CL147" s="604">
        <f t="shared" si="420"/>
        <v>0</v>
      </c>
      <c r="CM147" s="604">
        <f t="shared" si="421"/>
        <v>0</v>
      </c>
      <c r="CN147" s="604">
        <f t="shared" si="422"/>
        <v>0</v>
      </c>
      <c r="CO147" s="604">
        <f t="shared" si="423"/>
        <v>0</v>
      </c>
      <c r="CP147" s="604">
        <f t="shared" si="424"/>
        <v>0</v>
      </c>
      <c r="CQ147" s="604">
        <f t="shared" si="425"/>
        <v>0</v>
      </c>
      <c r="CR147" s="604">
        <f t="shared" si="426"/>
        <v>0</v>
      </c>
      <c r="CS147" s="604">
        <f t="shared" si="427"/>
        <v>0</v>
      </c>
      <c r="CT147" s="604">
        <f>N147*$K147</f>
        <v>0</v>
      </c>
      <c r="CU147" s="604">
        <f t="shared" si="446"/>
        <v>0</v>
      </c>
      <c r="CV147" s="604">
        <f t="shared" si="447"/>
        <v>0</v>
      </c>
      <c r="CW147" s="604">
        <f t="shared" si="448"/>
        <v>0</v>
      </c>
      <c r="CX147" s="604">
        <f t="shared" si="449"/>
        <v>0</v>
      </c>
      <c r="CY147" s="604">
        <f t="shared" si="450"/>
        <v>0</v>
      </c>
      <c r="CZ147" s="604">
        <f t="shared" si="451"/>
        <v>0</v>
      </c>
      <c r="DA147" s="604">
        <f t="shared" si="452"/>
        <v>0</v>
      </c>
      <c r="DB147" s="604">
        <f t="shared" si="453"/>
        <v>0</v>
      </c>
      <c r="DC147" s="604">
        <f t="shared" si="454"/>
        <v>0</v>
      </c>
      <c r="DD147" s="604">
        <f>N147*$L147</f>
        <v>0</v>
      </c>
      <c r="DE147" s="604">
        <f t="shared" si="455"/>
        <v>0</v>
      </c>
      <c r="DF147" s="604">
        <f t="shared" si="456"/>
        <v>0</v>
      </c>
      <c r="DG147" s="604">
        <f t="shared" si="457"/>
        <v>0</v>
      </c>
      <c r="DH147" s="604">
        <f t="shared" si="458"/>
        <v>0</v>
      </c>
      <c r="DI147" s="604">
        <f t="shared" si="459"/>
        <v>0</v>
      </c>
      <c r="DJ147" s="604">
        <f t="shared" si="460"/>
        <v>0</v>
      </c>
      <c r="DK147" s="604">
        <f t="shared" si="461"/>
        <v>0</v>
      </c>
      <c r="DL147" s="604">
        <f t="shared" si="462"/>
        <v>0</v>
      </c>
      <c r="DM147" s="604">
        <f t="shared" si="463"/>
        <v>0</v>
      </c>
      <c r="DN147" s="604">
        <f>N147*$M147</f>
        <v>0</v>
      </c>
      <c r="DO147" s="604">
        <f t="shared" si="464"/>
        <v>0</v>
      </c>
      <c r="DP147" s="604">
        <f t="shared" si="465"/>
        <v>0</v>
      </c>
      <c r="DQ147" s="604">
        <f t="shared" si="466"/>
        <v>0</v>
      </c>
      <c r="DR147" s="604">
        <f t="shared" si="467"/>
        <v>0</v>
      </c>
      <c r="DS147" s="604">
        <f t="shared" si="468"/>
        <v>0</v>
      </c>
      <c r="DT147" s="604">
        <f t="shared" si="469"/>
        <v>0</v>
      </c>
      <c r="DU147" s="604">
        <f t="shared" si="470"/>
        <v>0</v>
      </c>
      <c r="DV147" s="604">
        <f t="shared" si="471"/>
        <v>0</v>
      </c>
      <c r="DW147" s="604">
        <f t="shared" si="472"/>
        <v>0</v>
      </c>
      <c r="DX147" s="604">
        <v>5</v>
      </c>
      <c r="DY147" s="604">
        <f t="shared" si="311"/>
        <v>115</v>
      </c>
      <c r="DZ147" s="604">
        <f t="shared" si="417"/>
        <v>0</v>
      </c>
      <c r="EA147" s="604">
        <f t="shared" si="418"/>
        <v>0</v>
      </c>
      <c r="EB147" s="604">
        <f t="shared" si="415"/>
        <v>0</v>
      </c>
      <c r="EC147" s="604">
        <v>1.5</v>
      </c>
      <c r="ED147" s="604">
        <f t="shared" si="416"/>
        <v>0</v>
      </c>
    </row>
    <row r="148" spans="1:328" s="603" customFormat="1" ht="15" hidden="1" thickBot="1" x14ac:dyDescent="0.25">
      <c r="A148" s="603" t="s">
        <v>2518</v>
      </c>
      <c r="B148" s="250" t="s">
        <v>2363</v>
      </c>
      <c r="C148" s="549" t="s">
        <v>2492</v>
      </c>
      <c r="D148" s="643" t="s">
        <v>659</v>
      </c>
      <c r="E148" s="889"/>
      <c r="F148" s="250">
        <f t="shared" si="492"/>
        <v>0</v>
      </c>
      <c r="G148" s="818">
        <v>1</v>
      </c>
      <c r="H148" s="250"/>
      <c r="I148" s="250"/>
      <c r="J148" s="250"/>
      <c r="K148" s="250"/>
      <c r="L148" s="250"/>
      <c r="M148" s="250"/>
      <c r="N148" s="668"/>
      <c r="O148" s="26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250"/>
      <c r="AA148" s="250"/>
      <c r="AB148" s="250"/>
      <c r="AC148" s="250"/>
      <c r="AD148" s="250"/>
      <c r="AE148" s="250"/>
      <c r="AF148" s="250"/>
      <c r="AG148" s="549"/>
      <c r="AH148" s="549">
        <f t="shared" si="414"/>
        <v>0</v>
      </c>
      <c r="AI148" s="603">
        <f t="shared" si="482"/>
        <v>0</v>
      </c>
      <c r="AJ148" s="705">
        <v>2</v>
      </c>
      <c r="AK148" s="705"/>
      <c r="AL148" s="706" t="str">
        <f t="shared" si="310"/>
        <v>2-peso SIWAREX</v>
      </c>
      <c r="AM148" s="629">
        <f>N148*$F148</f>
        <v>0</v>
      </c>
      <c r="AN148" s="641">
        <f t="shared" si="483"/>
        <v>0</v>
      </c>
      <c r="AO148" s="629">
        <f>P148*$F148</f>
        <v>0</v>
      </c>
      <c r="AP148" s="641">
        <f t="shared" si="484"/>
        <v>0</v>
      </c>
      <c r="AQ148" s="629">
        <f>R148*$F148</f>
        <v>0</v>
      </c>
      <c r="AR148" s="641">
        <f t="shared" si="485"/>
        <v>0</v>
      </c>
      <c r="AS148" s="629">
        <f>T148*$F148</f>
        <v>0</v>
      </c>
      <c r="AT148" s="641">
        <f t="shared" si="486"/>
        <v>0</v>
      </c>
      <c r="AU148" s="629">
        <f>V148*$F148</f>
        <v>0</v>
      </c>
      <c r="AV148" s="641">
        <f t="shared" si="487"/>
        <v>0</v>
      </c>
      <c r="AW148" s="629">
        <f>X148*$F148</f>
        <v>0</v>
      </c>
      <c r="AX148" s="641">
        <f t="shared" si="488"/>
        <v>0</v>
      </c>
      <c r="AY148" s="629">
        <f>Z148*$F148</f>
        <v>0</v>
      </c>
      <c r="AZ148" s="641">
        <f t="shared" si="489"/>
        <v>0</v>
      </c>
      <c r="BA148" s="629">
        <f>AB148*$F148</f>
        <v>0</v>
      </c>
      <c r="BB148" s="641">
        <f t="shared" si="490"/>
        <v>0</v>
      </c>
      <c r="BC148" s="629">
        <f>AD148*$F148</f>
        <v>0</v>
      </c>
      <c r="BD148" s="641">
        <f t="shared" si="491"/>
        <v>0</v>
      </c>
      <c r="BE148" s="629">
        <f>AF148*$F148</f>
        <v>0</v>
      </c>
      <c r="BF148" s="603">
        <f>N148*$G148</f>
        <v>0</v>
      </c>
      <c r="BG148" s="603">
        <f t="shared" si="428"/>
        <v>0</v>
      </c>
      <c r="BH148" s="603">
        <f t="shared" si="429"/>
        <v>0</v>
      </c>
      <c r="BI148" s="603">
        <f t="shared" si="430"/>
        <v>0</v>
      </c>
      <c r="BJ148" s="603">
        <f t="shared" si="431"/>
        <v>0</v>
      </c>
      <c r="BK148" s="603">
        <f t="shared" si="432"/>
        <v>0</v>
      </c>
      <c r="BL148" s="603">
        <f t="shared" si="433"/>
        <v>0</v>
      </c>
      <c r="BM148" s="603">
        <f t="shared" si="434"/>
        <v>0</v>
      </c>
      <c r="BN148" s="603">
        <f t="shared" si="435"/>
        <v>0</v>
      </c>
      <c r="BO148" s="603">
        <f t="shared" si="436"/>
        <v>0</v>
      </c>
      <c r="BP148" s="603">
        <f>N148*$H148</f>
        <v>0</v>
      </c>
      <c r="BQ148" s="603">
        <f t="shared" si="473"/>
        <v>0</v>
      </c>
      <c r="BR148" s="603">
        <f t="shared" si="474"/>
        <v>0</v>
      </c>
      <c r="BS148" s="603">
        <f t="shared" si="475"/>
        <v>0</v>
      </c>
      <c r="BT148" s="603">
        <f t="shared" si="476"/>
        <v>0</v>
      </c>
      <c r="BU148" s="603">
        <f t="shared" si="477"/>
        <v>0</v>
      </c>
      <c r="BV148" s="603">
        <f t="shared" si="478"/>
        <v>0</v>
      </c>
      <c r="BW148" s="603">
        <f t="shared" si="479"/>
        <v>0</v>
      </c>
      <c r="BX148" s="603">
        <f t="shared" si="480"/>
        <v>0</v>
      </c>
      <c r="BY148" s="603">
        <f t="shared" si="481"/>
        <v>0</v>
      </c>
      <c r="BZ148" s="603">
        <f>N148*$I148</f>
        <v>0</v>
      </c>
      <c r="CA148" s="603">
        <f t="shared" si="437"/>
        <v>0</v>
      </c>
      <c r="CB148" s="603">
        <f t="shared" si="438"/>
        <v>0</v>
      </c>
      <c r="CC148" s="603">
        <f t="shared" si="439"/>
        <v>0</v>
      </c>
      <c r="CD148" s="603">
        <f t="shared" si="440"/>
        <v>0</v>
      </c>
      <c r="CE148" s="603">
        <f t="shared" si="441"/>
        <v>0</v>
      </c>
      <c r="CF148" s="603">
        <f t="shared" si="442"/>
        <v>0</v>
      </c>
      <c r="CG148" s="603">
        <f t="shared" si="443"/>
        <v>0</v>
      </c>
      <c r="CH148" s="603">
        <f t="shared" si="444"/>
        <v>0</v>
      </c>
      <c r="CI148" s="603">
        <f t="shared" si="445"/>
        <v>0</v>
      </c>
      <c r="CJ148" s="603">
        <f t="shared" si="493"/>
        <v>0</v>
      </c>
      <c r="CK148" s="603">
        <f t="shared" si="419"/>
        <v>0</v>
      </c>
      <c r="CL148" s="603">
        <f t="shared" si="420"/>
        <v>0</v>
      </c>
      <c r="CM148" s="603">
        <f t="shared" si="421"/>
        <v>0</v>
      </c>
      <c r="CN148" s="603">
        <f t="shared" si="422"/>
        <v>0</v>
      </c>
      <c r="CO148" s="603">
        <f t="shared" si="423"/>
        <v>0</v>
      </c>
      <c r="CP148" s="603">
        <f t="shared" si="424"/>
        <v>0</v>
      </c>
      <c r="CQ148" s="603">
        <f t="shared" si="425"/>
        <v>0</v>
      </c>
      <c r="CR148" s="603">
        <f t="shared" si="426"/>
        <v>0</v>
      </c>
      <c r="CS148" s="603">
        <f t="shared" si="427"/>
        <v>0</v>
      </c>
      <c r="CT148" s="603">
        <f>N148*$K148</f>
        <v>0</v>
      </c>
      <c r="CU148" s="603">
        <f t="shared" si="446"/>
        <v>0</v>
      </c>
      <c r="CV148" s="603">
        <f t="shared" si="447"/>
        <v>0</v>
      </c>
      <c r="CW148" s="603">
        <f t="shared" si="448"/>
        <v>0</v>
      </c>
      <c r="CX148" s="603">
        <f t="shared" si="449"/>
        <v>0</v>
      </c>
      <c r="CY148" s="603">
        <f t="shared" si="450"/>
        <v>0</v>
      </c>
      <c r="CZ148" s="603">
        <f t="shared" si="451"/>
        <v>0</v>
      </c>
      <c r="DA148" s="603">
        <f t="shared" si="452"/>
        <v>0</v>
      </c>
      <c r="DB148" s="603">
        <f t="shared" si="453"/>
        <v>0</v>
      </c>
      <c r="DC148" s="603">
        <f t="shared" si="454"/>
        <v>0</v>
      </c>
      <c r="DD148" s="603">
        <f>N148*$L148</f>
        <v>0</v>
      </c>
      <c r="DE148" s="603">
        <f t="shared" si="455"/>
        <v>0</v>
      </c>
      <c r="DF148" s="603">
        <f t="shared" si="456"/>
        <v>0</v>
      </c>
      <c r="DG148" s="603">
        <f t="shared" si="457"/>
        <v>0</v>
      </c>
      <c r="DH148" s="603">
        <f t="shared" si="458"/>
        <v>0</v>
      </c>
      <c r="DI148" s="603">
        <f t="shared" si="459"/>
        <v>0</v>
      </c>
      <c r="DJ148" s="603">
        <f t="shared" si="460"/>
        <v>0</v>
      </c>
      <c r="DK148" s="603">
        <f t="shared" si="461"/>
        <v>0</v>
      </c>
      <c r="DL148" s="603">
        <f t="shared" si="462"/>
        <v>0</v>
      </c>
      <c r="DM148" s="603">
        <f t="shared" si="463"/>
        <v>0</v>
      </c>
      <c r="DN148" s="603">
        <f>N148*$M148</f>
        <v>0</v>
      </c>
      <c r="DO148" s="603">
        <f t="shared" si="464"/>
        <v>0</v>
      </c>
      <c r="DP148" s="603">
        <f t="shared" si="465"/>
        <v>0</v>
      </c>
      <c r="DQ148" s="603">
        <f t="shared" si="466"/>
        <v>0</v>
      </c>
      <c r="DR148" s="603">
        <f t="shared" si="467"/>
        <v>0</v>
      </c>
      <c r="DS148" s="603">
        <f t="shared" si="468"/>
        <v>0</v>
      </c>
      <c r="DT148" s="603">
        <f t="shared" si="469"/>
        <v>0</v>
      </c>
      <c r="DU148" s="603">
        <f t="shared" si="470"/>
        <v>0</v>
      </c>
      <c r="DV148" s="603">
        <f t="shared" si="471"/>
        <v>0</v>
      </c>
      <c r="DW148" s="603">
        <f t="shared" si="472"/>
        <v>0</v>
      </c>
      <c r="DX148" s="603">
        <v>6</v>
      </c>
      <c r="DY148" s="603">
        <f t="shared" si="311"/>
        <v>116</v>
      </c>
      <c r="DZ148" s="603">
        <f t="shared" si="417"/>
        <v>0</v>
      </c>
      <c r="EA148" s="603">
        <f t="shared" si="418"/>
        <v>0</v>
      </c>
      <c r="EB148" s="603">
        <f t="shared" si="415"/>
        <v>0</v>
      </c>
      <c r="EC148" s="603">
        <v>2.5</v>
      </c>
      <c r="ED148" s="603">
        <f t="shared" si="416"/>
        <v>0</v>
      </c>
    </row>
    <row r="149" spans="1:328" s="602" customFormat="1" hidden="1" x14ac:dyDescent="0.2">
      <c r="A149" s="602" t="s">
        <v>2518</v>
      </c>
      <c r="B149" s="799" t="str">
        <f>"bilancia con WP104 - "&amp;VLOOKUP(tipo_controllore2,controlloreParametri,13,FALSE)</f>
        <v>bilancia con WP104 - MODBUS RTU</v>
      </c>
      <c r="C149" s="638" t="s">
        <v>2493</v>
      </c>
      <c r="D149" s="650" t="str">
        <f>VLOOKUP(tipo_controllore2,controlloreParametri,14,FALSE)</f>
        <v>peso wp104 rete MODBUS RTU</v>
      </c>
      <c r="E149" s="889"/>
      <c r="F149" s="819">
        <f t="shared" si="492"/>
        <v>430</v>
      </c>
      <c r="G149" s="820"/>
      <c r="H149" s="799"/>
      <c r="I149" s="799"/>
      <c r="J149" s="799"/>
      <c r="K149" s="799"/>
      <c r="L149" s="799"/>
      <c r="M149" s="799"/>
      <c r="N149" s="821">
        <f>N145</f>
        <v>0</v>
      </c>
      <c r="O149" s="821">
        <f t="shared" ref="O149:AF149" si="494">O147</f>
        <v>0</v>
      </c>
      <c r="P149" s="821">
        <f t="shared" si="494"/>
        <v>0</v>
      </c>
      <c r="Q149" s="821">
        <f t="shared" si="494"/>
        <v>0</v>
      </c>
      <c r="R149" s="821">
        <f t="shared" si="494"/>
        <v>0</v>
      </c>
      <c r="S149" s="821">
        <f t="shared" si="494"/>
        <v>0</v>
      </c>
      <c r="T149" s="821">
        <f t="shared" si="494"/>
        <v>0</v>
      </c>
      <c r="U149" s="821">
        <f t="shared" si="494"/>
        <v>0</v>
      </c>
      <c r="V149" s="821">
        <f t="shared" si="494"/>
        <v>0</v>
      </c>
      <c r="W149" s="821">
        <f t="shared" si="494"/>
        <v>0</v>
      </c>
      <c r="X149" s="821">
        <f t="shared" si="494"/>
        <v>0</v>
      </c>
      <c r="Y149" s="821">
        <f t="shared" si="494"/>
        <v>0</v>
      </c>
      <c r="Z149" s="821">
        <f t="shared" si="494"/>
        <v>0</v>
      </c>
      <c r="AA149" s="821">
        <f t="shared" si="494"/>
        <v>0</v>
      </c>
      <c r="AB149" s="821">
        <f t="shared" si="494"/>
        <v>0</v>
      </c>
      <c r="AC149" s="821">
        <f t="shared" si="494"/>
        <v>0</v>
      </c>
      <c r="AD149" s="821">
        <f t="shared" si="494"/>
        <v>0</v>
      </c>
      <c r="AE149" s="821">
        <f t="shared" si="494"/>
        <v>0</v>
      </c>
      <c r="AF149" s="821">
        <f t="shared" si="494"/>
        <v>0</v>
      </c>
      <c r="AH149" s="602">
        <f t="shared" si="414"/>
        <v>0</v>
      </c>
      <c r="AI149" s="602">
        <f t="shared" si="482"/>
        <v>0</v>
      </c>
      <c r="AJ149" s="705">
        <v>2</v>
      </c>
      <c r="AK149" s="705"/>
      <c r="AL149" s="706" t="str">
        <f t="shared" si="310"/>
        <v>2-peso wp104 rete MODBUS RTU</v>
      </c>
      <c r="AM149" s="630">
        <f t="shared" si="405"/>
        <v>0</v>
      </c>
      <c r="AN149" s="642">
        <f t="shared" si="483"/>
        <v>0</v>
      </c>
      <c r="AO149" s="630">
        <f t="shared" si="406"/>
        <v>0</v>
      </c>
      <c r="AP149" s="642">
        <f t="shared" si="484"/>
        <v>0</v>
      </c>
      <c r="AQ149" s="630">
        <f t="shared" si="407"/>
        <v>0</v>
      </c>
      <c r="AR149" s="642">
        <f t="shared" si="485"/>
        <v>0</v>
      </c>
      <c r="AS149" s="630">
        <f t="shared" si="408"/>
        <v>0</v>
      </c>
      <c r="AT149" s="642">
        <f t="shared" si="486"/>
        <v>0</v>
      </c>
      <c r="AU149" s="630">
        <f t="shared" si="409"/>
        <v>0</v>
      </c>
      <c r="AV149" s="642">
        <f t="shared" si="487"/>
        <v>0</v>
      </c>
      <c r="AW149" s="630">
        <f t="shared" si="410"/>
        <v>0</v>
      </c>
      <c r="AX149" s="642">
        <f t="shared" si="488"/>
        <v>0</v>
      </c>
      <c r="AY149" s="630">
        <f t="shared" si="411"/>
        <v>0</v>
      </c>
      <c r="AZ149" s="642">
        <f t="shared" si="489"/>
        <v>0</v>
      </c>
      <c r="BA149" s="630">
        <f t="shared" si="412"/>
        <v>0</v>
      </c>
      <c r="BB149" s="642">
        <f t="shared" si="490"/>
        <v>0</v>
      </c>
      <c r="BC149" s="630">
        <f t="shared" si="413"/>
        <v>0</v>
      </c>
      <c r="BD149" s="642">
        <f t="shared" si="491"/>
        <v>0</v>
      </c>
      <c r="BE149" s="630">
        <f>AF149*$F149</f>
        <v>0</v>
      </c>
      <c r="BF149" s="602">
        <f>N149*$G149</f>
        <v>0</v>
      </c>
      <c r="BG149" s="602">
        <f t="shared" si="428"/>
        <v>0</v>
      </c>
      <c r="BH149" s="602">
        <f t="shared" si="429"/>
        <v>0</v>
      </c>
      <c r="BI149" s="602">
        <f t="shared" si="430"/>
        <v>0</v>
      </c>
      <c r="BJ149" s="602">
        <f t="shared" si="431"/>
        <v>0</v>
      </c>
      <c r="BK149" s="602">
        <f t="shared" si="432"/>
        <v>0</v>
      </c>
      <c r="BL149" s="602">
        <f t="shared" si="433"/>
        <v>0</v>
      </c>
      <c r="BM149" s="602">
        <f t="shared" si="434"/>
        <v>0</v>
      </c>
      <c r="BN149" s="602">
        <f t="shared" si="435"/>
        <v>0</v>
      </c>
      <c r="BO149" s="602">
        <f t="shared" si="436"/>
        <v>0</v>
      </c>
      <c r="BP149" s="602">
        <f t="shared" si="404"/>
        <v>0</v>
      </c>
      <c r="BQ149" s="602">
        <f t="shared" si="473"/>
        <v>0</v>
      </c>
      <c r="BR149" s="602">
        <f t="shared" si="474"/>
        <v>0</v>
      </c>
      <c r="BS149" s="602">
        <f t="shared" si="475"/>
        <v>0</v>
      </c>
      <c r="BT149" s="602">
        <f t="shared" si="476"/>
        <v>0</v>
      </c>
      <c r="BU149" s="602">
        <f t="shared" si="477"/>
        <v>0</v>
      </c>
      <c r="BV149" s="602">
        <f t="shared" si="478"/>
        <v>0</v>
      </c>
      <c r="BW149" s="602">
        <f t="shared" si="479"/>
        <v>0</v>
      </c>
      <c r="BX149" s="602">
        <f t="shared" si="480"/>
        <v>0</v>
      </c>
      <c r="BY149" s="602">
        <f t="shared" si="481"/>
        <v>0</v>
      </c>
      <c r="BZ149" s="602">
        <f>N149*$I149</f>
        <v>0</v>
      </c>
      <c r="CA149" s="602">
        <f t="shared" si="437"/>
        <v>0</v>
      </c>
      <c r="CB149" s="602">
        <f t="shared" si="438"/>
        <v>0</v>
      </c>
      <c r="CC149" s="602">
        <f t="shared" si="439"/>
        <v>0</v>
      </c>
      <c r="CD149" s="602">
        <f t="shared" si="440"/>
        <v>0</v>
      </c>
      <c r="CE149" s="602">
        <f t="shared" si="441"/>
        <v>0</v>
      </c>
      <c r="CF149" s="602">
        <f t="shared" si="442"/>
        <v>0</v>
      </c>
      <c r="CG149" s="602">
        <f t="shared" si="443"/>
        <v>0</v>
      </c>
      <c r="CH149" s="602">
        <f t="shared" si="444"/>
        <v>0</v>
      </c>
      <c r="CI149" s="602">
        <f t="shared" si="445"/>
        <v>0</v>
      </c>
      <c r="CJ149" s="602">
        <f t="shared" si="493"/>
        <v>0</v>
      </c>
      <c r="CK149" s="602">
        <f t="shared" si="419"/>
        <v>0</v>
      </c>
      <c r="CL149" s="602">
        <f t="shared" si="420"/>
        <v>0</v>
      </c>
      <c r="CM149" s="602">
        <f t="shared" si="421"/>
        <v>0</v>
      </c>
      <c r="CN149" s="602">
        <f t="shared" si="422"/>
        <v>0</v>
      </c>
      <c r="CO149" s="602">
        <f t="shared" si="423"/>
        <v>0</v>
      </c>
      <c r="CP149" s="602">
        <f t="shared" si="424"/>
        <v>0</v>
      </c>
      <c r="CQ149" s="602">
        <f t="shared" si="425"/>
        <v>0</v>
      </c>
      <c r="CR149" s="602">
        <f t="shared" si="426"/>
        <v>0</v>
      </c>
      <c r="CS149" s="602">
        <f t="shared" si="427"/>
        <v>0</v>
      </c>
      <c r="CT149" s="602">
        <f>N149*$K149</f>
        <v>0</v>
      </c>
      <c r="CU149" s="602">
        <f t="shared" si="446"/>
        <v>0</v>
      </c>
      <c r="CV149" s="602">
        <f t="shared" si="447"/>
        <v>0</v>
      </c>
      <c r="CW149" s="602">
        <f t="shared" si="448"/>
        <v>0</v>
      </c>
      <c r="CX149" s="602">
        <f t="shared" si="449"/>
        <v>0</v>
      </c>
      <c r="CY149" s="602">
        <f t="shared" si="450"/>
        <v>0</v>
      </c>
      <c r="CZ149" s="602">
        <f t="shared" si="451"/>
        <v>0</v>
      </c>
      <c r="DA149" s="602">
        <f t="shared" si="452"/>
        <v>0</v>
      </c>
      <c r="DB149" s="602">
        <f t="shared" si="453"/>
        <v>0</v>
      </c>
      <c r="DC149" s="602">
        <f t="shared" si="454"/>
        <v>0</v>
      </c>
      <c r="DD149" s="602">
        <f>N149*$L149</f>
        <v>0</v>
      </c>
      <c r="DE149" s="602">
        <f t="shared" si="455"/>
        <v>0</v>
      </c>
      <c r="DF149" s="602">
        <f t="shared" si="456"/>
        <v>0</v>
      </c>
      <c r="DG149" s="602">
        <f t="shared" si="457"/>
        <v>0</v>
      </c>
      <c r="DH149" s="602">
        <f t="shared" si="458"/>
        <v>0</v>
      </c>
      <c r="DI149" s="602">
        <f t="shared" si="459"/>
        <v>0</v>
      </c>
      <c r="DJ149" s="602">
        <f t="shared" si="460"/>
        <v>0</v>
      </c>
      <c r="DK149" s="602">
        <f t="shared" si="461"/>
        <v>0</v>
      </c>
      <c r="DL149" s="602">
        <f t="shared" si="462"/>
        <v>0</v>
      </c>
      <c r="DM149" s="602">
        <f t="shared" si="463"/>
        <v>0</v>
      </c>
      <c r="DN149" s="602">
        <f>N149*$M149</f>
        <v>0</v>
      </c>
      <c r="DO149" s="602">
        <f t="shared" si="464"/>
        <v>0</v>
      </c>
      <c r="DP149" s="602">
        <f t="shared" si="465"/>
        <v>0</v>
      </c>
      <c r="DQ149" s="602">
        <f t="shared" si="466"/>
        <v>0</v>
      </c>
      <c r="DR149" s="602">
        <f t="shared" si="467"/>
        <v>0</v>
      </c>
      <c r="DS149" s="602">
        <f t="shared" si="468"/>
        <v>0</v>
      </c>
      <c r="DT149" s="602">
        <f t="shared" si="469"/>
        <v>0</v>
      </c>
      <c r="DU149" s="602">
        <f t="shared" si="470"/>
        <v>0</v>
      </c>
      <c r="DV149" s="602">
        <f t="shared" si="471"/>
        <v>0</v>
      </c>
      <c r="DW149" s="602">
        <f t="shared" si="472"/>
        <v>0</v>
      </c>
      <c r="DX149" s="602">
        <v>4</v>
      </c>
      <c r="DY149" s="602">
        <f>DY146+1</f>
        <v>115</v>
      </c>
      <c r="DZ149" s="602">
        <f t="shared" si="417"/>
        <v>0</v>
      </c>
      <c r="EA149" s="602">
        <f t="shared" si="418"/>
        <v>0</v>
      </c>
      <c r="EB149" s="602">
        <f t="shared" si="415"/>
        <v>0</v>
      </c>
      <c r="ED149" s="602">
        <f t="shared" si="416"/>
        <v>0</v>
      </c>
    </row>
    <row r="150" spans="1:328" x14ac:dyDescent="0.2">
      <c r="A150" s="208" t="s">
        <v>667</v>
      </c>
      <c r="B150" s="810" t="s">
        <v>2357</v>
      </c>
      <c r="C150" s="197" t="s">
        <v>871</v>
      </c>
      <c r="D150" s="335" t="s">
        <v>563</v>
      </c>
      <c r="E150" s="889">
        <v>1.5</v>
      </c>
      <c r="F150" s="633">
        <f t="shared" si="492"/>
        <v>154.36299</v>
      </c>
      <c r="G150" s="700"/>
      <c r="H150" s="342"/>
      <c r="I150" s="342"/>
      <c r="J150" s="342">
        <v>1</v>
      </c>
      <c r="K150" s="342">
        <v>1</v>
      </c>
      <c r="L150" s="342"/>
      <c r="M150" s="342"/>
      <c r="N150" s="662">
        <v>0</v>
      </c>
      <c r="O150" s="256"/>
      <c r="P150" s="258"/>
      <c r="Q150" s="256"/>
      <c r="R150" s="257"/>
      <c r="S150" s="256"/>
      <c r="T150" s="258"/>
      <c r="U150" s="256"/>
      <c r="V150" s="257"/>
      <c r="W150" s="256"/>
      <c r="X150" s="258"/>
      <c r="Y150" s="256"/>
      <c r="Z150" s="257"/>
      <c r="AA150" s="256"/>
      <c r="AB150" s="258"/>
      <c r="AC150" s="256"/>
      <c r="AD150" s="257"/>
      <c r="AE150" s="258"/>
      <c r="AF150" s="258"/>
      <c r="AH150" s="546">
        <f t="shared" si="414"/>
        <v>0</v>
      </c>
      <c r="AI150" s="66">
        <f t="shared" si="482"/>
        <v>0</v>
      </c>
      <c r="AL150" s="706" t="str">
        <f t="shared" si="310"/>
        <v>-motore &lt;0,25 e &lt;3 Kw</v>
      </c>
      <c r="AM150" s="684">
        <f t="shared" si="405"/>
        <v>0</v>
      </c>
      <c r="AN150" s="674">
        <f t="shared" si="483"/>
        <v>0</v>
      </c>
      <c r="AO150" s="684">
        <f t="shared" si="406"/>
        <v>0</v>
      </c>
      <c r="AP150" s="674">
        <f t="shared" si="484"/>
        <v>0</v>
      </c>
      <c r="AQ150" s="684">
        <f t="shared" si="407"/>
        <v>0</v>
      </c>
      <c r="AR150" s="674">
        <f t="shared" si="485"/>
        <v>0</v>
      </c>
      <c r="AS150" s="684">
        <f t="shared" si="408"/>
        <v>0</v>
      </c>
      <c r="AT150" s="674">
        <f t="shared" si="486"/>
        <v>0</v>
      </c>
      <c r="AU150" s="684">
        <f t="shared" si="409"/>
        <v>0</v>
      </c>
      <c r="AV150" s="674">
        <f t="shared" si="487"/>
        <v>0</v>
      </c>
      <c r="AW150" s="684">
        <f t="shared" si="410"/>
        <v>0</v>
      </c>
      <c r="AX150" s="674">
        <f t="shared" si="488"/>
        <v>0</v>
      </c>
      <c r="AY150" s="684">
        <f t="shared" si="411"/>
        <v>0</v>
      </c>
      <c r="AZ150" s="674">
        <f t="shared" si="489"/>
        <v>0</v>
      </c>
      <c r="BA150" s="684">
        <f t="shared" si="412"/>
        <v>0</v>
      </c>
      <c r="BB150" s="674">
        <f t="shared" si="490"/>
        <v>0</v>
      </c>
      <c r="BC150" s="684">
        <f t="shared" si="413"/>
        <v>0</v>
      </c>
      <c r="BD150" s="674">
        <f t="shared" si="491"/>
        <v>0</v>
      </c>
      <c r="BE150" s="684">
        <f t="shared" si="378"/>
        <v>0</v>
      </c>
      <c r="BF150" s="1">
        <f t="shared" si="301"/>
        <v>0</v>
      </c>
      <c r="BG150" s="1">
        <f t="shared" si="428"/>
        <v>0</v>
      </c>
      <c r="BH150" s="1">
        <f t="shared" si="429"/>
        <v>0</v>
      </c>
      <c r="BI150" s="1">
        <f t="shared" si="430"/>
        <v>0</v>
      </c>
      <c r="BJ150" s="1">
        <f t="shared" si="431"/>
        <v>0</v>
      </c>
      <c r="BK150" s="1">
        <f t="shared" si="432"/>
        <v>0</v>
      </c>
      <c r="BL150" s="1">
        <f t="shared" si="433"/>
        <v>0</v>
      </c>
      <c r="BM150" s="1">
        <f t="shared" si="434"/>
        <v>0</v>
      </c>
      <c r="BN150" s="1">
        <f t="shared" si="435"/>
        <v>0</v>
      </c>
      <c r="BO150" s="69">
        <f t="shared" si="436"/>
        <v>0</v>
      </c>
      <c r="BP150" s="1">
        <f t="shared" si="404"/>
        <v>0</v>
      </c>
      <c r="BQ150" s="1">
        <f t="shared" si="473"/>
        <v>0</v>
      </c>
      <c r="BR150" s="1">
        <f t="shared" si="474"/>
        <v>0</v>
      </c>
      <c r="BS150" s="1">
        <f t="shared" si="475"/>
        <v>0</v>
      </c>
      <c r="BT150" s="1">
        <f t="shared" si="476"/>
        <v>0</v>
      </c>
      <c r="BU150" s="1">
        <f t="shared" si="477"/>
        <v>0</v>
      </c>
      <c r="BV150" s="1">
        <f t="shared" si="478"/>
        <v>0</v>
      </c>
      <c r="BW150" s="1">
        <f t="shared" si="479"/>
        <v>0</v>
      </c>
      <c r="BX150" s="1">
        <f t="shared" si="480"/>
        <v>0</v>
      </c>
      <c r="BY150" s="69">
        <f t="shared" si="481"/>
        <v>0</v>
      </c>
      <c r="BZ150" s="1">
        <f t="shared" si="302"/>
        <v>0</v>
      </c>
      <c r="CA150" s="1">
        <f t="shared" si="437"/>
        <v>0</v>
      </c>
      <c r="CB150" s="1">
        <f t="shared" si="438"/>
        <v>0</v>
      </c>
      <c r="CC150" s="1">
        <f t="shared" si="439"/>
        <v>0</v>
      </c>
      <c r="CD150" s="1">
        <f t="shared" si="440"/>
        <v>0</v>
      </c>
      <c r="CE150" s="1">
        <f t="shared" si="441"/>
        <v>0</v>
      </c>
      <c r="CF150" s="1">
        <f t="shared" si="442"/>
        <v>0</v>
      </c>
      <c r="CG150" s="1">
        <f t="shared" si="443"/>
        <v>0</v>
      </c>
      <c r="CH150" s="1">
        <f t="shared" si="444"/>
        <v>0</v>
      </c>
      <c r="CI150" s="69">
        <f t="shared" si="445"/>
        <v>0</v>
      </c>
      <c r="CJ150" s="1">
        <f t="shared" si="493"/>
        <v>0</v>
      </c>
      <c r="CK150" s="1">
        <f t="shared" si="419"/>
        <v>0</v>
      </c>
      <c r="CL150" s="1">
        <f t="shared" si="420"/>
        <v>0</v>
      </c>
      <c r="CM150" s="1">
        <f t="shared" si="421"/>
        <v>0</v>
      </c>
      <c r="CN150" s="1">
        <f t="shared" si="422"/>
        <v>0</v>
      </c>
      <c r="CO150" s="1">
        <f t="shared" si="423"/>
        <v>0</v>
      </c>
      <c r="CP150" s="1">
        <f t="shared" si="424"/>
        <v>0</v>
      </c>
      <c r="CQ150" s="1">
        <f t="shared" si="425"/>
        <v>0</v>
      </c>
      <c r="CR150" s="1">
        <f t="shared" si="426"/>
        <v>0</v>
      </c>
      <c r="CS150" s="69">
        <f t="shared" si="427"/>
        <v>0</v>
      </c>
      <c r="CT150" s="1">
        <f t="shared" si="303"/>
        <v>0</v>
      </c>
      <c r="CU150" s="1">
        <f t="shared" si="446"/>
        <v>0</v>
      </c>
      <c r="CV150" s="1">
        <f t="shared" si="447"/>
        <v>0</v>
      </c>
      <c r="CW150" s="1">
        <f t="shared" si="448"/>
        <v>0</v>
      </c>
      <c r="CX150" s="1">
        <f t="shared" si="449"/>
        <v>0</v>
      </c>
      <c r="CY150" s="1">
        <f t="shared" si="450"/>
        <v>0</v>
      </c>
      <c r="CZ150" s="1">
        <f t="shared" si="451"/>
        <v>0</v>
      </c>
      <c r="DA150" s="1">
        <f t="shared" si="452"/>
        <v>0</v>
      </c>
      <c r="DB150" s="1">
        <f t="shared" si="453"/>
        <v>0</v>
      </c>
      <c r="DC150" s="69">
        <f t="shared" si="454"/>
        <v>0</v>
      </c>
      <c r="DD150" s="1">
        <f t="shared" si="304"/>
        <v>0</v>
      </c>
      <c r="DE150" s="1">
        <f t="shared" si="455"/>
        <v>0</v>
      </c>
      <c r="DF150" s="1">
        <f t="shared" si="456"/>
        <v>0</v>
      </c>
      <c r="DG150" s="1">
        <f t="shared" si="457"/>
        <v>0</v>
      </c>
      <c r="DH150" s="1">
        <f t="shared" si="458"/>
        <v>0</v>
      </c>
      <c r="DI150" s="1">
        <f t="shared" si="459"/>
        <v>0</v>
      </c>
      <c r="DJ150" s="1">
        <f t="shared" si="460"/>
        <v>0</v>
      </c>
      <c r="DK150" s="1">
        <f t="shared" si="461"/>
        <v>0</v>
      </c>
      <c r="DL150" s="1">
        <f t="shared" si="462"/>
        <v>0</v>
      </c>
      <c r="DM150" s="69">
        <f t="shared" si="463"/>
        <v>0</v>
      </c>
      <c r="DN150" s="1">
        <f t="shared" si="305"/>
        <v>0</v>
      </c>
      <c r="DO150" s="1">
        <f t="shared" si="464"/>
        <v>0</v>
      </c>
      <c r="DP150" s="1">
        <f t="shared" si="465"/>
        <v>0</v>
      </c>
      <c r="DQ150" s="1">
        <f t="shared" si="466"/>
        <v>0</v>
      </c>
      <c r="DR150" s="1">
        <f t="shared" si="467"/>
        <v>0</v>
      </c>
      <c r="DS150" s="1">
        <f t="shared" si="468"/>
        <v>0</v>
      </c>
      <c r="DT150" s="1">
        <f t="shared" si="469"/>
        <v>0</v>
      </c>
      <c r="DU150" s="1">
        <f t="shared" si="470"/>
        <v>0</v>
      </c>
      <c r="DV150" s="1">
        <f t="shared" si="471"/>
        <v>0</v>
      </c>
      <c r="DW150" s="69">
        <f t="shared" si="472"/>
        <v>0</v>
      </c>
      <c r="DX150" s="1">
        <v>6</v>
      </c>
      <c r="DY150" s="69">
        <f t="shared" si="311"/>
        <v>116</v>
      </c>
      <c r="DZ150" s="1">
        <f t="shared" si="417"/>
        <v>0</v>
      </c>
      <c r="EA150" s="1">
        <f t="shared" si="418"/>
        <v>0</v>
      </c>
      <c r="EB150" s="1">
        <f t="shared" si="415"/>
        <v>0</v>
      </c>
      <c r="ED150" s="285">
        <f t="shared" si="416"/>
        <v>0</v>
      </c>
    </row>
    <row r="151" spans="1:328" x14ac:dyDescent="0.2">
      <c r="A151" s="208" t="s">
        <v>667</v>
      </c>
      <c r="B151" s="803" t="s">
        <v>2358</v>
      </c>
      <c r="C151" s="192" t="s">
        <v>871</v>
      </c>
      <c r="D151" s="335" t="s">
        <v>563</v>
      </c>
      <c r="E151" s="889">
        <v>0.55000000000000004</v>
      </c>
      <c r="F151" s="633">
        <f t="shared" si="492"/>
        <v>154.36299</v>
      </c>
      <c r="G151" s="700"/>
      <c r="H151" s="342"/>
      <c r="I151" s="342"/>
      <c r="J151" s="342">
        <v>1</v>
      </c>
      <c r="K151" s="342">
        <v>1</v>
      </c>
      <c r="L151" s="342"/>
      <c r="M151" s="342"/>
      <c r="N151" s="658"/>
      <c r="O151" s="256"/>
      <c r="P151" s="256"/>
      <c r="Q151" s="256"/>
      <c r="R151" s="255"/>
      <c r="S151" s="256"/>
      <c r="T151" s="256"/>
      <c r="U151" s="256"/>
      <c r="V151" s="255"/>
      <c r="W151" s="256"/>
      <c r="X151" s="256"/>
      <c r="Y151" s="256"/>
      <c r="Z151" s="255"/>
      <c r="AA151" s="256"/>
      <c r="AB151" s="256"/>
      <c r="AC151" s="256"/>
      <c r="AD151" s="255"/>
      <c r="AE151" s="256"/>
      <c r="AF151" s="256"/>
      <c r="AH151" s="546">
        <f t="shared" si="414"/>
        <v>0</v>
      </c>
      <c r="AI151" s="66">
        <f t="shared" si="482"/>
        <v>0</v>
      </c>
      <c r="AL151" s="706" t="str">
        <f t="shared" si="310"/>
        <v>-motore &lt;0,25 e &lt;3 Kw</v>
      </c>
      <c r="AM151" s="684">
        <f t="shared" si="405"/>
        <v>0</v>
      </c>
      <c r="AN151" s="674">
        <f t="shared" si="483"/>
        <v>0</v>
      </c>
      <c r="AO151" s="684">
        <f t="shared" si="406"/>
        <v>0</v>
      </c>
      <c r="AP151" s="674">
        <f t="shared" si="484"/>
        <v>0</v>
      </c>
      <c r="AQ151" s="684">
        <f t="shared" si="407"/>
        <v>0</v>
      </c>
      <c r="AR151" s="674">
        <f t="shared" si="485"/>
        <v>0</v>
      </c>
      <c r="AS151" s="684">
        <f t="shared" si="408"/>
        <v>0</v>
      </c>
      <c r="AT151" s="674">
        <f t="shared" si="486"/>
        <v>0</v>
      </c>
      <c r="AU151" s="684">
        <f t="shared" si="409"/>
        <v>0</v>
      </c>
      <c r="AV151" s="674">
        <f t="shared" si="487"/>
        <v>0</v>
      </c>
      <c r="AW151" s="684">
        <f t="shared" si="410"/>
        <v>0</v>
      </c>
      <c r="AX151" s="674">
        <f t="shared" si="488"/>
        <v>0</v>
      </c>
      <c r="AY151" s="684">
        <f t="shared" si="411"/>
        <v>0</v>
      </c>
      <c r="AZ151" s="674">
        <f t="shared" si="489"/>
        <v>0</v>
      </c>
      <c r="BA151" s="684">
        <f t="shared" si="412"/>
        <v>0</v>
      </c>
      <c r="BB151" s="674">
        <f t="shared" si="490"/>
        <v>0</v>
      </c>
      <c r="BC151" s="684">
        <f t="shared" si="413"/>
        <v>0</v>
      </c>
      <c r="BD151" s="674">
        <f t="shared" si="491"/>
        <v>0</v>
      </c>
      <c r="BE151" s="684">
        <f t="shared" si="378"/>
        <v>0</v>
      </c>
      <c r="BF151" s="1">
        <f t="shared" si="301"/>
        <v>0</v>
      </c>
      <c r="BG151" s="1">
        <f t="shared" si="428"/>
        <v>0</v>
      </c>
      <c r="BH151" s="1">
        <f t="shared" si="429"/>
        <v>0</v>
      </c>
      <c r="BI151" s="1">
        <f t="shared" si="430"/>
        <v>0</v>
      </c>
      <c r="BJ151" s="1">
        <f t="shared" si="431"/>
        <v>0</v>
      </c>
      <c r="BK151" s="1">
        <f t="shared" si="432"/>
        <v>0</v>
      </c>
      <c r="BL151" s="1">
        <f t="shared" si="433"/>
        <v>0</v>
      </c>
      <c r="BM151" s="1">
        <f t="shared" si="434"/>
        <v>0</v>
      </c>
      <c r="BN151" s="1">
        <f t="shared" si="435"/>
        <v>0</v>
      </c>
      <c r="BO151" s="69">
        <f t="shared" si="436"/>
        <v>0</v>
      </c>
      <c r="BP151" s="1">
        <f t="shared" si="404"/>
        <v>0</v>
      </c>
      <c r="BQ151" s="1">
        <f t="shared" si="473"/>
        <v>0</v>
      </c>
      <c r="BR151" s="1">
        <f t="shared" si="474"/>
        <v>0</v>
      </c>
      <c r="BS151" s="1">
        <f t="shared" si="475"/>
        <v>0</v>
      </c>
      <c r="BT151" s="1">
        <f t="shared" si="476"/>
        <v>0</v>
      </c>
      <c r="BU151" s="1">
        <f t="shared" si="477"/>
        <v>0</v>
      </c>
      <c r="BV151" s="1">
        <f t="shared" si="478"/>
        <v>0</v>
      </c>
      <c r="BW151" s="1">
        <f t="shared" si="479"/>
        <v>0</v>
      </c>
      <c r="BX151" s="1">
        <f t="shared" si="480"/>
        <v>0</v>
      </c>
      <c r="BY151" s="69">
        <f t="shared" si="481"/>
        <v>0</v>
      </c>
      <c r="BZ151" s="1">
        <f t="shared" si="302"/>
        <v>0</v>
      </c>
      <c r="CA151" s="1">
        <f t="shared" si="437"/>
        <v>0</v>
      </c>
      <c r="CB151" s="1">
        <f t="shared" si="438"/>
        <v>0</v>
      </c>
      <c r="CC151" s="1">
        <f t="shared" si="439"/>
        <v>0</v>
      </c>
      <c r="CD151" s="1">
        <f t="shared" si="440"/>
        <v>0</v>
      </c>
      <c r="CE151" s="1">
        <f t="shared" si="441"/>
        <v>0</v>
      </c>
      <c r="CF151" s="1">
        <f t="shared" si="442"/>
        <v>0</v>
      </c>
      <c r="CG151" s="1">
        <f t="shared" si="443"/>
        <v>0</v>
      </c>
      <c r="CH151" s="1">
        <f t="shared" si="444"/>
        <v>0</v>
      </c>
      <c r="CI151" s="69">
        <f t="shared" si="445"/>
        <v>0</v>
      </c>
      <c r="CJ151" s="1">
        <f t="shared" si="493"/>
        <v>0</v>
      </c>
      <c r="CK151" s="1">
        <f t="shared" si="419"/>
        <v>0</v>
      </c>
      <c r="CL151" s="1">
        <f t="shared" si="420"/>
        <v>0</v>
      </c>
      <c r="CM151" s="1">
        <f t="shared" si="421"/>
        <v>0</v>
      </c>
      <c r="CN151" s="1">
        <f t="shared" si="422"/>
        <v>0</v>
      </c>
      <c r="CO151" s="1">
        <f t="shared" si="423"/>
        <v>0</v>
      </c>
      <c r="CP151" s="1">
        <f t="shared" si="424"/>
        <v>0</v>
      </c>
      <c r="CQ151" s="1">
        <f t="shared" si="425"/>
        <v>0</v>
      </c>
      <c r="CR151" s="1">
        <f t="shared" si="426"/>
        <v>0</v>
      </c>
      <c r="CS151" s="69">
        <f t="shared" si="427"/>
        <v>0</v>
      </c>
      <c r="CT151" s="1">
        <f t="shared" si="303"/>
        <v>0</v>
      </c>
      <c r="CU151" s="1">
        <f t="shared" si="446"/>
        <v>0</v>
      </c>
      <c r="CV151" s="1">
        <f t="shared" si="447"/>
        <v>0</v>
      </c>
      <c r="CW151" s="1">
        <f t="shared" si="448"/>
        <v>0</v>
      </c>
      <c r="CX151" s="1">
        <f t="shared" si="449"/>
        <v>0</v>
      </c>
      <c r="CY151" s="1">
        <f t="shared" si="450"/>
        <v>0</v>
      </c>
      <c r="CZ151" s="1">
        <f t="shared" si="451"/>
        <v>0</v>
      </c>
      <c r="DA151" s="1">
        <f t="shared" si="452"/>
        <v>0</v>
      </c>
      <c r="DB151" s="1">
        <f t="shared" si="453"/>
        <v>0</v>
      </c>
      <c r="DC151" s="69">
        <f t="shared" si="454"/>
        <v>0</v>
      </c>
      <c r="DD151" s="1">
        <f t="shared" si="304"/>
        <v>0</v>
      </c>
      <c r="DE151" s="1">
        <f t="shared" si="455"/>
        <v>0</v>
      </c>
      <c r="DF151" s="1">
        <f t="shared" si="456"/>
        <v>0</v>
      </c>
      <c r="DG151" s="1">
        <f t="shared" si="457"/>
        <v>0</v>
      </c>
      <c r="DH151" s="1">
        <f t="shared" si="458"/>
        <v>0</v>
      </c>
      <c r="DI151" s="1">
        <f t="shared" si="459"/>
        <v>0</v>
      </c>
      <c r="DJ151" s="1">
        <f t="shared" si="460"/>
        <v>0</v>
      </c>
      <c r="DK151" s="1">
        <f t="shared" si="461"/>
        <v>0</v>
      </c>
      <c r="DL151" s="1">
        <f t="shared" si="462"/>
        <v>0</v>
      </c>
      <c r="DM151" s="69">
        <f t="shared" si="463"/>
        <v>0</v>
      </c>
      <c r="DN151" s="1">
        <f t="shared" si="305"/>
        <v>0</v>
      </c>
      <c r="DO151" s="1">
        <f t="shared" si="464"/>
        <v>0</v>
      </c>
      <c r="DP151" s="1">
        <f t="shared" si="465"/>
        <v>0</v>
      </c>
      <c r="DQ151" s="1">
        <f t="shared" si="466"/>
        <v>0</v>
      </c>
      <c r="DR151" s="1">
        <f t="shared" si="467"/>
        <v>0</v>
      </c>
      <c r="DS151" s="1">
        <f t="shared" si="468"/>
        <v>0</v>
      </c>
      <c r="DT151" s="1">
        <f t="shared" si="469"/>
        <v>0</v>
      </c>
      <c r="DU151" s="1">
        <f t="shared" si="470"/>
        <v>0</v>
      </c>
      <c r="DV151" s="1">
        <f t="shared" si="471"/>
        <v>0</v>
      </c>
      <c r="DW151" s="69">
        <f t="shared" si="472"/>
        <v>0</v>
      </c>
      <c r="DX151" s="1">
        <v>6</v>
      </c>
      <c r="DY151" s="69">
        <f t="shared" si="311"/>
        <v>117</v>
      </c>
      <c r="DZ151" s="1">
        <f t="shared" si="417"/>
        <v>0</v>
      </c>
      <c r="EA151" s="1">
        <f t="shared" si="418"/>
        <v>0</v>
      </c>
      <c r="EB151" s="1">
        <f t="shared" si="415"/>
        <v>0</v>
      </c>
      <c r="ED151" s="285">
        <f t="shared" si="416"/>
        <v>0</v>
      </c>
    </row>
    <row r="152" spans="1:328" x14ac:dyDescent="0.2">
      <c r="A152" s="208" t="s">
        <v>667</v>
      </c>
      <c r="B152" s="816" t="s">
        <v>2359</v>
      </c>
      <c r="C152" s="193" t="s">
        <v>872</v>
      </c>
      <c r="D152" s="647" t="s">
        <v>698</v>
      </c>
      <c r="E152" s="889"/>
      <c r="F152" s="633">
        <f t="shared" si="492"/>
        <v>0</v>
      </c>
      <c r="G152" s="694"/>
      <c r="H152" s="58"/>
      <c r="I152" s="58"/>
      <c r="J152" s="58">
        <v>1</v>
      </c>
      <c r="K152" s="58"/>
      <c r="L152" s="58"/>
      <c r="M152" s="58"/>
      <c r="N152" s="658">
        <v>0</v>
      </c>
      <c r="O152" s="256"/>
      <c r="P152" s="256"/>
      <c r="Q152" s="256"/>
      <c r="R152" s="255"/>
      <c r="S152" s="256"/>
      <c r="T152" s="256"/>
      <c r="U152" s="256"/>
      <c r="V152" s="255"/>
      <c r="W152" s="256"/>
      <c r="X152" s="256"/>
      <c r="Y152" s="256"/>
      <c r="Z152" s="255"/>
      <c r="AA152" s="256"/>
      <c r="AB152" s="256"/>
      <c r="AC152" s="256"/>
      <c r="AD152" s="255"/>
      <c r="AE152" s="256"/>
      <c r="AF152" s="256"/>
      <c r="AH152" s="546">
        <f t="shared" si="414"/>
        <v>0</v>
      </c>
      <c r="AI152" s="66">
        <f t="shared" si="482"/>
        <v>0</v>
      </c>
      <c r="AL152" s="706" t="str">
        <f t="shared" si="310"/>
        <v>-livello minimo</v>
      </c>
      <c r="AM152" s="684">
        <f t="shared" si="405"/>
        <v>0</v>
      </c>
      <c r="AN152" s="674">
        <f t="shared" si="483"/>
        <v>0</v>
      </c>
      <c r="AO152" s="684">
        <f t="shared" si="406"/>
        <v>0</v>
      </c>
      <c r="AP152" s="674">
        <f t="shared" si="484"/>
        <v>0</v>
      </c>
      <c r="AQ152" s="684">
        <f t="shared" si="407"/>
        <v>0</v>
      </c>
      <c r="AR152" s="674">
        <f t="shared" si="485"/>
        <v>0</v>
      </c>
      <c r="AS152" s="684">
        <f t="shared" si="408"/>
        <v>0</v>
      </c>
      <c r="AT152" s="674">
        <f t="shared" si="486"/>
        <v>0</v>
      </c>
      <c r="AU152" s="684">
        <f t="shared" si="409"/>
        <v>0</v>
      </c>
      <c r="AV152" s="674">
        <f t="shared" si="487"/>
        <v>0</v>
      </c>
      <c r="AW152" s="684">
        <f t="shared" si="410"/>
        <v>0</v>
      </c>
      <c r="AX152" s="674">
        <f t="shared" si="488"/>
        <v>0</v>
      </c>
      <c r="AY152" s="684">
        <f t="shared" si="411"/>
        <v>0</v>
      </c>
      <c r="AZ152" s="674">
        <f t="shared" si="489"/>
        <v>0</v>
      </c>
      <c r="BA152" s="684">
        <f t="shared" si="412"/>
        <v>0</v>
      </c>
      <c r="BB152" s="674">
        <f t="shared" si="490"/>
        <v>0</v>
      </c>
      <c r="BC152" s="684">
        <f t="shared" si="413"/>
        <v>0</v>
      </c>
      <c r="BD152" s="674">
        <f t="shared" si="491"/>
        <v>0</v>
      </c>
      <c r="BE152" s="684">
        <f t="shared" si="378"/>
        <v>0</v>
      </c>
      <c r="BF152" s="1">
        <f t="shared" si="301"/>
        <v>0</v>
      </c>
      <c r="BG152" s="1">
        <f t="shared" si="428"/>
        <v>0</v>
      </c>
      <c r="BH152" s="1">
        <f t="shared" si="429"/>
        <v>0</v>
      </c>
      <c r="BI152" s="1">
        <f t="shared" si="430"/>
        <v>0</v>
      </c>
      <c r="BJ152" s="1">
        <f t="shared" si="431"/>
        <v>0</v>
      </c>
      <c r="BK152" s="1">
        <f t="shared" si="432"/>
        <v>0</v>
      </c>
      <c r="BL152" s="1">
        <f t="shared" si="433"/>
        <v>0</v>
      </c>
      <c r="BM152" s="1">
        <f t="shared" si="434"/>
        <v>0</v>
      </c>
      <c r="BN152" s="1">
        <f t="shared" si="435"/>
        <v>0</v>
      </c>
      <c r="BO152" s="69">
        <f t="shared" si="436"/>
        <v>0</v>
      </c>
      <c r="BP152" s="1">
        <f t="shared" si="404"/>
        <v>0</v>
      </c>
      <c r="BQ152" s="1">
        <f t="shared" si="473"/>
        <v>0</v>
      </c>
      <c r="BR152" s="1">
        <f t="shared" si="474"/>
        <v>0</v>
      </c>
      <c r="BS152" s="1">
        <f t="shared" si="475"/>
        <v>0</v>
      </c>
      <c r="BT152" s="1">
        <f t="shared" si="476"/>
        <v>0</v>
      </c>
      <c r="BU152" s="1">
        <f t="shared" si="477"/>
        <v>0</v>
      </c>
      <c r="BV152" s="1">
        <f t="shared" si="478"/>
        <v>0</v>
      </c>
      <c r="BW152" s="1">
        <f t="shared" si="479"/>
        <v>0</v>
      </c>
      <c r="BX152" s="1">
        <f t="shared" si="480"/>
        <v>0</v>
      </c>
      <c r="BY152" s="69">
        <f t="shared" si="481"/>
        <v>0</v>
      </c>
      <c r="BZ152" s="1">
        <f t="shared" si="302"/>
        <v>0</v>
      </c>
      <c r="CA152" s="1">
        <f t="shared" si="437"/>
        <v>0</v>
      </c>
      <c r="CB152" s="1">
        <f t="shared" si="438"/>
        <v>0</v>
      </c>
      <c r="CC152" s="1">
        <f t="shared" si="439"/>
        <v>0</v>
      </c>
      <c r="CD152" s="1">
        <f t="shared" si="440"/>
        <v>0</v>
      </c>
      <c r="CE152" s="1">
        <f t="shared" si="441"/>
        <v>0</v>
      </c>
      <c r="CF152" s="1">
        <f t="shared" si="442"/>
        <v>0</v>
      </c>
      <c r="CG152" s="1">
        <f t="shared" si="443"/>
        <v>0</v>
      </c>
      <c r="CH152" s="1">
        <f t="shared" si="444"/>
        <v>0</v>
      </c>
      <c r="CI152" s="69">
        <f t="shared" si="445"/>
        <v>0</v>
      </c>
      <c r="CJ152" s="1">
        <f t="shared" si="493"/>
        <v>0</v>
      </c>
      <c r="CK152" s="1">
        <f t="shared" si="419"/>
        <v>0</v>
      </c>
      <c r="CL152" s="1">
        <f t="shared" si="420"/>
        <v>0</v>
      </c>
      <c r="CM152" s="1">
        <f t="shared" si="421"/>
        <v>0</v>
      </c>
      <c r="CN152" s="1">
        <f t="shared" si="422"/>
        <v>0</v>
      </c>
      <c r="CO152" s="1">
        <f t="shared" si="423"/>
        <v>0</v>
      </c>
      <c r="CP152" s="1">
        <f t="shared" si="424"/>
        <v>0</v>
      </c>
      <c r="CQ152" s="1">
        <f t="shared" si="425"/>
        <v>0</v>
      </c>
      <c r="CR152" s="1">
        <f t="shared" si="426"/>
        <v>0</v>
      </c>
      <c r="CS152" s="69">
        <f t="shared" si="427"/>
        <v>0</v>
      </c>
      <c r="CT152" s="1">
        <f t="shared" si="303"/>
        <v>0</v>
      </c>
      <c r="CU152" s="1">
        <f t="shared" si="446"/>
        <v>0</v>
      </c>
      <c r="CV152" s="1">
        <f t="shared" si="447"/>
        <v>0</v>
      </c>
      <c r="CW152" s="1">
        <f t="shared" si="448"/>
        <v>0</v>
      </c>
      <c r="CX152" s="1">
        <f t="shared" si="449"/>
        <v>0</v>
      </c>
      <c r="CY152" s="1">
        <f t="shared" si="450"/>
        <v>0</v>
      </c>
      <c r="CZ152" s="1">
        <f t="shared" si="451"/>
        <v>0</v>
      </c>
      <c r="DA152" s="1">
        <f t="shared" si="452"/>
        <v>0</v>
      </c>
      <c r="DB152" s="1">
        <f t="shared" si="453"/>
        <v>0</v>
      </c>
      <c r="DC152" s="69">
        <f t="shared" si="454"/>
        <v>0</v>
      </c>
      <c r="DD152" s="1">
        <f t="shared" si="304"/>
        <v>0</v>
      </c>
      <c r="DE152" s="1">
        <f t="shared" si="455"/>
        <v>0</v>
      </c>
      <c r="DF152" s="1">
        <f t="shared" si="456"/>
        <v>0</v>
      </c>
      <c r="DG152" s="1">
        <f t="shared" si="457"/>
        <v>0</v>
      </c>
      <c r="DH152" s="1">
        <f t="shared" si="458"/>
        <v>0</v>
      </c>
      <c r="DI152" s="1">
        <f t="shared" si="459"/>
        <v>0</v>
      </c>
      <c r="DJ152" s="1">
        <f t="shared" si="460"/>
        <v>0</v>
      </c>
      <c r="DK152" s="1">
        <f t="shared" si="461"/>
        <v>0</v>
      </c>
      <c r="DL152" s="1">
        <f t="shared" si="462"/>
        <v>0</v>
      </c>
      <c r="DM152" s="69">
        <f t="shared" si="463"/>
        <v>0</v>
      </c>
      <c r="DN152" s="1">
        <f t="shared" si="305"/>
        <v>0</v>
      </c>
      <c r="DO152" s="1">
        <f t="shared" si="464"/>
        <v>0</v>
      </c>
      <c r="DP152" s="1">
        <f t="shared" si="465"/>
        <v>0</v>
      </c>
      <c r="DQ152" s="1">
        <f t="shared" si="466"/>
        <v>0</v>
      </c>
      <c r="DR152" s="1">
        <f t="shared" si="467"/>
        <v>0</v>
      </c>
      <c r="DS152" s="1">
        <f t="shared" si="468"/>
        <v>0</v>
      </c>
      <c r="DT152" s="1">
        <f t="shared" si="469"/>
        <v>0</v>
      </c>
      <c r="DU152" s="1">
        <f t="shared" si="470"/>
        <v>0</v>
      </c>
      <c r="DV152" s="1">
        <f t="shared" si="471"/>
        <v>0</v>
      </c>
      <c r="DW152" s="69">
        <f t="shared" si="472"/>
        <v>0</v>
      </c>
      <c r="DX152" s="1">
        <v>6</v>
      </c>
      <c r="DY152" s="69">
        <f t="shared" si="311"/>
        <v>118</v>
      </c>
      <c r="DZ152" s="1">
        <f t="shared" si="417"/>
        <v>0</v>
      </c>
      <c r="EA152" s="1">
        <f t="shared" si="418"/>
        <v>0</v>
      </c>
      <c r="EB152" s="1">
        <f t="shared" si="415"/>
        <v>0</v>
      </c>
      <c r="ED152" s="285">
        <f t="shared" si="416"/>
        <v>0</v>
      </c>
    </row>
    <row r="153" spans="1:328" ht="15" thickBot="1" x14ac:dyDescent="0.25">
      <c r="A153" s="211" t="s">
        <v>667</v>
      </c>
      <c r="B153" s="807" t="s">
        <v>2360</v>
      </c>
      <c r="C153" s="195" t="s">
        <v>872</v>
      </c>
      <c r="D153" s="648" t="s">
        <v>699</v>
      </c>
      <c r="E153" s="889"/>
      <c r="F153" s="634">
        <f t="shared" si="492"/>
        <v>0</v>
      </c>
      <c r="G153" s="699"/>
      <c r="H153" s="519"/>
      <c r="I153" s="519"/>
      <c r="J153" s="519">
        <v>1</v>
      </c>
      <c r="K153" s="519"/>
      <c r="L153" s="519"/>
      <c r="M153" s="519"/>
      <c r="N153" s="659"/>
      <c r="O153" s="256"/>
      <c r="P153" s="260"/>
      <c r="Q153" s="256"/>
      <c r="R153" s="259"/>
      <c r="S153" s="256"/>
      <c r="T153" s="260"/>
      <c r="U153" s="256"/>
      <c r="V153" s="259"/>
      <c r="W153" s="256"/>
      <c r="X153" s="260"/>
      <c r="Y153" s="256"/>
      <c r="Z153" s="259"/>
      <c r="AA153" s="256"/>
      <c r="AB153" s="260"/>
      <c r="AC153" s="256"/>
      <c r="AD153" s="259"/>
      <c r="AE153" s="260"/>
      <c r="AF153" s="260"/>
      <c r="AG153" s="548"/>
      <c r="AH153" s="546">
        <f t="shared" si="414"/>
        <v>0</v>
      </c>
      <c r="AI153" s="160">
        <f t="shared" si="482"/>
        <v>0</v>
      </c>
      <c r="AJ153" s="160"/>
      <c r="AL153" s="706" t="str">
        <f t="shared" si="310"/>
        <v>-livello massimo</v>
      </c>
      <c r="AM153" s="686">
        <f t="shared" si="405"/>
        <v>0</v>
      </c>
      <c r="AN153" s="678">
        <f t="shared" si="483"/>
        <v>0</v>
      </c>
      <c r="AO153" s="686">
        <f t="shared" si="406"/>
        <v>0</v>
      </c>
      <c r="AP153" s="678">
        <f t="shared" si="484"/>
        <v>0</v>
      </c>
      <c r="AQ153" s="686">
        <f t="shared" si="407"/>
        <v>0</v>
      </c>
      <c r="AR153" s="678">
        <f t="shared" si="485"/>
        <v>0</v>
      </c>
      <c r="AS153" s="686">
        <f t="shared" si="408"/>
        <v>0</v>
      </c>
      <c r="AT153" s="678">
        <f t="shared" si="486"/>
        <v>0</v>
      </c>
      <c r="AU153" s="686">
        <f t="shared" si="409"/>
        <v>0</v>
      </c>
      <c r="AV153" s="678">
        <f t="shared" si="487"/>
        <v>0</v>
      </c>
      <c r="AW153" s="686">
        <f t="shared" si="410"/>
        <v>0</v>
      </c>
      <c r="AX153" s="678">
        <f t="shared" si="488"/>
        <v>0</v>
      </c>
      <c r="AY153" s="686">
        <f t="shared" si="411"/>
        <v>0</v>
      </c>
      <c r="AZ153" s="678">
        <f t="shared" si="489"/>
        <v>0</v>
      </c>
      <c r="BA153" s="686">
        <f t="shared" si="412"/>
        <v>0</v>
      </c>
      <c r="BB153" s="678">
        <f t="shared" si="490"/>
        <v>0</v>
      </c>
      <c r="BC153" s="686">
        <f t="shared" si="413"/>
        <v>0</v>
      </c>
      <c r="BD153" s="678">
        <f t="shared" si="491"/>
        <v>0</v>
      </c>
      <c r="BE153" s="686">
        <f t="shared" si="378"/>
        <v>0</v>
      </c>
      <c r="BF153" s="158">
        <f t="shared" si="301"/>
        <v>0</v>
      </c>
      <c r="BG153" s="158">
        <f t="shared" si="428"/>
        <v>0</v>
      </c>
      <c r="BH153" s="158">
        <f t="shared" si="429"/>
        <v>0</v>
      </c>
      <c r="BI153" s="158">
        <f t="shared" si="430"/>
        <v>0</v>
      </c>
      <c r="BJ153" s="158">
        <f t="shared" si="431"/>
        <v>0</v>
      </c>
      <c r="BK153" s="158">
        <f t="shared" si="432"/>
        <v>0</v>
      </c>
      <c r="BL153" s="158">
        <f t="shared" si="433"/>
        <v>0</v>
      </c>
      <c r="BM153" s="158">
        <f t="shared" si="434"/>
        <v>0</v>
      </c>
      <c r="BN153" s="158">
        <f t="shared" si="435"/>
        <v>0</v>
      </c>
      <c r="BO153" s="159">
        <f t="shared" si="436"/>
        <v>0</v>
      </c>
      <c r="BP153" s="158">
        <f t="shared" si="404"/>
        <v>0</v>
      </c>
      <c r="BQ153" s="158">
        <f t="shared" si="473"/>
        <v>0</v>
      </c>
      <c r="BR153" s="158">
        <f t="shared" si="474"/>
        <v>0</v>
      </c>
      <c r="BS153" s="158">
        <f t="shared" si="475"/>
        <v>0</v>
      </c>
      <c r="BT153" s="158">
        <f t="shared" si="476"/>
        <v>0</v>
      </c>
      <c r="BU153" s="158">
        <f t="shared" si="477"/>
        <v>0</v>
      </c>
      <c r="BV153" s="158">
        <f t="shared" si="478"/>
        <v>0</v>
      </c>
      <c r="BW153" s="158">
        <f t="shared" si="479"/>
        <v>0</v>
      </c>
      <c r="BX153" s="158">
        <f t="shared" si="480"/>
        <v>0</v>
      </c>
      <c r="BY153" s="159">
        <f t="shared" si="481"/>
        <v>0</v>
      </c>
      <c r="BZ153" s="158">
        <f t="shared" si="302"/>
        <v>0</v>
      </c>
      <c r="CA153" s="158">
        <f t="shared" si="437"/>
        <v>0</v>
      </c>
      <c r="CB153" s="158">
        <f t="shared" si="438"/>
        <v>0</v>
      </c>
      <c r="CC153" s="158">
        <f t="shared" si="439"/>
        <v>0</v>
      </c>
      <c r="CD153" s="158">
        <f t="shared" si="440"/>
        <v>0</v>
      </c>
      <c r="CE153" s="158">
        <f t="shared" si="441"/>
        <v>0</v>
      </c>
      <c r="CF153" s="158">
        <f t="shared" si="442"/>
        <v>0</v>
      </c>
      <c r="CG153" s="158">
        <f t="shared" si="443"/>
        <v>0</v>
      </c>
      <c r="CH153" s="158">
        <f t="shared" si="444"/>
        <v>0</v>
      </c>
      <c r="CI153" s="159">
        <f t="shared" si="445"/>
        <v>0</v>
      </c>
      <c r="CJ153" s="158">
        <f t="shared" si="493"/>
        <v>0</v>
      </c>
      <c r="CK153" s="158">
        <f t="shared" si="419"/>
        <v>0</v>
      </c>
      <c r="CL153" s="158">
        <f t="shared" si="420"/>
        <v>0</v>
      </c>
      <c r="CM153" s="158">
        <f t="shared" si="421"/>
        <v>0</v>
      </c>
      <c r="CN153" s="158">
        <f t="shared" si="422"/>
        <v>0</v>
      </c>
      <c r="CO153" s="158">
        <f t="shared" si="423"/>
        <v>0</v>
      </c>
      <c r="CP153" s="158">
        <f t="shared" si="424"/>
        <v>0</v>
      </c>
      <c r="CQ153" s="158">
        <f t="shared" si="425"/>
        <v>0</v>
      </c>
      <c r="CR153" s="158">
        <f t="shared" si="426"/>
        <v>0</v>
      </c>
      <c r="CS153" s="159">
        <f t="shared" si="427"/>
        <v>0</v>
      </c>
      <c r="CT153" s="158">
        <f t="shared" si="303"/>
        <v>0</v>
      </c>
      <c r="CU153" s="158">
        <f t="shared" si="446"/>
        <v>0</v>
      </c>
      <c r="CV153" s="158">
        <f t="shared" si="447"/>
        <v>0</v>
      </c>
      <c r="CW153" s="158">
        <f t="shared" si="448"/>
        <v>0</v>
      </c>
      <c r="CX153" s="158">
        <f t="shared" si="449"/>
        <v>0</v>
      </c>
      <c r="CY153" s="158">
        <f t="shared" si="450"/>
        <v>0</v>
      </c>
      <c r="CZ153" s="158">
        <f t="shared" si="451"/>
        <v>0</v>
      </c>
      <c r="DA153" s="158">
        <f t="shared" si="452"/>
        <v>0</v>
      </c>
      <c r="DB153" s="158">
        <f t="shared" si="453"/>
        <v>0</v>
      </c>
      <c r="DC153" s="159">
        <f t="shared" si="454"/>
        <v>0</v>
      </c>
      <c r="DD153" s="158">
        <f t="shared" si="304"/>
        <v>0</v>
      </c>
      <c r="DE153" s="158">
        <f t="shared" si="455"/>
        <v>0</v>
      </c>
      <c r="DF153" s="158">
        <f t="shared" si="456"/>
        <v>0</v>
      </c>
      <c r="DG153" s="158">
        <f t="shared" si="457"/>
        <v>0</v>
      </c>
      <c r="DH153" s="158">
        <f t="shared" si="458"/>
        <v>0</v>
      </c>
      <c r="DI153" s="158">
        <f t="shared" si="459"/>
        <v>0</v>
      </c>
      <c r="DJ153" s="158">
        <f t="shared" si="460"/>
        <v>0</v>
      </c>
      <c r="DK153" s="158">
        <f t="shared" si="461"/>
        <v>0</v>
      </c>
      <c r="DL153" s="158">
        <f t="shared" si="462"/>
        <v>0</v>
      </c>
      <c r="DM153" s="159">
        <f t="shared" si="463"/>
        <v>0</v>
      </c>
      <c r="DN153" s="158">
        <f t="shared" si="305"/>
        <v>0</v>
      </c>
      <c r="DO153" s="158">
        <f t="shared" si="464"/>
        <v>0</v>
      </c>
      <c r="DP153" s="158">
        <f t="shared" si="465"/>
        <v>0</v>
      </c>
      <c r="DQ153" s="158">
        <f t="shared" si="466"/>
        <v>0</v>
      </c>
      <c r="DR153" s="158">
        <f t="shared" si="467"/>
        <v>0</v>
      </c>
      <c r="DS153" s="158">
        <f t="shared" si="468"/>
        <v>0</v>
      </c>
      <c r="DT153" s="158">
        <f t="shared" si="469"/>
        <v>0</v>
      </c>
      <c r="DU153" s="158">
        <f t="shared" si="470"/>
        <v>0</v>
      </c>
      <c r="DV153" s="158">
        <f t="shared" si="471"/>
        <v>0</v>
      </c>
      <c r="DW153" s="159">
        <f t="shared" si="472"/>
        <v>0</v>
      </c>
      <c r="DX153" s="158">
        <v>6</v>
      </c>
      <c r="DY153" s="69">
        <f t="shared" si="311"/>
        <v>119</v>
      </c>
      <c r="DZ153" s="1">
        <f t="shared" si="417"/>
        <v>0</v>
      </c>
      <c r="EA153" s="1">
        <f t="shared" si="418"/>
        <v>0</v>
      </c>
      <c r="EB153" s="1">
        <f t="shared" si="415"/>
        <v>0</v>
      </c>
      <c r="ED153" s="285">
        <f t="shared" si="416"/>
        <v>0</v>
      </c>
    </row>
    <row r="154" spans="1:328" x14ac:dyDescent="0.2">
      <c r="A154" s="833"/>
      <c r="B154" s="833" t="s">
        <v>2503</v>
      </c>
      <c r="C154" s="833"/>
      <c r="D154" s="833" t="s">
        <v>2504</v>
      </c>
      <c r="E154" s="889"/>
      <c r="F154" s="633"/>
      <c r="G154" s="694"/>
      <c r="H154" s="58"/>
      <c r="I154" s="58"/>
      <c r="J154" s="58"/>
      <c r="K154" s="58"/>
      <c r="L154" s="58"/>
      <c r="M154" s="58"/>
      <c r="N154" s="839"/>
      <c r="O154" s="839"/>
      <c r="P154" s="839"/>
      <c r="Q154" s="839"/>
      <c r="R154" s="839"/>
      <c r="S154" s="839"/>
      <c r="T154" s="839"/>
      <c r="U154" s="839"/>
      <c r="V154" s="839"/>
      <c r="W154" s="839"/>
      <c r="X154" s="839"/>
      <c r="Y154" s="839"/>
      <c r="Z154" s="839"/>
      <c r="AA154" s="839"/>
      <c r="AB154" s="839"/>
      <c r="AC154" s="839"/>
      <c r="AD154" s="839"/>
      <c r="AE154" s="831"/>
      <c r="AF154" s="839"/>
      <c r="AH154" s="832"/>
      <c r="AL154" s="706" t="str">
        <f t="shared" si="310"/>
        <v>-Totale punti di dosaggio/bilance liquidi</v>
      </c>
      <c r="AM154" s="683"/>
      <c r="AN154" s="674"/>
      <c r="AO154" s="683"/>
      <c r="AP154" s="674"/>
      <c r="AQ154" s="683"/>
      <c r="AR154" s="674"/>
      <c r="AS154" s="683"/>
      <c r="AT154" s="674"/>
      <c r="AU154" s="683"/>
      <c r="AV154" s="674"/>
      <c r="AW154" s="683"/>
      <c r="AX154" s="674"/>
      <c r="AY154" s="683"/>
      <c r="AZ154" s="674"/>
      <c r="BA154" s="683"/>
      <c r="BB154" s="674"/>
      <c r="BC154" s="683"/>
      <c r="BD154" s="674"/>
      <c r="BE154" s="683"/>
      <c r="BO154" s="1"/>
      <c r="BY154" s="1"/>
      <c r="CI154" s="1"/>
      <c r="CS154" s="1"/>
      <c r="DC154" s="1"/>
      <c r="DM154" s="1"/>
      <c r="DW154" s="1"/>
      <c r="DY154" s="1"/>
    </row>
    <row r="155" spans="1:328" s="604" customFormat="1" hidden="1" x14ac:dyDescent="0.2">
      <c r="A155" s="604" t="s">
        <v>2518</v>
      </c>
      <c r="B155" s="250" t="s">
        <v>2364</v>
      </c>
      <c r="C155" s="549" t="s">
        <v>2490</v>
      </c>
      <c r="D155" s="643" t="s">
        <v>659</v>
      </c>
      <c r="E155" s="889"/>
      <c r="F155" s="250">
        <f t="shared" si="492"/>
        <v>0</v>
      </c>
      <c r="G155" s="818">
        <v>1</v>
      </c>
      <c r="H155" s="250"/>
      <c r="I155" s="250"/>
      <c r="J155" s="250"/>
      <c r="K155" s="250"/>
      <c r="L155" s="250"/>
      <c r="M155" s="250"/>
      <c r="N155" s="668"/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250"/>
      <c r="AA155" s="250"/>
      <c r="AB155" s="250"/>
      <c r="AC155" s="250"/>
      <c r="AD155" s="250"/>
      <c r="AE155" s="250"/>
      <c r="AF155" s="250"/>
      <c r="AG155" s="549"/>
      <c r="AH155" s="549">
        <f t="shared" si="414"/>
        <v>0</v>
      </c>
      <c r="AI155" s="604">
        <f t="shared" si="482"/>
        <v>0</v>
      </c>
      <c r="AJ155" s="705">
        <v>1</v>
      </c>
      <c r="AK155" s="705"/>
      <c r="AL155" s="706" t="str">
        <f t="shared" si="310"/>
        <v>1-peso SIWAREX</v>
      </c>
      <c r="AM155" s="632">
        <f>N155*$F155</f>
        <v>0</v>
      </c>
      <c r="AN155" s="640">
        <f t="shared" si="483"/>
        <v>0</v>
      </c>
      <c r="AO155" s="632">
        <f>P155*$F155</f>
        <v>0</v>
      </c>
      <c r="AP155" s="640">
        <f t="shared" si="484"/>
        <v>0</v>
      </c>
      <c r="AQ155" s="632">
        <f>R155*$F155</f>
        <v>0</v>
      </c>
      <c r="AR155" s="640">
        <f t="shared" si="485"/>
        <v>0</v>
      </c>
      <c r="AS155" s="632">
        <f>T155*$F155</f>
        <v>0</v>
      </c>
      <c r="AT155" s="640">
        <f t="shared" si="486"/>
        <v>0</v>
      </c>
      <c r="AU155" s="632">
        <f>V155*$F155</f>
        <v>0</v>
      </c>
      <c r="AV155" s="640">
        <f t="shared" si="487"/>
        <v>0</v>
      </c>
      <c r="AW155" s="632">
        <f>X155*$F155</f>
        <v>0</v>
      </c>
      <c r="AX155" s="640">
        <f t="shared" si="488"/>
        <v>0</v>
      </c>
      <c r="AY155" s="632">
        <f>Z155*$F155</f>
        <v>0</v>
      </c>
      <c r="AZ155" s="640">
        <f t="shared" si="489"/>
        <v>0</v>
      </c>
      <c r="BA155" s="632">
        <f>AB155*$F155</f>
        <v>0</v>
      </c>
      <c r="BB155" s="640">
        <f t="shared" si="490"/>
        <v>0</v>
      </c>
      <c r="BC155" s="632">
        <f>AD155*$F155</f>
        <v>0</v>
      </c>
      <c r="BD155" s="640">
        <f t="shared" si="491"/>
        <v>0</v>
      </c>
      <c r="BE155" s="632">
        <f>AF155*$F155</f>
        <v>0</v>
      </c>
      <c r="BF155" s="604">
        <f>N155*$G155</f>
        <v>0</v>
      </c>
      <c r="BG155" s="604">
        <f t="shared" si="428"/>
        <v>0</v>
      </c>
      <c r="BH155" s="604">
        <f t="shared" si="429"/>
        <v>0</v>
      </c>
      <c r="BI155" s="604">
        <f t="shared" si="430"/>
        <v>0</v>
      </c>
      <c r="BJ155" s="604">
        <f t="shared" si="431"/>
        <v>0</v>
      </c>
      <c r="BK155" s="604">
        <f t="shared" si="432"/>
        <v>0</v>
      </c>
      <c r="BL155" s="604">
        <f t="shared" si="433"/>
        <v>0</v>
      </c>
      <c r="BM155" s="604">
        <f t="shared" si="434"/>
        <v>0</v>
      </c>
      <c r="BN155" s="604">
        <f t="shared" si="435"/>
        <v>0</v>
      </c>
      <c r="BO155" s="604">
        <f t="shared" si="436"/>
        <v>0</v>
      </c>
      <c r="BP155" s="604">
        <f>N155*$H155</f>
        <v>0</v>
      </c>
      <c r="BQ155" s="604">
        <f t="shared" si="473"/>
        <v>0</v>
      </c>
      <c r="BR155" s="604">
        <f t="shared" si="474"/>
        <v>0</v>
      </c>
      <c r="BS155" s="604">
        <f t="shared" si="475"/>
        <v>0</v>
      </c>
      <c r="BT155" s="604">
        <f t="shared" si="476"/>
        <v>0</v>
      </c>
      <c r="BU155" s="604">
        <f t="shared" si="477"/>
        <v>0</v>
      </c>
      <c r="BV155" s="604">
        <f t="shared" si="478"/>
        <v>0</v>
      </c>
      <c r="BW155" s="604">
        <f t="shared" si="479"/>
        <v>0</v>
      </c>
      <c r="BX155" s="604">
        <f t="shared" si="480"/>
        <v>0</v>
      </c>
      <c r="BY155" s="604">
        <f t="shared" si="481"/>
        <v>0</v>
      </c>
      <c r="BZ155" s="604">
        <f>N155*$I155</f>
        <v>0</v>
      </c>
      <c r="CA155" s="604">
        <f t="shared" si="437"/>
        <v>0</v>
      </c>
      <c r="CB155" s="604">
        <f t="shared" si="438"/>
        <v>0</v>
      </c>
      <c r="CC155" s="604">
        <f t="shared" si="439"/>
        <v>0</v>
      </c>
      <c r="CD155" s="604">
        <f t="shared" si="440"/>
        <v>0</v>
      </c>
      <c r="CE155" s="604">
        <f t="shared" si="441"/>
        <v>0</v>
      </c>
      <c r="CF155" s="604">
        <f t="shared" si="442"/>
        <v>0</v>
      </c>
      <c r="CG155" s="604">
        <f t="shared" si="443"/>
        <v>0</v>
      </c>
      <c r="CH155" s="604">
        <f t="shared" si="444"/>
        <v>0</v>
      </c>
      <c r="CI155" s="604">
        <f t="shared" si="445"/>
        <v>0</v>
      </c>
      <c r="CJ155" s="604">
        <f t="shared" si="493"/>
        <v>0</v>
      </c>
      <c r="CK155" s="604">
        <f t="shared" si="419"/>
        <v>0</v>
      </c>
      <c r="CL155" s="604">
        <f t="shared" si="420"/>
        <v>0</v>
      </c>
      <c r="CM155" s="604">
        <f t="shared" si="421"/>
        <v>0</v>
      </c>
      <c r="CN155" s="604">
        <f t="shared" si="422"/>
        <v>0</v>
      </c>
      <c r="CO155" s="604">
        <f t="shared" si="423"/>
        <v>0</v>
      </c>
      <c r="CP155" s="604">
        <f t="shared" si="424"/>
        <v>0</v>
      </c>
      <c r="CQ155" s="604">
        <f t="shared" si="425"/>
        <v>0</v>
      </c>
      <c r="CR155" s="604">
        <f t="shared" si="426"/>
        <v>0</v>
      </c>
      <c r="CS155" s="604">
        <f t="shared" si="427"/>
        <v>0</v>
      </c>
      <c r="CT155" s="604">
        <f>N155*$K155</f>
        <v>0</v>
      </c>
      <c r="CU155" s="604">
        <f t="shared" si="446"/>
        <v>0</v>
      </c>
      <c r="CV155" s="604">
        <f t="shared" si="447"/>
        <v>0</v>
      </c>
      <c r="CW155" s="604">
        <f t="shared" si="448"/>
        <v>0</v>
      </c>
      <c r="CX155" s="604">
        <f t="shared" si="449"/>
        <v>0</v>
      </c>
      <c r="CY155" s="604">
        <f t="shared" si="450"/>
        <v>0</v>
      </c>
      <c r="CZ155" s="604">
        <f t="shared" si="451"/>
        <v>0</v>
      </c>
      <c r="DA155" s="604">
        <f t="shared" si="452"/>
        <v>0</v>
      </c>
      <c r="DB155" s="604">
        <f t="shared" si="453"/>
        <v>0</v>
      </c>
      <c r="DC155" s="604">
        <f t="shared" si="454"/>
        <v>0</v>
      </c>
      <c r="DD155" s="604">
        <f>N155*$L155</f>
        <v>0</v>
      </c>
      <c r="DE155" s="604">
        <f t="shared" si="455"/>
        <v>0</v>
      </c>
      <c r="DF155" s="604">
        <f t="shared" si="456"/>
        <v>0</v>
      </c>
      <c r="DG155" s="604">
        <f t="shared" si="457"/>
        <v>0</v>
      </c>
      <c r="DH155" s="604">
        <f t="shared" si="458"/>
        <v>0</v>
      </c>
      <c r="DI155" s="604">
        <f t="shared" si="459"/>
        <v>0</v>
      </c>
      <c r="DJ155" s="604">
        <f t="shared" si="460"/>
        <v>0</v>
      </c>
      <c r="DK155" s="604">
        <f t="shared" si="461"/>
        <v>0</v>
      </c>
      <c r="DL155" s="604">
        <f t="shared" si="462"/>
        <v>0</v>
      </c>
      <c r="DM155" s="604">
        <f t="shared" si="463"/>
        <v>0</v>
      </c>
      <c r="DN155" s="604">
        <f>N155*$M155</f>
        <v>0</v>
      </c>
      <c r="DO155" s="604">
        <f t="shared" si="464"/>
        <v>0</v>
      </c>
      <c r="DP155" s="604">
        <f t="shared" si="465"/>
        <v>0</v>
      </c>
      <c r="DQ155" s="604">
        <f t="shared" si="466"/>
        <v>0</v>
      </c>
      <c r="DR155" s="604">
        <f t="shared" si="467"/>
        <v>0</v>
      </c>
      <c r="DS155" s="604">
        <f t="shared" si="468"/>
        <v>0</v>
      </c>
      <c r="DT155" s="604">
        <f t="shared" si="469"/>
        <v>0</v>
      </c>
      <c r="DU155" s="604">
        <f t="shared" si="470"/>
        <v>0</v>
      </c>
      <c r="DV155" s="604">
        <f t="shared" si="471"/>
        <v>0</v>
      </c>
      <c r="DW155" s="604">
        <f t="shared" si="472"/>
        <v>0</v>
      </c>
      <c r="DX155" s="604">
        <v>4</v>
      </c>
      <c r="DY155" s="604">
        <f>DY153+1</f>
        <v>120</v>
      </c>
      <c r="DZ155" s="604">
        <f t="shared" si="417"/>
        <v>0</v>
      </c>
      <c r="EA155" s="604">
        <f t="shared" si="418"/>
        <v>0</v>
      </c>
      <c r="EB155" s="604">
        <f t="shared" si="415"/>
        <v>0</v>
      </c>
      <c r="EC155" s="604">
        <v>0.5</v>
      </c>
      <c r="ED155" s="604">
        <f t="shared" si="416"/>
        <v>0</v>
      </c>
    </row>
    <row r="156" spans="1:328" s="604" customFormat="1" hidden="1" x14ac:dyDescent="0.2">
      <c r="A156" s="604" t="s">
        <v>2518</v>
      </c>
      <c r="B156" s="798" t="str">
        <f>"bilancia con WP104 - "&amp;VLOOKUP(tipo_controllore1,controlloreParametri,15,FALSE)</f>
        <v>bilancia con WP104 - MODBUS RTU</v>
      </c>
      <c r="C156" s="639" t="s">
        <v>2490</v>
      </c>
      <c r="D156" s="649" t="str">
        <f>VLOOKUP(tipo_controllore1,controlloreParametri,16,FALSE)</f>
        <v>peso wp104 rete MODBUS RTU</v>
      </c>
      <c r="E156" s="889"/>
      <c r="F156" s="822">
        <f t="shared" si="492"/>
        <v>430</v>
      </c>
      <c r="G156" s="823"/>
      <c r="H156" s="798"/>
      <c r="I156" s="798"/>
      <c r="J156" s="798"/>
      <c r="K156" s="798"/>
      <c r="L156" s="798"/>
      <c r="M156" s="798"/>
      <c r="N156" s="824">
        <f>N154</f>
        <v>0</v>
      </c>
      <c r="O156" s="798"/>
      <c r="P156" s="798"/>
      <c r="Q156" s="798"/>
      <c r="R156" s="798"/>
      <c r="S156" s="798"/>
      <c r="T156" s="798"/>
      <c r="U156" s="798"/>
      <c r="V156" s="798"/>
      <c r="W156" s="798"/>
      <c r="X156" s="798"/>
      <c r="Y156" s="798"/>
      <c r="Z156" s="798"/>
      <c r="AA156" s="798"/>
      <c r="AB156" s="798"/>
      <c r="AC156" s="798"/>
      <c r="AD156" s="798"/>
      <c r="AE156" s="798"/>
      <c r="AF156" s="798"/>
      <c r="AH156" s="604">
        <f t="shared" ref="AH156:AH187" si="495">AI156+AN156+AP156+AR156+AT156+AV156+AX156+AZ156+BB156+BD156</f>
        <v>0</v>
      </c>
      <c r="AI156" s="604">
        <f t="shared" si="482"/>
        <v>0</v>
      </c>
      <c r="AJ156" s="705">
        <v>1</v>
      </c>
      <c r="AK156" s="705"/>
      <c r="AL156" s="706" t="str">
        <f t="shared" si="310"/>
        <v>1-peso wp104 rete MODBUS RTU</v>
      </c>
      <c r="AM156" s="632">
        <f>N156*$F156</f>
        <v>0</v>
      </c>
      <c r="AN156" s="640">
        <f t="shared" si="483"/>
        <v>0</v>
      </c>
      <c r="AO156" s="632">
        <f>P156*$F156</f>
        <v>0</v>
      </c>
      <c r="AP156" s="640">
        <f t="shared" si="484"/>
        <v>0</v>
      </c>
      <c r="AQ156" s="632">
        <f>R156*$F156</f>
        <v>0</v>
      </c>
      <c r="AR156" s="640">
        <f t="shared" si="485"/>
        <v>0</v>
      </c>
      <c r="AS156" s="632">
        <f>T156*$F156</f>
        <v>0</v>
      </c>
      <c r="AT156" s="640">
        <f t="shared" si="486"/>
        <v>0</v>
      </c>
      <c r="AU156" s="632">
        <f>V156*$F156</f>
        <v>0</v>
      </c>
      <c r="AV156" s="640">
        <f t="shared" si="487"/>
        <v>0</v>
      </c>
      <c r="AW156" s="632">
        <f>X156*$F156</f>
        <v>0</v>
      </c>
      <c r="AX156" s="640">
        <f t="shared" si="488"/>
        <v>0</v>
      </c>
      <c r="AY156" s="632">
        <f>Z156*$F156</f>
        <v>0</v>
      </c>
      <c r="AZ156" s="640">
        <f t="shared" si="489"/>
        <v>0</v>
      </c>
      <c r="BA156" s="632">
        <f>AB156*$F156</f>
        <v>0</v>
      </c>
      <c r="BB156" s="640">
        <f t="shared" si="490"/>
        <v>0</v>
      </c>
      <c r="BC156" s="632">
        <f>AD156*$F156</f>
        <v>0</v>
      </c>
      <c r="BD156" s="640">
        <f t="shared" si="491"/>
        <v>0</v>
      </c>
      <c r="BE156" s="632">
        <f>AF156*$F156</f>
        <v>0</v>
      </c>
      <c r="BF156" s="604">
        <f>N156*$G156</f>
        <v>0</v>
      </c>
      <c r="BG156" s="604">
        <f t="shared" si="428"/>
        <v>0</v>
      </c>
      <c r="BH156" s="604">
        <f t="shared" si="429"/>
        <v>0</v>
      </c>
      <c r="BI156" s="604">
        <f t="shared" si="430"/>
        <v>0</v>
      </c>
      <c r="BJ156" s="604">
        <f t="shared" si="431"/>
        <v>0</v>
      </c>
      <c r="BK156" s="604">
        <f t="shared" si="432"/>
        <v>0</v>
      </c>
      <c r="BL156" s="604">
        <f t="shared" si="433"/>
        <v>0</v>
      </c>
      <c r="BM156" s="604">
        <f t="shared" si="434"/>
        <v>0</v>
      </c>
      <c r="BN156" s="604">
        <f t="shared" si="435"/>
        <v>0</v>
      </c>
      <c r="BO156" s="604">
        <f t="shared" si="436"/>
        <v>0</v>
      </c>
      <c r="BP156" s="604">
        <f>N156*$H156</f>
        <v>0</v>
      </c>
      <c r="BQ156" s="604">
        <f t="shared" si="473"/>
        <v>0</v>
      </c>
      <c r="BR156" s="604">
        <f t="shared" si="474"/>
        <v>0</v>
      </c>
      <c r="BS156" s="604">
        <f t="shared" si="475"/>
        <v>0</v>
      </c>
      <c r="BT156" s="604">
        <f t="shared" si="476"/>
        <v>0</v>
      </c>
      <c r="BU156" s="604">
        <f t="shared" si="477"/>
        <v>0</v>
      </c>
      <c r="BV156" s="604">
        <f t="shared" si="478"/>
        <v>0</v>
      </c>
      <c r="BW156" s="604">
        <f t="shared" si="479"/>
        <v>0</v>
      </c>
      <c r="BX156" s="604">
        <f t="shared" si="480"/>
        <v>0</v>
      </c>
      <c r="BY156" s="604">
        <f t="shared" si="481"/>
        <v>0</v>
      </c>
      <c r="BZ156" s="604">
        <f>N156*$I156</f>
        <v>0</v>
      </c>
      <c r="CA156" s="604">
        <f t="shared" si="437"/>
        <v>0</v>
      </c>
      <c r="CB156" s="604">
        <f t="shared" si="438"/>
        <v>0</v>
      </c>
      <c r="CC156" s="604">
        <f t="shared" si="439"/>
        <v>0</v>
      </c>
      <c r="CD156" s="604">
        <f t="shared" si="440"/>
        <v>0</v>
      </c>
      <c r="CE156" s="604">
        <f t="shared" si="441"/>
        <v>0</v>
      </c>
      <c r="CF156" s="604">
        <f t="shared" si="442"/>
        <v>0</v>
      </c>
      <c r="CG156" s="604">
        <f t="shared" si="443"/>
        <v>0</v>
      </c>
      <c r="CH156" s="604">
        <f t="shared" si="444"/>
        <v>0</v>
      </c>
      <c r="CI156" s="604">
        <f t="shared" si="445"/>
        <v>0</v>
      </c>
      <c r="CJ156" s="604">
        <f t="shared" si="493"/>
        <v>0</v>
      </c>
      <c r="CK156" s="604">
        <f t="shared" si="419"/>
        <v>0</v>
      </c>
      <c r="CL156" s="604">
        <f t="shared" si="420"/>
        <v>0</v>
      </c>
      <c r="CM156" s="604">
        <f t="shared" si="421"/>
        <v>0</v>
      </c>
      <c r="CN156" s="604">
        <f t="shared" si="422"/>
        <v>0</v>
      </c>
      <c r="CO156" s="604">
        <f t="shared" si="423"/>
        <v>0</v>
      </c>
      <c r="CP156" s="604">
        <f t="shared" si="424"/>
        <v>0</v>
      </c>
      <c r="CQ156" s="604">
        <f t="shared" si="425"/>
        <v>0</v>
      </c>
      <c r="CR156" s="604">
        <f t="shared" si="426"/>
        <v>0</v>
      </c>
      <c r="CS156" s="604">
        <f t="shared" si="427"/>
        <v>0</v>
      </c>
      <c r="CT156" s="604">
        <f>N156*$K156</f>
        <v>0</v>
      </c>
      <c r="CU156" s="604">
        <f t="shared" si="446"/>
        <v>0</v>
      </c>
      <c r="CV156" s="604">
        <f t="shared" si="447"/>
        <v>0</v>
      </c>
      <c r="CW156" s="604">
        <f t="shared" si="448"/>
        <v>0</v>
      </c>
      <c r="CX156" s="604">
        <f t="shared" si="449"/>
        <v>0</v>
      </c>
      <c r="CY156" s="604">
        <f t="shared" si="450"/>
        <v>0</v>
      </c>
      <c r="CZ156" s="604">
        <f t="shared" si="451"/>
        <v>0</v>
      </c>
      <c r="DA156" s="604">
        <f t="shared" si="452"/>
        <v>0</v>
      </c>
      <c r="DB156" s="604">
        <f t="shared" si="453"/>
        <v>0</v>
      </c>
      <c r="DC156" s="604">
        <f t="shared" si="454"/>
        <v>0</v>
      </c>
      <c r="DD156" s="604">
        <f>N156*$L156</f>
        <v>0</v>
      </c>
      <c r="DE156" s="604">
        <f t="shared" si="455"/>
        <v>0</v>
      </c>
      <c r="DF156" s="604">
        <f t="shared" si="456"/>
        <v>0</v>
      </c>
      <c r="DG156" s="604">
        <f t="shared" si="457"/>
        <v>0</v>
      </c>
      <c r="DH156" s="604">
        <f t="shared" si="458"/>
        <v>0</v>
      </c>
      <c r="DI156" s="604">
        <f t="shared" si="459"/>
        <v>0</v>
      </c>
      <c r="DJ156" s="604">
        <f t="shared" si="460"/>
        <v>0</v>
      </c>
      <c r="DK156" s="604">
        <f t="shared" si="461"/>
        <v>0</v>
      </c>
      <c r="DL156" s="604">
        <f t="shared" si="462"/>
        <v>0</v>
      </c>
      <c r="DM156" s="604">
        <f t="shared" si="463"/>
        <v>0</v>
      </c>
      <c r="DN156" s="604">
        <f>N156*$M156</f>
        <v>0</v>
      </c>
      <c r="DO156" s="604">
        <f t="shared" si="464"/>
        <v>0</v>
      </c>
      <c r="DP156" s="604">
        <f t="shared" si="465"/>
        <v>0</v>
      </c>
      <c r="DQ156" s="604">
        <f t="shared" si="466"/>
        <v>0</v>
      </c>
      <c r="DR156" s="604">
        <f t="shared" si="467"/>
        <v>0</v>
      </c>
      <c r="DS156" s="604">
        <f t="shared" si="468"/>
        <v>0</v>
      </c>
      <c r="DT156" s="604">
        <f t="shared" si="469"/>
        <v>0</v>
      </c>
      <c r="DU156" s="604">
        <f t="shared" si="470"/>
        <v>0</v>
      </c>
      <c r="DV156" s="604">
        <f t="shared" si="471"/>
        <v>0</v>
      </c>
      <c r="DW156" s="604">
        <f t="shared" si="472"/>
        <v>0</v>
      </c>
      <c r="DX156" s="604">
        <v>5</v>
      </c>
      <c r="DY156" s="604">
        <f t="shared" si="311"/>
        <v>121</v>
      </c>
      <c r="DZ156" s="604">
        <f t="shared" si="417"/>
        <v>0</v>
      </c>
      <c r="EA156" s="604">
        <f t="shared" si="418"/>
        <v>0</v>
      </c>
      <c r="EB156" s="604">
        <f t="shared" ref="EB156:EB167" si="496">IF(C156="r",SUM(N156+P156+R156+T156+V156+X156+Z156+AB156+AD156+AF156),0)</f>
        <v>0</v>
      </c>
      <c r="EC156" s="604">
        <v>1.5</v>
      </c>
      <c r="ED156" s="604">
        <f t="shared" ref="ED156:ED167" si="497">SUM(N156:AF156)*EC156</f>
        <v>0</v>
      </c>
    </row>
    <row r="157" spans="1:328" s="603" customFormat="1" ht="15" hidden="1" thickBot="1" x14ac:dyDescent="0.25">
      <c r="A157" s="603" t="s">
        <v>2518</v>
      </c>
      <c r="B157" s="250" t="s">
        <v>2364</v>
      </c>
      <c r="C157" s="549" t="s">
        <v>2491</v>
      </c>
      <c r="D157" s="643" t="s">
        <v>659</v>
      </c>
      <c r="E157" s="889"/>
      <c r="F157" s="250">
        <f t="shared" si="492"/>
        <v>0</v>
      </c>
      <c r="G157" s="818">
        <v>1</v>
      </c>
      <c r="H157" s="250"/>
      <c r="I157" s="250"/>
      <c r="J157" s="250"/>
      <c r="K157" s="250"/>
      <c r="L157" s="250"/>
      <c r="M157" s="250"/>
      <c r="N157" s="668"/>
      <c r="O157" s="260"/>
      <c r="P157" s="250"/>
      <c r="Q157" s="250"/>
      <c r="R157" s="250"/>
      <c r="S157" s="250"/>
      <c r="T157" s="250"/>
      <c r="U157" s="250"/>
      <c r="V157" s="250"/>
      <c r="W157" s="250"/>
      <c r="X157" s="250"/>
      <c r="Y157" s="250"/>
      <c r="Z157" s="250"/>
      <c r="AA157" s="250"/>
      <c r="AB157" s="250"/>
      <c r="AC157" s="250"/>
      <c r="AD157" s="250"/>
      <c r="AE157" s="250"/>
      <c r="AF157" s="250"/>
      <c r="AG157" s="549"/>
      <c r="AH157" s="549">
        <f t="shared" si="495"/>
        <v>0</v>
      </c>
      <c r="AI157" s="603">
        <f t="shared" si="482"/>
        <v>0</v>
      </c>
      <c r="AJ157" s="705">
        <v>2</v>
      </c>
      <c r="AK157" s="705"/>
      <c r="AL157" s="706" t="str">
        <f t="shared" ref="AL157:AL194" si="498">AJ157&amp;"-"&amp;D157</f>
        <v>2-peso SIWAREX</v>
      </c>
      <c r="AM157" s="629">
        <f>N157*$F157</f>
        <v>0</v>
      </c>
      <c r="AN157" s="641">
        <f t="shared" si="483"/>
        <v>0</v>
      </c>
      <c r="AO157" s="629">
        <f>P157*$F157</f>
        <v>0</v>
      </c>
      <c r="AP157" s="641">
        <f t="shared" si="484"/>
        <v>0</v>
      </c>
      <c r="AQ157" s="629">
        <f>R157*$F157</f>
        <v>0</v>
      </c>
      <c r="AR157" s="641">
        <f t="shared" si="485"/>
        <v>0</v>
      </c>
      <c r="AS157" s="629">
        <f>T157*$F157</f>
        <v>0</v>
      </c>
      <c r="AT157" s="641">
        <f t="shared" si="486"/>
        <v>0</v>
      </c>
      <c r="AU157" s="629">
        <f>V157*$F157</f>
        <v>0</v>
      </c>
      <c r="AV157" s="641">
        <f t="shared" si="487"/>
        <v>0</v>
      </c>
      <c r="AW157" s="629">
        <f>X157*$F157</f>
        <v>0</v>
      </c>
      <c r="AX157" s="641">
        <f t="shared" si="488"/>
        <v>0</v>
      </c>
      <c r="AY157" s="629">
        <f>Z157*$F157</f>
        <v>0</v>
      </c>
      <c r="AZ157" s="641">
        <f t="shared" si="489"/>
        <v>0</v>
      </c>
      <c r="BA157" s="629">
        <f>AB157*$F157</f>
        <v>0</v>
      </c>
      <c r="BB157" s="641">
        <f t="shared" si="490"/>
        <v>0</v>
      </c>
      <c r="BC157" s="629">
        <f>AD157*$F157</f>
        <v>0</v>
      </c>
      <c r="BD157" s="641">
        <f t="shared" si="491"/>
        <v>0</v>
      </c>
      <c r="BE157" s="629">
        <f>AF157*$F157</f>
        <v>0</v>
      </c>
      <c r="BF157" s="603">
        <f>N157*$G157</f>
        <v>0</v>
      </c>
      <c r="BG157" s="603">
        <f t="shared" si="428"/>
        <v>0</v>
      </c>
      <c r="BH157" s="603">
        <f t="shared" si="429"/>
        <v>0</v>
      </c>
      <c r="BI157" s="603">
        <f t="shared" si="430"/>
        <v>0</v>
      </c>
      <c r="BJ157" s="603">
        <f t="shared" si="431"/>
        <v>0</v>
      </c>
      <c r="BK157" s="603">
        <f t="shared" si="432"/>
        <v>0</v>
      </c>
      <c r="BL157" s="603">
        <f t="shared" si="433"/>
        <v>0</v>
      </c>
      <c r="BM157" s="603">
        <f t="shared" si="434"/>
        <v>0</v>
      </c>
      <c r="BN157" s="603">
        <f t="shared" si="435"/>
        <v>0</v>
      </c>
      <c r="BO157" s="603">
        <f t="shared" si="436"/>
        <v>0</v>
      </c>
      <c r="BP157" s="603">
        <f>N157*$H157</f>
        <v>0</v>
      </c>
      <c r="BQ157" s="603">
        <f t="shared" si="473"/>
        <v>0</v>
      </c>
      <c r="BR157" s="603">
        <f t="shared" si="474"/>
        <v>0</v>
      </c>
      <c r="BS157" s="603">
        <f t="shared" si="475"/>
        <v>0</v>
      </c>
      <c r="BT157" s="603">
        <f t="shared" si="476"/>
        <v>0</v>
      </c>
      <c r="BU157" s="603">
        <f t="shared" si="477"/>
        <v>0</v>
      </c>
      <c r="BV157" s="603">
        <f t="shared" si="478"/>
        <v>0</v>
      </c>
      <c r="BW157" s="603">
        <f t="shared" si="479"/>
        <v>0</v>
      </c>
      <c r="BX157" s="603">
        <f t="shared" si="480"/>
        <v>0</v>
      </c>
      <c r="BY157" s="603">
        <f t="shared" si="481"/>
        <v>0</v>
      </c>
      <c r="BZ157" s="603">
        <f>N157*$I157</f>
        <v>0</v>
      </c>
      <c r="CA157" s="603">
        <f t="shared" si="437"/>
        <v>0</v>
      </c>
      <c r="CB157" s="603">
        <f t="shared" si="438"/>
        <v>0</v>
      </c>
      <c r="CC157" s="603">
        <f t="shared" si="439"/>
        <v>0</v>
      </c>
      <c r="CD157" s="603">
        <f t="shared" si="440"/>
        <v>0</v>
      </c>
      <c r="CE157" s="603">
        <f t="shared" si="441"/>
        <v>0</v>
      </c>
      <c r="CF157" s="603">
        <f t="shared" si="442"/>
        <v>0</v>
      </c>
      <c r="CG157" s="603">
        <f t="shared" si="443"/>
        <v>0</v>
      </c>
      <c r="CH157" s="603">
        <f t="shared" si="444"/>
        <v>0</v>
      </c>
      <c r="CI157" s="603">
        <f t="shared" si="445"/>
        <v>0</v>
      </c>
      <c r="CJ157" s="603">
        <f t="shared" si="493"/>
        <v>0</v>
      </c>
      <c r="CK157" s="603">
        <f t="shared" si="419"/>
        <v>0</v>
      </c>
      <c r="CL157" s="603">
        <f t="shared" si="420"/>
        <v>0</v>
      </c>
      <c r="CM157" s="603">
        <f t="shared" si="421"/>
        <v>0</v>
      </c>
      <c r="CN157" s="603">
        <f t="shared" si="422"/>
        <v>0</v>
      </c>
      <c r="CO157" s="603">
        <f t="shared" si="423"/>
        <v>0</v>
      </c>
      <c r="CP157" s="603">
        <f t="shared" si="424"/>
        <v>0</v>
      </c>
      <c r="CQ157" s="603">
        <f t="shared" si="425"/>
        <v>0</v>
      </c>
      <c r="CR157" s="603">
        <f t="shared" si="426"/>
        <v>0</v>
      </c>
      <c r="CS157" s="603">
        <f t="shared" si="427"/>
        <v>0</v>
      </c>
      <c r="CT157" s="603">
        <f>N157*$K157</f>
        <v>0</v>
      </c>
      <c r="CU157" s="603">
        <f t="shared" si="446"/>
        <v>0</v>
      </c>
      <c r="CV157" s="603">
        <f t="shared" si="447"/>
        <v>0</v>
      </c>
      <c r="CW157" s="603">
        <f t="shared" si="448"/>
        <v>0</v>
      </c>
      <c r="CX157" s="603">
        <f t="shared" si="449"/>
        <v>0</v>
      </c>
      <c r="CY157" s="603">
        <f t="shared" si="450"/>
        <v>0</v>
      </c>
      <c r="CZ157" s="603">
        <f t="shared" si="451"/>
        <v>0</v>
      </c>
      <c r="DA157" s="603">
        <f t="shared" si="452"/>
        <v>0</v>
      </c>
      <c r="DB157" s="603">
        <f t="shared" si="453"/>
        <v>0</v>
      </c>
      <c r="DC157" s="603">
        <f t="shared" si="454"/>
        <v>0</v>
      </c>
      <c r="DD157" s="603">
        <f>N157*$L157</f>
        <v>0</v>
      </c>
      <c r="DE157" s="603">
        <f t="shared" si="455"/>
        <v>0</v>
      </c>
      <c r="DF157" s="603">
        <f t="shared" si="456"/>
        <v>0</v>
      </c>
      <c r="DG157" s="603">
        <f t="shared" si="457"/>
        <v>0</v>
      </c>
      <c r="DH157" s="603">
        <f t="shared" si="458"/>
        <v>0</v>
      </c>
      <c r="DI157" s="603">
        <f t="shared" si="459"/>
        <v>0</v>
      </c>
      <c r="DJ157" s="603">
        <f t="shared" si="460"/>
        <v>0</v>
      </c>
      <c r="DK157" s="603">
        <f t="shared" si="461"/>
        <v>0</v>
      </c>
      <c r="DL157" s="603">
        <f t="shared" si="462"/>
        <v>0</v>
      </c>
      <c r="DM157" s="603">
        <f t="shared" si="463"/>
        <v>0</v>
      </c>
      <c r="DN157" s="603">
        <f>N157*$M157</f>
        <v>0</v>
      </c>
      <c r="DO157" s="603">
        <f t="shared" si="464"/>
        <v>0</v>
      </c>
      <c r="DP157" s="603">
        <f t="shared" si="465"/>
        <v>0</v>
      </c>
      <c r="DQ157" s="603">
        <f t="shared" si="466"/>
        <v>0</v>
      </c>
      <c r="DR157" s="603">
        <f t="shared" si="467"/>
        <v>0</v>
      </c>
      <c r="DS157" s="603">
        <f t="shared" si="468"/>
        <v>0</v>
      </c>
      <c r="DT157" s="603">
        <f t="shared" si="469"/>
        <v>0</v>
      </c>
      <c r="DU157" s="603">
        <f t="shared" si="470"/>
        <v>0</v>
      </c>
      <c r="DV157" s="603">
        <f t="shared" si="471"/>
        <v>0</v>
      </c>
      <c r="DW157" s="603">
        <f t="shared" si="472"/>
        <v>0</v>
      </c>
      <c r="DX157" s="603">
        <v>6</v>
      </c>
      <c r="DY157" s="603">
        <f t="shared" si="311"/>
        <v>122</v>
      </c>
      <c r="DZ157" s="603">
        <f t="shared" si="417"/>
        <v>0</v>
      </c>
      <c r="EA157" s="603">
        <f t="shared" si="418"/>
        <v>0</v>
      </c>
      <c r="EB157" s="603">
        <f t="shared" si="496"/>
        <v>0</v>
      </c>
      <c r="EC157" s="603">
        <v>2.5</v>
      </c>
      <c r="ED157" s="603">
        <f t="shared" si="497"/>
        <v>0</v>
      </c>
    </row>
    <row r="158" spans="1:328" s="602" customFormat="1" hidden="1" x14ac:dyDescent="0.2">
      <c r="A158" s="602" t="s">
        <v>2518</v>
      </c>
      <c r="B158" s="799" t="str">
        <f>"bilancia con WP104 - "&amp;VLOOKUP(tipo_controllore2,controlloreParametri,15,FALSE)</f>
        <v>bilancia con WP104 - PROFIBUS</v>
      </c>
      <c r="C158" s="638" t="s">
        <v>2491</v>
      </c>
      <c r="D158" s="650" t="str">
        <f>VLOOKUP(tipo_controllore2,controlloreParametri,16,FALSE)</f>
        <v>peso wp104 rete PROFIBUS</v>
      </c>
      <c r="E158" s="889"/>
      <c r="F158" s="819">
        <f t="shared" si="492"/>
        <v>880</v>
      </c>
      <c r="G158" s="820"/>
      <c r="H158" s="799"/>
      <c r="I158" s="799"/>
      <c r="J158" s="799"/>
      <c r="K158" s="799"/>
      <c r="L158" s="799"/>
      <c r="M158" s="799"/>
      <c r="N158" s="821">
        <f>N154</f>
        <v>0</v>
      </c>
      <c r="O158" s="821">
        <f t="shared" ref="O158:AF158" si="499">O156</f>
        <v>0</v>
      </c>
      <c r="P158" s="821">
        <f t="shared" si="499"/>
        <v>0</v>
      </c>
      <c r="Q158" s="821">
        <f t="shared" si="499"/>
        <v>0</v>
      </c>
      <c r="R158" s="821">
        <f t="shared" si="499"/>
        <v>0</v>
      </c>
      <c r="S158" s="821">
        <f t="shared" si="499"/>
        <v>0</v>
      </c>
      <c r="T158" s="821">
        <f t="shared" si="499"/>
        <v>0</v>
      </c>
      <c r="U158" s="821">
        <f t="shared" si="499"/>
        <v>0</v>
      </c>
      <c r="V158" s="821">
        <f t="shared" si="499"/>
        <v>0</v>
      </c>
      <c r="W158" s="821">
        <f t="shared" si="499"/>
        <v>0</v>
      </c>
      <c r="X158" s="821">
        <f t="shared" si="499"/>
        <v>0</v>
      </c>
      <c r="Y158" s="821">
        <f t="shared" si="499"/>
        <v>0</v>
      </c>
      <c r="Z158" s="821">
        <f t="shared" si="499"/>
        <v>0</v>
      </c>
      <c r="AA158" s="821">
        <f t="shared" si="499"/>
        <v>0</v>
      </c>
      <c r="AB158" s="821">
        <f t="shared" si="499"/>
        <v>0</v>
      </c>
      <c r="AC158" s="821">
        <f t="shared" si="499"/>
        <v>0</v>
      </c>
      <c r="AD158" s="821">
        <f t="shared" si="499"/>
        <v>0</v>
      </c>
      <c r="AE158" s="821">
        <f t="shared" si="499"/>
        <v>0</v>
      </c>
      <c r="AF158" s="821">
        <f t="shared" si="499"/>
        <v>0</v>
      </c>
      <c r="AH158" s="602">
        <f t="shared" si="495"/>
        <v>0</v>
      </c>
      <c r="AI158" s="602">
        <f t="shared" si="482"/>
        <v>0</v>
      </c>
      <c r="AJ158" s="705">
        <v>2</v>
      </c>
      <c r="AK158" s="705"/>
      <c r="AL158" s="706" t="str">
        <f t="shared" si="498"/>
        <v>2-peso wp104 rete PROFIBUS</v>
      </c>
      <c r="AM158" s="630">
        <f>N158*$F158</f>
        <v>0</v>
      </c>
      <c r="AN158" s="642">
        <f t="shared" si="483"/>
        <v>0</v>
      </c>
      <c r="AO158" s="630">
        <f>P158*$F158</f>
        <v>0</v>
      </c>
      <c r="AP158" s="642">
        <f t="shared" si="484"/>
        <v>0</v>
      </c>
      <c r="AQ158" s="630">
        <f>R158*$F158</f>
        <v>0</v>
      </c>
      <c r="AR158" s="642">
        <f t="shared" si="485"/>
        <v>0</v>
      </c>
      <c r="AS158" s="630">
        <f>T158*$F158</f>
        <v>0</v>
      </c>
      <c r="AT158" s="642">
        <f t="shared" si="486"/>
        <v>0</v>
      </c>
      <c r="AU158" s="630">
        <f>V158*$F158</f>
        <v>0</v>
      </c>
      <c r="AV158" s="642">
        <f t="shared" si="487"/>
        <v>0</v>
      </c>
      <c r="AW158" s="630">
        <f>X158*$F158</f>
        <v>0</v>
      </c>
      <c r="AX158" s="642">
        <f t="shared" si="488"/>
        <v>0</v>
      </c>
      <c r="AY158" s="630">
        <f>Z158*$F158</f>
        <v>0</v>
      </c>
      <c r="AZ158" s="642">
        <f t="shared" si="489"/>
        <v>0</v>
      </c>
      <c r="BA158" s="630">
        <f>AB158*$F158</f>
        <v>0</v>
      </c>
      <c r="BB158" s="642">
        <f t="shared" si="490"/>
        <v>0</v>
      </c>
      <c r="BC158" s="630">
        <f>AD158*$F158</f>
        <v>0</v>
      </c>
      <c r="BD158" s="642">
        <f t="shared" si="491"/>
        <v>0</v>
      </c>
      <c r="BE158" s="630">
        <f>AF158*$F158</f>
        <v>0</v>
      </c>
      <c r="BF158" s="602">
        <f>N158*$G158</f>
        <v>0</v>
      </c>
      <c r="BG158" s="602">
        <f t="shared" si="428"/>
        <v>0</v>
      </c>
      <c r="BH158" s="602">
        <f t="shared" si="429"/>
        <v>0</v>
      </c>
      <c r="BI158" s="602">
        <f t="shared" si="430"/>
        <v>0</v>
      </c>
      <c r="BJ158" s="602">
        <f t="shared" si="431"/>
        <v>0</v>
      </c>
      <c r="BK158" s="602">
        <f t="shared" si="432"/>
        <v>0</v>
      </c>
      <c r="BL158" s="602">
        <f t="shared" si="433"/>
        <v>0</v>
      </c>
      <c r="BM158" s="602">
        <f t="shared" si="434"/>
        <v>0</v>
      </c>
      <c r="BN158" s="602">
        <f t="shared" si="435"/>
        <v>0</v>
      </c>
      <c r="BO158" s="602">
        <f t="shared" si="436"/>
        <v>0</v>
      </c>
      <c r="BP158" s="602">
        <f>N158*$H158</f>
        <v>0</v>
      </c>
      <c r="BQ158" s="602">
        <f t="shared" si="473"/>
        <v>0</v>
      </c>
      <c r="BR158" s="602">
        <f t="shared" si="474"/>
        <v>0</v>
      </c>
      <c r="BS158" s="602">
        <f t="shared" si="475"/>
        <v>0</v>
      </c>
      <c r="BT158" s="602">
        <f t="shared" si="476"/>
        <v>0</v>
      </c>
      <c r="BU158" s="602">
        <f t="shared" si="477"/>
        <v>0</v>
      </c>
      <c r="BV158" s="602">
        <f t="shared" si="478"/>
        <v>0</v>
      </c>
      <c r="BW158" s="602">
        <f t="shared" si="479"/>
        <v>0</v>
      </c>
      <c r="BX158" s="602">
        <f t="shared" si="480"/>
        <v>0</v>
      </c>
      <c r="BY158" s="602">
        <f t="shared" si="481"/>
        <v>0</v>
      </c>
      <c r="BZ158" s="602">
        <f>N158*$I158</f>
        <v>0</v>
      </c>
      <c r="CA158" s="602">
        <f t="shared" si="437"/>
        <v>0</v>
      </c>
      <c r="CB158" s="602">
        <f t="shared" si="438"/>
        <v>0</v>
      </c>
      <c r="CC158" s="602">
        <f t="shared" si="439"/>
        <v>0</v>
      </c>
      <c r="CD158" s="602">
        <f t="shared" si="440"/>
        <v>0</v>
      </c>
      <c r="CE158" s="602">
        <f t="shared" si="441"/>
        <v>0</v>
      </c>
      <c r="CF158" s="602">
        <f t="shared" si="442"/>
        <v>0</v>
      </c>
      <c r="CG158" s="602">
        <f t="shared" si="443"/>
        <v>0</v>
      </c>
      <c r="CH158" s="602">
        <f t="shared" si="444"/>
        <v>0</v>
      </c>
      <c r="CI158" s="602">
        <f t="shared" si="445"/>
        <v>0</v>
      </c>
      <c r="CJ158" s="602">
        <f t="shared" si="493"/>
        <v>0</v>
      </c>
      <c r="CK158" s="602">
        <f t="shared" si="419"/>
        <v>0</v>
      </c>
      <c r="CL158" s="602">
        <f t="shared" si="420"/>
        <v>0</v>
      </c>
      <c r="CM158" s="602">
        <f t="shared" si="421"/>
        <v>0</v>
      </c>
      <c r="CN158" s="602">
        <f t="shared" si="422"/>
        <v>0</v>
      </c>
      <c r="CO158" s="602">
        <f t="shared" si="423"/>
        <v>0</v>
      </c>
      <c r="CP158" s="602">
        <f t="shared" si="424"/>
        <v>0</v>
      </c>
      <c r="CQ158" s="602">
        <f t="shared" si="425"/>
        <v>0</v>
      </c>
      <c r="CR158" s="602">
        <f t="shared" si="426"/>
        <v>0</v>
      </c>
      <c r="CS158" s="602">
        <f t="shared" si="427"/>
        <v>0</v>
      </c>
      <c r="CT158" s="602">
        <f>N158*$K158</f>
        <v>0</v>
      </c>
      <c r="CU158" s="602">
        <f t="shared" si="446"/>
        <v>0</v>
      </c>
      <c r="CV158" s="602">
        <f t="shared" si="447"/>
        <v>0</v>
      </c>
      <c r="CW158" s="602">
        <f t="shared" si="448"/>
        <v>0</v>
      </c>
      <c r="CX158" s="602">
        <f t="shared" si="449"/>
        <v>0</v>
      </c>
      <c r="CY158" s="602">
        <f t="shared" si="450"/>
        <v>0</v>
      </c>
      <c r="CZ158" s="602">
        <f t="shared" si="451"/>
        <v>0</v>
      </c>
      <c r="DA158" s="602">
        <f t="shared" si="452"/>
        <v>0</v>
      </c>
      <c r="DB158" s="602">
        <f t="shared" si="453"/>
        <v>0</v>
      </c>
      <c r="DC158" s="602">
        <f t="shared" si="454"/>
        <v>0</v>
      </c>
      <c r="DD158" s="602">
        <f>N158*$L158</f>
        <v>0</v>
      </c>
      <c r="DE158" s="602">
        <f t="shared" si="455"/>
        <v>0</v>
      </c>
      <c r="DF158" s="602">
        <f t="shared" si="456"/>
        <v>0</v>
      </c>
      <c r="DG158" s="602">
        <f t="shared" si="457"/>
        <v>0</v>
      </c>
      <c r="DH158" s="602">
        <f t="shared" si="458"/>
        <v>0</v>
      </c>
      <c r="DI158" s="602">
        <f t="shared" si="459"/>
        <v>0</v>
      </c>
      <c r="DJ158" s="602">
        <f t="shared" si="460"/>
        <v>0</v>
      </c>
      <c r="DK158" s="602">
        <f t="shared" si="461"/>
        <v>0</v>
      </c>
      <c r="DL158" s="602">
        <f t="shared" si="462"/>
        <v>0</v>
      </c>
      <c r="DM158" s="602">
        <f t="shared" si="463"/>
        <v>0</v>
      </c>
      <c r="DN158" s="602">
        <f>N158*$M158</f>
        <v>0</v>
      </c>
      <c r="DO158" s="602">
        <f t="shared" si="464"/>
        <v>0</v>
      </c>
      <c r="DP158" s="602">
        <f t="shared" si="465"/>
        <v>0</v>
      </c>
      <c r="DQ158" s="602">
        <f t="shared" si="466"/>
        <v>0</v>
      </c>
      <c r="DR158" s="602">
        <f t="shared" si="467"/>
        <v>0</v>
      </c>
      <c r="DS158" s="602">
        <f t="shared" si="468"/>
        <v>0</v>
      </c>
      <c r="DT158" s="602">
        <f t="shared" si="469"/>
        <v>0</v>
      </c>
      <c r="DU158" s="602">
        <f t="shared" si="470"/>
        <v>0</v>
      </c>
      <c r="DV158" s="602">
        <f t="shared" si="471"/>
        <v>0</v>
      </c>
      <c r="DW158" s="602">
        <f t="shared" si="472"/>
        <v>0</v>
      </c>
      <c r="DX158" s="602">
        <v>4</v>
      </c>
      <c r="DY158" s="602">
        <f>DY155+1</f>
        <v>121</v>
      </c>
      <c r="DZ158" s="602">
        <f t="shared" si="417"/>
        <v>0</v>
      </c>
      <c r="EA158" s="602">
        <f t="shared" si="418"/>
        <v>0</v>
      </c>
      <c r="EB158" s="602">
        <f t="shared" si="496"/>
        <v>0</v>
      </c>
      <c r="ED158" s="602">
        <f t="shared" si="497"/>
        <v>0</v>
      </c>
    </row>
    <row r="159" spans="1:328" s="219" customFormat="1" x14ac:dyDescent="0.2">
      <c r="A159" s="215" t="s">
        <v>668</v>
      </c>
      <c r="B159" s="817" t="s">
        <v>1286</v>
      </c>
      <c r="C159" s="221" t="s">
        <v>2490</v>
      </c>
      <c r="D159" s="652" t="s">
        <v>1286</v>
      </c>
      <c r="E159" s="889"/>
      <c r="F159" s="635">
        <f t="shared" si="492"/>
        <v>0</v>
      </c>
      <c r="G159" s="702"/>
      <c r="H159" s="525"/>
      <c r="I159" s="525">
        <v>1</v>
      </c>
      <c r="J159" s="525"/>
      <c r="K159" s="525"/>
      <c r="L159" s="525"/>
      <c r="M159" s="525"/>
      <c r="N159" s="667">
        <v>0</v>
      </c>
      <c r="O159" s="217"/>
      <c r="P159" s="256"/>
      <c r="Q159" s="217"/>
      <c r="R159" s="217"/>
      <c r="S159" s="217"/>
      <c r="T159" s="256"/>
      <c r="U159" s="217"/>
      <c r="V159" s="217"/>
      <c r="W159" s="217"/>
      <c r="X159" s="256"/>
      <c r="Y159" s="217"/>
      <c r="Z159" s="217"/>
      <c r="AA159" s="217"/>
      <c r="AB159" s="256"/>
      <c r="AC159" s="256"/>
      <c r="AD159" s="217"/>
      <c r="AE159" s="256"/>
      <c r="AF159" s="256"/>
      <c r="AG159" s="72"/>
      <c r="AH159" s="546">
        <f t="shared" si="495"/>
        <v>0</v>
      </c>
      <c r="AI159" s="216">
        <f t="shared" si="482"/>
        <v>0</v>
      </c>
      <c r="AJ159" s="216"/>
      <c r="AK159" s="216"/>
      <c r="AL159" s="706" t="str">
        <f t="shared" si="498"/>
        <v>-contalitri</v>
      </c>
      <c r="AM159" s="687">
        <f>N159*$F159</f>
        <v>0</v>
      </c>
      <c r="AN159" s="679">
        <f t="shared" si="483"/>
        <v>0</v>
      </c>
      <c r="AO159" s="687">
        <f>P159*$F159</f>
        <v>0</v>
      </c>
      <c r="AP159" s="679">
        <f t="shared" si="484"/>
        <v>0</v>
      </c>
      <c r="AQ159" s="687">
        <f>R159*$F159</f>
        <v>0</v>
      </c>
      <c r="AR159" s="679">
        <f t="shared" si="485"/>
        <v>0</v>
      </c>
      <c r="AS159" s="687">
        <f>T159*$F159</f>
        <v>0</v>
      </c>
      <c r="AT159" s="679">
        <f t="shared" si="486"/>
        <v>0</v>
      </c>
      <c r="AU159" s="687">
        <f>V159*$F159</f>
        <v>0</v>
      </c>
      <c r="AV159" s="679">
        <f t="shared" si="487"/>
        <v>0</v>
      </c>
      <c r="AW159" s="687">
        <f>X159*$F159</f>
        <v>0</v>
      </c>
      <c r="AX159" s="679">
        <f t="shared" si="488"/>
        <v>0</v>
      </c>
      <c r="AY159" s="687">
        <f>Z159*$F159</f>
        <v>0</v>
      </c>
      <c r="AZ159" s="679">
        <f t="shared" si="489"/>
        <v>0</v>
      </c>
      <c r="BA159" s="687">
        <f>AB159*$F159</f>
        <v>0</v>
      </c>
      <c r="BB159" s="679">
        <f t="shared" si="490"/>
        <v>0</v>
      </c>
      <c r="BC159" s="687">
        <f>AD159*$F159</f>
        <v>0</v>
      </c>
      <c r="BD159" s="679">
        <f t="shared" si="491"/>
        <v>0</v>
      </c>
      <c r="BE159" s="687">
        <f>AF159*$F159</f>
        <v>0</v>
      </c>
      <c r="BF159" s="219">
        <f>N159*$G159</f>
        <v>0</v>
      </c>
      <c r="BG159" s="219">
        <f t="shared" si="428"/>
        <v>0</v>
      </c>
      <c r="BH159" s="219">
        <f t="shared" si="429"/>
        <v>0</v>
      </c>
      <c r="BI159" s="219">
        <f t="shared" si="430"/>
        <v>0</v>
      </c>
      <c r="BJ159" s="219">
        <f t="shared" si="431"/>
        <v>0</v>
      </c>
      <c r="BK159" s="219">
        <f t="shared" si="432"/>
        <v>0</v>
      </c>
      <c r="BL159" s="219">
        <f t="shared" si="433"/>
        <v>0</v>
      </c>
      <c r="BM159" s="219">
        <f t="shared" si="434"/>
        <v>0</v>
      </c>
      <c r="BN159" s="219">
        <f t="shared" si="435"/>
        <v>0</v>
      </c>
      <c r="BO159" s="220">
        <f t="shared" si="436"/>
        <v>0</v>
      </c>
      <c r="BP159" s="219">
        <f>N159*$H159</f>
        <v>0</v>
      </c>
      <c r="BQ159" s="219">
        <f t="shared" si="473"/>
        <v>0</v>
      </c>
      <c r="BR159" s="219">
        <f t="shared" si="474"/>
        <v>0</v>
      </c>
      <c r="BS159" s="219">
        <f t="shared" si="475"/>
        <v>0</v>
      </c>
      <c r="BT159" s="219">
        <f t="shared" si="476"/>
        <v>0</v>
      </c>
      <c r="BU159" s="219">
        <f t="shared" si="477"/>
        <v>0</v>
      </c>
      <c r="BV159" s="219">
        <f t="shared" si="478"/>
        <v>0</v>
      </c>
      <c r="BW159" s="219">
        <f t="shared" si="479"/>
        <v>0</v>
      </c>
      <c r="BX159" s="219">
        <f t="shared" si="480"/>
        <v>0</v>
      </c>
      <c r="BY159" s="220">
        <f t="shared" si="481"/>
        <v>0</v>
      </c>
      <c r="BZ159" s="219">
        <f>N159*$I159</f>
        <v>0</v>
      </c>
      <c r="CA159" s="219">
        <f t="shared" si="437"/>
        <v>0</v>
      </c>
      <c r="CB159" s="219">
        <f t="shared" si="438"/>
        <v>0</v>
      </c>
      <c r="CC159" s="219">
        <f t="shared" si="439"/>
        <v>0</v>
      </c>
      <c r="CD159" s="219">
        <f t="shared" si="440"/>
        <v>0</v>
      </c>
      <c r="CE159" s="219">
        <f t="shared" si="441"/>
        <v>0</v>
      </c>
      <c r="CF159" s="219">
        <f t="shared" si="442"/>
        <v>0</v>
      </c>
      <c r="CG159" s="219">
        <f t="shared" si="443"/>
        <v>0</v>
      </c>
      <c r="CH159" s="219">
        <f t="shared" si="444"/>
        <v>0</v>
      </c>
      <c r="CI159" s="220">
        <f t="shared" si="445"/>
        <v>0</v>
      </c>
      <c r="CJ159" s="219">
        <f t="shared" si="493"/>
        <v>0</v>
      </c>
      <c r="CK159" s="219">
        <f t="shared" si="419"/>
        <v>0</v>
      </c>
      <c r="CL159" s="219">
        <f t="shared" si="420"/>
        <v>0</v>
      </c>
      <c r="CM159" s="219">
        <f t="shared" si="421"/>
        <v>0</v>
      </c>
      <c r="CN159" s="219">
        <f t="shared" si="422"/>
        <v>0</v>
      </c>
      <c r="CO159" s="219">
        <f t="shared" si="423"/>
        <v>0</v>
      </c>
      <c r="CP159" s="219">
        <f t="shared" si="424"/>
        <v>0</v>
      </c>
      <c r="CQ159" s="219">
        <f t="shared" si="425"/>
        <v>0</v>
      </c>
      <c r="CR159" s="219">
        <f t="shared" si="426"/>
        <v>0</v>
      </c>
      <c r="CS159" s="220">
        <f t="shared" si="427"/>
        <v>0</v>
      </c>
      <c r="CT159" s="219">
        <f>N159*$K159</f>
        <v>0</v>
      </c>
      <c r="CU159" s="219">
        <f t="shared" si="446"/>
        <v>0</v>
      </c>
      <c r="CV159" s="219">
        <f t="shared" si="447"/>
        <v>0</v>
      </c>
      <c r="CW159" s="219">
        <f t="shared" si="448"/>
        <v>0</v>
      </c>
      <c r="CX159" s="219">
        <f t="shared" si="449"/>
        <v>0</v>
      </c>
      <c r="CY159" s="219">
        <f t="shared" si="450"/>
        <v>0</v>
      </c>
      <c r="CZ159" s="219">
        <f t="shared" si="451"/>
        <v>0</v>
      </c>
      <c r="DA159" s="219">
        <f t="shared" si="452"/>
        <v>0</v>
      </c>
      <c r="DB159" s="219">
        <f t="shared" si="453"/>
        <v>0</v>
      </c>
      <c r="DC159" s="220">
        <f t="shared" si="454"/>
        <v>0</v>
      </c>
      <c r="DD159" s="219">
        <f>N159*$L159</f>
        <v>0</v>
      </c>
      <c r="DE159" s="219">
        <f t="shared" si="455"/>
        <v>0</v>
      </c>
      <c r="DF159" s="219">
        <f t="shared" si="456"/>
        <v>0</v>
      </c>
      <c r="DG159" s="219">
        <f t="shared" si="457"/>
        <v>0</v>
      </c>
      <c r="DH159" s="219">
        <f t="shared" si="458"/>
        <v>0</v>
      </c>
      <c r="DI159" s="219">
        <f t="shared" si="459"/>
        <v>0</v>
      </c>
      <c r="DJ159" s="219">
        <f t="shared" si="460"/>
        <v>0</v>
      </c>
      <c r="DK159" s="219">
        <f t="shared" si="461"/>
        <v>0</v>
      </c>
      <c r="DL159" s="219">
        <f t="shared" si="462"/>
        <v>0</v>
      </c>
      <c r="DM159" s="220">
        <f t="shared" si="463"/>
        <v>0</v>
      </c>
      <c r="DN159" s="219">
        <f>N159*$M159</f>
        <v>0</v>
      </c>
      <c r="DO159" s="219">
        <f t="shared" si="464"/>
        <v>0</v>
      </c>
      <c r="DP159" s="219">
        <f t="shared" si="465"/>
        <v>0</v>
      </c>
      <c r="DQ159" s="219">
        <f t="shared" si="466"/>
        <v>0</v>
      </c>
      <c r="DR159" s="219">
        <f t="shared" si="467"/>
        <v>0</v>
      </c>
      <c r="DS159" s="219">
        <f t="shared" si="468"/>
        <v>0</v>
      </c>
      <c r="DT159" s="219">
        <f t="shared" si="469"/>
        <v>0</v>
      </c>
      <c r="DU159" s="219">
        <f t="shared" si="470"/>
        <v>0</v>
      </c>
      <c r="DV159" s="219">
        <f t="shared" si="471"/>
        <v>0</v>
      </c>
      <c r="DW159" s="220">
        <f t="shared" si="472"/>
        <v>0</v>
      </c>
      <c r="DX159" s="219">
        <v>7</v>
      </c>
      <c r="DY159" s="69">
        <f t="shared" si="311"/>
        <v>122</v>
      </c>
      <c r="DZ159" s="219">
        <f t="shared" si="417"/>
        <v>0</v>
      </c>
      <c r="EA159" s="219">
        <f t="shared" si="418"/>
        <v>0</v>
      </c>
      <c r="EB159" s="219">
        <f t="shared" si="496"/>
        <v>0</v>
      </c>
      <c r="EC159" s="281"/>
      <c r="ED159" s="285">
        <f t="shared" si="497"/>
        <v>0</v>
      </c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</row>
    <row r="160" spans="1:328" x14ac:dyDescent="0.2">
      <c r="A160" s="208" t="s">
        <v>668</v>
      </c>
      <c r="B160" s="814" t="s">
        <v>517</v>
      </c>
      <c r="C160" s="182" t="s">
        <v>872</v>
      </c>
      <c r="D160" s="646" t="s">
        <v>1273</v>
      </c>
      <c r="E160" s="889"/>
      <c r="F160" s="619">
        <f t="shared" si="492"/>
        <v>590.36424</v>
      </c>
      <c r="G160" s="700"/>
      <c r="H160" s="342"/>
      <c r="I160" s="342"/>
      <c r="J160" s="342"/>
      <c r="K160" s="342">
        <v>5</v>
      </c>
      <c r="L160" s="342"/>
      <c r="M160" s="342"/>
      <c r="N160" s="662">
        <v>0</v>
      </c>
      <c r="O160" s="256"/>
      <c r="P160" s="258"/>
      <c r="Q160" s="256"/>
      <c r="R160" s="257"/>
      <c r="S160" s="256"/>
      <c r="T160" s="258"/>
      <c r="U160" s="256"/>
      <c r="V160" s="257"/>
      <c r="W160" s="256"/>
      <c r="X160" s="258"/>
      <c r="Y160" s="256"/>
      <c r="Z160" s="257"/>
      <c r="AA160" s="256"/>
      <c r="AB160" s="258"/>
      <c r="AC160" s="256"/>
      <c r="AD160" s="257"/>
      <c r="AE160" s="258"/>
      <c r="AF160" s="258"/>
      <c r="AH160" s="546">
        <f t="shared" si="495"/>
        <v>0</v>
      </c>
      <c r="AI160" s="66">
        <f t="shared" si="482"/>
        <v>0</v>
      </c>
      <c r="AL160" s="706" t="str">
        <f t="shared" si="498"/>
        <v>-miscelatori acqua mix</v>
      </c>
      <c r="AM160" s="684">
        <f t="shared" si="405"/>
        <v>0</v>
      </c>
      <c r="AN160" s="674">
        <f t="shared" si="483"/>
        <v>0</v>
      </c>
      <c r="AO160" s="684">
        <f t="shared" si="406"/>
        <v>0</v>
      </c>
      <c r="AP160" s="674">
        <f t="shared" si="484"/>
        <v>0</v>
      </c>
      <c r="AQ160" s="684">
        <f t="shared" si="407"/>
        <v>0</v>
      </c>
      <c r="AR160" s="674">
        <f t="shared" si="485"/>
        <v>0</v>
      </c>
      <c r="AS160" s="684">
        <f t="shared" si="408"/>
        <v>0</v>
      </c>
      <c r="AT160" s="674">
        <f t="shared" si="486"/>
        <v>0</v>
      </c>
      <c r="AU160" s="684">
        <f t="shared" si="409"/>
        <v>0</v>
      </c>
      <c r="AV160" s="674">
        <f t="shared" si="487"/>
        <v>0</v>
      </c>
      <c r="AW160" s="684">
        <f t="shared" si="410"/>
        <v>0</v>
      </c>
      <c r="AX160" s="674">
        <f t="shared" si="488"/>
        <v>0</v>
      </c>
      <c r="AY160" s="684">
        <f t="shared" si="411"/>
        <v>0</v>
      </c>
      <c r="AZ160" s="674">
        <f t="shared" si="489"/>
        <v>0</v>
      </c>
      <c r="BA160" s="684">
        <f t="shared" si="412"/>
        <v>0</v>
      </c>
      <c r="BB160" s="674">
        <f t="shared" si="490"/>
        <v>0</v>
      </c>
      <c r="BC160" s="684">
        <f t="shared" si="413"/>
        <v>0</v>
      </c>
      <c r="BD160" s="674">
        <f t="shared" si="491"/>
        <v>0</v>
      </c>
      <c r="BE160" s="684">
        <f t="shared" si="378"/>
        <v>0</v>
      </c>
      <c r="BF160" s="1">
        <f t="shared" si="301"/>
        <v>0</v>
      </c>
      <c r="BG160" s="1">
        <f t="shared" si="428"/>
        <v>0</v>
      </c>
      <c r="BH160" s="1">
        <f t="shared" si="429"/>
        <v>0</v>
      </c>
      <c r="BI160" s="1">
        <f t="shared" si="430"/>
        <v>0</v>
      </c>
      <c r="BJ160" s="1">
        <f t="shared" si="431"/>
        <v>0</v>
      </c>
      <c r="BK160" s="1">
        <f t="shared" si="432"/>
        <v>0</v>
      </c>
      <c r="BL160" s="1">
        <f t="shared" si="433"/>
        <v>0</v>
      </c>
      <c r="BM160" s="1">
        <f t="shared" si="434"/>
        <v>0</v>
      </c>
      <c r="BN160" s="1">
        <f t="shared" si="435"/>
        <v>0</v>
      </c>
      <c r="BO160" s="69">
        <f t="shared" si="436"/>
        <v>0</v>
      </c>
      <c r="BP160" s="1">
        <f t="shared" si="404"/>
        <v>0</v>
      </c>
      <c r="BQ160" s="1">
        <f t="shared" si="473"/>
        <v>0</v>
      </c>
      <c r="BR160" s="1">
        <f t="shared" si="474"/>
        <v>0</v>
      </c>
      <c r="BS160" s="1">
        <f t="shared" si="475"/>
        <v>0</v>
      </c>
      <c r="BT160" s="1">
        <f t="shared" si="476"/>
        <v>0</v>
      </c>
      <c r="BU160" s="1">
        <f t="shared" si="477"/>
        <v>0</v>
      </c>
      <c r="BV160" s="1">
        <f t="shared" si="478"/>
        <v>0</v>
      </c>
      <c r="BW160" s="1">
        <f t="shared" si="479"/>
        <v>0</v>
      </c>
      <c r="BX160" s="1">
        <f t="shared" si="480"/>
        <v>0</v>
      </c>
      <c r="BY160" s="69">
        <f t="shared" si="481"/>
        <v>0</v>
      </c>
      <c r="BZ160" s="1">
        <f t="shared" si="302"/>
        <v>0</v>
      </c>
      <c r="CA160" s="1">
        <f t="shared" si="437"/>
        <v>0</v>
      </c>
      <c r="CB160" s="1">
        <f t="shared" si="438"/>
        <v>0</v>
      </c>
      <c r="CC160" s="1">
        <f t="shared" si="439"/>
        <v>0</v>
      </c>
      <c r="CD160" s="1">
        <f t="shared" si="440"/>
        <v>0</v>
      </c>
      <c r="CE160" s="1">
        <f t="shared" si="441"/>
        <v>0</v>
      </c>
      <c r="CF160" s="1">
        <f t="shared" si="442"/>
        <v>0</v>
      </c>
      <c r="CG160" s="1">
        <f t="shared" si="443"/>
        <v>0</v>
      </c>
      <c r="CH160" s="1">
        <f t="shared" si="444"/>
        <v>0</v>
      </c>
      <c r="CI160" s="69">
        <f t="shared" si="445"/>
        <v>0</v>
      </c>
      <c r="CJ160" s="1">
        <f t="shared" si="493"/>
        <v>0</v>
      </c>
      <c r="CK160" s="1">
        <f t="shared" si="419"/>
        <v>0</v>
      </c>
      <c r="CL160" s="1">
        <f t="shared" si="420"/>
        <v>0</v>
      </c>
      <c r="CM160" s="1">
        <f t="shared" si="421"/>
        <v>0</v>
      </c>
      <c r="CN160" s="1">
        <f t="shared" si="422"/>
        <v>0</v>
      </c>
      <c r="CO160" s="1">
        <f t="shared" si="423"/>
        <v>0</v>
      </c>
      <c r="CP160" s="1">
        <f t="shared" si="424"/>
        <v>0</v>
      </c>
      <c r="CQ160" s="1">
        <f t="shared" si="425"/>
        <v>0</v>
      </c>
      <c r="CR160" s="1">
        <f t="shared" si="426"/>
        <v>0</v>
      </c>
      <c r="CS160" s="69">
        <f t="shared" si="427"/>
        <v>0</v>
      </c>
      <c r="CT160" s="1">
        <f t="shared" si="303"/>
        <v>0</v>
      </c>
      <c r="CU160" s="1">
        <f t="shared" si="446"/>
        <v>0</v>
      </c>
      <c r="CV160" s="1">
        <f t="shared" si="447"/>
        <v>0</v>
      </c>
      <c r="CW160" s="1">
        <f t="shared" si="448"/>
        <v>0</v>
      </c>
      <c r="CX160" s="1">
        <f t="shared" si="449"/>
        <v>0</v>
      </c>
      <c r="CY160" s="1">
        <f t="shared" si="450"/>
        <v>0</v>
      </c>
      <c r="CZ160" s="1">
        <f t="shared" si="451"/>
        <v>0</v>
      </c>
      <c r="DA160" s="1">
        <f t="shared" si="452"/>
        <v>0</v>
      </c>
      <c r="DB160" s="1">
        <f t="shared" si="453"/>
        <v>0</v>
      </c>
      <c r="DC160" s="69">
        <f t="shared" si="454"/>
        <v>0</v>
      </c>
      <c r="DD160" s="1">
        <f t="shared" si="304"/>
        <v>0</v>
      </c>
      <c r="DE160" s="1">
        <f t="shared" si="455"/>
        <v>0</v>
      </c>
      <c r="DF160" s="1">
        <f t="shared" si="456"/>
        <v>0</v>
      </c>
      <c r="DG160" s="1">
        <f t="shared" si="457"/>
        <v>0</v>
      </c>
      <c r="DH160" s="1">
        <f t="shared" si="458"/>
        <v>0</v>
      </c>
      <c r="DI160" s="1">
        <f t="shared" si="459"/>
        <v>0</v>
      </c>
      <c r="DJ160" s="1">
        <f t="shared" si="460"/>
        <v>0</v>
      </c>
      <c r="DK160" s="1">
        <f t="shared" si="461"/>
        <v>0</v>
      </c>
      <c r="DL160" s="1">
        <f t="shared" si="462"/>
        <v>0</v>
      </c>
      <c r="DM160" s="69">
        <f t="shared" si="463"/>
        <v>0</v>
      </c>
      <c r="DN160" s="1">
        <f t="shared" si="305"/>
        <v>0</v>
      </c>
      <c r="DO160" s="1">
        <f t="shared" si="464"/>
        <v>0</v>
      </c>
      <c r="DP160" s="1">
        <f t="shared" si="465"/>
        <v>0</v>
      </c>
      <c r="DQ160" s="1">
        <f t="shared" si="466"/>
        <v>0</v>
      </c>
      <c r="DR160" s="1">
        <f t="shared" si="467"/>
        <v>0</v>
      </c>
      <c r="DS160" s="1">
        <f t="shared" si="468"/>
        <v>0</v>
      </c>
      <c r="DT160" s="1">
        <f t="shared" si="469"/>
        <v>0</v>
      </c>
      <c r="DU160" s="1">
        <f t="shared" si="470"/>
        <v>0</v>
      </c>
      <c r="DV160" s="1">
        <f t="shared" si="471"/>
        <v>0</v>
      </c>
      <c r="DW160" s="69">
        <f t="shared" si="472"/>
        <v>0</v>
      </c>
      <c r="DX160" s="1">
        <v>7</v>
      </c>
      <c r="DY160" s="69">
        <f t="shared" si="311"/>
        <v>123</v>
      </c>
      <c r="DZ160" s="1">
        <f t="shared" si="417"/>
        <v>0</v>
      </c>
      <c r="EA160" s="1">
        <f t="shared" si="418"/>
        <v>0</v>
      </c>
      <c r="EB160" s="1">
        <f t="shared" si="496"/>
        <v>0</v>
      </c>
      <c r="ED160" s="285">
        <f t="shared" si="497"/>
        <v>0</v>
      </c>
    </row>
    <row r="161" spans="1:328" x14ac:dyDescent="0.2">
      <c r="A161" s="208" t="s">
        <v>668</v>
      </c>
      <c r="B161" s="803" t="s">
        <v>518</v>
      </c>
      <c r="C161" s="192" t="s">
        <v>872</v>
      </c>
      <c r="D161" s="646" t="s">
        <v>1273</v>
      </c>
      <c r="E161" s="889"/>
      <c r="F161" s="619">
        <f t="shared" si="492"/>
        <v>590.36424</v>
      </c>
      <c r="G161" s="700"/>
      <c r="H161" s="342"/>
      <c r="I161" s="342"/>
      <c r="J161" s="342"/>
      <c r="K161" s="342">
        <v>3</v>
      </c>
      <c r="L161" s="342"/>
      <c r="M161" s="342"/>
      <c r="N161" s="658"/>
      <c r="O161" s="256"/>
      <c r="P161" s="256"/>
      <c r="Q161" s="256"/>
      <c r="R161" s="255"/>
      <c r="S161" s="256"/>
      <c r="T161" s="256"/>
      <c r="U161" s="256"/>
      <c r="V161" s="255"/>
      <c r="W161" s="256"/>
      <c r="X161" s="256"/>
      <c r="Y161" s="256"/>
      <c r="Z161" s="255"/>
      <c r="AA161" s="256"/>
      <c r="AB161" s="256"/>
      <c r="AC161" s="256"/>
      <c r="AD161" s="255"/>
      <c r="AE161" s="256"/>
      <c r="AF161" s="256"/>
      <c r="AH161" s="546">
        <f t="shared" si="495"/>
        <v>0</v>
      </c>
      <c r="AI161" s="66">
        <f t="shared" si="482"/>
        <v>0</v>
      </c>
      <c r="AL161" s="706" t="str">
        <f t="shared" si="498"/>
        <v>-miscelatori acqua mix</v>
      </c>
      <c r="AM161" s="684">
        <f t="shared" ref="AM161:AM167" si="500">N161*$F161</f>
        <v>0</v>
      </c>
      <c r="AN161" s="674">
        <f t="shared" si="483"/>
        <v>0</v>
      </c>
      <c r="AO161" s="684">
        <f t="shared" ref="AO161:AO167" si="501">P161*$F161</f>
        <v>0</v>
      </c>
      <c r="AP161" s="674">
        <f t="shared" si="484"/>
        <v>0</v>
      </c>
      <c r="AQ161" s="684">
        <f t="shared" ref="AQ161:AQ167" si="502">R161*$F161</f>
        <v>0</v>
      </c>
      <c r="AR161" s="674">
        <f t="shared" si="485"/>
        <v>0</v>
      </c>
      <c r="AS161" s="684">
        <f t="shared" ref="AS161:AS167" si="503">T161*$F161</f>
        <v>0</v>
      </c>
      <c r="AT161" s="674">
        <f t="shared" si="486"/>
        <v>0</v>
      </c>
      <c r="AU161" s="684">
        <f t="shared" ref="AU161:AU167" si="504">V161*$F161</f>
        <v>0</v>
      </c>
      <c r="AV161" s="674">
        <f t="shared" si="487"/>
        <v>0</v>
      </c>
      <c r="AW161" s="684">
        <f t="shared" ref="AW161:AW167" si="505">X161*$F161</f>
        <v>0</v>
      </c>
      <c r="AX161" s="674">
        <f t="shared" si="488"/>
        <v>0</v>
      </c>
      <c r="AY161" s="684">
        <f t="shared" ref="AY161:AY167" si="506">Z161*$F161</f>
        <v>0</v>
      </c>
      <c r="AZ161" s="674">
        <f t="shared" si="489"/>
        <v>0</v>
      </c>
      <c r="BA161" s="684">
        <f t="shared" ref="BA161:BA167" si="507">AB161*$F161</f>
        <v>0</v>
      </c>
      <c r="BB161" s="674">
        <f t="shared" si="490"/>
        <v>0</v>
      </c>
      <c r="BC161" s="684">
        <f t="shared" ref="BC161:BC167" si="508">AD161*$F161</f>
        <v>0</v>
      </c>
      <c r="BD161" s="674">
        <f t="shared" si="491"/>
        <v>0</v>
      </c>
      <c r="BE161" s="684">
        <f t="shared" si="378"/>
        <v>0</v>
      </c>
      <c r="BF161" s="1">
        <f t="shared" si="301"/>
        <v>0</v>
      </c>
      <c r="BG161" s="1">
        <f t="shared" si="428"/>
        <v>0</v>
      </c>
      <c r="BH161" s="1">
        <f t="shared" si="429"/>
        <v>0</v>
      </c>
      <c r="BI161" s="1">
        <f t="shared" si="430"/>
        <v>0</v>
      </c>
      <c r="BJ161" s="1">
        <f t="shared" si="431"/>
        <v>0</v>
      </c>
      <c r="BK161" s="1">
        <f t="shared" si="432"/>
        <v>0</v>
      </c>
      <c r="BL161" s="1">
        <f t="shared" si="433"/>
        <v>0</v>
      </c>
      <c r="BM161" s="1">
        <f t="shared" si="434"/>
        <v>0</v>
      </c>
      <c r="BN161" s="1">
        <f t="shared" si="435"/>
        <v>0</v>
      </c>
      <c r="BO161" s="69">
        <f t="shared" si="436"/>
        <v>0</v>
      </c>
      <c r="BP161" s="1">
        <f t="shared" si="404"/>
        <v>0</v>
      </c>
      <c r="BQ161" s="1">
        <f t="shared" si="473"/>
        <v>0</v>
      </c>
      <c r="BR161" s="1">
        <f t="shared" si="474"/>
        <v>0</v>
      </c>
      <c r="BS161" s="1">
        <f t="shared" si="475"/>
        <v>0</v>
      </c>
      <c r="BT161" s="1">
        <f t="shared" si="476"/>
        <v>0</v>
      </c>
      <c r="BU161" s="1">
        <f t="shared" si="477"/>
        <v>0</v>
      </c>
      <c r="BV161" s="1">
        <f t="shared" si="478"/>
        <v>0</v>
      </c>
      <c r="BW161" s="1">
        <f t="shared" si="479"/>
        <v>0</v>
      </c>
      <c r="BX161" s="1">
        <f t="shared" si="480"/>
        <v>0</v>
      </c>
      <c r="BY161" s="69">
        <f t="shared" si="481"/>
        <v>0</v>
      </c>
      <c r="BZ161" s="1">
        <f t="shared" si="302"/>
        <v>0</v>
      </c>
      <c r="CA161" s="1">
        <f t="shared" si="437"/>
        <v>0</v>
      </c>
      <c r="CB161" s="1">
        <f t="shared" si="438"/>
        <v>0</v>
      </c>
      <c r="CC161" s="1">
        <f t="shared" si="439"/>
        <v>0</v>
      </c>
      <c r="CD161" s="1">
        <f t="shared" si="440"/>
        <v>0</v>
      </c>
      <c r="CE161" s="1">
        <f t="shared" si="441"/>
        <v>0</v>
      </c>
      <c r="CF161" s="1">
        <f t="shared" si="442"/>
        <v>0</v>
      </c>
      <c r="CG161" s="1">
        <f t="shared" si="443"/>
        <v>0</v>
      </c>
      <c r="CH161" s="1">
        <f t="shared" si="444"/>
        <v>0</v>
      </c>
      <c r="CI161" s="69">
        <f t="shared" si="445"/>
        <v>0</v>
      </c>
      <c r="CJ161" s="1">
        <f t="shared" si="493"/>
        <v>0</v>
      </c>
      <c r="CK161" s="1">
        <f t="shared" si="419"/>
        <v>0</v>
      </c>
      <c r="CL161" s="1">
        <f t="shared" si="420"/>
        <v>0</v>
      </c>
      <c r="CM161" s="1">
        <f t="shared" si="421"/>
        <v>0</v>
      </c>
      <c r="CN161" s="1">
        <f t="shared" si="422"/>
        <v>0</v>
      </c>
      <c r="CO161" s="1">
        <f t="shared" si="423"/>
        <v>0</v>
      </c>
      <c r="CP161" s="1">
        <f t="shared" si="424"/>
        <v>0</v>
      </c>
      <c r="CQ161" s="1">
        <f t="shared" si="425"/>
        <v>0</v>
      </c>
      <c r="CR161" s="1">
        <f t="shared" si="426"/>
        <v>0</v>
      </c>
      <c r="CS161" s="69">
        <f t="shared" si="427"/>
        <v>0</v>
      </c>
      <c r="CT161" s="1">
        <f t="shared" si="303"/>
        <v>0</v>
      </c>
      <c r="CU161" s="1">
        <f t="shared" si="446"/>
        <v>0</v>
      </c>
      <c r="CV161" s="1">
        <f t="shared" si="447"/>
        <v>0</v>
      </c>
      <c r="CW161" s="1">
        <f t="shared" si="448"/>
        <v>0</v>
      </c>
      <c r="CX161" s="1">
        <f t="shared" si="449"/>
        <v>0</v>
      </c>
      <c r="CY161" s="1">
        <f t="shared" si="450"/>
        <v>0</v>
      </c>
      <c r="CZ161" s="1">
        <f t="shared" si="451"/>
        <v>0</v>
      </c>
      <c r="DA161" s="1">
        <f t="shared" si="452"/>
        <v>0</v>
      </c>
      <c r="DB161" s="1">
        <f t="shared" si="453"/>
        <v>0</v>
      </c>
      <c r="DC161" s="69">
        <f t="shared" si="454"/>
        <v>0</v>
      </c>
      <c r="DD161" s="1">
        <f t="shared" si="304"/>
        <v>0</v>
      </c>
      <c r="DE161" s="1">
        <f t="shared" si="455"/>
        <v>0</v>
      </c>
      <c r="DF161" s="1">
        <f t="shared" si="456"/>
        <v>0</v>
      </c>
      <c r="DG161" s="1">
        <f t="shared" si="457"/>
        <v>0</v>
      </c>
      <c r="DH161" s="1">
        <f t="shared" si="458"/>
        <v>0</v>
      </c>
      <c r="DI161" s="1">
        <f t="shared" si="459"/>
        <v>0</v>
      </c>
      <c r="DJ161" s="1">
        <f t="shared" si="460"/>
        <v>0</v>
      </c>
      <c r="DK161" s="1">
        <f t="shared" si="461"/>
        <v>0</v>
      </c>
      <c r="DL161" s="1">
        <f t="shared" si="462"/>
        <v>0</v>
      </c>
      <c r="DM161" s="69">
        <f t="shared" si="463"/>
        <v>0</v>
      </c>
      <c r="DN161" s="1">
        <f t="shared" si="305"/>
        <v>0</v>
      </c>
      <c r="DO161" s="1">
        <f t="shared" si="464"/>
        <v>0</v>
      </c>
      <c r="DP161" s="1">
        <f t="shared" si="465"/>
        <v>0</v>
      </c>
      <c r="DQ161" s="1">
        <f t="shared" si="466"/>
        <v>0</v>
      </c>
      <c r="DR161" s="1">
        <f t="shared" si="467"/>
        <v>0</v>
      </c>
      <c r="DS161" s="1">
        <f t="shared" si="468"/>
        <v>0</v>
      </c>
      <c r="DT161" s="1">
        <f t="shared" si="469"/>
        <v>0</v>
      </c>
      <c r="DU161" s="1">
        <f t="shared" si="470"/>
        <v>0</v>
      </c>
      <c r="DV161" s="1">
        <f t="shared" si="471"/>
        <v>0</v>
      </c>
      <c r="DW161" s="69">
        <f t="shared" si="472"/>
        <v>0</v>
      </c>
      <c r="DX161" s="1">
        <v>7</v>
      </c>
      <c r="DY161" s="69">
        <f t="shared" si="311"/>
        <v>124</v>
      </c>
      <c r="DZ161" s="1">
        <f t="shared" si="417"/>
        <v>0</v>
      </c>
      <c r="EA161" s="1">
        <f t="shared" si="418"/>
        <v>0</v>
      </c>
      <c r="EB161" s="1">
        <f t="shared" si="496"/>
        <v>0</v>
      </c>
      <c r="ED161" s="285">
        <f t="shared" si="497"/>
        <v>0</v>
      </c>
    </row>
    <row r="162" spans="1:328" x14ac:dyDescent="0.2">
      <c r="A162" s="208" t="s">
        <v>668</v>
      </c>
      <c r="B162" s="800" t="s">
        <v>2315</v>
      </c>
      <c r="C162" s="193" t="s">
        <v>872</v>
      </c>
      <c r="D162" s="647" t="s">
        <v>658</v>
      </c>
      <c r="E162" s="889"/>
      <c r="F162" s="633">
        <f t="shared" si="492"/>
        <v>239.30138999999997</v>
      </c>
      <c r="G162" s="700"/>
      <c r="H162" s="342">
        <v>1</v>
      </c>
      <c r="I162" s="342"/>
      <c r="J162" s="342"/>
      <c r="K162" s="342"/>
      <c r="L162" s="342"/>
      <c r="M162" s="342"/>
      <c r="N162" s="658">
        <v>0</v>
      </c>
      <c r="O162" s="256"/>
      <c r="P162" s="256"/>
      <c r="Q162" s="256"/>
      <c r="R162" s="255"/>
      <c r="S162" s="256"/>
      <c r="T162" s="256"/>
      <c r="U162" s="256"/>
      <c r="V162" s="255"/>
      <c r="W162" s="256"/>
      <c r="X162" s="256"/>
      <c r="Y162" s="256"/>
      <c r="Z162" s="255"/>
      <c r="AA162" s="256"/>
      <c r="AB162" s="256"/>
      <c r="AC162" s="256"/>
      <c r="AD162" s="255"/>
      <c r="AE162" s="256"/>
      <c r="AF162" s="256"/>
      <c r="AH162" s="546">
        <f t="shared" si="495"/>
        <v>0</v>
      </c>
      <c r="AI162" s="66">
        <f t="shared" si="482"/>
        <v>0</v>
      </c>
      <c r="AL162" s="706" t="str">
        <f t="shared" si="498"/>
        <v>-temperatura PLC</v>
      </c>
      <c r="AM162" s="684">
        <f t="shared" si="500"/>
        <v>0</v>
      </c>
      <c r="AN162" s="674">
        <f t="shared" si="483"/>
        <v>0</v>
      </c>
      <c r="AO162" s="684">
        <f t="shared" si="501"/>
        <v>0</v>
      </c>
      <c r="AP162" s="674">
        <f t="shared" si="484"/>
        <v>0</v>
      </c>
      <c r="AQ162" s="684">
        <f t="shared" si="502"/>
        <v>0</v>
      </c>
      <c r="AR162" s="674">
        <f t="shared" si="485"/>
        <v>0</v>
      </c>
      <c r="AS162" s="684">
        <f t="shared" si="503"/>
        <v>0</v>
      </c>
      <c r="AT162" s="674">
        <f t="shared" si="486"/>
        <v>0</v>
      </c>
      <c r="AU162" s="684">
        <f t="shared" si="504"/>
        <v>0</v>
      </c>
      <c r="AV162" s="674">
        <f t="shared" si="487"/>
        <v>0</v>
      </c>
      <c r="AW162" s="684">
        <f t="shared" si="505"/>
        <v>0</v>
      </c>
      <c r="AX162" s="674">
        <f t="shared" si="488"/>
        <v>0</v>
      </c>
      <c r="AY162" s="684">
        <f t="shared" si="506"/>
        <v>0</v>
      </c>
      <c r="AZ162" s="674">
        <f t="shared" si="489"/>
        <v>0</v>
      </c>
      <c r="BA162" s="684">
        <f t="shared" si="507"/>
        <v>0</v>
      </c>
      <c r="BB162" s="674">
        <f t="shared" si="490"/>
        <v>0</v>
      </c>
      <c r="BC162" s="684">
        <f t="shared" si="508"/>
        <v>0</v>
      </c>
      <c r="BD162" s="674">
        <f t="shared" si="491"/>
        <v>0</v>
      </c>
      <c r="BE162" s="684">
        <f t="shared" si="378"/>
        <v>0</v>
      </c>
      <c r="BF162" s="1">
        <f t="shared" si="301"/>
        <v>0</v>
      </c>
      <c r="BG162" s="1">
        <f t="shared" si="428"/>
        <v>0</v>
      </c>
      <c r="BH162" s="1">
        <f t="shared" si="429"/>
        <v>0</v>
      </c>
      <c r="BI162" s="1">
        <f t="shared" si="430"/>
        <v>0</v>
      </c>
      <c r="BJ162" s="1">
        <f t="shared" si="431"/>
        <v>0</v>
      </c>
      <c r="BK162" s="1">
        <f t="shared" si="432"/>
        <v>0</v>
      </c>
      <c r="BL162" s="1">
        <f t="shared" si="433"/>
        <v>0</v>
      </c>
      <c r="BM162" s="1">
        <f t="shared" si="434"/>
        <v>0</v>
      </c>
      <c r="BN162" s="1">
        <f t="shared" si="435"/>
        <v>0</v>
      </c>
      <c r="BO162" s="69">
        <f t="shared" si="436"/>
        <v>0</v>
      </c>
      <c r="BP162" s="1">
        <f t="shared" si="404"/>
        <v>0</v>
      </c>
      <c r="BQ162" s="1">
        <f t="shared" si="473"/>
        <v>0</v>
      </c>
      <c r="BR162" s="1">
        <f t="shared" si="474"/>
        <v>0</v>
      </c>
      <c r="BS162" s="1">
        <f t="shared" si="475"/>
        <v>0</v>
      </c>
      <c r="BT162" s="1">
        <f t="shared" si="476"/>
        <v>0</v>
      </c>
      <c r="BU162" s="1">
        <f t="shared" si="477"/>
        <v>0</v>
      </c>
      <c r="BV162" s="1">
        <f t="shared" si="478"/>
        <v>0</v>
      </c>
      <c r="BW162" s="1">
        <f t="shared" si="479"/>
        <v>0</v>
      </c>
      <c r="BX162" s="1">
        <f t="shared" si="480"/>
        <v>0</v>
      </c>
      <c r="BY162" s="69">
        <f t="shared" si="481"/>
        <v>0</v>
      </c>
      <c r="BZ162" s="1">
        <f t="shared" si="302"/>
        <v>0</v>
      </c>
      <c r="CA162" s="1">
        <f t="shared" si="437"/>
        <v>0</v>
      </c>
      <c r="CB162" s="1">
        <f t="shared" si="438"/>
        <v>0</v>
      </c>
      <c r="CC162" s="1">
        <f t="shared" si="439"/>
        <v>0</v>
      </c>
      <c r="CD162" s="1">
        <f t="shared" si="440"/>
        <v>0</v>
      </c>
      <c r="CE162" s="1">
        <f t="shared" si="441"/>
        <v>0</v>
      </c>
      <c r="CF162" s="1">
        <f t="shared" si="442"/>
        <v>0</v>
      </c>
      <c r="CG162" s="1">
        <f t="shared" si="443"/>
        <v>0</v>
      </c>
      <c r="CH162" s="1">
        <f t="shared" si="444"/>
        <v>0</v>
      </c>
      <c r="CI162" s="69">
        <f t="shared" si="445"/>
        <v>0</v>
      </c>
      <c r="CJ162" s="1">
        <f t="shared" si="493"/>
        <v>0</v>
      </c>
      <c r="CK162" s="1">
        <f t="shared" si="419"/>
        <v>0</v>
      </c>
      <c r="CL162" s="1">
        <f t="shared" si="420"/>
        <v>0</v>
      </c>
      <c r="CM162" s="1">
        <f t="shared" si="421"/>
        <v>0</v>
      </c>
      <c r="CN162" s="1">
        <f t="shared" si="422"/>
        <v>0</v>
      </c>
      <c r="CO162" s="1">
        <f t="shared" si="423"/>
        <v>0</v>
      </c>
      <c r="CP162" s="1">
        <f t="shared" si="424"/>
        <v>0</v>
      </c>
      <c r="CQ162" s="1">
        <f t="shared" si="425"/>
        <v>0</v>
      </c>
      <c r="CR162" s="1">
        <f t="shared" si="426"/>
        <v>0</v>
      </c>
      <c r="CS162" s="69">
        <f t="shared" si="427"/>
        <v>0</v>
      </c>
      <c r="CT162" s="1">
        <f t="shared" si="303"/>
        <v>0</v>
      </c>
      <c r="CU162" s="1">
        <f t="shared" si="446"/>
        <v>0</v>
      </c>
      <c r="CV162" s="1">
        <f t="shared" si="447"/>
        <v>0</v>
      </c>
      <c r="CW162" s="1">
        <f t="shared" si="448"/>
        <v>0</v>
      </c>
      <c r="CX162" s="1">
        <f t="shared" si="449"/>
        <v>0</v>
      </c>
      <c r="CY162" s="1">
        <f t="shared" si="450"/>
        <v>0</v>
      </c>
      <c r="CZ162" s="1">
        <f t="shared" si="451"/>
        <v>0</v>
      </c>
      <c r="DA162" s="1">
        <f t="shared" si="452"/>
        <v>0</v>
      </c>
      <c r="DB162" s="1">
        <f t="shared" si="453"/>
        <v>0</v>
      </c>
      <c r="DC162" s="69">
        <f t="shared" si="454"/>
        <v>0</v>
      </c>
      <c r="DD162" s="1">
        <f t="shared" si="304"/>
        <v>0</v>
      </c>
      <c r="DE162" s="1">
        <f t="shared" si="455"/>
        <v>0</v>
      </c>
      <c r="DF162" s="1">
        <f t="shared" si="456"/>
        <v>0</v>
      </c>
      <c r="DG162" s="1">
        <f t="shared" si="457"/>
        <v>0</v>
      </c>
      <c r="DH162" s="1">
        <f t="shared" si="458"/>
        <v>0</v>
      </c>
      <c r="DI162" s="1">
        <f t="shared" si="459"/>
        <v>0</v>
      </c>
      <c r="DJ162" s="1">
        <f t="shared" si="460"/>
        <v>0</v>
      </c>
      <c r="DK162" s="1">
        <f t="shared" si="461"/>
        <v>0</v>
      </c>
      <c r="DL162" s="1">
        <f t="shared" si="462"/>
        <v>0</v>
      </c>
      <c r="DM162" s="69">
        <f t="shared" si="463"/>
        <v>0</v>
      </c>
      <c r="DN162" s="1">
        <f t="shared" si="305"/>
        <v>0</v>
      </c>
      <c r="DO162" s="1">
        <f t="shared" si="464"/>
        <v>0</v>
      </c>
      <c r="DP162" s="1">
        <f t="shared" si="465"/>
        <v>0</v>
      </c>
      <c r="DQ162" s="1">
        <f t="shared" si="466"/>
        <v>0</v>
      </c>
      <c r="DR162" s="1">
        <f t="shared" si="467"/>
        <v>0</v>
      </c>
      <c r="DS162" s="1">
        <f t="shared" si="468"/>
        <v>0</v>
      </c>
      <c r="DT162" s="1">
        <f t="shared" si="469"/>
        <v>0</v>
      </c>
      <c r="DU162" s="1">
        <f t="shared" si="470"/>
        <v>0</v>
      </c>
      <c r="DV162" s="1">
        <f t="shared" si="471"/>
        <v>0</v>
      </c>
      <c r="DW162" s="69">
        <f t="shared" si="472"/>
        <v>0</v>
      </c>
      <c r="DX162" s="1">
        <v>7</v>
      </c>
      <c r="DY162" s="69">
        <f t="shared" si="311"/>
        <v>125</v>
      </c>
      <c r="DZ162" s="1">
        <f t="shared" si="417"/>
        <v>0</v>
      </c>
      <c r="EA162" s="1">
        <f t="shared" si="418"/>
        <v>0</v>
      </c>
      <c r="EB162" s="1">
        <f t="shared" si="496"/>
        <v>0</v>
      </c>
      <c r="ED162" s="285">
        <f t="shared" si="497"/>
        <v>0</v>
      </c>
    </row>
    <row r="163" spans="1:328" x14ac:dyDescent="0.2">
      <c r="A163" s="208" t="s">
        <v>668</v>
      </c>
      <c r="B163" s="801" t="s">
        <v>2316</v>
      </c>
      <c r="C163" s="182" t="s">
        <v>872</v>
      </c>
      <c r="D163" s="646" t="s">
        <v>658</v>
      </c>
      <c r="E163" s="889"/>
      <c r="F163" s="633">
        <f t="shared" si="492"/>
        <v>239.30138999999997</v>
      </c>
      <c r="G163" s="700"/>
      <c r="H163" s="342">
        <v>1</v>
      </c>
      <c r="I163" s="342"/>
      <c r="J163" s="342"/>
      <c r="K163" s="342"/>
      <c r="L163" s="342"/>
      <c r="M163" s="342"/>
      <c r="N163" s="658">
        <v>0</v>
      </c>
      <c r="O163" s="256"/>
      <c r="P163" s="256"/>
      <c r="Q163" s="256"/>
      <c r="R163" s="255"/>
      <c r="S163" s="256"/>
      <c r="T163" s="256"/>
      <c r="U163" s="256"/>
      <c r="V163" s="255"/>
      <c r="W163" s="256"/>
      <c r="X163" s="256"/>
      <c r="Y163" s="256"/>
      <c r="Z163" s="255"/>
      <c r="AA163" s="256"/>
      <c r="AB163" s="256"/>
      <c r="AC163" s="256"/>
      <c r="AD163" s="255"/>
      <c r="AE163" s="256"/>
      <c r="AF163" s="256"/>
      <c r="AH163" s="546">
        <f t="shared" si="495"/>
        <v>0</v>
      </c>
      <c r="AI163" s="66">
        <f t="shared" si="482"/>
        <v>0</v>
      </c>
      <c r="AL163" s="706" t="str">
        <f t="shared" si="498"/>
        <v>-temperatura PLC</v>
      </c>
      <c r="AM163" s="684">
        <f t="shared" si="500"/>
        <v>0</v>
      </c>
      <c r="AN163" s="674">
        <f t="shared" si="483"/>
        <v>0</v>
      </c>
      <c r="AO163" s="684">
        <f t="shared" si="501"/>
        <v>0</v>
      </c>
      <c r="AP163" s="674">
        <f t="shared" si="484"/>
        <v>0</v>
      </c>
      <c r="AQ163" s="684">
        <f t="shared" si="502"/>
        <v>0</v>
      </c>
      <c r="AR163" s="674">
        <f t="shared" si="485"/>
        <v>0</v>
      </c>
      <c r="AS163" s="684">
        <f t="shared" si="503"/>
        <v>0</v>
      </c>
      <c r="AT163" s="674">
        <f t="shared" si="486"/>
        <v>0</v>
      </c>
      <c r="AU163" s="684">
        <f t="shared" si="504"/>
        <v>0</v>
      </c>
      <c r="AV163" s="674">
        <f t="shared" si="487"/>
        <v>0</v>
      </c>
      <c r="AW163" s="684">
        <f t="shared" si="505"/>
        <v>0</v>
      </c>
      <c r="AX163" s="674">
        <f t="shared" si="488"/>
        <v>0</v>
      </c>
      <c r="AY163" s="684">
        <f t="shared" si="506"/>
        <v>0</v>
      </c>
      <c r="AZ163" s="674">
        <f t="shared" si="489"/>
        <v>0</v>
      </c>
      <c r="BA163" s="684">
        <f t="shared" si="507"/>
        <v>0</v>
      </c>
      <c r="BB163" s="674">
        <f t="shared" si="490"/>
        <v>0</v>
      </c>
      <c r="BC163" s="684">
        <f t="shared" si="508"/>
        <v>0</v>
      </c>
      <c r="BD163" s="674">
        <f t="shared" si="491"/>
        <v>0</v>
      </c>
      <c r="BE163" s="684">
        <f t="shared" si="378"/>
        <v>0</v>
      </c>
      <c r="BF163" s="1">
        <f>N163*$G163</f>
        <v>0</v>
      </c>
      <c r="BG163" s="1">
        <f t="shared" si="428"/>
        <v>0</v>
      </c>
      <c r="BH163" s="1">
        <f t="shared" si="429"/>
        <v>0</v>
      </c>
      <c r="BI163" s="1">
        <f t="shared" si="430"/>
        <v>0</v>
      </c>
      <c r="BJ163" s="1">
        <f t="shared" si="431"/>
        <v>0</v>
      </c>
      <c r="BK163" s="1">
        <f t="shared" si="432"/>
        <v>0</v>
      </c>
      <c r="BL163" s="1">
        <f t="shared" si="433"/>
        <v>0</v>
      </c>
      <c r="BM163" s="1">
        <f t="shared" si="434"/>
        <v>0</v>
      </c>
      <c r="BN163" s="1">
        <f t="shared" si="435"/>
        <v>0</v>
      </c>
      <c r="BO163" s="69">
        <f t="shared" si="436"/>
        <v>0</v>
      </c>
      <c r="BP163" s="1">
        <f t="shared" si="404"/>
        <v>0</v>
      </c>
      <c r="BQ163" s="1">
        <f t="shared" si="473"/>
        <v>0</v>
      </c>
      <c r="BR163" s="1">
        <f t="shared" si="474"/>
        <v>0</v>
      </c>
      <c r="BS163" s="1">
        <f t="shared" si="475"/>
        <v>0</v>
      </c>
      <c r="BT163" s="1">
        <f t="shared" si="476"/>
        <v>0</v>
      </c>
      <c r="BU163" s="1">
        <f t="shared" si="477"/>
        <v>0</v>
      </c>
      <c r="BV163" s="1">
        <f t="shared" si="478"/>
        <v>0</v>
      </c>
      <c r="BW163" s="1">
        <f t="shared" si="479"/>
        <v>0</v>
      </c>
      <c r="BX163" s="1">
        <f t="shared" si="480"/>
        <v>0</v>
      </c>
      <c r="BY163" s="69">
        <f t="shared" si="481"/>
        <v>0</v>
      </c>
      <c r="BZ163" s="1">
        <f>N163*$I163</f>
        <v>0</v>
      </c>
      <c r="CA163" s="1">
        <f t="shared" si="437"/>
        <v>0</v>
      </c>
      <c r="CB163" s="1">
        <f t="shared" si="438"/>
        <v>0</v>
      </c>
      <c r="CC163" s="1">
        <f t="shared" si="439"/>
        <v>0</v>
      </c>
      <c r="CD163" s="1">
        <f t="shared" si="440"/>
        <v>0</v>
      </c>
      <c r="CE163" s="1">
        <f t="shared" si="441"/>
        <v>0</v>
      </c>
      <c r="CF163" s="1">
        <f t="shared" si="442"/>
        <v>0</v>
      </c>
      <c r="CG163" s="1">
        <f t="shared" si="443"/>
        <v>0</v>
      </c>
      <c r="CH163" s="1">
        <f t="shared" si="444"/>
        <v>0</v>
      </c>
      <c r="CI163" s="69">
        <f t="shared" si="445"/>
        <v>0</v>
      </c>
      <c r="CJ163" s="1">
        <f t="shared" si="493"/>
        <v>0</v>
      </c>
      <c r="CK163" s="1">
        <f t="shared" si="419"/>
        <v>0</v>
      </c>
      <c r="CL163" s="1">
        <f t="shared" si="420"/>
        <v>0</v>
      </c>
      <c r="CM163" s="1">
        <f t="shared" si="421"/>
        <v>0</v>
      </c>
      <c r="CN163" s="1">
        <f t="shared" si="422"/>
        <v>0</v>
      </c>
      <c r="CO163" s="1">
        <f t="shared" si="423"/>
        <v>0</v>
      </c>
      <c r="CP163" s="1">
        <f t="shared" si="424"/>
        <v>0</v>
      </c>
      <c r="CQ163" s="1">
        <f t="shared" si="425"/>
        <v>0</v>
      </c>
      <c r="CR163" s="1">
        <f t="shared" si="426"/>
        <v>0</v>
      </c>
      <c r="CS163" s="69">
        <f t="shared" si="427"/>
        <v>0</v>
      </c>
      <c r="CT163" s="1">
        <f>N163*$K163</f>
        <v>0</v>
      </c>
      <c r="CU163" s="1">
        <f t="shared" si="446"/>
        <v>0</v>
      </c>
      <c r="CV163" s="1">
        <f t="shared" si="447"/>
        <v>0</v>
      </c>
      <c r="CW163" s="1">
        <f t="shared" si="448"/>
        <v>0</v>
      </c>
      <c r="CX163" s="1">
        <f t="shared" si="449"/>
        <v>0</v>
      </c>
      <c r="CY163" s="1">
        <f t="shared" si="450"/>
        <v>0</v>
      </c>
      <c r="CZ163" s="1">
        <f t="shared" si="451"/>
        <v>0</v>
      </c>
      <c r="DA163" s="1">
        <f t="shared" si="452"/>
        <v>0</v>
      </c>
      <c r="DB163" s="1">
        <f t="shared" si="453"/>
        <v>0</v>
      </c>
      <c r="DC163" s="69">
        <f t="shared" si="454"/>
        <v>0</v>
      </c>
      <c r="DD163" s="1">
        <f>N163*$L163</f>
        <v>0</v>
      </c>
      <c r="DE163" s="1">
        <f t="shared" si="455"/>
        <v>0</v>
      </c>
      <c r="DF163" s="1">
        <f t="shared" si="456"/>
        <v>0</v>
      </c>
      <c r="DG163" s="1">
        <f t="shared" si="457"/>
        <v>0</v>
      </c>
      <c r="DH163" s="1">
        <f t="shared" si="458"/>
        <v>0</v>
      </c>
      <c r="DI163" s="1">
        <f t="shared" si="459"/>
        <v>0</v>
      </c>
      <c r="DJ163" s="1">
        <f t="shared" si="460"/>
        <v>0</v>
      </c>
      <c r="DK163" s="1">
        <f t="shared" si="461"/>
        <v>0</v>
      </c>
      <c r="DL163" s="1">
        <f t="shared" si="462"/>
        <v>0</v>
      </c>
      <c r="DM163" s="69">
        <f t="shared" si="463"/>
        <v>0</v>
      </c>
      <c r="DN163" s="1">
        <f>N163*$M163</f>
        <v>0</v>
      </c>
      <c r="DO163" s="1">
        <f t="shared" si="464"/>
        <v>0</v>
      </c>
      <c r="DP163" s="1">
        <f t="shared" si="465"/>
        <v>0</v>
      </c>
      <c r="DQ163" s="1">
        <f t="shared" si="466"/>
        <v>0</v>
      </c>
      <c r="DR163" s="1">
        <f t="shared" si="467"/>
        <v>0</v>
      </c>
      <c r="DS163" s="1">
        <f t="shared" si="468"/>
        <v>0</v>
      </c>
      <c r="DT163" s="1">
        <f t="shared" si="469"/>
        <v>0</v>
      </c>
      <c r="DU163" s="1">
        <f t="shared" si="470"/>
        <v>0</v>
      </c>
      <c r="DV163" s="1">
        <f t="shared" si="471"/>
        <v>0</v>
      </c>
      <c r="DW163" s="69">
        <f t="shared" si="472"/>
        <v>0</v>
      </c>
      <c r="DX163" s="1">
        <v>7</v>
      </c>
      <c r="DY163" s="69">
        <f t="shared" si="311"/>
        <v>126</v>
      </c>
      <c r="DZ163" s="1">
        <f t="shared" si="417"/>
        <v>0</v>
      </c>
      <c r="EA163" s="1">
        <f t="shared" si="418"/>
        <v>0</v>
      </c>
      <c r="EB163" s="1">
        <f t="shared" si="496"/>
        <v>0</v>
      </c>
      <c r="ED163" s="285">
        <f t="shared" si="497"/>
        <v>0</v>
      </c>
    </row>
    <row r="164" spans="1:328" x14ac:dyDescent="0.2">
      <c r="A164" s="208" t="s">
        <v>668</v>
      </c>
      <c r="B164" s="803" t="s">
        <v>2317</v>
      </c>
      <c r="C164" s="192" t="s">
        <v>872</v>
      </c>
      <c r="D164" s="335" t="s">
        <v>658</v>
      </c>
      <c r="E164" s="889"/>
      <c r="F164" s="633">
        <f t="shared" si="492"/>
        <v>239.30138999999997</v>
      </c>
      <c r="G164" s="700"/>
      <c r="H164" s="342">
        <v>1</v>
      </c>
      <c r="I164" s="342"/>
      <c r="J164" s="342"/>
      <c r="K164" s="342"/>
      <c r="L164" s="342"/>
      <c r="M164" s="342"/>
      <c r="N164" s="658">
        <v>0</v>
      </c>
      <c r="O164" s="256"/>
      <c r="P164" s="256"/>
      <c r="Q164" s="256"/>
      <c r="R164" s="255"/>
      <c r="S164" s="256"/>
      <c r="T164" s="256"/>
      <c r="U164" s="256"/>
      <c r="V164" s="255"/>
      <c r="W164" s="256"/>
      <c r="X164" s="256"/>
      <c r="Y164" s="256"/>
      <c r="Z164" s="255"/>
      <c r="AA164" s="256"/>
      <c r="AB164" s="256"/>
      <c r="AC164" s="256"/>
      <c r="AD164" s="255"/>
      <c r="AE164" s="256"/>
      <c r="AF164" s="256"/>
      <c r="AH164" s="546">
        <f t="shared" si="495"/>
        <v>0</v>
      </c>
      <c r="AI164" s="66">
        <f t="shared" si="482"/>
        <v>0</v>
      </c>
      <c r="AL164" s="706" t="str">
        <f t="shared" si="498"/>
        <v>-temperatura PLC</v>
      </c>
      <c r="AM164" s="684">
        <f t="shared" si="500"/>
        <v>0</v>
      </c>
      <c r="AN164" s="674">
        <f t="shared" si="483"/>
        <v>0</v>
      </c>
      <c r="AO164" s="684">
        <f t="shared" si="501"/>
        <v>0</v>
      </c>
      <c r="AP164" s="674">
        <f t="shared" si="484"/>
        <v>0</v>
      </c>
      <c r="AQ164" s="684">
        <f t="shared" si="502"/>
        <v>0</v>
      </c>
      <c r="AR164" s="674">
        <f t="shared" si="485"/>
        <v>0</v>
      </c>
      <c r="AS164" s="684">
        <f t="shared" si="503"/>
        <v>0</v>
      </c>
      <c r="AT164" s="674">
        <f t="shared" si="486"/>
        <v>0</v>
      </c>
      <c r="AU164" s="684">
        <f t="shared" si="504"/>
        <v>0</v>
      </c>
      <c r="AV164" s="674">
        <f t="shared" si="487"/>
        <v>0</v>
      </c>
      <c r="AW164" s="684">
        <f t="shared" si="505"/>
        <v>0</v>
      </c>
      <c r="AX164" s="674">
        <f t="shared" si="488"/>
        <v>0</v>
      </c>
      <c r="AY164" s="684">
        <f t="shared" si="506"/>
        <v>0</v>
      </c>
      <c r="AZ164" s="674">
        <f t="shared" si="489"/>
        <v>0</v>
      </c>
      <c r="BA164" s="684">
        <f t="shared" si="507"/>
        <v>0</v>
      </c>
      <c r="BB164" s="674">
        <f t="shared" si="490"/>
        <v>0</v>
      </c>
      <c r="BC164" s="684">
        <f t="shared" si="508"/>
        <v>0</v>
      </c>
      <c r="BD164" s="674">
        <f t="shared" si="491"/>
        <v>0</v>
      </c>
      <c r="BE164" s="684">
        <f t="shared" si="378"/>
        <v>0</v>
      </c>
      <c r="BF164" s="1">
        <f>N164*$G164</f>
        <v>0</v>
      </c>
      <c r="BG164" s="1">
        <f t="shared" si="428"/>
        <v>0</v>
      </c>
      <c r="BH164" s="1">
        <f t="shared" si="429"/>
        <v>0</v>
      </c>
      <c r="BI164" s="1">
        <f t="shared" si="430"/>
        <v>0</v>
      </c>
      <c r="BJ164" s="1">
        <f t="shared" si="431"/>
        <v>0</v>
      </c>
      <c r="BK164" s="1">
        <f t="shared" si="432"/>
        <v>0</v>
      </c>
      <c r="BL164" s="1">
        <f t="shared" si="433"/>
        <v>0</v>
      </c>
      <c r="BM164" s="1">
        <f t="shared" si="434"/>
        <v>0</v>
      </c>
      <c r="BN164" s="1">
        <f t="shared" si="435"/>
        <v>0</v>
      </c>
      <c r="BO164" s="69">
        <f t="shared" si="436"/>
        <v>0</v>
      </c>
      <c r="BP164" s="1">
        <f t="shared" si="404"/>
        <v>0</v>
      </c>
      <c r="BQ164" s="1">
        <f t="shared" si="473"/>
        <v>0</v>
      </c>
      <c r="BR164" s="1">
        <f t="shared" si="474"/>
        <v>0</v>
      </c>
      <c r="BS164" s="1">
        <f t="shared" si="475"/>
        <v>0</v>
      </c>
      <c r="BT164" s="1">
        <f t="shared" si="476"/>
        <v>0</v>
      </c>
      <c r="BU164" s="1">
        <f t="shared" si="477"/>
        <v>0</v>
      </c>
      <c r="BV164" s="1">
        <f t="shared" si="478"/>
        <v>0</v>
      </c>
      <c r="BW164" s="1">
        <f t="shared" si="479"/>
        <v>0</v>
      </c>
      <c r="BX164" s="1">
        <f t="shared" si="480"/>
        <v>0</v>
      </c>
      <c r="BY164" s="69">
        <f t="shared" si="481"/>
        <v>0</v>
      </c>
      <c r="BZ164" s="1">
        <f>N164*$I164</f>
        <v>0</v>
      </c>
      <c r="CA164" s="1">
        <f t="shared" si="437"/>
        <v>0</v>
      </c>
      <c r="CB164" s="1">
        <f t="shared" si="438"/>
        <v>0</v>
      </c>
      <c r="CC164" s="1">
        <f t="shared" si="439"/>
        <v>0</v>
      </c>
      <c r="CD164" s="1">
        <f t="shared" si="440"/>
        <v>0</v>
      </c>
      <c r="CE164" s="1">
        <f t="shared" si="441"/>
        <v>0</v>
      </c>
      <c r="CF164" s="1">
        <f t="shared" si="442"/>
        <v>0</v>
      </c>
      <c r="CG164" s="1">
        <f t="shared" si="443"/>
        <v>0</v>
      </c>
      <c r="CH164" s="1">
        <f t="shared" si="444"/>
        <v>0</v>
      </c>
      <c r="CI164" s="69">
        <f t="shared" si="445"/>
        <v>0</v>
      </c>
      <c r="CJ164" s="1">
        <f t="shared" si="493"/>
        <v>0</v>
      </c>
      <c r="CK164" s="1">
        <f t="shared" si="419"/>
        <v>0</v>
      </c>
      <c r="CL164" s="1">
        <f t="shared" si="420"/>
        <v>0</v>
      </c>
      <c r="CM164" s="1">
        <f t="shared" si="421"/>
        <v>0</v>
      </c>
      <c r="CN164" s="1">
        <f t="shared" si="422"/>
        <v>0</v>
      </c>
      <c r="CO164" s="1">
        <f t="shared" si="423"/>
        <v>0</v>
      </c>
      <c r="CP164" s="1">
        <f t="shared" si="424"/>
        <v>0</v>
      </c>
      <c r="CQ164" s="1">
        <f t="shared" si="425"/>
        <v>0</v>
      </c>
      <c r="CR164" s="1">
        <f t="shared" si="426"/>
        <v>0</v>
      </c>
      <c r="CS164" s="69">
        <f t="shared" si="427"/>
        <v>0</v>
      </c>
      <c r="CT164" s="1">
        <f>N164*$K164</f>
        <v>0</v>
      </c>
      <c r="CU164" s="1">
        <f t="shared" si="446"/>
        <v>0</v>
      </c>
      <c r="CV164" s="1">
        <f t="shared" si="447"/>
        <v>0</v>
      </c>
      <c r="CW164" s="1">
        <f t="shared" si="448"/>
        <v>0</v>
      </c>
      <c r="CX164" s="1">
        <f t="shared" si="449"/>
        <v>0</v>
      </c>
      <c r="CY164" s="1">
        <f t="shared" si="450"/>
        <v>0</v>
      </c>
      <c r="CZ164" s="1">
        <f t="shared" si="451"/>
        <v>0</v>
      </c>
      <c r="DA164" s="1">
        <f t="shared" si="452"/>
        <v>0</v>
      </c>
      <c r="DB164" s="1">
        <f t="shared" si="453"/>
        <v>0</v>
      </c>
      <c r="DC164" s="69">
        <f t="shared" si="454"/>
        <v>0</v>
      </c>
      <c r="DD164" s="1">
        <f>N164*$L164</f>
        <v>0</v>
      </c>
      <c r="DE164" s="1">
        <f t="shared" si="455"/>
        <v>0</v>
      </c>
      <c r="DF164" s="1">
        <f t="shared" si="456"/>
        <v>0</v>
      </c>
      <c r="DG164" s="1">
        <f t="shared" si="457"/>
        <v>0</v>
      </c>
      <c r="DH164" s="1">
        <f t="shared" si="458"/>
        <v>0</v>
      </c>
      <c r="DI164" s="1">
        <f t="shared" si="459"/>
        <v>0</v>
      </c>
      <c r="DJ164" s="1">
        <f t="shared" si="460"/>
        <v>0</v>
      </c>
      <c r="DK164" s="1">
        <f t="shared" si="461"/>
        <v>0</v>
      </c>
      <c r="DL164" s="1">
        <f t="shared" si="462"/>
        <v>0</v>
      </c>
      <c r="DM164" s="69">
        <f t="shared" si="463"/>
        <v>0</v>
      </c>
      <c r="DN164" s="1">
        <f>N164*$M164</f>
        <v>0</v>
      </c>
      <c r="DO164" s="1">
        <f t="shared" si="464"/>
        <v>0</v>
      </c>
      <c r="DP164" s="1">
        <f t="shared" si="465"/>
        <v>0</v>
      </c>
      <c r="DQ164" s="1">
        <f t="shared" si="466"/>
        <v>0</v>
      </c>
      <c r="DR164" s="1">
        <f t="shared" si="467"/>
        <v>0</v>
      </c>
      <c r="DS164" s="1">
        <f t="shared" si="468"/>
        <v>0</v>
      </c>
      <c r="DT164" s="1">
        <f t="shared" si="469"/>
        <v>0</v>
      </c>
      <c r="DU164" s="1">
        <f t="shared" si="470"/>
        <v>0</v>
      </c>
      <c r="DV164" s="1">
        <f t="shared" si="471"/>
        <v>0</v>
      </c>
      <c r="DW164" s="69">
        <f t="shared" si="472"/>
        <v>0</v>
      </c>
      <c r="DX164" s="1">
        <v>7</v>
      </c>
      <c r="DY164" s="69">
        <f t="shared" si="311"/>
        <v>127</v>
      </c>
      <c r="DZ164" s="1">
        <f t="shared" si="417"/>
        <v>0</v>
      </c>
      <c r="EA164" s="1">
        <f t="shared" si="418"/>
        <v>0</v>
      </c>
      <c r="EB164" s="1">
        <f t="shared" si="496"/>
        <v>0</v>
      </c>
      <c r="ED164" s="285">
        <f t="shared" si="497"/>
        <v>0</v>
      </c>
    </row>
    <row r="165" spans="1:328" ht="15" x14ac:dyDescent="0.25">
      <c r="A165" s="208" t="s">
        <v>668</v>
      </c>
      <c r="B165" s="802" t="s">
        <v>2365</v>
      </c>
      <c r="C165" s="194" t="s">
        <v>872</v>
      </c>
      <c r="D165" s="644" t="s">
        <v>675</v>
      </c>
      <c r="E165" s="889"/>
      <c r="F165" s="633">
        <f t="shared" si="492"/>
        <v>450</v>
      </c>
      <c r="G165" s="700"/>
      <c r="H165" s="342"/>
      <c r="I165" s="342"/>
      <c r="J165" s="342"/>
      <c r="K165" s="342"/>
      <c r="L165" s="342"/>
      <c r="M165" s="342"/>
      <c r="N165" s="255"/>
      <c r="O165" s="256"/>
      <c r="P165" s="256"/>
      <c r="Q165" s="256"/>
      <c r="R165" s="255"/>
      <c r="S165" s="256"/>
      <c r="T165" s="256"/>
      <c r="U165" s="256"/>
      <c r="V165" s="255"/>
      <c r="W165" s="256"/>
      <c r="X165" s="256"/>
      <c r="Y165" s="256"/>
      <c r="Z165" s="255"/>
      <c r="AA165" s="256"/>
      <c r="AB165" s="256"/>
      <c r="AC165" s="256"/>
      <c r="AD165" s="255"/>
      <c r="AE165" s="256"/>
      <c r="AF165" s="256"/>
      <c r="AH165" s="546">
        <f t="shared" si="495"/>
        <v>0</v>
      </c>
      <c r="AI165" s="66">
        <f t="shared" si="482"/>
        <v>0</v>
      </c>
      <c r="AL165" s="706" t="str">
        <f t="shared" si="498"/>
        <v>-temperatura con scheda in rete</v>
      </c>
      <c r="AM165" s="684">
        <f t="shared" si="500"/>
        <v>0</v>
      </c>
      <c r="AN165" s="674">
        <f t="shared" si="483"/>
        <v>0</v>
      </c>
      <c r="AO165" s="684">
        <f t="shared" si="501"/>
        <v>0</v>
      </c>
      <c r="AP165" s="674">
        <f t="shared" si="484"/>
        <v>0</v>
      </c>
      <c r="AQ165" s="684">
        <f t="shared" si="502"/>
        <v>0</v>
      </c>
      <c r="AR165" s="674">
        <f t="shared" si="485"/>
        <v>0</v>
      </c>
      <c r="AS165" s="684">
        <f t="shared" si="503"/>
        <v>0</v>
      </c>
      <c r="AT165" s="674">
        <f t="shared" si="486"/>
        <v>0</v>
      </c>
      <c r="AU165" s="684">
        <f t="shared" si="504"/>
        <v>0</v>
      </c>
      <c r="AV165" s="674">
        <f t="shared" si="487"/>
        <v>0</v>
      </c>
      <c r="AW165" s="684">
        <f t="shared" si="505"/>
        <v>0</v>
      </c>
      <c r="AX165" s="674">
        <f t="shared" si="488"/>
        <v>0</v>
      </c>
      <c r="AY165" s="684">
        <f t="shared" si="506"/>
        <v>0</v>
      </c>
      <c r="AZ165" s="674">
        <f t="shared" si="489"/>
        <v>0</v>
      </c>
      <c r="BA165" s="684">
        <f t="shared" si="507"/>
        <v>0</v>
      </c>
      <c r="BB165" s="674">
        <f t="shared" si="490"/>
        <v>0</v>
      </c>
      <c r="BC165" s="684">
        <f t="shared" si="508"/>
        <v>0</v>
      </c>
      <c r="BD165" s="674">
        <f t="shared" si="491"/>
        <v>0</v>
      </c>
      <c r="BE165" s="684">
        <f t="shared" si="378"/>
        <v>0</v>
      </c>
      <c r="BF165" s="1">
        <f>N165*$G165</f>
        <v>0</v>
      </c>
      <c r="BG165" s="1">
        <f t="shared" si="428"/>
        <v>0</v>
      </c>
      <c r="BH165" s="1">
        <f t="shared" si="429"/>
        <v>0</v>
      </c>
      <c r="BI165" s="1">
        <f t="shared" si="430"/>
        <v>0</v>
      </c>
      <c r="BJ165" s="1">
        <f t="shared" si="431"/>
        <v>0</v>
      </c>
      <c r="BK165" s="1">
        <f t="shared" si="432"/>
        <v>0</v>
      </c>
      <c r="BL165" s="1">
        <f t="shared" si="433"/>
        <v>0</v>
      </c>
      <c r="BM165" s="1">
        <f t="shared" si="434"/>
        <v>0</v>
      </c>
      <c r="BN165" s="1">
        <f t="shared" si="435"/>
        <v>0</v>
      </c>
      <c r="BO165" s="69">
        <f t="shared" si="436"/>
        <v>0</v>
      </c>
      <c r="BP165" s="1">
        <f t="shared" si="404"/>
        <v>0</v>
      </c>
      <c r="BQ165" s="1">
        <f t="shared" si="473"/>
        <v>0</v>
      </c>
      <c r="BR165" s="1">
        <f t="shared" si="474"/>
        <v>0</v>
      </c>
      <c r="BS165" s="1">
        <f t="shared" si="475"/>
        <v>0</v>
      </c>
      <c r="BT165" s="1">
        <f t="shared" si="476"/>
        <v>0</v>
      </c>
      <c r="BU165" s="1">
        <f t="shared" si="477"/>
        <v>0</v>
      </c>
      <c r="BV165" s="1">
        <f t="shared" si="478"/>
        <v>0</v>
      </c>
      <c r="BW165" s="1">
        <f t="shared" si="479"/>
        <v>0</v>
      </c>
      <c r="BX165" s="1">
        <f t="shared" si="480"/>
        <v>0</v>
      </c>
      <c r="BY165" s="69">
        <f t="shared" si="481"/>
        <v>0</v>
      </c>
      <c r="BZ165" s="1">
        <f>N165*$I165</f>
        <v>0</v>
      </c>
      <c r="CA165" s="1">
        <f t="shared" si="437"/>
        <v>0</v>
      </c>
      <c r="CB165" s="1">
        <f t="shared" si="438"/>
        <v>0</v>
      </c>
      <c r="CC165" s="1">
        <f t="shared" si="439"/>
        <v>0</v>
      </c>
      <c r="CD165" s="1">
        <f t="shared" si="440"/>
        <v>0</v>
      </c>
      <c r="CE165" s="1">
        <f t="shared" si="441"/>
        <v>0</v>
      </c>
      <c r="CF165" s="1">
        <f t="shared" si="442"/>
        <v>0</v>
      </c>
      <c r="CG165" s="1">
        <f t="shared" si="443"/>
        <v>0</v>
      </c>
      <c r="CH165" s="1">
        <f t="shared" si="444"/>
        <v>0</v>
      </c>
      <c r="CI165" s="69">
        <f t="shared" si="445"/>
        <v>0</v>
      </c>
      <c r="CJ165" s="1">
        <f t="shared" si="493"/>
        <v>0</v>
      </c>
      <c r="CK165" s="1">
        <f t="shared" si="419"/>
        <v>0</v>
      </c>
      <c r="CL165" s="1">
        <f t="shared" si="420"/>
        <v>0</v>
      </c>
      <c r="CM165" s="1">
        <f t="shared" si="421"/>
        <v>0</v>
      </c>
      <c r="CN165" s="1">
        <f t="shared" si="422"/>
        <v>0</v>
      </c>
      <c r="CO165" s="1">
        <f t="shared" si="423"/>
        <v>0</v>
      </c>
      <c r="CP165" s="1">
        <f t="shared" si="424"/>
        <v>0</v>
      </c>
      <c r="CQ165" s="1">
        <f t="shared" si="425"/>
        <v>0</v>
      </c>
      <c r="CR165" s="1">
        <f t="shared" si="426"/>
        <v>0</v>
      </c>
      <c r="CS165" s="69">
        <f t="shared" si="427"/>
        <v>0</v>
      </c>
      <c r="CT165" s="1">
        <f>N165*$K165</f>
        <v>0</v>
      </c>
      <c r="CU165" s="1">
        <f t="shared" si="446"/>
        <v>0</v>
      </c>
      <c r="CV165" s="1">
        <f t="shared" si="447"/>
        <v>0</v>
      </c>
      <c r="CW165" s="1">
        <f t="shared" si="448"/>
        <v>0</v>
      </c>
      <c r="CX165" s="1">
        <f t="shared" si="449"/>
        <v>0</v>
      </c>
      <c r="CY165" s="1">
        <f t="shared" si="450"/>
        <v>0</v>
      </c>
      <c r="CZ165" s="1">
        <f t="shared" si="451"/>
        <v>0</v>
      </c>
      <c r="DA165" s="1">
        <f t="shared" si="452"/>
        <v>0</v>
      </c>
      <c r="DB165" s="1">
        <f t="shared" si="453"/>
        <v>0</v>
      </c>
      <c r="DC165" s="69">
        <f t="shared" si="454"/>
        <v>0</v>
      </c>
      <c r="DD165" s="1">
        <f>N165*$L165</f>
        <v>0</v>
      </c>
      <c r="DE165" s="1">
        <f t="shared" si="455"/>
        <v>0</v>
      </c>
      <c r="DF165" s="1">
        <f t="shared" si="456"/>
        <v>0</v>
      </c>
      <c r="DG165" s="1">
        <f t="shared" si="457"/>
        <v>0</v>
      </c>
      <c r="DH165" s="1">
        <f t="shared" si="458"/>
        <v>0</v>
      </c>
      <c r="DI165" s="1">
        <f t="shared" si="459"/>
        <v>0</v>
      </c>
      <c r="DJ165" s="1">
        <f t="shared" si="460"/>
        <v>0</v>
      </c>
      <c r="DK165" s="1">
        <f t="shared" si="461"/>
        <v>0</v>
      </c>
      <c r="DL165" s="1">
        <f t="shared" si="462"/>
        <v>0</v>
      </c>
      <c r="DM165" s="69">
        <f t="shared" si="463"/>
        <v>0</v>
      </c>
      <c r="DN165" s="1">
        <f>N165*$M165</f>
        <v>0</v>
      </c>
      <c r="DO165" s="1">
        <f t="shared" si="464"/>
        <v>0</v>
      </c>
      <c r="DP165" s="1">
        <f t="shared" si="465"/>
        <v>0</v>
      </c>
      <c r="DQ165" s="1">
        <f t="shared" si="466"/>
        <v>0</v>
      </c>
      <c r="DR165" s="1">
        <f t="shared" si="467"/>
        <v>0</v>
      </c>
      <c r="DS165" s="1">
        <f t="shared" si="468"/>
        <v>0</v>
      </c>
      <c r="DT165" s="1">
        <f t="shared" si="469"/>
        <v>0</v>
      </c>
      <c r="DU165" s="1">
        <f t="shared" si="470"/>
        <v>0</v>
      </c>
      <c r="DV165" s="1">
        <f t="shared" si="471"/>
        <v>0</v>
      </c>
      <c r="DW165" s="69">
        <f t="shared" si="472"/>
        <v>0</v>
      </c>
      <c r="DX165" s="1">
        <v>7</v>
      </c>
      <c r="DY165" s="69">
        <f t="shared" si="311"/>
        <v>128</v>
      </c>
      <c r="DZ165" s="1">
        <f t="shared" si="417"/>
        <v>0</v>
      </c>
      <c r="EA165" s="1">
        <f t="shared" si="418"/>
        <v>0</v>
      </c>
      <c r="EB165" s="1">
        <f t="shared" si="496"/>
        <v>0</v>
      </c>
      <c r="ED165" s="285">
        <f t="shared" si="497"/>
        <v>0</v>
      </c>
    </row>
    <row r="166" spans="1:328" ht="15" x14ac:dyDescent="0.25">
      <c r="A166" s="208" t="s">
        <v>668</v>
      </c>
      <c r="B166" s="808" t="s">
        <v>2313</v>
      </c>
      <c r="C166" s="196" t="s">
        <v>872</v>
      </c>
      <c r="D166" s="647" t="s">
        <v>695</v>
      </c>
      <c r="E166" s="889"/>
      <c r="F166" s="633">
        <f t="shared" si="492"/>
        <v>0</v>
      </c>
      <c r="G166" s="694"/>
      <c r="H166" s="58"/>
      <c r="I166" s="58"/>
      <c r="J166" s="58">
        <v>2</v>
      </c>
      <c r="K166" s="58">
        <v>1</v>
      </c>
      <c r="L166" s="58"/>
      <c r="M166" s="58"/>
      <c r="N166" s="658">
        <v>0</v>
      </c>
      <c r="O166" s="256"/>
      <c r="P166" s="256"/>
      <c r="Q166" s="256"/>
      <c r="R166" s="255"/>
      <c r="S166" s="256"/>
      <c r="T166" s="256"/>
      <c r="U166" s="256"/>
      <c r="V166" s="255"/>
      <c r="W166" s="256"/>
      <c r="X166" s="256"/>
      <c r="Y166" s="256"/>
      <c r="Z166" s="255"/>
      <c r="AA166" s="256"/>
      <c r="AB166" s="256"/>
      <c r="AC166" s="256"/>
      <c r="AD166" s="255"/>
      <c r="AE166" s="256"/>
      <c r="AF166" s="256"/>
      <c r="AH166" s="546">
        <f t="shared" si="495"/>
        <v>0</v>
      </c>
      <c r="AI166" s="66">
        <f t="shared" si="482"/>
        <v>0</v>
      </c>
      <c r="AL166" s="706" t="str">
        <f t="shared" si="498"/>
        <v>-valvola monostabile + 2 finecorsa</v>
      </c>
      <c r="AM166" s="684">
        <f t="shared" si="500"/>
        <v>0</v>
      </c>
      <c r="AN166" s="674">
        <f t="shared" si="483"/>
        <v>0</v>
      </c>
      <c r="AO166" s="684">
        <f t="shared" si="501"/>
        <v>0</v>
      </c>
      <c r="AP166" s="674">
        <f t="shared" si="484"/>
        <v>0</v>
      </c>
      <c r="AQ166" s="684">
        <f t="shared" si="502"/>
        <v>0</v>
      </c>
      <c r="AR166" s="674">
        <f t="shared" si="485"/>
        <v>0</v>
      </c>
      <c r="AS166" s="684">
        <f t="shared" si="503"/>
        <v>0</v>
      </c>
      <c r="AT166" s="674">
        <f t="shared" si="486"/>
        <v>0</v>
      </c>
      <c r="AU166" s="684">
        <f t="shared" si="504"/>
        <v>0</v>
      </c>
      <c r="AV166" s="674">
        <f t="shared" si="487"/>
        <v>0</v>
      </c>
      <c r="AW166" s="684">
        <f t="shared" si="505"/>
        <v>0</v>
      </c>
      <c r="AX166" s="674">
        <f t="shared" si="488"/>
        <v>0</v>
      </c>
      <c r="AY166" s="684">
        <f t="shared" si="506"/>
        <v>0</v>
      </c>
      <c r="AZ166" s="674">
        <f t="shared" si="489"/>
        <v>0</v>
      </c>
      <c r="BA166" s="684">
        <f t="shared" si="507"/>
        <v>0</v>
      </c>
      <c r="BB166" s="674">
        <f t="shared" si="490"/>
        <v>0</v>
      </c>
      <c r="BC166" s="684">
        <f t="shared" si="508"/>
        <v>0</v>
      </c>
      <c r="BD166" s="674">
        <f t="shared" si="491"/>
        <v>0</v>
      </c>
      <c r="BE166" s="684">
        <f t="shared" si="378"/>
        <v>0</v>
      </c>
      <c r="BF166" s="1">
        <f>N166*$G166</f>
        <v>0</v>
      </c>
      <c r="BG166" s="1">
        <f t="shared" si="428"/>
        <v>0</v>
      </c>
      <c r="BH166" s="1">
        <f t="shared" si="429"/>
        <v>0</v>
      </c>
      <c r="BI166" s="1">
        <f t="shared" si="430"/>
        <v>0</v>
      </c>
      <c r="BJ166" s="1">
        <f t="shared" si="431"/>
        <v>0</v>
      </c>
      <c r="BK166" s="1">
        <f t="shared" si="432"/>
        <v>0</v>
      </c>
      <c r="BL166" s="1">
        <f t="shared" si="433"/>
        <v>0</v>
      </c>
      <c r="BM166" s="1">
        <f t="shared" si="434"/>
        <v>0</v>
      </c>
      <c r="BN166" s="1">
        <f t="shared" si="435"/>
        <v>0</v>
      </c>
      <c r="BO166" s="69">
        <f t="shared" si="436"/>
        <v>0</v>
      </c>
      <c r="BP166" s="1">
        <f t="shared" si="404"/>
        <v>0</v>
      </c>
      <c r="BQ166" s="1">
        <f t="shared" si="473"/>
        <v>0</v>
      </c>
      <c r="BR166" s="1">
        <f t="shared" si="474"/>
        <v>0</v>
      </c>
      <c r="BS166" s="1">
        <f t="shared" si="475"/>
        <v>0</v>
      </c>
      <c r="BT166" s="1">
        <f t="shared" si="476"/>
        <v>0</v>
      </c>
      <c r="BU166" s="1">
        <f t="shared" si="477"/>
        <v>0</v>
      </c>
      <c r="BV166" s="1">
        <f t="shared" si="478"/>
        <v>0</v>
      </c>
      <c r="BW166" s="1">
        <f t="shared" si="479"/>
        <v>0</v>
      </c>
      <c r="BX166" s="1">
        <f t="shared" si="480"/>
        <v>0</v>
      </c>
      <c r="BY166" s="69">
        <f t="shared" si="481"/>
        <v>0</v>
      </c>
      <c r="BZ166" s="1">
        <f>N166*$I166</f>
        <v>0</v>
      </c>
      <c r="CA166" s="1">
        <f t="shared" si="437"/>
        <v>0</v>
      </c>
      <c r="CB166" s="1">
        <f t="shared" si="438"/>
        <v>0</v>
      </c>
      <c r="CC166" s="1">
        <f t="shared" si="439"/>
        <v>0</v>
      </c>
      <c r="CD166" s="1">
        <f t="shared" si="440"/>
        <v>0</v>
      </c>
      <c r="CE166" s="1">
        <f t="shared" si="441"/>
        <v>0</v>
      </c>
      <c r="CF166" s="1">
        <f t="shared" si="442"/>
        <v>0</v>
      </c>
      <c r="CG166" s="1">
        <f t="shared" si="443"/>
        <v>0</v>
      </c>
      <c r="CH166" s="1">
        <f t="shared" si="444"/>
        <v>0</v>
      </c>
      <c r="CI166" s="69">
        <f t="shared" si="445"/>
        <v>0</v>
      </c>
      <c r="CJ166" s="1">
        <f t="shared" si="493"/>
        <v>0</v>
      </c>
      <c r="CK166" s="1">
        <f t="shared" si="419"/>
        <v>0</v>
      </c>
      <c r="CL166" s="1">
        <f t="shared" si="420"/>
        <v>0</v>
      </c>
      <c r="CM166" s="1">
        <f t="shared" si="421"/>
        <v>0</v>
      </c>
      <c r="CN166" s="1">
        <f t="shared" si="422"/>
        <v>0</v>
      </c>
      <c r="CO166" s="1">
        <f t="shared" si="423"/>
        <v>0</v>
      </c>
      <c r="CP166" s="1">
        <f t="shared" si="424"/>
        <v>0</v>
      </c>
      <c r="CQ166" s="1">
        <f t="shared" si="425"/>
        <v>0</v>
      </c>
      <c r="CR166" s="1">
        <f t="shared" si="426"/>
        <v>0</v>
      </c>
      <c r="CS166" s="69">
        <f t="shared" si="427"/>
        <v>0</v>
      </c>
      <c r="CT166" s="1">
        <f>N166*$K166</f>
        <v>0</v>
      </c>
      <c r="CU166" s="1">
        <f t="shared" si="446"/>
        <v>0</v>
      </c>
      <c r="CV166" s="1">
        <f t="shared" si="447"/>
        <v>0</v>
      </c>
      <c r="CW166" s="1">
        <f t="shared" si="448"/>
        <v>0</v>
      </c>
      <c r="CX166" s="1">
        <f t="shared" si="449"/>
        <v>0</v>
      </c>
      <c r="CY166" s="1">
        <f t="shared" si="450"/>
        <v>0</v>
      </c>
      <c r="CZ166" s="1">
        <f t="shared" si="451"/>
        <v>0</v>
      </c>
      <c r="DA166" s="1">
        <f t="shared" si="452"/>
        <v>0</v>
      </c>
      <c r="DB166" s="1">
        <f t="shared" si="453"/>
        <v>0</v>
      </c>
      <c r="DC166" s="69">
        <f t="shared" si="454"/>
        <v>0</v>
      </c>
      <c r="DD166" s="1">
        <f>N166*$L166</f>
        <v>0</v>
      </c>
      <c r="DE166" s="1">
        <f t="shared" si="455"/>
        <v>0</v>
      </c>
      <c r="DF166" s="1">
        <f t="shared" si="456"/>
        <v>0</v>
      </c>
      <c r="DG166" s="1">
        <f t="shared" si="457"/>
        <v>0</v>
      </c>
      <c r="DH166" s="1">
        <f t="shared" si="458"/>
        <v>0</v>
      </c>
      <c r="DI166" s="1">
        <f t="shared" si="459"/>
        <v>0</v>
      </c>
      <c r="DJ166" s="1">
        <f t="shared" si="460"/>
        <v>0</v>
      </c>
      <c r="DK166" s="1">
        <f t="shared" si="461"/>
        <v>0</v>
      </c>
      <c r="DL166" s="1">
        <f t="shared" si="462"/>
        <v>0</v>
      </c>
      <c r="DM166" s="69">
        <f t="shared" si="463"/>
        <v>0</v>
      </c>
      <c r="DN166" s="1">
        <f>N166*$M166</f>
        <v>0</v>
      </c>
      <c r="DO166" s="1">
        <f t="shared" si="464"/>
        <v>0</v>
      </c>
      <c r="DP166" s="1">
        <f t="shared" si="465"/>
        <v>0</v>
      </c>
      <c r="DQ166" s="1">
        <f t="shared" si="466"/>
        <v>0</v>
      </c>
      <c r="DR166" s="1">
        <f t="shared" si="467"/>
        <v>0</v>
      </c>
      <c r="DS166" s="1">
        <f t="shared" si="468"/>
        <v>0</v>
      </c>
      <c r="DT166" s="1">
        <f t="shared" si="469"/>
        <v>0</v>
      </c>
      <c r="DU166" s="1">
        <f t="shared" si="470"/>
        <v>0</v>
      </c>
      <c r="DV166" s="1">
        <f t="shared" si="471"/>
        <v>0</v>
      </c>
      <c r="DW166" s="69">
        <f t="shared" si="472"/>
        <v>0</v>
      </c>
      <c r="DX166" s="1">
        <v>7</v>
      </c>
      <c r="DY166" s="69">
        <f t="shared" si="311"/>
        <v>129</v>
      </c>
      <c r="DZ166" s="1">
        <f t="shared" si="417"/>
        <v>0</v>
      </c>
      <c r="EA166" s="1">
        <f t="shared" si="418"/>
        <v>0</v>
      </c>
      <c r="EB166" s="1">
        <f t="shared" si="496"/>
        <v>0</v>
      </c>
      <c r="ED166" s="285">
        <f t="shared" si="497"/>
        <v>0</v>
      </c>
    </row>
    <row r="167" spans="1:328" ht="15.75" thickBot="1" x14ac:dyDescent="0.3">
      <c r="A167" s="211" t="s">
        <v>668</v>
      </c>
      <c r="B167" s="813" t="s">
        <v>2314</v>
      </c>
      <c r="C167" s="201" t="s">
        <v>872</v>
      </c>
      <c r="D167" s="648" t="s">
        <v>697</v>
      </c>
      <c r="E167" s="889"/>
      <c r="F167" s="634">
        <f t="shared" si="492"/>
        <v>0</v>
      </c>
      <c r="G167" s="695"/>
      <c r="H167" s="519"/>
      <c r="I167" s="519"/>
      <c r="J167" s="519"/>
      <c r="K167" s="519">
        <v>1</v>
      </c>
      <c r="L167" s="519"/>
      <c r="M167" s="519"/>
      <c r="N167" s="659"/>
      <c r="O167" s="260"/>
      <c r="P167" s="260"/>
      <c r="Q167" s="260"/>
      <c r="R167" s="259"/>
      <c r="S167" s="260"/>
      <c r="T167" s="260"/>
      <c r="U167" s="260"/>
      <c r="V167" s="259"/>
      <c r="W167" s="260"/>
      <c r="X167" s="260"/>
      <c r="Y167" s="260"/>
      <c r="Z167" s="259"/>
      <c r="AA167" s="260"/>
      <c r="AB167" s="260"/>
      <c r="AC167" s="260"/>
      <c r="AD167" s="259"/>
      <c r="AE167" s="260"/>
      <c r="AF167" s="260"/>
      <c r="AG167" s="548"/>
      <c r="AH167" s="546">
        <f t="shared" si="495"/>
        <v>0</v>
      </c>
      <c r="AI167" s="160">
        <f t="shared" si="482"/>
        <v>0</v>
      </c>
      <c r="AJ167" s="160"/>
      <c r="AL167" s="706" t="str">
        <f t="shared" si="498"/>
        <v>-valvola monostabile</v>
      </c>
      <c r="AM167" s="686">
        <f t="shared" si="500"/>
        <v>0</v>
      </c>
      <c r="AN167" s="678">
        <f t="shared" si="483"/>
        <v>0</v>
      </c>
      <c r="AO167" s="686">
        <f t="shared" si="501"/>
        <v>0</v>
      </c>
      <c r="AP167" s="678">
        <f t="shared" si="484"/>
        <v>0</v>
      </c>
      <c r="AQ167" s="677">
        <f t="shared" si="502"/>
        <v>0</v>
      </c>
      <c r="AR167" s="678">
        <f t="shared" si="485"/>
        <v>0</v>
      </c>
      <c r="AS167" s="686">
        <f t="shared" si="503"/>
        <v>0</v>
      </c>
      <c r="AT167" s="678">
        <f t="shared" si="486"/>
        <v>0</v>
      </c>
      <c r="AU167" s="686">
        <f t="shared" si="504"/>
        <v>0</v>
      </c>
      <c r="AV167" s="678">
        <f t="shared" si="487"/>
        <v>0</v>
      </c>
      <c r="AW167" s="686">
        <f t="shared" si="505"/>
        <v>0</v>
      </c>
      <c r="AX167" s="678">
        <f t="shared" si="488"/>
        <v>0</v>
      </c>
      <c r="AY167" s="686">
        <f t="shared" si="506"/>
        <v>0</v>
      </c>
      <c r="AZ167" s="678">
        <f t="shared" si="489"/>
        <v>0</v>
      </c>
      <c r="BA167" s="686">
        <f t="shared" si="507"/>
        <v>0</v>
      </c>
      <c r="BB167" s="678">
        <f t="shared" si="490"/>
        <v>0</v>
      </c>
      <c r="BC167" s="686">
        <f t="shared" si="508"/>
        <v>0</v>
      </c>
      <c r="BD167" s="678">
        <f t="shared" si="491"/>
        <v>0</v>
      </c>
      <c r="BE167" s="686">
        <f t="shared" si="378"/>
        <v>0</v>
      </c>
      <c r="BF167" s="158">
        <f>N167*$G167</f>
        <v>0</v>
      </c>
      <c r="BG167" s="158">
        <f t="shared" si="428"/>
        <v>0</v>
      </c>
      <c r="BH167" s="158">
        <f t="shared" si="429"/>
        <v>0</v>
      </c>
      <c r="BI167" s="158">
        <f t="shared" si="430"/>
        <v>0</v>
      </c>
      <c r="BJ167" s="158">
        <f t="shared" si="431"/>
        <v>0</v>
      </c>
      <c r="BK167" s="158">
        <f t="shared" si="432"/>
        <v>0</v>
      </c>
      <c r="BL167" s="158">
        <f t="shared" si="433"/>
        <v>0</v>
      </c>
      <c r="BM167" s="158">
        <f t="shared" si="434"/>
        <v>0</v>
      </c>
      <c r="BN167" s="158">
        <f t="shared" si="435"/>
        <v>0</v>
      </c>
      <c r="BO167" s="159">
        <f t="shared" si="436"/>
        <v>0</v>
      </c>
      <c r="BP167" s="158">
        <f t="shared" si="404"/>
        <v>0</v>
      </c>
      <c r="BQ167" s="158">
        <f t="shared" si="473"/>
        <v>0</v>
      </c>
      <c r="BR167" s="158">
        <f t="shared" si="474"/>
        <v>0</v>
      </c>
      <c r="BS167" s="158">
        <f t="shared" si="475"/>
        <v>0</v>
      </c>
      <c r="BT167" s="158">
        <f t="shared" si="476"/>
        <v>0</v>
      </c>
      <c r="BU167" s="158">
        <f t="shared" si="477"/>
        <v>0</v>
      </c>
      <c r="BV167" s="158">
        <f t="shared" si="478"/>
        <v>0</v>
      </c>
      <c r="BW167" s="158">
        <f t="shared" si="479"/>
        <v>0</v>
      </c>
      <c r="BX167" s="158">
        <f t="shared" si="480"/>
        <v>0</v>
      </c>
      <c r="BY167" s="159">
        <f t="shared" si="481"/>
        <v>0</v>
      </c>
      <c r="BZ167" s="158">
        <f>N167*$I167</f>
        <v>0</v>
      </c>
      <c r="CA167" s="158">
        <f t="shared" si="437"/>
        <v>0</v>
      </c>
      <c r="CB167" s="158">
        <f t="shared" si="438"/>
        <v>0</v>
      </c>
      <c r="CC167" s="158">
        <f t="shared" si="439"/>
        <v>0</v>
      </c>
      <c r="CD167" s="158">
        <f t="shared" si="440"/>
        <v>0</v>
      </c>
      <c r="CE167" s="158">
        <f t="shared" si="441"/>
        <v>0</v>
      </c>
      <c r="CF167" s="158">
        <f t="shared" si="442"/>
        <v>0</v>
      </c>
      <c r="CG167" s="158">
        <f t="shared" si="443"/>
        <v>0</v>
      </c>
      <c r="CH167" s="158">
        <f t="shared" si="444"/>
        <v>0</v>
      </c>
      <c r="CI167" s="159">
        <f t="shared" si="445"/>
        <v>0</v>
      </c>
      <c r="CJ167" s="158">
        <f t="shared" si="493"/>
        <v>0</v>
      </c>
      <c r="CK167" s="158">
        <f t="shared" si="419"/>
        <v>0</v>
      </c>
      <c r="CL167" s="158">
        <f t="shared" si="420"/>
        <v>0</v>
      </c>
      <c r="CM167" s="158">
        <f t="shared" si="421"/>
        <v>0</v>
      </c>
      <c r="CN167" s="158">
        <f t="shared" si="422"/>
        <v>0</v>
      </c>
      <c r="CO167" s="158">
        <f t="shared" si="423"/>
        <v>0</v>
      </c>
      <c r="CP167" s="158">
        <f t="shared" si="424"/>
        <v>0</v>
      </c>
      <c r="CQ167" s="158">
        <f t="shared" si="425"/>
        <v>0</v>
      </c>
      <c r="CR167" s="158">
        <f t="shared" si="426"/>
        <v>0</v>
      </c>
      <c r="CS167" s="159">
        <f t="shared" si="427"/>
        <v>0</v>
      </c>
      <c r="CT167" s="158">
        <f>N167*$K167</f>
        <v>0</v>
      </c>
      <c r="CU167" s="158">
        <f t="shared" si="446"/>
        <v>0</v>
      </c>
      <c r="CV167" s="158">
        <f t="shared" si="447"/>
        <v>0</v>
      </c>
      <c r="CW167" s="158">
        <f t="shared" si="448"/>
        <v>0</v>
      </c>
      <c r="CX167" s="158">
        <f t="shared" si="449"/>
        <v>0</v>
      </c>
      <c r="CY167" s="158">
        <f t="shared" si="450"/>
        <v>0</v>
      </c>
      <c r="CZ167" s="158">
        <f t="shared" si="451"/>
        <v>0</v>
      </c>
      <c r="DA167" s="158">
        <f t="shared" si="452"/>
        <v>0</v>
      </c>
      <c r="DB167" s="158">
        <f t="shared" si="453"/>
        <v>0</v>
      </c>
      <c r="DC167" s="159">
        <f t="shared" si="454"/>
        <v>0</v>
      </c>
      <c r="DD167" s="158">
        <f>N167*$L167</f>
        <v>0</v>
      </c>
      <c r="DE167" s="158">
        <f t="shared" si="455"/>
        <v>0</v>
      </c>
      <c r="DF167" s="158">
        <f t="shared" si="456"/>
        <v>0</v>
      </c>
      <c r="DG167" s="158">
        <f t="shared" si="457"/>
        <v>0</v>
      </c>
      <c r="DH167" s="158">
        <f t="shared" si="458"/>
        <v>0</v>
      </c>
      <c r="DI167" s="158">
        <f t="shared" si="459"/>
        <v>0</v>
      </c>
      <c r="DJ167" s="158">
        <f t="shared" si="460"/>
        <v>0</v>
      </c>
      <c r="DK167" s="158">
        <f t="shared" si="461"/>
        <v>0</v>
      </c>
      <c r="DL167" s="158">
        <f t="shared" si="462"/>
        <v>0</v>
      </c>
      <c r="DM167" s="159">
        <f t="shared" si="463"/>
        <v>0</v>
      </c>
      <c r="DN167" s="158">
        <f>N167*$M167</f>
        <v>0</v>
      </c>
      <c r="DO167" s="158">
        <f t="shared" si="464"/>
        <v>0</v>
      </c>
      <c r="DP167" s="158">
        <f t="shared" si="465"/>
        <v>0</v>
      </c>
      <c r="DQ167" s="158">
        <f t="shared" si="466"/>
        <v>0</v>
      </c>
      <c r="DR167" s="158">
        <f t="shared" si="467"/>
        <v>0</v>
      </c>
      <c r="DS167" s="158">
        <f t="shared" si="468"/>
        <v>0</v>
      </c>
      <c r="DT167" s="158">
        <f t="shared" si="469"/>
        <v>0</v>
      </c>
      <c r="DU167" s="158">
        <f t="shared" si="470"/>
        <v>0</v>
      </c>
      <c r="DV167" s="158">
        <f t="shared" si="471"/>
        <v>0</v>
      </c>
      <c r="DW167" s="159">
        <f t="shared" si="472"/>
        <v>0</v>
      </c>
      <c r="DX167" s="158">
        <v>7</v>
      </c>
      <c r="DY167" s="69">
        <f t="shared" si="311"/>
        <v>130</v>
      </c>
      <c r="DZ167" s="1">
        <f t="shared" si="417"/>
        <v>0</v>
      </c>
      <c r="EA167" s="1">
        <f t="shared" si="418"/>
        <v>0</v>
      </c>
      <c r="EB167" s="1">
        <f t="shared" si="496"/>
        <v>0</v>
      </c>
      <c r="ED167" s="285">
        <f t="shared" si="497"/>
        <v>0</v>
      </c>
    </row>
    <row r="168" spans="1:328" s="219" customFormat="1" x14ac:dyDescent="0.2">
      <c r="A168" s="382" t="s">
        <v>968</v>
      </c>
      <c r="B168" s="250" t="str">
        <f>'base prezzi'!B20</f>
        <v>Siemens-Pannello KTP400 4" touch colore</v>
      </c>
      <c r="C168" s="222"/>
      <c r="D168" s="292"/>
      <c r="E168" s="523"/>
      <c r="F168" s="635"/>
      <c r="G168" s="524"/>
      <c r="H168" s="525"/>
      <c r="I168" s="525"/>
      <c r="J168" s="525"/>
      <c r="K168" s="525"/>
      <c r="L168" s="525"/>
      <c r="M168" s="525"/>
      <c r="N168" s="668"/>
      <c r="O168" s="217"/>
      <c r="P168" s="256"/>
      <c r="Q168" s="217"/>
      <c r="R168" s="250"/>
      <c r="S168" s="217"/>
      <c r="T168" s="256"/>
      <c r="U168" s="217"/>
      <c r="V168" s="250"/>
      <c r="W168" s="217"/>
      <c r="X168" s="256"/>
      <c r="Y168" s="217"/>
      <c r="Z168" s="250"/>
      <c r="AA168" s="217"/>
      <c r="AB168" s="256"/>
      <c r="AC168" s="256"/>
      <c r="AD168" s="250"/>
      <c r="AE168" s="256"/>
      <c r="AF168" s="256"/>
      <c r="AG168" s="72"/>
      <c r="AH168" s="546">
        <f t="shared" si="495"/>
        <v>0</v>
      </c>
      <c r="AI168" s="216"/>
      <c r="AJ168" s="216"/>
      <c r="AK168" s="216"/>
      <c r="AL168" s="706" t="str">
        <f t="shared" si="498"/>
        <v>-</v>
      </c>
      <c r="AM168" s="218"/>
      <c r="AN168" s="216"/>
      <c r="AO168" s="218"/>
      <c r="AP168" s="216"/>
      <c r="AQ168" s="218"/>
      <c r="AR168" s="216"/>
      <c r="AS168" s="218"/>
      <c r="AT168" s="216"/>
      <c r="AU168" s="218"/>
      <c r="AV168" s="216"/>
      <c r="AW168" s="218"/>
      <c r="AX168" s="216"/>
      <c r="AY168" s="218"/>
      <c r="AZ168" s="216"/>
      <c r="BA168" s="218"/>
      <c r="BB168" s="216"/>
      <c r="BC168" s="218"/>
      <c r="BD168" s="216"/>
      <c r="BE168" s="218"/>
      <c r="BO168" s="220"/>
      <c r="BY168" s="220"/>
      <c r="CI168" s="220"/>
      <c r="CS168" s="220"/>
      <c r="DC168" s="220"/>
      <c r="DM168" s="220"/>
      <c r="DW168" s="220"/>
      <c r="DX168" s="306">
        <v>3</v>
      </c>
      <c r="DY168" s="69">
        <f t="shared" ref="DY168:DY193" si="509">DY167+1</f>
        <v>131</v>
      </c>
      <c r="EC168" s="281"/>
      <c r="ED168" s="285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</row>
    <row r="169" spans="1:328" s="219" customFormat="1" x14ac:dyDescent="0.2">
      <c r="A169" s="383" t="s">
        <v>968</v>
      </c>
      <c r="B169" s="250" t="str">
        <f>'base prezzi'!B21</f>
        <v>Siemens-Pannello TP700 7" touch colore</v>
      </c>
      <c r="C169" s="222"/>
      <c r="D169" s="292"/>
      <c r="E169" s="523"/>
      <c r="F169" s="635"/>
      <c r="G169" s="524"/>
      <c r="H169" s="525"/>
      <c r="I169" s="525"/>
      <c r="J169" s="525"/>
      <c r="K169" s="525"/>
      <c r="L169" s="525"/>
      <c r="M169" s="525"/>
      <c r="N169" s="668"/>
      <c r="O169" s="217"/>
      <c r="P169" s="256"/>
      <c r="Q169" s="217"/>
      <c r="R169" s="250"/>
      <c r="S169" s="217"/>
      <c r="T169" s="256"/>
      <c r="U169" s="217"/>
      <c r="V169" s="250"/>
      <c r="W169" s="217"/>
      <c r="X169" s="256"/>
      <c r="Y169" s="217"/>
      <c r="Z169" s="250"/>
      <c r="AA169" s="217"/>
      <c r="AB169" s="256"/>
      <c r="AC169" s="256"/>
      <c r="AD169" s="250"/>
      <c r="AE169" s="256"/>
      <c r="AF169" s="256"/>
      <c r="AG169" s="72"/>
      <c r="AH169" s="546">
        <f t="shared" si="495"/>
        <v>0</v>
      </c>
      <c r="AI169" s="216"/>
      <c r="AJ169" s="216"/>
      <c r="AK169" s="216"/>
      <c r="AL169" s="706" t="str">
        <f t="shared" si="498"/>
        <v>-</v>
      </c>
      <c r="AM169" s="218"/>
      <c r="AN169" s="216"/>
      <c r="AO169" s="218"/>
      <c r="AP169" s="216"/>
      <c r="AQ169" s="218"/>
      <c r="AR169" s="216"/>
      <c r="AS169" s="218"/>
      <c r="AT169" s="216"/>
      <c r="AU169" s="218"/>
      <c r="AV169" s="216"/>
      <c r="AW169" s="218"/>
      <c r="AX169" s="216"/>
      <c r="AY169" s="218"/>
      <c r="AZ169" s="216"/>
      <c r="BA169" s="218"/>
      <c r="BB169" s="216"/>
      <c r="BC169" s="218"/>
      <c r="BD169" s="216"/>
      <c r="BE169" s="218"/>
      <c r="BO169" s="220"/>
      <c r="BY169" s="220"/>
      <c r="CI169" s="220"/>
      <c r="CS169" s="220"/>
      <c r="DC169" s="220"/>
      <c r="DM169" s="220"/>
      <c r="DW169" s="220"/>
      <c r="DX169" s="306">
        <v>3</v>
      </c>
      <c r="DY169" s="69">
        <f t="shared" si="509"/>
        <v>132</v>
      </c>
      <c r="EC169" s="281"/>
      <c r="ED169" s="285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</row>
    <row r="170" spans="1:328" s="219" customFormat="1" x14ac:dyDescent="0.2">
      <c r="A170" s="383" t="s">
        <v>968</v>
      </c>
      <c r="B170" s="250" t="str">
        <f>'base prezzi'!B22</f>
        <v>Siemens-Pannello TP900 9" touch colore</v>
      </c>
      <c r="C170" s="222"/>
      <c r="D170" s="292"/>
      <c r="E170" s="523"/>
      <c r="F170" s="635"/>
      <c r="G170" s="524"/>
      <c r="H170" s="525"/>
      <c r="I170" s="525"/>
      <c r="J170" s="525"/>
      <c r="K170" s="525"/>
      <c r="L170" s="525"/>
      <c r="M170" s="525"/>
      <c r="N170" s="668"/>
      <c r="O170" s="217"/>
      <c r="P170" s="256"/>
      <c r="Q170" s="217"/>
      <c r="R170" s="250"/>
      <c r="S170" s="217"/>
      <c r="T170" s="256"/>
      <c r="U170" s="217"/>
      <c r="V170" s="250"/>
      <c r="W170" s="217"/>
      <c r="X170" s="256"/>
      <c r="Y170" s="217"/>
      <c r="Z170" s="250"/>
      <c r="AA170" s="217"/>
      <c r="AB170" s="256"/>
      <c r="AC170" s="256"/>
      <c r="AD170" s="250"/>
      <c r="AE170" s="256"/>
      <c r="AF170" s="256"/>
      <c r="AG170" s="72"/>
      <c r="AH170" s="546">
        <f t="shared" si="495"/>
        <v>0</v>
      </c>
      <c r="AI170" s="216"/>
      <c r="AJ170" s="216"/>
      <c r="AK170" s="216"/>
      <c r="AL170" s="706" t="str">
        <f t="shared" si="498"/>
        <v>-</v>
      </c>
      <c r="AM170" s="218"/>
      <c r="AN170" s="216"/>
      <c r="AO170" s="218"/>
      <c r="AP170" s="216"/>
      <c r="AQ170" s="218"/>
      <c r="AR170" s="216"/>
      <c r="AS170" s="218"/>
      <c r="AT170" s="216"/>
      <c r="AU170" s="218"/>
      <c r="AV170" s="216"/>
      <c r="AW170" s="218"/>
      <c r="AX170" s="216"/>
      <c r="AY170" s="218"/>
      <c r="AZ170" s="216"/>
      <c r="BA170" s="218"/>
      <c r="BB170" s="216"/>
      <c r="BC170" s="218"/>
      <c r="BD170" s="216"/>
      <c r="BE170" s="218"/>
      <c r="BO170" s="220"/>
      <c r="BY170" s="220"/>
      <c r="CI170" s="220"/>
      <c r="CS170" s="220"/>
      <c r="DC170" s="220"/>
      <c r="DM170" s="220"/>
      <c r="DW170" s="220"/>
      <c r="DX170" s="306">
        <v>3</v>
      </c>
      <c r="DY170" s="69">
        <f t="shared" si="509"/>
        <v>133</v>
      </c>
      <c r="EC170" s="281"/>
      <c r="ED170" s="285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</row>
    <row r="171" spans="1:328" s="219" customFormat="1" x14ac:dyDescent="0.2">
      <c r="A171" s="383" t="s">
        <v>968</v>
      </c>
      <c r="B171" s="250" t="str">
        <f>'base prezzi'!B23</f>
        <v>Siemens-Pannello TP1200 12" touch colore</v>
      </c>
      <c r="C171" s="222"/>
      <c r="D171" s="292"/>
      <c r="E171" s="523"/>
      <c r="F171" s="635"/>
      <c r="G171" s="524"/>
      <c r="H171" s="525"/>
      <c r="I171" s="525"/>
      <c r="J171" s="525"/>
      <c r="K171" s="525"/>
      <c r="L171" s="525"/>
      <c r="M171" s="525"/>
      <c r="N171" s="668"/>
      <c r="O171" s="217"/>
      <c r="P171" s="256"/>
      <c r="Q171" s="217"/>
      <c r="R171" s="250"/>
      <c r="S171" s="217"/>
      <c r="T171" s="256"/>
      <c r="U171" s="217"/>
      <c r="V171" s="250"/>
      <c r="W171" s="217"/>
      <c r="X171" s="256"/>
      <c r="Y171" s="217"/>
      <c r="Z171" s="250"/>
      <c r="AA171" s="217"/>
      <c r="AB171" s="256"/>
      <c r="AC171" s="256"/>
      <c r="AD171" s="250"/>
      <c r="AE171" s="256"/>
      <c r="AF171" s="256"/>
      <c r="AG171" s="72"/>
      <c r="AH171" s="546">
        <f t="shared" si="495"/>
        <v>0</v>
      </c>
      <c r="AI171" s="216"/>
      <c r="AJ171" s="216"/>
      <c r="AK171" s="216"/>
      <c r="AL171" s="706" t="str">
        <f t="shared" si="498"/>
        <v>-</v>
      </c>
      <c r="AM171" s="218"/>
      <c r="AN171" s="216"/>
      <c r="AO171" s="218"/>
      <c r="AP171" s="216"/>
      <c r="AQ171" s="218"/>
      <c r="AR171" s="216"/>
      <c r="AS171" s="218"/>
      <c r="AT171" s="216"/>
      <c r="AU171" s="218"/>
      <c r="AV171" s="216"/>
      <c r="AW171" s="218"/>
      <c r="AX171" s="216"/>
      <c r="AY171" s="218"/>
      <c r="AZ171" s="216"/>
      <c r="BA171" s="218"/>
      <c r="BB171" s="216"/>
      <c r="BC171" s="218"/>
      <c r="BD171" s="216"/>
      <c r="BE171" s="218"/>
      <c r="BO171" s="220"/>
      <c r="BY171" s="220"/>
      <c r="CI171" s="220"/>
      <c r="CS171" s="220"/>
      <c r="DC171" s="220"/>
      <c r="DM171" s="220"/>
      <c r="DW171" s="220"/>
      <c r="DX171" s="306">
        <v>3</v>
      </c>
      <c r="DY171" s="69">
        <f t="shared" si="509"/>
        <v>134</v>
      </c>
      <c r="EC171" s="281"/>
      <c r="ED171" s="285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</row>
    <row r="172" spans="1:328" s="219" customFormat="1" x14ac:dyDescent="0.2">
      <c r="A172" s="383" t="s">
        <v>968</v>
      </c>
      <c r="B172" s="250" t="str">
        <f>'base prezzi'!B24</f>
        <v>Siemens-Pannello TP1500 15" touch colore</v>
      </c>
      <c r="C172" s="222"/>
      <c r="D172" s="292"/>
      <c r="E172" s="523"/>
      <c r="F172" s="635"/>
      <c r="G172" s="524"/>
      <c r="H172" s="525"/>
      <c r="I172" s="525"/>
      <c r="J172" s="525"/>
      <c r="K172" s="525"/>
      <c r="L172" s="525"/>
      <c r="M172" s="525"/>
      <c r="N172" s="668"/>
      <c r="O172" s="217"/>
      <c r="P172" s="256"/>
      <c r="Q172" s="217"/>
      <c r="R172" s="250"/>
      <c r="S172" s="217"/>
      <c r="T172" s="256"/>
      <c r="U172" s="217"/>
      <c r="V172" s="250"/>
      <c r="W172" s="217"/>
      <c r="X172" s="256"/>
      <c r="Y172" s="217"/>
      <c r="Z172" s="250"/>
      <c r="AA172" s="217"/>
      <c r="AB172" s="256"/>
      <c r="AC172" s="256"/>
      <c r="AD172" s="250"/>
      <c r="AE172" s="256"/>
      <c r="AF172" s="256"/>
      <c r="AG172" s="72"/>
      <c r="AH172" s="546">
        <f t="shared" si="495"/>
        <v>0</v>
      </c>
      <c r="AI172" s="216"/>
      <c r="AJ172" s="216"/>
      <c r="AK172" s="216"/>
      <c r="AL172" s="706" t="str">
        <f t="shared" si="498"/>
        <v>-</v>
      </c>
      <c r="AM172" s="218"/>
      <c r="AN172" s="216"/>
      <c r="AO172" s="218"/>
      <c r="AP172" s="216"/>
      <c r="AQ172" s="218"/>
      <c r="AR172" s="216"/>
      <c r="AS172" s="218"/>
      <c r="AT172" s="216"/>
      <c r="AU172" s="218"/>
      <c r="AV172" s="216"/>
      <c r="AW172" s="218"/>
      <c r="AX172" s="216"/>
      <c r="AY172" s="218"/>
      <c r="AZ172" s="216"/>
      <c r="BA172" s="218"/>
      <c r="BB172" s="216"/>
      <c r="BC172" s="218"/>
      <c r="BD172" s="216"/>
      <c r="BE172" s="218"/>
      <c r="BO172" s="220"/>
      <c r="BY172" s="220"/>
      <c r="CI172" s="220"/>
      <c r="CS172" s="220"/>
      <c r="DC172" s="220"/>
      <c r="DM172" s="220"/>
      <c r="DW172" s="220"/>
      <c r="DX172" s="306"/>
      <c r="DY172" s="69">
        <f t="shared" si="509"/>
        <v>135</v>
      </c>
      <c r="EC172" s="281"/>
      <c r="ED172" s="285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</row>
    <row r="173" spans="1:328" s="219" customFormat="1" x14ac:dyDescent="0.2">
      <c r="A173" s="383" t="s">
        <v>968</v>
      </c>
      <c r="B173" s="250" t="str">
        <f>'base prezzi'!B111</f>
        <v>AllenBradley-Pannello PanelView 7" touch colore</v>
      </c>
      <c r="C173" s="222"/>
      <c r="D173" s="292"/>
      <c r="E173" s="523"/>
      <c r="F173" s="635"/>
      <c r="G173" s="524"/>
      <c r="H173" s="525"/>
      <c r="I173" s="525"/>
      <c r="J173" s="525"/>
      <c r="K173" s="525"/>
      <c r="L173" s="525"/>
      <c r="M173" s="525"/>
      <c r="N173" s="668"/>
      <c r="O173" s="217"/>
      <c r="P173" s="256"/>
      <c r="Q173" s="217"/>
      <c r="R173" s="250"/>
      <c r="S173" s="217"/>
      <c r="T173" s="256"/>
      <c r="U173" s="217"/>
      <c r="V173" s="250"/>
      <c r="W173" s="217"/>
      <c r="X173" s="256"/>
      <c r="Y173" s="217"/>
      <c r="Z173" s="250"/>
      <c r="AA173" s="217"/>
      <c r="AB173" s="256"/>
      <c r="AC173" s="256"/>
      <c r="AD173" s="250"/>
      <c r="AE173" s="256"/>
      <c r="AF173" s="256"/>
      <c r="AG173" s="72"/>
      <c r="AH173" s="546">
        <f t="shared" si="495"/>
        <v>0</v>
      </c>
      <c r="AI173" s="216"/>
      <c r="AJ173" s="216"/>
      <c r="AK173" s="216"/>
      <c r="AL173" s="706" t="str">
        <f t="shared" si="498"/>
        <v>-</v>
      </c>
      <c r="AM173" s="218"/>
      <c r="AN173" s="216"/>
      <c r="AO173" s="218"/>
      <c r="AP173" s="216"/>
      <c r="AQ173" s="218"/>
      <c r="AR173" s="216"/>
      <c r="AS173" s="218"/>
      <c r="AT173" s="216"/>
      <c r="AU173" s="218"/>
      <c r="AV173" s="216"/>
      <c r="AW173" s="218"/>
      <c r="AX173" s="216"/>
      <c r="AY173" s="218"/>
      <c r="AZ173" s="216"/>
      <c r="BA173" s="218"/>
      <c r="BB173" s="216"/>
      <c r="BC173" s="218"/>
      <c r="BD173" s="216"/>
      <c r="BE173" s="218"/>
      <c r="BO173" s="220"/>
      <c r="BY173" s="220"/>
      <c r="CI173" s="220"/>
      <c r="CS173" s="220"/>
      <c r="DC173" s="220"/>
      <c r="DM173" s="220"/>
      <c r="DW173" s="220"/>
      <c r="DX173" s="306"/>
      <c r="DY173" s="69">
        <f t="shared" si="509"/>
        <v>136</v>
      </c>
      <c r="EC173" s="281"/>
      <c r="ED173" s="285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</row>
    <row r="174" spans="1:328" s="219" customFormat="1" x14ac:dyDescent="0.2">
      <c r="A174" s="383" t="s">
        <v>968</v>
      </c>
      <c r="B174" s="250" t="str">
        <f>'base prezzi'!B112</f>
        <v>AllenBradley-Pannello PanelView 9" touch colore</v>
      </c>
      <c r="C174" s="222"/>
      <c r="D174" s="292"/>
      <c r="E174" s="523"/>
      <c r="F174" s="635"/>
      <c r="G174" s="524"/>
      <c r="H174" s="525"/>
      <c r="I174" s="525"/>
      <c r="J174" s="525"/>
      <c r="K174" s="525"/>
      <c r="L174" s="525"/>
      <c r="M174" s="525"/>
      <c r="N174" s="668"/>
      <c r="O174" s="217"/>
      <c r="P174" s="256"/>
      <c r="Q174" s="217"/>
      <c r="R174" s="250"/>
      <c r="S174" s="217"/>
      <c r="T174" s="256"/>
      <c r="U174" s="217"/>
      <c r="V174" s="250"/>
      <c r="W174" s="217"/>
      <c r="X174" s="256"/>
      <c r="Y174" s="217"/>
      <c r="Z174" s="250"/>
      <c r="AA174" s="217"/>
      <c r="AB174" s="256"/>
      <c r="AC174" s="256"/>
      <c r="AD174" s="250"/>
      <c r="AE174" s="256"/>
      <c r="AF174" s="256"/>
      <c r="AG174" s="72"/>
      <c r="AH174" s="546">
        <f t="shared" si="495"/>
        <v>0</v>
      </c>
      <c r="AI174" s="216"/>
      <c r="AJ174" s="216"/>
      <c r="AK174" s="216"/>
      <c r="AL174" s="706" t="str">
        <f t="shared" si="498"/>
        <v>-</v>
      </c>
      <c r="AM174" s="218"/>
      <c r="AN174" s="216"/>
      <c r="AO174" s="218"/>
      <c r="AP174" s="216"/>
      <c r="AQ174" s="218"/>
      <c r="AR174" s="216"/>
      <c r="AS174" s="218"/>
      <c r="AT174" s="216"/>
      <c r="AU174" s="218"/>
      <c r="AV174" s="216"/>
      <c r="AW174" s="218"/>
      <c r="AX174" s="216"/>
      <c r="AY174" s="218"/>
      <c r="AZ174" s="216"/>
      <c r="BA174" s="218"/>
      <c r="BB174" s="216"/>
      <c r="BC174" s="218"/>
      <c r="BD174" s="216"/>
      <c r="BE174" s="218"/>
      <c r="BO174" s="220"/>
      <c r="BY174" s="220"/>
      <c r="CI174" s="220"/>
      <c r="CS174" s="220"/>
      <c r="DC174" s="220"/>
      <c r="DM174" s="220"/>
      <c r="DW174" s="220"/>
      <c r="DX174" s="306"/>
      <c r="DY174" s="69">
        <f t="shared" si="509"/>
        <v>137</v>
      </c>
      <c r="EC174" s="281"/>
      <c r="ED174" s="285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</row>
    <row r="175" spans="1:328" s="219" customFormat="1" x14ac:dyDescent="0.2">
      <c r="A175" s="383" t="s">
        <v>968</v>
      </c>
      <c r="B175" s="250" t="str">
        <f>'base prezzi'!B113</f>
        <v>AllenBradley-Pannello PanelView 12" touch colore</v>
      </c>
      <c r="C175" s="222"/>
      <c r="D175" s="292"/>
      <c r="E175" s="523"/>
      <c r="F175" s="635"/>
      <c r="G175" s="524"/>
      <c r="H175" s="525"/>
      <c r="I175" s="525"/>
      <c r="J175" s="525"/>
      <c r="K175" s="525"/>
      <c r="L175" s="525"/>
      <c r="M175" s="525"/>
      <c r="N175" s="668"/>
      <c r="O175" s="217"/>
      <c r="P175" s="256"/>
      <c r="Q175" s="217"/>
      <c r="R175" s="250"/>
      <c r="S175" s="217"/>
      <c r="T175" s="256"/>
      <c r="U175" s="217"/>
      <c r="V175" s="250"/>
      <c r="W175" s="217"/>
      <c r="X175" s="256"/>
      <c r="Y175" s="217"/>
      <c r="Z175" s="250"/>
      <c r="AA175" s="217"/>
      <c r="AB175" s="256"/>
      <c r="AC175" s="256"/>
      <c r="AD175" s="250"/>
      <c r="AE175" s="256"/>
      <c r="AF175" s="256"/>
      <c r="AG175" s="72"/>
      <c r="AH175" s="546">
        <f t="shared" si="495"/>
        <v>0</v>
      </c>
      <c r="AI175" s="216"/>
      <c r="AJ175" s="216"/>
      <c r="AK175" s="216"/>
      <c r="AL175" s="706" t="str">
        <f t="shared" si="498"/>
        <v>-</v>
      </c>
      <c r="AM175" s="218"/>
      <c r="AN175" s="216"/>
      <c r="AO175" s="218"/>
      <c r="AP175" s="216"/>
      <c r="AQ175" s="218"/>
      <c r="AR175" s="216"/>
      <c r="AS175" s="218"/>
      <c r="AT175" s="216"/>
      <c r="AU175" s="218"/>
      <c r="AV175" s="216"/>
      <c r="AW175" s="218"/>
      <c r="AX175" s="216"/>
      <c r="AY175" s="218"/>
      <c r="AZ175" s="216"/>
      <c r="BA175" s="218"/>
      <c r="BB175" s="216"/>
      <c r="BC175" s="218"/>
      <c r="BD175" s="216"/>
      <c r="BE175" s="218"/>
      <c r="BO175" s="220"/>
      <c r="BY175" s="220"/>
      <c r="CI175" s="220"/>
      <c r="CS175" s="220"/>
      <c r="DC175" s="220"/>
      <c r="DM175" s="220"/>
      <c r="DW175" s="220"/>
      <c r="DX175" s="306"/>
      <c r="DY175" s="69">
        <f t="shared" si="509"/>
        <v>138</v>
      </c>
      <c r="EC175" s="281"/>
      <c r="ED175" s="285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</row>
    <row r="176" spans="1:328" s="219" customFormat="1" x14ac:dyDescent="0.2">
      <c r="A176" s="383" t="s">
        <v>968</v>
      </c>
      <c r="B176" s="250" t="str">
        <f>'base prezzi'!B114</f>
        <v>AllenBradley-Pannello PanelView 15" touch colore</v>
      </c>
      <c r="C176" s="222"/>
      <c r="D176" s="292"/>
      <c r="E176" s="523"/>
      <c r="F176" s="635"/>
      <c r="G176" s="524"/>
      <c r="H176" s="525"/>
      <c r="I176" s="525"/>
      <c r="J176" s="525"/>
      <c r="K176" s="525"/>
      <c r="L176" s="525"/>
      <c r="M176" s="525"/>
      <c r="N176" s="668"/>
      <c r="O176" s="217"/>
      <c r="P176" s="256"/>
      <c r="Q176" s="217"/>
      <c r="R176" s="250"/>
      <c r="S176" s="217"/>
      <c r="T176" s="256"/>
      <c r="U176" s="217"/>
      <c r="V176" s="250"/>
      <c r="W176" s="217"/>
      <c r="X176" s="256"/>
      <c r="Y176" s="217"/>
      <c r="Z176" s="250"/>
      <c r="AA176" s="217"/>
      <c r="AB176" s="256"/>
      <c r="AC176" s="256"/>
      <c r="AD176" s="250"/>
      <c r="AE176" s="256"/>
      <c r="AF176" s="256"/>
      <c r="AG176" s="72"/>
      <c r="AH176" s="546">
        <f t="shared" si="495"/>
        <v>0</v>
      </c>
      <c r="AI176" s="216"/>
      <c r="AJ176" s="216"/>
      <c r="AK176" s="216"/>
      <c r="AL176" s="706" t="str">
        <f t="shared" si="498"/>
        <v>-</v>
      </c>
      <c r="AM176" s="218"/>
      <c r="AN176" s="216"/>
      <c r="AO176" s="218"/>
      <c r="AP176" s="216"/>
      <c r="AQ176" s="218"/>
      <c r="AR176" s="216"/>
      <c r="AS176" s="218"/>
      <c r="AT176" s="216"/>
      <c r="AU176" s="218"/>
      <c r="AV176" s="216"/>
      <c r="AW176" s="218"/>
      <c r="AX176" s="216"/>
      <c r="AY176" s="218"/>
      <c r="AZ176" s="216"/>
      <c r="BA176" s="218"/>
      <c r="BB176" s="216"/>
      <c r="BC176" s="218"/>
      <c r="BD176" s="216"/>
      <c r="BE176" s="218"/>
      <c r="BO176" s="220"/>
      <c r="BY176" s="220"/>
      <c r="CI176" s="220"/>
      <c r="CS176" s="220"/>
      <c r="DC176" s="220"/>
      <c r="DM176" s="220"/>
      <c r="DW176" s="220"/>
      <c r="DX176" s="306"/>
      <c r="DY176" s="69">
        <f t="shared" si="509"/>
        <v>139</v>
      </c>
      <c r="EC176" s="281"/>
      <c r="ED176" s="285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</row>
    <row r="177" spans="1:328" s="219" customFormat="1" x14ac:dyDescent="0.2">
      <c r="A177" s="383" t="s">
        <v>968</v>
      </c>
      <c r="B177" s="250" t="str">
        <f>'base prezzi'!B25</f>
        <v>pc con sinottico (escluso hardware)</v>
      </c>
      <c r="C177" s="222"/>
      <c r="D177" s="292"/>
      <c r="E177" s="523"/>
      <c r="F177" s="635"/>
      <c r="G177" s="524"/>
      <c r="H177" s="525"/>
      <c r="I177" s="525"/>
      <c r="J177" s="525"/>
      <c r="K177" s="525"/>
      <c r="L177" s="525"/>
      <c r="M177" s="525"/>
      <c r="N177" s="668"/>
      <c r="O177" s="217"/>
      <c r="P177" s="256"/>
      <c r="Q177" s="217"/>
      <c r="R177" s="250"/>
      <c r="S177" s="217"/>
      <c r="T177" s="256"/>
      <c r="U177" s="217"/>
      <c r="V177" s="250"/>
      <c r="W177" s="217"/>
      <c r="X177" s="256"/>
      <c r="Y177" s="217"/>
      <c r="Z177" s="250"/>
      <c r="AA177" s="217"/>
      <c r="AB177" s="256"/>
      <c r="AC177" s="256"/>
      <c r="AD177" s="250"/>
      <c r="AE177" s="256"/>
      <c r="AF177" s="256"/>
      <c r="AG177" s="72"/>
      <c r="AH177" s="546">
        <f t="shared" si="495"/>
        <v>0</v>
      </c>
      <c r="AI177" s="216"/>
      <c r="AJ177" s="216"/>
      <c r="AK177" s="216"/>
      <c r="AL177" s="706" t="str">
        <f t="shared" si="498"/>
        <v>-</v>
      </c>
      <c r="AM177" s="218"/>
      <c r="AN177" s="216"/>
      <c r="AO177" s="218"/>
      <c r="AP177" s="216"/>
      <c r="AQ177" s="218"/>
      <c r="AR177" s="216"/>
      <c r="AS177" s="218"/>
      <c r="AT177" s="216"/>
      <c r="AU177" s="218"/>
      <c r="AV177" s="216"/>
      <c r="AW177" s="218"/>
      <c r="AX177" s="216"/>
      <c r="AY177" s="218"/>
      <c r="AZ177" s="216"/>
      <c r="BA177" s="218"/>
      <c r="BB177" s="216"/>
      <c r="BC177" s="218"/>
      <c r="BD177" s="216"/>
      <c r="BE177" s="218"/>
      <c r="BO177" s="220"/>
      <c r="BY177" s="220"/>
      <c r="CI177" s="220"/>
      <c r="CS177" s="220"/>
      <c r="DC177" s="220"/>
      <c r="DM177" s="220"/>
      <c r="DW177" s="220"/>
      <c r="DX177" s="306">
        <v>3</v>
      </c>
      <c r="DY177" s="69">
        <f t="shared" si="509"/>
        <v>140</v>
      </c>
      <c r="EC177" s="281"/>
      <c r="ED177" s="285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</row>
    <row r="178" spans="1:328" s="219" customFormat="1" x14ac:dyDescent="0.2">
      <c r="A178" s="383" t="s">
        <v>968</v>
      </c>
      <c r="B178" s="250" t="str">
        <f>'base prezzi'!B27</f>
        <v>Pannello WP500</v>
      </c>
      <c r="C178" s="222"/>
      <c r="D178" s="292"/>
      <c r="E178" s="523"/>
      <c r="F178" s="635"/>
      <c r="G178" s="524"/>
      <c r="H178" s="525"/>
      <c r="I178" s="525"/>
      <c r="J178" s="525"/>
      <c r="K178" s="525"/>
      <c r="L178" s="525"/>
      <c r="M178" s="525"/>
      <c r="N178" s="668"/>
      <c r="O178" s="217"/>
      <c r="P178" s="256"/>
      <c r="Q178" s="217"/>
      <c r="R178" s="250"/>
      <c r="S178" s="217"/>
      <c r="T178" s="256"/>
      <c r="U178" s="217"/>
      <c r="V178" s="250"/>
      <c r="W178" s="217"/>
      <c r="X178" s="256"/>
      <c r="Y178" s="217"/>
      <c r="Z178" s="250"/>
      <c r="AA178" s="217"/>
      <c r="AB178" s="256"/>
      <c r="AC178" s="256"/>
      <c r="AD178" s="250"/>
      <c r="AE178" s="256"/>
      <c r="AF178" s="256"/>
      <c r="AG178" s="72"/>
      <c r="AH178" s="546">
        <f t="shared" si="495"/>
        <v>0</v>
      </c>
      <c r="AI178" s="216"/>
      <c r="AJ178" s="216"/>
      <c r="AK178" s="216"/>
      <c r="AL178" s="706" t="str">
        <f t="shared" si="498"/>
        <v>-</v>
      </c>
      <c r="AM178" s="218"/>
      <c r="AN178" s="216"/>
      <c r="AO178" s="218"/>
      <c r="AP178" s="216"/>
      <c r="AQ178" s="218"/>
      <c r="AR178" s="216"/>
      <c r="AS178" s="218"/>
      <c r="AT178" s="216"/>
      <c r="AU178" s="218"/>
      <c r="AV178" s="216"/>
      <c r="AW178" s="218"/>
      <c r="AX178" s="216"/>
      <c r="AY178" s="218"/>
      <c r="AZ178" s="216"/>
      <c r="BA178" s="218"/>
      <c r="BB178" s="216"/>
      <c r="BC178" s="218"/>
      <c r="BD178" s="216"/>
      <c r="BE178" s="218"/>
      <c r="BO178" s="220"/>
      <c r="BY178" s="220"/>
      <c r="CI178" s="220"/>
      <c r="CS178" s="220"/>
      <c r="DC178" s="220"/>
      <c r="DM178" s="220"/>
      <c r="DW178" s="220"/>
      <c r="DX178" s="306"/>
      <c r="DY178" s="69">
        <f t="shared" si="509"/>
        <v>141</v>
      </c>
      <c r="EC178" s="281"/>
      <c r="ED178" s="285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</row>
    <row r="179" spans="1:328" s="219" customFormat="1" x14ac:dyDescent="0.2">
      <c r="A179" s="383" t="s">
        <v>968</v>
      </c>
      <c r="B179" s="250" t="str">
        <f>'base prezzi'!B28</f>
        <v>Pannello WP140</v>
      </c>
      <c r="C179" s="222"/>
      <c r="D179" s="292"/>
      <c r="E179" s="523"/>
      <c r="F179" s="635"/>
      <c r="G179" s="524"/>
      <c r="H179" s="525"/>
      <c r="I179" s="525"/>
      <c r="J179" s="525"/>
      <c r="K179" s="525"/>
      <c r="L179" s="525"/>
      <c r="M179" s="525"/>
      <c r="N179" s="668"/>
      <c r="O179" s="217"/>
      <c r="P179" s="256"/>
      <c r="Q179" s="217"/>
      <c r="R179" s="250"/>
      <c r="S179" s="217"/>
      <c r="T179" s="256"/>
      <c r="U179" s="217"/>
      <c r="V179" s="250"/>
      <c r="W179" s="217"/>
      <c r="X179" s="256"/>
      <c r="Y179" s="217"/>
      <c r="Z179" s="250"/>
      <c r="AA179" s="217"/>
      <c r="AB179" s="256"/>
      <c r="AC179" s="256"/>
      <c r="AD179" s="250"/>
      <c r="AE179" s="256"/>
      <c r="AF179" s="256"/>
      <c r="AG179" s="72"/>
      <c r="AH179" s="546">
        <f t="shared" si="495"/>
        <v>0</v>
      </c>
      <c r="AI179" s="216"/>
      <c r="AJ179" s="216"/>
      <c r="AK179" s="216"/>
      <c r="AL179" s="706" t="str">
        <f t="shared" si="498"/>
        <v>-</v>
      </c>
      <c r="AM179" s="218"/>
      <c r="AN179" s="216"/>
      <c r="AO179" s="218"/>
      <c r="AP179" s="216"/>
      <c r="AQ179" s="218"/>
      <c r="AR179" s="216"/>
      <c r="AS179" s="218"/>
      <c r="AT179" s="216"/>
      <c r="AU179" s="218"/>
      <c r="AV179" s="216"/>
      <c r="AW179" s="218"/>
      <c r="AX179" s="216"/>
      <c r="AY179" s="218"/>
      <c r="AZ179" s="216"/>
      <c r="BA179" s="218"/>
      <c r="BB179" s="216"/>
      <c r="BC179" s="218"/>
      <c r="BD179" s="216"/>
      <c r="BE179" s="218"/>
      <c r="BO179" s="220"/>
      <c r="BY179" s="220"/>
      <c r="CI179" s="220"/>
      <c r="CS179" s="220"/>
      <c r="DC179" s="220"/>
      <c r="DM179" s="220"/>
      <c r="DW179" s="220"/>
      <c r="DX179" s="306"/>
      <c r="DY179" s="69">
        <f t="shared" si="509"/>
        <v>142</v>
      </c>
      <c r="EC179" s="281"/>
      <c r="ED179" s="285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</row>
    <row r="180" spans="1:328" s="219" customFormat="1" ht="15" thickBot="1" x14ac:dyDescent="0.25">
      <c r="A180" s="391" t="s">
        <v>968</v>
      </c>
      <c r="B180" s="365" t="str">
        <f>'base prezzi'!B26</f>
        <v>Pannello WP300</v>
      </c>
      <c r="C180" s="392"/>
      <c r="D180" s="393"/>
      <c r="E180" s="529"/>
      <c r="F180" s="636"/>
      <c r="G180" s="530"/>
      <c r="H180" s="531"/>
      <c r="I180" s="531"/>
      <c r="J180" s="531"/>
      <c r="K180" s="531"/>
      <c r="L180" s="531"/>
      <c r="M180" s="532"/>
      <c r="N180" s="669"/>
      <c r="O180" s="217"/>
      <c r="P180" s="256"/>
      <c r="Q180" s="217"/>
      <c r="R180" s="365"/>
      <c r="S180" s="217"/>
      <c r="T180" s="256"/>
      <c r="U180" s="217"/>
      <c r="V180" s="365"/>
      <c r="W180" s="217"/>
      <c r="X180" s="256"/>
      <c r="Y180" s="217"/>
      <c r="Z180" s="365"/>
      <c r="AA180" s="217"/>
      <c r="AB180" s="256"/>
      <c r="AC180" s="256"/>
      <c r="AD180" s="365"/>
      <c r="AE180" s="256"/>
      <c r="AF180" s="256"/>
      <c r="AG180" s="72"/>
      <c r="AH180" s="546">
        <f t="shared" si="495"/>
        <v>0</v>
      </c>
      <c r="AI180" s="216"/>
      <c r="AJ180" s="216"/>
      <c r="AK180" s="216"/>
      <c r="AL180" s="706" t="str">
        <f t="shared" si="498"/>
        <v>-</v>
      </c>
      <c r="AM180" s="218"/>
      <c r="AN180" s="216"/>
      <c r="AO180" s="218"/>
      <c r="AP180" s="216"/>
      <c r="AQ180" s="218"/>
      <c r="AR180" s="216"/>
      <c r="AS180" s="218"/>
      <c r="AT180" s="216"/>
      <c r="AU180" s="218"/>
      <c r="AV180" s="216"/>
      <c r="AW180" s="218"/>
      <c r="AX180" s="216"/>
      <c r="AY180" s="218"/>
      <c r="AZ180" s="216"/>
      <c r="BA180" s="218"/>
      <c r="BB180" s="216"/>
      <c r="BC180" s="218"/>
      <c r="BD180" s="216"/>
      <c r="BE180" s="218"/>
      <c r="BO180" s="220"/>
      <c r="BY180" s="220"/>
      <c r="CI180" s="220"/>
      <c r="CS180" s="220"/>
      <c r="DC180" s="220"/>
      <c r="DM180" s="220"/>
      <c r="DW180" s="220"/>
      <c r="DX180" s="306"/>
      <c r="DY180" s="69">
        <f t="shared" si="509"/>
        <v>143</v>
      </c>
      <c r="EC180" s="281"/>
      <c r="ED180" s="285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</row>
    <row r="181" spans="1:328" s="219" customFormat="1" x14ac:dyDescent="0.2">
      <c r="A181" s="384" t="s">
        <v>968</v>
      </c>
      <c r="B181" s="390" t="str">
        <f>'base prezzi'!B20</f>
        <v>Siemens-Pannello KTP400 4" touch colore</v>
      </c>
      <c r="C181" s="222"/>
      <c r="D181" s="292"/>
      <c r="E181" s="523"/>
      <c r="F181" s="635"/>
      <c r="G181" s="524"/>
      <c r="H181" s="525"/>
      <c r="I181" s="525"/>
      <c r="J181" s="525"/>
      <c r="K181" s="525"/>
      <c r="L181" s="525"/>
      <c r="M181" s="525"/>
      <c r="N181" s="670"/>
      <c r="O181" s="217"/>
      <c r="P181" s="256"/>
      <c r="Q181" s="217"/>
      <c r="R181" s="390"/>
      <c r="S181" s="217"/>
      <c r="T181" s="256"/>
      <c r="U181" s="217"/>
      <c r="V181" s="390"/>
      <c r="W181" s="217"/>
      <c r="X181" s="256"/>
      <c r="Y181" s="217"/>
      <c r="Z181" s="390"/>
      <c r="AA181" s="217"/>
      <c r="AB181" s="256"/>
      <c r="AC181" s="256"/>
      <c r="AD181" s="390"/>
      <c r="AE181" s="256"/>
      <c r="AF181" s="256"/>
      <c r="AG181" s="72"/>
      <c r="AH181" s="546">
        <f t="shared" si="495"/>
        <v>0</v>
      </c>
      <c r="AI181" s="216"/>
      <c r="AJ181" s="216"/>
      <c r="AK181" s="216"/>
      <c r="AL181" s="706" t="str">
        <f t="shared" si="498"/>
        <v>-</v>
      </c>
      <c r="AM181" s="218"/>
      <c r="AN181" s="216"/>
      <c r="AO181" s="218"/>
      <c r="AP181" s="216"/>
      <c r="AQ181" s="218"/>
      <c r="AR181" s="216"/>
      <c r="AS181" s="218"/>
      <c r="AT181" s="216"/>
      <c r="AU181" s="218"/>
      <c r="AV181" s="216"/>
      <c r="AW181" s="218"/>
      <c r="AX181" s="216"/>
      <c r="AY181" s="218"/>
      <c r="AZ181" s="216"/>
      <c r="BA181" s="218"/>
      <c r="BB181" s="216"/>
      <c r="BC181" s="218"/>
      <c r="BD181" s="216"/>
      <c r="BE181" s="218"/>
      <c r="BO181" s="220"/>
      <c r="BY181" s="220"/>
      <c r="CI181" s="220"/>
      <c r="CS181" s="220"/>
      <c r="DC181" s="220"/>
      <c r="DM181" s="220"/>
      <c r="DW181" s="220"/>
      <c r="DX181" s="306">
        <v>3</v>
      </c>
      <c r="DY181" s="69">
        <f t="shared" si="509"/>
        <v>144</v>
      </c>
      <c r="EC181" s="281"/>
      <c r="ED181" s="285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</row>
    <row r="182" spans="1:328" s="219" customFormat="1" x14ac:dyDescent="0.2">
      <c r="A182" s="384" t="s">
        <v>968</v>
      </c>
      <c r="B182" s="250" t="str">
        <f>'base prezzi'!B21</f>
        <v>Siemens-Pannello TP700 7" touch colore</v>
      </c>
      <c r="C182" s="222"/>
      <c r="D182" s="292"/>
      <c r="E182" s="523"/>
      <c r="F182" s="635"/>
      <c r="G182" s="524"/>
      <c r="H182" s="525"/>
      <c r="I182" s="525"/>
      <c r="J182" s="525"/>
      <c r="K182" s="525"/>
      <c r="L182" s="525"/>
      <c r="M182" s="525"/>
      <c r="N182" s="668"/>
      <c r="O182" s="217"/>
      <c r="P182" s="256"/>
      <c r="Q182" s="217"/>
      <c r="R182" s="250"/>
      <c r="S182" s="217"/>
      <c r="T182" s="256"/>
      <c r="U182" s="217"/>
      <c r="V182" s="250"/>
      <c r="W182" s="217"/>
      <c r="X182" s="256"/>
      <c r="Y182" s="217"/>
      <c r="Z182" s="250"/>
      <c r="AA182" s="217"/>
      <c r="AB182" s="256"/>
      <c r="AC182" s="256"/>
      <c r="AD182" s="250"/>
      <c r="AE182" s="256"/>
      <c r="AF182" s="256"/>
      <c r="AG182" s="72"/>
      <c r="AH182" s="546">
        <f t="shared" si="495"/>
        <v>0</v>
      </c>
      <c r="AI182" s="216"/>
      <c r="AJ182" s="216"/>
      <c r="AK182" s="216"/>
      <c r="AL182" s="706" t="str">
        <f t="shared" si="498"/>
        <v>-</v>
      </c>
      <c r="AM182" s="218"/>
      <c r="AN182" s="216"/>
      <c r="AO182" s="218"/>
      <c r="AP182" s="216"/>
      <c r="AQ182" s="218"/>
      <c r="AR182" s="216"/>
      <c r="AS182" s="218"/>
      <c r="AT182" s="216"/>
      <c r="AU182" s="218"/>
      <c r="AV182" s="216"/>
      <c r="AW182" s="218"/>
      <c r="AX182" s="216"/>
      <c r="AY182" s="218"/>
      <c r="AZ182" s="216"/>
      <c r="BA182" s="218"/>
      <c r="BB182" s="216"/>
      <c r="BC182" s="218"/>
      <c r="BD182" s="216"/>
      <c r="BE182" s="218"/>
      <c r="BO182" s="220"/>
      <c r="BY182" s="220"/>
      <c r="CI182" s="220"/>
      <c r="CS182" s="220"/>
      <c r="DC182" s="220"/>
      <c r="DM182" s="220"/>
      <c r="DW182" s="220"/>
      <c r="DX182" s="306">
        <v>3</v>
      </c>
      <c r="DY182" s="69">
        <f t="shared" si="509"/>
        <v>145</v>
      </c>
      <c r="EC182" s="281"/>
      <c r="ED182" s="285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</row>
    <row r="183" spans="1:328" s="219" customFormat="1" x14ac:dyDescent="0.2">
      <c r="A183" s="384" t="s">
        <v>968</v>
      </c>
      <c r="B183" s="250" t="str">
        <f>'base prezzi'!B22</f>
        <v>Siemens-Pannello TP900 9" touch colore</v>
      </c>
      <c r="C183" s="222"/>
      <c r="D183" s="292"/>
      <c r="E183" s="523"/>
      <c r="F183" s="635"/>
      <c r="G183" s="524"/>
      <c r="H183" s="525"/>
      <c r="I183" s="525"/>
      <c r="J183" s="525"/>
      <c r="K183" s="525"/>
      <c r="L183" s="525"/>
      <c r="M183" s="525"/>
      <c r="N183" s="668"/>
      <c r="O183" s="217"/>
      <c r="P183" s="256"/>
      <c r="Q183" s="217"/>
      <c r="R183" s="250"/>
      <c r="S183" s="217"/>
      <c r="T183" s="256"/>
      <c r="U183" s="217"/>
      <c r="V183" s="250"/>
      <c r="W183" s="217"/>
      <c r="X183" s="256"/>
      <c r="Y183" s="217"/>
      <c r="Z183" s="250"/>
      <c r="AA183" s="217"/>
      <c r="AB183" s="256"/>
      <c r="AC183" s="256"/>
      <c r="AD183" s="250"/>
      <c r="AE183" s="256"/>
      <c r="AF183" s="256"/>
      <c r="AG183" s="72"/>
      <c r="AH183" s="546">
        <f t="shared" si="495"/>
        <v>0</v>
      </c>
      <c r="AI183" s="216"/>
      <c r="AJ183" s="216"/>
      <c r="AK183" s="216"/>
      <c r="AL183" s="706" t="str">
        <f t="shared" si="498"/>
        <v>-</v>
      </c>
      <c r="AM183" s="218"/>
      <c r="AN183" s="216"/>
      <c r="AO183" s="218"/>
      <c r="AP183" s="216"/>
      <c r="AQ183" s="218"/>
      <c r="AR183" s="216"/>
      <c r="AS183" s="218"/>
      <c r="AT183" s="216"/>
      <c r="AU183" s="218"/>
      <c r="AV183" s="216"/>
      <c r="AW183" s="218"/>
      <c r="AX183" s="216"/>
      <c r="AY183" s="218"/>
      <c r="AZ183" s="216"/>
      <c r="BA183" s="218"/>
      <c r="BB183" s="216"/>
      <c r="BC183" s="218"/>
      <c r="BD183" s="216"/>
      <c r="BE183" s="218"/>
      <c r="BO183" s="220"/>
      <c r="BY183" s="220"/>
      <c r="CI183" s="220"/>
      <c r="CS183" s="220"/>
      <c r="DC183" s="220"/>
      <c r="DM183" s="220"/>
      <c r="DW183" s="220"/>
      <c r="DX183" s="306">
        <v>3</v>
      </c>
      <c r="DY183" s="69">
        <f t="shared" si="509"/>
        <v>146</v>
      </c>
      <c r="EC183" s="281"/>
      <c r="ED183" s="285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</row>
    <row r="184" spans="1:328" s="219" customFormat="1" x14ac:dyDescent="0.2">
      <c r="A184" s="384" t="s">
        <v>968</v>
      </c>
      <c r="B184" s="250" t="str">
        <f>'base prezzi'!B23</f>
        <v>Siemens-Pannello TP1200 12" touch colore</v>
      </c>
      <c r="C184" s="222"/>
      <c r="D184" s="292"/>
      <c r="E184" s="523"/>
      <c r="F184" s="635"/>
      <c r="G184" s="524"/>
      <c r="H184" s="525"/>
      <c r="I184" s="525"/>
      <c r="J184" s="525"/>
      <c r="K184" s="525"/>
      <c r="L184" s="525"/>
      <c r="M184" s="525"/>
      <c r="N184" s="668"/>
      <c r="O184" s="217"/>
      <c r="P184" s="256"/>
      <c r="Q184" s="217"/>
      <c r="R184" s="250"/>
      <c r="S184" s="217"/>
      <c r="T184" s="256"/>
      <c r="U184" s="217"/>
      <c r="V184" s="250"/>
      <c r="W184" s="217"/>
      <c r="X184" s="256"/>
      <c r="Y184" s="217"/>
      <c r="Z184" s="250"/>
      <c r="AA184" s="217"/>
      <c r="AB184" s="256"/>
      <c r="AC184" s="256"/>
      <c r="AD184" s="250"/>
      <c r="AE184" s="256"/>
      <c r="AF184" s="256"/>
      <c r="AG184" s="72"/>
      <c r="AH184" s="546">
        <f t="shared" si="495"/>
        <v>0</v>
      </c>
      <c r="AI184" s="216"/>
      <c r="AJ184" s="216"/>
      <c r="AK184" s="216"/>
      <c r="AL184" s="706" t="str">
        <f t="shared" si="498"/>
        <v>-</v>
      </c>
      <c r="AM184" s="218"/>
      <c r="AN184" s="216"/>
      <c r="AO184" s="218"/>
      <c r="AP184" s="216"/>
      <c r="AQ184" s="218"/>
      <c r="AR184" s="216"/>
      <c r="AS184" s="218"/>
      <c r="AT184" s="216"/>
      <c r="AU184" s="218"/>
      <c r="AV184" s="216"/>
      <c r="AW184" s="218"/>
      <c r="AX184" s="216"/>
      <c r="AY184" s="218"/>
      <c r="AZ184" s="216"/>
      <c r="BA184" s="218"/>
      <c r="BB184" s="216"/>
      <c r="BC184" s="218"/>
      <c r="BD184" s="216"/>
      <c r="BE184" s="218"/>
      <c r="BO184" s="220"/>
      <c r="BY184" s="220"/>
      <c r="CI184" s="220"/>
      <c r="CS184" s="220"/>
      <c r="DC184" s="220"/>
      <c r="DM184" s="220"/>
      <c r="DW184" s="220"/>
      <c r="DX184" s="306">
        <v>3</v>
      </c>
      <c r="DY184" s="69">
        <f t="shared" si="509"/>
        <v>147</v>
      </c>
      <c r="EC184" s="281"/>
      <c r="ED184" s="285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</row>
    <row r="185" spans="1:328" s="219" customFormat="1" x14ac:dyDescent="0.2">
      <c r="A185" s="384" t="s">
        <v>968</v>
      </c>
      <c r="B185" s="250" t="str">
        <f>'base prezzi'!B24</f>
        <v>Siemens-Pannello TP1500 15" touch colore</v>
      </c>
      <c r="C185" s="222"/>
      <c r="D185" s="292"/>
      <c r="E185" s="523"/>
      <c r="F185" s="635"/>
      <c r="G185" s="524"/>
      <c r="H185" s="525"/>
      <c r="I185" s="525"/>
      <c r="J185" s="525"/>
      <c r="K185" s="525"/>
      <c r="L185" s="525"/>
      <c r="M185" s="525"/>
      <c r="N185" s="668"/>
      <c r="O185" s="217"/>
      <c r="P185" s="256"/>
      <c r="Q185" s="217"/>
      <c r="R185" s="250"/>
      <c r="S185" s="217"/>
      <c r="T185" s="256"/>
      <c r="U185" s="217"/>
      <c r="V185" s="250"/>
      <c r="W185" s="217"/>
      <c r="X185" s="256"/>
      <c r="Y185" s="217"/>
      <c r="Z185" s="250"/>
      <c r="AA185" s="217"/>
      <c r="AB185" s="256"/>
      <c r="AC185" s="256"/>
      <c r="AD185" s="250"/>
      <c r="AE185" s="256"/>
      <c r="AF185" s="256"/>
      <c r="AG185" s="72"/>
      <c r="AH185" s="546">
        <f t="shared" si="495"/>
        <v>0</v>
      </c>
      <c r="AI185" s="216"/>
      <c r="AJ185" s="216"/>
      <c r="AK185" s="216"/>
      <c r="AL185" s="706" t="str">
        <f t="shared" si="498"/>
        <v>-</v>
      </c>
      <c r="AM185" s="218"/>
      <c r="AN185" s="216"/>
      <c r="AO185" s="218"/>
      <c r="AP185" s="216"/>
      <c r="AQ185" s="218"/>
      <c r="AR185" s="216"/>
      <c r="AS185" s="218"/>
      <c r="AT185" s="216"/>
      <c r="AU185" s="218"/>
      <c r="AV185" s="216"/>
      <c r="AW185" s="218"/>
      <c r="AX185" s="216"/>
      <c r="AY185" s="218"/>
      <c r="AZ185" s="216"/>
      <c r="BA185" s="218"/>
      <c r="BB185" s="216"/>
      <c r="BC185" s="218"/>
      <c r="BD185" s="216"/>
      <c r="BE185" s="218"/>
      <c r="BO185" s="220"/>
      <c r="BY185" s="220"/>
      <c r="CI185" s="220"/>
      <c r="CS185" s="220"/>
      <c r="DC185" s="220"/>
      <c r="DM185" s="220"/>
      <c r="DW185" s="220"/>
      <c r="DX185" s="306"/>
      <c r="DY185" s="69">
        <f t="shared" si="509"/>
        <v>148</v>
      </c>
      <c r="EC185" s="281"/>
      <c r="ED185" s="285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</row>
    <row r="186" spans="1:328" s="219" customFormat="1" x14ac:dyDescent="0.2">
      <c r="A186" s="384" t="s">
        <v>968</v>
      </c>
      <c r="B186" s="250" t="str">
        <f>'base prezzi'!B111</f>
        <v>AllenBradley-Pannello PanelView 7" touch colore</v>
      </c>
      <c r="C186" s="222"/>
      <c r="D186" s="292"/>
      <c r="E186" s="523"/>
      <c r="F186" s="635"/>
      <c r="G186" s="524"/>
      <c r="H186" s="525"/>
      <c r="I186" s="525"/>
      <c r="J186" s="525"/>
      <c r="K186" s="525"/>
      <c r="L186" s="525"/>
      <c r="M186" s="525"/>
      <c r="N186" s="668"/>
      <c r="O186" s="217"/>
      <c r="P186" s="256"/>
      <c r="Q186" s="217"/>
      <c r="R186" s="250"/>
      <c r="S186" s="217"/>
      <c r="T186" s="256"/>
      <c r="U186" s="217"/>
      <c r="V186" s="250"/>
      <c r="W186" s="217"/>
      <c r="X186" s="256"/>
      <c r="Y186" s="217"/>
      <c r="Z186" s="250"/>
      <c r="AA186" s="217"/>
      <c r="AB186" s="256"/>
      <c r="AC186" s="256"/>
      <c r="AD186" s="250"/>
      <c r="AE186" s="256"/>
      <c r="AF186" s="256"/>
      <c r="AG186" s="72"/>
      <c r="AH186" s="546">
        <f t="shared" si="495"/>
        <v>0</v>
      </c>
      <c r="AI186" s="216"/>
      <c r="AJ186" s="216"/>
      <c r="AK186" s="216"/>
      <c r="AL186" s="706" t="str">
        <f t="shared" si="498"/>
        <v>-</v>
      </c>
      <c r="AM186" s="218"/>
      <c r="AN186" s="216"/>
      <c r="AO186" s="218"/>
      <c r="AP186" s="216"/>
      <c r="AQ186" s="218"/>
      <c r="AR186" s="216"/>
      <c r="AS186" s="218"/>
      <c r="AT186" s="216"/>
      <c r="AU186" s="218"/>
      <c r="AV186" s="216"/>
      <c r="AW186" s="218"/>
      <c r="AX186" s="216"/>
      <c r="AY186" s="218"/>
      <c r="AZ186" s="216"/>
      <c r="BA186" s="218"/>
      <c r="BB186" s="216"/>
      <c r="BC186" s="218"/>
      <c r="BD186" s="216"/>
      <c r="BE186" s="218"/>
      <c r="BO186" s="220"/>
      <c r="BY186" s="220"/>
      <c r="CI186" s="220"/>
      <c r="CS186" s="220"/>
      <c r="DC186" s="220"/>
      <c r="DM186" s="220"/>
      <c r="DW186" s="220"/>
      <c r="DX186" s="306"/>
      <c r="DY186" s="69">
        <f t="shared" si="509"/>
        <v>149</v>
      </c>
      <c r="EC186" s="281"/>
      <c r="ED186" s="285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</row>
    <row r="187" spans="1:328" s="219" customFormat="1" x14ac:dyDescent="0.2">
      <c r="A187" s="384" t="s">
        <v>968</v>
      </c>
      <c r="B187" s="250" t="str">
        <f>'base prezzi'!B112</f>
        <v>AllenBradley-Pannello PanelView 9" touch colore</v>
      </c>
      <c r="C187" s="222"/>
      <c r="D187" s="292"/>
      <c r="E187" s="523"/>
      <c r="F187" s="635"/>
      <c r="G187" s="524"/>
      <c r="H187" s="525"/>
      <c r="I187" s="525"/>
      <c r="J187" s="525"/>
      <c r="K187" s="525"/>
      <c r="L187" s="525"/>
      <c r="M187" s="525"/>
      <c r="N187" s="668"/>
      <c r="O187" s="217"/>
      <c r="P187" s="256"/>
      <c r="Q187" s="217"/>
      <c r="R187" s="250"/>
      <c r="S187" s="217"/>
      <c r="T187" s="256"/>
      <c r="U187" s="217"/>
      <c r="V187" s="250"/>
      <c r="W187" s="217"/>
      <c r="X187" s="256"/>
      <c r="Y187" s="217"/>
      <c r="Z187" s="250"/>
      <c r="AA187" s="217"/>
      <c r="AB187" s="256"/>
      <c r="AC187" s="256"/>
      <c r="AD187" s="250"/>
      <c r="AE187" s="256"/>
      <c r="AF187" s="256"/>
      <c r="AG187" s="72"/>
      <c r="AH187" s="546">
        <f t="shared" si="495"/>
        <v>0</v>
      </c>
      <c r="AI187" s="216"/>
      <c r="AJ187" s="216"/>
      <c r="AK187" s="216"/>
      <c r="AL187" s="706" t="str">
        <f t="shared" si="498"/>
        <v>-</v>
      </c>
      <c r="AM187" s="218"/>
      <c r="AN187" s="216"/>
      <c r="AO187" s="218"/>
      <c r="AP187" s="216"/>
      <c r="AQ187" s="218"/>
      <c r="AR187" s="216"/>
      <c r="AS187" s="218"/>
      <c r="AT187" s="216"/>
      <c r="AU187" s="218"/>
      <c r="AV187" s="216"/>
      <c r="AW187" s="218"/>
      <c r="AX187" s="216"/>
      <c r="AY187" s="218"/>
      <c r="AZ187" s="216"/>
      <c r="BA187" s="218"/>
      <c r="BB187" s="216"/>
      <c r="BC187" s="218"/>
      <c r="BD187" s="216"/>
      <c r="BE187" s="218"/>
      <c r="BO187" s="220"/>
      <c r="BY187" s="220"/>
      <c r="CI187" s="220"/>
      <c r="CS187" s="220"/>
      <c r="DC187" s="220"/>
      <c r="DM187" s="220"/>
      <c r="DW187" s="220"/>
      <c r="DX187" s="306"/>
      <c r="DY187" s="69">
        <f t="shared" si="509"/>
        <v>150</v>
      </c>
      <c r="EC187" s="281"/>
      <c r="ED187" s="285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</row>
    <row r="188" spans="1:328" s="219" customFormat="1" x14ac:dyDescent="0.2">
      <c r="A188" s="384" t="s">
        <v>968</v>
      </c>
      <c r="B188" s="250" t="str">
        <f>'base prezzi'!B113</f>
        <v>AllenBradley-Pannello PanelView 12" touch colore</v>
      </c>
      <c r="C188" s="222"/>
      <c r="D188" s="292"/>
      <c r="E188" s="523"/>
      <c r="F188" s="635"/>
      <c r="G188" s="524"/>
      <c r="H188" s="525"/>
      <c r="I188" s="525"/>
      <c r="J188" s="525"/>
      <c r="K188" s="525"/>
      <c r="L188" s="525"/>
      <c r="M188" s="525"/>
      <c r="N188" s="668"/>
      <c r="O188" s="217"/>
      <c r="P188" s="256"/>
      <c r="Q188" s="217"/>
      <c r="R188" s="250"/>
      <c r="S188" s="217"/>
      <c r="T188" s="256"/>
      <c r="U188" s="217"/>
      <c r="V188" s="250"/>
      <c r="W188" s="217"/>
      <c r="X188" s="256"/>
      <c r="Y188" s="217"/>
      <c r="Z188" s="250"/>
      <c r="AA188" s="217"/>
      <c r="AB188" s="256"/>
      <c r="AC188" s="256"/>
      <c r="AD188" s="250"/>
      <c r="AE188" s="256"/>
      <c r="AF188" s="256"/>
      <c r="AG188" s="72"/>
      <c r="AH188" s="546">
        <f t="shared" ref="AH188:AH193" si="510">AI188+AN188+AP188+AR188+AT188+AV188+AX188+AZ188+BB188+BD188</f>
        <v>0</v>
      </c>
      <c r="AI188" s="216"/>
      <c r="AJ188" s="216"/>
      <c r="AK188" s="216"/>
      <c r="AL188" s="706" t="str">
        <f t="shared" si="498"/>
        <v>-</v>
      </c>
      <c r="AM188" s="218"/>
      <c r="AN188" s="216"/>
      <c r="AO188" s="218"/>
      <c r="AP188" s="216"/>
      <c r="AQ188" s="218"/>
      <c r="AR188" s="216"/>
      <c r="AS188" s="218"/>
      <c r="AT188" s="216"/>
      <c r="AU188" s="218"/>
      <c r="AV188" s="216"/>
      <c r="AW188" s="218"/>
      <c r="AX188" s="216"/>
      <c r="AY188" s="218"/>
      <c r="AZ188" s="216"/>
      <c r="BA188" s="218"/>
      <c r="BB188" s="216"/>
      <c r="BC188" s="218"/>
      <c r="BD188" s="216"/>
      <c r="BE188" s="218"/>
      <c r="BO188" s="220"/>
      <c r="BY188" s="220"/>
      <c r="CI188" s="220"/>
      <c r="CS188" s="220"/>
      <c r="DC188" s="220"/>
      <c r="DM188" s="220"/>
      <c r="DW188" s="220"/>
      <c r="DX188" s="306"/>
      <c r="DY188" s="69">
        <f t="shared" si="509"/>
        <v>151</v>
      </c>
      <c r="EC188" s="281"/>
      <c r="ED188" s="285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</row>
    <row r="189" spans="1:328" s="219" customFormat="1" x14ac:dyDescent="0.2">
      <c r="A189" s="384" t="s">
        <v>968</v>
      </c>
      <c r="B189" s="250" t="str">
        <f>'base prezzi'!B114</f>
        <v>AllenBradley-Pannello PanelView 15" touch colore</v>
      </c>
      <c r="C189" s="222"/>
      <c r="D189" s="292"/>
      <c r="E189" s="523"/>
      <c r="F189" s="635"/>
      <c r="G189" s="524"/>
      <c r="H189" s="525"/>
      <c r="I189" s="525"/>
      <c r="J189" s="525"/>
      <c r="K189" s="525"/>
      <c r="L189" s="525"/>
      <c r="M189" s="525"/>
      <c r="N189" s="668"/>
      <c r="O189" s="217"/>
      <c r="P189" s="256"/>
      <c r="Q189" s="217"/>
      <c r="R189" s="250"/>
      <c r="S189" s="217"/>
      <c r="T189" s="256"/>
      <c r="U189" s="217"/>
      <c r="V189" s="250"/>
      <c r="W189" s="217"/>
      <c r="X189" s="256"/>
      <c r="Y189" s="217"/>
      <c r="Z189" s="250"/>
      <c r="AA189" s="217"/>
      <c r="AB189" s="256"/>
      <c r="AC189" s="256"/>
      <c r="AD189" s="250"/>
      <c r="AE189" s="256"/>
      <c r="AF189" s="256"/>
      <c r="AG189" s="72"/>
      <c r="AH189" s="546">
        <f t="shared" si="510"/>
        <v>0</v>
      </c>
      <c r="AI189" s="216"/>
      <c r="AJ189" s="216"/>
      <c r="AK189" s="216"/>
      <c r="AL189" s="706" t="str">
        <f t="shared" si="498"/>
        <v>-</v>
      </c>
      <c r="AM189" s="218"/>
      <c r="AN189" s="216"/>
      <c r="AO189" s="218"/>
      <c r="AP189" s="216"/>
      <c r="AQ189" s="218"/>
      <c r="AR189" s="216"/>
      <c r="AS189" s="218"/>
      <c r="AT189" s="216"/>
      <c r="AU189" s="218"/>
      <c r="AV189" s="216"/>
      <c r="AW189" s="218"/>
      <c r="AX189" s="216"/>
      <c r="AY189" s="218"/>
      <c r="AZ189" s="216"/>
      <c r="BA189" s="218"/>
      <c r="BB189" s="216"/>
      <c r="BC189" s="218"/>
      <c r="BD189" s="216"/>
      <c r="BE189" s="218"/>
      <c r="BO189" s="220"/>
      <c r="BY189" s="220"/>
      <c r="CI189" s="220"/>
      <c r="CS189" s="220"/>
      <c r="DC189" s="220"/>
      <c r="DM189" s="220"/>
      <c r="DW189" s="220"/>
      <c r="DX189" s="306"/>
      <c r="DY189" s="69">
        <f t="shared" si="509"/>
        <v>152</v>
      </c>
      <c r="EC189" s="281"/>
      <c r="ED189" s="285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</row>
    <row r="190" spans="1:328" s="219" customFormat="1" x14ac:dyDescent="0.2">
      <c r="A190" s="384" t="s">
        <v>968</v>
      </c>
      <c r="B190" s="250" t="str">
        <f>'base prezzi'!B115</f>
        <v>pc con sinottico (escluso hardware)</v>
      </c>
      <c r="C190" s="222"/>
      <c r="D190" s="292"/>
      <c r="E190" s="523"/>
      <c r="F190" s="635"/>
      <c r="G190" s="524"/>
      <c r="H190" s="525"/>
      <c r="I190" s="525"/>
      <c r="J190" s="525"/>
      <c r="K190" s="525"/>
      <c r="L190" s="525"/>
      <c r="M190" s="525"/>
      <c r="N190" s="668"/>
      <c r="O190" s="217"/>
      <c r="P190" s="256"/>
      <c r="Q190" s="217"/>
      <c r="R190" s="250"/>
      <c r="S190" s="217"/>
      <c r="T190" s="256"/>
      <c r="U190" s="217"/>
      <c r="V190" s="250"/>
      <c r="W190" s="217"/>
      <c r="X190" s="256"/>
      <c r="Y190" s="217"/>
      <c r="Z190" s="250"/>
      <c r="AA190" s="217"/>
      <c r="AB190" s="256"/>
      <c r="AC190" s="256"/>
      <c r="AD190" s="250"/>
      <c r="AE190" s="256"/>
      <c r="AF190" s="256"/>
      <c r="AG190" s="72"/>
      <c r="AH190" s="546">
        <f t="shared" si="510"/>
        <v>0</v>
      </c>
      <c r="AI190" s="216"/>
      <c r="AJ190" s="216"/>
      <c r="AK190" s="216"/>
      <c r="AL190" s="706" t="str">
        <f t="shared" si="498"/>
        <v>-</v>
      </c>
      <c r="AM190" s="218"/>
      <c r="AN190" s="216"/>
      <c r="AO190" s="218"/>
      <c r="AP190" s="216"/>
      <c r="AQ190" s="218"/>
      <c r="AR190" s="216"/>
      <c r="AS190" s="218"/>
      <c r="AT190" s="216"/>
      <c r="AU190" s="218"/>
      <c r="AV190" s="216"/>
      <c r="AW190" s="218"/>
      <c r="AX190" s="216"/>
      <c r="AY190" s="218"/>
      <c r="AZ190" s="216"/>
      <c r="BA190" s="218"/>
      <c r="BB190" s="216"/>
      <c r="BC190" s="218"/>
      <c r="BD190" s="216"/>
      <c r="BE190" s="218"/>
      <c r="BO190" s="220"/>
      <c r="BY190" s="220"/>
      <c r="CI190" s="220"/>
      <c r="CS190" s="220"/>
      <c r="DC190" s="220"/>
      <c r="DM190" s="220"/>
      <c r="DW190" s="220"/>
      <c r="DX190" s="306">
        <v>3</v>
      </c>
      <c r="DY190" s="69">
        <f t="shared" si="509"/>
        <v>153</v>
      </c>
      <c r="EC190" s="281"/>
      <c r="ED190" s="285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</row>
    <row r="191" spans="1:328" s="219" customFormat="1" x14ac:dyDescent="0.2">
      <c r="A191" s="384" t="s">
        <v>968</v>
      </c>
      <c r="B191" s="250" t="str">
        <f>'base prezzi'!B27</f>
        <v>Pannello WP500</v>
      </c>
      <c r="C191" s="222"/>
      <c r="D191" s="292"/>
      <c r="E191" s="523"/>
      <c r="F191" s="635"/>
      <c r="G191" s="524"/>
      <c r="H191" s="525"/>
      <c r="I191" s="525"/>
      <c r="J191" s="525"/>
      <c r="K191" s="525"/>
      <c r="L191" s="525"/>
      <c r="M191" s="525"/>
      <c r="N191" s="668"/>
      <c r="O191" s="217"/>
      <c r="P191" s="256"/>
      <c r="Q191" s="217"/>
      <c r="R191" s="250"/>
      <c r="S191" s="217"/>
      <c r="T191" s="256"/>
      <c r="U191" s="217"/>
      <c r="V191" s="250"/>
      <c r="W191" s="217"/>
      <c r="X191" s="256"/>
      <c r="Y191" s="217"/>
      <c r="Z191" s="250"/>
      <c r="AA191" s="217"/>
      <c r="AB191" s="256"/>
      <c r="AC191" s="256"/>
      <c r="AD191" s="250"/>
      <c r="AE191" s="256"/>
      <c r="AF191" s="256"/>
      <c r="AG191" s="72"/>
      <c r="AH191" s="546">
        <f t="shared" si="510"/>
        <v>0</v>
      </c>
      <c r="AI191" s="216"/>
      <c r="AJ191" s="216"/>
      <c r="AK191" s="216"/>
      <c r="AL191" s="706" t="str">
        <f t="shared" si="498"/>
        <v>-</v>
      </c>
      <c r="AM191" s="218"/>
      <c r="AN191" s="216"/>
      <c r="AO191" s="218"/>
      <c r="AP191" s="216"/>
      <c r="AQ191" s="218"/>
      <c r="AR191" s="216"/>
      <c r="AS191" s="218"/>
      <c r="AT191" s="216"/>
      <c r="AU191" s="218"/>
      <c r="AV191" s="216"/>
      <c r="AW191" s="218"/>
      <c r="AX191" s="216"/>
      <c r="AY191" s="218"/>
      <c r="AZ191" s="216"/>
      <c r="BA191" s="218"/>
      <c r="BB191" s="216"/>
      <c r="BC191" s="218"/>
      <c r="BD191" s="216"/>
      <c r="BE191" s="218"/>
      <c r="BO191" s="220"/>
      <c r="BY191" s="220"/>
      <c r="CI191" s="220"/>
      <c r="CS191" s="220"/>
      <c r="DC191" s="220"/>
      <c r="DM191" s="220"/>
      <c r="DW191" s="220"/>
      <c r="DX191" s="306"/>
      <c r="DY191" s="69">
        <f t="shared" si="509"/>
        <v>154</v>
      </c>
      <c r="EC191" s="281"/>
      <c r="ED191" s="285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</row>
    <row r="192" spans="1:328" s="219" customFormat="1" x14ac:dyDescent="0.2">
      <c r="A192" s="384" t="s">
        <v>968</v>
      </c>
      <c r="B192" s="250" t="str">
        <f>'base prezzi'!B28</f>
        <v>Pannello WP140</v>
      </c>
      <c r="C192" s="222"/>
      <c r="D192" s="292"/>
      <c r="E192" s="523"/>
      <c r="F192" s="635"/>
      <c r="G192" s="524"/>
      <c r="H192" s="525"/>
      <c r="I192" s="525"/>
      <c r="J192" s="525"/>
      <c r="K192" s="525"/>
      <c r="L192" s="525"/>
      <c r="M192" s="525"/>
      <c r="N192" s="668"/>
      <c r="O192" s="217"/>
      <c r="P192" s="256"/>
      <c r="Q192" s="217"/>
      <c r="R192" s="250"/>
      <c r="S192" s="217"/>
      <c r="T192" s="256"/>
      <c r="U192" s="217"/>
      <c r="V192" s="250"/>
      <c r="W192" s="217"/>
      <c r="X192" s="256"/>
      <c r="Y192" s="217"/>
      <c r="Z192" s="250"/>
      <c r="AA192" s="217"/>
      <c r="AB192" s="256"/>
      <c r="AC192" s="256"/>
      <c r="AD192" s="250"/>
      <c r="AE192" s="256"/>
      <c r="AF192" s="256"/>
      <c r="AG192" s="72"/>
      <c r="AH192" s="546">
        <f t="shared" si="510"/>
        <v>0</v>
      </c>
      <c r="AI192" s="216"/>
      <c r="AJ192" s="216"/>
      <c r="AK192" s="216"/>
      <c r="AL192" s="706" t="str">
        <f t="shared" si="498"/>
        <v>-</v>
      </c>
      <c r="AM192" s="218"/>
      <c r="AN192" s="216"/>
      <c r="AO192" s="218"/>
      <c r="AP192" s="216"/>
      <c r="AQ192" s="218"/>
      <c r="AR192" s="216"/>
      <c r="AS192" s="218"/>
      <c r="AT192" s="216"/>
      <c r="AU192" s="218"/>
      <c r="AV192" s="216"/>
      <c r="AW192" s="218"/>
      <c r="AX192" s="216"/>
      <c r="AY192" s="218"/>
      <c r="AZ192" s="216"/>
      <c r="BA192" s="218"/>
      <c r="BB192" s="216"/>
      <c r="BC192" s="218"/>
      <c r="BD192" s="216"/>
      <c r="BE192" s="218"/>
      <c r="BO192" s="220"/>
      <c r="BY192" s="220"/>
      <c r="CI192" s="220"/>
      <c r="CS192" s="220"/>
      <c r="DC192" s="220"/>
      <c r="DM192" s="220"/>
      <c r="DW192" s="220"/>
      <c r="DX192" s="306"/>
      <c r="DY192" s="69">
        <f t="shared" si="509"/>
        <v>155</v>
      </c>
      <c r="EC192" s="281"/>
      <c r="ED192" s="285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</row>
    <row r="193" spans="1:328" s="219" customFormat="1" x14ac:dyDescent="0.2">
      <c r="A193" s="384" t="s">
        <v>968</v>
      </c>
      <c r="B193" s="250" t="str">
        <f>'base prezzi'!B26</f>
        <v>Pannello WP300</v>
      </c>
      <c r="C193" s="222"/>
      <c r="D193" s="292"/>
      <c r="E193" s="523"/>
      <c r="F193" s="635"/>
      <c r="G193" s="524"/>
      <c r="H193" s="525"/>
      <c r="I193" s="525"/>
      <c r="J193" s="525"/>
      <c r="K193" s="525"/>
      <c r="L193" s="525"/>
      <c r="M193" s="525"/>
      <c r="N193" s="668">
        <v>0</v>
      </c>
      <c r="O193" s="217"/>
      <c r="P193" s="256"/>
      <c r="Q193" s="217"/>
      <c r="R193" s="250"/>
      <c r="S193" s="217"/>
      <c r="T193" s="256"/>
      <c r="U193" s="217"/>
      <c r="V193" s="250"/>
      <c r="W193" s="217"/>
      <c r="X193" s="256"/>
      <c r="Y193" s="217"/>
      <c r="Z193" s="250"/>
      <c r="AA193" s="217"/>
      <c r="AB193" s="256"/>
      <c r="AC193" s="256"/>
      <c r="AD193" s="250"/>
      <c r="AE193" s="256"/>
      <c r="AF193" s="256"/>
      <c r="AG193" s="72"/>
      <c r="AH193" s="546">
        <f t="shared" si="510"/>
        <v>0</v>
      </c>
      <c r="AI193" s="216"/>
      <c r="AJ193" s="216"/>
      <c r="AK193" s="216"/>
      <c r="AL193" s="706" t="str">
        <f t="shared" si="498"/>
        <v>-</v>
      </c>
      <c r="AM193" s="218"/>
      <c r="AN193" s="216"/>
      <c r="AO193" s="218"/>
      <c r="AP193" s="216"/>
      <c r="AQ193" s="218"/>
      <c r="AR193" s="216"/>
      <c r="AS193" s="218"/>
      <c r="AT193" s="216"/>
      <c r="AU193" s="218"/>
      <c r="AV193" s="216"/>
      <c r="AW193" s="218"/>
      <c r="AX193" s="216"/>
      <c r="AY193" s="218"/>
      <c r="AZ193" s="216"/>
      <c r="BA193" s="218"/>
      <c r="BB193" s="216"/>
      <c r="BC193" s="218"/>
      <c r="BD193" s="216"/>
      <c r="BE193" s="218"/>
      <c r="BO193" s="220"/>
      <c r="BY193" s="220"/>
      <c r="CI193" s="220"/>
      <c r="CS193" s="220"/>
      <c r="DC193" s="220"/>
      <c r="DM193" s="220"/>
      <c r="DW193" s="220"/>
      <c r="DX193" s="306"/>
      <c r="DY193" s="69">
        <f t="shared" si="509"/>
        <v>156</v>
      </c>
      <c r="EC193" s="281"/>
      <c r="ED193" s="285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</row>
    <row r="194" spans="1:328" ht="15" hidden="1" thickBot="1" x14ac:dyDescent="0.25">
      <c r="A194" s="333" t="s">
        <v>968</v>
      </c>
      <c r="B194" s="553" t="s">
        <v>969</v>
      </c>
      <c r="C194" s="195" t="s">
        <v>872</v>
      </c>
      <c r="D194" s="171" t="s">
        <v>1037</v>
      </c>
      <c r="E194" s="533"/>
      <c r="F194" s="637">
        <f>VLOOKUP(D194,prezzi,5,)</f>
        <v>230.06295</v>
      </c>
      <c r="G194" s="534"/>
      <c r="H194" s="534"/>
      <c r="I194" s="534"/>
      <c r="J194" s="534"/>
      <c r="K194" s="534">
        <v>3</v>
      </c>
      <c r="L194" s="534"/>
      <c r="M194" s="534"/>
      <c r="N194" s="666">
        <f>IF(SUM(N23:N167)&gt;0,1,0)</f>
        <v>0</v>
      </c>
      <c r="O194" s="666"/>
      <c r="P194" s="666">
        <f>IF(SUM(P23:P167)&gt;0,1,0)</f>
        <v>0</v>
      </c>
      <c r="Q194" s="666"/>
      <c r="R194" s="666">
        <f>IF(SUM(R23:R167)&gt;0,1,0)</f>
        <v>0</v>
      </c>
      <c r="S194" s="666"/>
      <c r="T194" s="666">
        <f>IF(SUM(T23:T167)&gt;0,1,0)</f>
        <v>0</v>
      </c>
      <c r="U194" s="666"/>
      <c r="V194" s="666">
        <f>IF(SUM(V23:V167)&gt;0,1,0)</f>
        <v>0</v>
      </c>
      <c r="W194" s="666"/>
      <c r="X194" s="666">
        <f>IF(SUM(X23:X167)&gt;0,1,0)</f>
        <v>0</v>
      </c>
      <c r="Y194" s="666"/>
      <c r="Z194" s="666">
        <f>IF(SUM(Z23:Z167)&gt;0,1,0)</f>
        <v>0</v>
      </c>
      <c r="AA194" s="666"/>
      <c r="AB194" s="666">
        <f>IF(SUM(AB23:AB167)&gt;0,1,0)</f>
        <v>0</v>
      </c>
      <c r="AC194" s="666"/>
      <c r="AD194" s="666">
        <f>IF(SUM(AD23:AD167)&gt;0,1,0)</f>
        <v>0</v>
      </c>
      <c r="AE194" s="666"/>
      <c r="AF194" s="666">
        <f>IF(SUM(AF23:AF167)&gt;0,1,0)</f>
        <v>0</v>
      </c>
      <c r="AG194" s="554"/>
      <c r="AH194" s="554"/>
      <c r="AI194" s="172">
        <f>N194*$E194</f>
        <v>0</v>
      </c>
      <c r="AJ194" s="172"/>
      <c r="AL194" s="706" t="str">
        <f t="shared" si="498"/>
        <v>-torretta</v>
      </c>
      <c r="AM194" s="173">
        <f>N194*$F194</f>
        <v>0</v>
      </c>
      <c r="AN194" s="172">
        <f>P194*$E194</f>
        <v>0</v>
      </c>
      <c r="AO194" s="173">
        <f>P194*$F194</f>
        <v>0</v>
      </c>
      <c r="AP194" s="172">
        <f>R194*$E194</f>
        <v>0</v>
      </c>
      <c r="AQ194" s="173">
        <f>R194*$F194</f>
        <v>0</v>
      </c>
      <c r="AR194" s="172">
        <f>T194*$E194</f>
        <v>0</v>
      </c>
      <c r="AS194" s="173">
        <f>T194*$F194</f>
        <v>0</v>
      </c>
      <c r="AT194" s="172">
        <f>V194*$E194</f>
        <v>0</v>
      </c>
      <c r="AU194" s="173">
        <f>V194*$F194</f>
        <v>0</v>
      </c>
      <c r="AV194" s="172">
        <f>X194*$E194</f>
        <v>0</v>
      </c>
      <c r="AW194" s="173">
        <f>X194*$F194</f>
        <v>0</v>
      </c>
      <c r="AX194" s="172">
        <f>Z194*$E194</f>
        <v>0</v>
      </c>
      <c r="AY194" s="173">
        <f>Z194*$F194</f>
        <v>0</v>
      </c>
      <c r="AZ194" s="172">
        <f>AB194*$E194</f>
        <v>0</v>
      </c>
      <c r="BA194" s="173">
        <f>AB194*$F194</f>
        <v>0</v>
      </c>
      <c r="BB194" s="172">
        <f>AD194*$E194</f>
        <v>0</v>
      </c>
      <c r="BC194" s="173">
        <f>AD194*$F194</f>
        <v>0</v>
      </c>
      <c r="BD194" s="172">
        <f>AF194*$E194</f>
        <v>0</v>
      </c>
      <c r="BE194" s="173">
        <f>AF194*$F194</f>
        <v>0</v>
      </c>
      <c r="BF194" s="174">
        <f>N194*$G194</f>
        <v>0</v>
      </c>
      <c r="BG194" s="174">
        <f>P194*$G194</f>
        <v>0</v>
      </c>
      <c r="BH194" s="174">
        <f>R194*$G194</f>
        <v>0</v>
      </c>
      <c r="BI194" s="174">
        <f>T194*$G194</f>
        <v>0</v>
      </c>
      <c r="BJ194" s="174">
        <f>V194*$G194</f>
        <v>0</v>
      </c>
      <c r="BK194" s="174">
        <f>X194*$G194</f>
        <v>0</v>
      </c>
      <c r="BL194" s="174">
        <f>Z194*$G194</f>
        <v>0</v>
      </c>
      <c r="BM194" s="174">
        <f>AB194*$G194</f>
        <v>0</v>
      </c>
      <c r="BN194" s="174">
        <f>AD194*$G194</f>
        <v>0</v>
      </c>
      <c r="BO194" s="175">
        <f>AF194*$G194</f>
        <v>0</v>
      </c>
      <c r="BP194" s="174">
        <f t="shared" si="404"/>
        <v>0</v>
      </c>
      <c r="BQ194" s="174">
        <f>P194*$H194</f>
        <v>0</v>
      </c>
      <c r="BR194" s="174">
        <f>R194*$H194</f>
        <v>0</v>
      </c>
      <c r="BS194" s="174">
        <f>T194*$H194</f>
        <v>0</v>
      </c>
      <c r="BT194" s="174">
        <f>V194*$H194</f>
        <v>0</v>
      </c>
      <c r="BU194" s="174">
        <f>X194*$H194</f>
        <v>0</v>
      </c>
      <c r="BV194" s="174">
        <f>Z194*$H194</f>
        <v>0</v>
      </c>
      <c r="BW194" s="174">
        <f>AB194*$H194</f>
        <v>0</v>
      </c>
      <c r="BX194" s="174">
        <f>AD194*$H194</f>
        <v>0</v>
      </c>
      <c r="BY194" s="175">
        <f>AF194*$H194</f>
        <v>0</v>
      </c>
      <c r="BZ194" s="174">
        <f>N194*$I194</f>
        <v>0</v>
      </c>
      <c r="CA194" s="174">
        <f>P194*$I194</f>
        <v>0</v>
      </c>
      <c r="CB194" s="174">
        <f>R194*$I194</f>
        <v>0</v>
      </c>
      <c r="CC194" s="174">
        <f>T194*$I194</f>
        <v>0</v>
      </c>
      <c r="CD194" s="174">
        <f>V194*$I194</f>
        <v>0</v>
      </c>
      <c r="CE194" s="174">
        <f>X194*$I194</f>
        <v>0</v>
      </c>
      <c r="CF194" s="174">
        <f>Z194*$I194</f>
        <v>0</v>
      </c>
      <c r="CG194" s="174">
        <f>AB194*$I194</f>
        <v>0</v>
      </c>
      <c r="CH194" s="174">
        <f>AD194*$I194</f>
        <v>0</v>
      </c>
      <c r="CI194" s="175">
        <f>AF194*$I194</f>
        <v>0</v>
      </c>
      <c r="CJ194" s="174">
        <f>N194*$J194</f>
        <v>0</v>
      </c>
      <c r="CK194" s="174">
        <f>P194*$J194</f>
        <v>0</v>
      </c>
      <c r="CL194" s="174">
        <f>R194*$J194</f>
        <v>0</v>
      </c>
      <c r="CM194" s="174">
        <f>T194*$J194</f>
        <v>0</v>
      </c>
      <c r="CN194" s="174">
        <f>V194*$J194</f>
        <v>0</v>
      </c>
      <c r="CO194" s="174">
        <f>X194*$J194</f>
        <v>0</v>
      </c>
      <c r="CP194" s="174">
        <f>Z194*$J194</f>
        <v>0</v>
      </c>
      <c r="CQ194" s="174">
        <f>AB194*$J194</f>
        <v>0</v>
      </c>
      <c r="CR194" s="174">
        <f>AD194*$J194</f>
        <v>0</v>
      </c>
      <c r="CS194" s="175">
        <f>AF194*$J194</f>
        <v>0</v>
      </c>
      <c r="CT194" s="174">
        <f>N194*$K194</f>
        <v>0</v>
      </c>
      <c r="CU194" s="174">
        <f>P194*$K194</f>
        <v>0</v>
      </c>
      <c r="CV194" s="174">
        <f>R194*$K194</f>
        <v>0</v>
      </c>
      <c r="CW194" s="174">
        <f>T194*$K194</f>
        <v>0</v>
      </c>
      <c r="CX194" s="174">
        <f>V194*$K194</f>
        <v>0</v>
      </c>
      <c r="CY194" s="174">
        <f>X194*$K194</f>
        <v>0</v>
      </c>
      <c r="CZ194" s="174">
        <f>Z194*$K194</f>
        <v>0</v>
      </c>
      <c r="DA194" s="174">
        <f>AB194*$K194</f>
        <v>0</v>
      </c>
      <c r="DB194" s="174">
        <f>AD194*$K194</f>
        <v>0</v>
      </c>
      <c r="DC194" s="175">
        <f>AF194*$K194</f>
        <v>0</v>
      </c>
      <c r="DD194" s="174">
        <f>N194*$L194</f>
        <v>0</v>
      </c>
      <c r="DE194" s="174">
        <f>P194*$L194</f>
        <v>0</v>
      </c>
      <c r="DF194" s="174">
        <f>R194*$L194</f>
        <v>0</v>
      </c>
      <c r="DG194" s="174">
        <f>T194*$L194</f>
        <v>0</v>
      </c>
      <c r="DH194" s="174">
        <f>V194*$L194</f>
        <v>0</v>
      </c>
      <c r="DI194" s="174">
        <f>X194*$L194</f>
        <v>0</v>
      </c>
      <c r="DJ194" s="174">
        <f>Z194*$L194</f>
        <v>0</v>
      </c>
      <c r="DK194" s="174">
        <f>AB194*$L194</f>
        <v>0</v>
      </c>
      <c r="DL194" s="174">
        <f>AD194*$L194</f>
        <v>0</v>
      </c>
      <c r="DM194" s="175">
        <f>AF194*$L194</f>
        <v>0</v>
      </c>
      <c r="DN194" s="174">
        <f>N194*$M194</f>
        <v>0</v>
      </c>
      <c r="DO194" s="174">
        <f>P194*$M194</f>
        <v>0</v>
      </c>
      <c r="DP194" s="174">
        <f>R194*$M194</f>
        <v>0</v>
      </c>
      <c r="DQ194" s="174">
        <f>T194*$M194</f>
        <v>0</v>
      </c>
      <c r="DR194" s="174">
        <f>V194*$M194</f>
        <v>0</v>
      </c>
      <c r="DS194" s="174">
        <f>X194*$M194</f>
        <v>0</v>
      </c>
      <c r="DT194" s="174">
        <f>Z194*$M194</f>
        <v>0</v>
      </c>
      <c r="DU194" s="174">
        <f>AB194*$M194</f>
        <v>0</v>
      </c>
      <c r="DV194" s="174">
        <f>AD194*$M194</f>
        <v>0</v>
      </c>
      <c r="DW194" s="175">
        <f>AF194*$M194</f>
        <v>0</v>
      </c>
      <c r="DX194" s="174">
        <v>8</v>
      </c>
      <c r="DY194" s="69">
        <f>DY180+1</f>
        <v>144</v>
      </c>
      <c r="DZ194" s="1">
        <f>IF(C194="m",SUM(N194+P194+R194+T194+V194+X194+Z194+AB194+AD194+AF194),0)</f>
        <v>0</v>
      </c>
      <c r="EA194" s="1">
        <f>IF(C194="a",SUM(N194+P194+R194+T194+V194+X194+Z194+AB194+AD194+AF194),0)</f>
        <v>0</v>
      </c>
      <c r="EB194" s="1">
        <f>IF(C194="r",SUM(N194+P194+R194+T194+V194+X194+Z194+AB194+AD194+AF194),0)</f>
        <v>0</v>
      </c>
      <c r="ED194" s="285">
        <f>SUM(N194:AF194)*EC194</f>
        <v>0</v>
      </c>
    </row>
    <row r="195" spans="1:328" s="68" customFormat="1" hidden="1" x14ac:dyDescent="0.2">
      <c r="A195" s="212"/>
      <c r="B195" s="205"/>
      <c r="C195" s="176"/>
      <c r="E195" s="177"/>
      <c r="F195" s="620"/>
      <c r="N195" s="178"/>
      <c r="O195" s="178"/>
      <c r="P195" s="178"/>
      <c r="Q195" s="178"/>
      <c r="R195" s="178"/>
      <c r="S195" s="178"/>
      <c r="T195" s="178"/>
      <c r="U195" s="178"/>
      <c r="V195" s="178"/>
      <c r="W195" s="178"/>
      <c r="X195" s="178"/>
      <c r="Y195" s="178"/>
      <c r="Z195" s="178"/>
      <c r="AA195" s="178"/>
      <c r="AB195" s="178"/>
      <c r="AC195" s="178"/>
      <c r="AD195" s="178"/>
      <c r="AE195" s="178"/>
      <c r="AF195" s="178"/>
      <c r="AG195" s="178"/>
      <c r="AI195" s="179">
        <f t="shared" ref="AI195:BQ195" si="511">SUM(AI23:AI194)</f>
        <v>0</v>
      </c>
      <c r="AJ195" s="179"/>
      <c r="AK195" s="179"/>
      <c r="AL195" s="179"/>
      <c r="AM195" s="180">
        <f t="shared" si="511"/>
        <v>0</v>
      </c>
      <c r="AN195" s="179">
        <f t="shared" si="511"/>
        <v>0</v>
      </c>
      <c r="AO195" s="180">
        <f t="shared" si="511"/>
        <v>0</v>
      </c>
      <c r="AP195" s="179">
        <f t="shared" si="511"/>
        <v>0</v>
      </c>
      <c r="AQ195" s="180">
        <f t="shared" si="511"/>
        <v>0</v>
      </c>
      <c r="AR195" s="179">
        <f t="shared" si="511"/>
        <v>0</v>
      </c>
      <c r="AS195" s="180">
        <f t="shared" si="511"/>
        <v>0</v>
      </c>
      <c r="AT195" s="179">
        <f t="shared" si="511"/>
        <v>0</v>
      </c>
      <c r="AU195" s="180">
        <f t="shared" si="511"/>
        <v>0</v>
      </c>
      <c r="AV195" s="179">
        <f t="shared" si="511"/>
        <v>0</v>
      </c>
      <c r="AW195" s="180">
        <f t="shared" si="511"/>
        <v>0</v>
      </c>
      <c r="AX195" s="179">
        <f t="shared" si="511"/>
        <v>0</v>
      </c>
      <c r="AY195" s="180">
        <f t="shared" si="511"/>
        <v>0</v>
      </c>
      <c r="AZ195" s="179">
        <f t="shared" si="511"/>
        <v>0</v>
      </c>
      <c r="BA195" s="180">
        <f t="shared" si="511"/>
        <v>0</v>
      </c>
      <c r="BB195" s="179">
        <f t="shared" si="511"/>
        <v>0</v>
      </c>
      <c r="BC195" s="180">
        <f t="shared" si="511"/>
        <v>0</v>
      </c>
      <c r="BD195" s="179">
        <f t="shared" si="511"/>
        <v>0</v>
      </c>
      <c r="BE195" s="180">
        <f t="shared" si="511"/>
        <v>0</v>
      </c>
      <c r="BF195" s="68">
        <f t="shared" si="511"/>
        <v>0</v>
      </c>
      <c r="BG195" s="68">
        <f t="shared" si="511"/>
        <v>0</v>
      </c>
      <c r="BH195" s="68">
        <f t="shared" si="511"/>
        <v>0</v>
      </c>
      <c r="BI195" s="68">
        <f t="shared" si="511"/>
        <v>0</v>
      </c>
      <c r="BJ195" s="68">
        <f t="shared" si="511"/>
        <v>0</v>
      </c>
      <c r="BK195" s="68">
        <f t="shared" si="511"/>
        <v>0</v>
      </c>
      <c r="BL195" s="68">
        <f t="shared" si="511"/>
        <v>0</v>
      </c>
      <c r="BM195" s="68">
        <f t="shared" si="511"/>
        <v>0</v>
      </c>
      <c r="BN195" s="68">
        <f t="shared" si="511"/>
        <v>0</v>
      </c>
      <c r="BO195" s="181">
        <f t="shared" si="511"/>
        <v>0</v>
      </c>
      <c r="BP195" s="68">
        <f t="shared" si="511"/>
        <v>0</v>
      </c>
      <c r="BQ195" s="68">
        <f t="shared" si="511"/>
        <v>0</v>
      </c>
      <c r="BR195" s="68">
        <f t="shared" ref="BR195:CW195" si="512">SUM(BR23:BR194)</f>
        <v>0</v>
      </c>
      <c r="BS195" s="68">
        <f t="shared" si="512"/>
        <v>0</v>
      </c>
      <c r="BT195" s="68">
        <f t="shared" si="512"/>
        <v>0</v>
      </c>
      <c r="BU195" s="68">
        <f t="shared" si="512"/>
        <v>0</v>
      </c>
      <c r="BV195" s="68">
        <f t="shared" si="512"/>
        <v>0</v>
      </c>
      <c r="BW195" s="68">
        <f t="shared" si="512"/>
        <v>0</v>
      </c>
      <c r="BX195" s="68">
        <f t="shared" si="512"/>
        <v>0</v>
      </c>
      <c r="BY195" s="181">
        <f t="shared" si="512"/>
        <v>0</v>
      </c>
      <c r="BZ195" s="68">
        <f t="shared" si="512"/>
        <v>0</v>
      </c>
      <c r="CA195" s="68">
        <f t="shared" si="512"/>
        <v>0</v>
      </c>
      <c r="CB195" s="68">
        <f t="shared" si="512"/>
        <v>0</v>
      </c>
      <c r="CC195" s="68">
        <f t="shared" si="512"/>
        <v>0</v>
      </c>
      <c r="CD195" s="68">
        <f t="shared" si="512"/>
        <v>0</v>
      </c>
      <c r="CE195" s="68">
        <f t="shared" si="512"/>
        <v>0</v>
      </c>
      <c r="CF195" s="68">
        <f t="shared" si="512"/>
        <v>0</v>
      </c>
      <c r="CG195" s="68">
        <f t="shared" si="512"/>
        <v>0</v>
      </c>
      <c r="CH195" s="68">
        <f t="shared" si="512"/>
        <v>0</v>
      </c>
      <c r="CI195" s="181">
        <f t="shared" si="512"/>
        <v>0</v>
      </c>
      <c r="CJ195" s="68">
        <f t="shared" si="512"/>
        <v>0</v>
      </c>
      <c r="CK195" s="68">
        <f t="shared" si="512"/>
        <v>0</v>
      </c>
      <c r="CL195" s="68">
        <f t="shared" si="512"/>
        <v>0</v>
      </c>
      <c r="CM195" s="68">
        <f t="shared" si="512"/>
        <v>0</v>
      </c>
      <c r="CN195" s="68">
        <f t="shared" si="512"/>
        <v>0</v>
      </c>
      <c r="CO195" s="68">
        <f t="shared" si="512"/>
        <v>0</v>
      </c>
      <c r="CP195" s="68">
        <f t="shared" si="512"/>
        <v>0</v>
      </c>
      <c r="CQ195" s="68">
        <f t="shared" si="512"/>
        <v>0</v>
      </c>
      <c r="CR195" s="68">
        <f t="shared" si="512"/>
        <v>0</v>
      </c>
      <c r="CS195" s="181">
        <f t="shared" si="512"/>
        <v>0</v>
      </c>
      <c r="CT195" s="68">
        <f t="shared" si="512"/>
        <v>0</v>
      </c>
      <c r="CU195" s="68">
        <f t="shared" si="512"/>
        <v>0</v>
      </c>
      <c r="CV195" s="68">
        <f t="shared" si="512"/>
        <v>0</v>
      </c>
      <c r="CW195" s="68">
        <f t="shared" si="512"/>
        <v>0</v>
      </c>
      <c r="CX195" s="68">
        <f t="shared" ref="CX195:DW195" si="513">SUM(CX23:CX194)</f>
        <v>0</v>
      </c>
      <c r="CY195" s="68">
        <f t="shared" si="513"/>
        <v>0</v>
      </c>
      <c r="CZ195" s="68">
        <f t="shared" si="513"/>
        <v>0</v>
      </c>
      <c r="DA195" s="68">
        <f t="shared" si="513"/>
        <v>0</v>
      </c>
      <c r="DB195" s="68">
        <f t="shared" si="513"/>
        <v>0</v>
      </c>
      <c r="DC195" s="181">
        <f t="shared" si="513"/>
        <v>0</v>
      </c>
      <c r="DD195" s="68">
        <f t="shared" si="513"/>
        <v>0</v>
      </c>
      <c r="DE195" s="68">
        <f t="shared" si="513"/>
        <v>0</v>
      </c>
      <c r="DF195" s="68">
        <f t="shared" si="513"/>
        <v>0</v>
      </c>
      <c r="DG195" s="68">
        <f t="shared" si="513"/>
        <v>0</v>
      </c>
      <c r="DH195" s="68">
        <f t="shared" si="513"/>
        <v>0</v>
      </c>
      <c r="DI195" s="68">
        <f t="shared" si="513"/>
        <v>0</v>
      </c>
      <c r="DJ195" s="68">
        <f t="shared" si="513"/>
        <v>0</v>
      </c>
      <c r="DK195" s="68">
        <f t="shared" si="513"/>
        <v>0</v>
      </c>
      <c r="DL195" s="68">
        <f t="shared" si="513"/>
        <v>0</v>
      </c>
      <c r="DM195" s="181">
        <f t="shared" si="513"/>
        <v>0</v>
      </c>
      <c r="DN195" s="68">
        <f t="shared" si="513"/>
        <v>0</v>
      </c>
      <c r="DO195" s="68">
        <f t="shared" si="513"/>
        <v>0</v>
      </c>
      <c r="DP195" s="68">
        <f t="shared" si="513"/>
        <v>0</v>
      </c>
      <c r="DQ195" s="68">
        <f t="shared" si="513"/>
        <v>0</v>
      </c>
      <c r="DR195" s="68">
        <f t="shared" si="513"/>
        <v>0</v>
      </c>
      <c r="DS195" s="68">
        <f t="shared" si="513"/>
        <v>0</v>
      </c>
      <c r="DT195" s="68">
        <f t="shared" si="513"/>
        <v>0</v>
      </c>
      <c r="DU195" s="68">
        <f t="shared" si="513"/>
        <v>0</v>
      </c>
      <c r="DV195" s="68">
        <f t="shared" si="513"/>
        <v>0</v>
      </c>
      <c r="DW195" s="181">
        <f t="shared" si="513"/>
        <v>0</v>
      </c>
      <c r="DY195" s="181"/>
      <c r="DZ195" s="203">
        <f>SUM(DZ23:DZ194)</f>
        <v>0</v>
      </c>
      <c r="EA195" s="203">
        <f>SUM(EA23:EA194)</f>
        <v>0</v>
      </c>
      <c r="EB195" s="203">
        <f>SUM(EB23:EB194)</f>
        <v>0</v>
      </c>
      <c r="EC195" s="283">
        <f>SUM(EC23:EC167)</f>
        <v>33</v>
      </c>
      <c r="ED195" s="283">
        <f>SUM(ED23:ED167)</f>
        <v>0</v>
      </c>
    </row>
    <row r="196" spans="1:328" hidden="1" x14ac:dyDescent="0.2">
      <c r="A196" s="797"/>
      <c r="B196" s="246" t="s">
        <v>2505</v>
      </c>
      <c r="C196" s="796" t="s">
        <v>874</v>
      </c>
      <c r="N196" s="509">
        <f t="shared" ref="N196:W200" si="514">SUMIF($C$23:$C$193,$C196,N$23:N$194)</f>
        <v>0</v>
      </c>
      <c r="O196" s="509">
        <f t="shared" si="514"/>
        <v>0</v>
      </c>
      <c r="P196" s="509">
        <f t="shared" si="514"/>
        <v>0</v>
      </c>
      <c r="Q196" s="509">
        <f t="shared" si="514"/>
        <v>0</v>
      </c>
      <c r="R196" s="509">
        <f t="shared" si="514"/>
        <v>0</v>
      </c>
      <c r="S196" s="509">
        <f t="shared" si="514"/>
        <v>0</v>
      </c>
      <c r="T196" s="509">
        <f t="shared" si="514"/>
        <v>0</v>
      </c>
      <c r="U196" s="509">
        <f t="shared" si="514"/>
        <v>0</v>
      </c>
      <c r="V196" s="509">
        <f t="shared" si="514"/>
        <v>0</v>
      </c>
      <c r="W196" s="509">
        <f t="shared" si="514"/>
        <v>0</v>
      </c>
      <c r="X196" s="509">
        <f t="shared" ref="X196:AD200" si="515">SUMIF($C$23:$C$193,$C196,X$23:X$194)</f>
        <v>0</v>
      </c>
      <c r="Y196" s="509">
        <f t="shared" si="515"/>
        <v>0</v>
      </c>
      <c r="Z196" s="509">
        <f t="shared" si="515"/>
        <v>0</v>
      </c>
      <c r="AA196" s="509">
        <f t="shared" si="515"/>
        <v>0</v>
      </c>
      <c r="AB196" s="509">
        <f t="shared" si="515"/>
        <v>0</v>
      </c>
      <c r="AC196" s="509">
        <f t="shared" si="515"/>
        <v>0</v>
      </c>
      <c r="AD196" s="509">
        <f t="shared" si="515"/>
        <v>0</v>
      </c>
      <c r="AE196" s="508"/>
      <c r="AF196" s="509">
        <f>SUMIF($C$23:$C$193,$C196,AF$23:AF$194)</f>
        <v>0</v>
      </c>
    </row>
    <row r="197" spans="1:328" hidden="1" x14ac:dyDescent="0.2">
      <c r="A197" s="797">
        <f>SUM(N197:AF197)</f>
        <v>0</v>
      </c>
      <c r="B197" s="246" t="s">
        <v>2484</v>
      </c>
      <c r="C197" s="796" t="s">
        <v>2490</v>
      </c>
      <c r="N197" s="509">
        <f t="shared" si="514"/>
        <v>0</v>
      </c>
      <c r="O197" s="509">
        <f t="shared" si="514"/>
        <v>0</v>
      </c>
      <c r="P197" s="509">
        <f t="shared" si="514"/>
        <v>0</v>
      </c>
      <c r="Q197" s="509">
        <f t="shared" si="514"/>
        <v>0</v>
      </c>
      <c r="R197" s="509">
        <f t="shared" si="514"/>
        <v>0</v>
      </c>
      <c r="S197" s="509">
        <f t="shared" si="514"/>
        <v>0</v>
      </c>
      <c r="T197" s="509">
        <f t="shared" si="514"/>
        <v>0</v>
      </c>
      <c r="U197" s="509">
        <f t="shared" si="514"/>
        <v>0</v>
      </c>
      <c r="V197" s="509">
        <f t="shared" si="514"/>
        <v>0</v>
      </c>
      <c r="W197" s="509">
        <f t="shared" si="514"/>
        <v>0</v>
      </c>
      <c r="X197" s="509">
        <f t="shared" si="515"/>
        <v>0</v>
      </c>
      <c r="Y197" s="509">
        <f t="shared" si="515"/>
        <v>0</v>
      </c>
      <c r="Z197" s="509">
        <f t="shared" si="515"/>
        <v>0</v>
      </c>
      <c r="AA197" s="509">
        <f t="shared" si="515"/>
        <v>0</v>
      </c>
      <c r="AB197" s="509">
        <f t="shared" si="515"/>
        <v>0</v>
      </c>
      <c r="AC197" s="509">
        <f t="shared" si="515"/>
        <v>0</v>
      </c>
      <c r="AD197" s="509">
        <f t="shared" si="515"/>
        <v>0</v>
      </c>
      <c r="AE197" s="508"/>
      <c r="AF197" s="509">
        <f>SUMIF($C$23:$C$193,$C197,AF$23:AF$194)</f>
        <v>0</v>
      </c>
    </row>
    <row r="198" spans="1:328" hidden="1" x14ac:dyDescent="0.2">
      <c r="A198" s="797">
        <f t="shared" ref="A198:A200" si="516">SUM(N198:AF198)</f>
        <v>0</v>
      </c>
      <c r="B198" s="246" t="s">
        <v>2484</v>
      </c>
      <c r="C198" s="796" t="s">
        <v>2491</v>
      </c>
      <c r="N198" s="509">
        <f t="shared" si="514"/>
        <v>0</v>
      </c>
      <c r="O198" s="509">
        <f t="shared" si="514"/>
        <v>0</v>
      </c>
      <c r="P198" s="509">
        <f t="shared" si="514"/>
        <v>0</v>
      </c>
      <c r="Q198" s="509">
        <f t="shared" si="514"/>
        <v>0</v>
      </c>
      <c r="R198" s="509">
        <f t="shared" si="514"/>
        <v>0</v>
      </c>
      <c r="S198" s="509">
        <f t="shared" si="514"/>
        <v>0</v>
      </c>
      <c r="T198" s="509">
        <f t="shared" si="514"/>
        <v>0</v>
      </c>
      <c r="U198" s="509">
        <f t="shared" si="514"/>
        <v>0</v>
      </c>
      <c r="V198" s="509">
        <f t="shared" si="514"/>
        <v>0</v>
      </c>
      <c r="W198" s="509">
        <f t="shared" si="514"/>
        <v>0</v>
      </c>
      <c r="X198" s="509">
        <f t="shared" si="515"/>
        <v>0</v>
      </c>
      <c r="Y198" s="509">
        <f t="shared" si="515"/>
        <v>0</v>
      </c>
      <c r="Z198" s="509">
        <f t="shared" si="515"/>
        <v>0</v>
      </c>
      <c r="AA198" s="509">
        <f t="shared" si="515"/>
        <v>0</v>
      </c>
      <c r="AB198" s="509">
        <f t="shared" si="515"/>
        <v>0</v>
      </c>
      <c r="AC198" s="509">
        <f t="shared" si="515"/>
        <v>0</v>
      </c>
      <c r="AD198" s="509">
        <f t="shared" si="515"/>
        <v>0</v>
      </c>
      <c r="AE198" s="508"/>
      <c r="AF198" s="509">
        <f t="shared" ref="AF198:AF200" si="517">SUMIF($C$23:$C$193,$C198,AF$23:AF$194)</f>
        <v>0</v>
      </c>
    </row>
    <row r="199" spans="1:328" hidden="1" x14ac:dyDescent="0.2">
      <c r="A199" s="797">
        <f t="shared" si="516"/>
        <v>0</v>
      </c>
      <c r="B199" s="246" t="s">
        <v>2485</v>
      </c>
      <c r="C199" s="796" t="s">
        <v>2492</v>
      </c>
      <c r="N199" s="509">
        <f t="shared" si="514"/>
        <v>0</v>
      </c>
      <c r="O199" s="509">
        <f t="shared" si="514"/>
        <v>0</v>
      </c>
      <c r="P199" s="509">
        <f t="shared" si="514"/>
        <v>0</v>
      </c>
      <c r="Q199" s="509">
        <f t="shared" si="514"/>
        <v>0</v>
      </c>
      <c r="R199" s="509">
        <f t="shared" si="514"/>
        <v>0</v>
      </c>
      <c r="S199" s="509">
        <f t="shared" si="514"/>
        <v>0</v>
      </c>
      <c r="T199" s="509">
        <f t="shared" si="514"/>
        <v>0</v>
      </c>
      <c r="U199" s="509">
        <f t="shared" si="514"/>
        <v>0</v>
      </c>
      <c r="V199" s="509">
        <f t="shared" si="514"/>
        <v>0</v>
      </c>
      <c r="W199" s="509">
        <f t="shared" si="514"/>
        <v>0</v>
      </c>
      <c r="X199" s="509">
        <f t="shared" si="515"/>
        <v>0</v>
      </c>
      <c r="Y199" s="509">
        <f t="shared" si="515"/>
        <v>0</v>
      </c>
      <c r="Z199" s="509">
        <f t="shared" si="515"/>
        <v>0</v>
      </c>
      <c r="AA199" s="509">
        <f t="shared" si="515"/>
        <v>0</v>
      </c>
      <c r="AB199" s="509">
        <f t="shared" si="515"/>
        <v>0</v>
      </c>
      <c r="AC199" s="509">
        <f t="shared" si="515"/>
        <v>0</v>
      </c>
      <c r="AD199" s="509">
        <f t="shared" si="515"/>
        <v>0</v>
      </c>
      <c r="AE199" s="508"/>
      <c r="AF199" s="509">
        <f t="shared" si="517"/>
        <v>0</v>
      </c>
    </row>
    <row r="200" spans="1:328" hidden="1" x14ac:dyDescent="0.2">
      <c r="A200" s="797">
        <f t="shared" si="516"/>
        <v>0</v>
      </c>
      <c r="B200" s="246" t="s">
        <v>2485</v>
      </c>
      <c r="C200" s="796" t="s">
        <v>2493</v>
      </c>
      <c r="N200" s="509">
        <f t="shared" si="514"/>
        <v>0</v>
      </c>
      <c r="O200" s="509">
        <f t="shared" si="514"/>
        <v>0</v>
      </c>
      <c r="P200" s="509">
        <f t="shared" si="514"/>
        <v>0</v>
      </c>
      <c r="Q200" s="509">
        <f t="shared" si="514"/>
        <v>0</v>
      </c>
      <c r="R200" s="509">
        <f t="shared" si="514"/>
        <v>0</v>
      </c>
      <c r="S200" s="509">
        <f t="shared" si="514"/>
        <v>0</v>
      </c>
      <c r="T200" s="509">
        <f t="shared" si="514"/>
        <v>0</v>
      </c>
      <c r="U200" s="509">
        <f t="shared" si="514"/>
        <v>0</v>
      </c>
      <c r="V200" s="509">
        <f t="shared" si="514"/>
        <v>0</v>
      </c>
      <c r="W200" s="509">
        <f t="shared" si="514"/>
        <v>0</v>
      </c>
      <c r="X200" s="509">
        <f t="shared" si="515"/>
        <v>0</v>
      </c>
      <c r="Y200" s="509">
        <f t="shared" si="515"/>
        <v>0</v>
      </c>
      <c r="Z200" s="509">
        <f t="shared" si="515"/>
        <v>0</v>
      </c>
      <c r="AA200" s="509">
        <f t="shared" si="515"/>
        <v>0</v>
      </c>
      <c r="AB200" s="509">
        <f t="shared" si="515"/>
        <v>0</v>
      </c>
      <c r="AC200" s="509">
        <f t="shared" si="515"/>
        <v>0</v>
      </c>
      <c r="AD200" s="509">
        <f t="shared" si="515"/>
        <v>0</v>
      </c>
      <c r="AE200" s="508"/>
      <c r="AF200" s="509">
        <f t="shared" si="517"/>
        <v>0</v>
      </c>
    </row>
    <row r="201" spans="1:328" hidden="1" x14ac:dyDescent="0.2">
      <c r="A201" s="213">
        <f>SUM(A196:A200)</f>
        <v>0</v>
      </c>
      <c r="B201" s="206" t="s">
        <v>2506</v>
      </c>
    </row>
    <row r="202" spans="1:328" hidden="1" x14ac:dyDescent="0.2">
      <c r="A202" s="797">
        <f>SUM(N168:AF168)</f>
        <v>0</v>
      </c>
      <c r="B202" s="246" t="str">
        <f t="shared" ref="B202:B213" si="518">B168</f>
        <v>Siemens-Pannello KTP400 4" touch colore</v>
      </c>
    </row>
    <row r="203" spans="1:328" hidden="1" x14ac:dyDescent="0.2">
      <c r="A203" s="797">
        <f t="shared" ref="A203:A226" si="519">SUM(N169:AF169)</f>
        <v>0</v>
      </c>
      <c r="B203" s="246" t="str">
        <f t="shared" si="518"/>
        <v>Siemens-Pannello TP700 7" touch colore</v>
      </c>
    </row>
    <row r="204" spans="1:328" hidden="1" x14ac:dyDescent="0.2">
      <c r="A204" s="797">
        <f t="shared" si="519"/>
        <v>0</v>
      </c>
      <c r="B204" s="246" t="str">
        <f t="shared" si="518"/>
        <v>Siemens-Pannello TP900 9" touch colore</v>
      </c>
    </row>
    <row r="205" spans="1:328" hidden="1" x14ac:dyDescent="0.2">
      <c r="A205" s="797">
        <f t="shared" si="519"/>
        <v>0</v>
      </c>
      <c r="B205" s="246" t="str">
        <f t="shared" si="518"/>
        <v>Siemens-Pannello TP1200 12" touch colore</v>
      </c>
    </row>
    <row r="206" spans="1:328" hidden="1" x14ac:dyDescent="0.2">
      <c r="A206" s="797">
        <f t="shared" si="519"/>
        <v>0</v>
      </c>
      <c r="B206" s="246" t="str">
        <f t="shared" si="518"/>
        <v>Siemens-Pannello TP1500 15" touch colore</v>
      </c>
    </row>
    <row r="207" spans="1:328" hidden="1" x14ac:dyDescent="0.2">
      <c r="A207" s="797">
        <f t="shared" si="519"/>
        <v>0</v>
      </c>
      <c r="B207" s="246" t="str">
        <f t="shared" si="518"/>
        <v>AllenBradley-Pannello PanelView 7" touch colore</v>
      </c>
    </row>
    <row r="208" spans="1:328" hidden="1" x14ac:dyDescent="0.2">
      <c r="A208" s="797">
        <f t="shared" si="519"/>
        <v>0</v>
      </c>
      <c r="B208" s="246" t="str">
        <f t="shared" si="518"/>
        <v>AllenBradley-Pannello PanelView 9" touch colore</v>
      </c>
    </row>
    <row r="209" spans="1:5" hidden="1" x14ac:dyDescent="0.2">
      <c r="A209" s="797">
        <f t="shared" si="519"/>
        <v>0</v>
      </c>
      <c r="B209" s="246" t="str">
        <f t="shared" si="518"/>
        <v>AllenBradley-Pannello PanelView 12" touch colore</v>
      </c>
    </row>
    <row r="210" spans="1:5" hidden="1" x14ac:dyDescent="0.2">
      <c r="A210" s="797">
        <f t="shared" si="519"/>
        <v>0</v>
      </c>
      <c r="B210" s="246" t="str">
        <f t="shared" si="518"/>
        <v>AllenBradley-Pannello PanelView 15" touch colore</v>
      </c>
    </row>
    <row r="211" spans="1:5" hidden="1" x14ac:dyDescent="0.2">
      <c r="A211" s="797">
        <f t="shared" si="519"/>
        <v>0</v>
      </c>
      <c r="B211" s="246" t="str">
        <f t="shared" si="518"/>
        <v>pc con sinottico (escluso hardware)</v>
      </c>
    </row>
    <row r="212" spans="1:5" hidden="1" x14ac:dyDescent="0.2">
      <c r="A212" s="797">
        <f t="shared" si="519"/>
        <v>0</v>
      </c>
      <c r="B212" s="246" t="str">
        <f t="shared" si="518"/>
        <v>Pannello WP500</v>
      </c>
    </row>
    <row r="213" spans="1:5" ht="15" hidden="1" thickBot="1" x14ac:dyDescent="0.25">
      <c r="A213" s="868">
        <f t="shared" si="519"/>
        <v>0</v>
      </c>
      <c r="B213" s="246" t="str">
        <f t="shared" si="518"/>
        <v>Pannello WP140</v>
      </c>
    </row>
    <row r="214" spans="1:5" ht="15" hidden="1" thickBot="1" x14ac:dyDescent="0.25">
      <c r="A214" s="869">
        <f>SUM(A202:A213)</f>
        <v>0</v>
      </c>
      <c r="B214" s="250" t="s">
        <v>2534</v>
      </c>
    </row>
    <row r="215" spans="1:5" hidden="1" x14ac:dyDescent="0.2">
      <c r="A215" s="870">
        <f t="shared" si="519"/>
        <v>0</v>
      </c>
      <c r="B215" s="246" t="str">
        <f t="shared" ref="B215:B226" si="520">B181</f>
        <v>Siemens-Pannello KTP400 4" touch colore</v>
      </c>
    </row>
    <row r="216" spans="1:5" hidden="1" x14ac:dyDescent="0.2">
      <c r="A216" s="797">
        <f t="shared" si="519"/>
        <v>0</v>
      </c>
      <c r="B216" s="246" t="str">
        <f t="shared" si="520"/>
        <v>Siemens-Pannello TP700 7" touch colore</v>
      </c>
    </row>
    <row r="217" spans="1:5" hidden="1" x14ac:dyDescent="0.2">
      <c r="A217" s="797">
        <f t="shared" si="519"/>
        <v>0</v>
      </c>
      <c r="B217" s="246" t="str">
        <f t="shared" si="520"/>
        <v>Siemens-Pannello TP900 9" touch colore</v>
      </c>
    </row>
    <row r="218" spans="1:5" hidden="1" x14ac:dyDescent="0.2">
      <c r="A218" s="797">
        <f t="shared" si="519"/>
        <v>0</v>
      </c>
      <c r="B218" s="246" t="str">
        <f t="shared" si="520"/>
        <v>Siemens-Pannello TP1200 12" touch colore</v>
      </c>
    </row>
    <row r="219" spans="1:5" hidden="1" x14ac:dyDescent="0.2">
      <c r="A219" s="797">
        <f t="shared" si="519"/>
        <v>0</v>
      </c>
      <c r="B219" s="246" t="str">
        <f t="shared" si="520"/>
        <v>Siemens-Pannello TP1500 15" touch colore</v>
      </c>
    </row>
    <row r="220" spans="1:5" hidden="1" x14ac:dyDescent="0.2">
      <c r="A220" s="797">
        <f t="shared" si="519"/>
        <v>0</v>
      </c>
      <c r="B220" s="246" t="str">
        <f t="shared" si="520"/>
        <v>AllenBradley-Pannello PanelView 7" touch colore</v>
      </c>
    </row>
    <row r="221" spans="1:5" hidden="1" x14ac:dyDescent="0.2">
      <c r="A221" s="797">
        <f t="shared" si="519"/>
        <v>0</v>
      </c>
      <c r="B221" s="246" t="str">
        <f t="shared" si="520"/>
        <v>AllenBradley-Pannello PanelView 9" touch colore</v>
      </c>
    </row>
    <row r="222" spans="1:5" ht="15" hidden="1" x14ac:dyDescent="0.25">
      <c r="A222" s="797">
        <f t="shared" si="519"/>
        <v>0</v>
      </c>
      <c r="B222" s="246" t="str">
        <f t="shared" si="520"/>
        <v>AllenBradley-Pannello PanelView 12" touch colore</v>
      </c>
      <c r="D222" s="790"/>
      <c r="E222" s="791"/>
    </row>
    <row r="223" spans="1:5" ht="15" hidden="1" x14ac:dyDescent="0.25">
      <c r="A223" s="797">
        <f t="shared" si="519"/>
        <v>0</v>
      </c>
      <c r="B223" s="246" t="str">
        <f t="shared" si="520"/>
        <v>AllenBradley-Pannello PanelView 15" touch colore</v>
      </c>
      <c r="D223" s="790"/>
      <c r="E223" s="791"/>
    </row>
    <row r="224" spans="1:5" ht="15" hidden="1" x14ac:dyDescent="0.25">
      <c r="A224" s="797">
        <f t="shared" si="519"/>
        <v>0</v>
      </c>
      <c r="B224" s="246" t="str">
        <f t="shared" si="520"/>
        <v>pc con sinottico (escluso hardware)</v>
      </c>
      <c r="D224" s="790"/>
      <c r="E224" s="791"/>
    </row>
    <row r="225" spans="1:16" ht="15" hidden="1" x14ac:dyDescent="0.25">
      <c r="A225" s="797">
        <f t="shared" si="519"/>
        <v>0</v>
      </c>
      <c r="B225" s="246" t="str">
        <f t="shared" si="520"/>
        <v>Pannello WP500</v>
      </c>
      <c r="D225" s="790"/>
      <c r="E225" s="792"/>
    </row>
    <row r="226" spans="1:16" ht="15.75" hidden="1" thickBot="1" x14ac:dyDescent="0.3">
      <c r="A226" s="868">
        <f t="shared" si="519"/>
        <v>0</v>
      </c>
      <c r="B226" s="246" t="str">
        <f t="shared" si="520"/>
        <v>Pannello WP140</v>
      </c>
      <c r="D226" s="790"/>
      <c r="E226" s="792"/>
    </row>
    <row r="227" spans="1:16" ht="15" hidden="1" thickBot="1" x14ac:dyDescent="0.25">
      <c r="A227" s="869">
        <f>SUM(A215:A226)</f>
        <v>0</v>
      </c>
      <c r="B227" s="250" t="s">
        <v>2534</v>
      </c>
    </row>
    <row r="228" spans="1:16" hidden="1" x14ac:dyDescent="0.2">
      <c r="P228" s="504" t="s">
        <v>2521</v>
      </c>
    </row>
    <row r="229" spans="1:16" hidden="1" x14ac:dyDescent="0.2">
      <c r="B229" s="793" t="s">
        <v>558</v>
      </c>
      <c r="C229" s="509">
        <f t="shared" ref="C229:C237" ca="1" si="521">SUMIF(descrizione2,B229,N$23:AF$153)</f>
        <v>0</v>
      </c>
      <c r="D229" s="794">
        <v>195</v>
      </c>
      <c r="E229" s="861">
        <f t="shared" ref="E229:E237" ca="1" si="522">C229*D229</f>
        <v>0</v>
      </c>
      <c r="P229" s="72">
        <v>74.099999999999994</v>
      </c>
    </row>
    <row r="230" spans="1:16" hidden="1" x14ac:dyDescent="0.2">
      <c r="B230" s="793" t="s">
        <v>563</v>
      </c>
      <c r="C230" s="509">
        <f t="shared" ca="1" si="521"/>
        <v>0</v>
      </c>
      <c r="D230" s="794">
        <v>195</v>
      </c>
      <c r="E230" s="861">
        <f t="shared" ca="1" si="522"/>
        <v>0</v>
      </c>
      <c r="P230" s="72">
        <v>74.099999999999994</v>
      </c>
    </row>
    <row r="231" spans="1:16" hidden="1" x14ac:dyDescent="0.2">
      <c r="B231" s="793" t="s">
        <v>564</v>
      </c>
      <c r="C231" s="509">
        <f t="shared" ca="1" si="521"/>
        <v>0</v>
      </c>
      <c r="D231" s="794">
        <v>195</v>
      </c>
      <c r="E231" s="861">
        <f t="shared" ca="1" si="522"/>
        <v>0</v>
      </c>
      <c r="P231" s="72">
        <v>99.3</v>
      </c>
    </row>
    <row r="232" spans="1:16" hidden="1" x14ac:dyDescent="0.2">
      <c r="B232" s="793" t="s">
        <v>549</v>
      </c>
      <c r="C232" s="509">
        <f t="shared" ca="1" si="521"/>
        <v>0</v>
      </c>
      <c r="D232" s="588">
        <v>195</v>
      </c>
      <c r="E232" s="861">
        <f t="shared" ca="1" si="522"/>
        <v>0</v>
      </c>
      <c r="P232" s="72">
        <v>99.3</v>
      </c>
    </row>
    <row r="233" spans="1:16" hidden="1" x14ac:dyDescent="0.2">
      <c r="B233" s="793" t="s">
        <v>550</v>
      </c>
      <c r="C233" s="509">
        <f t="shared" ca="1" si="521"/>
        <v>0</v>
      </c>
      <c r="D233" s="588">
        <v>265</v>
      </c>
      <c r="E233" s="861">
        <f t="shared" ca="1" si="522"/>
        <v>0</v>
      </c>
      <c r="P233" s="72">
        <v>215</v>
      </c>
    </row>
    <row r="234" spans="1:16" hidden="1" x14ac:dyDescent="0.2">
      <c r="B234" s="793" t="s">
        <v>554</v>
      </c>
      <c r="C234" s="509">
        <f t="shared" ca="1" si="521"/>
        <v>0</v>
      </c>
      <c r="D234" s="588">
        <v>265</v>
      </c>
      <c r="E234" s="861">
        <f t="shared" ca="1" si="522"/>
        <v>0</v>
      </c>
      <c r="P234" s="72">
        <v>215</v>
      </c>
    </row>
    <row r="235" spans="1:16" hidden="1" x14ac:dyDescent="0.2">
      <c r="B235" s="793" t="s">
        <v>555</v>
      </c>
      <c r="C235" s="509">
        <f t="shared" ca="1" si="521"/>
        <v>0</v>
      </c>
      <c r="D235" s="588">
        <v>265</v>
      </c>
      <c r="E235" s="861">
        <f t="shared" ca="1" si="522"/>
        <v>0</v>
      </c>
      <c r="P235" s="72">
        <v>215</v>
      </c>
    </row>
    <row r="236" spans="1:16" hidden="1" x14ac:dyDescent="0.2">
      <c r="B236" s="793" t="s">
        <v>556</v>
      </c>
      <c r="C236" s="509">
        <f t="shared" ca="1" si="521"/>
        <v>0</v>
      </c>
      <c r="D236" s="588">
        <v>460</v>
      </c>
      <c r="E236" s="861">
        <f t="shared" ca="1" si="522"/>
        <v>0</v>
      </c>
      <c r="P236" s="72">
        <v>460</v>
      </c>
    </row>
    <row r="237" spans="1:16" hidden="1" x14ac:dyDescent="0.2">
      <c r="B237" s="793" t="s">
        <v>557</v>
      </c>
      <c r="C237" s="509">
        <f t="shared" ca="1" si="521"/>
        <v>0</v>
      </c>
      <c r="D237" s="588">
        <v>460</v>
      </c>
      <c r="E237" s="861">
        <f t="shared" ca="1" si="522"/>
        <v>0</v>
      </c>
      <c r="P237" s="72">
        <v>460</v>
      </c>
    </row>
    <row r="238" spans="1:16" hidden="1" x14ac:dyDescent="0.2">
      <c r="B238" s="795" t="s">
        <v>868</v>
      </c>
      <c r="C238" s="796"/>
      <c r="D238" s="794"/>
      <c r="E238" s="861">
        <f ca="1">SUM(E229:E237)</f>
        <v>0</v>
      </c>
    </row>
    <row r="239" spans="1:16" hidden="1" x14ac:dyDescent="0.2"/>
    <row r="240" spans="1:16" hidden="1" x14ac:dyDescent="0.2">
      <c r="B240" s="206" t="s">
        <v>2522</v>
      </c>
      <c r="E240" s="880">
        <v>3300</v>
      </c>
    </row>
    <row r="241" spans="2:16" hidden="1" x14ac:dyDescent="0.2">
      <c r="B241" s="206" t="s">
        <v>2523</v>
      </c>
      <c r="C241" s="864">
        <f>A5</f>
        <v>0</v>
      </c>
      <c r="D241" s="1">
        <v>18</v>
      </c>
      <c r="E241" s="881">
        <f>D241*C241</f>
        <v>0</v>
      </c>
    </row>
    <row r="242" spans="2:16" hidden="1" x14ac:dyDescent="0.2">
      <c r="B242" s="206" t="s">
        <v>868</v>
      </c>
      <c r="E242" s="880">
        <f>(E240+E241)*1.05</f>
        <v>3465</v>
      </c>
    </row>
    <row r="243" spans="2:16" hidden="1" x14ac:dyDescent="0.2">
      <c r="E243" s="865"/>
    </row>
    <row r="244" spans="2:16" hidden="1" x14ac:dyDescent="0.2">
      <c r="B244" s="206" t="s">
        <v>2526</v>
      </c>
      <c r="E244" s="880">
        <v>1950</v>
      </c>
    </row>
    <row r="245" spans="2:16" hidden="1" x14ac:dyDescent="0.2">
      <c r="B245" s="206" t="s">
        <v>2527</v>
      </c>
      <c r="C245" s="871">
        <f>SUM(N49:AF49)+SUM(N145:AF145)</f>
        <v>0</v>
      </c>
      <c r="E245" s="882">
        <f>C245*P245</f>
        <v>0</v>
      </c>
      <c r="P245" s="504">
        <v>150</v>
      </c>
    </row>
    <row r="246" spans="2:16" hidden="1" x14ac:dyDescent="0.2">
      <c r="B246" s="206" t="s">
        <v>2528</v>
      </c>
      <c r="C246" s="862">
        <f>MAX(A214,A227)+R6</f>
        <v>0</v>
      </c>
      <c r="E246" s="882">
        <f>IF(C246=0,0,(C246-1)*P246)</f>
        <v>0</v>
      </c>
      <c r="P246" s="504">
        <v>285</v>
      </c>
    </row>
    <row r="247" spans="2:16" hidden="1" x14ac:dyDescent="0.2">
      <c r="B247" s="206" t="s">
        <v>2529</v>
      </c>
      <c r="C247" s="182">
        <v>40</v>
      </c>
      <c r="E247" s="865"/>
    </row>
    <row r="248" spans="2:16" hidden="1" x14ac:dyDescent="0.2">
      <c r="B248" s="206" t="s">
        <v>2530</v>
      </c>
      <c r="C248" s="182">
        <v>3.8</v>
      </c>
      <c r="E248" s="865"/>
    </row>
    <row r="249" spans="2:16" hidden="1" x14ac:dyDescent="0.2">
      <c r="B249" s="206" t="s">
        <v>2531</v>
      </c>
      <c r="C249" s="862">
        <f>C247*C248</f>
        <v>152</v>
      </c>
      <c r="E249" s="882">
        <f>C246*C249</f>
        <v>0</v>
      </c>
    </row>
    <row r="250" spans="2:16" hidden="1" x14ac:dyDescent="0.2">
      <c r="B250" s="206" t="s">
        <v>2532</v>
      </c>
      <c r="E250" s="883">
        <f>(E244+E245+E246+E249)*1.05</f>
        <v>2047.5</v>
      </c>
    </row>
  </sheetData>
  <sheetProtection algorithmName="SHA-512" hashValue="biF2rR3PrxP++riFc4h95PIwCRzeW1Uk7cH3FlBjvOzBRWUNeLbm2KYq5ZXZXlLHHJK6BF4uSBmvpx1c0sftmw==" saltValue="IAgmSJ5pNIxHOJQr70QfNw==" spinCount="100000" sheet="1" objects="1" scenarios="1"/>
  <dataConsolidate/>
  <customSheetViews>
    <customSheetView guid="{FFF8F457-6B9E-424E-8E8A-94E56AA6D66B}" fitToPage="1" hiddenRows="1" hiddenColumns="1" showRuler="0">
      <pane xSplit="13" ySplit="1" topLeftCell="N122" activePane="bottomRight" state="frozen"/>
      <selection pane="bottomRight" activeCell="C33" sqref="C33:C37"/>
      <pageMargins left="0.51181102362204722" right="0.35433070866141736" top="0.55118110236220474" bottom="0.62992125984251968" header="0.27559055118110237" footer="0.35433070866141736"/>
      <printOptions horizontalCentered="1"/>
      <pageSetup paperSize="9" scale="28" fitToHeight="2" orientation="portrait" horizontalDpi="300" r:id="rId1"/>
      <headerFooter alignWithMargins="0"/>
    </customSheetView>
  </customSheetViews>
  <mergeCells count="7">
    <mergeCell ref="D12:E12"/>
    <mergeCell ref="V10:X10"/>
    <mergeCell ref="N9:P9"/>
    <mergeCell ref="N10:P10"/>
    <mergeCell ref="R9:T9"/>
    <mergeCell ref="R10:T10"/>
    <mergeCell ref="V9:X9"/>
  </mergeCells>
  <phoneticPr fontId="0" type="noConversion"/>
  <conditionalFormatting sqref="AD190 Z190 V190 R190 B190 N190">
    <cfRule type="expression" dxfId="65" priority="233">
      <formula>tipo_controllore2&gt;2</formula>
    </cfRule>
    <cfRule type="expression" dxfId="64" priority="234">
      <formula>tipo_controllore2&lt;=2</formula>
    </cfRule>
  </conditionalFormatting>
  <conditionalFormatting sqref="AD181:AD185 Z181:Z185 V181:V185 R181:R185 B181:B185 N181:N185">
    <cfRule type="expression" dxfId="63" priority="231">
      <formula>tipo_controllore2&lt;&gt;1</formula>
    </cfRule>
    <cfRule type="expression" dxfId="62" priority="232">
      <formula>tipo_controllore2=1</formula>
    </cfRule>
  </conditionalFormatting>
  <conditionalFormatting sqref="AD186:AD189 Z186:Z189 V186:V189 R186:R189 B186:B189 N186:N189">
    <cfRule type="expression" dxfId="61" priority="229">
      <formula>tipo_controllore2&lt;&gt;2</formula>
    </cfRule>
    <cfRule type="expression" dxfId="60" priority="230">
      <formula>tipo_controllore2=2</formula>
    </cfRule>
  </conditionalFormatting>
  <conditionalFormatting sqref="AD180 Z180 V180 R180 B180 N180">
    <cfRule type="expression" dxfId="59" priority="227">
      <formula>tipo_controllore1&lt;&gt;5</formula>
    </cfRule>
    <cfRule type="expression" dxfId="58" priority="228">
      <formula>tipo_controllore1=5</formula>
    </cfRule>
  </conditionalFormatting>
  <conditionalFormatting sqref="AD193 Z193 V193 R193 B193 N193">
    <cfRule type="expression" dxfId="57" priority="225">
      <formula>tipo_controllore2&lt;&gt;5</formula>
    </cfRule>
    <cfRule type="expression" dxfId="56" priority="226">
      <formula>tipo_controllore2=5</formula>
    </cfRule>
  </conditionalFormatting>
  <conditionalFormatting sqref="AD191 Z191 V191 R191 B191 N191">
    <cfRule type="expression" dxfId="55" priority="235">
      <formula>tipo_controllore2&lt;&gt;3</formula>
    </cfRule>
    <cfRule type="expression" dxfId="54" priority="236">
      <formula>tipo_controllore2=3</formula>
    </cfRule>
  </conditionalFormatting>
  <conditionalFormatting sqref="AD192 Z192 V192 R192 B192 N192">
    <cfRule type="expression" dxfId="53" priority="223">
      <formula>tipo_controllore2&lt;&gt;4</formula>
    </cfRule>
    <cfRule type="expression" dxfId="52" priority="224">
      <formula>tipo_controllore2=4</formula>
    </cfRule>
  </conditionalFormatting>
  <conditionalFormatting sqref="AD168:AD172 Z168:Z172 V168:V172 R168:R172 B168:B172 N168:N172 D78 D108 D146 D155">
    <cfRule type="expression" dxfId="51" priority="982">
      <formula>$E$2&lt;&gt;1</formula>
    </cfRule>
    <cfRule type="expression" dxfId="50" priority="983">
      <formula>$E$2=1</formula>
    </cfRule>
  </conditionalFormatting>
  <conditionalFormatting sqref="AD173:AD176 Z173:Z176 V173:V176 R173:R176 B173:B176 N173:N176">
    <cfRule type="expression" dxfId="49" priority="994">
      <formula>$E$2&lt;&gt;2</formula>
    </cfRule>
    <cfRule type="expression" dxfId="48" priority="995">
      <formula>$E$2=2</formula>
    </cfRule>
  </conditionalFormatting>
  <conditionalFormatting sqref="AD179 Z179 V179 R179 B179 N179">
    <cfRule type="expression" dxfId="47" priority="1006">
      <formula>$E$2&lt;&gt;4</formula>
    </cfRule>
    <cfRule type="expression" dxfId="46" priority="1007">
      <formula>$E$2=4</formula>
    </cfRule>
  </conditionalFormatting>
  <conditionalFormatting sqref="AD178 Z178 V178 R178 B178 N178">
    <cfRule type="expression" dxfId="45" priority="1018">
      <formula>$E$2&lt;&gt;3</formula>
    </cfRule>
    <cfRule type="expression" dxfId="44" priority="1019">
      <formula>$E$2=3</formula>
    </cfRule>
  </conditionalFormatting>
  <conditionalFormatting sqref="AD177 Z177 V177 R177 B177 N177">
    <cfRule type="expression" dxfId="43" priority="1030">
      <formula>$E$2&gt;2</formula>
    </cfRule>
    <cfRule type="expression" dxfId="42" priority="1031">
      <formula>$E$2&lt;=2</formula>
    </cfRule>
  </conditionalFormatting>
  <conditionalFormatting sqref="O51 O79 F146:AH146 F155:AH155 F108:AH108 F78:AH78 B78:D78 B108:D108 B155:D155 B146:D146 B50:D50 F50:AH50">
    <cfRule type="expression" dxfId="41" priority="49">
      <formula>tipo_controllore1&lt;&gt;1</formula>
    </cfRule>
    <cfRule type="expression" dxfId="40" priority="50">
      <formula>tipo_controllore1=1</formula>
    </cfRule>
  </conditionalFormatting>
  <conditionalFormatting sqref="F148:N148 P52:AH52 P80:AH80 P110:AH110 F157:N157 P148:AH148 P157:AH157 F110:N110 F80:N80 B80:D80 B110:D110 B157:D157 B148:D148 B52:D52 F52:N52">
    <cfRule type="expression" dxfId="39" priority="47">
      <formula>tipo_controllore2&lt;&gt;1</formula>
    </cfRule>
    <cfRule type="expression" dxfId="38" priority="48">
      <formula>tipo_controllore2=1</formula>
    </cfRule>
  </conditionalFormatting>
  <conditionalFormatting sqref="B214">
    <cfRule type="expression" dxfId="37" priority="5">
      <formula>$E$2&lt;&gt;3</formula>
    </cfRule>
    <cfRule type="expression" dxfId="36" priority="6">
      <formula>$E$2=3</formula>
    </cfRule>
  </conditionalFormatting>
  <conditionalFormatting sqref="B227">
    <cfRule type="expression" dxfId="35" priority="3">
      <formula>$E$2&lt;&gt;3</formula>
    </cfRule>
    <cfRule type="expression" dxfId="34" priority="4">
      <formula>$E$2=3</formula>
    </cfRule>
  </conditionalFormatting>
  <conditionalFormatting sqref="B227">
    <cfRule type="expression" dxfId="33" priority="1">
      <formula>tipo_controllore2&lt;&gt;1</formula>
    </cfRule>
    <cfRule type="expression" dxfId="32" priority="2">
      <formula>tipo_controllore2=1</formula>
    </cfRule>
  </conditionalFormatting>
  <dataValidations disablePrompts="1" count="2">
    <dataValidation type="list" allowBlank="1" showInputMessage="1" showErrorMessage="1" sqref="AB8 X8 AF7:AF8 C12 A12" xr:uid="{00000000-0002-0000-0000-000000000000}">
      <formula1>$EF$1:$EH$1</formula1>
    </dataValidation>
    <dataValidation type="list" allowBlank="1" showInputMessage="1" showErrorMessage="1" sqref="X7 AB7" xr:uid="{00000000-0002-0000-0000-000001000000}">
      <formula1>$R$2:$R$4</formula1>
    </dataValidation>
  </dataValidations>
  <printOptions horizontalCentered="1"/>
  <pageMargins left="0.51181102362204722" right="0.35433070866141736" top="0.55118110236220474" bottom="0.62992125984251968" header="0.27559055118110237" footer="0.35433070866141736"/>
  <pageSetup paperSize="9" scale="37" fitToHeight="2" orientation="portrait" horizontalDpi="300" r:id="rId2"/>
  <headerFooter alignWithMargins="0">
    <oddHeader>&amp;C&amp;F</oddHeader>
    <oddFooter>&amp;C&amp;A&amp;R&amp;D &amp;T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5" name="Drop Down 8">
              <controlPr locked="0" defaultSize="0" autoLine="0" autoPict="0">
                <anchor moveWithCells="1">
                  <from>
                    <xdr:col>13</xdr:col>
                    <xdr:colOff>38100</xdr:colOff>
                    <xdr:row>1</xdr:row>
                    <xdr:rowOff>38100</xdr:rowOff>
                  </from>
                  <to>
                    <xdr:col>15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Drop Down 10">
              <controlPr locked="0" defaultSize="0" autoLine="0" autoPict="0">
                <anchor moveWithCells="1">
                  <from>
                    <xdr:col>13</xdr:col>
                    <xdr:colOff>28575</xdr:colOff>
                    <xdr:row>2</xdr:row>
                    <xdr:rowOff>38100</xdr:rowOff>
                  </from>
                  <to>
                    <xdr:col>15</xdr:col>
                    <xdr:colOff>676275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Drop Down 12">
              <controlPr locked="0" defaultSize="0" autoLine="0" autoPict="0">
                <anchor moveWithCells="1">
                  <from>
                    <xdr:col>13</xdr:col>
                    <xdr:colOff>0</xdr:colOff>
                    <xdr:row>21</xdr:row>
                    <xdr:rowOff>9525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Drop Down 14">
              <controlPr locked="0" defaultSize="0" autoLine="0" autoPict="0">
                <anchor moveWithCells="1">
                  <from>
                    <xdr:col>15</xdr:col>
                    <xdr:colOff>0</xdr:colOff>
                    <xdr:row>21</xdr:row>
                    <xdr:rowOff>9525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Drop Down 15">
              <controlPr locked="0" defaultSize="0" autoLine="0" autoPict="0">
                <anchor moveWithCells="1">
                  <from>
                    <xdr:col>17</xdr:col>
                    <xdr:colOff>0</xdr:colOff>
                    <xdr:row>21</xdr:row>
                    <xdr:rowOff>9525</xdr:rowOff>
                  </from>
                  <to>
                    <xdr:col>19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Drop Down 16">
              <controlPr locked="0" defaultSize="0" autoLine="0" autoPict="0">
                <anchor mov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Drop Down 17">
              <controlPr locked="0" defaultSize="0" autoLine="0" autoPict="0">
                <anchor mov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Drop Down 18">
              <controlPr locked="0" defaultSize="0" autoLine="0" autoPict="0">
                <anchor moveWithCells="1">
                  <from>
                    <xdr:col>23</xdr:col>
                    <xdr:colOff>0</xdr:colOff>
                    <xdr:row>21</xdr:row>
                    <xdr:rowOff>9525</xdr:rowOff>
                  </from>
                  <to>
                    <xdr:col>25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Drop Down 19">
              <controlPr locked="0" defaultSize="0" autoLine="0" autoPict="0">
                <anchor moveWithCells="1">
                  <from>
                    <xdr:col>25</xdr:col>
                    <xdr:colOff>0</xdr:colOff>
                    <xdr:row>21</xdr:row>
                    <xdr:rowOff>9525</xdr:rowOff>
                  </from>
                  <to>
                    <xdr:col>27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4" name="Drop Down 20">
              <controlPr locked="0" defaultSize="0" autoLine="0" autoPict="0">
                <anchor mov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5" name="Drop Down 21">
              <controlPr locked="0" defaultSize="0" autoLine="0" autoPict="0">
                <anchor moveWithCells="1">
                  <from>
                    <xdr:col>29</xdr:col>
                    <xdr:colOff>0</xdr:colOff>
                    <xdr:row>21</xdr:row>
                    <xdr:rowOff>9525</xdr:rowOff>
                  </from>
                  <to>
                    <xdr:col>31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6" name="Drop Down 22">
              <controlPr locked="0" defaultSize="0" autoLine="0" autoPict="0">
                <anchor moveWithCells="1">
                  <from>
                    <xdr:col>31</xdr:col>
                    <xdr:colOff>0</xdr:colOff>
                    <xdr:row>21</xdr:row>
                    <xdr:rowOff>9525</xdr:rowOff>
                  </from>
                  <to>
                    <xdr:col>33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7" name="Drop Down 23">
              <controlPr locked="0" defaultSize="0" autoLine="0" autoPict="0">
                <anchor moveWithCells="1">
                  <from>
                    <xdr:col>13</xdr:col>
                    <xdr:colOff>28575</xdr:colOff>
                    <xdr:row>4</xdr:row>
                    <xdr:rowOff>38100</xdr:rowOff>
                  </from>
                  <to>
                    <xdr:col>15</xdr:col>
                    <xdr:colOff>685800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8" name="Drop Down 24">
              <controlPr locked="0" defaultSize="0" autoLine="0" autoPict="0">
                <anchor moveWithCells="1">
                  <from>
                    <xdr:col>13</xdr:col>
                    <xdr:colOff>19050</xdr:colOff>
                    <xdr:row>5</xdr:row>
                    <xdr:rowOff>47625</xdr:rowOff>
                  </from>
                  <to>
                    <xdr:col>15</xdr:col>
                    <xdr:colOff>685800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9" name="Button 25">
              <controlPr locked="0" defaultSize="0" print="0" autoFill="0" autoPict="0" macro="[0]!BLOCCARIQUADRI">
                <anchor moveWithCells="1" sizeWithCells="1">
                  <from>
                    <xdr:col>21</xdr:col>
                    <xdr:colOff>38100</xdr:colOff>
                    <xdr:row>3</xdr:row>
                    <xdr:rowOff>38100</xdr:rowOff>
                  </from>
                  <to>
                    <xdr:col>23</xdr:col>
                    <xdr:colOff>495300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0" name="Button 26">
              <controlPr locked="0" defaultSize="0" print="0" autoFill="0" autoPict="0" macro="[0]!SBLOCCARIQUADRI">
                <anchor moveWithCells="1" sizeWithCells="1">
                  <from>
                    <xdr:col>23</xdr:col>
                    <xdr:colOff>552450</xdr:colOff>
                    <xdr:row>3</xdr:row>
                    <xdr:rowOff>57150</xdr:rowOff>
                  </from>
                  <to>
                    <xdr:col>27</xdr:col>
                    <xdr:colOff>276225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1"/>
  <dimension ref="A1:L145"/>
  <sheetViews>
    <sheetView zoomScale="85" zoomScaleNormal="85" workbookViewId="0"/>
  </sheetViews>
  <sheetFormatPr defaultRowHeight="12.75" outlineLevelCol="1" x14ac:dyDescent="0.2"/>
  <cols>
    <col min="1" max="1" width="63.28515625" style="62" customWidth="1"/>
    <col min="2" max="2" width="14.42578125" style="62" customWidth="1"/>
    <col min="3" max="3" width="12.28515625" style="62" bestFit="1" customWidth="1"/>
    <col min="4" max="4" width="9" style="15" customWidth="1" outlineLevel="1"/>
    <col min="5" max="5" width="9.85546875" style="15" bestFit="1" customWidth="1" outlineLevel="1"/>
    <col min="6" max="6" width="10.28515625" style="15" bestFit="1" customWidth="1" outlineLevel="1"/>
    <col min="7" max="7" width="12.85546875" style="15" bestFit="1" customWidth="1" outlineLevel="1"/>
    <col min="8" max="8" width="10.28515625" style="15" bestFit="1" customWidth="1" outlineLevel="1"/>
    <col min="9" max="9" width="12.85546875" style="15" bestFit="1" customWidth="1" outlineLevel="1"/>
    <col min="10" max="10" width="12.85546875" style="15" customWidth="1" outlineLevel="1"/>
    <col min="11" max="11" width="12" style="15" customWidth="1"/>
    <col min="12" max="12" width="54.5703125" customWidth="1"/>
  </cols>
  <sheetData>
    <row r="1" spans="1:12" ht="38.25" x14ac:dyDescent="0.2">
      <c r="A1" s="8" t="s">
        <v>802</v>
      </c>
      <c r="H1" s="224"/>
    </row>
    <row r="2" spans="1:12" ht="20.25" x14ac:dyDescent="0.3">
      <c r="A2" s="225" t="s">
        <v>803</v>
      </c>
      <c r="F2" s="226"/>
      <c r="G2" s="226"/>
      <c r="H2" s="226"/>
      <c r="I2" s="226"/>
      <c r="J2" s="226"/>
    </row>
    <row r="3" spans="1:12" ht="20.25" x14ac:dyDescent="0.3">
      <c r="A3" s="225" t="s">
        <v>804</v>
      </c>
      <c r="F3" s="226"/>
      <c r="G3" s="226"/>
      <c r="H3" s="226"/>
      <c r="I3" s="226"/>
      <c r="J3" s="226"/>
    </row>
    <row r="4" spans="1:12" ht="20.25" x14ac:dyDescent="0.3">
      <c r="A4" s="225"/>
      <c r="B4" s="225"/>
      <c r="C4" s="225"/>
    </row>
    <row r="5" spans="1:12" ht="20.25" x14ac:dyDescent="0.3">
      <c r="A5" s="225"/>
      <c r="B5" s="178" t="s">
        <v>805</v>
      </c>
      <c r="C5" s="225"/>
    </row>
    <row r="6" spans="1:12" ht="20.25" x14ac:dyDescent="0.3">
      <c r="A6" s="227" t="s">
        <v>806</v>
      </c>
      <c r="B6" s="287">
        <f>impianto!A5</f>
        <v>0</v>
      </c>
      <c r="C6" s="15"/>
      <c r="F6" s="229"/>
      <c r="G6" s="229"/>
      <c r="H6" s="229"/>
      <c r="I6" s="229"/>
      <c r="J6" s="229"/>
    </row>
    <row r="7" spans="1:12" ht="20.25" x14ac:dyDescent="0.3">
      <c r="A7" s="227" t="s">
        <v>807</v>
      </c>
      <c r="B7" s="287">
        <f>impianto!A3</f>
        <v>0</v>
      </c>
      <c r="C7" s="229"/>
      <c r="D7" s="230" t="s">
        <v>808</v>
      </c>
      <c r="E7" s="789">
        <f>CEILING(nr_wp/Nr_linee,1)</f>
        <v>0</v>
      </c>
      <c r="F7" s="229"/>
      <c r="G7" s="229"/>
      <c r="H7" s="229"/>
      <c r="I7" s="229"/>
      <c r="J7" s="229"/>
    </row>
    <row r="8" spans="1:12" ht="20.25" x14ac:dyDescent="0.3">
      <c r="A8" s="227" t="s">
        <v>809</v>
      </c>
      <c r="B8" s="287">
        <f>impianto!A4</f>
        <v>1</v>
      </c>
      <c r="D8" s="62"/>
      <c r="E8" s="62"/>
      <c r="F8" s="62"/>
      <c r="G8" s="62"/>
      <c r="H8" s="62"/>
      <c r="I8" s="62"/>
      <c r="J8" s="62"/>
      <c r="K8" s="62"/>
    </row>
    <row r="9" spans="1:12" ht="20.25" x14ac:dyDescent="0.3">
      <c r="A9" s="227" t="s">
        <v>1179</v>
      </c>
      <c r="B9" s="286">
        <f>impianto!ED195</f>
        <v>0</v>
      </c>
      <c r="D9" s="62"/>
      <c r="E9" s="62"/>
      <c r="F9" s="62"/>
      <c r="G9" s="62"/>
      <c r="H9" s="62"/>
      <c r="I9" s="62"/>
      <c r="J9" s="62"/>
      <c r="K9" s="62"/>
    </row>
    <row r="10" spans="1:12" ht="20.25" x14ac:dyDescent="0.3">
      <c r="A10" s="227"/>
      <c r="B10" s="450"/>
      <c r="D10" s="62"/>
      <c r="E10" s="62"/>
      <c r="F10" s="62"/>
      <c r="G10" s="62"/>
      <c r="H10" s="62"/>
      <c r="I10" s="62"/>
      <c r="J10" s="62"/>
      <c r="K10" s="62"/>
    </row>
    <row r="11" spans="1:12" ht="20.25" x14ac:dyDescent="0.3">
      <c r="A11" s="452" t="s">
        <v>2404</v>
      </c>
      <c r="B11" s="457"/>
      <c r="C11" s="451"/>
      <c r="D11" s="451"/>
      <c r="E11" s="451"/>
      <c r="F11" s="451"/>
      <c r="G11" s="451"/>
      <c r="H11" s="451"/>
      <c r="I11" s="451"/>
      <c r="J11" s="451"/>
      <c r="K11" s="451"/>
    </row>
    <row r="12" spans="1:12" ht="20.25" x14ac:dyDescent="0.3">
      <c r="A12" s="406" t="s">
        <v>2268</v>
      </c>
      <c r="B12" s="451"/>
      <c r="C12" s="452"/>
      <c r="D12" s="452"/>
      <c r="E12" s="452"/>
      <c r="F12" s="452"/>
      <c r="G12" s="451"/>
      <c r="H12" s="451"/>
      <c r="I12" s="452"/>
      <c r="J12" s="452"/>
      <c r="K12" s="452"/>
    </row>
    <row r="13" spans="1:12" ht="14.45" customHeight="1" thickBot="1" x14ac:dyDescent="0.35">
      <c r="A13" s="482"/>
      <c r="C13" s="227"/>
      <c r="D13" s="178"/>
      <c r="E13" s="178"/>
      <c r="F13" s="242"/>
      <c r="G13" s="62"/>
      <c r="H13" s="62"/>
      <c r="I13" s="227"/>
      <c r="J13" s="227"/>
      <c r="K13" s="227"/>
    </row>
    <row r="14" spans="1:12" ht="16.149999999999999" customHeight="1" thickBot="1" x14ac:dyDescent="0.35">
      <c r="A14" s="488" t="s">
        <v>2415</v>
      </c>
      <c r="B14" s="489"/>
      <c r="C14" s="490"/>
      <c r="D14" s="350" t="s">
        <v>2408</v>
      </c>
      <c r="E14" s="350" t="s">
        <v>1287</v>
      </c>
      <c r="F14" s="491" t="s">
        <v>1186</v>
      </c>
      <c r="G14" s="489"/>
      <c r="H14" s="489"/>
      <c r="I14" s="490"/>
      <c r="J14" s="490"/>
      <c r="K14" s="350" t="s">
        <v>810</v>
      </c>
    </row>
    <row r="15" spans="1:12" x14ac:dyDescent="0.2">
      <c r="A15" s="268" t="s">
        <v>1176</v>
      </c>
      <c r="B15" s="231"/>
      <c r="C15" s="231"/>
      <c r="D15" s="15">
        <f>VLOOKUP(tipo_controllore1,'Elenchi controllo_Parametri'!$A$2:$E$7,3,FALSE)</f>
        <v>0.3</v>
      </c>
      <c r="E15" s="15">
        <f>VLOOKUP(tipo_controllore1,'Elenchi controllo_Parametri'!$A$2:$E$7,4,FALSE)</f>
        <v>20</v>
      </c>
      <c r="F15" s="15">
        <f>VLOOKUP(tipo_controllore1,'Elenchi controllo_Parametri'!$A$2:$E$7,5,FALSE)</f>
        <v>0</v>
      </c>
      <c r="K15" s="455">
        <f>D15*i_o+E15+complessita*F15</f>
        <v>20</v>
      </c>
      <c r="L15" s="288" t="s">
        <v>2409</v>
      </c>
    </row>
    <row r="16" spans="1:12" ht="13.5" thickBot="1" x14ac:dyDescent="0.25"/>
    <row r="17" spans="1:12" ht="13.5" thickBot="1" x14ac:dyDescent="0.25">
      <c r="A17" s="484" t="s">
        <v>811</v>
      </c>
      <c r="B17" s="350" t="s">
        <v>805</v>
      </c>
      <c r="C17" s="350" t="s">
        <v>1157</v>
      </c>
      <c r="D17" s="481"/>
      <c r="E17" s="350"/>
      <c r="F17" s="350"/>
      <c r="G17" s="904"/>
      <c r="H17" s="904"/>
      <c r="I17" s="904"/>
      <c r="J17" s="350"/>
      <c r="K17" s="350" t="s">
        <v>810</v>
      </c>
      <c r="L17" s="13"/>
    </row>
    <row r="18" spans="1:12" x14ac:dyDescent="0.2">
      <c r="A18" s="16" t="str">
        <f>'base prezzi'!B20</f>
        <v>Siemens-Pannello KTP400 4" touch colore</v>
      </c>
      <c r="B18" s="453">
        <f>impianto!A202</f>
        <v>0</v>
      </c>
      <c r="C18" s="20">
        <v>14</v>
      </c>
      <c r="E18" s="232"/>
      <c r="F18" s="232"/>
      <c r="G18" s="224"/>
      <c r="H18" s="232"/>
      <c r="I18" s="232"/>
      <c r="J18" s="232"/>
      <c r="K18" s="456">
        <f t="shared" ref="K18:K31" si="0">B18*C18</f>
        <v>0</v>
      </c>
      <c r="L18" s="235"/>
    </row>
    <row r="19" spans="1:12" x14ac:dyDescent="0.2">
      <c r="A19" s="16" t="str">
        <f>'base prezzi'!B21</f>
        <v>Siemens-Pannello TP700 7" touch colore</v>
      </c>
      <c r="B19" s="453">
        <f>impianto!A203</f>
        <v>0</v>
      </c>
      <c r="C19" s="20">
        <v>16</v>
      </c>
      <c r="E19" s="232"/>
      <c r="F19" s="232"/>
      <c r="G19" s="224"/>
      <c r="H19" s="232"/>
      <c r="I19" s="232"/>
      <c r="J19" s="232"/>
      <c r="K19" s="456">
        <f t="shared" si="0"/>
        <v>0</v>
      </c>
      <c r="L19" s="207"/>
    </row>
    <row r="20" spans="1:12" x14ac:dyDescent="0.2">
      <c r="A20" s="16" t="str">
        <f>'base prezzi'!B22</f>
        <v>Siemens-Pannello TP900 9" touch colore</v>
      </c>
      <c r="B20" s="453">
        <f>impianto!A204</f>
        <v>0</v>
      </c>
      <c r="C20" s="20">
        <v>18</v>
      </c>
      <c r="E20" s="232"/>
      <c r="F20" s="232"/>
      <c r="G20" s="224"/>
      <c r="H20" s="232"/>
      <c r="I20" s="232"/>
      <c r="J20" s="232"/>
      <c r="K20" s="456">
        <f t="shared" si="0"/>
        <v>0</v>
      </c>
      <c r="L20" s="207"/>
    </row>
    <row r="21" spans="1:12" x14ac:dyDescent="0.2">
      <c r="A21" s="16" t="str">
        <f>'base prezzi'!B23</f>
        <v>Siemens-Pannello TP1200 12" touch colore</v>
      </c>
      <c r="B21" s="453">
        <f>impianto!A205</f>
        <v>0</v>
      </c>
      <c r="C21" s="20">
        <v>20</v>
      </c>
      <c r="E21" s="232"/>
      <c r="F21" s="232"/>
      <c r="G21" s="224"/>
      <c r="H21" s="232"/>
      <c r="I21" s="232"/>
      <c r="J21" s="232"/>
      <c r="K21" s="456">
        <f t="shared" si="0"/>
        <v>0</v>
      </c>
      <c r="L21" s="207"/>
    </row>
    <row r="22" spans="1:12" x14ac:dyDescent="0.2">
      <c r="A22" s="16" t="str">
        <f>'base prezzi'!B24</f>
        <v>Siemens-Pannello TP1500 15" touch colore</v>
      </c>
      <c r="B22" s="453">
        <f>impianto!A206</f>
        <v>0</v>
      </c>
      <c r="C22" s="20">
        <v>20</v>
      </c>
      <c r="D22"/>
      <c r="E22" s="232"/>
      <c r="F22" s="232"/>
      <c r="G22" s="224"/>
      <c r="H22" s="232"/>
      <c r="I22" s="232"/>
      <c r="J22" s="232"/>
      <c r="K22" s="456">
        <f t="shared" si="0"/>
        <v>0</v>
      </c>
      <c r="L22" s="207"/>
    </row>
    <row r="23" spans="1:12" x14ac:dyDescent="0.2">
      <c r="A23" s="16" t="str">
        <f>'base prezzi'!B111</f>
        <v>AllenBradley-Pannello PanelView 7" touch colore</v>
      </c>
      <c r="B23" s="453">
        <f>impianto!A207</f>
        <v>0</v>
      </c>
      <c r="C23" s="20">
        <v>16</v>
      </c>
      <c r="D23"/>
      <c r="E23" s="232"/>
      <c r="F23" s="232"/>
      <c r="G23" s="224"/>
      <c r="H23" s="232"/>
      <c r="I23" s="232"/>
      <c r="J23" s="232"/>
      <c r="K23" s="456">
        <f t="shared" si="0"/>
        <v>0</v>
      </c>
      <c r="L23" s="207"/>
    </row>
    <row r="24" spans="1:12" x14ac:dyDescent="0.2">
      <c r="A24" s="16" t="str">
        <f>'base prezzi'!B112</f>
        <v>AllenBradley-Pannello PanelView 9" touch colore</v>
      </c>
      <c r="B24" s="453">
        <f>impianto!A208</f>
        <v>0</v>
      </c>
      <c r="C24" s="20">
        <v>18</v>
      </c>
      <c r="D24"/>
      <c r="E24" s="232"/>
      <c r="F24" s="232"/>
      <c r="G24" s="224"/>
      <c r="H24" s="232"/>
      <c r="I24" s="232"/>
      <c r="J24" s="232"/>
      <c r="K24" s="456">
        <f t="shared" si="0"/>
        <v>0</v>
      </c>
      <c r="L24" s="207"/>
    </row>
    <row r="25" spans="1:12" x14ac:dyDescent="0.2">
      <c r="A25" s="16" t="str">
        <f>'base prezzi'!B113</f>
        <v>AllenBradley-Pannello PanelView 12" touch colore</v>
      </c>
      <c r="B25" s="453">
        <f>impianto!A209</f>
        <v>0</v>
      </c>
      <c r="C25" s="20">
        <v>20</v>
      </c>
      <c r="D25"/>
      <c r="E25" s="232"/>
      <c r="F25" s="232"/>
      <c r="G25" s="224"/>
      <c r="H25" s="232"/>
      <c r="I25" s="232"/>
      <c r="J25" s="232"/>
      <c r="K25" s="456">
        <f t="shared" si="0"/>
        <v>0</v>
      </c>
      <c r="L25" s="207"/>
    </row>
    <row r="26" spans="1:12" x14ac:dyDescent="0.2">
      <c r="A26" s="16" t="str">
        <f>'base prezzi'!B114</f>
        <v>AllenBradley-Pannello PanelView 15" touch colore</v>
      </c>
      <c r="B26" s="453">
        <f>impianto!A210</f>
        <v>0</v>
      </c>
      <c r="C26" s="20">
        <v>20</v>
      </c>
      <c r="D26"/>
      <c r="E26" s="232"/>
      <c r="F26" s="232"/>
      <c r="G26" s="224"/>
      <c r="H26" s="232"/>
      <c r="I26" s="232"/>
      <c r="J26" s="232"/>
      <c r="K26" s="456">
        <f t="shared" si="0"/>
        <v>0</v>
      </c>
      <c r="L26" s="207"/>
    </row>
    <row r="27" spans="1:12" x14ac:dyDescent="0.2">
      <c r="A27" s="16" t="str">
        <f>'base prezzi'!B115</f>
        <v>pc con sinottico (escluso hardware)</v>
      </c>
      <c r="B27" s="453">
        <f>impianto!A211</f>
        <v>0</v>
      </c>
      <c r="C27" s="20">
        <v>20</v>
      </c>
      <c r="D27"/>
      <c r="E27" s="232"/>
      <c r="F27" s="232"/>
      <c r="G27" s="224"/>
      <c r="H27" s="232"/>
      <c r="I27" s="232"/>
      <c r="J27" s="232"/>
      <c r="K27" s="456">
        <f t="shared" si="0"/>
        <v>0</v>
      </c>
      <c r="L27" s="207"/>
    </row>
    <row r="28" spans="1:12" x14ac:dyDescent="0.2">
      <c r="A28" s="16" t="str">
        <f>'base prezzi'!B27</f>
        <v>Pannello WP500</v>
      </c>
      <c r="B28" s="453">
        <f>impianto!A212</f>
        <v>0</v>
      </c>
      <c r="C28" s="20">
        <v>0</v>
      </c>
      <c r="D28"/>
      <c r="E28" s="232"/>
      <c r="F28" s="232"/>
      <c r="G28" s="224"/>
      <c r="H28" s="232"/>
      <c r="I28" s="232"/>
      <c r="J28" s="232"/>
      <c r="K28" s="456">
        <f t="shared" si="0"/>
        <v>0</v>
      </c>
      <c r="L28" s="207"/>
    </row>
    <row r="29" spans="1:12" x14ac:dyDescent="0.2">
      <c r="A29" s="16" t="str">
        <f>'base prezzi'!B28</f>
        <v>Pannello WP140</v>
      </c>
      <c r="B29" s="453">
        <f>impianto!A213</f>
        <v>0</v>
      </c>
      <c r="C29" s="20">
        <v>4</v>
      </c>
      <c r="D29"/>
      <c r="E29" s="232"/>
      <c r="F29" s="232"/>
      <c r="G29" s="224"/>
      <c r="H29" s="232"/>
      <c r="I29" s="232"/>
      <c r="J29" s="232"/>
      <c r="K29" s="456">
        <f t="shared" si="0"/>
        <v>0</v>
      </c>
      <c r="L29" s="207"/>
    </row>
    <row r="30" spans="1:12" x14ac:dyDescent="0.2">
      <c r="A30" s="16" t="str">
        <f>'base prezzi'!B26</f>
        <v>Pannello WP300</v>
      </c>
      <c r="B30" s="453">
        <f>impianto!A214</f>
        <v>0</v>
      </c>
      <c r="C30" s="20">
        <v>8</v>
      </c>
      <c r="E30" s="232"/>
      <c r="F30" s="232"/>
      <c r="G30" s="224"/>
      <c r="H30" s="232"/>
      <c r="I30" s="232"/>
      <c r="J30" s="232"/>
      <c r="K30" s="456">
        <f t="shared" si="0"/>
        <v>0</v>
      </c>
      <c r="L30" s="207"/>
    </row>
    <row r="31" spans="1:12" x14ac:dyDescent="0.2">
      <c r="A31" s="16" t="s">
        <v>812</v>
      </c>
      <c r="B31" s="454">
        <f>impianto!A6</f>
        <v>1</v>
      </c>
      <c r="C31" s="232">
        <v>8</v>
      </c>
      <c r="E31" s="232"/>
      <c r="F31" s="232"/>
      <c r="G31" s="232"/>
      <c r="H31" s="232"/>
      <c r="I31" s="232"/>
      <c r="J31" s="232"/>
      <c r="K31" s="456">
        <f t="shared" si="0"/>
        <v>8</v>
      </c>
      <c r="L31" s="207"/>
    </row>
    <row r="32" spans="1:12" x14ac:dyDescent="0.2">
      <c r="K32" s="290">
        <f>SUBTOTAL(9,K18:K31)</f>
        <v>8</v>
      </c>
      <c r="L32" s="288" t="s">
        <v>1192</v>
      </c>
    </row>
    <row r="33" spans="1:12" x14ac:dyDescent="0.2">
      <c r="K33" s="458"/>
      <c r="L33" s="459"/>
    </row>
    <row r="34" spans="1:12" ht="13.5" thickBot="1" x14ac:dyDescent="0.25">
      <c r="K34" s="236"/>
    </row>
    <row r="35" spans="1:12" ht="13.5" thickBot="1" x14ac:dyDescent="0.25">
      <c r="A35" s="484" t="s">
        <v>813</v>
      </c>
      <c r="B35" s="904"/>
      <c r="C35" s="904"/>
      <c r="D35" s="350" t="s">
        <v>1187</v>
      </c>
      <c r="E35" s="491" t="s">
        <v>1188</v>
      </c>
      <c r="F35" s="350" t="s">
        <v>1189</v>
      </c>
      <c r="G35" s="350" t="s">
        <v>1190</v>
      </c>
      <c r="H35" s="350" t="s">
        <v>2412</v>
      </c>
      <c r="I35" s="350" t="s">
        <v>2413</v>
      </c>
      <c r="J35" s="350" t="s">
        <v>2414</v>
      </c>
      <c r="K35" s="350" t="s">
        <v>810</v>
      </c>
      <c r="L35" s="238"/>
    </row>
    <row r="36" spans="1:12" x14ac:dyDescent="0.2">
      <c r="A36" s="268" t="s">
        <v>1182</v>
      </c>
      <c r="B36" s="231"/>
      <c r="C36" s="231"/>
      <c r="D36" s="232">
        <f>VLOOKUP(tipo_controllore1,'Elenchi controllo_Parametri'!$A$1:$L$7,6,FALSE)</f>
        <v>5.0000000000000001E-3</v>
      </c>
      <c r="E36" s="232">
        <f>VLOOKUP(tipo_controllore1,'Elenchi controllo_Parametri'!$A$1:$L$7,7,FALSE)</f>
        <v>0.8</v>
      </c>
      <c r="K36" s="456">
        <f>(D36*i_o+E36)</f>
        <v>0.8</v>
      </c>
    </row>
    <row r="37" spans="1:12" x14ac:dyDescent="0.2">
      <c r="A37" s="268" t="s">
        <v>1181</v>
      </c>
      <c r="B37" s="231"/>
      <c r="C37" s="231"/>
      <c r="D37" s="231"/>
      <c r="E37" s="231"/>
      <c r="F37" s="232">
        <f>VLOOKUP(tipo_controllore1,'Elenchi controllo_Parametri'!$A$1:$L$7,8,FALSE)</f>
        <v>0.15</v>
      </c>
      <c r="G37" s="232">
        <f>VLOOKUP(tipo_controllore1,'Elenchi controllo_Parametri'!$A$1:$L$7,9,FALSE)</f>
        <v>2.6</v>
      </c>
      <c r="H37" s="231"/>
      <c r="I37" s="231"/>
      <c r="J37" s="231"/>
      <c r="K37" s="456">
        <f>(Nr_linee*nr_wp_medio*F37+G37)</f>
        <v>2.6</v>
      </c>
    </row>
    <row r="38" spans="1:12" x14ac:dyDescent="0.2">
      <c r="A38" s="268" t="s">
        <v>1183</v>
      </c>
      <c r="B38" s="231"/>
      <c r="C38" s="231"/>
      <c r="D38" s="231"/>
      <c r="E38" s="231"/>
      <c r="F38" s="231"/>
      <c r="G38" s="231"/>
      <c r="H38" s="232">
        <f>VLOOKUP(tipo_controllore1,'Elenchi controllo_Parametri'!$A$1:$L$7,10,FALSE)</f>
        <v>0.17</v>
      </c>
      <c r="I38" s="232">
        <f>VLOOKUP(tipo_controllore1,'Elenchi controllo_Parametri'!$A$1:$L$7,11,FALSE)</f>
        <v>0.5</v>
      </c>
      <c r="J38" s="231"/>
      <c r="K38" s="456">
        <f>(H38*complessita+I38)</f>
        <v>0.5</v>
      </c>
    </row>
    <row r="39" spans="1:12" x14ac:dyDescent="0.2">
      <c r="A39" s="62" t="s">
        <v>814</v>
      </c>
      <c r="B39" s="228">
        <f>impianto!A7</f>
        <v>0</v>
      </c>
      <c r="D39" s="62"/>
      <c r="E39" s="62"/>
      <c r="F39" s="62"/>
      <c r="G39" s="62"/>
      <c r="H39" s="62"/>
      <c r="I39" s="62"/>
      <c r="J39" s="232">
        <f>VLOOKUP(tipo_controllore1,'Elenchi controllo_Parametri'!$A$1:$L$7,12,FALSE)</f>
        <v>0</v>
      </c>
      <c r="K39" s="456">
        <f>(B39*J39+C39*F39)</f>
        <v>0</v>
      </c>
    </row>
    <row r="40" spans="1:12" x14ac:dyDescent="0.2">
      <c r="D40" s="62"/>
      <c r="E40" s="62"/>
      <c r="F40" s="62"/>
      <c r="G40" s="62"/>
      <c r="H40" s="62"/>
      <c r="I40" s="62"/>
      <c r="J40" s="62"/>
      <c r="K40" s="290">
        <f>SUBTOTAL(9,K36:K39)</f>
        <v>3.9000000000000004</v>
      </c>
      <c r="L40" s="288" t="s">
        <v>1191</v>
      </c>
    </row>
    <row r="41" spans="1:12" ht="13.5" thickBot="1" x14ac:dyDescent="0.25">
      <c r="A41" s="233" t="s">
        <v>815</v>
      </c>
      <c r="B41" s="905"/>
      <c r="C41" s="905"/>
      <c r="D41" s="13"/>
      <c r="E41" s="13" t="s">
        <v>1187</v>
      </c>
      <c r="F41" s="13" t="s">
        <v>1189</v>
      </c>
      <c r="G41" s="13" t="s">
        <v>1287</v>
      </c>
      <c r="H41" s="13"/>
      <c r="I41" s="13"/>
      <c r="J41" s="13"/>
      <c r="K41" s="237"/>
      <c r="L41" s="238"/>
    </row>
    <row r="42" spans="1:12" x14ac:dyDescent="0.2">
      <c r="A42" s="62" t="s">
        <v>816</v>
      </c>
      <c r="D42" s="224"/>
      <c r="E42" s="232">
        <v>0.1</v>
      </c>
      <c r="F42" s="232">
        <v>2</v>
      </c>
      <c r="G42" s="15">
        <v>20</v>
      </c>
      <c r="H42" s="62"/>
      <c r="K42" s="234"/>
    </row>
    <row r="43" spans="1:12" x14ac:dyDescent="0.2">
      <c r="D43" s="224"/>
      <c r="E43" s="232"/>
      <c r="F43" s="232"/>
      <c r="G43" s="62"/>
      <c r="H43" s="62"/>
      <c r="K43" s="234"/>
    </row>
    <row r="44" spans="1:12" x14ac:dyDescent="0.2">
      <c r="D44" s="224"/>
      <c r="E44" s="232"/>
      <c r="F44" s="232"/>
      <c r="G44" s="62"/>
      <c r="H44" s="62"/>
      <c r="K44" s="234"/>
    </row>
    <row r="45" spans="1:12" x14ac:dyDescent="0.2">
      <c r="D45" s="62" t="s">
        <v>862</v>
      </c>
      <c r="E45" s="62" t="s">
        <v>859</v>
      </c>
      <c r="F45" s="62"/>
      <c r="G45" s="62"/>
      <c r="H45" s="62"/>
    </row>
    <row r="46" spans="1:12" x14ac:dyDescent="0.2">
      <c r="A46" s="62" t="s">
        <v>860</v>
      </c>
      <c r="D46" s="62">
        <f>ROUNDUP(K46*E46,-1)</f>
        <v>1000</v>
      </c>
      <c r="E46" s="280">
        <v>50</v>
      </c>
      <c r="K46" s="239">
        <f>SUM(K15:K15)</f>
        <v>20</v>
      </c>
      <c r="L46" s="288" t="s">
        <v>2409</v>
      </c>
    </row>
    <row r="47" spans="1:12" x14ac:dyDescent="0.2">
      <c r="A47" s="62" t="s">
        <v>861</v>
      </c>
      <c r="D47" s="62">
        <f>ROUNDUP(K47*E47,-1)</f>
        <v>400</v>
      </c>
      <c r="E47" s="280">
        <v>50</v>
      </c>
      <c r="K47" s="289">
        <f>K32</f>
        <v>8</v>
      </c>
      <c r="L47" s="288" t="s">
        <v>2424</v>
      </c>
    </row>
    <row r="48" spans="1:12" x14ac:dyDescent="0.2">
      <c r="A48" s="16" t="s">
        <v>1115</v>
      </c>
      <c r="D48" s="62">
        <f>ROUNDUP(K48*E48,-1)</f>
        <v>200</v>
      </c>
      <c r="E48" s="280">
        <v>50</v>
      </c>
      <c r="K48" s="289">
        <f>K40</f>
        <v>3.9000000000000004</v>
      </c>
      <c r="L48" s="288" t="s">
        <v>2425</v>
      </c>
    </row>
    <row r="49" spans="1:12" x14ac:dyDescent="0.2">
      <c r="D49" s="62">
        <f>ROUNDUP(K49*E49,-1)</f>
        <v>0</v>
      </c>
      <c r="E49" s="280">
        <v>80</v>
      </c>
      <c r="K49" s="240">
        <f>K42</f>
        <v>0</v>
      </c>
      <c r="L49" s="241" t="s">
        <v>817</v>
      </c>
    </row>
    <row r="50" spans="1:12" x14ac:dyDescent="0.2">
      <c r="B50" s="62">
        <f>SUM(D46:D49)</f>
        <v>1600</v>
      </c>
      <c r="C50" s="859">
        <f>IF(tipo_controllore1='Elenchi controllo_Parametri'!A6,manodopera!C51,0)</f>
        <v>0</v>
      </c>
      <c r="D50" s="247">
        <f>IF(SUM(B6:B8)=0,0,SUM(D46:D49)-(B50*C50))</f>
        <v>1600</v>
      </c>
      <c r="E50" s="231"/>
      <c r="F50" s="242"/>
      <c r="G50" s="242"/>
      <c r="H50" s="242"/>
      <c r="I50" s="242"/>
      <c r="J50" s="242"/>
      <c r="K50" s="243">
        <f>SUM(K41:K49)</f>
        <v>31.9</v>
      </c>
      <c r="L50" s="244" t="s">
        <v>818</v>
      </c>
    </row>
    <row r="51" spans="1:12" x14ac:dyDescent="0.2">
      <c r="C51" s="858">
        <v>0.1</v>
      </c>
      <c r="D51" s="62"/>
      <c r="E51" s="62"/>
      <c r="F51" s="62"/>
      <c r="G51" s="62"/>
      <c r="H51" s="62"/>
      <c r="I51" s="62"/>
      <c r="J51" s="62"/>
      <c r="K51" s="62"/>
      <c r="L51" s="62"/>
    </row>
    <row r="52" spans="1:12" x14ac:dyDescent="0.2">
      <c r="D52" s="62"/>
      <c r="E52" s="62"/>
      <c r="F52" s="62"/>
      <c r="G52" s="62"/>
      <c r="H52" s="62"/>
      <c r="I52" s="62"/>
      <c r="J52" s="62"/>
      <c r="K52" s="62"/>
      <c r="L52" s="62"/>
    </row>
    <row r="53" spans="1:12" x14ac:dyDescent="0.2">
      <c r="D53" s="62"/>
      <c r="E53" s="62"/>
      <c r="F53" s="62"/>
      <c r="G53" s="62"/>
      <c r="H53" s="62"/>
      <c r="I53" s="62"/>
      <c r="J53" s="62"/>
      <c r="K53" s="62"/>
      <c r="L53" s="62"/>
    </row>
    <row r="54" spans="1:12" x14ac:dyDescent="0.2">
      <c r="D54" s="62"/>
      <c r="E54" s="62"/>
      <c r="F54" s="62"/>
      <c r="G54" s="62"/>
      <c r="H54" s="62"/>
      <c r="I54" s="62"/>
      <c r="J54" s="62"/>
      <c r="K54" s="62"/>
      <c r="L54" s="62"/>
    </row>
    <row r="55" spans="1:12" x14ac:dyDescent="0.2">
      <c r="D55" s="62"/>
      <c r="E55" s="62"/>
      <c r="F55" s="62"/>
      <c r="G55" s="62"/>
      <c r="H55" s="62"/>
      <c r="I55" s="62"/>
      <c r="J55" s="62"/>
      <c r="K55" s="62"/>
      <c r="L55" s="62"/>
    </row>
    <row r="56" spans="1:12" ht="20.25" x14ac:dyDescent="0.3">
      <c r="A56" s="464" t="s">
        <v>2405</v>
      </c>
      <c r="B56" s="465"/>
      <c r="C56" s="466"/>
      <c r="D56" s="466"/>
      <c r="E56" s="466"/>
      <c r="F56" s="466"/>
      <c r="G56" s="466"/>
      <c r="H56" s="466"/>
      <c r="I56" s="466"/>
      <c r="J56" s="466"/>
      <c r="K56" s="466"/>
    </row>
    <row r="57" spans="1:12" ht="20.25" x14ac:dyDescent="0.3">
      <c r="A57" s="409" t="s">
        <v>2268</v>
      </c>
      <c r="B57" s="466"/>
      <c r="C57" s="464"/>
      <c r="D57" s="464"/>
      <c r="E57" s="464"/>
      <c r="F57" s="464"/>
      <c r="G57" s="466"/>
      <c r="H57" s="466"/>
      <c r="I57" s="464"/>
      <c r="J57" s="464"/>
      <c r="K57" s="466"/>
    </row>
    <row r="58" spans="1:12" ht="14.45" customHeight="1" thickBot="1" x14ac:dyDescent="0.35">
      <c r="A58" s="482"/>
      <c r="C58" s="227"/>
      <c r="D58" s="227"/>
      <c r="E58" s="227"/>
      <c r="F58" s="227"/>
      <c r="G58" s="227"/>
      <c r="H58" s="62"/>
      <c r="I58" s="227"/>
      <c r="J58" s="227"/>
      <c r="K58" s="227"/>
    </row>
    <row r="59" spans="1:12" ht="16.149999999999999" customHeight="1" thickBot="1" x14ac:dyDescent="0.35">
      <c r="A59" s="488" t="s">
        <v>2415</v>
      </c>
      <c r="B59" s="489"/>
      <c r="C59" s="490"/>
      <c r="D59" s="350" t="s">
        <v>2408</v>
      </c>
      <c r="E59" s="350" t="s">
        <v>1287</v>
      </c>
      <c r="F59" s="491" t="s">
        <v>1186</v>
      </c>
      <c r="G59" s="489"/>
      <c r="H59" s="489"/>
      <c r="I59" s="490"/>
      <c r="J59" s="490"/>
      <c r="K59" s="350" t="s">
        <v>810</v>
      </c>
    </row>
    <row r="60" spans="1:12" ht="12.6" customHeight="1" x14ac:dyDescent="0.2">
      <c r="A60" s="492" t="s">
        <v>1176</v>
      </c>
      <c r="B60" s="485"/>
      <c r="C60" s="485"/>
      <c r="D60" s="486">
        <f>VLOOKUP(tipo_controllore2,'Elenchi controllo_Parametri'!$A$2:$E$7,3,FALSE)</f>
        <v>0.3</v>
      </c>
      <c r="E60" s="486">
        <f>VLOOKUP(tipo_controllore2,'Elenchi controllo_Parametri'!$A$2:$E$7,4,FALSE)</f>
        <v>20</v>
      </c>
      <c r="F60" s="486">
        <f>VLOOKUP(tipo_controllore2,'Elenchi controllo_Parametri'!$A$2:$E$7,5,FALSE)</f>
        <v>0</v>
      </c>
      <c r="G60" s="486"/>
      <c r="H60" s="486"/>
      <c r="I60" s="486"/>
      <c r="J60" s="486"/>
      <c r="K60" s="487">
        <f>D60*i_o+E60+complessita*F60</f>
        <v>20</v>
      </c>
      <c r="L60" s="483" t="s">
        <v>2409</v>
      </c>
    </row>
    <row r="61" spans="1:12" ht="13.5" thickBot="1" x14ac:dyDescent="0.25"/>
    <row r="62" spans="1:12" ht="13.5" thickBot="1" x14ac:dyDescent="0.25">
      <c r="A62" s="484" t="s">
        <v>811</v>
      </c>
      <c r="B62" s="350" t="s">
        <v>805</v>
      </c>
      <c r="C62" s="350" t="s">
        <v>1157</v>
      </c>
      <c r="D62" s="481"/>
      <c r="E62" s="350"/>
      <c r="F62" s="350"/>
      <c r="G62" s="904"/>
      <c r="H62" s="904"/>
      <c r="I62" s="904"/>
      <c r="J62" s="350"/>
      <c r="K62" s="350" t="s">
        <v>810</v>
      </c>
      <c r="L62" s="13"/>
    </row>
    <row r="63" spans="1:12" x14ac:dyDescent="0.2">
      <c r="A63" s="16" t="str">
        <f>'base prezzi'!B20</f>
        <v>Siemens-Pannello KTP400 4" touch colore</v>
      </c>
      <c r="B63" s="467">
        <f>impianto!A215</f>
        <v>0</v>
      </c>
      <c r="C63" s="20">
        <f>C18</f>
        <v>14</v>
      </c>
      <c r="D63" s="20"/>
      <c r="E63" s="232"/>
      <c r="F63" s="232"/>
      <c r="G63" s="224"/>
      <c r="H63" s="232"/>
      <c r="I63" s="232"/>
      <c r="J63" s="232"/>
      <c r="K63" s="468">
        <f t="shared" ref="K63:K76" si="1">B63*C63</f>
        <v>0</v>
      </c>
      <c r="L63" s="235"/>
    </row>
    <row r="64" spans="1:12" x14ac:dyDescent="0.2">
      <c r="A64" s="16" t="str">
        <f>'base prezzi'!B21</f>
        <v>Siemens-Pannello TP700 7" touch colore</v>
      </c>
      <c r="B64" s="467">
        <f>impianto!A216</f>
        <v>0</v>
      </c>
      <c r="C64" s="20">
        <f t="shared" ref="C64:C76" si="2">C19</f>
        <v>16</v>
      </c>
      <c r="D64" s="20"/>
      <c r="E64" s="232"/>
      <c r="F64" s="232"/>
      <c r="G64" s="224"/>
      <c r="H64" s="232"/>
      <c r="I64" s="232"/>
      <c r="J64" s="232"/>
      <c r="K64" s="468">
        <f t="shared" si="1"/>
        <v>0</v>
      </c>
      <c r="L64" s="207"/>
    </row>
    <row r="65" spans="1:12" x14ac:dyDescent="0.2">
      <c r="A65" s="16" t="str">
        <f>'base prezzi'!B22</f>
        <v>Siemens-Pannello TP900 9" touch colore</v>
      </c>
      <c r="B65" s="467">
        <f>impianto!A217</f>
        <v>0</v>
      </c>
      <c r="C65" s="20">
        <f t="shared" si="2"/>
        <v>18</v>
      </c>
      <c r="D65" s="20"/>
      <c r="E65" s="232"/>
      <c r="F65" s="232"/>
      <c r="G65" s="224"/>
      <c r="H65" s="232"/>
      <c r="I65" s="232"/>
      <c r="J65" s="232"/>
      <c r="K65" s="468">
        <f t="shared" si="1"/>
        <v>0</v>
      </c>
      <c r="L65" s="207"/>
    </row>
    <row r="66" spans="1:12" x14ac:dyDescent="0.2">
      <c r="A66" s="16" t="str">
        <f>'base prezzi'!B23</f>
        <v>Siemens-Pannello TP1200 12" touch colore</v>
      </c>
      <c r="B66" s="467">
        <f>impianto!A218</f>
        <v>0</v>
      </c>
      <c r="C66" s="20">
        <f t="shared" si="2"/>
        <v>20</v>
      </c>
      <c r="D66" s="20"/>
      <c r="E66" s="232"/>
      <c r="F66" s="232"/>
      <c r="G66" s="224"/>
      <c r="H66" s="232"/>
      <c r="I66" s="232"/>
      <c r="J66" s="232"/>
      <c r="K66" s="468">
        <f t="shared" si="1"/>
        <v>0</v>
      </c>
      <c r="L66" s="207"/>
    </row>
    <row r="67" spans="1:12" x14ac:dyDescent="0.2">
      <c r="A67" s="16" t="str">
        <f>'base prezzi'!B24</f>
        <v>Siemens-Pannello TP1500 15" touch colore</v>
      </c>
      <c r="B67" s="467">
        <f>impianto!A219</f>
        <v>0</v>
      </c>
      <c r="C67" s="20">
        <f t="shared" si="2"/>
        <v>20</v>
      </c>
      <c r="D67" s="20"/>
      <c r="E67" s="232"/>
      <c r="F67" s="232"/>
      <c r="G67" s="224"/>
      <c r="H67" s="232"/>
      <c r="I67" s="232"/>
      <c r="J67" s="232"/>
      <c r="K67" s="468">
        <f t="shared" si="1"/>
        <v>0</v>
      </c>
      <c r="L67" s="207"/>
    </row>
    <row r="68" spans="1:12" x14ac:dyDescent="0.2">
      <c r="A68" s="16" t="str">
        <f>'base prezzi'!B111</f>
        <v>AllenBradley-Pannello PanelView 7" touch colore</v>
      </c>
      <c r="B68" s="467">
        <f>impianto!A220</f>
        <v>0</v>
      </c>
      <c r="C68" s="20">
        <f t="shared" si="2"/>
        <v>16</v>
      </c>
      <c r="D68" s="20"/>
      <c r="E68" s="232"/>
      <c r="F68" s="232"/>
      <c r="G68" s="224"/>
      <c r="H68" s="232"/>
      <c r="I68" s="232"/>
      <c r="J68" s="232"/>
      <c r="K68" s="468">
        <f t="shared" si="1"/>
        <v>0</v>
      </c>
      <c r="L68" s="207"/>
    </row>
    <row r="69" spans="1:12" x14ac:dyDescent="0.2">
      <c r="A69" s="16" t="str">
        <f>'base prezzi'!B112</f>
        <v>AllenBradley-Pannello PanelView 9" touch colore</v>
      </c>
      <c r="B69" s="467">
        <f>impianto!A221</f>
        <v>0</v>
      </c>
      <c r="C69" s="20">
        <f t="shared" si="2"/>
        <v>18</v>
      </c>
      <c r="D69" s="20"/>
      <c r="E69" s="232"/>
      <c r="F69" s="232"/>
      <c r="G69" s="224"/>
      <c r="H69" s="232"/>
      <c r="I69" s="232"/>
      <c r="J69" s="232"/>
      <c r="K69" s="468">
        <f t="shared" si="1"/>
        <v>0</v>
      </c>
      <c r="L69" s="207"/>
    </row>
    <row r="70" spans="1:12" x14ac:dyDescent="0.2">
      <c r="A70" s="16" t="str">
        <f>'base prezzi'!B113</f>
        <v>AllenBradley-Pannello PanelView 12" touch colore</v>
      </c>
      <c r="B70" s="467">
        <f>impianto!A222</f>
        <v>0</v>
      </c>
      <c r="C70" s="20">
        <f t="shared" si="2"/>
        <v>20</v>
      </c>
      <c r="D70" s="20"/>
      <c r="E70" s="232"/>
      <c r="F70" s="232"/>
      <c r="G70" s="224"/>
      <c r="H70" s="232"/>
      <c r="I70" s="232"/>
      <c r="J70" s="232"/>
      <c r="K70" s="468">
        <f t="shared" si="1"/>
        <v>0</v>
      </c>
      <c r="L70" s="207"/>
    </row>
    <row r="71" spans="1:12" x14ac:dyDescent="0.2">
      <c r="A71" s="16" t="str">
        <f>'base prezzi'!B114</f>
        <v>AllenBradley-Pannello PanelView 15" touch colore</v>
      </c>
      <c r="B71" s="467">
        <f>impianto!A223</f>
        <v>0</v>
      </c>
      <c r="C71" s="20">
        <f t="shared" si="2"/>
        <v>20</v>
      </c>
      <c r="D71" s="20"/>
      <c r="E71" s="232"/>
      <c r="F71" s="232"/>
      <c r="G71" s="224"/>
      <c r="H71" s="232"/>
      <c r="I71" s="232"/>
      <c r="J71" s="232"/>
      <c r="K71" s="468">
        <f t="shared" si="1"/>
        <v>0</v>
      </c>
      <c r="L71" s="207"/>
    </row>
    <row r="72" spans="1:12" x14ac:dyDescent="0.2">
      <c r="A72" s="16" t="str">
        <f>'base prezzi'!B115</f>
        <v>pc con sinottico (escluso hardware)</v>
      </c>
      <c r="B72" s="467">
        <f>impianto!A224</f>
        <v>0</v>
      </c>
      <c r="C72" s="20">
        <f t="shared" si="2"/>
        <v>20</v>
      </c>
      <c r="D72" s="20"/>
      <c r="E72" s="232"/>
      <c r="F72" s="232"/>
      <c r="G72" s="224"/>
      <c r="H72" s="232"/>
      <c r="I72" s="232"/>
      <c r="J72" s="232"/>
      <c r="K72" s="468">
        <f t="shared" si="1"/>
        <v>0</v>
      </c>
      <c r="L72" s="207"/>
    </row>
    <row r="73" spans="1:12" x14ac:dyDescent="0.2">
      <c r="A73" s="16" t="str">
        <f>'base prezzi'!B27</f>
        <v>Pannello WP500</v>
      </c>
      <c r="B73" s="467">
        <f>impianto!A225</f>
        <v>0</v>
      </c>
      <c r="C73" s="20">
        <v>0</v>
      </c>
      <c r="D73" s="20"/>
      <c r="E73" s="232"/>
      <c r="F73" s="232"/>
      <c r="G73" s="224"/>
      <c r="H73" s="232"/>
      <c r="I73" s="232"/>
      <c r="J73" s="232"/>
      <c r="K73" s="468">
        <f t="shared" si="1"/>
        <v>0</v>
      </c>
      <c r="L73" s="207"/>
    </row>
    <row r="74" spans="1:12" x14ac:dyDescent="0.2">
      <c r="A74" s="16" t="str">
        <f>'base prezzi'!B28</f>
        <v>Pannello WP140</v>
      </c>
      <c r="B74" s="467">
        <f>impianto!A226</f>
        <v>0</v>
      </c>
      <c r="C74" s="20">
        <v>4</v>
      </c>
      <c r="D74" s="20"/>
      <c r="E74" s="232"/>
      <c r="F74" s="232"/>
      <c r="G74" s="224"/>
      <c r="H74" s="232"/>
      <c r="I74" s="232"/>
      <c r="J74" s="232"/>
      <c r="K74" s="468">
        <f t="shared" si="1"/>
        <v>0</v>
      </c>
      <c r="L74" s="207"/>
    </row>
    <row r="75" spans="1:12" x14ac:dyDescent="0.2">
      <c r="A75" s="16" t="str">
        <f>'base prezzi'!B26</f>
        <v>Pannello WP300</v>
      </c>
      <c r="B75" s="467">
        <f>impianto!A227</f>
        <v>0</v>
      </c>
      <c r="C75" s="20">
        <f t="shared" si="2"/>
        <v>8</v>
      </c>
      <c r="D75" s="20"/>
      <c r="E75" s="232"/>
      <c r="F75" s="232"/>
      <c r="G75" s="224"/>
      <c r="H75" s="232"/>
      <c r="I75" s="232"/>
      <c r="J75" s="232"/>
      <c r="K75" s="468">
        <f t="shared" si="1"/>
        <v>0</v>
      </c>
      <c r="L75" s="207"/>
    </row>
    <row r="76" spans="1:12" x14ac:dyDescent="0.2">
      <c r="A76" s="16" t="s">
        <v>812</v>
      </c>
      <c r="B76" s="467">
        <f>impianto!A6</f>
        <v>1</v>
      </c>
      <c r="C76" s="20">
        <f t="shared" si="2"/>
        <v>8</v>
      </c>
      <c r="D76" s="232"/>
      <c r="E76" s="232"/>
      <c r="F76" s="232"/>
      <c r="G76" s="232"/>
      <c r="H76" s="232"/>
      <c r="I76" s="232"/>
      <c r="J76" s="232"/>
      <c r="K76" s="468">
        <f t="shared" si="1"/>
        <v>8</v>
      </c>
      <c r="L76" s="207"/>
    </row>
    <row r="77" spans="1:12" x14ac:dyDescent="0.2">
      <c r="K77" s="290">
        <f>SUBTOTAL(9,K63:K76)</f>
        <v>8</v>
      </c>
      <c r="L77" s="288" t="s">
        <v>1192</v>
      </c>
    </row>
    <row r="78" spans="1:12" x14ac:dyDescent="0.2">
      <c r="K78" s="458"/>
      <c r="L78" s="459"/>
    </row>
    <row r="79" spans="1:12" ht="13.5" thickBot="1" x14ac:dyDescent="0.25">
      <c r="D79"/>
      <c r="E79"/>
      <c r="F79"/>
      <c r="G79"/>
      <c r="H79"/>
      <c r="I79"/>
      <c r="J79"/>
      <c r="K79" s="236"/>
    </row>
    <row r="80" spans="1:12" ht="13.5" thickBot="1" x14ac:dyDescent="0.25">
      <c r="A80" s="484" t="s">
        <v>813</v>
      </c>
      <c r="B80" s="904"/>
      <c r="C80" s="904"/>
      <c r="D80" s="350" t="s">
        <v>1187</v>
      </c>
      <c r="E80" s="491" t="s">
        <v>1188</v>
      </c>
      <c r="F80" s="350" t="s">
        <v>1189</v>
      </c>
      <c r="G80" s="350" t="s">
        <v>1190</v>
      </c>
      <c r="H80" s="350" t="s">
        <v>2412</v>
      </c>
      <c r="I80" s="350" t="s">
        <v>2413</v>
      </c>
      <c r="J80" s="350" t="s">
        <v>2414</v>
      </c>
      <c r="K80" s="350" t="s">
        <v>810</v>
      </c>
      <c r="L80" s="238"/>
    </row>
    <row r="81" spans="1:12" x14ac:dyDescent="0.2">
      <c r="A81" s="268" t="s">
        <v>1182</v>
      </c>
      <c r="B81" s="231"/>
      <c r="C81" s="231"/>
      <c r="D81" s="232">
        <f>VLOOKUP(tipo_controllore2,'Elenchi controllo_Parametri'!$A$1:$L$7,6,FALSE)</f>
        <v>0.05</v>
      </c>
      <c r="E81" s="232">
        <f>VLOOKUP(tipo_controllore2,'Elenchi controllo_Parametri'!$A$1:$L$7,7,FALSE)</f>
        <v>1.6</v>
      </c>
      <c r="F81" s="231"/>
      <c r="G81" s="231"/>
      <c r="H81" s="231"/>
      <c r="I81" s="231"/>
      <c r="J81" s="231"/>
      <c r="K81" s="468">
        <f>(D81*i_o+E81)</f>
        <v>1.6</v>
      </c>
    </row>
    <row r="82" spans="1:12" x14ac:dyDescent="0.2">
      <c r="A82" s="268" t="s">
        <v>1181</v>
      </c>
      <c r="B82" s="231"/>
      <c r="C82" s="231"/>
      <c r="D82" s="231"/>
      <c r="E82" s="231"/>
      <c r="F82" s="232">
        <f>VLOOKUP(tipo_controllore2,'Elenchi controllo_Parametri'!$A$1:$L$7,8,FALSE)</f>
        <v>1.5</v>
      </c>
      <c r="G82" s="232">
        <f>VLOOKUP(tipo_controllore2,'Elenchi controllo_Parametri'!$A$1:$L$7,9,FALSE)</f>
        <v>26</v>
      </c>
      <c r="H82" s="231"/>
      <c r="I82" s="231"/>
      <c r="J82" s="231"/>
      <c r="K82" s="468">
        <f>(Nr_linee*nr_wp_medio*F82+G82)</f>
        <v>26</v>
      </c>
    </row>
    <row r="83" spans="1:12" x14ac:dyDescent="0.2">
      <c r="A83" s="268" t="s">
        <v>1183</v>
      </c>
      <c r="B83" s="231"/>
      <c r="C83" s="231"/>
      <c r="D83" s="231"/>
      <c r="E83" s="231"/>
      <c r="F83" s="231"/>
      <c r="G83" s="231"/>
      <c r="H83" s="232">
        <f>VLOOKUP(tipo_controllore2,'Elenchi controllo_Parametri'!$A$1:$L$7,10,FALSE)</f>
        <v>1.7</v>
      </c>
      <c r="I83" s="232">
        <f>VLOOKUP(tipo_controllore2,'Elenchi controllo_Parametri'!$A$1:$L$7,11,FALSE)</f>
        <v>5</v>
      </c>
      <c r="J83" s="231"/>
      <c r="K83" s="468">
        <f>(H83*complessita+I83)</f>
        <v>5</v>
      </c>
    </row>
    <row r="84" spans="1:12" x14ac:dyDescent="0.2">
      <c r="A84" s="62" t="s">
        <v>814</v>
      </c>
      <c r="B84" s="228">
        <f>impianto!A7</f>
        <v>0</v>
      </c>
      <c r="D84" s="62"/>
      <c r="E84" s="62"/>
      <c r="F84" s="62"/>
      <c r="G84" s="62"/>
      <c r="H84" s="62"/>
      <c r="I84" s="62"/>
      <c r="J84" s="232">
        <f>VLOOKUP(tipo_controllore2,'Elenchi controllo_Parametri'!$A$1:$L$7,12,FALSE)</f>
        <v>8</v>
      </c>
      <c r="K84" s="468">
        <f>(B84*J84+C84*F84)</f>
        <v>0</v>
      </c>
    </row>
    <row r="85" spans="1:12" x14ac:dyDescent="0.2">
      <c r="D85" s="62"/>
      <c r="E85" s="62"/>
      <c r="F85" s="62"/>
      <c r="G85" s="62"/>
      <c r="H85" s="62"/>
      <c r="I85" s="62"/>
      <c r="J85" s="62"/>
      <c r="K85" s="290">
        <f>SUBTOTAL(9,K81:K84)</f>
        <v>32.6</v>
      </c>
      <c r="L85" s="288" t="s">
        <v>1191</v>
      </c>
    </row>
    <row r="86" spans="1:12" ht="13.5" thickBot="1" x14ac:dyDescent="0.25">
      <c r="A86" s="233" t="s">
        <v>815</v>
      </c>
      <c r="B86" s="905"/>
      <c r="C86" s="905"/>
      <c r="D86" s="13"/>
      <c r="E86" s="13" t="s">
        <v>1187</v>
      </c>
      <c r="F86" s="13" t="s">
        <v>1189</v>
      </c>
      <c r="G86" s="13" t="s">
        <v>1287</v>
      </c>
      <c r="H86" s="13"/>
      <c r="I86" s="13"/>
      <c r="J86" s="13"/>
      <c r="K86" s="237"/>
      <c r="L86" s="238"/>
    </row>
    <row r="87" spans="1:12" x14ac:dyDescent="0.2">
      <c r="A87" s="62" t="s">
        <v>816</v>
      </c>
      <c r="D87" s="224"/>
      <c r="E87" s="232">
        <v>0.1</v>
      </c>
      <c r="F87" s="232">
        <v>2</v>
      </c>
      <c r="G87" s="15">
        <v>20</v>
      </c>
      <c r="H87" s="62"/>
      <c r="K87" s="234"/>
    </row>
    <row r="88" spans="1:12" x14ac:dyDescent="0.2">
      <c r="D88" s="224"/>
      <c r="E88" s="232"/>
      <c r="F88" s="232"/>
      <c r="G88" s="62"/>
      <c r="H88" s="62"/>
      <c r="K88" s="234"/>
    </row>
    <row r="89" spans="1:12" x14ac:dyDescent="0.2">
      <c r="D89" s="224"/>
      <c r="E89" s="232"/>
      <c r="F89" s="232"/>
      <c r="G89" s="62"/>
      <c r="H89" s="62"/>
      <c r="K89" s="234"/>
    </row>
    <row r="90" spans="1:12" x14ac:dyDescent="0.2">
      <c r="D90" s="62" t="s">
        <v>862</v>
      </c>
      <c r="E90" s="62" t="s">
        <v>859</v>
      </c>
      <c r="F90" s="62"/>
      <c r="G90" s="62"/>
      <c r="H90" s="62"/>
    </row>
    <row r="91" spans="1:12" x14ac:dyDescent="0.2">
      <c r="A91" s="62" t="s">
        <v>860</v>
      </c>
      <c r="D91" s="62">
        <f>ROUNDUP(K91*E91,-1)</f>
        <v>1000</v>
      </c>
      <c r="E91" s="280">
        <v>50</v>
      </c>
      <c r="K91" s="239">
        <f>SUM(K60:K60)</f>
        <v>20</v>
      </c>
      <c r="L91" s="288" t="s">
        <v>2409</v>
      </c>
    </row>
    <row r="92" spans="1:12" x14ac:dyDescent="0.2">
      <c r="A92" s="62" t="s">
        <v>861</v>
      </c>
      <c r="D92" s="62">
        <f>ROUNDUP(K92*E92,-1)</f>
        <v>400</v>
      </c>
      <c r="E92" s="280">
        <v>50</v>
      </c>
      <c r="K92" s="289">
        <f>K77</f>
        <v>8</v>
      </c>
      <c r="L92" s="288" t="s">
        <v>2424</v>
      </c>
    </row>
    <row r="93" spans="1:12" x14ac:dyDescent="0.2">
      <c r="A93" s="16" t="s">
        <v>1115</v>
      </c>
      <c r="D93" s="62">
        <f>ROUNDUP(K93*E93,-1)</f>
        <v>1630</v>
      </c>
      <c r="E93" s="280">
        <v>50</v>
      </c>
      <c r="K93" s="240">
        <f>K85</f>
        <v>32.6</v>
      </c>
      <c r="L93" s="288" t="s">
        <v>2425</v>
      </c>
    </row>
    <row r="94" spans="1:12" x14ac:dyDescent="0.2">
      <c r="A94" s="16"/>
      <c r="D94" s="507">
        <f>K94*E94</f>
        <v>0</v>
      </c>
      <c r="E94" s="280">
        <v>80</v>
      </c>
      <c r="K94" s="240"/>
      <c r="L94" s="241" t="s">
        <v>817</v>
      </c>
    </row>
    <row r="95" spans="1:12" x14ac:dyDescent="0.2">
      <c r="B95" s="62">
        <f>SUM(D91:D94)</f>
        <v>3030</v>
      </c>
      <c r="C95" s="859">
        <f>IF(tipo_controllore2='Elenchi controllo_Parametri'!A6,manodopera!C96,0)</f>
        <v>0</v>
      </c>
      <c r="D95" s="247">
        <f>IF(SUM(B6:B8)=0,0,SUM(D91:D94)-(B95*C95))</f>
        <v>3030</v>
      </c>
      <c r="E95" s="231"/>
      <c r="F95" s="242"/>
      <c r="G95" s="242"/>
      <c r="H95"/>
      <c r="I95" s="242"/>
      <c r="J95" s="242"/>
      <c r="K95" s="243">
        <f>SUM(K91:K94)</f>
        <v>60.6</v>
      </c>
      <c r="L95" s="244" t="s">
        <v>818</v>
      </c>
    </row>
    <row r="96" spans="1:12" x14ac:dyDescent="0.2">
      <c r="B96" s="16"/>
      <c r="C96" s="858">
        <v>0.1</v>
      </c>
      <c r="D96" s="72"/>
      <c r="E96" s="72"/>
      <c r="F96" s="72"/>
      <c r="G96" s="72"/>
      <c r="H96" s="72"/>
      <c r="I96" s="72"/>
      <c r="J96" s="72"/>
    </row>
    <row r="97" spans="1:10" x14ac:dyDescent="0.2">
      <c r="B97" s="16"/>
      <c r="C97" s="16"/>
      <c r="D97" s="72"/>
      <c r="E97" s="72"/>
      <c r="F97" s="72"/>
      <c r="G97" s="72"/>
      <c r="H97" s="72"/>
      <c r="I97" s="72"/>
      <c r="J97" s="72"/>
    </row>
    <row r="98" spans="1:10" x14ac:dyDescent="0.2">
      <c r="A98" s="245" t="s">
        <v>819</v>
      </c>
      <c r="B98" s="16"/>
      <c r="C98" s="16"/>
      <c r="D98" s="72"/>
      <c r="E98" s="72"/>
      <c r="F98" s="72"/>
      <c r="G98" s="72"/>
      <c r="H98" s="72"/>
      <c r="I98" s="72"/>
      <c r="J98" s="72"/>
    </row>
    <row r="99" spans="1:10" x14ac:dyDescent="0.2">
      <c r="A99" s="231" t="s">
        <v>820</v>
      </c>
      <c r="B99" s="16"/>
      <c r="C99" s="16"/>
      <c r="D99" s="72"/>
      <c r="E99" s="72"/>
      <c r="F99" s="72"/>
      <c r="G99" s="72"/>
      <c r="H99" s="72"/>
      <c r="I99" s="72"/>
      <c r="J99" s="72"/>
    </row>
    <row r="100" spans="1:10" x14ac:dyDescent="0.2">
      <c r="A100" s="16" t="s">
        <v>821</v>
      </c>
      <c r="B100" s="16"/>
      <c r="C100" s="16"/>
      <c r="D100" s="72"/>
      <c r="E100" s="72"/>
      <c r="F100" s="72"/>
      <c r="G100" s="72"/>
      <c r="H100" s="72"/>
      <c r="I100" s="72"/>
      <c r="J100" s="72"/>
    </row>
    <row r="101" spans="1:10" x14ac:dyDescent="0.2">
      <c r="A101" s="16" t="s">
        <v>822</v>
      </c>
      <c r="B101" s="16"/>
      <c r="C101" s="16"/>
      <c r="D101" s="72"/>
      <c r="E101" s="72"/>
      <c r="F101" s="72"/>
      <c r="G101" s="72"/>
      <c r="H101" s="72"/>
      <c r="I101" s="72"/>
      <c r="J101" s="72"/>
    </row>
    <row r="102" spans="1:10" x14ac:dyDescent="0.2">
      <c r="A102" s="16" t="s">
        <v>823</v>
      </c>
      <c r="B102" s="16"/>
      <c r="C102" s="16"/>
      <c r="D102" s="72"/>
      <c r="E102" s="72"/>
      <c r="F102" s="72"/>
      <c r="G102" s="72"/>
      <c r="H102" s="72"/>
      <c r="I102" s="72"/>
      <c r="J102" s="72"/>
    </row>
    <row r="103" spans="1:10" x14ac:dyDescent="0.2">
      <c r="A103" s="16" t="s">
        <v>824</v>
      </c>
      <c r="B103" s="16"/>
      <c r="C103" s="16"/>
      <c r="D103" s="72"/>
      <c r="E103" s="72"/>
      <c r="F103" s="72"/>
      <c r="G103" s="72"/>
      <c r="H103" s="72"/>
      <c r="I103" s="72"/>
      <c r="J103" s="72"/>
    </row>
    <row r="104" spans="1:10" x14ac:dyDescent="0.2">
      <c r="A104" s="16" t="s">
        <v>825</v>
      </c>
      <c r="B104" s="16"/>
      <c r="C104" s="16"/>
      <c r="D104" s="72"/>
      <c r="E104" s="72"/>
      <c r="F104" s="72"/>
      <c r="G104" s="72"/>
      <c r="H104" s="72"/>
      <c r="I104" s="72"/>
      <c r="J104" s="72"/>
    </row>
    <row r="105" spans="1:10" x14ac:dyDescent="0.2">
      <c r="A105" s="16" t="s">
        <v>826</v>
      </c>
      <c r="B105" s="16"/>
      <c r="C105" s="16"/>
      <c r="D105" s="72"/>
      <c r="E105" s="72"/>
      <c r="F105" s="72"/>
      <c r="G105" s="72"/>
      <c r="H105" s="72"/>
      <c r="I105" s="72"/>
      <c r="J105" s="72"/>
    </row>
    <row r="106" spans="1:10" x14ac:dyDescent="0.2">
      <c r="A106" s="16" t="s">
        <v>827</v>
      </c>
      <c r="B106" s="16"/>
      <c r="C106" s="16"/>
      <c r="D106" s="72"/>
      <c r="E106" s="72"/>
      <c r="F106" s="72"/>
      <c r="G106" s="72"/>
      <c r="H106" s="72"/>
      <c r="I106" s="72"/>
      <c r="J106" s="72"/>
    </row>
    <row r="107" spans="1:10" x14ac:dyDescent="0.2">
      <c r="A107" s="16" t="s">
        <v>828</v>
      </c>
      <c r="B107" s="16"/>
      <c r="C107" s="16"/>
      <c r="D107" s="72"/>
      <c r="E107" s="72"/>
      <c r="F107" s="72"/>
      <c r="G107" s="72"/>
      <c r="H107" s="72"/>
      <c r="I107" s="72"/>
      <c r="J107" s="72"/>
    </row>
    <row r="108" spans="1:10" x14ac:dyDescent="0.2">
      <c r="A108" s="16" t="s">
        <v>829</v>
      </c>
      <c r="B108" s="16"/>
      <c r="C108" s="16"/>
      <c r="D108" s="72"/>
      <c r="E108" s="72"/>
      <c r="F108" s="72"/>
      <c r="G108" s="72"/>
      <c r="H108" s="72"/>
      <c r="I108" s="72"/>
      <c r="J108" s="72"/>
    </row>
    <row r="109" spans="1:10" x14ac:dyDescent="0.2">
      <c r="A109" s="16" t="s">
        <v>830</v>
      </c>
      <c r="B109" s="16"/>
      <c r="C109" s="16"/>
      <c r="D109" s="72"/>
      <c r="E109" s="72"/>
      <c r="F109" s="72"/>
      <c r="G109" s="72"/>
      <c r="H109" s="72"/>
      <c r="I109" s="72"/>
      <c r="J109" s="72"/>
    </row>
    <row r="110" spans="1:10" x14ac:dyDescent="0.2">
      <c r="A110" s="268" t="s">
        <v>1292</v>
      </c>
      <c r="B110" s="16"/>
      <c r="C110" s="16"/>
      <c r="D110" s="72"/>
      <c r="E110" s="72"/>
      <c r="F110" s="72"/>
      <c r="G110" s="72"/>
      <c r="H110" s="72"/>
      <c r="I110" s="72"/>
      <c r="J110" s="72"/>
    </row>
    <row r="111" spans="1:10" x14ac:dyDescent="0.2">
      <c r="A111" s="16" t="s">
        <v>831</v>
      </c>
      <c r="B111" s="16"/>
      <c r="C111" s="16"/>
      <c r="D111" s="72"/>
      <c r="E111" s="72"/>
      <c r="F111" s="72"/>
      <c r="G111" s="72"/>
      <c r="H111" s="72"/>
      <c r="I111" s="72"/>
      <c r="J111" s="72"/>
    </row>
    <row r="112" spans="1:10" x14ac:dyDescent="0.2">
      <c r="A112" s="16"/>
      <c r="B112" s="16"/>
      <c r="C112" s="16"/>
      <c r="D112" s="72"/>
      <c r="E112" s="72"/>
      <c r="F112" s="72"/>
      <c r="G112" s="72"/>
      <c r="H112" s="72"/>
      <c r="I112" s="72"/>
      <c r="J112" s="72"/>
    </row>
    <row r="113" spans="1:10" x14ac:dyDescent="0.2">
      <c r="A113" s="16"/>
      <c r="B113" s="231"/>
      <c r="C113" s="231"/>
      <c r="D113" s="242"/>
      <c r="E113" s="242"/>
      <c r="F113" s="242"/>
      <c r="G113" s="242"/>
      <c r="H113" s="242"/>
      <c r="I113" s="242"/>
      <c r="J113" s="242"/>
    </row>
    <row r="114" spans="1:10" x14ac:dyDescent="0.2">
      <c r="A114" s="16"/>
      <c r="B114" s="16"/>
      <c r="C114" s="16"/>
      <c r="D114" s="72"/>
      <c r="E114" s="72"/>
      <c r="F114" s="72"/>
      <c r="G114" s="72"/>
      <c r="H114" s="72"/>
      <c r="I114" s="72"/>
      <c r="J114" s="72"/>
    </row>
    <row r="115" spans="1:10" x14ac:dyDescent="0.2">
      <c r="A115" s="16"/>
      <c r="B115" s="16"/>
      <c r="C115" s="16"/>
      <c r="D115" s="72"/>
      <c r="E115" s="72"/>
      <c r="F115" s="72"/>
      <c r="G115" s="72"/>
      <c r="H115" s="72"/>
      <c r="I115" s="72"/>
      <c r="J115" s="72"/>
    </row>
    <row r="116" spans="1:10" x14ac:dyDescent="0.2">
      <c r="A116" s="16"/>
      <c r="B116" s="16"/>
      <c r="C116" s="16"/>
      <c r="D116" s="72"/>
      <c r="E116" s="72"/>
      <c r="F116" s="72"/>
      <c r="G116" s="72"/>
      <c r="H116" s="72"/>
      <c r="I116" s="72"/>
      <c r="J116" s="72"/>
    </row>
    <row r="117" spans="1:10" x14ac:dyDescent="0.2">
      <c r="A117" s="231" t="s">
        <v>832</v>
      </c>
    </row>
    <row r="118" spans="1:10" x14ac:dyDescent="0.2">
      <c r="A118" s="16" t="s">
        <v>821</v>
      </c>
      <c r="B118" s="231"/>
      <c r="C118" s="231"/>
      <c r="D118" s="242"/>
      <c r="E118" s="242"/>
      <c r="F118" s="242"/>
      <c r="G118" s="242"/>
      <c r="H118" s="242"/>
      <c r="I118" s="242"/>
      <c r="J118" s="242"/>
    </row>
    <row r="119" spans="1:10" x14ac:dyDescent="0.2">
      <c r="A119" s="16" t="s">
        <v>822</v>
      </c>
      <c r="B119" s="16"/>
      <c r="C119" s="16"/>
      <c r="D119" s="72"/>
      <c r="E119" s="72"/>
      <c r="F119" s="72"/>
      <c r="G119" s="72"/>
      <c r="H119" s="72"/>
      <c r="I119" s="72"/>
      <c r="J119" s="72"/>
    </row>
    <row r="120" spans="1:10" x14ac:dyDescent="0.2">
      <c r="A120" s="16" t="s">
        <v>831</v>
      </c>
      <c r="B120" s="16"/>
      <c r="C120" s="16"/>
      <c r="D120" s="72"/>
      <c r="E120" s="72"/>
      <c r="F120" s="72"/>
      <c r="G120" s="72"/>
      <c r="H120" s="72"/>
      <c r="I120" s="72"/>
      <c r="J120" s="72"/>
    </row>
    <row r="121" spans="1:10" x14ac:dyDescent="0.2">
      <c r="B121" s="16"/>
      <c r="C121" s="16"/>
      <c r="D121" s="72"/>
      <c r="E121" s="72"/>
      <c r="F121" s="72"/>
      <c r="G121" s="72"/>
      <c r="H121" s="72"/>
      <c r="I121" s="72"/>
      <c r="J121" s="72"/>
    </row>
    <row r="122" spans="1:10" x14ac:dyDescent="0.2">
      <c r="A122" s="231" t="s">
        <v>833</v>
      </c>
      <c r="B122" s="16"/>
      <c r="C122" s="16"/>
      <c r="D122" s="72"/>
      <c r="E122" s="72"/>
      <c r="F122" s="72"/>
      <c r="G122" s="72"/>
      <c r="H122" s="72"/>
      <c r="I122" s="72"/>
      <c r="J122" s="72"/>
    </row>
    <row r="123" spans="1:10" x14ac:dyDescent="0.2">
      <c r="A123" s="16" t="s">
        <v>834</v>
      </c>
      <c r="B123" s="16"/>
      <c r="C123" s="16"/>
      <c r="D123" s="72"/>
      <c r="E123" s="72"/>
      <c r="F123" s="72"/>
      <c r="G123" s="72"/>
      <c r="H123" s="72"/>
      <c r="I123" s="72"/>
      <c r="J123" s="72"/>
    </row>
    <row r="124" spans="1:10" x14ac:dyDescent="0.2">
      <c r="A124" s="16" t="s">
        <v>835</v>
      </c>
      <c r="B124" s="16"/>
      <c r="C124" s="16"/>
      <c r="D124" s="72"/>
      <c r="E124" s="72"/>
      <c r="F124" s="72"/>
      <c r="G124" s="72"/>
      <c r="H124" s="72"/>
      <c r="I124" s="72"/>
      <c r="J124" s="72"/>
    </row>
    <row r="125" spans="1:10" x14ac:dyDescent="0.2">
      <c r="A125" s="16" t="s">
        <v>836</v>
      </c>
      <c r="B125" s="16"/>
      <c r="C125" s="16"/>
      <c r="D125" s="242"/>
      <c r="E125" s="242"/>
      <c r="F125" s="242"/>
      <c r="G125" s="242"/>
      <c r="H125" s="242"/>
      <c r="I125" s="242"/>
      <c r="J125" s="242"/>
    </row>
    <row r="126" spans="1:10" x14ac:dyDescent="0.2">
      <c r="A126" s="16" t="s">
        <v>837</v>
      </c>
      <c r="B126" s="16"/>
      <c r="C126" s="16"/>
      <c r="D126" s="72"/>
      <c r="E126" s="72"/>
      <c r="F126" s="72"/>
      <c r="G126" s="72"/>
      <c r="H126" s="72"/>
      <c r="I126" s="72"/>
      <c r="J126" s="72"/>
    </row>
    <row r="127" spans="1:10" x14ac:dyDescent="0.2">
      <c r="A127" s="16" t="s">
        <v>838</v>
      </c>
      <c r="B127" s="16"/>
      <c r="C127" s="16"/>
      <c r="D127" s="72"/>
      <c r="E127" s="72"/>
      <c r="F127" s="72"/>
      <c r="G127" s="72"/>
      <c r="H127" s="72"/>
      <c r="I127" s="72"/>
      <c r="J127" s="72"/>
    </row>
    <row r="128" spans="1:10" x14ac:dyDescent="0.2">
      <c r="A128" s="16" t="s">
        <v>839</v>
      </c>
      <c r="B128" s="16"/>
      <c r="C128" s="16"/>
      <c r="D128" s="72"/>
      <c r="E128" s="72"/>
      <c r="F128" s="72"/>
      <c r="G128" s="72"/>
      <c r="H128" s="72"/>
      <c r="I128" s="72"/>
      <c r="J128" s="72"/>
    </row>
    <row r="129" spans="1:10" x14ac:dyDescent="0.2">
      <c r="A129" s="16" t="s">
        <v>840</v>
      </c>
      <c r="B129" s="16"/>
      <c r="C129" s="16"/>
      <c r="D129" s="72"/>
      <c r="E129" s="72"/>
      <c r="F129" s="72"/>
      <c r="G129" s="72"/>
      <c r="H129" s="72"/>
      <c r="I129" s="72"/>
      <c r="J129" s="72"/>
    </row>
    <row r="130" spans="1:10" x14ac:dyDescent="0.2">
      <c r="A130" s="16" t="s">
        <v>841</v>
      </c>
      <c r="B130" s="16"/>
      <c r="C130" s="16"/>
      <c r="D130" s="72"/>
      <c r="E130" s="72"/>
      <c r="F130" s="72"/>
      <c r="G130" s="72"/>
      <c r="H130" s="72"/>
      <c r="I130" s="72"/>
      <c r="J130" s="72"/>
    </row>
    <row r="131" spans="1:10" x14ac:dyDescent="0.2">
      <c r="A131" s="16" t="s">
        <v>842</v>
      </c>
      <c r="B131" s="16"/>
      <c r="C131" s="16"/>
      <c r="D131" s="72"/>
      <c r="E131" s="72"/>
      <c r="F131" s="72"/>
      <c r="G131" s="72"/>
      <c r="H131" s="72"/>
      <c r="I131" s="72"/>
      <c r="J131" s="72"/>
    </row>
    <row r="132" spans="1:10" x14ac:dyDescent="0.2">
      <c r="A132" s="16" t="s">
        <v>843</v>
      </c>
      <c r="B132" s="16"/>
      <c r="C132" s="16"/>
      <c r="D132" s="72"/>
      <c r="E132" s="72"/>
      <c r="F132" s="72"/>
      <c r="G132" s="72"/>
      <c r="H132" s="72"/>
      <c r="I132" s="72"/>
      <c r="J132" s="72"/>
    </row>
    <row r="133" spans="1:10" x14ac:dyDescent="0.2">
      <c r="A133" s="16" t="s">
        <v>844</v>
      </c>
      <c r="B133" s="16"/>
      <c r="C133" s="16"/>
      <c r="D133" s="72"/>
      <c r="E133" s="72"/>
      <c r="F133" s="72"/>
      <c r="G133" s="72"/>
      <c r="H133" s="72"/>
      <c r="I133" s="72"/>
      <c r="J133" s="72"/>
    </row>
    <row r="134" spans="1:10" x14ac:dyDescent="0.2">
      <c r="A134" s="16" t="s">
        <v>845</v>
      </c>
      <c r="B134" s="16"/>
      <c r="C134" s="16"/>
      <c r="D134" s="72"/>
      <c r="E134" s="72"/>
      <c r="F134" s="72"/>
      <c r="G134" s="72"/>
      <c r="H134" s="72"/>
      <c r="I134" s="72"/>
      <c r="J134" s="72"/>
    </row>
    <row r="135" spans="1:10" x14ac:dyDescent="0.2">
      <c r="A135" s="16" t="s">
        <v>846</v>
      </c>
      <c r="B135" s="16"/>
      <c r="C135" s="16"/>
      <c r="D135" s="72"/>
      <c r="E135" s="72"/>
      <c r="F135" s="72"/>
      <c r="G135" s="72"/>
      <c r="H135" s="72"/>
      <c r="I135" s="72"/>
      <c r="J135" s="72"/>
    </row>
    <row r="136" spans="1:10" x14ac:dyDescent="0.2">
      <c r="A136" s="16" t="s">
        <v>847</v>
      </c>
      <c r="B136" s="16"/>
      <c r="C136" s="16"/>
      <c r="D136" s="72"/>
      <c r="E136" s="72"/>
      <c r="F136" s="72"/>
      <c r="G136" s="72"/>
      <c r="H136" s="72"/>
      <c r="I136" s="72"/>
      <c r="J136" s="72"/>
    </row>
    <row r="137" spans="1:10" x14ac:dyDescent="0.2">
      <c r="A137" s="16" t="s">
        <v>848</v>
      </c>
      <c r="B137" s="16"/>
      <c r="C137" s="16"/>
      <c r="D137" s="72"/>
      <c r="E137" s="72"/>
      <c r="F137" s="72"/>
      <c r="G137" s="72"/>
      <c r="H137" s="72"/>
      <c r="I137" s="72"/>
      <c r="J137" s="72"/>
    </row>
    <row r="138" spans="1:10" x14ac:dyDescent="0.2">
      <c r="A138" s="16" t="s">
        <v>849</v>
      </c>
      <c r="B138" s="16"/>
      <c r="C138" s="16"/>
      <c r="D138" s="72"/>
      <c r="E138" s="72"/>
      <c r="F138" s="72"/>
      <c r="G138" s="72"/>
      <c r="H138" s="72"/>
      <c r="I138" s="72"/>
      <c r="J138" s="72"/>
    </row>
    <row r="139" spans="1:10" x14ac:dyDescent="0.2">
      <c r="A139" s="16" t="s">
        <v>850</v>
      </c>
    </row>
    <row r="140" spans="1:10" x14ac:dyDescent="0.2">
      <c r="A140" s="16" t="s">
        <v>851</v>
      </c>
    </row>
    <row r="141" spans="1:10" x14ac:dyDescent="0.2">
      <c r="A141" s="16" t="s">
        <v>852</v>
      </c>
    </row>
    <row r="142" spans="1:10" x14ac:dyDescent="0.2">
      <c r="A142" s="16" t="s">
        <v>853</v>
      </c>
    </row>
    <row r="143" spans="1:10" x14ac:dyDescent="0.2">
      <c r="A143" s="62" t="s">
        <v>854</v>
      </c>
    </row>
    <row r="144" spans="1:10" x14ac:dyDescent="0.2">
      <c r="A144" s="62" t="s">
        <v>855</v>
      </c>
    </row>
    <row r="145" spans="1:1" x14ac:dyDescent="0.2">
      <c r="A145" s="62" t="s">
        <v>856</v>
      </c>
    </row>
  </sheetData>
  <mergeCells count="6">
    <mergeCell ref="G62:I62"/>
    <mergeCell ref="B80:C80"/>
    <mergeCell ref="B86:C86"/>
    <mergeCell ref="B41:C41"/>
    <mergeCell ref="G17:I17"/>
    <mergeCell ref="B35:C3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Drop Down 2">
              <controlPr defaultSize="0" autoLine="0" autoPict="0">
                <anchor moveWithCells="1">
                  <from>
                    <xdr:col>0</xdr:col>
                    <xdr:colOff>3152775</xdr:colOff>
                    <xdr:row>11</xdr:row>
                    <xdr:rowOff>38100</xdr:rowOff>
                  </from>
                  <to>
                    <xdr:col>0</xdr:col>
                    <xdr:colOff>5372100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>
                <anchor moveWithCells="1">
                  <from>
                    <xdr:col>0</xdr:col>
                    <xdr:colOff>3152775</xdr:colOff>
                    <xdr:row>56</xdr:row>
                    <xdr:rowOff>38100</xdr:rowOff>
                  </from>
                  <to>
                    <xdr:col>0</xdr:col>
                    <xdr:colOff>5372100</xdr:colOff>
                    <xdr:row>56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>
    <pageSetUpPr fitToPage="1"/>
  </sheetPr>
  <dimension ref="A1:IV198"/>
  <sheetViews>
    <sheetView zoomScale="85" zoomScaleNormal="85" zoomScaleSheetLayoutView="130" workbookViewId="0">
      <pane xSplit="2" ySplit="2" topLeftCell="C69" activePane="bottomRight" state="frozenSplit"/>
      <selection pane="topRight" activeCell="C1" sqref="C1"/>
      <selection pane="bottomLeft" activeCell="A3" sqref="A3"/>
      <selection pane="bottomRight" activeCell="C3" sqref="C3"/>
    </sheetView>
  </sheetViews>
  <sheetFormatPr defaultColWidth="10.7109375" defaultRowHeight="12.75" outlineLevelRow="2" x14ac:dyDescent="0.2"/>
  <cols>
    <col min="1" max="1" width="43.28515625" style="122" bestFit="1" customWidth="1"/>
    <col min="2" max="2" width="14.85546875" style="85" customWidth="1"/>
    <col min="3" max="3" width="15.140625" style="85" customWidth="1"/>
    <col min="4" max="4" width="15.42578125" style="123" customWidth="1"/>
    <col min="5" max="5" width="11.28515625" style="85" customWidth="1"/>
    <col min="6" max="6" width="13.7109375" style="123" customWidth="1"/>
    <col min="7" max="7" width="12.7109375" style="85" customWidth="1"/>
    <col min="8" max="8" width="13.7109375" style="123" customWidth="1"/>
    <col min="9" max="9" width="12.7109375" style="85" customWidth="1"/>
    <col min="10" max="10" width="13.7109375" style="123" customWidth="1"/>
    <col min="11" max="11" width="12.7109375" style="85" customWidth="1"/>
    <col min="12" max="12" width="13.7109375" style="123" customWidth="1"/>
    <col min="13" max="13" width="12.7109375" style="85" customWidth="1"/>
    <col min="14" max="14" width="13.7109375" style="123" customWidth="1"/>
    <col min="15" max="15" width="12.7109375" style="85" customWidth="1"/>
    <col min="16" max="16" width="13.7109375" style="123" customWidth="1"/>
    <col min="17" max="17" width="12.7109375" style="85" customWidth="1"/>
    <col min="18" max="18" width="13.7109375" style="123" customWidth="1"/>
    <col min="19" max="19" width="12.7109375" style="85" customWidth="1"/>
    <col min="20" max="20" width="13.7109375" style="123" customWidth="1"/>
    <col min="21" max="21" width="12.7109375" style="85" customWidth="1"/>
    <col min="22" max="22" width="13.7109375" style="123" customWidth="1"/>
    <col min="23" max="23" width="13.7109375" style="102" customWidth="1"/>
    <col min="24" max="16384" width="10.7109375" style="102"/>
  </cols>
  <sheetData>
    <row r="1" spans="1:256" ht="15.75" outlineLevel="1" x14ac:dyDescent="0.25">
      <c r="A1" s="139" t="s">
        <v>637</v>
      </c>
      <c r="B1" s="121"/>
      <c r="C1" s="140" t="s">
        <v>652</v>
      </c>
      <c r="D1" s="141"/>
      <c r="E1" s="140" t="s">
        <v>703</v>
      </c>
      <c r="F1" s="141"/>
      <c r="G1" s="140" t="s">
        <v>704</v>
      </c>
      <c r="H1" s="141"/>
      <c r="I1" s="140" t="s">
        <v>705</v>
      </c>
      <c r="J1" s="141"/>
      <c r="K1" s="140" t="s">
        <v>706</v>
      </c>
      <c r="L1" s="141"/>
      <c r="M1" s="140" t="s">
        <v>707</v>
      </c>
      <c r="N1" s="141"/>
      <c r="O1" s="140" t="s">
        <v>708</v>
      </c>
      <c r="P1" s="141"/>
      <c r="Q1" s="140" t="s">
        <v>709</v>
      </c>
      <c r="R1" s="141"/>
      <c r="S1" s="140" t="s">
        <v>710</v>
      </c>
      <c r="T1" s="141"/>
      <c r="U1" s="142" t="s">
        <v>711</v>
      </c>
      <c r="V1" s="143"/>
    </row>
    <row r="2" spans="1:256" outlineLevel="1" x14ac:dyDescent="0.2">
      <c r="A2" s="133"/>
      <c r="B2" s="144" t="s">
        <v>630</v>
      </c>
      <c r="C2" s="134" t="s">
        <v>632</v>
      </c>
      <c r="D2" s="145" t="s">
        <v>920</v>
      </c>
      <c r="E2" s="136" t="s">
        <v>632</v>
      </c>
      <c r="F2" s="146" t="s">
        <v>920</v>
      </c>
      <c r="G2" s="134" t="s">
        <v>632</v>
      </c>
      <c r="H2" s="145" t="s">
        <v>920</v>
      </c>
      <c r="I2" s="134" t="s">
        <v>632</v>
      </c>
      <c r="J2" s="145" t="s">
        <v>920</v>
      </c>
      <c r="K2" s="134" t="s">
        <v>632</v>
      </c>
      <c r="L2" s="145" t="s">
        <v>920</v>
      </c>
      <c r="M2" s="134" t="s">
        <v>632</v>
      </c>
      <c r="N2" s="145" t="s">
        <v>920</v>
      </c>
      <c r="O2" s="134" t="s">
        <v>632</v>
      </c>
      <c r="P2" s="145" t="s">
        <v>920</v>
      </c>
      <c r="Q2" s="134" t="s">
        <v>632</v>
      </c>
      <c r="R2" s="145" t="s">
        <v>920</v>
      </c>
      <c r="S2" s="134" t="s">
        <v>632</v>
      </c>
      <c r="T2" s="145" t="s">
        <v>920</v>
      </c>
      <c r="U2" s="134" t="s">
        <v>632</v>
      </c>
      <c r="V2" s="147" t="s">
        <v>920</v>
      </c>
    </row>
    <row r="3" spans="1:256" ht="13.5" outlineLevel="1" thickBot="1" x14ac:dyDescent="0.25">
      <c r="A3" s="90" t="s">
        <v>993</v>
      </c>
      <c r="B3" s="84">
        <f>SUM(C3:V3)</f>
        <v>0</v>
      </c>
      <c r="C3" s="584">
        <f>impianto!N197</f>
        <v>0</v>
      </c>
      <c r="D3" s="87"/>
      <c r="E3" s="91">
        <f>impianto!P197</f>
        <v>0</v>
      </c>
      <c r="F3" s="88"/>
      <c r="G3" s="91">
        <f>impianto!R197</f>
        <v>0</v>
      </c>
      <c r="H3" s="87"/>
      <c r="I3" s="91">
        <f>impianto!T197</f>
        <v>0</v>
      </c>
      <c r="J3" s="87"/>
      <c r="K3" s="91">
        <f>impianto!V197</f>
        <v>0</v>
      </c>
      <c r="L3" s="87"/>
      <c r="M3" s="91">
        <f>impianto!X197</f>
        <v>0</v>
      </c>
      <c r="N3" s="87"/>
      <c r="O3" s="91">
        <f>impianto!Z197</f>
        <v>0</v>
      </c>
      <c r="P3" s="87"/>
      <c r="Q3" s="91">
        <f>impianto!AB197</f>
        <v>0</v>
      </c>
      <c r="R3" s="87"/>
      <c r="S3" s="91">
        <f>impianto!AD197</f>
        <v>0</v>
      </c>
      <c r="T3" s="87"/>
      <c r="U3" s="91">
        <f>impianto!AF197</f>
        <v>0</v>
      </c>
      <c r="V3" s="89"/>
    </row>
    <row r="4" spans="1:256" outlineLevel="1" x14ac:dyDescent="0.2">
      <c r="A4" s="125" t="s">
        <v>921</v>
      </c>
      <c r="B4" s="126">
        <f>SUM(C4:V4)</f>
        <v>0</v>
      </c>
      <c r="C4" s="127">
        <f>SUM(C5:C13)</f>
        <v>0</v>
      </c>
      <c r="D4" s="128"/>
      <c r="E4" s="129">
        <f>SUM(E5:E13)</f>
        <v>0</v>
      </c>
      <c r="F4" s="130"/>
      <c r="G4" s="127">
        <f>SUM(G5:G13)</f>
        <v>0</v>
      </c>
      <c r="H4" s="128"/>
      <c r="I4" s="127">
        <f>SUM(I5:I13)</f>
        <v>0</v>
      </c>
      <c r="J4" s="128"/>
      <c r="K4" s="127">
        <f>SUM(K5:K13)</f>
        <v>0</v>
      </c>
      <c r="L4" s="128"/>
      <c r="M4" s="127">
        <f>SUM(M5:M13)</f>
        <v>0</v>
      </c>
      <c r="N4" s="128"/>
      <c r="O4" s="127">
        <f>SUM(O5:O13)</f>
        <v>0</v>
      </c>
      <c r="P4" s="128"/>
      <c r="Q4" s="127">
        <f>SUM(Q5:Q13)</f>
        <v>0</v>
      </c>
      <c r="R4" s="128"/>
      <c r="S4" s="127">
        <f>SUM(S5:S13)</f>
        <v>0</v>
      </c>
      <c r="T4" s="128"/>
      <c r="U4" s="127">
        <f>SUM(U5:U13)</f>
        <v>0</v>
      </c>
      <c r="V4" s="131"/>
    </row>
    <row r="5" spans="1:256" s="103" customFormat="1" outlineLevel="2" x14ac:dyDescent="0.2">
      <c r="A5" s="90" t="s">
        <v>558</v>
      </c>
      <c r="B5" s="84"/>
      <c r="C5" s="86">
        <f t="array" ref="C5">SUM(IF(descrizione2=$A5,impianto!N$23:N$194,0))</f>
        <v>0</v>
      </c>
      <c r="D5" s="434">
        <f t="array" ref="D5">SUM(IF(descrizione2=$A5,impianto!AM$23:AM$194,0))</f>
        <v>0</v>
      </c>
      <c r="E5" s="86">
        <f t="array" ref="E5">SUM(IF(descrizione2=$A5,impianto!P$23:P$194,0))</f>
        <v>0</v>
      </c>
      <c r="F5" s="434">
        <f t="array" ref="F5">SUM(IF(descrizione2=$A5,impianto!AO$23:AO$194,0))</f>
        <v>0</v>
      </c>
      <c r="G5" s="86">
        <f t="array" ref="G5">SUM(IF(descrizione2=$A5,impianto!R$23:R$194,0))</f>
        <v>0</v>
      </c>
      <c r="H5" s="434">
        <f t="array" ref="H5">SUM(IF(descrizione2=$A5,impianto!AQ$23:AQ$194,0))</f>
        <v>0</v>
      </c>
      <c r="I5" s="86">
        <f t="array" ref="I5">SUM(IF(descrizione2=$A5,impianto!T$23:T$194,0))</f>
        <v>0</v>
      </c>
      <c r="J5" s="434">
        <f t="array" ref="J5">SUM(IF(descrizione2=$A5,impianto!AS$23:AS$194,0))</f>
        <v>0</v>
      </c>
      <c r="K5" s="86">
        <f t="array" ref="K5">SUM(IF(descrizione2=$A5,impianto!V$23:V$194,0))</f>
        <v>0</v>
      </c>
      <c r="L5" s="434">
        <f t="array" ref="L5">SUM(IF(descrizione2=$A5,impianto!AU$23:AU$194,0))</f>
        <v>0</v>
      </c>
      <c r="M5" s="86">
        <f t="array" ref="M5">SUM(IF(descrizione2=$A5,impianto!X$23:X$194,0))</f>
        <v>0</v>
      </c>
      <c r="N5" s="434">
        <f t="array" ref="N5">SUM(IF(descrizione2=$A5,impianto!AW$23:AW$194,0))</f>
        <v>0</v>
      </c>
      <c r="O5" s="86">
        <f t="array" ref="O5">SUM(IF(descrizione2=$A5,impianto!Z$23:Z$194,0))</f>
        <v>0</v>
      </c>
      <c r="P5" s="434">
        <f t="array" ref="P5">SUM(IF(descrizione2=$A5,impianto!AY$23:AY$194,0))</f>
        <v>0</v>
      </c>
      <c r="Q5" s="86">
        <f t="array" ref="Q5">SUM(IF(descrizione2=$A5,impianto!AB$23:AB$194,0))</f>
        <v>0</v>
      </c>
      <c r="R5" s="434">
        <f t="array" ref="R5">SUM(IF(descrizione2=$A5,impianto!BA$23:BA$194,0))</f>
        <v>0</v>
      </c>
      <c r="S5" s="86">
        <f t="array" ref="S5">SUM(IF(descrizione2=$A5,impianto!AD$23:AD$194,0))</f>
        <v>0</v>
      </c>
      <c r="T5" s="434">
        <f t="array" ref="T5">SUM(IF(descrizione2=$A5,impianto!BC$23:BC$194,0))</f>
        <v>0</v>
      </c>
      <c r="U5" s="86">
        <f t="array" ref="U5">SUM(IF(descrizione2=$A5,impianto!AF$23:AF$194,0))</f>
        <v>0</v>
      </c>
      <c r="V5" s="434">
        <f t="array" ref="V5">SUM(IF(descrizione2=$A5,impianto!BE$23:BE$194,0))</f>
        <v>0</v>
      </c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  <c r="DT5" s="102"/>
      <c r="DU5" s="102"/>
      <c r="DV5" s="102"/>
      <c r="DW5" s="102"/>
      <c r="DX5" s="102"/>
      <c r="DY5" s="102"/>
      <c r="DZ5" s="102"/>
      <c r="EA5" s="102"/>
      <c r="EB5" s="102"/>
      <c r="EC5" s="102"/>
      <c r="ED5" s="102"/>
      <c r="EE5" s="102"/>
      <c r="EF5" s="102"/>
      <c r="EG5" s="102"/>
      <c r="EH5" s="102"/>
      <c r="EI5" s="102"/>
      <c r="EJ5" s="102"/>
      <c r="EK5" s="102"/>
      <c r="EL5" s="102"/>
      <c r="EM5" s="102"/>
      <c r="EN5" s="102"/>
      <c r="EO5" s="102"/>
      <c r="EP5" s="102"/>
      <c r="EQ5" s="102"/>
      <c r="ER5" s="102"/>
      <c r="ES5" s="102"/>
      <c r="ET5" s="102"/>
      <c r="EU5" s="102"/>
      <c r="EV5" s="102"/>
      <c r="EW5" s="102"/>
      <c r="EX5" s="102"/>
      <c r="EY5" s="102"/>
      <c r="EZ5" s="102"/>
      <c r="FA5" s="102"/>
      <c r="FB5" s="102"/>
      <c r="FC5" s="102"/>
      <c r="FD5" s="102"/>
      <c r="FE5" s="102"/>
      <c r="FF5" s="102"/>
      <c r="FG5" s="102"/>
      <c r="FH5" s="102"/>
      <c r="FI5" s="102"/>
      <c r="FJ5" s="102"/>
      <c r="FK5" s="102"/>
      <c r="FL5" s="102"/>
      <c r="FM5" s="102"/>
      <c r="FN5" s="102"/>
      <c r="FO5" s="102"/>
      <c r="FP5" s="102"/>
      <c r="FQ5" s="102"/>
      <c r="FR5" s="102"/>
      <c r="FS5" s="102"/>
      <c r="FT5" s="102"/>
      <c r="FU5" s="102"/>
      <c r="FV5" s="102"/>
      <c r="FW5" s="102"/>
      <c r="FX5" s="102"/>
      <c r="FY5" s="102"/>
      <c r="FZ5" s="102"/>
      <c r="GA5" s="102"/>
      <c r="GB5" s="102"/>
      <c r="GC5" s="102"/>
      <c r="GD5" s="102"/>
      <c r="GE5" s="102"/>
      <c r="GF5" s="102"/>
      <c r="GG5" s="102"/>
      <c r="GH5" s="102"/>
      <c r="GI5" s="102"/>
      <c r="GJ5" s="102"/>
      <c r="GK5" s="102"/>
      <c r="GL5" s="102"/>
      <c r="GM5" s="102"/>
      <c r="GN5" s="102"/>
      <c r="GO5" s="102"/>
      <c r="GP5" s="102"/>
      <c r="GQ5" s="102"/>
      <c r="GR5" s="102"/>
      <c r="GS5" s="102"/>
      <c r="GT5" s="102"/>
      <c r="GU5" s="102"/>
      <c r="GV5" s="102"/>
      <c r="GW5" s="102"/>
      <c r="GX5" s="102"/>
      <c r="GY5" s="102"/>
      <c r="GZ5" s="102"/>
      <c r="HA5" s="102"/>
      <c r="HB5" s="102"/>
      <c r="HC5" s="102"/>
      <c r="HD5" s="102"/>
      <c r="HE5" s="102"/>
      <c r="HF5" s="102"/>
      <c r="HG5" s="102"/>
      <c r="HH5" s="102"/>
      <c r="HI5" s="102"/>
      <c r="HJ5" s="102"/>
      <c r="HK5" s="102"/>
      <c r="HL5" s="102"/>
      <c r="HM5" s="102"/>
      <c r="HN5" s="102"/>
      <c r="HO5" s="102"/>
      <c r="HP5" s="102"/>
      <c r="HQ5" s="102"/>
      <c r="HR5" s="102"/>
      <c r="HS5" s="102"/>
      <c r="HT5" s="102"/>
      <c r="HU5" s="102"/>
      <c r="HV5" s="102"/>
      <c r="HW5" s="102"/>
      <c r="HX5" s="102"/>
      <c r="HY5" s="102"/>
      <c r="HZ5" s="102"/>
      <c r="IA5" s="102"/>
      <c r="IB5" s="102"/>
      <c r="IC5" s="102"/>
      <c r="ID5" s="102"/>
      <c r="IE5" s="102"/>
      <c r="IF5" s="102"/>
      <c r="IG5" s="102"/>
      <c r="IH5" s="102"/>
      <c r="II5" s="102"/>
      <c r="IJ5" s="102"/>
      <c r="IK5" s="102"/>
      <c r="IL5" s="102"/>
      <c r="IM5" s="102"/>
      <c r="IN5" s="102"/>
      <c r="IO5" s="102"/>
      <c r="IP5" s="102"/>
      <c r="IQ5" s="102"/>
      <c r="IR5" s="102"/>
      <c r="IS5" s="102"/>
      <c r="IT5" s="102"/>
      <c r="IU5" s="102"/>
      <c r="IV5" s="102"/>
    </row>
    <row r="6" spans="1:256" s="103" customFormat="1" outlineLevel="2" x14ac:dyDescent="0.2">
      <c r="A6" s="90" t="s">
        <v>563</v>
      </c>
      <c r="B6" s="84"/>
      <c r="C6" s="86">
        <f t="array" ref="C6">SUM(IF(descrizione2=$A6,impianto!N$23:N$194,0))</f>
        <v>0</v>
      </c>
      <c r="D6" s="434">
        <f t="array" ref="D6">SUM(IF(descrizione2=$A6,impianto!AM$23:AM$194,0))</f>
        <v>0</v>
      </c>
      <c r="E6" s="86">
        <f t="array" ref="E6">SUM(IF(descrizione2=$A6,impianto!P$23:P$194,0))</f>
        <v>0</v>
      </c>
      <c r="F6" s="434">
        <f t="array" ref="F6">SUM(IF(descrizione2=$A6,impianto!AO$23:AO$194,0))</f>
        <v>0</v>
      </c>
      <c r="G6" s="86">
        <f t="array" ref="G6">SUM(IF(descrizione2=$A6,impianto!R$23:R$194,0))</f>
        <v>0</v>
      </c>
      <c r="H6" s="434">
        <f t="array" ref="H6">SUM(IF(descrizione2=$A6,impianto!AQ$23:AQ$194,0))</f>
        <v>0</v>
      </c>
      <c r="I6" s="86">
        <f t="array" ref="I6">SUM(IF(descrizione2=$A6,impianto!T$23:T$194,0))</f>
        <v>0</v>
      </c>
      <c r="J6" s="434">
        <f t="array" ref="J6">SUM(IF(descrizione2=$A6,impianto!AS$23:AS$194,0))</f>
        <v>0</v>
      </c>
      <c r="K6" s="86">
        <f t="array" ref="K6">SUM(IF(descrizione2=$A6,impianto!V$23:V$194,0))</f>
        <v>0</v>
      </c>
      <c r="L6" s="434">
        <f t="array" ref="L6">SUM(IF(descrizione2=$A6,impianto!AU$23:AU$194,0))</f>
        <v>0</v>
      </c>
      <c r="M6" s="86">
        <f t="array" ref="M6">SUM(IF(descrizione2=$A6,impianto!X$23:X$194,0))</f>
        <v>0</v>
      </c>
      <c r="N6" s="434">
        <f t="array" ref="N6">SUM(IF(descrizione2=$A6,impianto!AW$23:AW$194,0))</f>
        <v>0</v>
      </c>
      <c r="O6" s="86">
        <f t="array" ref="O6">SUM(IF(descrizione2=$A6,impianto!Z$23:Z$194,0))</f>
        <v>0</v>
      </c>
      <c r="P6" s="434">
        <f t="array" ref="P6">SUM(IF(descrizione2=$A6,impianto!AY$23:AY$194,0))</f>
        <v>0</v>
      </c>
      <c r="Q6" s="86">
        <f t="array" ref="Q6">SUM(IF(descrizione2=$A6,impianto!AB$23:AB$194,0))</f>
        <v>0</v>
      </c>
      <c r="R6" s="434">
        <f t="array" ref="R6">SUM(IF(descrizione2=$A6,impianto!BA$23:BA$194,0))</f>
        <v>0</v>
      </c>
      <c r="S6" s="86">
        <f t="array" ref="S6">SUM(IF(descrizione2=$A6,impianto!AD$23:AD$194,0))</f>
        <v>0</v>
      </c>
      <c r="T6" s="434">
        <f t="array" ref="T6">SUM(IF(descrizione2=$A6,impianto!BC$23:BC$194,0))</f>
        <v>0</v>
      </c>
      <c r="U6" s="86">
        <f t="array" ref="U6">SUM(IF(descrizione2=$A6,impianto!AF$23:AF$194,0))</f>
        <v>0</v>
      </c>
      <c r="V6" s="434">
        <f t="array" ref="V6">SUM(IF(descrizione2=$A6,impianto!BE$23:BE$194,0))</f>
        <v>0</v>
      </c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02"/>
      <c r="DE6" s="102"/>
      <c r="DF6" s="102"/>
      <c r="DG6" s="102"/>
      <c r="DH6" s="102"/>
      <c r="DI6" s="102"/>
      <c r="DJ6" s="102"/>
      <c r="DK6" s="102"/>
      <c r="DL6" s="102"/>
      <c r="DM6" s="102"/>
      <c r="DN6" s="102"/>
      <c r="DO6" s="102"/>
      <c r="DP6" s="102"/>
      <c r="DQ6" s="102"/>
      <c r="DR6" s="102"/>
      <c r="DS6" s="102"/>
      <c r="DT6" s="102"/>
      <c r="DU6" s="102"/>
      <c r="DV6" s="102"/>
      <c r="DW6" s="102"/>
      <c r="DX6" s="102"/>
      <c r="DY6" s="102"/>
      <c r="DZ6" s="102"/>
      <c r="EA6" s="102"/>
      <c r="EB6" s="102"/>
      <c r="EC6" s="102"/>
      <c r="ED6" s="102"/>
      <c r="EE6" s="102"/>
      <c r="EF6" s="102"/>
      <c r="EG6" s="102"/>
      <c r="EH6" s="102"/>
      <c r="EI6" s="102"/>
      <c r="EJ6" s="102"/>
      <c r="EK6" s="102"/>
      <c r="EL6" s="102"/>
      <c r="EM6" s="102"/>
      <c r="EN6" s="102"/>
      <c r="EO6" s="102"/>
      <c r="EP6" s="102"/>
      <c r="EQ6" s="102"/>
      <c r="ER6" s="102"/>
      <c r="ES6" s="102"/>
      <c r="ET6" s="102"/>
      <c r="EU6" s="102"/>
      <c r="EV6" s="102"/>
      <c r="EW6" s="102"/>
      <c r="EX6" s="102"/>
      <c r="EY6" s="102"/>
      <c r="EZ6" s="102"/>
      <c r="FA6" s="102"/>
      <c r="FB6" s="102"/>
      <c r="FC6" s="102"/>
      <c r="FD6" s="102"/>
      <c r="FE6" s="102"/>
      <c r="FF6" s="102"/>
      <c r="FG6" s="102"/>
      <c r="FH6" s="102"/>
      <c r="FI6" s="102"/>
      <c r="FJ6" s="102"/>
      <c r="FK6" s="102"/>
      <c r="FL6" s="102"/>
      <c r="FM6" s="102"/>
      <c r="FN6" s="102"/>
      <c r="FO6" s="102"/>
      <c r="FP6" s="102"/>
      <c r="FQ6" s="102"/>
      <c r="FR6" s="102"/>
      <c r="FS6" s="102"/>
      <c r="FT6" s="102"/>
      <c r="FU6" s="102"/>
      <c r="FV6" s="102"/>
      <c r="FW6" s="102"/>
      <c r="FX6" s="102"/>
      <c r="FY6" s="102"/>
      <c r="FZ6" s="102"/>
      <c r="GA6" s="102"/>
      <c r="GB6" s="102"/>
      <c r="GC6" s="102"/>
      <c r="GD6" s="102"/>
      <c r="GE6" s="102"/>
      <c r="GF6" s="102"/>
      <c r="GG6" s="102"/>
      <c r="GH6" s="102"/>
      <c r="GI6" s="102"/>
      <c r="GJ6" s="102"/>
      <c r="GK6" s="102"/>
      <c r="GL6" s="102"/>
      <c r="GM6" s="102"/>
      <c r="GN6" s="102"/>
      <c r="GO6" s="102"/>
      <c r="GP6" s="102"/>
      <c r="GQ6" s="102"/>
      <c r="GR6" s="102"/>
      <c r="GS6" s="102"/>
      <c r="GT6" s="102"/>
      <c r="GU6" s="102"/>
      <c r="GV6" s="102"/>
      <c r="GW6" s="102"/>
      <c r="GX6" s="102"/>
      <c r="GY6" s="102"/>
      <c r="GZ6" s="102"/>
      <c r="HA6" s="102"/>
      <c r="HB6" s="102"/>
      <c r="HC6" s="102"/>
      <c r="HD6" s="102"/>
      <c r="HE6" s="102"/>
      <c r="HF6" s="102"/>
      <c r="HG6" s="102"/>
      <c r="HH6" s="102"/>
      <c r="HI6" s="102"/>
      <c r="HJ6" s="102"/>
      <c r="HK6" s="102"/>
      <c r="HL6" s="102"/>
      <c r="HM6" s="102"/>
      <c r="HN6" s="102"/>
      <c r="HO6" s="102"/>
      <c r="HP6" s="102"/>
      <c r="HQ6" s="102"/>
      <c r="HR6" s="102"/>
      <c r="HS6" s="102"/>
      <c r="HT6" s="102"/>
      <c r="HU6" s="102"/>
      <c r="HV6" s="102"/>
      <c r="HW6" s="102"/>
      <c r="HX6" s="102"/>
      <c r="HY6" s="102"/>
      <c r="HZ6" s="102"/>
      <c r="IA6" s="102"/>
      <c r="IB6" s="102"/>
      <c r="IC6" s="102"/>
      <c r="ID6" s="102"/>
      <c r="IE6" s="102"/>
      <c r="IF6" s="102"/>
      <c r="IG6" s="102"/>
      <c r="IH6" s="102"/>
      <c r="II6" s="102"/>
      <c r="IJ6" s="102"/>
      <c r="IK6" s="102"/>
      <c r="IL6" s="102"/>
      <c r="IM6" s="102"/>
      <c r="IN6" s="102"/>
      <c r="IO6" s="102"/>
      <c r="IP6" s="102"/>
      <c r="IQ6" s="102"/>
      <c r="IR6" s="102"/>
      <c r="IS6" s="102"/>
      <c r="IT6" s="102"/>
      <c r="IU6" s="102"/>
      <c r="IV6" s="102"/>
    </row>
    <row r="7" spans="1:256" s="103" customFormat="1" outlineLevel="2" x14ac:dyDescent="0.2">
      <c r="A7" s="90" t="s">
        <v>564</v>
      </c>
      <c r="B7" s="84"/>
      <c r="C7" s="86">
        <f t="array" ref="C7">SUM(IF(descrizione2=$A7,impianto!N$23:N$194,0))</f>
        <v>0</v>
      </c>
      <c r="D7" s="434">
        <f t="array" ref="D7">SUM(IF(descrizione2=$A7,impianto!AM$23:AM$194,0))</f>
        <v>0</v>
      </c>
      <c r="E7" s="86">
        <f t="array" ref="E7">SUM(IF(descrizione2=$A7,impianto!P$23:P$194,0))</f>
        <v>0</v>
      </c>
      <c r="F7" s="434">
        <f t="array" ref="F7">SUM(IF(descrizione2=$A7,impianto!AO$23:AO$194,0))</f>
        <v>0</v>
      </c>
      <c r="G7" s="86">
        <f t="array" ref="G7">SUM(IF(descrizione2=$A7,impianto!R$23:R$194,0))</f>
        <v>0</v>
      </c>
      <c r="H7" s="434">
        <f t="array" ref="H7">SUM(IF(descrizione2=$A7,impianto!AQ$23:AQ$194,0))</f>
        <v>0</v>
      </c>
      <c r="I7" s="86">
        <f t="array" ref="I7">SUM(IF(descrizione2=$A7,impianto!T$23:T$194,0))</f>
        <v>0</v>
      </c>
      <c r="J7" s="434">
        <f t="array" ref="J7">SUM(IF(descrizione2=$A7,impianto!AS$23:AS$194,0))</f>
        <v>0</v>
      </c>
      <c r="K7" s="86">
        <f t="array" ref="K7">SUM(IF(descrizione2=$A7,impianto!V$23:V$194,0))</f>
        <v>0</v>
      </c>
      <c r="L7" s="434">
        <f t="array" ref="L7">SUM(IF(descrizione2=$A7,impianto!AU$23:AU$194,0))</f>
        <v>0</v>
      </c>
      <c r="M7" s="86">
        <f t="array" ref="M7">SUM(IF(descrizione2=$A7,impianto!X$23:X$194,0))</f>
        <v>0</v>
      </c>
      <c r="N7" s="434">
        <f t="array" ref="N7">SUM(IF(descrizione2=$A7,impianto!AW$23:AW$194,0))</f>
        <v>0</v>
      </c>
      <c r="O7" s="86">
        <f t="array" ref="O7">SUM(IF(descrizione2=$A7,impianto!Z$23:Z$194,0))</f>
        <v>0</v>
      </c>
      <c r="P7" s="434">
        <f t="array" ref="P7">SUM(IF(descrizione2=$A7,impianto!AY$23:AY$194,0))</f>
        <v>0</v>
      </c>
      <c r="Q7" s="86">
        <f t="array" ref="Q7">SUM(IF(descrizione2=$A7,impianto!AB$23:AB$194,0))</f>
        <v>0</v>
      </c>
      <c r="R7" s="434">
        <f t="array" ref="R7">SUM(IF(descrizione2=$A7,impianto!BA$23:BA$194,0))</f>
        <v>0</v>
      </c>
      <c r="S7" s="86">
        <f t="array" ref="S7">SUM(IF(descrizione2=$A7,impianto!AD$23:AD$194,0))</f>
        <v>0</v>
      </c>
      <c r="T7" s="434">
        <f t="array" ref="T7">SUM(IF(descrizione2=$A7,impianto!BC$23:BC$194,0))</f>
        <v>0</v>
      </c>
      <c r="U7" s="86">
        <f t="array" ref="U7">SUM(IF(descrizione2=$A7,impianto!AF$23:AF$194,0))</f>
        <v>0</v>
      </c>
      <c r="V7" s="434">
        <f t="array" ref="V7">SUM(IF(descrizione2=$A7,impianto!BE$23:BE$194,0))</f>
        <v>0</v>
      </c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2"/>
      <c r="DK7" s="102"/>
      <c r="DL7" s="102"/>
      <c r="DM7" s="102"/>
      <c r="DN7" s="102"/>
      <c r="DO7" s="102"/>
      <c r="DP7" s="102"/>
      <c r="DQ7" s="102"/>
      <c r="DR7" s="102"/>
      <c r="DS7" s="102"/>
      <c r="DT7" s="102"/>
      <c r="DU7" s="102"/>
      <c r="DV7" s="102"/>
      <c r="DW7" s="102"/>
      <c r="DX7" s="102"/>
      <c r="DY7" s="102"/>
      <c r="DZ7" s="102"/>
      <c r="EA7" s="102"/>
      <c r="EB7" s="102"/>
      <c r="EC7" s="102"/>
      <c r="ED7" s="102"/>
      <c r="EE7" s="102"/>
      <c r="EF7" s="102"/>
      <c r="EG7" s="102"/>
      <c r="EH7" s="102"/>
      <c r="EI7" s="102"/>
      <c r="EJ7" s="102"/>
      <c r="EK7" s="102"/>
      <c r="EL7" s="102"/>
      <c r="EM7" s="102"/>
      <c r="EN7" s="102"/>
      <c r="EO7" s="102"/>
      <c r="EP7" s="102"/>
      <c r="EQ7" s="102"/>
      <c r="ER7" s="102"/>
      <c r="ES7" s="102"/>
      <c r="ET7" s="102"/>
      <c r="EU7" s="102"/>
      <c r="EV7" s="102"/>
      <c r="EW7" s="102"/>
      <c r="EX7" s="102"/>
      <c r="EY7" s="102"/>
      <c r="EZ7" s="102"/>
      <c r="FA7" s="102"/>
      <c r="FB7" s="102"/>
      <c r="FC7" s="102"/>
      <c r="FD7" s="102"/>
      <c r="FE7" s="102"/>
      <c r="FF7" s="102"/>
      <c r="FG7" s="102"/>
      <c r="FH7" s="102"/>
      <c r="FI7" s="102"/>
      <c r="FJ7" s="102"/>
      <c r="FK7" s="102"/>
      <c r="FL7" s="102"/>
      <c r="FM7" s="102"/>
      <c r="FN7" s="102"/>
      <c r="FO7" s="102"/>
      <c r="FP7" s="102"/>
      <c r="FQ7" s="102"/>
      <c r="FR7" s="102"/>
      <c r="FS7" s="102"/>
      <c r="FT7" s="102"/>
      <c r="FU7" s="102"/>
      <c r="FV7" s="102"/>
      <c r="FW7" s="102"/>
      <c r="FX7" s="102"/>
      <c r="FY7" s="102"/>
      <c r="FZ7" s="102"/>
      <c r="GA7" s="102"/>
      <c r="GB7" s="102"/>
      <c r="GC7" s="102"/>
      <c r="GD7" s="102"/>
      <c r="GE7" s="102"/>
      <c r="GF7" s="102"/>
      <c r="GG7" s="102"/>
      <c r="GH7" s="102"/>
      <c r="GI7" s="102"/>
      <c r="GJ7" s="102"/>
      <c r="GK7" s="102"/>
      <c r="GL7" s="102"/>
      <c r="GM7" s="102"/>
      <c r="GN7" s="102"/>
      <c r="GO7" s="102"/>
      <c r="GP7" s="102"/>
      <c r="GQ7" s="102"/>
      <c r="GR7" s="102"/>
      <c r="GS7" s="102"/>
      <c r="GT7" s="102"/>
      <c r="GU7" s="102"/>
      <c r="GV7" s="102"/>
      <c r="GW7" s="102"/>
      <c r="GX7" s="102"/>
      <c r="GY7" s="102"/>
      <c r="GZ7" s="102"/>
      <c r="HA7" s="102"/>
      <c r="HB7" s="102"/>
      <c r="HC7" s="102"/>
      <c r="HD7" s="102"/>
      <c r="HE7" s="102"/>
      <c r="HF7" s="102"/>
      <c r="HG7" s="102"/>
      <c r="HH7" s="102"/>
      <c r="HI7" s="102"/>
      <c r="HJ7" s="102"/>
      <c r="HK7" s="102"/>
      <c r="HL7" s="102"/>
      <c r="HM7" s="102"/>
      <c r="HN7" s="102"/>
      <c r="HO7" s="102"/>
      <c r="HP7" s="102"/>
      <c r="HQ7" s="102"/>
      <c r="HR7" s="102"/>
      <c r="HS7" s="102"/>
      <c r="HT7" s="102"/>
      <c r="HU7" s="102"/>
      <c r="HV7" s="102"/>
      <c r="HW7" s="102"/>
      <c r="HX7" s="102"/>
      <c r="HY7" s="102"/>
      <c r="HZ7" s="102"/>
      <c r="IA7" s="102"/>
      <c r="IB7" s="102"/>
      <c r="IC7" s="102"/>
      <c r="ID7" s="102"/>
      <c r="IE7" s="102"/>
      <c r="IF7" s="102"/>
      <c r="IG7" s="102"/>
      <c r="IH7" s="102"/>
      <c r="II7" s="102"/>
      <c r="IJ7" s="102"/>
      <c r="IK7" s="102"/>
      <c r="IL7" s="102"/>
      <c r="IM7" s="102"/>
      <c r="IN7" s="102"/>
      <c r="IO7" s="102"/>
      <c r="IP7" s="102"/>
      <c r="IQ7" s="102"/>
      <c r="IR7" s="102"/>
      <c r="IS7" s="102"/>
      <c r="IT7" s="102"/>
      <c r="IU7" s="102"/>
      <c r="IV7" s="102"/>
    </row>
    <row r="8" spans="1:256" s="103" customFormat="1" outlineLevel="2" x14ac:dyDescent="0.2">
      <c r="A8" s="90" t="s">
        <v>549</v>
      </c>
      <c r="B8" s="84"/>
      <c r="C8" s="86">
        <f t="array" ref="C8">SUM(IF(descrizione2=$A8,impianto!N$23:N$194,0))</f>
        <v>0</v>
      </c>
      <c r="D8" s="434">
        <f t="array" ref="D8">SUM(IF(descrizione2=$A8,impianto!AM$23:AM$194,0))</f>
        <v>0</v>
      </c>
      <c r="E8" s="86">
        <f t="array" ref="E8">SUM(IF(descrizione2=$A8,impianto!P$23:P$194,0))</f>
        <v>0</v>
      </c>
      <c r="F8" s="434">
        <f t="array" ref="F8">SUM(IF(descrizione2=$A8,impianto!AO$23:AO$194,0))</f>
        <v>0</v>
      </c>
      <c r="G8" s="86">
        <f t="array" ref="G8">SUM(IF(descrizione2=$A8,impianto!R$23:R$194,0))</f>
        <v>0</v>
      </c>
      <c r="H8" s="434">
        <f t="array" ref="H8">SUM(IF(descrizione2=$A8,impianto!AQ$23:AQ$194,0))</f>
        <v>0</v>
      </c>
      <c r="I8" s="86">
        <f t="array" ref="I8">SUM(IF(descrizione2=$A8,impianto!T$23:T$194,0))</f>
        <v>0</v>
      </c>
      <c r="J8" s="434">
        <f t="array" ref="J8">SUM(IF(descrizione2=$A8,impianto!AS$23:AS$194,0))</f>
        <v>0</v>
      </c>
      <c r="K8" s="86">
        <f t="array" ref="K8">SUM(IF(descrizione2=$A8,impianto!V$23:V$194,0))</f>
        <v>0</v>
      </c>
      <c r="L8" s="434">
        <f t="array" ref="L8">SUM(IF(descrizione2=$A8,impianto!AU$23:AU$194,0))</f>
        <v>0</v>
      </c>
      <c r="M8" s="86">
        <f t="array" ref="M8">SUM(IF(descrizione2=$A8,impianto!X$23:X$194,0))</f>
        <v>0</v>
      </c>
      <c r="N8" s="434">
        <f t="array" ref="N8">SUM(IF(descrizione2=$A8,impianto!AW$23:AW$194,0))</f>
        <v>0</v>
      </c>
      <c r="O8" s="86">
        <f t="array" ref="O8">SUM(IF(descrizione2=$A8,impianto!Z$23:Z$194,0))</f>
        <v>0</v>
      </c>
      <c r="P8" s="434">
        <f t="array" ref="P8">SUM(IF(descrizione2=$A8,impianto!AY$23:AY$194,0))</f>
        <v>0</v>
      </c>
      <c r="Q8" s="86">
        <f t="array" ref="Q8">SUM(IF(descrizione2=$A8,impianto!AB$23:AB$194,0))</f>
        <v>0</v>
      </c>
      <c r="R8" s="434">
        <f t="array" ref="R8">SUM(IF(descrizione2=$A8,impianto!BA$23:BA$194,0))</f>
        <v>0</v>
      </c>
      <c r="S8" s="86">
        <f t="array" ref="S8">SUM(IF(descrizione2=$A8,impianto!AD$23:AD$194,0))</f>
        <v>0</v>
      </c>
      <c r="T8" s="434">
        <f t="array" ref="T8">SUM(IF(descrizione2=$A8,impianto!BC$23:BC$194,0))</f>
        <v>0</v>
      </c>
      <c r="U8" s="86">
        <f t="array" ref="U8">SUM(IF(descrizione2=$A8,impianto!AF$23:AF$194,0))</f>
        <v>0</v>
      </c>
      <c r="V8" s="434">
        <f t="array" ref="V8">SUM(IF(descrizione2=$A8,impianto!BE$23:BE$194,0))</f>
        <v>0</v>
      </c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  <c r="CW8" s="102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I8" s="102"/>
      <c r="DJ8" s="102"/>
      <c r="DK8" s="102"/>
      <c r="DL8" s="102"/>
      <c r="DM8" s="102"/>
      <c r="DN8" s="102"/>
      <c r="DO8" s="102"/>
      <c r="DP8" s="102"/>
      <c r="DQ8" s="102"/>
      <c r="DR8" s="102"/>
      <c r="DS8" s="102"/>
      <c r="DT8" s="102"/>
      <c r="DU8" s="102"/>
      <c r="DV8" s="102"/>
      <c r="DW8" s="102"/>
      <c r="DX8" s="102"/>
      <c r="DY8" s="102"/>
      <c r="DZ8" s="102"/>
      <c r="EA8" s="102"/>
      <c r="EB8" s="102"/>
      <c r="EC8" s="102"/>
      <c r="ED8" s="102"/>
      <c r="EE8" s="102"/>
      <c r="EF8" s="102"/>
      <c r="EG8" s="102"/>
      <c r="EH8" s="102"/>
      <c r="EI8" s="102"/>
      <c r="EJ8" s="102"/>
      <c r="EK8" s="102"/>
      <c r="EL8" s="102"/>
      <c r="EM8" s="102"/>
      <c r="EN8" s="102"/>
      <c r="EO8" s="102"/>
      <c r="EP8" s="102"/>
      <c r="EQ8" s="102"/>
      <c r="ER8" s="102"/>
      <c r="ES8" s="102"/>
      <c r="ET8" s="102"/>
      <c r="EU8" s="102"/>
      <c r="EV8" s="102"/>
      <c r="EW8" s="102"/>
      <c r="EX8" s="102"/>
      <c r="EY8" s="102"/>
      <c r="EZ8" s="102"/>
      <c r="FA8" s="102"/>
      <c r="FB8" s="102"/>
      <c r="FC8" s="102"/>
      <c r="FD8" s="102"/>
      <c r="FE8" s="102"/>
      <c r="FF8" s="102"/>
      <c r="FG8" s="102"/>
      <c r="FH8" s="102"/>
      <c r="FI8" s="102"/>
      <c r="FJ8" s="102"/>
      <c r="FK8" s="102"/>
      <c r="FL8" s="102"/>
      <c r="FM8" s="102"/>
      <c r="FN8" s="102"/>
      <c r="FO8" s="102"/>
      <c r="FP8" s="102"/>
      <c r="FQ8" s="102"/>
      <c r="FR8" s="102"/>
      <c r="FS8" s="102"/>
      <c r="FT8" s="102"/>
      <c r="FU8" s="102"/>
      <c r="FV8" s="102"/>
      <c r="FW8" s="102"/>
      <c r="FX8" s="102"/>
      <c r="FY8" s="102"/>
      <c r="FZ8" s="102"/>
      <c r="GA8" s="102"/>
      <c r="GB8" s="102"/>
      <c r="GC8" s="102"/>
      <c r="GD8" s="102"/>
      <c r="GE8" s="102"/>
      <c r="GF8" s="102"/>
      <c r="GG8" s="102"/>
      <c r="GH8" s="102"/>
      <c r="GI8" s="102"/>
      <c r="GJ8" s="102"/>
      <c r="GK8" s="102"/>
      <c r="GL8" s="102"/>
      <c r="GM8" s="102"/>
      <c r="GN8" s="102"/>
      <c r="GO8" s="102"/>
      <c r="GP8" s="102"/>
      <c r="GQ8" s="102"/>
      <c r="GR8" s="102"/>
      <c r="GS8" s="102"/>
      <c r="GT8" s="102"/>
      <c r="GU8" s="102"/>
      <c r="GV8" s="102"/>
      <c r="GW8" s="102"/>
      <c r="GX8" s="102"/>
      <c r="GY8" s="102"/>
      <c r="GZ8" s="102"/>
      <c r="HA8" s="102"/>
      <c r="HB8" s="102"/>
      <c r="HC8" s="102"/>
      <c r="HD8" s="102"/>
      <c r="HE8" s="102"/>
      <c r="HF8" s="102"/>
      <c r="HG8" s="102"/>
      <c r="HH8" s="102"/>
      <c r="HI8" s="102"/>
      <c r="HJ8" s="102"/>
      <c r="HK8" s="102"/>
      <c r="HL8" s="102"/>
      <c r="HM8" s="102"/>
      <c r="HN8" s="102"/>
      <c r="HO8" s="102"/>
      <c r="HP8" s="102"/>
      <c r="HQ8" s="102"/>
      <c r="HR8" s="102"/>
      <c r="HS8" s="102"/>
      <c r="HT8" s="102"/>
      <c r="HU8" s="102"/>
      <c r="HV8" s="102"/>
      <c r="HW8" s="102"/>
      <c r="HX8" s="102"/>
      <c r="HY8" s="102"/>
      <c r="HZ8" s="102"/>
      <c r="IA8" s="102"/>
      <c r="IB8" s="102"/>
      <c r="IC8" s="102"/>
      <c r="ID8" s="102"/>
      <c r="IE8" s="102"/>
      <c r="IF8" s="102"/>
      <c r="IG8" s="102"/>
      <c r="IH8" s="102"/>
      <c r="II8" s="102"/>
      <c r="IJ8" s="102"/>
      <c r="IK8" s="102"/>
      <c r="IL8" s="102"/>
      <c r="IM8" s="102"/>
      <c r="IN8" s="102"/>
      <c r="IO8" s="102"/>
      <c r="IP8" s="102"/>
      <c r="IQ8" s="102"/>
      <c r="IR8" s="102"/>
      <c r="IS8" s="102"/>
      <c r="IT8" s="102"/>
      <c r="IU8" s="102"/>
      <c r="IV8" s="102"/>
    </row>
    <row r="9" spans="1:256" s="103" customFormat="1" outlineLevel="2" x14ac:dyDescent="0.2">
      <c r="A9" s="90" t="s">
        <v>550</v>
      </c>
      <c r="B9" s="84"/>
      <c r="C9" s="86">
        <f t="array" ref="C9">SUM(IF(descrizione2=$A9,impianto!N$23:N$194,0))</f>
        <v>0</v>
      </c>
      <c r="D9" s="434">
        <f t="array" ref="D9">SUM(IF(descrizione2=$A9,impianto!AM$23:AM$194,0))</f>
        <v>0</v>
      </c>
      <c r="E9" s="86">
        <f t="array" ref="E9">SUM(IF(descrizione2=$A9,impianto!P$23:P$194,0))</f>
        <v>0</v>
      </c>
      <c r="F9" s="434">
        <f t="array" ref="F9">SUM(IF(descrizione2=$A9,impianto!AO$23:AO$194,0))</f>
        <v>0</v>
      </c>
      <c r="G9" s="86">
        <f t="array" ref="G9">SUM(IF(descrizione2=$A9,impianto!R$23:R$194,0))</f>
        <v>0</v>
      </c>
      <c r="H9" s="434">
        <f t="array" ref="H9">SUM(IF(descrizione2=$A9,impianto!AQ$23:AQ$194,0))</f>
        <v>0</v>
      </c>
      <c r="I9" s="86">
        <f t="array" ref="I9">SUM(IF(descrizione2=$A9,impianto!T$23:T$194,0))</f>
        <v>0</v>
      </c>
      <c r="J9" s="434">
        <f t="array" ref="J9">SUM(IF(descrizione2=$A9,impianto!AS$23:AS$194,0))</f>
        <v>0</v>
      </c>
      <c r="K9" s="86">
        <f t="array" ref="K9">SUM(IF(descrizione2=$A9,impianto!V$23:V$194,0))</f>
        <v>0</v>
      </c>
      <c r="L9" s="434">
        <f t="array" ref="L9">SUM(IF(descrizione2=$A9,impianto!AU$23:AU$194,0))</f>
        <v>0</v>
      </c>
      <c r="M9" s="86">
        <f t="array" ref="M9">SUM(IF(descrizione2=$A9,impianto!X$23:X$194,0))</f>
        <v>0</v>
      </c>
      <c r="N9" s="434">
        <f t="array" ref="N9">SUM(IF(descrizione2=$A9,impianto!AW$23:AW$194,0))</f>
        <v>0</v>
      </c>
      <c r="O9" s="86">
        <f t="array" ref="O9">SUM(IF(descrizione2=$A9,impianto!Z$23:Z$194,0))</f>
        <v>0</v>
      </c>
      <c r="P9" s="434">
        <f t="array" ref="P9">SUM(IF(descrizione2=$A9,impianto!AY$23:AY$194,0))</f>
        <v>0</v>
      </c>
      <c r="Q9" s="86">
        <f t="array" ref="Q9">SUM(IF(descrizione2=$A9,impianto!AB$23:AB$194,0))</f>
        <v>0</v>
      </c>
      <c r="R9" s="434">
        <f t="array" ref="R9">SUM(IF(descrizione2=$A9,impianto!BA$23:BA$194,0))</f>
        <v>0</v>
      </c>
      <c r="S9" s="86">
        <f t="array" ref="S9">SUM(IF(descrizione2=$A9,impianto!AD$23:AD$194,0))</f>
        <v>0</v>
      </c>
      <c r="T9" s="434">
        <f t="array" ref="T9">SUM(IF(descrizione2=$A9,impianto!BC$23:BC$194,0))</f>
        <v>0</v>
      </c>
      <c r="U9" s="86">
        <f t="array" ref="U9">SUM(IF(descrizione2=$A9,impianto!AF$23:AF$194,0))</f>
        <v>0</v>
      </c>
      <c r="V9" s="434">
        <f t="array" ref="V9">SUM(IF(descrizione2=$A9,impianto!BE$23:BE$194,0))</f>
        <v>0</v>
      </c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2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2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2"/>
      <c r="CT9" s="102"/>
      <c r="CU9" s="102"/>
      <c r="CV9" s="102"/>
      <c r="CW9" s="102"/>
      <c r="CX9" s="102"/>
      <c r="CY9" s="102"/>
      <c r="CZ9" s="102"/>
      <c r="DA9" s="102"/>
      <c r="DB9" s="102"/>
      <c r="DC9" s="102"/>
      <c r="DD9" s="102"/>
      <c r="DE9" s="102"/>
      <c r="DF9" s="102"/>
      <c r="DG9" s="102"/>
      <c r="DH9" s="102"/>
      <c r="DI9" s="102"/>
      <c r="DJ9" s="102"/>
      <c r="DK9" s="102"/>
      <c r="DL9" s="102"/>
      <c r="DM9" s="102"/>
      <c r="DN9" s="102"/>
      <c r="DO9" s="102"/>
      <c r="DP9" s="102"/>
      <c r="DQ9" s="102"/>
      <c r="DR9" s="102"/>
      <c r="DS9" s="102"/>
      <c r="DT9" s="102"/>
      <c r="DU9" s="102"/>
      <c r="DV9" s="102"/>
      <c r="DW9" s="102"/>
      <c r="DX9" s="102"/>
      <c r="DY9" s="102"/>
      <c r="DZ9" s="102"/>
      <c r="EA9" s="102"/>
      <c r="EB9" s="102"/>
      <c r="EC9" s="102"/>
      <c r="ED9" s="102"/>
      <c r="EE9" s="102"/>
      <c r="EF9" s="102"/>
      <c r="EG9" s="102"/>
      <c r="EH9" s="102"/>
      <c r="EI9" s="102"/>
      <c r="EJ9" s="102"/>
      <c r="EK9" s="102"/>
      <c r="EL9" s="102"/>
      <c r="EM9" s="102"/>
      <c r="EN9" s="102"/>
      <c r="EO9" s="102"/>
      <c r="EP9" s="102"/>
      <c r="EQ9" s="102"/>
      <c r="ER9" s="102"/>
      <c r="ES9" s="102"/>
      <c r="ET9" s="102"/>
      <c r="EU9" s="102"/>
      <c r="EV9" s="102"/>
      <c r="EW9" s="102"/>
      <c r="EX9" s="102"/>
      <c r="EY9" s="102"/>
      <c r="EZ9" s="102"/>
      <c r="FA9" s="102"/>
      <c r="FB9" s="102"/>
      <c r="FC9" s="102"/>
      <c r="FD9" s="102"/>
      <c r="FE9" s="102"/>
      <c r="FF9" s="102"/>
      <c r="FG9" s="102"/>
      <c r="FH9" s="102"/>
      <c r="FI9" s="102"/>
      <c r="FJ9" s="102"/>
      <c r="FK9" s="102"/>
      <c r="FL9" s="102"/>
      <c r="FM9" s="102"/>
      <c r="FN9" s="102"/>
      <c r="FO9" s="102"/>
      <c r="FP9" s="102"/>
      <c r="FQ9" s="102"/>
      <c r="FR9" s="102"/>
      <c r="FS9" s="102"/>
      <c r="FT9" s="102"/>
      <c r="FU9" s="102"/>
      <c r="FV9" s="102"/>
      <c r="FW9" s="102"/>
      <c r="FX9" s="102"/>
      <c r="FY9" s="102"/>
      <c r="FZ9" s="102"/>
      <c r="GA9" s="102"/>
      <c r="GB9" s="102"/>
      <c r="GC9" s="102"/>
      <c r="GD9" s="102"/>
      <c r="GE9" s="102"/>
      <c r="GF9" s="102"/>
      <c r="GG9" s="102"/>
      <c r="GH9" s="102"/>
      <c r="GI9" s="102"/>
      <c r="GJ9" s="102"/>
      <c r="GK9" s="102"/>
      <c r="GL9" s="102"/>
      <c r="GM9" s="102"/>
      <c r="GN9" s="102"/>
      <c r="GO9" s="102"/>
      <c r="GP9" s="102"/>
      <c r="GQ9" s="102"/>
      <c r="GR9" s="102"/>
      <c r="GS9" s="102"/>
      <c r="GT9" s="102"/>
      <c r="GU9" s="102"/>
      <c r="GV9" s="102"/>
      <c r="GW9" s="102"/>
      <c r="GX9" s="102"/>
      <c r="GY9" s="102"/>
      <c r="GZ9" s="102"/>
      <c r="HA9" s="102"/>
      <c r="HB9" s="102"/>
      <c r="HC9" s="102"/>
      <c r="HD9" s="102"/>
      <c r="HE9" s="102"/>
      <c r="HF9" s="102"/>
      <c r="HG9" s="102"/>
      <c r="HH9" s="102"/>
      <c r="HI9" s="102"/>
      <c r="HJ9" s="102"/>
      <c r="HK9" s="102"/>
      <c r="HL9" s="102"/>
      <c r="HM9" s="102"/>
      <c r="HN9" s="102"/>
      <c r="HO9" s="102"/>
      <c r="HP9" s="102"/>
      <c r="HQ9" s="102"/>
      <c r="HR9" s="102"/>
      <c r="HS9" s="102"/>
      <c r="HT9" s="102"/>
      <c r="HU9" s="102"/>
      <c r="HV9" s="102"/>
      <c r="HW9" s="102"/>
      <c r="HX9" s="102"/>
      <c r="HY9" s="102"/>
      <c r="HZ9" s="102"/>
      <c r="IA9" s="102"/>
      <c r="IB9" s="102"/>
      <c r="IC9" s="102"/>
      <c r="ID9" s="102"/>
      <c r="IE9" s="102"/>
      <c r="IF9" s="102"/>
      <c r="IG9" s="102"/>
      <c r="IH9" s="102"/>
      <c r="II9" s="102"/>
      <c r="IJ9" s="102"/>
      <c r="IK9" s="102"/>
      <c r="IL9" s="102"/>
      <c r="IM9" s="102"/>
      <c r="IN9" s="102"/>
      <c r="IO9" s="102"/>
      <c r="IP9" s="102"/>
      <c r="IQ9" s="102"/>
      <c r="IR9" s="102"/>
      <c r="IS9" s="102"/>
      <c r="IT9" s="102"/>
      <c r="IU9" s="102"/>
      <c r="IV9" s="102"/>
    </row>
    <row r="10" spans="1:256" s="103" customFormat="1" outlineLevel="2" x14ac:dyDescent="0.2">
      <c r="A10" s="90" t="s">
        <v>554</v>
      </c>
      <c r="B10" s="84"/>
      <c r="C10" s="86">
        <f t="array" ref="C10">SUM(IF(descrizione2=$A10,impianto!N$23:N$194,0))</f>
        <v>0</v>
      </c>
      <c r="D10" s="434">
        <f t="array" ref="D10">SUM(IF(descrizione2=$A10,impianto!AM$23:AM$194,0))</f>
        <v>0</v>
      </c>
      <c r="E10" s="86">
        <f t="array" ref="E10">SUM(IF(descrizione2=$A10,impianto!P$23:P$194,0))</f>
        <v>0</v>
      </c>
      <c r="F10" s="434">
        <f t="array" ref="F10">SUM(IF(descrizione2=$A10,impianto!AO$23:AO$194,0))</f>
        <v>0</v>
      </c>
      <c r="G10" s="86">
        <f t="array" ref="G10">SUM(IF(descrizione2=$A10,impianto!R$23:R$194,0))</f>
        <v>0</v>
      </c>
      <c r="H10" s="434">
        <f t="array" ref="H10">SUM(IF(descrizione2=$A10,impianto!AQ$23:AQ$194,0))</f>
        <v>0</v>
      </c>
      <c r="I10" s="86">
        <f t="array" ref="I10">SUM(IF(descrizione2=$A10,impianto!T$23:T$194,0))</f>
        <v>0</v>
      </c>
      <c r="J10" s="434">
        <f t="array" ref="J10">SUM(IF(descrizione2=$A10,impianto!AS$23:AS$194,0))</f>
        <v>0</v>
      </c>
      <c r="K10" s="86">
        <f t="array" ref="K10">SUM(IF(descrizione2=$A10,impianto!V$23:V$194,0))</f>
        <v>0</v>
      </c>
      <c r="L10" s="434">
        <f t="array" ref="L10">SUM(IF(descrizione2=$A10,impianto!AU$23:AU$194,0))</f>
        <v>0</v>
      </c>
      <c r="M10" s="86">
        <f t="array" ref="M10">SUM(IF(descrizione2=$A10,impianto!X$23:X$194,0))</f>
        <v>0</v>
      </c>
      <c r="N10" s="434">
        <f t="array" ref="N10">SUM(IF(descrizione2=$A10,impianto!AW$23:AW$194,0))</f>
        <v>0</v>
      </c>
      <c r="O10" s="86">
        <f t="array" ref="O10">SUM(IF(descrizione2=$A10,impianto!Z$23:Z$194,0))</f>
        <v>0</v>
      </c>
      <c r="P10" s="434">
        <f t="array" ref="P10">SUM(IF(descrizione2=$A10,impianto!AY$23:AY$194,0))</f>
        <v>0</v>
      </c>
      <c r="Q10" s="86">
        <f t="array" ref="Q10">SUM(IF(descrizione2=$A10,impianto!AB$23:AB$194,0))</f>
        <v>0</v>
      </c>
      <c r="R10" s="434">
        <f t="array" ref="R10">SUM(IF(descrizione2=$A10,impianto!BA$23:BA$194,0))</f>
        <v>0</v>
      </c>
      <c r="S10" s="86">
        <f t="array" ref="S10">SUM(IF(descrizione2=$A10,impianto!AD$23:AD$194,0))</f>
        <v>0</v>
      </c>
      <c r="T10" s="434">
        <f t="array" ref="T10">SUM(IF(descrizione2=$A10,impianto!BC$23:BC$194,0))</f>
        <v>0</v>
      </c>
      <c r="U10" s="86">
        <f t="array" ref="U10">SUM(IF(descrizione2=$A10,impianto!AF$23:AF$194,0))</f>
        <v>0</v>
      </c>
      <c r="V10" s="434">
        <f t="array" ref="V10">SUM(IF(descrizione2=$A10,impianto!BE$23:BE$194,0))</f>
        <v>0</v>
      </c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02"/>
      <c r="BM10" s="102"/>
      <c r="BN10" s="102"/>
      <c r="BO10" s="102"/>
      <c r="BP10" s="102"/>
      <c r="BQ10" s="102"/>
      <c r="BR10" s="102"/>
      <c r="BS10" s="102"/>
      <c r="BT10" s="102"/>
      <c r="BU10" s="102"/>
      <c r="BV10" s="102"/>
      <c r="BW10" s="102"/>
      <c r="BX10" s="102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2"/>
      <c r="CV10" s="102"/>
      <c r="CW10" s="102"/>
      <c r="CX10" s="102"/>
      <c r="CY10" s="102"/>
      <c r="CZ10" s="102"/>
      <c r="DA10" s="102"/>
      <c r="DB10" s="102"/>
      <c r="DC10" s="102"/>
      <c r="DD10" s="102"/>
      <c r="DE10" s="102"/>
      <c r="DF10" s="102"/>
      <c r="DG10" s="102"/>
      <c r="DH10" s="102"/>
      <c r="DI10" s="102"/>
      <c r="DJ10" s="102"/>
      <c r="DK10" s="102"/>
      <c r="DL10" s="102"/>
      <c r="DM10" s="102"/>
      <c r="DN10" s="102"/>
      <c r="DO10" s="102"/>
      <c r="DP10" s="102"/>
      <c r="DQ10" s="102"/>
      <c r="DR10" s="102"/>
      <c r="DS10" s="102"/>
      <c r="DT10" s="102"/>
      <c r="DU10" s="102"/>
      <c r="DV10" s="102"/>
      <c r="DW10" s="102"/>
      <c r="DX10" s="102"/>
      <c r="DY10" s="102"/>
      <c r="DZ10" s="102"/>
      <c r="EA10" s="102"/>
      <c r="EB10" s="102"/>
      <c r="EC10" s="102"/>
      <c r="ED10" s="102"/>
      <c r="EE10" s="102"/>
      <c r="EF10" s="102"/>
      <c r="EG10" s="102"/>
      <c r="EH10" s="102"/>
      <c r="EI10" s="102"/>
      <c r="EJ10" s="102"/>
      <c r="EK10" s="102"/>
      <c r="EL10" s="102"/>
      <c r="EM10" s="102"/>
      <c r="EN10" s="102"/>
      <c r="EO10" s="102"/>
      <c r="EP10" s="102"/>
      <c r="EQ10" s="102"/>
      <c r="ER10" s="102"/>
      <c r="ES10" s="102"/>
      <c r="ET10" s="102"/>
      <c r="EU10" s="102"/>
      <c r="EV10" s="102"/>
      <c r="EW10" s="102"/>
      <c r="EX10" s="102"/>
      <c r="EY10" s="102"/>
      <c r="EZ10" s="102"/>
      <c r="FA10" s="102"/>
      <c r="FB10" s="102"/>
      <c r="FC10" s="102"/>
      <c r="FD10" s="102"/>
      <c r="FE10" s="102"/>
      <c r="FF10" s="102"/>
      <c r="FG10" s="102"/>
      <c r="FH10" s="102"/>
      <c r="FI10" s="102"/>
      <c r="FJ10" s="102"/>
      <c r="FK10" s="102"/>
      <c r="FL10" s="102"/>
      <c r="FM10" s="102"/>
      <c r="FN10" s="102"/>
      <c r="FO10" s="102"/>
      <c r="FP10" s="102"/>
      <c r="FQ10" s="102"/>
      <c r="FR10" s="102"/>
      <c r="FS10" s="102"/>
      <c r="FT10" s="102"/>
      <c r="FU10" s="102"/>
      <c r="FV10" s="102"/>
      <c r="FW10" s="102"/>
      <c r="FX10" s="102"/>
      <c r="FY10" s="102"/>
      <c r="FZ10" s="102"/>
      <c r="GA10" s="102"/>
      <c r="GB10" s="102"/>
      <c r="GC10" s="102"/>
      <c r="GD10" s="102"/>
      <c r="GE10" s="102"/>
      <c r="GF10" s="102"/>
      <c r="GG10" s="102"/>
      <c r="GH10" s="102"/>
      <c r="GI10" s="102"/>
      <c r="GJ10" s="102"/>
      <c r="GK10" s="102"/>
      <c r="GL10" s="102"/>
      <c r="GM10" s="102"/>
      <c r="GN10" s="102"/>
      <c r="GO10" s="102"/>
      <c r="GP10" s="102"/>
      <c r="GQ10" s="102"/>
      <c r="GR10" s="102"/>
      <c r="GS10" s="102"/>
      <c r="GT10" s="102"/>
      <c r="GU10" s="102"/>
      <c r="GV10" s="102"/>
      <c r="GW10" s="102"/>
      <c r="GX10" s="102"/>
      <c r="GY10" s="102"/>
      <c r="GZ10" s="102"/>
      <c r="HA10" s="102"/>
      <c r="HB10" s="102"/>
      <c r="HC10" s="102"/>
      <c r="HD10" s="102"/>
      <c r="HE10" s="102"/>
      <c r="HF10" s="102"/>
      <c r="HG10" s="102"/>
      <c r="HH10" s="102"/>
      <c r="HI10" s="102"/>
      <c r="HJ10" s="102"/>
      <c r="HK10" s="102"/>
      <c r="HL10" s="102"/>
      <c r="HM10" s="102"/>
      <c r="HN10" s="102"/>
      <c r="HO10" s="102"/>
      <c r="HP10" s="102"/>
      <c r="HQ10" s="102"/>
      <c r="HR10" s="102"/>
      <c r="HS10" s="102"/>
      <c r="HT10" s="102"/>
      <c r="HU10" s="102"/>
      <c r="HV10" s="102"/>
      <c r="HW10" s="102"/>
      <c r="HX10" s="102"/>
      <c r="HY10" s="102"/>
      <c r="HZ10" s="102"/>
      <c r="IA10" s="102"/>
      <c r="IB10" s="102"/>
      <c r="IC10" s="102"/>
      <c r="ID10" s="102"/>
      <c r="IE10" s="102"/>
      <c r="IF10" s="102"/>
      <c r="IG10" s="102"/>
      <c r="IH10" s="102"/>
      <c r="II10" s="102"/>
      <c r="IJ10" s="102"/>
      <c r="IK10" s="102"/>
      <c r="IL10" s="102"/>
      <c r="IM10" s="102"/>
      <c r="IN10" s="102"/>
      <c r="IO10" s="102"/>
      <c r="IP10" s="102"/>
      <c r="IQ10" s="102"/>
      <c r="IR10" s="102"/>
      <c r="IS10" s="102"/>
      <c r="IT10" s="102"/>
      <c r="IU10" s="102"/>
      <c r="IV10" s="102"/>
    </row>
    <row r="11" spans="1:256" s="103" customFormat="1" outlineLevel="2" x14ac:dyDescent="0.2">
      <c r="A11" s="90" t="s">
        <v>555</v>
      </c>
      <c r="B11" s="84"/>
      <c r="C11" s="86">
        <f t="array" ref="C11">SUM(IF(descrizione2=$A11,impianto!N$23:N$194,0))</f>
        <v>0</v>
      </c>
      <c r="D11" s="434">
        <f t="array" ref="D11">SUM(IF(descrizione2=$A11,impianto!AM$23:AM$194,0))</f>
        <v>0</v>
      </c>
      <c r="E11" s="86">
        <f t="array" ref="E11">SUM(IF(descrizione2=$A11,impianto!P$23:P$194,0))</f>
        <v>0</v>
      </c>
      <c r="F11" s="434">
        <f t="array" ref="F11">SUM(IF(descrizione2=$A11,impianto!AO$23:AO$194,0))</f>
        <v>0</v>
      </c>
      <c r="G11" s="86">
        <f t="array" ref="G11">SUM(IF(descrizione2=$A11,impianto!R$23:R$194,0))</f>
        <v>0</v>
      </c>
      <c r="H11" s="434">
        <f t="array" ref="H11">SUM(IF(descrizione2=$A11,impianto!AQ$23:AQ$194,0))</f>
        <v>0</v>
      </c>
      <c r="I11" s="86">
        <f t="array" ref="I11">SUM(IF(descrizione2=$A11,impianto!T$23:T$194,0))</f>
        <v>0</v>
      </c>
      <c r="J11" s="434">
        <f t="array" ref="J11">SUM(IF(descrizione2=$A11,impianto!AS$23:AS$194,0))</f>
        <v>0</v>
      </c>
      <c r="K11" s="86">
        <f t="array" ref="K11">SUM(IF(descrizione2=$A11,impianto!V$23:V$194,0))</f>
        <v>0</v>
      </c>
      <c r="L11" s="434">
        <f t="array" ref="L11">SUM(IF(descrizione2=$A11,impianto!AU$23:AU$194,0))</f>
        <v>0</v>
      </c>
      <c r="M11" s="86">
        <f t="array" ref="M11">SUM(IF(descrizione2=$A11,impianto!X$23:X$194,0))</f>
        <v>0</v>
      </c>
      <c r="N11" s="434">
        <f t="array" ref="N11">SUM(IF(descrizione2=$A11,impianto!AW$23:AW$194,0))</f>
        <v>0</v>
      </c>
      <c r="O11" s="86">
        <f t="array" ref="O11">SUM(IF(descrizione2=$A11,impianto!Z$23:Z$194,0))</f>
        <v>0</v>
      </c>
      <c r="P11" s="434">
        <f t="array" ref="P11">SUM(IF(descrizione2=$A11,impianto!AY$23:AY$194,0))</f>
        <v>0</v>
      </c>
      <c r="Q11" s="86">
        <f t="array" ref="Q11">SUM(IF(descrizione2=$A11,impianto!AB$23:AB$194,0))</f>
        <v>0</v>
      </c>
      <c r="R11" s="434">
        <f t="array" ref="R11">SUM(IF(descrizione2=$A11,impianto!BA$23:BA$194,0))</f>
        <v>0</v>
      </c>
      <c r="S11" s="86">
        <f t="array" ref="S11">SUM(IF(descrizione2=$A11,impianto!AD$23:AD$194,0))</f>
        <v>0</v>
      </c>
      <c r="T11" s="434">
        <f t="array" ref="T11">SUM(IF(descrizione2=$A11,impianto!BC$23:BC$194,0))</f>
        <v>0</v>
      </c>
      <c r="U11" s="86">
        <f t="array" ref="U11">SUM(IF(descrizione2=$A11,impianto!AF$23:AF$194,0))</f>
        <v>0</v>
      </c>
      <c r="V11" s="434">
        <f t="array" ref="V11">SUM(IF(descrizione2=$A11,impianto!BE$23:BE$194,0))</f>
        <v>0</v>
      </c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2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2"/>
      <c r="CT11" s="102"/>
      <c r="CU11" s="102"/>
      <c r="CV11" s="102"/>
      <c r="CW11" s="102"/>
      <c r="CX11" s="102"/>
      <c r="CY11" s="102"/>
      <c r="CZ11" s="102"/>
      <c r="DA11" s="102"/>
      <c r="DB11" s="102"/>
      <c r="DC11" s="102"/>
      <c r="DD11" s="102"/>
      <c r="DE11" s="102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  <c r="DU11" s="102"/>
      <c r="DV11" s="102"/>
      <c r="DW11" s="102"/>
      <c r="DX11" s="102"/>
      <c r="DY11" s="102"/>
      <c r="DZ11" s="102"/>
      <c r="EA11" s="102"/>
      <c r="EB11" s="102"/>
      <c r="EC11" s="102"/>
      <c r="ED11" s="102"/>
      <c r="EE11" s="102"/>
      <c r="EF11" s="102"/>
      <c r="EG11" s="102"/>
      <c r="EH11" s="102"/>
      <c r="EI11" s="102"/>
      <c r="EJ11" s="102"/>
      <c r="EK11" s="102"/>
      <c r="EL11" s="102"/>
      <c r="EM11" s="102"/>
      <c r="EN11" s="102"/>
      <c r="EO11" s="102"/>
      <c r="EP11" s="102"/>
      <c r="EQ11" s="102"/>
      <c r="ER11" s="102"/>
      <c r="ES11" s="102"/>
      <c r="ET11" s="102"/>
      <c r="EU11" s="102"/>
      <c r="EV11" s="102"/>
      <c r="EW11" s="102"/>
      <c r="EX11" s="102"/>
      <c r="EY11" s="102"/>
      <c r="EZ11" s="102"/>
      <c r="FA11" s="102"/>
      <c r="FB11" s="102"/>
      <c r="FC11" s="102"/>
      <c r="FD11" s="102"/>
      <c r="FE11" s="102"/>
      <c r="FF11" s="102"/>
      <c r="FG11" s="102"/>
      <c r="FH11" s="102"/>
      <c r="FI11" s="102"/>
      <c r="FJ11" s="102"/>
      <c r="FK11" s="102"/>
      <c r="FL11" s="102"/>
      <c r="FM11" s="102"/>
      <c r="FN11" s="102"/>
      <c r="FO11" s="102"/>
      <c r="FP11" s="102"/>
      <c r="FQ11" s="102"/>
      <c r="FR11" s="102"/>
      <c r="FS11" s="102"/>
      <c r="FT11" s="102"/>
      <c r="FU11" s="102"/>
      <c r="FV11" s="102"/>
      <c r="FW11" s="102"/>
      <c r="FX11" s="102"/>
      <c r="FY11" s="102"/>
      <c r="FZ11" s="102"/>
      <c r="GA11" s="102"/>
      <c r="GB11" s="102"/>
      <c r="GC11" s="102"/>
      <c r="GD11" s="102"/>
      <c r="GE11" s="102"/>
      <c r="GF11" s="102"/>
      <c r="GG11" s="102"/>
      <c r="GH11" s="102"/>
      <c r="GI11" s="102"/>
      <c r="GJ11" s="102"/>
      <c r="GK11" s="102"/>
      <c r="GL11" s="102"/>
      <c r="GM11" s="102"/>
      <c r="GN11" s="102"/>
      <c r="GO11" s="102"/>
      <c r="GP11" s="102"/>
      <c r="GQ11" s="102"/>
      <c r="GR11" s="102"/>
      <c r="GS11" s="102"/>
      <c r="GT11" s="102"/>
      <c r="GU11" s="102"/>
      <c r="GV11" s="102"/>
      <c r="GW11" s="102"/>
      <c r="GX11" s="102"/>
      <c r="GY11" s="102"/>
      <c r="GZ11" s="102"/>
      <c r="HA11" s="102"/>
      <c r="HB11" s="102"/>
      <c r="HC11" s="102"/>
      <c r="HD11" s="102"/>
      <c r="HE11" s="102"/>
      <c r="HF11" s="102"/>
      <c r="HG11" s="102"/>
      <c r="HH11" s="102"/>
      <c r="HI11" s="102"/>
      <c r="HJ11" s="102"/>
      <c r="HK11" s="102"/>
      <c r="HL11" s="102"/>
      <c r="HM11" s="102"/>
      <c r="HN11" s="102"/>
      <c r="HO11" s="102"/>
      <c r="HP11" s="102"/>
      <c r="HQ11" s="102"/>
      <c r="HR11" s="102"/>
      <c r="HS11" s="102"/>
      <c r="HT11" s="102"/>
      <c r="HU11" s="102"/>
      <c r="HV11" s="102"/>
      <c r="HW11" s="102"/>
      <c r="HX11" s="102"/>
      <c r="HY11" s="102"/>
      <c r="HZ11" s="102"/>
      <c r="IA11" s="102"/>
      <c r="IB11" s="102"/>
      <c r="IC11" s="102"/>
      <c r="ID11" s="102"/>
      <c r="IE11" s="102"/>
      <c r="IF11" s="102"/>
      <c r="IG11" s="102"/>
      <c r="IH11" s="102"/>
      <c r="II11" s="102"/>
      <c r="IJ11" s="102"/>
      <c r="IK11" s="102"/>
      <c r="IL11" s="102"/>
      <c r="IM11" s="102"/>
      <c r="IN11" s="102"/>
      <c r="IO11" s="102"/>
      <c r="IP11" s="102"/>
      <c r="IQ11" s="102"/>
      <c r="IR11" s="102"/>
      <c r="IS11" s="102"/>
      <c r="IT11" s="102"/>
      <c r="IU11" s="102"/>
      <c r="IV11" s="102"/>
    </row>
    <row r="12" spans="1:256" s="103" customFormat="1" outlineLevel="2" x14ac:dyDescent="0.2">
      <c r="A12" s="90" t="s">
        <v>556</v>
      </c>
      <c r="B12" s="84"/>
      <c r="C12" s="86">
        <f t="array" ref="C12">SUM(IF(descrizione2=$A12,impianto!N$23:N$194,0))</f>
        <v>0</v>
      </c>
      <c r="D12" s="434">
        <f t="array" ref="D12">SUM(IF(descrizione2=$A12,impianto!AM$23:AM$194,0))</f>
        <v>0</v>
      </c>
      <c r="E12" s="86">
        <f t="array" ref="E12">SUM(IF(descrizione2=$A12,impianto!P$23:P$194,0))</f>
        <v>0</v>
      </c>
      <c r="F12" s="434">
        <f t="array" ref="F12">SUM(IF(descrizione2=$A12,impianto!AO$23:AO$194,0))</f>
        <v>0</v>
      </c>
      <c r="G12" s="86">
        <f t="array" ref="G12">SUM(IF(descrizione2=$A12,impianto!R$23:R$194,0))</f>
        <v>0</v>
      </c>
      <c r="H12" s="434">
        <f t="array" ref="H12">SUM(IF(descrizione2=$A12,impianto!AQ$23:AQ$194,0))</f>
        <v>0</v>
      </c>
      <c r="I12" s="86">
        <f t="array" ref="I12">SUM(IF(descrizione2=$A12,impianto!T$23:T$194,0))</f>
        <v>0</v>
      </c>
      <c r="J12" s="434">
        <f t="array" ref="J12">SUM(IF(descrizione2=$A12,impianto!AS$23:AS$194,0))</f>
        <v>0</v>
      </c>
      <c r="K12" s="86">
        <f t="array" ref="K12">SUM(IF(descrizione2=$A12,impianto!V$23:V$194,0))</f>
        <v>0</v>
      </c>
      <c r="L12" s="434">
        <f t="array" ref="L12">SUM(IF(descrizione2=$A12,impianto!AU$23:AU$194,0))</f>
        <v>0</v>
      </c>
      <c r="M12" s="86">
        <f t="array" ref="M12">SUM(IF(descrizione2=$A12,impianto!X$23:X$194,0))</f>
        <v>0</v>
      </c>
      <c r="N12" s="434">
        <f t="array" ref="N12">SUM(IF(descrizione2=$A12,impianto!AW$23:AW$194,0))</f>
        <v>0</v>
      </c>
      <c r="O12" s="86">
        <f t="array" ref="O12">SUM(IF(descrizione2=$A12,impianto!Z$23:Z$194,0))</f>
        <v>0</v>
      </c>
      <c r="P12" s="434">
        <f t="array" ref="P12">SUM(IF(descrizione2=$A12,impianto!AY$23:AY$194,0))</f>
        <v>0</v>
      </c>
      <c r="Q12" s="86">
        <f t="array" ref="Q12">SUM(IF(descrizione2=$A12,impianto!AB$23:AB$194,0))</f>
        <v>0</v>
      </c>
      <c r="R12" s="434">
        <f t="array" ref="R12">SUM(IF(descrizione2=$A12,impianto!BA$23:BA$194,0))</f>
        <v>0</v>
      </c>
      <c r="S12" s="86">
        <f t="array" ref="S12">SUM(IF(descrizione2=$A12,impianto!AD$23:AD$194,0))</f>
        <v>0</v>
      </c>
      <c r="T12" s="434">
        <f t="array" ref="T12">SUM(IF(descrizione2=$A12,impianto!BC$23:BC$194,0))</f>
        <v>0</v>
      </c>
      <c r="U12" s="86">
        <f t="array" ref="U12">SUM(IF(descrizione2=$A12,impianto!AF$23:AF$194,0))</f>
        <v>0</v>
      </c>
      <c r="V12" s="434">
        <f t="array" ref="V12">SUM(IF(descrizione2=$A12,impianto!BE$23:BE$194,0))</f>
        <v>0</v>
      </c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2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2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2"/>
      <c r="CT12" s="102"/>
      <c r="CU12" s="102"/>
      <c r="CV12" s="102"/>
      <c r="CW12" s="102"/>
      <c r="CX12" s="102"/>
      <c r="CY12" s="102"/>
      <c r="CZ12" s="102"/>
      <c r="DA12" s="102"/>
      <c r="DB12" s="102"/>
      <c r="DC12" s="102"/>
      <c r="DD12" s="102"/>
      <c r="DE12" s="102"/>
      <c r="DF12" s="102"/>
      <c r="DG12" s="102"/>
      <c r="DH12" s="102"/>
      <c r="DI12" s="102"/>
      <c r="DJ12" s="102"/>
      <c r="DK12" s="102"/>
      <c r="DL12" s="102"/>
      <c r="DM12" s="102"/>
      <c r="DN12" s="102"/>
      <c r="DO12" s="102"/>
      <c r="DP12" s="102"/>
      <c r="DQ12" s="102"/>
      <c r="DR12" s="102"/>
      <c r="DS12" s="102"/>
      <c r="DT12" s="102"/>
      <c r="DU12" s="102"/>
      <c r="DV12" s="102"/>
      <c r="DW12" s="102"/>
      <c r="DX12" s="102"/>
      <c r="DY12" s="102"/>
      <c r="DZ12" s="102"/>
      <c r="EA12" s="102"/>
      <c r="EB12" s="102"/>
      <c r="EC12" s="102"/>
      <c r="ED12" s="102"/>
      <c r="EE12" s="102"/>
      <c r="EF12" s="102"/>
      <c r="EG12" s="102"/>
      <c r="EH12" s="102"/>
      <c r="EI12" s="102"/>
      <c r="EJ12" s="102"/>
      <c r="EK12" s="102"/>
      <c r="EL12" s="102"/>
      <c r="EM12" s="102"/>
      <c r="EN12" s="102"/>
      <c r="EO12" s="102"/>
      <c r="EP12" s="102"/>
      <c r="EQ12" s="102"/>
      <c r="ER12" s="102"/>
      <c r="ES12" s="102"/>
      <c r="ET12" s="102"/>
      <c r="EU12" s="102"/>
      <c r="EV12" s="102"/>
      <c r="EW12" s="102"/>
      <c r="EX12" s="102"/>
      <c r="EY12" s="102"/>
      <c r="EZ12" s="102"/>
      <c r="FA12" s="102"/>
      <c r="FB12" s="102"/>
      <c r="FC12" s="102"/>
      <c r="FD12" s="102"/>
      <c r="FE12" s="102"/>
      <c r="FF12" s="102"/>
      <c r="FG12" s="102"/>
      <c r="FH12" s="102"/>
      <c r="FI12" s="102"/>
      <c r="FJ12" s="102"/>
      <c r="FK12" s="102"/>
      <c r="FL12" s="102"/>
      <c r="FM12" s="102"/>
      <c r="FN12" s="102"/>
      <c r="FO12" s="102"/>
      <c r="FP12" s="102"/>
      <c r="FQ12" s="102"/>
      <c r="FR12" s="102"/>
      <c r="FS12" s="102"/>
      <c r="FT12" s="102"/>
      <c r="FU12" s="102"/>
      <c r="FV12" s="102"/>
      <c r="FW12" s="102"/>
      <c r="FX12" s="102"/>
      <c r="FY12" s="102"/>
      <c r="FZ12" s="102"/>
      <c r="GA12" s="102"/>
      <c r="GB12" s="102"/>
      <c r="GC12" s="102"/>
      <c r="GD12" s="102"/>
      <c r="GE12" s="102"/>
      <c r="GF12" s="102"/>
      <c r="GG12" s="102"/>
      <c r="GH12" s="102"/>
      <c r="GI12" s="102"/>
      <c r="GJ12" s="102"/>
      <c r="GK12" s="102"/>
      <c r="GL12" s="102"/>
      <c r="GM12" s="102"/>
      <c r="GN12" s="102"/>
      <c r="GO12" s="102"/>
      <c r="GP12" s="102"/>
      <c r="GQ12" s="102"/>
      <c r="GR12" s="102"/>
      <c r="GS12" s="102"/>
      <c r="GT12" s="102"/>
      <c r="GU12" s="102"/>
      <c r="GV12" s="102"/>
      <c r="GW12" s="102"/>
      <c r="GX12" s="102"/>
      <c r="GY12" s="102"/>
      <c r="GZ12" s="102"/>
      <c r="HA12" s="102"/>
      <c r="HB12" s="102"/>
      <c r="HC12" s="102"/>
      <c r="HD12" s="102"/>
      <c r="HE12" s="102"/>
      <c r="HF12" s="102"/>
      <c r="HG12" s="102"/>
      <c r="HH12" s="102"/>
      <c r="HI12" s="102"/>
      <c r="HJ12" s="102"/>
      <c r="HK12" s="102"/>
      <c r="HL12" s="102"/>
      <c r="HM12" s="102"/>
      <c r="HN12" s="102"/>
      <c r="HO12" s="102"/>
      <c r="HP12" s="102"/>
      <c r="HQ12" s="102"/>
      <c r="HR12" s="102"/>
      <c r="HS12" s="102"/>
      <c r="HT12" s="102"/>
      <c r="HU12" s="102"/>
      <c r="HV12" s="102"/>
      <c r="HW12" s="102"/>
      <c r="HX12" s="102"/>
      <c r="HY12" s="102"/>
      <c r="HZ12" s="102"/>
      <c r="IA12" s="102"/>
      <c r="IB12" s="102"/>
      <c r="IC12" s="102"/>
      <c r="ID12" s="102"/>
      <c r="IE12" s="102"/>
      <c r="IF12" s="102"/>
      <c r="IG12" s="102"/>
      <c r="IH12" s="102"/>
      <c r="II12" s="102"/>
      <c r="IJ12" s="102"/>
      <c r="IK12" s="102"/>
      <c r="IL12" s="102"/>
      <c r="IM12" s="102"/>
      <c r="IN12" s="102"/>
      <c r="IO12" s="102"/>
      <c r="IP12" s="102"/>
      <c r="IQ12" s="102"/>
      <c r="IR12" s="102"/>
      <c r="IS12" s="102"/>
      <c r="IT12" s="102"/>
      <c r="IU12" s="102"/>
      <c r="IV12" s="102"/>
    </row>
    <row r="13" spans="1:256" s="103" customFormat="1" outlineLevel="2" x14ac:dyDescent="0.2">
      <c r="A13" s="90" t="s">
        <v>557</v>
      </c>
      <c r="B13" s="84"/>
      <c r="C13" s="86">
        <f t="array" ref="C13">SUM(IF(descrizione2=$A13,impianto!N$23:N$194,0))</f>
        <v>0</v>
      </c>
      <c r="D13" s="434">
        <f t="array" ref="D13">SUM(IF(descrizione2=$A13,impianto!AM$23:AM$194,0))</f>
        <v>0</v>
      </c>
      <c r="E13" s="86">
        <f t="array" ref="E13">SUM(IF(descrizione2=$A13,impianto!P$23:P$194,0))</f>
        <v>0</v>
      </c>
      <c r="F13" s="434">
        <f t="array" ref="F13">SUM(IF(descrizione2=$A13,impianto!AO$23:AO$194,0))</f>
        <v>0</v>
      </c>
      <c r="G13" s="86">
        <f t="array" ref="G13">SUM(IF(descrizione2=$A13,impianto!R$23:R$194,0))</f>
        <v>0</v>
      </c>
      <c r="H13" s="434">
        <f t="array" ref="H13">SUM(IF(descrizione2=$A13,impianto!AQ$23:AQ$194,0))</f>
        <v>0</v>
      </c>
      <c r="I13" s="86">
        <f t="array" ref="I13">SUM(IF(descrizione2=$A13,impianto!T$23:T$194,0))</f>
        <v>0</v>
      </c>
      <c r="J13" s="434">
        <f t="array" ref="J13">SUM(IF(descrizione2=$A13,impianto!AS$23:AS$194,0))</f>
        <v>0</v>
      </c>
      <c r="K13" s="86">
        <f t="array" ref="K13">SUM(IF(descrizione2=$A13,impianto!V$23:V$194,0))</f>
        <v>0</v>
      </c>
      <c r="L13" s="434">
        <f t="array" ref="L13">SUM(IF(descrizione2=$A13,impianto!AU$23:AU$194,0))</f>
        <v>0</v>
      </c>
      <c r="M13" s="86">
        <f t="array" ref="M13">SUM(IF(descrizione2=$A13,impianto!X$23:X$194,0))</f>
        <v>0</v>
      </c>
      <c r="N13" s="434">
        <f t="array" ref="N13">SUM(IF(descrizione2=$A13,impianto!AW$23:AW$194,0))</f>
        <v>0</v>
      </c>
      <c r="O13" s="86">
        <f t="array" ref="O13">SUM(IF(descrizione2=$A13,impianto!Z$23:Z$194,0))</f>
        <v>0</v>
      </c>
      <c r="P13" s="434">
        <f t="array" ref="P13">SUM(IF(descrizione2=$A13,impianto!AY$23:AY$194,0))</f>
        <v>0</v>
      </c>
      <c r="Q13" s="86">
        <f t="array" ref="Q13">SUM(IF(descrizione2=$A13,impianto!AB$23:AB$194,0))</f>
        <v>0</v>
      </c>
      <c r="R13" s="434">
        <f t="array" ref="R13">SUM(IF(descrizione2=$A13,impianto!BA$23:BA$194,0))</f>
        <v>0</v>
      </c>
      <c r="S13" s="86">
        <f t="array" ref="S13">SUM(IF(descrizione2=$A13,impianto!AD$23:AD$194,0))</f>
        <v>0</v>
      </c>
      <c r="T13" s="434">
        <f t="array" ref="T13">SUM(IF(descrizione2=$A13,impianto!BC$23:BC$194,0))</f>
        <v>0</v>
      </c>
      <c r="U13" s="86">
        <f t="array" ref="U13">SUM(IF(descrizione2=$A13,impianto!AF$23:AF$194,0))</f>
        <v>0</v>
      </c>
      <c r="V13" s="434">
        <f t="array" ref="V13">SUM(IF(descrizione2=$A13,impianto!BE$23:BE$194,0))</f>
        <v>0</v>
      </c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  <c r="CW13" s="102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  <c r="DU13" s="102"/>
      <c r="DV13" s="102"/>
      <c r="DW13" s="102"/>
      <c r="DX13" s="102"/>
      <c r="DY13" s="102"/>
      <c r="DZ13" s="102"/>
      <c r="EA13" s="102"/>
      <c r="EB13" s="102"/>
      <c r="EC13" s="102"/>
      <c r="ED13" s="102"/>
      <c r="EE13" s="102"/>
      <c r="EF13" s="102"/>
      <c r="EG13" s="102"/>
      <c r="EH13" s="102"/>
      <c r="EI13" s="102"/>
      <c r="EJ13" s="102"/>
      <c r="EK13" s="102"/>
      <c r="EL13" s="102"/>
      <c r="EM13" s="102"/>
      <c r="EN13" s="102"/>
      <c r="EO13" s="102"/>
      <c r="EP13" s="102"/>
      <c r="EQ13" s="102"/>
      <c r="ER13" s="102"/>
      <c r="ES13" s="102"/>
      <c r="ET13" s="102"/>
      <c r="EU13" s="102"/>
      <c r="EV13" s="102"/>
      <c r="EW13" s="102"/>
      <c r="EX13" s="102"/>
      <c r="EY13" s="102"/>
      <c r="EZ13" s="102"/>
      <c r="FA13" s="102"/>
      <c r="FB13" s="102"/>
      <c r="FC13" s="102"/>
      <c r="FD13" s="102"/>
      <c r="FE13" s="102"/>
      <c r="FF13" s="102"/>
      <c r="FG13" s="102"/>
      <c r="FH13" s="102"/>
      <c r="FI13" s="102"/>
      <c r="FJ13" s="102"/>
      <c r="FK13" s="102"/>
      <c r="FL13" s="102"/>
      <c r="FM13" s="102"/>
      <c r="FN13" s="102"/>
      <c r="FO13" s="102"/>
      <c r="FP13" s="102"/>
      <c r="FQ13" s="102"/>
      <c r="FR13" s="102"/>
      <c r="FS13" s="102"/>
      <c r="FT13" s="102"/>
      <c r="FU13" s="102"/>
      <c r="FV13" s="102"/>
      <c r="FW13" s="102"/>
      <c r="FX13" s="102"/>
      <c r="FY13" s="102"/>
      <c r="FZ13" s="102"/>
      <c r="GA13" s="102"/>
      <c r="GB13" s="102"/>
      <c r="GC13" s="102"/>
      <c r="GD13" s="102"/>
      <c r="GE13" s="102"/>
      <c r="GF13" s="102"/>
      <c r="GG13" s="102"/>
      <c r="GH13" s="102"/>
      <c r="GI13" s="102"/>
      <c r="GJ13" s="102"/>
      <c r="GK13" s="102"/>
      <c r="GL13" s="102"/>
      <c r="GM13" s="102"/>
      <c r="GN13" s="102"/>
      <c r="GO13" s="102"/>
      <c r="GP13" s="102"/>
      <c r="GQ13" s="102"/>
      <c r="GR13" s="102"/>
      <c r="GS13" s="102"/>
      <c r="GT13" s="102"/>
      <c r="GU13" s="102"/>
      <c r="GV13" s="102"/>
      <c r="GW13" s="102"/>
      <c r="GX13" s="102"/>
      <c r="GY13" s="102"/>
      <c r="GZ13" s="102"/>
      <c r="HA13" s="102"/>
      <c r="HB13" s="102"/>
      <c r="HC13" s="102"/>
      <c r="HD13" s="102"/>
      <c r="HE13" s="102"/>
      <c r="HF13" s="102"/>
      <c r="HG13" s="102"/>
      <c r="HH13" s="102"/>
      <c r="HI13" s="102"/>
      <c r="HJ13" s="102"/>
      <c r="HK13" s="102"/>
      <c r="HL13" s="102"/>
      <c r="HM13" s="102"/>
      <c r="HN13" s="102"/>
      <c r="HO13" s="102"/>
      <c r="HP13" s="102"/>
      <c r="HQ13" s="102"/>
      <c r="HR13" s="102"/>
      <c r="HS13" s="102"/>
      <c r="HT13" s="102"/>
      <c r="HU13" s="102"/>
      <c r="HV13" s="102"/>
      <c r="HW13" s="102"/>
      <c r="HX13" s="102"/>
      <c r="HY13" s="102"/>
      <c r="HZ13" s="102"/>
      <c r="IA13" s="102"/>
      <c r="IB13" s="102"/>
      <c r="IC13" s="102"/>
      <c r="ID13" s="102"/>
      <c r="IE13" s="102"/>
      <c r="IF13" s="102"/>
      <c r="IG13" s="102"/>
      <c r="IH13" s="102"/>
      <c r="II13" s="102"/>
      <c r="IJ13" s="102"/>
      <c r="IK13" s="102"/>
      <c r="IL13" s="102"/>
      <c r="IM13" s="102"/>
      <c r="IN13" s="102"/>
      <c r="IO13" s="102"/>
      <c r="IP13" s="102"/>
      <c r="IQ13" s="102"/>
      <c r="IR13" s="102"/>
      <c r="IS13" s="102"/>
      <c r="IT13" s="102"/>
      <c r="IU13" s="102"/>
      <c r="IV13" s="102"/>
    </row>
    <row r="14" spans="1:256" s="104" customFormat="1" ht="13.5" outlineLevel="1" thickBot="1" x14ac:dyDescent="0.25">
      <c r="A14" s="132" t="s">
        <v>880</v>
      </c>
      <c r="B14" s="436">
        <f>SUM(C14:V14)</f>
        <v>0</v>
      </c>
      <c r="C14" s="124"/>
      <c r="D14" s="435">
        <f>SUM(D5:D13)</f>
        <v>0</v>
      </c>
      <c r="E14" s="124"/>
      <c r="F14" s="435">
        <f>SUM(F5:F13)</f>
        <v>0</v>
      </c>
      <c r="G14" s="124"/>
      <c r="H14" s="435">
        <f>SUM(H5:H13)</f>
        <v>0</v>
      </c>
      <c r="I14" s="124"/>
      <c r="J14" s="435">
        <f>SUM(J5:J13)</f>
        <v>0</v>
      </c>
      <c r="K14" s="124"/>
      <c r="L14" s="435">
        <f>SUM(L5:L13)</f>
        <v>0</v>
      </c>
      <c r="M14" s="124"/>
      <c r="N14" s="435">
        <f>SUM(N5:N13)</f>
        <v>0</v>
      </c>
      <c r="O14" s="124"/>
      <c r="P14" s="435">
        <f>SUM(P5:P13)</f>
        <v>0</v>
      </c>
      <c r="Q14" s="124"/>
      <c r="R14" s="435">
        <f>SUM(R5:R13)</f>
        <v>0</v>
      </c>
      <c r="S14" s="124"/>
      <c r="T14" s="435">
        <f>SUM(T5:T13)</f>
        <v>0</v>
      </c>
      <c r="U14" s="124"/>
      <c r="V14" s="435">
        <f>SUM(V5:V13)</f>
        <v>0</v>
      </c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2"/>
      <c r="CV14" s="102"/>
      <c r="CW14" s="102"/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102"/>
      <c r="DZ14" s="102"/>
      <c r="EA14" s="102"/>
      <c r="EB14" s="102"/>
      <c r="EC14" s="102"/>
      <c r="ED14" s="102"/>
      <c r="EE14" s="102"/>
      <c r="EF14" s="102"/>
      <c r="EG14" s="102"/>
      <c r="EH14" s="102"/>
      <c r="EI14" s="102"/>
      <c r="EJ14" s="102"/>
      <c r="EK14" s="102"/>
      <c r="EL14" s="102"/>
      <c r="EM14" s="102"/>
      <c r="EN14" s="102"/>
      <c r="EO14" s="102"/>
      <c r="EP14" s="102"/>
      <c r="EQ14" s="102"/>
      <c r="ER14" s="102"/>
      <c r="ES14" s="102"/>
      <c r="ET14" s="102"/>
      <c r="EU14" s="102"/>
      <c r="EV14" s="102"/>
      <c r="EW14" s="102"/>
      <c r="EX14" s="102"/>
      <c r="EY14" s="102"/>
      <c r="EZ14" s="102"/>
      <c r="FA14" s="102"/>
      <c r="FB14" s="102"/>
      <c r="FC14" s="102"/>
      <c r="FD14" s="102"/>
      <c r="FE14" s="102"/>
      <c r="FF14" s="102"/>
      <c r="FG14" s="102"/>
      <c r="FH14" s="102"/>
      <c r="FI14" s="102"/>
      <c r="FJ14" s="102"/>
      <c r="FK14" s="102"/>
      <c r="FL14" s="102"/>
      <c r="FM14" s="102"/>
      <c r="FN14" s="102"/>
      <c r="FO14" s="102"/>
      <c r="FP14" s="102"/>
      <c r="FQ14" s="102"/>
      <c r="FR14" s="102"/>
      <c r="FS14" s="102"/>
      <c r="FT14" s="102"/>
      <c r="FU14" s="102"/>
      <c r="FV14" s="102"/>
      <c r="FW14" s="102"/>
      <c r="FX14" s="102"/>
      <c r="FY14" s="102"/>
      <c r="FZ14" s="102"/>
      <c r="GA14" s="102"/>
      <c r="GB14" s="102"/>
      <c r="GC14" s="102"/>
      <c r="GD14" s="102"/>
      <c r="GE14" s="102"/>
      <c r="GF14" s="102"/>
      <c r="GG14" s="102"/>
      <c r="GH14" s="102"/>
      <c r="GI14" s="102"/>
      <c r="GJ14" s="102"/>
      <c r="GK14" s="102"/>
      <c r="GL14" s="102"/>
      <c r="GM14" s="102"/>
      <c r="GN14" s="102"/>
      <c r="GO14" s="102"/>
      <c r="GP14" s="102"/>
      <c r="GQ14" s="102"/>
      <c r="GR14" s="102"/>
      <c r="GS14" s="102"/>
      <c r="GT14" s="102"/>
      <c r="GU14" s="102"/>
      <c r="GV14" s="102"/>
      <c r="GW14" s="102"/>
      <c r="GX14" s="102"/>
      <c r="GY14" s="102"/>
      <c r="GZ14" s="102"/>
      <c r="HA14" s="102"/>
      <c r="HB14" s="102"/>
      <c r="HC14" s="102"/>
      <c r="HD14" s="102"/>
      <c r="HE14" s="102"/>
      <c r="HF14" s="102"/>
      <c r="HG14" s="102"/>
      <c r="HH14" s="102"/>
      <c r="HI14" s="102"/>
      <c r="HJ14" s="102"/>
      <c r="HK14" s="102"/>
      <c r="HL14" s="102"/>
      <c r="HM14" s="102"/>
      <c r="HN14" s="102"/>
      <c r="HO14" s="102"/>
      <c r="HP14" s="102"/>
      <c r="HQ14" s="102"/>
      <c r="HR14" s="102"/>
      <c r="HS14" s="102"/>
      <c r="HT14" s="102"/>
      <c r="HU14" s="102"/>
      <c r="HV14" s="102"/>
      <c r="HW14" s="102"/>
      <c r="HX14" s="102"/>
      <c r="HY14" s="102"/>
      <c r="HZ14" s="102"/>
      <c r="IA14" s="102"/>
      <c r="IB14" s="102"/>
      <c r="IC14" s="102"/>
      <c r="ID14" s="102"/>
      <c r="IE14" s="102"/>
      <c r="IF14" s="102"/>
      <c r="IG14" s="102"/>
      <c r="IH14" s="102"/>
      <c r="II14" s="102"/>
      <c r="IJ14" s="102"/>
      <c r="IK14" s="102"/>
      <c r="IL14" s="102"/>
      <c r="IM14" s="102"/>
      <c r="IN14" s="102"/>
      <c r="IO14" s="102"/>
      <c r="IP14" s="102"/>
      <c r="IQ14" s="102"/>
      <c r="IR14" s="102"/>
      <c r="IS14" s="102"/>
      <c r="IT14" s="102"/>
      <c r="IU14" s="102"/>
      <c r="IV14" s="102"/>
    </row>
    <row r="15" spans="1:256" outlineLevel="1" x14ac:dyDescent="0.2">
      <c r="A15" s="125" t="s">
        <v>878</v>
      </c>
      <c r="B15" s="126">
        <f>SUM(C15:V15)</f>
        <v>0</v>
      </c>
      <c r="C15" s="127">
        <f>SUM(C16:C24)</f>
        <v>0</v>
      </c>
      <c r="D15" s="128"/>
      <c r="E15" s="129">
        <f>SUM(E16:E24)</f>
        <v>0</v>
      </c>
      <c r="F15" s="130"/>
      <c r="G15" s="127">
        <f>SUM(G16:G24)</f>
        <v>0</v>
      </c>
      <c r="H15" s="128"/>
      <c r="I15" s="127">
        <f>SUM(I16:I24)</f>
        <v>0</v>
      </c>
      <c r="J15" s="128"/>
      <c r="K15" s="127">
        <f>SUM(K16:K24)</f>
        <v>0</v>
      </c>
      <c r="L15" s="128"/>
      <c r="M15" s="127">
        <f>SUM(M16:M24)</f>
        <v>0</v>
      </c>
      <c r="N15" s="128"/>
      <c r="O15" s="127">
        <f>SUM(O16:O24)</f>
        <v>0</v>
      </c>
      <c r="P15" s="128"/>
      <c r="Q15" s="127">
        <f>SUM(Q16:Q24)</f>
        <v>0</v>
      </c>
      <c r="R15" s="128"/>
      <c r="S15" s="127">
        <f>SUM(S16:S24)</f>
        <v>0</v>
      </c>
      <c r="T15" s="128"/>
      <c r="U15" s="127">
        <f>SUM(U16:U24)</f>
        <v>0</v>
      </c>
      <c r="V15" s="131"/>
    </row>
    <row r="16" spans="1:256" s="103" customFormat="1" outlineLevel="2" x14ac:dyDescent="0.2">
      <c r="A16" s="90" t="s">
        <v>695</v>
      </c>
      <c r="B16" s="84"/>
      <c r="C16" s="86">
        <f t="array" ref="C16">SUM(IF(descrizione2=$A16,impianto!N$23:N$194,0))</f>
        <v>0</v>
      </c>
      <c r="D16" s="689">
        <f t="array" ref="D16">SUM(IF(descrizione2=$A16,impianto!AM$23:AM$194,0))</f>
        <v>0</v>
      </c>
      <c r="E16" s="86">
        <f t="array" ref="E16">SUM(IF(descrizione2=$A16,impianto!P$23:P$194,0))</f>
        <v>0</v>
      </c>
      <c r="F16" s="434">
        <f t="array" ref="F16">SUM(IF(descrizione2=$A16,impianto!AO$23:AO$194,0))</f>
        <v>0</v>
      </c>
      <c r="G16" s="86">
        <f t="array" ref="G16">SUM(IF(descrizione2=$A16,impianto!R$23:R$194,0))</f>
        <v>0</v>
      </c>
      <c r="H16" s="434">
        <f t="array" ref="H16">SUM(IF(descrizione2=$A16,impianto!AQ$23:AQ$194,0))</f>
        <v>0</v>
      </c>
      <c r="I16" s="86">
        <f t="array" ref="I16">SUM(IF(descrizione2=$A16,impianto!T$23:T$194,0))</f>
        <v>0</v>
      </c>
      <c r="J16" s="434">
        <f t="array" ref="J16">SUM(IF(descrizione2=$A16,impianto!AS$23:AS$194,0))</f>
        <v>0</v>
      </c>
      <c r="K16" s="86">
        <f t="array" ref="K16">SUM(IF(descrizione2=$A16,impianto!V$23:V$194,0))</f>
        <v>0</v>
      </c>
      <c r="L16" s="434">
        <f t="array" ref="L16">SUM(IF(descrizione2=$A16,impianto!AU$23:AU$194,0))</f>
        <v>0</v>
      </c>
      <c r="M16" s="86">
        <f t="array" ref="M16">SUM(IF(descrizione2=$A16,impianto!X$23:X$194,0))</f>
        <v>0</v>
      </c>
      <c r="N16" s="434">
        <f t="array" ref="N16">SUM(IF(descrizione2=$A16,impianto!AW$23:AW$194,0))</f>
        <v>0</v>
      </c>
      <c r="O16" s="86">
        <f t="array" ref="O16">SUM(IF(descrizione2=$A16,impianto!Z$23:Z$194,0))</f>
        <v>0</v>
      </c>
      <c r="P16" s="434">
        <f t="array" ref="P16">SUM(IF(descrizione2=$A16,impianto!AY$23:AY$194,0))</f>
        <v>0</v>
      </c>
      <c r="Q16" s="86">
        <f t="array" ref="Q16">SUM(IF(descrizione2=$A16,impianto!AB$23:AB$194,0))</f>
        <v>0</v>
      </c>
      <c r="R16" s="434">
        <f t="array" ref="R16">SUM(IF(descrizione2=$A16,impianto!BA$23:BA$194,0))</f>
        <v>0</v>
      </c>
      <c r="S16" s="86">
        <f t="array" ref="S16">SUM(IF(descrizione2=$A16,impianto!AD$23:AD$194,0))</f>
        <v>0</v>
      </c>
      <c r="T16" s="434">
        <f t="array" ref="T16">SUM(IF(descrizione2=$A16,impianto!BC$23:BC$194,0))</f>
        <v>0</v>
      </c>
      <c r="U16" s="86">
        <f t="array" ref="U16">SUM(IF(descrizione2=$A16,impianto!AF$23:AF$194,0))</f>
        <v>0</v>
      </c>
      <c r="V16" s="434">
        <f t="array" ref="V16">SUM(IF(descrizione2=$A16,impianto!BE$23:BE$194,0))</f>
        <v>0</v>
      </c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  <c r="CW16" s="102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02"/>
      <c r="EE16" s="102"/>
      <c r="EF16" s="102"/>
      <c r="EG16" s="102"/>
      <c r="EH16" s="102"/>
      <c r="EI16" s="102"/>
      <c r="EJ16" s="102"/>
      <c r="EK16" s="102"/>
      <c r="EL16" s="102"/>
      <c r="EM16" s="102"/>
      <c r="EN16" s="102"/>
      <c r="EO16" s="102"/>
      <c r="EP16" s="102"/>
      <c r="EQ16" s="102"/>
      <c r="ER16" s="102"/>
      <c r="ES16" s="102"/>
      <c r="ET16" s="102"/>
      <c r="EU16" s="102"/>
      <c r="EV16" s="102"/>
      <c r="EW16" s="102"/>
      <c r="EX16" s="102"/>
      <c r="EY16" s="102"/>
      <c r="EZ16" s="102"/>
      <c r="FA16" s="102"/>
      <c r="FB16" s="102"/>
      <c r="FC16" s="102"/>
      <c r="FD16" s="102"/>
      <c r="FE16" s="102"/>
      <c r="FF16" s="102"/>
      <c r="FG16" s="102"/>
      <c r="FH16" s="102"/>
      <c r="FI16" s="102"/>
      <c r="FJ16" s="102"/>
      <c r="FK16" s="102"/>
      <c r="FL16" s="102"/>
      <c r="FM16" s="102"/>
      <c r="FN16" s="102"/>
      <c r="FO16" s="102"/>
      <c r="FP16" s="102"/>
      <c r="FQ16" s="102"/>
      <c r="FR16" s="102"/>
      <c r="FS16" s="102"/>
      <c r="FT16" s="102"/>
      <c r="FU16" s="102"/>
      <c r="FV16" s="102"/>
      <c r="FW16" s="102"/>
      <c r="FX16" s="102"/>
      <c r="FY16" s="102"/>
      <c r="FZ16" s="102"/>
      <c r="GA16" s="102"/>
      <c r="GB16" s="102"/>
      <c r="GC16" s="102"/>
      <c r="GD16" s="102"/>
      <c r="GE16" s="102"/>
      <c r="GF16" s="102"/>
      <c r="GG16" s="102"/>
      <c r="GH16" s="102"/>
      <c r="GI16" s="102"/>
      <c r="GJ16" s="102"/>
      <c r="GK16" s="102"/>
      <c r="GL16" s="102"/>
      <c r="GM16" s="102"/>
      <c r="GN16" s="102"/>
      <c r="GO16" s="102"/>
      <c r="GP16" s="102"/>
      <c r="GQ16" s="102"/>
      <c r="GR16" s="102"/>
      <c r="GS16" s="102"/>
      <c r="GT16" s="102"/>
      <c r="GU16" s="102"/>
      <c r="GV16" s="102"/>
      <c r="GW16" s="102"/>
      <c r="GX16" s="102"/>
      <c r="GY16" s="102"/>
      <c r="GZ16" s="102"/>
      <c r="HA16" s="102"/>
      <c r="HB16" s="102"/>
      <c r="HC16" s="102"/>
      <c r="HD16" s="102"/>
      <c r="HE16" s="102"/>
      <c r="HF16" s="102"/>
      <c r="HG16" s="102"/>
      <c r="HH16" s="102"/>
      <c r="HI16" s="102"/>
      <c r="HJ16" s="102"/>
      <c r="HK16" s="102"/>
      <c r="HL16" s="102"/>
      <c r="HM16" s="102"/>
      <c r="HN16" s="102"/>
      <c r="HO16" s="102"/>
      <c r="HP16" s="102"/>
      <c r="HQ16" s="102"/>
      <c r="HR16" s="102"/>
      <c r="HS16" s="102"/>
      <c r="HT16" s="102"/>
      <c r="HU16" s="102"/>
      <c r="HV16" s="102"/>
      <c r="HW16" s="102"/>
      <c r="HX16" s="102"/>
      <c r="HY16" s="102"/>
      <c r="HZ16" s="102"/>
      <c r="IA16" s="102"/>
      <c r="IB16" s="102"/>
      <c r="IC16" s="102"/>
      <c r="ID16" s="102"/>
      <c r="IE16" s="102"/>
      <c r="IF16" s="102"/>
      <c r="IG16" s="102"/>
      <c r="IH16" s="102"/>
      <c r="II16" s="102"/>
      <c r="IJ16" s="102"/>
      <c r="IK16" s="102"/>
      <c r="IL16" s="102"/>
      <c r="IM16" s="102"/>
      <c r="IN16" s="102"/>
      <c r="IO16" s="102"/>
      <c r="IP16" s="102"/>
      <c r="IQ16" s="102"/>
      <c r="IR16" s="102"/>
      <c r="IS16" s="102"/>
      <c r="IT16" s="102"/>
      <c r="IU16" s="102"/>
      <c r="IV16" s="102"/>
    </row>
    <row r="17" spans="1:256" s="103" customFormat="1" outlineLevel="2" x14ac:dyDescent="0.2">
      <c r="A17" s="90" t="s">
        <v>696</v>
      </c>
      <c r="B17" s="84"/>
      <c r="C17" s="86">
        <f t="array" ref="C17">SUM(IF(descrizione2=$A17,impianto!N$23:N$194,0))</f>
        <v>0</v>
      </c>
      <c r="D17" s="689">
        <f t="array" ref="D17">SUM(IF(descrizione2=$A17,impianto!AM$23:AM$194,0))</f>
        <v>0</v>
      </c>
      <c r="E17" s="86">
        <f t="array" ref="E17">SUM(IF(descrizione2=$A17,impianto!P$23:P$194,0))</f>
        <v>0</v>
      </c>
      <c r="F17" s="434">
        <f t="array" ref="F17">SUM(IF(descrizione2=$A17,impianto!AO$23:AO$194,0))</f>
        <v>0</v>
      </c>
      <c r="G17" s="86">
        <f t="array" ref="G17">SUM(IF(descrizione2=$A17,impianto!R$23:R$194,0))</f>
        <v>0</v>
      </c>
      <c r="H17" s="434">
        <f t="array" ref="H17">SUM(IF(descrizione2=$A17,impianto!AQ$23:AQ$194,0))</f>
        <v>0</v>
      </c>
      <c r="I17" s="86">
        <f t="array" ref="I17">SUM(IF(descrizione2=$A17,impianto!T$23:T$194,0))</f>
        <v>0</v>
      </c>
      <c r="J17" s="434">
        <f t="array" ref="J17">SUM(IF(descrizione2=$A17,impianto!AS$23:AS$194,0))</f>
        <v>0</v>
      </c>
      <c r="K17" s="86">
        <f t="array" ref="K17">SUM(IF(descrizione2=$A17,impianto!V$23:V$194,0))</f>
        <v>0</v>
      </c>
      <c r="L17" s="434">
        <f t="array" ref="L17">SUM(IF(descrizione2=$A17,impianto!AU$23:AU$194,0))</f>
        <v>0</v>
      </c>
      <c r="M17" s="86">
        <f t="array" ref="M17">SUM(IF(descrizione2=$A17,impianto!X$23:X$194,0))</f>
        <v>0</v>
      </c>
      <c r="N17" s="434">
        <f t="array" ref="N17">SUM(IF(descrizione2=$A17,impianto!AW$23:AW$194,0))</f>
        <v>0</v>
      </c>
      <c r="O17" s="86">
        <f t="array" ref="O17">SUM(IF(descrizione2=$A17,impianto!Z$23:Z$194,0))</f>
        <v>0</v>
      </c>
      <c r="P17" s="434">
        <f t="array" ref="P17">SUM(IF(descrizione2=$A17,impianto!AY$23:AY$194,0))</f>
        <v>0</v>
      </c>
      <c r="Q17" s="86">
        <f t="array" ref="Q17">SUM(IF(descrizione2=$A17,impianto!AB$23:AB$194,0))</f>
        <v>0</v>
      </c>
      <c r="R17" s="434">
        <f t="array" ref="R17">SUM(IF(descrizione2=$A17,impianto!BA$23:BA$194,0))</f>
        <v>0</v>
      </c>
      <c r="S17" s="86">
        <f t="array" ref="S17">SUM(IF(descrizione2=$A17,impianto!AD$23:AD$194,0))</f>
        <v>0</v>
      </c>
      <c r="T17" s="434">
        <f t="array" ref="T17">SUM(IF(descrizione2=$A17,impianto!BC$23:BC$194,0))</f>
        <v>0</v>
      </c>
      <c r="U17" s="86">
        <f t="array" ref="U17">SUM(IF(descrizione2=$A17,impianto!AF$23:AF$194,0))</f>
        <v>0</v>
      </c>
      <c r="V17" s="434">
        <f t="array" ref="V17">SUM(IF(descrizione2=$A17,impianto!BE$23:BE$194,0))</f>
        <v>0</v>
      </c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BY17" s="102"/>
      <c r="BZ17" s="102"/>
      <c r="CA17" s="102"/>
      <c r="CB17" s="102"/>
      <c r="CC17" s="102"/>
      <c r="CD17" s="102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  <c r="CW17" s="102"/>
      <c r="CX17" s="102"/>
      <c r="CY17" s="102"/>
      <c r="CZ17" s="102"/>
      <c r="DA17" s="102"/>
      <c r="DB17" s="102"/>
      <c r="DC17" s="102"/>
      <c r="DD17" s="102"/>
      <c r="DE17" s="102"/>
      <c r="DF17" s="102"/>
      <c r="DG17" s="102"/>
      <c r="DH17" s="102"/>
      <c r="DI17" s="102"/>
      <c r="DJ17" s="102"/>
      <c r="DK17" s="102"/>
      <c r="DL17" s="102"/>
      <c r="DM17" s="102"/>
      <c r="DN17" s="102"/>
      <c r="DO17" s="102"/>
      <c r="DP17" s="102"/>
      <c r="DQ17" s="102"/>
      <c r="DR17" s="102"/>
      <c r="DS17" s="102"/>
      <c r="DT17" s="102"/>
      <c r="DU17" s="102"/>
      <c r="DV17" s="102"/>
      <c r="DW17" s="102"/>
      <c r="DX17" s="102"/>
      <c r="DY17" s="102"/>
      <c r="DZ17" s="102"/>
      <c r="EA17" s="102"/>
      <c r="EB17" s="102"/>
      <c r="EC17" s="102"/>
      <c r="ED17" s="102"/>
      <c r="EE17" s="102"/>
      <c r="EF17" s="102"/>
      <c r="EG17" s="102"/>
      <c r="EH17" s="102"/>
      <c r="EI17" s="102"/>
      <c r="EJ17" s="102"/>
      <c r="EK17" s="102"/>
      <c r="EL17" s="102"/>
      <c r="EM17" s="102"/>
      <c r="EN17" s="102"/>
      <c r="EO17" s="102"/>
      <c r="EP17" s="102"/>
      <c r="EQ17" s="102"/>
      <c r="ER17" s="102"/>
      <c r="ES17" s="102"/>
      <c r="ET17" s="102"/>
      <c r="EU17" s="102"/>
      <c r="EV17" s="102"/>
      <c r="EW17" s="102"/>
      <c r="EX17" s="102"/>
      <c r="EY17" s="102"/>
      <c r="EZ17" s="102"/>
      <c r="FA17" s="102"/>
      <c r="FB17" s="102"/>
      <c r="FC17" s="102"/>
      <c r="FD17" s="102"/>
      <c r="FE17" s="102"/>
      <c r="FF17" s="102"/>
      <c r="FG17" s="102"/>
      <c r="FH17" s="102"/>
      <c r="FI17" s="102"/>
      <c r="FJ17" s="102"/>
      <c r="FK17" s="102"/>
      <c r="FL17" s="102"/>
      <c r="FM17" s="102"/>
      <c r="FN17" s="102"/>
      <c r="FO17" s="102"/>
      <c r="FP17" s="102"/>
      <c r="FQ17" s="102"/>
      <c r="FR17" s="102"/>
      <c r="FS17" s="102"/>
      <c r="FT17" s="102"/>
      <c r="FU17" s="102"/>
      <c r="FV17" s="102"/>
      <c r="FW17" s="102"/>
      <c r="FX17" s="102"/>
      <c r="FY17" s="102"/>
      <c r="FZ17" s="102"/>
      <c r="GA17" s="102"/>
      <c r="GB17" s="102"/>
      <c r="GC17" s="102"/>
      <c r="GD17" s="102"/>
      <c r="GE17" s="102"/>
      <c r="GF17" s="102"/>
      <c r="GG17" s="102"/>
      <c r="GH17" s="102"/>
      <c r="GI17" s="102"/>
      <c r="GJ17" s="102"/>
      <c r="GK17" s="102"/>
      <c r="GL17" s="102"/>
      <c r="GM17" s="102"/>
      <c r="GN17" s="102"/>
      <c r="GO17" s="102"/>
      <c r="GP17" s="102"/>
      <c r="GQ17" s="102"/>
      <c r="GR17" s="102"/>
      <c r="GS17" s="102"/>
      <c r="GT17" s="102"/>
      <c r="GU17" s="102"/>
      <c r="GV17" s="102"/>
      <c r="GW17" s="102"/>
      <c r="GX17" s="102"/>
      <c r="GY17" s="102"/>
      <c r="GZ17" s="102"/>
      <c r="HA17" s="102"/>
      <c r="HB17" s="102"/>
      <c r="HC17" s="102"/>
      <c r="HD17" s="102"/>
      <c r="HE17" s="102"/>
      <c r="HF17" s="102"/>
      <c r="HG17" s="102"/>
      <c r="HH17" s="102"/>
      <c r="HI17" s="102"/>
      <c r="HJ17" s="102"/>
      <c r="HK17" s="102"/>
      <c r="HL17" s="102"/>
      <c r="HM17" s="102"/>
      <c r="HN17" s="102"/>
      <c r="HO17" s="102"/>
      <c r="HP17" s="102"/>
      <c r="HQ17" s="102"/>
      <c r="HR17" s="102"/>
      <c r="HS17" s="102"/>
      <c r="HT17" s="102"/>
      <c r="HU17" s="102"/>
      <c r="HV17" s="102"/>
      <c r="HW17" s="102"/>
      <c r="HX17" s="102"/>
      <c r="HY17" s="102"/>
      <c r="HZ17" s="102"/>
      <c r="IA17" s="102"/>
      <c r="IB17" s="102"/>
      <c r="IC17" s="102"/>
      <c r="ID17" s="102"/>
      <c r="IE17" s="102"/>
      <c r="IF17" s="102"/>
      <c r="IG17" s="102"/>
      <c r="IH17" s="102"/>
      <c r="II17" s="102"/>
      <c r="IJ17" s="102"/>
      <c r="IK17" s="102"/>
      <c r="IL17" s="102"/>
      <c r="IM17" s="102"/>
      <c r="IN17" s="102"/>
      <c r="IO17" s="102"/>
      <c r="IP17" s="102"/>
      <c r="IQ17" s="102"/>
      <c r="IR17" s="102"/>
      <c r="IS17" s="102"/>
      <c r="IT17" s="102"/>
      <c r="IU17" s="102"/>
      <c r="IV17" s="102"/>
    </row>
    <row r="18" spans="1:256" s="103" customFormat="1" outlineLevel="2" x14ac:dyDescent="0.2">
      <c r="A18" s="90" t="s">
        <v>697</v>
      </c>
      <c r="B18" s="84"/>
      <c r="C18" s="86">
        <f t="array" ref="C18">SUM(IF(descrizione2=$A18,impianto!N$23:N$194,0))</f>
        <v>0</v>
      </c>
      <c r="D18" s="689">
        <f t="array" ref="D18">SUM(IF(descrizione2=$A18,impianto!AM$23:AM$194,0))</f>
        <v>0</v>
      </c>
      <c r="E18" s="86">
        <f t="array" ref="E18">SUM(IF(descrizione2=$A18,impianto!P$23:P$194,0))</f>
        <v>0</v>
      </c>
      <c r="F18" s="434">
        <f t="array" ref="F18">SUM(IF(descrizione2=$A18,impianto!AO$23:AO$194,0))</f>
        <v>0</v>
      </c>
      <c r="G18" s="86">
        <f t="array" ref="G18">SUM(IF(descrizione2=$A18,impianto!R$23:R$194,0))</f>
        <v>0</v>
      </c>
      <c r="H18" s="434">
        <f t="array" ref="H18">SUM(IF(descrizione2=$A18,impianto!AQ$23:AQ$194,0))</f>
        <v>0</v>
      </c>
      <c r="I18" s="86">
        <f t="array" ref="I18">SUM(IF(descrizione2=$A18,impianto!T$23:T$194,0))</f>
        <v>0</v>
      </c>
      <c r="J18" s="434">
        <f t="array" ref="J18">SUM(IF(descrizione2=$A18,impianto!AS$23:AS$194,0))</f>
        <v>0</v>
      </c>
      <c r="K18" s="86">
        <f t="array" ref="K18">SUM(IF(descrizione2=$A18,impianto!V$23:V$194,0))</f>
        <v>0</v>
      </c>
      <c r="L18" s="434">
        <f t="array" ref="L18">SUM(IF(descrizione2=$A18,impianto!AU$23:AU$194,0))</f>
        <v>0</v>
      </c>
      <c r="M18" s="86">
        <f t="array" ref="M18">SUM(IF(descrizione2=$A18,impianto!X$23:X$194,0))</f>
        <v>0</v>
      </c>
      <c r="N18" s="434">
        <f t="array" ref="N18">SUM(IF(descrizione2=$A18,impianto!AW$23:AW$194,0))</f>
        <v>0</v>
      </c>
      <c r="O18" s="86">
        <f t="array" ref="O18">SUM(IF(descrizione2=$A18,impianto!Z$23:Z$194,0))</f>
        <v>0</v>
      </c>
      <c r="P18" s="434">
        <f t="array" ref="P18">SUM(IF(descrizione2=$A18,impianto!AY$23:AY$194,0))</f>
        <v>0</v>
      </c>
      <c r="Q18" s="86">
        <f t="array" ref="Q18">SUM(IF(descrizione2=$A18,impianto!AB$23:AB$194,0))</f>
        <v>0</v>
      </c>
      <c r="R18" s="434">
        <f t="array" ref="R18">SUM(IF(descrizione2=$A18,impianto!BA$23:BA$194,0))</f>
        <v>0</v>
      </c>
      <c r="S18" s="86">
        <f t="array" ref="S18">SUM(IF(descrizione2=$A18,impianto!AD$23:AD$194,0))</f>
        <v>0</v>
      </c>
      <c r="T18" s="434">
        <f t="array" ref="T18">SUM(IF(descrizione2=$A18,impianto!BC$23:BC$194,0))</f>
        <v>0</v>
      </c>
      <c r="U18" s="86">
        <f t="array" ref="U18">SUM(IF(descrizione2=$A18,impianto!AF$23:AF$194,0))</f>
        <v>0</v>
      </c>
      <c r="V18" s="434">
        <f t="array" ref="V18">SUM(IF(descrizione2=$A18,impianto!BE$23:BE$194,0))</f>
        <v>0</v>
      </c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102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102"/>
      <c r="ET18" s="102"/>
      <c r="EU18" s="102"/>
      <c r="EV18" s="102"/>
      <c r="EW18" s="102"/>
      <c r="EX18" s="102"/>
      <c r="EY18" s="102"/>
      <c r="EZ18" s="102"/>
      <c r="FA18" s="102"/>
      <c r="FB18" s="102"/>
      <c r="FC18" s="102"/>
      <c r="FD18" s="102"/>
      <c r="FE18" s="102"/>
      <c r="FF18" s="102"/>
      <c r="FG18" s="102"/>
      <c r="FH18" s="102"/>
      <c r="FI18" s="102"/>
      <c r="FJ18" s="102"/>
      <c r="FK18" s="102"/>
      <c r="FL18" s="102"/>
      <c r="FM18" s="102"/>
      <c r="FN18" s="102"/>
      <c r="FO18" s="102"/>
      <c r="FP18" s="102"/>
      <c r="FQ18" s="102"/>
      <c r="FR18" s="102"/>
      <c r="FS18" s="102"/>
      <c r="FT18" s="102"/>
      <c r="FU18" s="102"/>
      <c r="FV18" s="102"/>
      <c r="FW18" s="102"/>
      <c r="FX18" s="102"/>
      <c r="FY18" s="102"/>
      <c r="FZ18" s="102"/>
      <c r="GA18" s="102"/>
      <c r="GB18" s="102"/>
      <c r="GC18" s="102"/>
      <c r="GD18" s="102"/>
      <c r="GE18" s="102"/>
      <c r="GF18" s="102"/>
      <c r="GG18" s="102"/>
      <c r="GH18" s="102"/>
      <c r="GI18" s="102"/>
      <c r="GJ18" s="102"/>
      <c r="GK18" s="102"/>
      <c r="GL18" s="102"/>
      <c r="GM18" s="102"/>
      <c r="GN18" s="102"/>
      <c r="GO18" s="102"/>
      <c r="GP18" s="102"/>
      <c r="GQ18" s="102"/>
      <c r="GR18" s="102"/>
      <c r="GS18" s="102"/>
      <c r="GT18" s="102"/>
      <c r="GU18" s="102"/>
      <c r="GV18" s="102"/>
      <c r="GW18" s="102"/>
      <c r="GX18" s="102"/>
      <c r="GY18" s="102"/>
      <c r="GZ18" s="102"/>
      <c r="HA18" s="102"/>
      <c r="HB18" s="102"/>
      <c r="HC18" s="102"/>
      <c r="HD18" s="102"/>
      <c r="HE18" s="102"/>
      <c r="HF18" s="102"/>
      <c r="HG18" s="102"/>
      <c r="HH18" s="102"/>
      <c r="HI18" s="102"/>
      <c r="HJ18" s="102"/>
      <c r="HK18" s="102"/>
      <c r="HL18" s="102"/>
      <c r="HM18" s="102"/>
      <c r="HN18" s="102"/>
      <c r="HO18" s="102"/>
      <c r="HP18" s="102"/>
      <c r="HQ18" s="102"/>
      <c r="HR18" s="102"/>
      <c r="HS18" s="102"/>
      <c r="HT18" s="102"/>
      <c r="HU18" s="102"/>
      <c r="HV18" s="102"/>
      <c r="HW18" s="102"/>
      <c r="HX18" s="102"/>
      <c r="HY18" s="102"/>
      <c r="HZ18" s="102"/>
      <c r="IA18" s="102"/>
      <c r="IB18" s="102"/>
      <c r="IC18" s="102"/>
      <c r="ID18" s="102"/>
      <c r="IE18" s="102"/>
      <c r="IF18" s="102"/>
      <c r="IG18" s="102"/>
      <c r="IH18" s="102"/>
      <c r="II18" s="102"/>
      <c r="IJ18" s="102"/>
      <c r="IK18" s="102"/>
      <c r="IL18" s="102"/>
      <c r="IM18" s="102"/>
      <c r="IN18" s="102"/>
      <c r="IO18" s="102"/>
      <c r="IP18" s="102"/>
      <c r="IQ18" s="102"/>
      <c r="IR18" s="102"/>
      <c r="IS18" s="102"/>
      <c r="IT18" s="102"/>
      <c r="IU18" s="102"/>
      <c r="IV18" s="102"/>
    </row>
    <row r="19" spans="1:256" s="103" customFormat="1" outlineLevel="2" x14ac:dyDescent="0.2">
      <c r="A19" s="90" t="s">
        <v>694</v>
      </c>
      <c r="B19" s="84"/>
      <c r="C19" s="86">
        <f t="array" ref="C19">SUM(IF(descrizione2=$A19,impianto!N$23:N$194,0))</f>
        <v>0</v>
      </c>
      <c r="D19" s="689">
        <f t="array" ref="D19">SUM(IF(descrizione2=$A19,impianto!AM$23:AM$194,0))</f>
        <v>0</v>
      </c>
      <c r="E19" s="86">
        <f t="array" ref="E19">SUM(IF(descrizione2=$A19,impianto!P$23:P$194,0))</f>
        <v>0</v>
      </c>
      <c r="F19" s="434">
        <f t="array" ref="F19">SUM(IF(descrizione2=$A19,impianto!AO$23:AO$194,0))</f>
        <v>0</v>
      </c>
      <c r="G19" s="86">
        <f t="array" ref="G19">SUM(IF(descrizione2=$A19,impianto!R$23:R$194,0))</f>
        <v>0</v>
      </c>
      <c r="H19" s="434">
        <f t="array" ref="H19">SUM(IF(descrizione2=$A19,impianto!AQ$23:AQ$194,0))</f>
        <v>0</v>
      </c>
      <c r="I19" s="86">
        <f t="array" ref="I19">SUM(IF(descrizione2=$A19,impianto!T$23:T$194,0))</f>
        <v>0</v>
      </c>
      <c r="J19" s="434">
        <f t="array" ref="J19">SUM(IF(descrizione2=$A19,impianto!AS$23:AS$194,0))</f>
        <v>0</v>
      </c>
      <c r="K19" s="86">
        <f t="array" ref="K19">SUM(IF(descrizione2=$A19,impianto!V$23:V$194,0))</f>
        <v>0</v>
      </c>
      <c r="L19" s="434">
        <f t="array" ref="L19">SUM(IF(descrizione2=$A19,impianto!AU$23:AU$194,0))</f>
        <v>0</v>
      </c>
      <c r="M19" s="86">
        <f t="array" ref="M19">SUM(IF(descrizione2=$A19,impianto!X$23:X$194,0))</f>
        <v>0</v>
      </c>
      <c r="N19" s="434">
        <f t="array" ref="N19">SUM(IF(descrizione2=$A19,impianto!AW$23:AW$194,0))</f>
        <v>0</v>
      </c>
      <c r="O19" s="86">
        <f t="array" ref="O19">SUM(IF(descrizione2=$A19,impianto!Z$23:Z$194,0))</f>
        <v>0</v>
      </c>
      <c r="P19" s="434">
        <f t="array" ref="P19">SUM(IF(descrizione2=$A19,impianto!AY$23:AY$194,0))</f>
        <v>0</v>
      </c>
      <c r="Q19" s="86">
        <f t="array" ref="Q19">SUM(IF(descrizione2=$A19,impianto!AB$23:AB$194,0))</f>
        <v>0</v>
      </c>
      <c r="R19" s="434">
        <f t="array" ref="R19">SUM(IF(descrizione2=$A19,impianto!BA$23:BA$194,0))</f>
        <v>0</v>
      </c>
      <c r="S19" s="86">
        <f t="array" ref="S19">SUM(IF(descrizione2=$A19,impianto!AD$23:AD$194,0))</f>
        <v>0</v>
      </c>
      <c r="T19" s="434">
        <f t="array" ref="T19">SUM(IF(descrizione2=$A19,impianto!BC$23:BC$194,0))</f>
        <v>0</v>
      </c>
      <c r="U19" s="86">
        <f t="array" ref="U19">SUM(IF(descrizione2=$A19,impianto!AF$23:AF$194,0))</f>
        <v>0</v>
      </c>
      <c r="V19" s="434">
        <f t="array" ref="V19">SUM(IF(descrizione2=$A19,impianto!BE$23:BE$194,0))</f>
        <v>0</v>
      </c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02"/>
      <c r="CV19" s="102"/>
      <c r="CW19" s="102"/>
      <c r="CX19" s="102"/>
      <c r="CY19" s="102"/>
      <c r="CZ19" s="102"/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2"/>
      <c r="DT19" s="102"/>
      <c r="DU19" s="102"/>
      <c r="DV19" s="102"/>
      <c r="DW19" s="102"/>
      <c r="DX19" s="102"/>
      <c r="DY19" s="102"/>
      <c r="DZ19" s="102"/>
      <c r="EA19" s="102"/>
      <c r="EB19" s="102"/>
      <c r="EC19" s="102"/>
      <c r="ED19" s="102"/>
      <c r="EE19" s="102"/>
      <c r="EF19" s="102"/>
      <c r="EG19" s="102"/>
      <c r="EH19" s="102"/>
      <c r="EI19" s="102"/>
      <c r="EJ19" s="102"/>
      <c r="EK19" s="102"/>
      <c r="EL19" s="102"/>
      <c r="EM19" s="102"/>
      <c r="EN19" s="102"/>
      <c r="EO19" s="102"/>
      <c r="EP19" s="102"/>
      <c r="EQ19" s="102"/>
      <c r="ER19" s="102"/>
      <c r="ES19" s="102"/>
      <c r="ET19" s="102"/>
      <c r="EU19" s="102"/>
      <c r="EV19" s="102"/>
      <c r="EW19" s="102"/>
      <c r="EX19" s="102"/>
      <c r="EY19" s="102"/>
      <c r="EZ19" s="102"/>
      <c r="FA19" s="102"/>
      <c r="FB19" s="102"/>
      <c r="FC19" s="102"/>
      <c r="FD19" s="102"/>
      <c r="FE19" s="102"/>
      <c r="FF19" s="102"/>
      <c r="FG19" s="102"/>
      <c r="FH19" s="102"/>
      <c r="FI19" s="102"/>
      <c r="FJ19" s="102"/>
      <c r="FK19" s="102"/>
      <c r="FL19" s="102"/>
      <c r="FM19" s="102"/>
      <c r="FN19" s="102"/>
      <c r="FO19" s="102"/>
      <c r="FP19" s="102"/>
      <c r="FQ19" s="102"/>
      <c r="FR19" s="102"/>
      <c r="FS19" s="102"/>
      <c r="FT19" s="102"/>
      <c r="FU19" s="102"/>
      <c r="FV19" s="102"/>
      <c r="FW19" s="102"/>
      <c r="FX19" s="102"/>
      <c r="FY19" s="102"/>
      <c r="FZ19" s="102"/>
      <c r="GA19" s="102"/>
      <c r="GB19" s="102"/>
      <c r="GC19" s="102"/>
      <c r="GD19" s="102"/>
      <c r="GE19" s="102"/>
      <c r="GF19" s="102"/>
      <c r="GG19" s="102"/>
      <c r="GH19" s="102"/>
      <c r="GI19" s="102"/>
      <c r="GJ19" s="102"/>
      <c r="GK19" s="102"/>
      <c r="GL19" s="102"/>
      <c r="GM19" s="102"/>
      <c r="GN19" s="102"/>
      <c r="GO19" s="102"/>
      <c r="GP19" s="102"/>
      <c r="GQ19" s="102"/>
      <c r="GR19" s="102"/>
      <c r="GS19" s="102"/>
      <c r="GT19" s="102"/>
      <c r="GU19" s="102"/>
      <c r="GV19" s="102"/>
      <c r="GW19" s="102"/>
      <c r="GX19" s="102"/>
      <c r="GY19" s="102"/>
      <c r="GZ19" s="102"/>
      <c r="HA19" s="102"/>
      <c r="HB19" s="102"/>
      <c r="HC19" s="102"/>
      <c r="HD19" s="102"/>
      <c r="HE19" s="102"/>
      <c r="HF19" s="102"/>
      <c r="HG19" s="102"/>
      <c r="HH19" s="102"/>
      <c r="HI19" s="102"/>
      <c r="HJ19" s="102"/>
      <c r="HK19" s="102"/>
      <c r="HL19" s="102"/>
      <c r="HM19" s="102"/>
      <c r="HN19" s="102"/>
      <c r="HO19" s="102"/>
      <c r="HP19" s="102"/>
      <c r="HQ19" s="102"/>
      <c r="HR19" s="102"/>
      <c r="HS19" s="102"/>
      <c r="HT19" s="102"/>
      <c r="HU19" s="102"/>
      <c r="HV19" s="102"/>
      <c r="HW19" s="102"/>
      <c r="HX19" s="102"/>
      <c r="HY19" s="102"/>
      <c r="HZ19" s="102"/>
      <c r="IA19" s="102"/>
      <c r="IB19" s="102"/>
      <c r="IC19" s="102"/>
      <c r="ID19" s="102"/>
      <c r="IE19" s="102"/>
      <c r="IF19" s="102"/>
      <c r="IG19" s="102"/>
      <c r="IH19" s="102"/>
      <c r="II19" s="102"/>
      <c r="IJ19" s="102"/>
      <c r="IK19" s="102"/>
      <c r="IL19" s="102"/>
      <c r="IM19" s="102"/>
      <c r="IN19" s="102"/>
      <c r="IO19" s="102"/>
      <c r="IP19" s="102"/>
      <c r="IQ19" s="102"/>
      <c r="IR19" s="102"/>
      <c r="IS19" s="102"/>
      <c r="IT19" s="102"/>
      <c r="IU19" s="102"/>
      <c r="IV19" s="102"/>
    </row>
    <row r="20" spans="1:256" s="103" customFormat="1" outlineLevel="2" x14ac:dyDescent="0.2">
      <c r="A20" s="90" t="s">
        <v>1269</v>
      </c>
      <c r="B20" s="84"/>
      <c r="C20" s="86">
        <f t="array" ref="C20">SUM(IF(descrizione2=$A20,impianto!N$23:N$194,0))</f>
        <v>0</v>
      </c>
      <c r="D20" s="689">
        <f t="array" ref="D20">SUM(IF(descrizione2=$A20,impianto!AM$23:AM$194,0))</f>
        <v>0</v>
      </c>
      <c r="E20" s="86">
        <f t="array" ref="E20">SUM(IF(descrizione2=$A20,impianto!P$23:P$194,0))</f>
        <v>0</v>
      </c>
      <c r="F20" s="434">
        <f t="array" ref="F20">SUM(IF(descrizione2=$A20,impianto!AO$23:AO$194,0))</f>
        <v>0</v>
      </c>
      <c r="G20" s="86">
        <f t="array" ref="G20">SUM(IF(descrizione2=$A20,impianto!R$23:R$194,0))</f>
        <v>0</v>
      </c>
      <c r="H20" s="434">
        <f t="array" ref="H20">SUM(IF(descrizione2=$A20,impianto!AQ$23:AQ$194,0))</f>
        <v>0</v>
      </c>
      <c r="I20" s="86">
        <f t="array" ref="I20">SUM(IF(descrizione2=$A20,impianto!T$23:T$194,0))</f>
        <v>0</v>
      </c>
      <c r="J20" s="434">
        <f t="array" ref="J20">SUM(IF(descrizione2=$A20,impianto!AS$23:AS$194,0))</f>
        <v>0</v>
      </c>
      <c r="K20" s="86">
        <f t="array" ref="K20">SUM(IF(descrizione2=$A20,impianto!V$23:V$194,0))</f>
        <v>0</v>
      </c>
      <c r="L20" s="434">
        <f t="array" ref="L20">SUM(IF(descrizione2=$A20,impianto!AU$23:AU$194,0))</f>
        <v>0</v>
      </c>
      <c r="M20" s="86">
        <f t="array" ref="M20">SUM(IF(descrizione2=$A20,impianto!X$23:X$194,0))</f>
        <v>0</v>
      </c>
      <c r="N20" s="434">
        <f t="array" ref="N20">SUM(IF(descrizione2=$A20,impianto!AW$23:AW$194,0))</f>
        <v>0</v>
      </c>
      <c r="O20" s="86">
        <f t="array" ref="O20">SUM(IF(descrizione2=$A20,impianto!Z$23:Z$194,0))</f>
        <v>0</v>
      </c>
      <c r="P20" s="434">
        <f t="array" ref="P20">SUM(IF(descrizione2=$A20,impianto!AY$23:AY$194,0))</f>
        <v>0</v>
      </c>
      <c r="Q20" s="86">
        <f t="array" ref="Q20">SUM(IF(descrizione2=$A20,impianto!AB$23:AB$194,0))</f>
        <v>0</v>
      </c>
      <c r="R20" s="434">
        <f t="array" ref="R20">SUM(IF(descrizione2=$A20,impianto!BA$23:BA$194,0))</f>
        <v>0</v>
      </c>
      <c r="S20" s="86">
        <f t="array" ref="S20">SUM(IF(descrizione2=$A20,impianto!AD$23:AD$194,0))</f>
        <v>0</v>
      </c>
      <c r="T20" s="434">
        <f t="array" ref="T20">SUM(IF(descrizione2=$A20,impianto!BC$23:BC$194,0))</f>
        <v>0</v>
      </c>
      <c r="U20" s="86">
        <f t="array" ref="U20">SUM(IF(descrizione2=$A20,impianto!AF$23:AF$194,0))</f>
        <v>0</v>
      </c>
      <c r="V20" s="434">
        <f t="array" ref="V20">SUM(IF(descrizione2=$A20,impianto!BE$23:BE$194,0))</f>
        <v>0</v>
      </c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  <c r="CW20" s="102"/>
      <c r="CX20" s="102"/>
      <c r="CY20" s="102"/>
      <c r="CZ20" s="102"/>
      <c r="DA20" s="102"/>
      <c r="DB20" s="102"/>
      <c r="DC20" s="102"/>
      <c r="DD20" s="102"/>
      <c r="DE20" s="102"/>
      <c r="DF20" s="102"/>
      <c r="DG20" s="102"/>
      <c r="DH20" s="102"/>
      <c r="DI20" s="102"/>
      <c r="DJ20" s="102"/>
      <c r="DK20" s="102"/>
      <c r="DL20" s="102"/>
      <c r="DM20" s="102"/>
      <c r="DN20" s="102"/>
      <c r="DO20" s="102"/>
      <c r="DP20" s="102"/>
      <c r="DQ20" s="102"/>
      <c r="DR20" s="102"/>
      <c r="DS20" s="102"/>
      <c r="DT20" s="102"/>
      <c r="DU20" s="102"/>
      <c r="DV20" s="102"/>
      <c r="DW20" s="102"/>
      <c r="DX20" s="102"/>
      <c r="DY20" s="102"/>
      <c r="DZ20" s="102"/>
      <c r="EA20" s="102"/>
      <c r="EB20" s="102"/>
      <c r="EC20" s="102"/>
      <c r="ED20" s="102"/>
      <c r="EE20" s="102"/>
      <c r="EF20" s="102"/>
      <c r="EG20" s="102"/>
      <c r="EH20" s="102"/>
      <c r="EI20" s="102"/>
      <c r="EJ20" s="102"/>
      <c r="EK20" s="102"/>
      <c r="EL20" s="102"/>
      <c r="EM20" s="102"/>
      <c r="EN20" s="102"/>
      <c r="EO20" s="102"/>
      <c r="EP20" s="102"/>
      <c r="EQ20" s="102"/>
      <c r="ER20" s="102"/>
      <c r="ES20" s="102"/>
      <c r="ET20" s="102"/>
      <c r="EU20" s="102"/>
      <c r="EV20" s="102"/>
      <c r="EW20" s="102"/>
      <c r="EX20" s="102"/>
      <c r="EY20" s="102"/>
      <c r="EZ20" s="102"/>
      <c r="FA20" s="102"/>
      <c r="FB20" s="102"/>
      <c r="FC20" s="102"/>
      <c r="FD20" s="102"/>
      <c r="FE20" s="102"/>
      <c r="FF20" s="102"/>
      <c r="FG20" s="102"/>
      <c r="FH20" s="102"/>
      <c r="FI20" s="102"/>
      <c r="FJ20" s="102"/>
      <c r="FK20" s="102"/>
      <c r="FL20" s="102"/>
      <c r="FM20" s="102"/>
      <c r="FN20" s="102"/>
      <c r="FO20" s="102"/>
      <c r="FP20" s="102"/>
      <c r="FQ20" s="102"/>
      <c r="FR20" s="102"/>
      <c r="FS20" s="102"/>
      <c r="FT20" s="102"/>
      <c r="FU20" s="102"/>
      <c r="FV20" s="102"/>
      <c r="FW20" s="102"/>
      <c r="FX20" s="102"/>
      <c r="FY20" s="102"/>
      <c r="FZ20" s="102"/>
      <c r="GA20" s="102"/>
      <c r="GB20" s="102"/>
      <c r="GC20" s="102"/>
      <c r="GD20" s="102"/>
      <c r="GE20" s="102"/>
      <c r="GF20" s="102"/>
      <c r="GG20" s="102"/>
      <c r="GH20" s="102"/>
      <c r="GI20" s="102"/>
      <c r="GJ20" s="102"/>
      <c r="GK20" s="102"/>
      <c r="GL20" s="102"/>
      <c r="GM20" s="102"/>
      <c r="GN20" s="102"/>
      <c r="GO20" s="102"/>
      <c r="GP20" s="102"/>
      <c r="GQ20" s="102"/>
      <c r="GR20" s="102"/>
      <c r="GS20" s="102"/>
      <c r="GT20" s="102"/>
      <c r="GU20" s="102"/>
      <c r="GV20" s="102"/>
      <c r="GW20" s="102"/>
      <c r="GX20" s="102"/>
      <c r="GY20" s="102"/>
      <c r="GZ20" s="102"/>
      <c r="HA20" s="102"/>
      <c r="HB20" s="102"/>
      <c r="HC20" s="102"/>
      <c r="HD20" s="102"/>
      <c r="HE20" s="102"/>
      <c r="HF20" s="102"/>
      <c r="HG20" s="102"/>
      <c r="HH20" s="102"/>
      <c r="HI20" s="102"/>
      <c r="HJ20" s="102"/>
      <c r="HK20" s="102"/>
      <c r="HL20" s="102"/>
      <c r="HM20" s="102"/>
      <c r="HN20" s="102"/>
      <c r="HO20" s="102"/>
      <c r="HP20" s="102"/>
      <c r="HQ20" s="102"/>
      <c r="HR20" s="102"/>
      <c r="HS20" s="102"/>
      <c r="HT20" s="102"/>
      <c r="HU20" s="102"/>
      <c r="HV20" s="102"/>
      <c r="HW20" s="102"/>
      <c r="HX20" s="102"/>
      <c r="HY20" s="102"/>
      <c r="HZ20" s="102"/>
      <c r="IA20" s="102"/>
      <c r="IB20" s="102"/>
      <c r="IC20" s="102"/>
      <c r="ID20" s="102"/>
      <c r="IE20" s="102"/>
      <c r="IF20" s="102"/>
      <c r="IG20" s="102"/>
      <c r="IH20" s="102"/>
      <c r="II20" s="102"/>
      <c r="IJ20" s="102"/>
      <c r="IK20" s="102"/>
      <c r="IL20" s="102"/>
      <c r="IM20" s="102"/>
      <c r="IN20" s="102"/>
      <c r="IO20" s="102"/>
      <c r="IP20" s="102"/>
      <c r="IQ20" s="102"/>
      <c r="IR20" s="102"/>
      <c r="IS20" s="102"/>
      <c r="IT20" s="102"/>
      <c r="IU20" s="102"/>
      <c r="IV20" s="102"/>
    </row>
    <row r="21" spans="1:256" s="103" customFormat="1" outlineLevel="2" x14ac:dyDescent="0.2">
      <c r="A21" s="90" t="s">
        <v>1270</v>
      </c>
      <c r="B21" s="84"/>
      <c r="C21" s="86">
        <f t="array" ref="C21">SUM(IF(descrizione2=$A21,impianto!N$23:N$194,0))</f>
        <v>0</v>
      </c>
      <c r="D21" s="689">
        <f t="array" ref="D21">SUM(IF(descrizione2=$A21,impianto!AM$23:AM$194,0))</f>
        <v>0</v>
      </c>
      <c r="E21" s="86">
        <f t="array" ref="E21">SUM(IF(descrizione2=$A21,impianto!P$23:P$194,0))</f>
        <v>0</v>
      </c>
      <c r="F21" s="434">
        <f t="array" ref="F21">SUM(IF(descrizione2=$A21,impianto!AO$23:AO$194,0))</f>
        <v>0</v>
      </c>
      <c r="G21" s="86">
        <f t="array" ref="G21">SUM(IF(descrizione2=$A21,impianto!R$23:R$194,0))</f>
        <v>0</v>
      </c>
      <c r="H21" s="434">
        <f t="array" ref="H21">SUM(IF(descrizione2=$A21,impianto!AQ$23:AQ$194,0))</f>
        <v>0</v>
      </c>
      <c r="I21" s="86">
        <f t="array" ref="I21">SUM(IF(descrizione2=$A21,impianto!T$23:T$194,0))</f>
        <v>0</v>
      </c>
      <c r="J21" s="434">
        <f t="array" ref="J21">SUM(IF(descrizione2=$A21,impianto!AS$23:AS$194,0))</f>
        <v>0</v>
      </c>
      <c r="K21" s="86">
        <f t="array" ref="K21">SUM(IF(descrizione2=$A21,impianto!V$23:V$194,0))</f>
        <v>0</v>
      </c>
      <c r="L21" s="434">
        <f t="array" ref="L21">SUM(IF(descrizione2=$A21,impianto!AU$23:AU$194,0))</f>
        <v>0</v>
      </c>
      <c r="M21" s="86">
        <f t="array" ref="M21">SUM(IF(descrizione2=$A21,impianto!X$23:X$194,0))</f>
        <v>0</v>
      </c>
      <c r="N21" s="434">
        <f t="array" ref="N21">SUM(IF(descrizione2=$A21,impianto!AW$23:AW$194,0))</f>
        <v>0</v>
      </c>
      <c r="O21" s="86">
        <f t="array" ref="O21">SUM(IF(descrizione2=$A21,impianto!Z$23:Z$194,0))</f>
        <v>0</v>
      </c>
      <c r="P21" s="434">
        <f t="array" ref="P21">SUM(IF(descrizione2=$A21,impianto!AY$23:AY$194,0))</f>
        <v>0</v>
      </c>
      <c r="Q21" s="86">
        <f t="array" ref="Q21">SUM(IF(descrizione2=$A21,impianto!AB$23:AB$194,0))</f>
        <v>0</v>
      </c>
      <c r="R21" s="434">
        <f t="array" ref="R21">SUM(IF(descrizione2=$A21,impianto!BA$23:BA$194,0))</f>
        <v>0</v>
      </c>
      <c r="S21" s="86">
        <f t="array" ref="S21">SUM(IF(descrizione2=$A21,impianto!AD$23:AD$194,0))</f>
        <v>0</v>
      </c>
      <c r="T21" s="434">
        <f t="array" ref="T21">SUM(IF(descrizione2=$A21,impianto!BC$23:BC$194,0))</f>
        <v>0</v>
      </c>
      <c r="U21" s="86">
        <f t="array" ref="U21">SUM(IF(descrizione2=$A21,impianto!AF$23:AF$194,0))</f>
        <v>0</v>
      </c>
      <c r="V21" s="434">
        <f t="array" ref="V21">SUM(IF(descrizione2=$A21,impianto!BE$23:BE$194,0))</f>
        <v>0</v>
      </c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  <c r="EH21" s="102"/>
      <c r="EI21" s="102"/>
      <c r="EJ21" s="102"/>
      <c r="EK21" s="102"/>
      <c r="EL21" s="102"/>
      <c r="EM21" s="102"/>
      <c r="EN21" s="102"/>
      <c r="EO21" s="102"/>
      <c r="EP21" s="102"/>
      <c r="EQ21" s="102"/>
      <c r="ER21" s="102"/>
      <c r="ES21" s="102"/>
      <c r="ET21" s="102"/>
      <c r="EU21" s="102"/>
      <c r="EV21" s="102"/>
      <c r="EW21" s="102"/>
      <c r="EX21" s="102"/>
      <c r="EY21" s="102"/>
      <c r="EZ21" s="102"/>
      <c r="FA21" s="102"/>
      <c r="FB21" s="102"/>
      <c r="FC21" s="102"/>
      <c r="FD21" s="102"/>
      <c r="FE21" s="102"/>
      <c r="FF21" s="102"/>
      <c r="FG21" s="102"/>
      <c r="FH21" s="102"/>
      <c r="FI21" s="102"/>
      <c r="FJ21" s="102"/>
      <c r="FK21" s="102"/>
      <c r="FL21" s="102"/>
      <c r="FM21" s="102"/>
      <c r="FN21" s="102"/>
      <c r="FO21" s="102"/>
      <c r="FP21" s="102"/>
      <c r="FQ21" s="102"/>
      <c r="FR21" s="102"/>
      <c r="FS21" s="102"/>
      <c r="FT21" s="102"/>
      <c r="FU21" s="102"/>
      <c r="FV21" s="102"/>
      <c r="FW21" s="102"/>
      <c r="FX21" s="102"/>
      <c r="FY21" s="102"/>
      <c r="FZ21" s="102"/>
      <c r="GA21" s="102"/>
      <c r="GB21" s="102"/>
      <c r="GC21" s="102"/>
      <c r="GD21" s="102"/>
      <c r="GE21" s="102"/>
      <c r="GF21" s="102"/>
      <c r="GG21" s="102"/>
      <c r="GH21" s="102"/>
      <c r="GI21" s="102"/>
      <c r="GJ21" s="102"/>
      <c r="GK21" s="102"/>
      <c r="GL21" s="102"/>
      <c r="GM21" s="102"/>
      <c r="GN21" s="102"/>
      <c r="GO21" s="102"/>
      <c r="GP21" s="102"/>
      <c r="GQ21" s="102"/>
      <c r="GR21" s="102"/>
      <c r="GS21" s="102"/>
      <c r="GT21" s="102"/>
      <c r="GU21" s="102"/>
      <c r="GV21" s="102"/>
      <c r="GW21" s="102"/>
      <c r="GX21" s="102"/>
      <c r="GY21" s="102"/>
      <c r="GZ21" s="102"/>
      <c r="HA21" s="102"/>
      <c r="HB21" s="102"/>
      <c r="HC21" s="102"/>
      <c r="HD21" s="102"/>
      <c r="HE21" s="102"/>
      <c r="HF21" s="102"/>
      <c r="HG21" s="102"/>
      <c r="HH21" s="102"/>
      <c r="HI21" s="102"/>
      <c r="HJ21" s="102"/>
      <c r="HK21" s="102"/>
      <c r="HL21" s="102"/>
      <c r="HM21" s="102"/>
      <c r="HN21" s="102"/>
      <c r="HO21" s="102"/>
      <c r="HP21" s="102"/>
      <c r="HQ21" s="102"/>
      <c r="HR21" s="102"/>
      <c r="HS21" s="102"/>
      <c r="HT21" s="102"/>
      <c r="HU21" s="102"/>
      <c r="HV21" s="102"/>
      <c r="HW21" s="102"/>
      <c r="HX21" s="102"/>
      <c r="HY21" s="102"/>
      <c r="HZ21" s="102"/>
      <c r="IA21" s="102"/>
      <c r="IB21" s="102"/>
      <c r="IC21" s="102"/>
      <c r="ID21" s="102"/>
      <c r="IE21" s="102"/>
      <c r="IF21" s="102"/>
      <c r="IG21" s="102"/>
      <c r="IH21" s="102"/>
      <c r="II21" s="102"/>
      <c r="IJ21" s="102"/>
      <c r="IK21" s="102"/>
      <c r="IL21" s="102"/>
      <c r="IM21" s="102"/>
      <c r="IN21" s="102"/>
      <c r="IO21" s="102"/>
      <c r="IP21" s="102"/>
      <c r="IQ21" s="102"/>
      <c r="IR21" s="102"/>
      <c r="IS21" s="102"/>
      <c r="IT21" s="102"/>
      <c r="IU21" s="102"/>
      <c r="IV21" s="102"/>
    </row>
    <row r="22" spans="1:256" s="103" customFormat="1" outlineLevel="2" x14ac:dyDescent="0.2">
      <c r="A22" s="90" t="s">
        <v>1271</v>
      </c>
      <c r="B22" s="84"/>
      <c r="C22" s="86">
        <f t="array" ref="C22">SUM(IF(descrizione2=$A22,impianto!N$23:N$194,0))</f>
        <v>0</v>
      </c>
      <c r="D22" s="689">
        <f t="array" ref="D22">SUM(IF(descrizione2=$A22,impianto!AM$23:AM$194,0))</f>
        <v>0</v>
      </c>
      <c r="E22" s="86">
        <f t="array" ref="E22">SUM(IF(descrizione2=$A22,impianto!P$23:P$194,0))</f>
        <v>0</v>
      </c>
      <c r="F22" s="434">
        <f t="array" ref="F22">SUM(IF(descrizione2=$A22,impianto!AO$23:AO$194,0))</f>
        <v>0</v>
      </c>
      <c r="G22" s="86">
        <f t="array" ref="G22">SUM(IF(descrizione2=$A22,impianto!R$23:R$194,0))</f>
        <v>0</v>
      </c>
      <c r="H22" s="434">
        <f t="array" ref="H22">SUM(IF(descrizione2=$A22,impianto!AQ$23:AQ$194,0))</f>
        <v>0</v>
      </c>
      <c r="I22" s="86">
        <f t="array" ref="I22">SUM(IF(descrizione2=$A22,impianto!T$23:T$194,0))</f>
        <v>0</v>
      </c>
      <c r="J22" s="434">
        <f t="array" ref="J22">SUM(IF(descrizione2=$A22,impianto!AS$23:AS$194,0))</f>
        <v>0</v>
      </c>
      <c r="K22" s="86">
        <f t="array" ref="K22">SUM(IF(descrizione2=$A22,impianto!V$23:V$194,0))</f>
        <v>0</v>
      </c>
      <c r="L22" s="434">
        <f t="array" ref="L22">SUM(IF(descrizione2=$A22,impianto!AU$23:AU$194,0))</f>
        <v>0</v>
      </c>
      <c r="M22" s="86">
        <f t="array" ref="M22">SUM(IF(descrizione2=$A22,impianto!X$23:X$194,0))</f>
        <v>0</v>
      </c>
      <c r="N22" s="434">
        <f t="array" ref="N22">SUM(IF(descrizione2=$A22,impianto!AW$23:AW$194,0))</f>
        <v>0</v>
      </c>
      <c r="O22" s="86">
        <f t="array" ref="O22">SUM(IF(descrizione2=$A22,impianto!Z$23:Z$194,0))</f>
        <v>0</v>
      </c>
      <c r="P22" s="434">
        <f t="array" ref="P22">SUM(IF(descrizione2=$A22,impianto!AY$23:AY$194,0))</f>
        <v>0</v>
      </c>
      <c r="Q22" s="86">
        <f t="array" ref="Q22">SUM(IF(descrizione2=$A22,impianto!AB$23:AB$194,0))</f>
        <v>0</v>
      </c>
      <c r="R22" s="434">
        <f t="array" ref="R22">SUM(IF(descrizione2=$A22,impianto!BA$23:BA$194,0))</f>
        <v>0</v>
      </c>
      <c r="S22" s="86">
        <f t="array" ref="S22">SUM(IF(descrizione2=$A22,impianto!AD$23:AD$194,0))</f>
        <v>0</v>
      </c>
      <c r="T22" s="434">
        <f t="array" ref="T22">SUM(IF(descrizione2=$A22,impianto!BC$23:BC$194,0))</f>
        <v>0</v>
      </c>
      <c r="U22" s="86">
        <f t="array" ref="U22">SUM(IF(descrizione2=$A22,impianto!AF$23:AF$194,0))</f>
        <v>0</v>
      </c>
      <c r="V22" s="434">
        <f t="array" ref="V22">SUM(IF(descrizione2=$A22,impianto!BE$23:BE$194,0))</f>
        <v>0</v>
      </c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2"/>
      <c r="BM22" s="102"/>
      <c r="BN22" s="102"/>
      <c r="BO22" s="102"/>
      <c r="BP22" s="102"/>
      <c r="BQ22" s="102"/>
      <c r="BR22" s="102"/>
      <c r="BS22" s="102"/>
      <c r="BT22" s="102"/>
      <c r="BU22" s="102"/>
      <c r="BV22" s="102"/>
      <c r="BW22" s="102"/>
      <c r="BX22" s="102"/>
      <c r="BY22" s="102"/>
      <c r="BZ22" s="102"/>
      <c r="CA22" s="102"/>
      <c r="CB22" s="102"/>
      <c r="CC22" s="102"/>
      <c r="CD22" s="102"/>
      <c r="CE22" s="102"/>
      <c r="CF22" s="102"/>
      <c r="CG22" s="102"/>
      <c r="CH22" s="102"/>
      <c r="CI22" s="102"/>
      <c r="CJ22" s="102"/>
      <c r="CK22" s="102"/>
      <c r="CL22" s="102"/>
      <c r="CM22" s="102"/>
      <c r="CN22" s="102"/>
      <c r="CO22" s="102"/>
      <c r="CP22" s="102"/>
      <c r="CQ22" s="102"/>
      <c r="CR22" s="102"/>
      <c r="CS22" s="102"/>
      <c r="CT22" s="102"/>
      <c r="CU22" s="102"/>
      <c r="CV22" s="102"/>
      <c r="CW22" s="102"/>
      <c r="CX22" s="102"/>
      <c r="CY22" s="102"/>
      <c r="CZ22" s="102"/>
      <c r="DA22" s="102"/>
      <c r="DB22" s="102"/>
      <c r="DC22" s="102"/>
      <c r="DD22" s="102"/>
      <c r="DE22" s="102"/>
      <c r="DF22" s="102"/>
      <c r="DG22" s="102"/>
      <c r="DH22" s="102"/>
      <c r="DI22" s="102"/>
      <c r="DJ22" s="102"/>
      <c r="DK22" s="102"/>
      <c r="DL22" s="102"/>
      <c r="DM22" s="102"/>
      <c r="DN22" s="102"/>
      <c r="DO22" s="102"/>
      <c r="DP22" s="102"/>
      <c r="DQ22" s="102"/>
      <c r="DR22" s="102"/>
      <c r="DS22" s="102"/>
      <c r="DT22" s="102"/>
      <c r="DU22" s="102"/>
      <c r="DV22" s="102"/>
      <c r="DW22" s="102"/>
      <c r="DX22" s="102"/>
      <c r="DY22" s="102"/>
      <c r="DZ22" s="102"/>
      <c r="EA22" s="102"/>
      <c r="EB22" s="102"/>
      <c r="EC22" s="102"/>
      <c r="ED22" s="102"/>
      <c r="EE22" s="102"/>
      <c r="EF22" s="102"/>
      <c r="EG22" s="102"/>
      <c r="EH22" s="102"/>
      <c r="EI22" s="102"/>
      <c r="EJ22" s="102"/>
      <c r="EK22" s="102"/>
      <c r="EL22" s="102"/>
      <c r="EM22" s="102"/>
      <c r="EN22" s="102"/>
      <c r="EO22" s="102"/>
      <c r="EP22" s="102"/>
      <c r="EQ22" s="102"/>
      <c r="ER22" s="102"/>
      <c r="ES22" s="102"/>
      <c r="ET22" s="102"/>
      <c r="EU22" s="102"/>
      <c r="EV22" s="102"/>
      <c r="EW22" s="102"/>
      <c r="EX22" s="102"/>
      <c r="EY22" s="102"/>
      <c r="EZ22" s="102"/>
      <c r="FA22" s="102"/>
      <c r="FB22" s="102"/>
      <c r="FC22" s="102"/>
      <c r="FD22" s="102"/>
      <c r="FE22" s="102"/>
      <c r="FF22" s="102"/>
      <c r="FG22" s="102"/>
      <c r="FH22" s="102"/>
      <c r="FI22" s="102"/>
      <c r="FJ22" s="102"/>
      <c r="FK22" s="102"/>
      <c r="FL22" s="102"/>
      <c r="FM22" s="102"/>
      <c r="FN22" s="102"/>
      <c r="FO22" s="102"/>
      <c r="FP22" s="102"/>
      <c r="FQ22" s="102"/>
      <c r="FR22" s="102"/>
      <c r="FS22" s="102"/>
      <c r="FT22" s="102"/>
      <c r="FU22" s="102"/>
      <c r="FV22" s="102"/>
      <c r="FW22" s="102"/>
      <c r="FX22" s="102"/>
      <c r="FY22" s="102"/>
      <c r="FZ22" s="102"/>
      <c r="GA22" s="102"/>
      <c r="GB22" s="102"/>
      <c r="GC22" s="102"/>
      <c r="GD22" s="102"/>
      <c r="GE22" s="102"/>
      <c r="GF22" s="102"/>
      <c r="GG22" s="102"/>
      <c r="GH22" s="102"/>
      <c r="GI22" s="102"/>
      <c r="GJ22" s="102"/>
      <c r="GK22" s="102"/>
      <c r="GL22" s="102"/>
      <c r="GM22" s="102"/>
      <c r="GN22" s="102"/>
      <c r="GO22" s="102"/>
      <c r="GP22" s="102"/>
      <c r="GQ22" s="102"/>
      <c r="GR22" s="102"/>
      <c r="GS22" s="102"/>
      <c r="GT22" s="102"/>
      <c r="GU22" s="102"/>
      <c r="GV22" s="102"/>
      <c r="GW22" s="102"/>
      <c r="GX22" s="102"/>
      <c r="GY22" s="102"/>
      <c r="GZ22" s="102"/>
      <c r="HA22" s="102"/>
      <c r="HB22" s="102"/>
      <c r="HC22" s="102"/>
      <c r="HD22" s="102"/>
      <c r="HE22" s="102"/>
      <c r="HF22" s="102"/>
      <c r="HG22" s="102"/>
      <c r="HH22" s="102"/>
      <c r="HI22" s="102"/>
      <c r="HJ22" s="102"/>
      <c r="HK22" s="102"/>
      <c r="HL22" s="102"/>
      <c r="HM22" s="102"/>
      <c r="HN22" s="102"/>
      <c r="HO22" s="102"/>
      <c r="HP22" s="102"/>
      <c r="HQ22" s="102"/>
      <c r="HR22" s="102"/>
      <c r="HS22" s="102"/>
      <c r="HT22" s="102"/>
      <c r="HU22" s="102"/>
      <c r="HV22" s="102"/>
      <c r="HW22" s="102"/>
      <c r="HX22" s="102"/>
      <c r="HY22" s="102"/>
      <c r="HZ22" s="102"/>
      <c r="IA22" s="102"/>
      <c r="IB22" s="102"/>
      <c r="IC22" s="102"/>
      <c r="ID22" s="102"/>
      <c r="IE22" s="102"/>
      <c r="IF22" s="102"/>
      <c r="IG22" s="102"/>
      <c r="IH22" s="102"/>
      <c r="II22" s="102"/>
      <c r="IJ22" s="102"/>
      <c r="IK22" s="102"/>
      <c r="IL22" s="102"/>
      <c r="IM22" s="102"/>
      <c r="IN22" s="102"/>
      <c r="IO22" s="102"/>
      <c r="IP22" s="102"/>
      <c r="IQ22" s="102"/>
      <c r="IR22" s="102"/>
      <c r="IS22" s="102"/>
      <c r="IT22" s="102"/>
      <c r="IU22" s="102"/>
      <c r="IV22" s="102"/>
    </row>
    <row r="23" spans="1:256" s="103" customFormat="1" outlineLevel="2" x14ac:dyDescent="0.2">
      <c r="A23" s="469" t="s">
        <v>1272</v>
      </c>
      <c r="B23" s="84"/>
      <c r="C23" s="86">
        <f t="array" ref="C23">SUM(IF(descrizione2=$A23,impianto!N$23:N$194,0))</f>
        <v>0</v>
      </c>
      <c r="D23" s="689">
        <f t="array" ref="D23">SUM(IF(descrizione2=$A23,impianto!AM$23:AM$194,0))</f>
        <v>0</v>
      </c>
      <c r="E23" s="86">
        <f t="array" ref="E23">SUM(IF(descrizione2=$A23,impianto!P$23:P$194,0))</f>
        <v>0</v>
      </c>
      <c r="F23" s="434">
        <f t="array" ref="F23">SUM(IF(descrizione2=$A23,impianto!AO$23:AO$194,0))</f>
        <v>0</v>
      </c>
      <c r="G23" s="86">
        <f t="array" ref="G23">SUM(IF(descrizione2=$A23,impianto!R$23:R$194,0))</f>
        <v>0</v>
      </c>
      <c r="H23" s="434">
        <f t="array" ref="H23">SUM(IF(descrizione2=$A23,impianto!AQ$23:AQ$194,0))</f>
        <v>0</v>
      </c>
      <c r="I23" s="86">
        <f t="array" ref="I23">SUM(IF(descrizione2=$A23,impianto!T$23:T$194,0))</f>
        <v>0</v>
      </c>
      <c r="J23" s="434">
        <f t="array" ref="J23">SUM(IF(descrizione2=$A23,impianto!AS$23:AS$194,0))</f>
        <v>0</v>
      </c>
      <c r="K23" s="86">
        <f t="array" ref="K23">SUM(IF(descrizione2=$A23,impianto!V$23:V$194,0))</f>
        <v>0</v>
      </c>
      <c r="L23" s="434">
        <f t="array" ref="L23">SUM(IF(descrizione2=$A23,impianto!AU$23:AU$194,0))</f>
        <v>0</v>
      </c>
      <c r="M23" s="86">
        <f t="array" ref="M23">SUM(IF(descrizione2=$A23,impianto!X$23:X$194,0))</f>
        <v>0</v>
      </c>
      <c r="N23" s="434">
        <f t="array" ref="N23">SUM(IF(descrizione2=$A23,impianto!AW$23:AW$194,0))</f>
        <v>0</v>
      </c>
      <c r="O23" s="86">
        <f t="array" ref="O23">SUM(IF(descrizione2=$A23,impianto!Z$23:Z$194,0))</f>
        <v>0</v>
      </c>
      <c r="P23" s="434">
        <f t="array" ref="P23">SUM(IF(descrizione2=$A23,impianto!AY$23:AY$194,0))</f>
        <v>0</v>
      </c>
      <c r="Q23" s="86">
        <f t="array" ref="Q23">SUM(IF(descrizione2=$A23,impianto!AB$23:AB$194,0))</f>
        <v>0</v>
      </c>
      <c r="R23" s="434">
        <f t="array" ref="R23">SUM(IF(descrizione2=$A23,impianto!BA$23:BA$194,0))</f>
        <v>0</v>
      </c>
      <c r="S23" s="86">
        <f t="array" ref="S23">SUM(IF(descrizione2=$A23,impianto!AD$23:AD$194,0))</f>
        <v>0</v>
      </c>
      <c r="T23" s="434">
        <f t="array" ref="T23">SUM(IF(descrizione2=$A23,impianto!BC$23:BC$194,0))</f>
        <v>0</v>
      </c>
      <c r="U23" s="86">
        <f t="array" ref="U23">SUM(IF(descrizione2=$A23,impianto!AF$23:AF$194,0))</f>
        <v>0</v>
      </c>
      <c r="V23" s="434">
        <f t="array" ref="V23">SUM(IF(descrizione2=$A23,impianto!BE$23:BE$194,0))</f>
        <v>0</v>
      </c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2"/>
      <c r="CS23" s="102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2"/>
      <c r="GH23" s="102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</row>
    <row r="24" spans="1:256" s="103" customFormat="1" outlineLevel="2" x14ac:dyDescent="0.2">
      <c r="A24" s="469" t="s">
        <v>1273</v>
      </c>
      <c r="B24" s="84"/>
      <c r="C24" s="86">
        <f t="array" ref="C24">SUM(IF(descrizione2=$A24,impianto!N$23:N$194,0))</f>
        <v>0</v>
      </c>
      <c r="D24" s="689">
        <f t="array" ref="D24">SUM(IF(descrizione2=$A24,impianto!AM$23:AM$194,0))</f>
        <v>0</v>
      </c>
      <c r="E24" s="86">
        <f t="array" ref="E24">SUM(IF(descrizione2=$A24,impianto!P$23:P$194,0))</f>
        <v>0</v>
      </c>
      <c r="F24" s="434">
        <f t="array" ref="F24">SUM(IF(descrizione2=$A24,impianto!AO$23:AO$194,0))</f>
        <v>0</v>
      </c>
      <c r="G24" s="86">
        <f t="array" ref="G24">SUM(IF(descrizione2=$A24,impianto!R$23:R$194,0))</f>
        <v>0</v>
      </c>
      <c r="H24" s="434">
        <f t="array" ref="H24">SUM(IF(descrizione2=$A24,impianto!AQ$23:AQ$194,0))</f>
        <v>0</v>
      </c>
      <c r="I24" s="86">
        <f t="array" ref="I24">SUM(IF(descrizione2=$A24,impianto!T$23:T$194,0))</f>
        <v>0</v>
      </c>
      <c r="J24" s="434">
        <f t="array" ref="J24">SUM(IF(descrizione2=$A24,impianto!AS$23:AS$194,0))</f>
        <v>0</v>
      </c>
      <c r="K24" s="86">
        <f t="array" ref="K24">SUM(IF(descrizione2=$A24,impianto!V$23:V$194,0))</f>
        <v>0</v>
      </c>
      <c r="L24" s="434">
        <f t="array" ref="L24">SUM(IF(descrizione2=$A24,impianto!AU$23:AU$194,0))</f>
        <v>0</v>
      </c>
      <c r="M24" s="86">
        <f t="array" ref="M24">SUM(IF(descrizione2=$A24,impianto!X$23:X$194,0))</f>
        <v>0</v>
      </c>
      <c r="N24" s="434">
        <f t="array" ref="N24">SUM(IF(descrizione2=$A24,impianto!AW$23:AW$194,0))</f>
        <v>0</v>
      </c>
      <c r="O24" s="86">
        <f t="array" ref="O24">SUM(IF(descrizione2=$A24,impianto!Z$23:Z$194,0))</f>
        <v>0</v>
      </c>
      <c r="P24" s="434">
        <f t="array" ref="P24">SUM(IF(descrizione2=$A24,impianto!AY$23:AY$194,0))</f>
        <v>0</v>
      </c>
      <c r="Q24" s="86">
        <f t="array" ref="Q24">SUM(IF(descrizione2=$A24,impianto!AB$23:AB$194,0))</f>
        <v>0</v>
      </c>
      <c r="R24" s="434">
        <f t="array" ref="R24">SUM(IF(descrizione2=$A24,impianto!BA$23:BA$194,0))</f>
        <v>0</v>
      </c>
      <c r="S24" s="86">
        <f t="array" ref="S24">SUM(IF(descrizione2=$A24,impianto!AD$23:AD$194,0))</f>
        <v>0</v>
      </c>
      <c r="T24" s="434">
        <f t="array" ref="T24">SUM(IF(descrizione2=$A24,impianto!BC$23:BC$194,0))</f>
        <v>0</v>
      </c>
      <c r="U24" s="86">
        <f t="array" ref="U24">SUM(IF(descrizione2=$A24,impianto!AF$23:AF$194,0))</f>
        <v>0</v>
      </c>
      <c r="V24" s="434">
        <f t="array" ref="V24">SUM(IF(descrizione2=$A24,impianto!BE$23:BE$194,0))</f>
        <v>0</v>
      </c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2"/>
      <c r="CS24" s="102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  <c r="EH24" s="102"/>
      <c r="EI24" s="102"/>
      <c r="EJ24" s="102"/>
      <c r="EK24" s="102"/>
      <c r="EL24" s="102"/>
      <c r="EM24" s="102"/>
      <c r="EN24" s="102"/>
      <c r="EO24" s="102"/>
      <c r="EP24" s="102"/>
      <c r="EQ24" s="102"/>
      <c r="ER24" s="102"/>
      <c r="ES24" s="102"/>
      <c r="ET24" s="102"/>
      <c r="EU24" s="102"/>
      <c r="EV24" s="102"/>
      <c r="EW24" s="102"/>
      <c r="EX24" s="102"/>
      <c r="EY24" s="102"/>
      <c r="EZ24" s="102"/>
      <c r="FA24" s="102"/>
      <c r="FB24" s="102"/>
      <c r="FC24" s="102"/>
      <c r="FD24" s="102"/>
      <c r="FE24" s="102"/>
      <c r="FF24" s="102"/>
      <c r="FG24" s="102"/>
      <c r="FH24" s="102"/>
      <c r="FI24" s="102"/>
      <c r="FJ24" s="102"/>
      <c r="FK24" s="102"/>
      <c r="FL24" s="102"/>
      <c r="FM24" s="102"/>
      <c r="FN24" s="102"/>
      <c r="FO24" s="102"/>
      <c r="FP24" s="102"/>
      <c r="FQ24" s="102"/>
      <c r="FR24" s="102"/>
      <c r="FS24" s="102"/>
      <c r="FT24" s="102"/>
      <c r="FU24" s="102"/>
      <c r="FV24" s="102"/>
      <c r="FW24" s="102"/>
      <c r="FX24" s="102"/>
      <c r="FY24" s="102"/>
      <c r="FZ24" s="102"/>
      <c r="GA24" s="102"/>
      <c r="GB24" s="102"/>
      <c r="GC24" s="102"/>
      <c r="GD24" s="102"/>
      <c r="GE24" s="102"/>
      <c r="GF24" s="102"/>
      <c r="GG24" s="102"/>
      <c r="GH24" s="102"/>
      <c r="GI24" s="102"/>
      <c r="GJ24" s="102"/>
      <c r="GK24" s="102"/>
      <c r="GL24" s="102"/>
      <c r="GM24" s="102"/>
      <c r="GN24" s="102"/>
      <c r="GO24" s="102"/>
      <c r="GP24" s="102"/>
      <c r="GQ24" s="102"/>
      <c r="GR24" s="102"/>
      <c r="GS24" s="102"/>
      <c r="GT24" s="102"/>
      <c r="GU24" s="102"/>
      <c r="GV24" s="102"/>
      <c r="GW24" s="102"/>
      <c r="GX24" s="102"/>
      <c r="GY24" s="102"/>
      <c r="GZ24" s="102"/>
      <c r="HA24" s="102"/>
      <c r="HB24" s="102"/>
      <c r="HC24" s="102"/>
      <c r="HD24" s="102"/>
      <c r="HE24" s="102"/>
      <c r="HF24" s="102"/>
      <c r="HG24" s="102"/>
      <c r="HH24" s="102"/>
      <c r="HI24" s="102"/>
      <c r="HJ24" s="102"/>
      <c r="HK24" s="102"/>
      <c r="HL24" s="102"/>
      <c r="HM24" s="102"/>
      <c r="HN24" s="102"/>
      <c r="HO24" s="102"/>
      <c r="HP24" s="102"/>
      <c r="HQ24" s="102"/>
      <c r="HR24" s="102"/>
      <c r="HS24" s="102"/>
      <c r="HT24" s="102"/>
      <c r="HU24" s="102"/>
      <c r="HV24" s="102"/>
      <c r="HW24" s="102"/>
      <c r="HX24" s="102"/>
      <c r="HY24" s="102"/>
      <c r="HZ24" s="102"/>
      <c r="IA24" s="102"/>
      <c r="IB24" s="102"/>
      <c r="IC24" s="102"/>
      <c r="ID24" s="102"/>
      <c r="IE24" s="102"/>
      <c r="IF24" s="102"/>
      <c r="IG24" s="102"/>
      <c r="IH24" s="102"/>
      <c r="II24" s="102"/>
      <c r="IJ24" s="102"/>
      <c r="IK24" s="102"/>
      <c r="IL24" s="102"/>
      <c r="IM24" s="102"/>
      <c r="IN24" s="102"/>
      <c r="IO24" s="102"/>
      <c r="IP24" s="102"/>
      <c r="IQ24" s="102"/>
      <c r="IR24" s="102"/>
      <c r="IS24" s="102"/>
      <c r="IT24" s="102"/>
      <c r="IU24" s="102"/>
      <c r="IV24" s="102"/>
    </row>
    <row r="25" spans="1:256" s="105" customFormat="1" ht="14.25" outlineLevel="1" thickBot="1" x14ac:dyDescent="0.3">
      <c r="A25" s="132" t="s">
        <v>879</v>
      </c>
      <c r="B25" s="436">
        <f>SUM(C25:V25)</f>
        <v>0</v>
      </c>
      <c r="C25" s="124"/>
      <c r="D25" s="690">
        <f>SUM(D16:D24)</f>
        <v>0</v>
      </c>
      <c r="E25" s="124"/>
      <c r="F25" s="435">
        <f>SUM(F15:F24)</f>
        <v>0</v>
      </c>
      <c r="G25" s="124"/>
      <c r="H25" s="435">
        <f>SUM(H15:H24)</f>
        <v>0</v>
      </c>
      <c r="I25" s="124"/>
      <c r="J25" s="435">
        <f>SUM(J15:J24)</f>
        <v>0</v>
      </c>
      <c r="K25" s="124"/>
      <c r="L25" s="435">
        <f>SUM(L15:L24)</f>
        <v>0</v>
      </c>
      <c r="M25" s="124"/>
      <c r="N25" s="435">
        <f>SUM(N15:N24)</f>
        <v>0</v>
      </c>
      <c r="O25" s="124"/>
      <c r="P25" s="435">
        <f>SUM(P15:P24)</f>
        <v>0</v>
      </c>
      <c r="Q25" s="124"/>
      <c r="R25" s="435">
        <f>SUM(R15:R24)</f>
        <v>0</v>
      </c>
      <c r="S25" s="124"/>
      <c r="T25" s="435">
        <f>SUM(T15:T24)</f>
        <v>0</v>
      </c>
      <c r="U25" s="124"/>
      <c r="V25" s="435">
        <f>SUM(V15:V24)</f>
        <v>0</v>
      </c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 s="102"/>
      <c r="BY25" s="102"/>
      <c r="BZ25" s="102"/>
      <c r="CA25" s="102"/>
      <c r="CB25" s="102"/>
      <c r="CC25" s="102"/>
      <c r="CD25" s="102"/>
      <c r="CE25" s="102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2"/>
      <c r="CQ25" s="102"/>
      <c r="CR25" s="102"/>
      <c r="CS25" s="102"/>
      <c r="CT25" s="102"/>
      <c r="CU25" s="102"/>
      <c r="CV25" s="102"/>
      <c r="CW25" s="102"/>
      <c r="CX25" s="102"/>
      <c r="CY25" s="102"/>
      <c r="CZ25" s="102"/>
      <c r="DA25" s="102"/>
      <c r="DB25" s="102"/>
      <c r="DC25" s="102"/>
      <c r="DD25" s="102"/>
      <c r="DE25" s="102"/>
      <c r="DF25" s="102"/>
      <c r="DG25" s="102"/>
      <c r="DH25" s="102"/>
      <c r="DI25" s="102"/>
      <c r="DJ25" s="102"/>
      <c r="DK25" s="102"/>
      <c r="DL25" s="102"/>
      <c r="DM25" s="102"/>
      <c r="DN25" s="102"/>
      <c r="DO25" s="102"/>
      <c r="DP25" s="102"/>
      <c r="DQ25" s="102"/>
      <c r="DR25" s="102"/>
      <c r="DS25" s="102"/>
      <c r="DT25" s="102"/>
      <c r="DU25" s="102"/>
      <c r="DV25" s="102"/>
      <c r="DW25" s="102"/>
      <c r="DX25" s="102"/>
      <c r="DY25" s="102"/>
      <c r="DZ25" s="102"/>
      <c r="EA25" s="102"/>
      <c r="EB25" s="102"/>
      <c r="EC25" s="102"/>
      <c r="ED25" s="102"/>
      <c r="EE25" s="102"/>
      <c r="EF25" s="102"/>
      <c r="EG25" s="102"/>
      <c r="EH25" s="102"/>
      <c r="EI25" s="102"/>
      <c r="EJ25" s="102"/>
      <c r="EK25" s="102"/>
      <c r="EL25" s="102"/>
      <c r="EM25" s="102"/>
      <c r="EN25" s="102"/>
      <c r="EO25" s="102"/>
      <c r="EP25" s="102"/>
      <c r="EQ25" s="102"/>
      <c r="ER25" s="102"/>
      <c r="ES25" s="102"/>
      <c r="ET25" s="102"/>
      <c r="EU25" s="102"/>
      <c r="EV25" s="102"/>
      <c r="EW25" s="102"/>
      <c r="EX25" s="102"/>
      <c r="EY25" s="102"/>
      <c r="EZ25" s="102"/>
      <c r="FA25" s="102"/>
      <c r="FB25" s="102"/>
      <c r="FC25" s="102"/>
      <c r="FD25" s="102"/>
      <c r="FE25" s="102"/>
      <c r="FF25" s="102"/>
      <c r="FG25" s="102"/>
      <c r="FH25" s="102"/>
      <c r="FI25" s="102"/>
      <c r="FJ25" s="102"/>
      <c r="FK25" s="102"/>
      <c r="FL25" s="102"/>
      <c r="FM25" s="102"/>
      <c r="FN25" s="102"/>
      <c r="FO25" s="102"/>
      <c r="FP25" s="102"/>
      <c r="FQ25" s="102"/>
      <c r="FR25" s="102"/>
      <c r="FS25" s="102"/>
      <c r="FT25" s="102"/>
      <c r="FU25" s="102"/>
      <c r="FV25" s="102"/>
      <c r="FW25" s="102"/>
      <c r="FX25" s="102"/>
      <c r="FY25" s="102"/>
      <c r="FZ25" s="102"/>
      <c r="GA25" s="102"/>
      <c r="GB25" s="102"/>
      <c r="GC25" s="102"/>
      <c r="GD25" s="102"/>
      <c r="GE25" s="102"/>
      <c r="GF25" s="102"/>
      <c r="GG25" s="102"/>
      <c r="GH25" s="102"/>
      <c r="GI25" s="102"/>
      <c r="GJ25" s="102"/>
      <c r="GK25" s="102"/>
      <c r="GL25" s="102"/>
      <c r="GM25" s="102"/>
      <c r="GN25" s="102"/>
      <c r="GO25" s="102"/>
      <c r="GP25" s="102"/>
      <c r="GQ25" s="102"/>
      <c r="GR25" s="102"/>
      <c r="GS25" s="102"/>
      <c r="GT25" s="102"/>
      <c r="GU25" s="102"/>
      <c r="GV25" s="102"/>
      <c r="GW25" s="102"/>
      <c r="GX25" s="102"/>
      <c r="GY25" s="102"/>
      <c r="GZ25" s="102"/>
      <c r="HA25" s="102"/>
      <c r="HB25" s="102"/>
      <c r="HC25" s="102"/>
      <c r="HD25" s="102"/>
      <c r="HE25" s="102"/>
      <c r="HF25" s="102"/>
      <c r="HG25" s="102"/>
      <c r="HH25" s="102"/>
      <c r="HI25" s="102"/>
      <c r="HJ25" s="102"/>
      <c r="HK25" s="102"/>
      <c r="HL25" s="102"/>
      <c r="HM25" s="102"/>
      <c r="HN25" s="102"/>
      <c r="HO25" s="102"/>
      <c r="HP25" s="102"/>
      <c r="HQ25" s="102"/>
      <c r="HR25" s="102"/>
      <c r="HS25" s="102"/>
      <c r="HT25" s="102"/>
      <c r="HU25" s="102"/>
      <c r="HV25" s="102"/>
      <c r="HW25" s="102"/>
      <c r="HX25" s="102"/>
      <c r="HY25" s="102"/>
      <c r="HZ25" s="102"/>
      <c r="IA25" s="102"/>
      <c r="IB25" s="102"/>
      <c r="IC25" s="102"/>
      <c r="ID25" s="102"/>
      <c r="IE25" s="102"/>
      <c r="IF25" s="102"/>
      <c r="IG25" s="102"/>
      <c r="IH25" s="102"/>
      <c r="II25" s="102"/>
      <c r="IJ25" s="102"/>
      <c r="IK25" s="102"/>
      <c r="IL25" s="102"/>
      <c r="IM25" s="102"/>
      <c r="IN25" s="102"/>
      <c r="IO25" s="102"/>
      <c r="IP25" s="102"/>
      <c r="IQ25" s="102"/>
      <c r="IR25" s="102"/>
      <c r="IS25" s="102"/>
      <c r="IT25" s="102"/>
      <c r="IU25" s="102"/>
      <c r="IV25" s="102"/>
    </row>
    <row r="26" spans="1:256" s="106" customFormat="1" ht="13.5" outlineLevel="1" x14ac:dyDescent="0.25">
      <c r="A26" s="125" t="s">
        <v>1293</v>
      </c>
      <c r="B26" s="126">
        <f>SUM(C26:V26)</f>
        <v>0</v>
      </c>
      <c r="C26" s="127">
        <f>SUM(C27:C31)</f>
        <v>0</v>
      </c>
      <c r="D26" s="691"/>
      <c r="E26" s="127">
        <f>SUM(E27:E31)</f>
        <v>0</v>
      </c>
      <c r="F26" s="130"/>
      <c r="G26" s="127">
        <f>SUM(G27:G31)</f>
        <v>0</v>
      </c>
      <c r="H26" s="128"/>
      <c r="I26" s="127">
        <f>SUM(I27:I31)</f>
        <v>0</v>
      </c>
      <c r="J26" s="128"/>
      <c r="K26" s="127">
        <f>SUM(K27:K31)</f>
        <v>0</v>
      </c>
      <c r="L26" s="128"/>
      <c r="M26" s="127">
        <f>SUM(M27:M31)</f>
        <v>0</v>
      </c>
      <c r="N26" s="128"/>
      <c r="O26" s="127">
        <f>SUM(O27:O31)</f>
        <v>0</v>
      </c>
      <c r="P26" s="128"/>
      <c r="Q26" s="127">
        <f>SUM(Q27:Q31)</f>
        <v>0</v>
      </c>
      <c r="R26" s="128"/>
      <c r="S26" s="127">
        <f>SUM(S27:S31)</f>
        <v>0</v>
      </c>
      <c r="T26" s="128"/>
      <c r="U26" s="127">
        <f>SUM(U27:U31)</f>
        <v>0</v>
      </c>
      <c r="V26" s="131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102"/>
      <c r="DJ26" s="102"/>
      <c r="DK26" s="102"/>
      <c r="DL26" s="102"/>
      <c r="DM26" s="102"/>
      <c r="DN26" s="102"/>
      <c r="DO26" s="102"/>
      <c r="DP26" s="102"/>
      <c r="DQ26" s="102"/>
      <c r="DR26" s="102"/>
      <c r="DS26" s="102"/>
      <c r="DT26" s="102"/>
      <c r="DU26" s="102"/>
      <c r="DV26" s="102"/>
      <c r="DW26" s="102"/>
      <c r="DX26" s="102"/>
      <c r="DY26" s="102"/>
      <c r="DZ26" s="102"/>
      <c r="EA26" s="102"/>
      <c r="EB26" s="102"/>
      <c r="EC26" s="102"/>
      <c r="ED26" s="102"/>
      <c r="EE26" s="102"/>
      <c r="EF26" s="102"/>
      <c r="EG26" s="102"/>
      <c r="EH26" s="102"/>
      <c r="EI26" s="102"/>
      <c r="EJ26" s="102"/>
      <c r="EK26" s="102"/>
      <c r="EL26" s="102"/>
      <c r="EM26" s="102"/>
      <c r="EN26" s="102"/>
      <c r="EO26" s="102"/>
      <c r="EP26" s="102"/>
      <c r="EQ26" s="102"/>
      <c r="ER26" s="102"/>
      <c r="ES26" s="102"/>
      <c r="ET26" s="102"/>
      <c r="EU26" s="102"/>
      <c r="EV26" s="102"/>
      <c r="EW26" s="102"/>
      <c r="EX26" s="102"/>
      <c r="EY26" s="102"/>
      <c r="EZ26" s="102"/>
      <c r="FA26" s="102"/>
      <c r="FB26" s="102"/>
      <c r="FC26" s="102"/>
      <c r="FD26" s="102"/>
      <c r="FE26" s="102"/>
      <c r="FF26" s="102"/>
      <c r="FG26" s="102"/>
      <c r="FH26" s="102"/>
      <c r="FI26" s="102"/>
      <c r="FJ26" s="102"/>
      <c r="FK26" s="102"/>
      <c r="FL26" s="102"/>
      <c r="FM26" s="102"/>
      <c r="FN26" s="102"/>
      <c r="FO26" s="102"/>
      <c r="FP26" s="102"/>
      <c r="FQ26" s="102"/>
      <c r="FR26" s="102"/>
      <c r="FS26" s="102"/>
      <c r="FT26" s="102"/>
      <c r="FU26" s="102"/>
      <c r="FV26" s="102"/>
      <c r="FW26" s="102"/>
      <c r="FX26" s="102"/>
      <c r="FY26" s="102"/>
      <c r="FZ26" s="102"/>
      <c r="GA26" s="102"/>
      <c r="GB26" s="102"/>
      <c r="GC26" s="102"/>
      <c r="GD26" s="102"/>
      <c r="GE26" s="102"/>
      <c r="GF26" s="102"/>
      <c r="GG26" s="102"/>
      <c r="GH26" s="102"/>
      <c r="GI26" s="102"/>
      <c r="GJ26" s="102"/>
      <c r="GK26" s="102"/>
      <c r="GL26" s="102"/>
      <c r="GM26" s="102"/>
      <c r="GN26" s="102"/>
      <c r="GO26" s="102"/>
      <c r="GP26" s="102"/>
      <c r="GQ26" s="102"/>
      <c r="GR26" s="102"/>
      <c r="GS26" s="102"/>
      <c r="GT26" s="102"/>
      <c r="GU26" s="102"/>
      <c r="GV26" s="102"/>
      <c r="GW26" s="102"/>
      <c r="GX26" s="102"/>
      <c r="GY26" s="102"/>
      <c r="GZ26" s="102"/>
      <c r="HA26" s="102"/>
      <c r="HB26" s="102"/>
      <c r="HC26" s="102"/>
      <c r="HD26" s="102"/>
      <c r="HE26" s="102"/>
      <c r="HF26" s="102"/>
      <c r="HG26" s="102"/>
      <c r="HH26" s="102"/>
      <c r="HI26" s="102"/>
      <c r="HJ26" s="102"/>
      <c r="HK26" s="102"/>
      <c r="HL26" s="102"/>
      <c r="HM26" s="102"/>
      <c r="HN26" s="102"/>
      <c r="HO26" s="102"/>
      <c r="HP26" s="102"/>
      <c r="HQ26" s="102"/>
      <c r="HR26" s="102"/>
      <c r="HS26" s="102"/>
      <c r="HT26" s="102"/>
      <c r="HU26" s="102"/>
      <c r="HV26" s="102"/>
      <c r="HW26" s="102"/>
      <c r="HX26" s="102"/>
      <c r="HY26" s="102"/>
      <c r="HZ26" s="102"/>
      <c r="IA26" s="102"/>
      <c r="IB26" s="102"/>
      <c r="IC26" s="102"/>
      <c r="ID26" s="102"/>
      <c r="IE26" s="102"/>
      <c r="IF26" s="102"/>
      <c r="IG26" s="102"/>
      <c r="IH26" s="102"/>
      <c r="II26" s="102"/>
      <c r="IJ26" s="102"/>
      <c r="IK26" s="102"/>
      <c r="IL26" s="102"/>
      <c r="IM26" s="102"/>
      <c r="IN26" s="102"/>
      <c r="IO26" s="102"/>
      <c r="IP26" s="102"/>
      <c r="IQ26" s="102"/>
      <c r="IR26" s="102"/>
      <c r="IS26" s="102"/>
      <c r="IT26" s="102"/>
      <c r="IU26" s="102"/>
      <c r="IV26" s="102"/>
    </row>
    <row r="27" spans="1:256" s="106" customFormat="1" ht="13.5" outlineLevel="2" x14ac:dyDescent="0.25">
      <c r="A27" s="90" t="s">
        <v>658</v>
      </c>
      <c r="B27" s="84"/>
      <c r="C27" s="86">
        <f t="array" ref="C27">SUM(IF(descrizione2=$A27,impianto!N$23:N$194,0))</f>
        <v>0</v>
      </c>
      <c r="D27" s="689">
        <f t="array" ref="D27">SUM(IF(descrizione2=$A27,impianto!AM$23:AM$194,0))</f>
        <v>0</v>
      </c>
      <c r="E27" s="91">
        <f t="array" ref="E27">SUM(IF(descrizione2=$A27,impianto!P$23:P$194,0))</f>
        <v>0</v>
      </c>
      <c r="F27" s="437">
        <f t="array" ref="F27">SUM(IF(descrizione2=$A27,impianto!AO$23:AO$194,0))</f>
        <v>0</v>
      </c>
      <c r="G27" s="86">
        <f t="array" ref="G27">SUM(IF(descrizione2=$A27,impianto!R$23:R$194,0))</f>
        <v>0</v>
      </c>
      <c r="H27" s="87">
        <f t="array" ref="H27">SUM(IF(descrizione2=$A27,impianto!AQ$23:AQ$194,0))</f>
        <v>0</v>
      </c>
      <c r="I27" s="86">
        <f t="array" ref="I27">SUM(IF(descrizione2=$A27,impianto!T$23:T$194,0))</f>
        <v>0</v>
      </c>
      <c r="J27" s="87">
        <f t="array" ref="J27">SUM(IF(descrizione2=$A27,impianto!AS$23:AS$194,0))</f>
        <v>0</v>
      </c>
      <c r="K27" s="86">
        <f t="array" ref="K27">SUM(IF(descrizione2=$A27,impianto!V$23:V$194,0))</f>
        <v>0</v>
      </c>
      <c r="L27" s="87">
        <f t="array" ref="L27">SUM(IF(descrizione2=$A27,impianto!AU$23:AU$194,0))</f>
        <v>0</v>
      </c>
      <c r="M27" s="86">
        <f t="array" ref="M27">SUM(IF(descrizione2=$A27,impianto!X$23:X$194,0))</f>
        <v>0</v>
      </c>
      <c r="N27" s="87">
        <f t="array" ref="N27">SUM(IF(descrizione2=$A27,impianto!AW$23:AW$194,0))</f>
        <v>0</v>
      </c>
      <c r="O27" s="86">
        <f t="array" ref="O27">SUM(IF(descrizione2=$A27,impianto!Z$23:Z$194,0))</f>
        <v>0</v>
      </c>
      <c r="P27" s="87">
        <f t="array" ref="P27">SUM(IF(descrizione2=$A27,impianto!AY$23:AY$194,0))</f>
        <v>0</v>
      </c>
      <c r="Q27" s="86">
        <f t="array" ref="Q27">SUM(IF(descrizione2=$A27,impianto!AB$23:AB$194,0))</f>
        <v>0</v>
      </c>
      <c r="R27" s="87">
        <f t="array" ref="R27">SUM(IF(descrizione2=$A27,impianto!BA$23:BA$194,0))</f>
        <v>0</v>
      </c>
      <c r="S27" s="86">
        <f t="array" ref="S27">SUM(IF(descrizione2=$A27,impianto!AD$23:AD$194,0))</f>
        <v>0</v>
      </c>
      <c r="T27" s="87">
        <f t="array" ref="T27">SUM(IF(descrizione2=$A27,impianto!BC$23:BC$194,0))</f>
        <v>0</v>
      </c>
      <c r="U27" s="86">
        <f t="array" ref="U27">SUM(IF(descrizione2=$A27,impianto!AF$23:AF$194,0))</f>
        <v>0</v>
      </c>
      <c r="V27" s="89">
        <f t="array" ref="V27">SUM(IF(descrizione2=$A27,impianto!BE$23:BE$194,0))</f>
        <v>0</v>
      </c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2"/>
      <c r="CV27" s="102"/>
      <c r="CW27" s="102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2"/>
      <c r="DT27" s="102"/>
      <c r="DU27" s="102"/>
      <c r="DV27" s="102"/>
      <c r="DW27" s="102"/>
      <c r="DX27" s="102"/>
      <c r="DY27" s="102"/>
      <c r="DZ27" s="102"/>
      <c r="EA27" s="102"/>
      <c r="EB27" s="102"/>
      <c r="EC27" s="102"/>
      <c r="ED27" s="102"/>
      <c r="EE27" s="102"/>
      <c r="EF27" s="102"/>
      <c r="EG27" s="102"/>
      <c r="EH27" s="102"/>
      <c r="EI27" s="102"/>
      <c r="EJ27" s="102"/>
      <c r="EK27" s="102"/>
      <c r="EL27" s="102"/>
      <c r="EM27" s="102"/>
      <c r="EN27" s="102"/>
      <c r="EO27" s="102"/>
      <c r="EP27" s="102"/>
      <c r="EQ27" s="102"/>
      <c r="ER27" s="102"/>
      <c r="ES27" s="102"/>
      <c r="ET27" s="102"/>
      <c r="EU27" s="102"/>
      <c r="EV27" s="102"/>
      <c r="EW27" s="102"/>
      <c r="EX27" s="102"/>
      <c r="EY27" s="102"/>
      <c r="EZ27" s="102"/>
      <c r="FA27" s="102"/>
      <c r="FB27" s="102"/>
      <c r="FC27" s="102"/>
      <c r="FD27" s="102"/>
      <c r="FE27" s="102"/>
      <c r="FF27" s="102"/>
      <c r="FG27" s="102"/>
      <c r="FH27" s="102"/>
      <c r="FI27" s="102"/>
      <c r="FJ27" s="102"/>
      <c r="FK27" s="102"/>
      <c r="FL27" s="102"/>
      <c r="FM27" s="102"/>
      <c r="FN27" s="102"/>
      <c r="FO27" s="102"/>
      <c r="FP27" s="102"/>
      <c r="FQ27" s="102"/>
      <c r="FR27" s="102"/>
      <c r="FS27" s="102"/>
      <c r="FT27" s="102"/>
      <c r="FU27" s="102"/>
      <c r="FV27" s="102"/>
      <c r="FW27" s="102"/>
      <c r="FX27" s="102"/>
      <c r="FY27" s="102"/>
      <c r="FZ27" s="102"/>
      <c r="GA27" s="102"/>
      <c r="GB27" s="102"/>
      <c r="GC27" s="102"/>
      <c r="GD27" s="102"/>
      <c r="GE27" s="102"/>
      <c r="GF27" s="102"/>
      <c r="GG27" s="102"/>
      <c r="GH27" s="102"/>
      <c r="GI27" s="102"/>
      <c r="GJ27" s="102"/>
      <c r="GK27" s="102"/>
      <c r="GL27" s="102"/>
      <c r="GM27" s="102"/>
      <c r="GN27" s="102"/>
      <c r="GO27" s="102"/>
      <c r="GP27" s="102"/>
      <c r="GQ27" s="102"/>
      <c r="GR27" s="102"/>
      <c r="GS27" s="102"/>
      <c r="GT27" s="102"/>
      <c r="GU27" s="102"/>
      <c r="GV27" s="102"/>
      <c r="GW27" s="102"/>
      <c r="GX27" s="102"/>
      <c r="GY27" s="102"/>
      <c r="GZ27" s="102"/>
      <c r="HA27" s="102"/>
      <c r="HB27" s="102"/>
      <c r="HC27" s="102"/>
      <c r="HD27" s="102"/>
      <c r="HE27" s="102"/>
      <c r="HF27" s="102"/>
      <c r="HG27" s="102"/>
      <c r="HH27" s="102"/>
      <c r="HI27" s="102"/>
      <c r="HJ27" s="102"/>
      <c r="HK27" s="102"/>
      <c r="HL27" s="102"/>
      <c r="HM27" s="102"/>
      <c r="HN27" s="102"/>
      <c r="HO27" s="102"/>
      <c r="HP27" s="102"/>
      <c r="HQ27" s="102"/>
      <c r="HR27" s="102"/>
      <c r="HS27" s="102"/>
      <c r="HT27" s="102"/>
      <c r="HU27" s="102"/>
      <c r="HV27" s="102"/>
      <c r="HW27" s="102"/>
      <c r="HX27" s="102"/>
      <c r="HY27" s="102"/>
      <c r="HZ27" s="102"/>
      <c r="IA27" s="102"/>
      <c r="IB27" s="102"/>
      <c r="IC27" s="102"/>
      <c r="ID27" s="102"/>
      <c r="IE27" s="102"/>
      <c r="IF27" s="102"/>
      <c r="IG27" s="102"/>
      <c r="IH27" s="102"/>
      <c r="II27" s="102"/>
      <c r="IJ27" s="102"/>
      <c r="IK27" s="102"/>
      <c r="IL27" s="102"/>
      <c r="IM27" s="102"/>
      <c r="IN27" s="102"/>
      <c r="IO27" s="102"/>
      <c r="IP27" s="102"/>
      <c r="IQ27" s="102"/>
      <c r="IR27" s="102"/>
      <c r="IS27" s="102"/>
      <c r="IT27" s="102"/>
      <c r="IU27" s="102"/>
      <c r="IV27" s="102"/>
    </row>
    <row r="28" spans="1:256" s="106" customFormat="1" ht="13.5" outlineLevel="2" x14ac:dyDescent="0.25">
      <c r="A28" s="469" t="s">
        <v>675</v>
      </c>
      <c r="B28" s="84"/>
      <c r="C28" s="86">
        <f t="array" ref="C28">SUM(IF(descrizione2=$A28,impianto!N$23:N$194,0))</f>
        <v>0</v>
      </c>
      <c r="D28" s="689">
        <f t="array" ref="D28">SUM(IF(descrizione2=$A28,impianto!AM$23:AM$194,0))</f>
        <v>0</v>
      </c>
      <c r="E28" s="91">
        <f t="array" ref="E28">SUM(IF(descrizione2=$A28,impianto!P$23:P$194,0))</f>
        <v>0</v>
      </c>
      <c r="F28" s="437">
        <f t="array" ref="F28">SUM(IF(descrizione2=$A28,impianto!AO$23:AO$194,0))</f>
        <v>0</v>
      </c>
      <c r="G28" s="86">
        <f t="array" ref="G28">SUM(IF(descrizione2=$A28,impianto!R$23:R$194,0))</f>
        <v>0</v>
      </c>
      <c r="H28" s="87">
        <f t="array" ref="H28">SUM(IF(descrizione2=$A28,impianto!AQ$23:AQ$194,0))</f>
        <v>0</v>
      </c>
      <c r="I28" s="86">
        <f t="array" ref="I28">SUM(IF(descrizione2=$A28,impianto!T$23:T$194,0))</f>
        <v>0</v>
      </c>
      <c r="J28" s="87">
        <f t="array" ref="J28">SUM(IF(descrizione2=$A28,impianto!AS$23:AS$194,0))</f>
        <v>0</v>
      </c>
      <c r="K28" s="86">
        <f t="array" ref="K28">SUM(IF(descrizione2=$A28,impianto!V$23:V$194,0))</f>
        <v>0</v>
      </c>
      <c r="L28" s="87">
        <f t="array" ref="L28">SUM(IF(descrizione2=$A28,impianto!AU$23:AU$194,0))</f>
        <v>0</v>
      </c>
      <c r="M28" s="86">
        <f t="array" ref="M28">SUM(IF(descrizione2=$A28,impianto!X$23:X$194,0))</f>
        <v>0</v>
      </c>
      <c r="N28" s="87">
        <f t="array" ref="N28">SUM(IF(descrizione2=$A28,impianto!AW$23:AW$194,0))</f>
        <v>0</v>
      </c>
      <c r="O28" s="86">
        <f t="array" ref="O28">SUM(IF(descrizione2=$A28,impianto!Z$23:Z$194,0))</f>
        <v>0</v>
      </c>
      <c r="P28" s="87">
        <f t="array" ref="P28">SUM(IF(descrizione2=$A28,impianto!AY$23:AY$194,0))</f>
        <v>0</v>
      </c>
      <c r="Q28" s="86">
        <f t="array" ref="Q28">SUM(IF(descrizione2=$A28,impianto!AB$23:AB$194,0))</f>
        <v>0</v>
      </c>
      <c r="R28" s="87">
        <f t="array" ref="R28">SUM(IF(descrizione2=$A28,impianto!BA$23:BA$194,0))</f>
        <v>0</v>
      </c>
      <c r="S28" s="86">
        <f t="array" ref="S28">SUM(IF(descrizione2=$A28,impianto!AD$23:AD$194,0))</f>
        <v>0</v>
      </c>
      <c r="T28" s="87">
        <f t="array" ref="T28">SUM(IF(descrizione2=$A28,impianto!BC$23:BC$194,0))</f>
        <v>0</v>
      </c>
      <c r="U28" s="86">
        <f t="array" ref="U28">SUM(IF(descrizione2=$A28,impianto!AF$23:AF$194,0))</f>
        <v>0</v>
      </c>
      <c r="V28" s="89">
        <f t="array" ref="V28">SUM(IF(descrizione2=$A28,impianto!BE$23:BE$194,0))</f>
        <v>0</v>
      </c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2"/>
      <c r="CA28" s="102"/>
      <c r="CB28" s="102"/>
      <c r="CC28" s="102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  <c r="CW28" s="102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2"/>
      <c r="EB28" s="102"/>
      <c r="EC28" s="102"/>
      <c r="ED28" s="102"/>
      <c r="EE28" s="102"/>
      <c r="EF28" s="102"/>
      <c r="EG28" s="102"/>
      <c r="EH28" s="102"/>
      <c r="EI28" s="102"/>
      <c r="EJ28" s="102"/>
      <c r="EK28" s="102"/>
      <c r="EL28" s="102"/>
      <c r="EM28" s="102"/>
      <c r="EN28" s="102"/>
      <c r="EO28" s="102"/>
      <c r="EP28" s="102"/>
      <c r="EQ28" s="102"/>
      <c r="ER28" s="102"/>
      <c r="ES28" s="102"/>
      <c r="ET28" s="102"/>
      <c r="EU28" s="102"/>
      <c r="EV28" s="102"/>
      <c r="EW28" s="102"/>
      <c r="EX28" s="102"/>
      <c r="EY28" s="102"/>
      <c r="EZ28" s="102"/>
      <c r="FA28" s="102"/>
      <c r="FB28" s="102"/>
      <c r="FC28" s="102"/>
      <c r="FD28" s="102"/>
      <c r="FE28" s="102"/>
      <c r="FF28" s="102"/>
      <c r="FG28" s="102"/>
      <c r="FH28" s="102"/>
      <c r="FI28" s="102"/>
      <c r="FJ28" s="102"/>
      <c r="FK28" s="102"/>
      <c r="FL28" s="102"/>
      <c r="FM28" s="102"/>
      <c r="FN28" s="102"/>
      <c r="FO28" s="102"/>
      <c r="FP28" s="102"/>
      <c r="FQ28" s="102"/>
      <c r="FR28" s="102"/>
      <c r="FS28" s="102"/>
      <c r="FT28" s="102"/>
      <c r="FU28" s="102"/>
      <c r="FV28" s="102"/>
      <c r="FW28" s="102"/>
      <c r="FX28" s="102"/>
      <c r="FY28" s="102"/>
      <c r="FZ28" s="102"/>
      <c r="GA28" s="102"/>
      <c r="GB28" s="102"/>
      <c r="GC28" s="102"/>
      <c r="GD28" s="102"/>
      <c r="GE28" s="102"/>
      <c r="GF28" s="102"/>
      <c r="GG28" s="102"/>
      <c r="GH28" s="102"/>
      <c r="GI28" s="102"/>
      <c r="GJ28" s="102"/>
      <c r="GK28" s="102"/>
      <c r="GL28" s="102"/>
      <c r="GM28" s="102"/>
      <c r="GN28" s="102"/>
      <c r="GO28" s="102"/>
      <c r="GP28" s="102"/>
      <c r="GQ28" s="102"/>
      <c r="GR28" s="102"/>
      <c r="GS28" s="102"/>
      <c r="GT28" s="102"/>
      <c r="GU28" s="102"/>
      <c r="GV28" s="102"/>
      <c r="GW28" s="102"/>
      <c r="GX28" s="102"/>
      <c r="GY28" s="102"/>
      <c r="GZ28" s="102"/>
      <c r="HA28" s="102"/>
      <c r="HB28" s="102"/>
      <c r="HC28" s="102"/>
      <c r="HD28" s="102"/>
      <c r="HE28" s="102"/>
      <c r="HF28" s="102"/>
      <c r="HG28" s="102"/>
      <c r="HH28" s="102"/>
      <c r="HI28" s="102"/>
      <c r="HJ28" s="102"/>
      <c r="HK28" s="102"/>
      <c r="HL28" s="102"/>
      <c r="HM28" s="102"/>
      <c r="HN28" s="102"/>
      <c r="HO28" s="102"/>
      <c r="HP28" s="102"/>
      <c r="HQ28" s="102"/>
      <c r="HR28" s="102"/>
      <c r="HS28" s="102"/>
      <c r="HT28" s="102"/>
      <c r="HU28" s="102"/>
      <c r="HV28" s="102"/>
      <c r="HW28" s="102"/>
      <c r="HX28" s="102"/>
      <c r="HY28" s="102"/>
      <c r="HZ28" s="102"/>
      <c r="IA28" s="102"/>
      <c r="IB28" s="102"/>
      <c r="IC28" s="102"/>
      <c r="ID28" s="102"/>
      <c r="IE28" s="102"/>
      <c r="IF28" s="102"/>
      <c r="IG28" s="102"/>
      <c r="IH28" s="102"/>
      <c r="II28" s="102"/>
      <c r="IJ28" s="102"/>
      <c r="IK28" s="102"/>
      <c r="IL28" s="102"/>
      <c r="IM28" s="102"/>
      <c r="IN28" s="102"/>
      <c r="IO28" s="102"/>
      <c r="IP28" s="102"/>
      <c r="IQ28" s="102"/>
      <c r="IR28" s="102"/>
      <c r="IS28" s="102"/>
      <c r="IT28" s="102"/>
      <c r="IU28" s="102"/>
      <c r="IV28" s="102"/>
    </row>
    <row r="29" spans="1:256" s="106" customFormat="1" ht="13.5" outlineLevel="2" x14ac:dyDescent="0.25">
      <c r="A29" s="90" t="s">
        <v>1260</v>
      </c>
      <c r="B29" s="84"/>
      <c r="C29" s="86">
        <f t="array" ref="C29">SUM(IF(descrizione2=$A29,impianto!N$23:N$194,0))</f>
        <v>0</v>
      </c>
      <c r="D29" s="689">
        <f t="array" ref="D29">SUM(IF(descrizione2=$A29,impianto!AM$23:AM$194,0))</f>
        <v>0</v>
      </c>
      <c r="E29" s="91">
        <f t="array" ref="E29">SUM(IF(descrizione2=$A29,impianto!P$23:P$194,0))</f>
        <v>0</v>
      </c>
      <c r="F29" s="437">
        <f t="array" ref="F29">SUM(IF(descrizione2=$A29,impianto!AO$23:AO$194,0))</f>
        <v>0</v>
      </c>
      <c r="G29" s="86">
        <f t="array" ref="G29">SUM(IF(descrizione2=$A29,impianto!R$23:R$194,0))</f>
        <v>0</v>
      </c>
      <c r="H29" s="87">
        <f t="array" ref="H29">SUM(IF(descrizione2=$A29,impianto!AQ$23:AQ$194,0))</f>
        <v>0</v>
      </c>
      <c r="I29" s="86">
        <f t="array" ref="I29">SUM(IF(descrizione2=$A29,impianto!T$23:T$194,0))</f>
        <v>0</v>
      </c>
      <c r="J29" s="87">
        <f t="array" ref="J29">SUM(IF(descrizione2=$A29,impianto!AS$23:AS$194,0))</f>
        <v>0</v>
      </c>
      <c r="K29" s="86">
        <f t="array" ref="K29">SUM(IF(descrizione2=$A29,impianto!V$23:V$194,0))</f>
        <v>0</v>
      </c>
      <c r="L29" s="87">
        <f t="array" ref="L29">SUM(IF(descrizione2=$A29,impianto!AU$23:AU$194,0))</f>
        <v>0</v>
      </c>
      <c r="M29" s="86">
        <f t="array" ref="M29">SUM(IF(descrizione2=$A29,impianto!X$23:X$194,0))</f>
        <v>0</v>
      </c>
      <c r="N29" s="87">
        <f t="array" ref="N29">SUM(IF(descrizione2=$A29,impianto!AW$23:AW$194,0))</f>
        <v>0</v>
      </c>
      <c r="O29" s="86">
        <f t="array" ref="O29">SUM(IF(descrizione2=$A29,impianto!Z$23:Z$194,0))</f>
        <v>0</v>
      </c>
      <c r="P29" s="87">
        <f t="array" ref="P29">SUM(IF(descrizione2=$A29,impianto!AY$23:AY$194,0))</f>
        <v>0</v>
      </c>
      <c r="Q29" s="86">
        <f t="array" ref="Q29">SUM(IF(descrizione2=$A29,impianto!AB$23:AB$194,0))</f>
        <v>0</v>
      </c>
      <c r="R29" s="87">
        <f t="array" ref="R29">SUM(IF(descrizione2=$A29,impianto!BA$23:BA$194,0))</f>
        <v>0</v>
      </c>
      <c r="S29" s="86">
        <f t="array" ref="S29">SUM(IF(descrizione2=$A29,impianto!AD$23:AD$194,0))</f>
        <v>0</v>
      </c>
      <c r="T29" s="87">
        <f t="array" ref="T29">SUM(IF(descrizione2=$A29,impianto!BC$23:BC$194,0))</f>
        <v>0</v>
      </c>
      <c r="U29" s="86">
        <f t="array" ref="U29">SUM(IF(descrizione2=$A29,impianto!AF$23:AF$194,0))</f>
        <v>0</v>
      </c>
      <c r="V29" s="89">
        <f t="array" ref="V29">SUM(IF(descrizione2=$A29,impianto!BE$23:BE$194,0))</f>
        <v>0</v>
      </c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02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02"/>
      <c r="CV29" s="102"/>
      <c r="CW29" s="102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2"/>
      <c r="EB29" s="102"/>
      <c r="EC29" s="102"/>
      <c r="ED29" s="102"/>
      <c r="EE29" s="102"/>
      <c r="EF29" s="102"/>
      <c r="EG29" s="102"/>
      <c r="EH29" s="102"/>
      <c r="EI29" s="102"/>
      <c r="EJ29" s="102"/>
      <c r="EK29" s="102"/>
      <c r="EL29" s="102"/>
      <c r="EM29" s="102"/>
      <c r="EN29" s="102"/>
      <c r="EO29" s="102"/>
      <c r="EP29" s="102"/>
      <c r="EQ29" s="102"/>
      <c r="ER29" s="102"/>
      <c r="ES29" s="102"/>
      <c r="ET29" s="102"/>
      <c r="EU29" s="102"/>
      <c r="EV29" s="102"/>
      <c r="EW29" s="102"/>
      <c r="EX29" s="102"/>
      <c r="EY29" s="102"/>
      <c r="EZ29" s="102"/>
      <c r="FA29" s="102"/>
      <c r="FB29" s="102"/>
      <c r="FC29" s="102"/>
      <c r="FD29" s="102"/>
      <c r="FE29" s="102"/>
      <c r="FF29" s="102"/>
      <c r="FG29" s="102"/>
      <c r="FH29" s="102"/>
      <c r="FI29" s="102"/>
      <c r="FJ29" s="102"/>
      <c r="FK29" s="102"/>
      <c r="FL29" s="102"/>
      <c r="FM29" s="102"/>
      <c r="FN29" s="102"/>
      <c r="FO29" s="102"/>
      <c r="FP29" s="102"/>
      <c r="FQ29" s="102"/>
      <c r="FR29" s="102"/>
      <c r="FS29" s="102"/>
      <c r="FT29" s="102"/>
      <c r="FU29" s="102"/>
      <c r="FV29" s="102"/>
      <c r="FW29" s="102"/>
      <c r="FX29" s="102"/>
      <c r="FY29" s="102"/>
      <c r="FZ29" s="102"/>
      <c r="GA29" s="102"/>
      <c r="GB29" s="102"/>
      <c r="GC29" s="102"/>
      <c r="GD29" s="102"/>
      <c r="GE29" s="102"/>
      <c r="GF29" s="102"/>
      <c r="GG29" s="102"/>
      <c r="GH29" s="102"/>
      <c r="GI29" s="102"/>
      <c r="GJ29" s="102"/>
      <c r="GK29" s="102"/>
      <c r="GL29" s="102"/>
      <c r="GM29" s="102"/>
      <c r="GN29" s="102"/>
      <c r="GO29" s="102"/>
      <c r="GP29" s="102"/>
      <c r="GQ29" s="102"/>
      <c r="GR29" s="102"/>
      <c r="GS29" s="102"/>
      <c r="GT29" s="102"/>
      <c r="GU29" s="102"/>
      <c r="GV29" s="102"/>
      <c r="GW29" s="102"/>
      <c r="GX29" s="102"/>
      <c r="GY29" s="102"/>
      <c r="GZ29" s="102"/>
      <c r="HA29" s="102"/>
      <c r="HB29" s="102"/>
      <c r="HC29" s="102"/>
      <c r="HD29" s="102"/>
      <c r="HE29" s="102"/>
      <c r="HF29" s="102"/>
      <c r="HG29" s="102"/>
      <c r="HH29" s="102"/>
      <c r="HI29" s="102"/>
      <c r="HJ29" s="102"/>
      <c r="HK29" s="102"/>
      <c r="HL29" s="102"/>
      <c r="HM29" s="102"/>
      <c r="HN29" s="102"/>
      <c r="HO29" s="102"/>
      <c r="HP29" s="102"/>
      <c r="HQ29" s="102"/>
      <c r="HR29" s="102"/>
      <c r="HS29" s="102"/>
      <c r="HT29" s="102"/>
      <c r="HU29" s="102"/>
      <c r="HV29" s="102"/>
      <c r="HW29" s="102"/>
      <c r="HX29" s="102"/>
      <c r="HY29" s="102"/>
      <c r="HZ29" s="102"/>
      <c r="IA29" s="102"/>
      <c r="IB29" s="102"/>
      <c r="IC29" s="102"/>
      <c r="ID29" s="102"/>
      <c r="IE29" s="102"/>
      <c r="IF29" s="102"/>
      <c r="IG29" s="102"/>
      <c r="IH29" s="102"/>
      <c r="II29" s="102"/>
      <c r="IJ29" s="102"/>
      <c r="IK29" s="102"/>
      <c r="IL29" s="102"/>
      <c r="IM29" s="102"/>
      <c r="IN29" s="102"/>
      <c r="IO29" s="102"/>
      <c r="IP29" s="102"/>
      <c r="IQ29" s="102"/>
      <c r="IR29" s="102"/>
      <c r="IS29" s="102"/>
      <c r="IT29" s="102"/>
      <c r="IU29" s="102"/>
      <c r="IV29" s="102"/>
    </row>
    <row r="30" spans="1:256" s="106" customFormat="1" ht="13.5" outlineLevel="2" x14ac:dyDescent="0.25">
      <c r="A30" s="90" t="s">
        <v>1259</v>
      </c>
      <c r="B30" s="84"/>
      <c r="C30" s="86">
        <f t="array" ref="C30">SUM(IF(descrizione2=$A30,impianto!N$23:N$194,0))</f>
        <v>0</v>
      </c>
      <c r="D30" s="689">
        <f t="array" ref="D30">SUM(IF(descrizione2=$A30,impianto!AM$23:AM$194,0))</f>
        <v>0</v>
      </c>
      <c r="E30" s="91">
        <f t="array" ref="E30">SUM(IF(descrizione2=$A30,impianto!P$23:P$194,0))</f>
        <v>0</v>
      </c>
      <c r="F30" s="437">
        <f t="array" ref="F30">SUM(IF(descrizione2=$A30,impianto!AO$23:AO$194,0))</f>
        <v>0</v>
      </c>
      <c r="G30" s="86">
        <f t="array" ref="G30">SUM(IF(descrizione2=$A30,impianto!R$23:R$194,0))</f>
        <v>0</v>
      </c>
      <c r="H30" s="87">
        <f t="array" ref="H30">SUM(IF(descrizione2=$A30,impianto!AQ$23:AQ$194,0))</f>
        <v>0</v>
      </c>
      <c r="I30" s="86">
        <f t="array" ref="I30">SUM(IF(descrizione2=$A30,impianto!T$23:T$194,0))</f>
        <v>0</v>
      </c>
      <c r="J30" s="87">
        <f t="array" ref="J30">SUM(IF(descrizione2=$A30,impianto!AS$23:AS$194,0))</f>
        <v>0</v>
      </c>
      <c r="K30" s="86">
        <f t="array" ref="K30">SUM(IF(descrizione2=$A30,impianto!V$23:V$194,0))</f>
        <v>0</v>
      </c>
      <c r="L30" s="87">
        <f t="array" ref="L30">SUM(IF(descrizione2=$A30,impianto!AU$23:AU$194,0))</f>
        <v>0</v>
      </c>
      <c r="M30" s="86">
        <f t="array" ref="M30">SUM(IF(descrizione2=$A30,impianto!X$23:X$194,0))</f>
        <v>0</v>
      </c>
      <c r="N30" s="87">
        <f t="array" ref="N30">SUM(IF(descrizione2=$A30,impianto!AW$23:AW$194,0))</f>
        <v>0</v>
      </c>
      <c r="O30" s="86">
        <f t="array" ref="O30">SUM(IF(descrizione2=$A30,impianto!Z$23:Z$194,0))</f>
        <v>0</v>
      </c>
      <c r="P30" s="87">
        <f t="array" ref="P30">SUM(IF(descrizione2=$A30,impianto!AY$23:AY$194,0))</f>
        <v>0</v>
      </c>
      <c r="Q30" s="86">
        <f t="array" ref="Q30">SUM(IF(descrizione2=$A30,impianto!AB$23:AB$194,0))</f>
        <v>0</v>
      </c>
      <c r="R30" s="87">
        <f t="array" ref="R30">SUM(IF(descrizione2=$A30,impianto!BA$23:BA$194,0))</f>
        <v>0</v>
      </c>
      <c r="S30" s="86">
        <f t="array" ref="S30">SUM(IF(descrizione2=$A30,impianto!AD$23:AD$194,0))</f>
        <v>0</v>
      </c>
      <c r="T30" s="87">
        <f t="array" ref="T30">SUM(IF(descrizione2=$A30,impianto!BC$23:BC$194,0))</f>
        <v>0</v>
      </c>
      <c r="U30" s="86">
        <f t="array" ref="U30">SUM(IF(descrizione2=$A30,impianto!AF$23:AF$194,0))</f>
        <v>0</v>
      </c>
      <c r="V30" s="89">
        <f t="array" ref="V30">SUM(IF(descrizione2=$A30,impianto!BE$23:BE$194,0))</f>
        <v>0</v>
      </c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02"/>
      <c r="BU30" s="102"/>
      <c r="BV30" s="102"/>
      <c r="BW30" s="102"/>
      <c r="BX30" s="102"/>
      <c r="BY30" s="102"/>
      <c r="BZ30" s="102"/>
      <c r="CA30" s="102"/>
      <c r="CB30" s="102"/>
      <c r="CC30" s="102"/>
      <c r="CD30" s="102"/>
      <c r="CE30" s="102"/>
      <c r="CF30" s="102"/>
      <c r="CG30" s="102"/>
      <c r="CH30" s="102"/>
      <c r="CI30" s="102"/>
      <c r="CJ30" s="102"/>
      <c r="CK30" s="102"/>
      <c r="CL30" s="102"/>
      <c r="CM30" s="102"/>
      <c r="CN30" s="102"/>
      <c r="CO30" s="102"/>
      <c r="CP30" s="102"/>
      <c r="CQ30" s="102"/>
      <c r="CR30" s="102"/>
      <c r="CS30" s="102"/>
      <c r="CT30" s="102"/>
      <c r="CU30" s="102"/>
      <c r="CV30" s="102"/>
      <c r="CW30" s="102"/>
      <c r="CX30" s="102"/>
      <c r="CY30" s="102"/>
      <c r="CZ30" s="102"/>
      <c r="DA30" s="102"/>
      <c r="DB30" s="102"/>
      <c r="DC30" s="102"/>
      <c r="DD30" s="102"/>
      <c r="DE30" s="102"/>
      <c r="DF30" s="102"/>
      <c r="DG30" s="102"/>
      <c r="DH30" s="102"/>
      <c r="DI30" s="102"/>
      <c r="DJ30" s="102"/>
      <c r="DK30" s="102"/>
      <c r="DL30" s="102"/>
      <c r="DM30" s="102"/>
      <c r="DN30" s="102"/>
      <c r="DO30" s="102"/>
      <c r="DP30" s="102"/>
      <c r="DQ30" s="102"/>
      <c r="DR30" s="102"/>
      <c r="DS30" s="102"/>
      <c r="DT30" s="102"/>
      <c r="DU30" s="102"/>
      <c r="DV30" s="102"/>
      <c r="DW30" s="102"/>
      <c r="DX30" s="102"/>
      <c r="DY30" s="102"/>
      <c r="DZ30" s="102"/>
      <c r="EA30" s="102"/>
      <c r="EB30" s="102"/>
      <c r="EC30" s="102"/>
      <c r="ED30" s="102"/>
      <c r="EE30" s="102"/>
      <c r="EF30" s="102"/>
      <c r="EG30" s="102"/>
      <c r="EH30" s="102"/>
      <c r="EI30" s="102"/>
      <c r="EJ30" s="102"/>
      <c r="EK30" s="102"/>
      <c r="EL30" s="102"/>
      <c r="EM30" s="102"/>
      <c r="EN30" s="102"/>
      <c r="EO30" s="102"/>
      <c r="EP30" s="102"/>
      <c r="EQ30" s="102"/>
      <c r="ER30" s="102"/>
      <c r="ES30" s="102"/>
      <c r="ET30" s="102"/>
      <c r="EU30" s="102"/>
      <c r="EV30" s="102"/>
      <c r="EW30" s="102"/>
      <c r="EX30" s="102"/>
      <c r="EY30" s="102"/>
      <c r="EZ30" s="102"/>
      <c r="FA30" s="102"/>
      <c r="FB30" s="102"/>
      <c r="FC30" s="102"/>
      <c r="FD30" s="102"/>
      <c r="FE30" s="102"/>
      <c r="FF30" s="102"/>
      <c r="FG30" s="102"/>
      <c r="FH30" s="102"/>
      <c r="FI30" s="102"/>
      <c r="FJ30" s="102"/>
      <c r="FK30" s="102"/>
      <c r="FL30" s="102"/>
      <c r="FM30" s="102"/>
      <c r="FN30" s="102"/>
      <c r="FO30" s="102"/>
      <c r="FP30" s="102"/>
      <c r="FQ30" s="102"/>
      <c r="FR30" s="102"/>
      <c r="FS30" s="102"/>
      <c r="FT30" s="102"/>
      <c r="FU30" s="102"/>
      <c r="FV30" s="102"/>
      <c r="FW30" s="102"/>
      <c r="FX30" s="102"/>
      <c r="FY30" s="102"/>
      <c r="FZ30" s="102"/>
      <c r="GA30" s="102"/>
      <c r="GB30" s="102"/>
      <c r="GC30" s="102"/>
      <c r="GD30" s="102"/>
      <c r="GE30" s="102"/>
      <c r="GF30" s="102"/>
      <c r="GG30" s="102"/>
      <c r="GH30" s="102"/>
      <c r="GI30" s="102"/>
      <c r="GJ30" s="102"/>
      <c r="GK30" s="102"/>
      <c r="GL30" s="102"/>
      <c r="GM30" s="102"/>
      <c r="GN30" s="102"/>
      <c r="GO30" s="102"/>
      <c r="GP30" s="102"/>
      <c r="GQ30" s="102"/>
      <c r="GR30" s="102"/>
      <c r="GS30" s="102"/>
      <c r="GT30" s="102"/>
      <c r="GU30" s="102"/>
      <c r="GV30" s="102"/>
      <c r="GW30" s="102"/>
      <c r="GX30" s="102"/>
      <c r="GY30" s="102"/>
      <c r="GZ30" s="102"/>
      <c r="HA30" s="102"/>
      <c r="HB30" s="102"/>
      <c r="HC30" s="102"/>
      <c r="HD30" s="102"/>
      <c r="HE30" s="102"/>
      <c r="HF30" s="102"/>
      <c r="HG30" s="102"/>
      <c r="HH30" s="102"/>
      <c r="HI30" s="102"/>
      <c r="HJ30" s="102"/>
      <c r="HK30" s="102"/>
      <c r="HL30" s="102"/>
      <c r="HM30" s="102"/>
      <c r="HN30" s="102"/>
      <c r="HO30" s="102"/>
      <c r="HP30" s="102"/>
      <c r="HQ30" s="102"/>
      <c r="HR30" s="102"/>
      <c r="HS30" s="102"/>
      <c r="HT30" s="102"/>
      <c r="HU30" s="102"/>
      <c r="HV30" s="102"/>
      <c r="HW30" s="102"/>
      <c r="HX30" s="102"/>
      <c r="HY30" s="102"/>
      <c r="HZ30" s="102"/>
      <c r="IA30" s="102"/>
      <c r="IB30" s="102"/>
      <c r="IC30" s="102"/>
      <c r="ID30" s="102"/>
      <c r="IE30" s="102"/>
      <c r="IF30" s="102"/>
      <c r="IG30" s="102"/>
      <c r="IH30" s="102"/>
      <c r="II30" s="102"/>
      <c r="IJ30" s="102"/>
      <c r="IK30" s="102"/>
      <c r="IL30" s="102"/>
      <c r="IM30" s="102"/>
      <c r="IN30" s="102"/>
      <c r="IO30" s="102"/>
      <c r="IP30" s="102"/>
      <c r="IQ30" s="102"/>
      <c r="IR30" s="102"/>
      <c r="IS30" s="102"/>
      <c r="IT30" s="102"/>
      <c r="IU30" s="102"/>
      <c r="IV30" s="102"/>
    </row>
    <row r="31" spans="1:256" s="106" customFormat="1" ht="14.25" outlineLevel="2" thickBot="1" x14ac:dyDescent="0.3">
      <c r="A31" s="132" t="s">
        <v>2458</v>
      </c>
      <c r="B31" s="436">
        <f>SUM(C31:V31)</f>
        <v>0</v>
      </c>
      <c r="C31" s="124"/>
      <c r="D31" s="690">
        <f>SUM(D27:D30)</f>
        <v>0</v>
      </c>
      <c r="E31" s="124"/>
      <c r="F31" s="690">
        <f>SUM(F27:F30)</f>
        <v>0</v>
      </c>
      <c r="G31" s="124"/>
      <c r="H31" s="690">
        <f>SUM(H27:H30)</f>
        <v>0</v>
      </c>
      <c r="I31" s="124"/>
      <c r="J31" s="690">
        <f>SUM(J27:J30)</f>
        <v>0</v>
      </c>
      <c r="K31" s="124"/>
      <c r="L31" s="690">
        <f>SUM(L27:L30)</f>
        <v>0</v>
      </c>
      <c r="M31" s="124"/>
      <c r="N31" s="690">
        <f>SUM(N27:N30)</f>
        <v>0</v>
      </c>
      <c r="O31" s="124"/>
      <c r="P31" s="690">
        <f>SUM(P27:P30)</f>
        <v>0</v>
      </c>
      <c r="Q31" s="124"/>
      <c r="R31" s="690">
        <f>SUM(R27:R30)</f>
        <v>0</v>
      </c>
      <c r="S31" s="124"/>
      <c r="T31" s="690">
        <f>SUM(T27:T30)</f>
        <v>0</v>
      </c>
      <c r="U31" s="124"/>
      <c r="V31" s="690">
        <f>SUM(V27:V30)</f>
        <v>0</v>
      </c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  <c r="EH31" s="102"/>
      <c r="EI31" s="102"/>
      <c r="EJ31" s="102"/>
      <c r="EK31" s="102"/>
      <c r="EL31" s="102"/>
      <c r="EM31" s="102"/>
      <c r="EN31" s="102"/>
      <c r="EO31" s="102"/>
      <c r="EP31" s="102"/>
      <c r="EQ31" s="102"/>
      <c r="ER31" s="102"/>
      <c r="ES31" s="102"/>
      <c r="ET31" s="102"/>
      <c r="EU31" s="102"/>
      <c r="EV31" s="102"/>
      <c r="EW31" s="102"/>
      <c r="EX31" s="102"/>
      <c r="EY31" s="102"/>
      <c r="EZ31" s="102"/>
      <c r="FA31" s="102"/>
      <c r="FB31" s="102"/>
      <c r="FC31" s="102"/>
      <c r="FD31" s="102"/>
      <c r="FE31" s="102"/>
      <c r="FF31" s="102"/>
      <c r="FG31" s="102"/>
      <c r="FH31" s="102"/>
      <c r="FI31" s="102"/>
      <c r="FJ31" s="102"/>
      <c r="FK31" s="102"/>
      <c r="FL31" s="102"/>
      <c r="FM31" s="102"/>
      <c r="FN31" s="102"/>
      <c r="FO31" s="102"/>
      <c r="FP31" s="102"/>
      <c r="FQ31" s="102"/>
      <c r="FR31" s="102"/>
      <c r="FS31" s="102"/>
      <c r="FT31" s="102"/>
      <c r="FU31" s="102"/>
      <c r="FV31" s="102"/>
      <c r="FW31" s="102"/>
      <c r="FX31" s="102"/>
      <c r="FY31" s="102"/>
      <c r="FZ31" s="102"/>
      <c r="GA31" s="102"/>
      <c r="GB31" s="102"/>
      <c r="GC31" s="102"/>
      <c r="GD31" s="102"/>
      <c r="GE31" s="102"/>
      <c r="GF31" s="102"/>
      <c r="GG31" s="102"/>
      <c r="GH31" s="102"/>
      <c r="GI31" s="102"/>
      <c r="GJ31" s="102"/>
      <c r="GK31" s="102"/>
      <c r="GL31" s="102"/>
      <c r="GM31" s="102"/>
      <c r="GN31" s="102"/>
      <c r="GO31" s="102"/>
      <c r="GP31" s="102"/>
      <c r="GQ31" s="102"/>
      <c r="GR31" s="102"/>
      <c r="GS31" s="102"/>
      <c r="GT31" s="102"/>
      <c r="GU31" s="102"/>
      <c r="GV31" s="102"/>
      <c r="GW31" s="102"/>
      <c r="GX31" s="102"/>
      <c r="GY31" s="102"/>
      <c r="GZ31" s="102"/>
      <c r="HA31" s="102"/>
      <c r="HB31" s="102"/>
      <c r="HC31" s="102"/>
      <c r="HD31" s="102"/>
      <c r="HE31" s="102"/>
      <c r="HF31" s="102"/>
      <c r="HG31" s="102"/>
      <c r="HH31" s="102"/>
      <c r="HI31" s="102"/>
      <c r="HJ31" s="102"/>
      <c r="HK31" s="102"/>
      <c r="HL31" s="102"/>
      <c r="HM31" s="102"/>
      <c r="HN31" s="102"/>
      <c r="HO31" s="102"/>
      <c r="HP31" s="102"/>
      <c r="HQ31" s="102"/>
      <c r="HR31" s="102"/>
      <c r="HS31" s="102"/>
      <c r="HT31" s="102"/>
      <c r="HU31" s="102"/>
      <c r="HV31" s="102"/>
      <c r="HW31" s="102"/>
      <c r="HX31" s="102"/>
      <c r="HY31" s="102"/>
      <c r="HZ31" s="102"/>
      <c r="IA31" s="102"/>
      <c r="IB31" s="102"/>
      <c r="IC31" s="102"/>
      <c r="ID31" s="102"/>
      <c r="IE31" s="102"/>
      <c r="IF31" s="102"/>
      <c r="IG31" s="102"/>
      <c r="IH31" s="102"/>
      <c r="II31" s="102"/>
      <c r="IJ31" s="102"/>
      <c r="IK31" s="102"/>
      <c r="IL31" s="102"/>
      <c r="IM31" s="102"/>
      <c r="IN31" s="102"/>
      <c r="IO31" s="102"/>
      <c r="IP31" s="102"/>
      <c r="IQ31" s="102"/>
      <c r="IR31" s="102"/>
      <c r="IS31" s="102"/>
      <c r="IT31" s="102"/>
      <c r="IU31" s="102"/>
      <c r="IV31" s="102"/>
    </row>
    <row r="32" spans="1:256" outlineLevel="1" x14ac:dyDescent="0.2">
      <c r="A32" s="125" t="s">
        <v>877</v>
      </c>
      <c r="B32" s="126">
        <f>SUM(C32:V32)</f>
        <v>0</v>
      </c>
      <c r="C32" s="127">
        <f>SUM(C33:C38)</f>
        <v>0</v>
      </c>
      <c r="D32" s="128"/>
      <c r="E32" s="129">
        <f>SUM(E33:E38)</f>
        <v>0</v>
      </c>
      <c r="F32" s="130"/>
      <c r="G32" s="127">
        <f>SUM(G33:G38)</f>
        <v>0</v>
      </c>
      <c r="H32" s="128"/>
      <c r="I32" s="127">
        <f>SUM(I33:I38)</f>
        <v>0</v>
      </c>
      <c r="J32" s="128"/>
      <c r="K32" s="127">
        <f>SUM(K33:K38)</f>
        <v>0</v>
      </c>
      <c r="L32" s="128"/>
      <c r="M32" s="127">
        <f>SUM(M33:M38)</f>
        <v>0</v>
      </c>
      <c r="N32" s="128"/>
      <c r="O32" s="127">
        <f>SUM(O33:O38)</f>
        <v>0</v>
      </c>
      <c r="P32" s="128"/>
      <c r="Q32" s="127">
        <f>SUM(Q33:Q38)</f>
        <v>0</v>
      </c>
      <c r="R32" s="128"/>
      <c r="S32" s="127">
        <f>SUM(S33:S38)</f>
        <v>0</v>
      </c>
      <c r="T32" s="128"/>
      <c r="U32" s="127">
        <f>SUM(U33:U38)</f>
        <v>0</v>
      </c>
      <c r="V32" s="131"/>
    </row>
    <row r="33" spans="1:256" outlineLevel="2" x14ac:dyDescent="0.2">
      <c r="A33" s="90" t="s">
        <v>994</v>
      </c>
      <c r="B33" s="84"/>
      <c r="C33" s="86">
        <f t="array" ref="C33">SUM(IF(descrizione2=$A33,impianto!N$23:N$194,0))</f>
        <v>0</v>
      </c>
      <c r="D33" s="434">
        <f t="array" ref="D33">SUM(IF(descrizione2=$A33,impianto!AM$23:AM$194,0))</f>
        <v>0</v>
      </c>
      <c r="E33" s="86">
        <f t="array" ref="E33">SUM(IF(descrizione2=$A33,impianto!P$23:P$194,0))</f>
        <v>0</v>
      </c>
      <c r="F33" s="434">
        <f t="array" ref="F33">SUM(IF(descrizione2=$A33,impianto!AO$23:AO$194,0))</f>
        <v>0</v>
      </c>
      <c r="G33" s="86">
        <f t="array" ref="G33">SUM(IF(descrizione2=$A33,impianto!R$23:R$194,0))</f>
        <v>0</v>
      </c>
      <c r="H33" s="434">
        <f t="array" ref="H33">SUM(IF(descrizione2=$A33,impianto!AQ$23:AQ$194,0))</f>
        <v>0</v>
      </c>
      <c r="I33" s="86">
        <f t="array" ref="I33">SUM(IF(descrizione2=$A33,impianto!T$23:T$194,0))</f>
        <v>0</v>
      </c>
      <c r="J33" s="434">
        <f t="array" ref="J33">SUM(IF(descrizione2=$A33,impianto!AS$23:AS$194,0))</f>
        <v>0</v>
      </c>
      <c r="K33" s="86">
        <f t="array" ref="K33">SUM(IF(descrizione2=$A33,impianto!V$23:V$194,0))</f>
        <v>0</v>
      </c>
      <c r="L33" s="434">
        <f t="array" ref="L33">SUM(IF(descrizione2=$A33,impianto!AU$23:AU$194,0))</f>
        <v>0</v>
      </c>
      <c r="M33" s="86">
        <f t="array" ref="M33">SUM(IF(descrizione2=$A33,impianto!X$23:X$194,0))</f>
        <v>0</v>
      </c>
      <c r="N33" s="434">
        <f t="array" ref="N33">SUM(IF(descrizione2=$A33,impianto!AW$23:AW$194,0))</f>
        <v>0</v>
      </c>
      <c r="O33" s="86">
        <f t="array" ref="O33">SUM(IF(descrizione2=$A33,impianto!Z$23:Z$194,0))</f>
        <v>0</v>
      </c>
      <c r="P33" s="434">
        <f t="array" ref="P33">SUM(IF(descrizione2=$A33,impianto!AY$23:AY$194,0))</f>
        <v>0</v>
      </c>
      <c r="Q33" s="86">
        <f t="array" ref="Q33">SUM(IF(descrizione2=$A33,impianto!AB$23:AB$194,0))</f>
        <v>0</v>
      </c>
      <c r="R33" s="434">
        <f t="array" ref="R33">SUM(IF(descrizione2=$A33,impianto!BA$23:BA$194,0))</f>
        <v>0</v>
      </c>
      <c r="S33" s="86">
        <f t="array" ref="S33">SUM(IF(descrizione2=$A33,impianto!AD$23:AD$194,0))</f>
        <v>0</v>
      </c>
      <c r="T33" s="434">
        <f t="array" ref="T33">SUM(IF(descrizione2=$A33,impianto!BC$23:BC$194,0))</f>
        <v>0</v>
      </c>
      <c r="U33" s="86">
        <f t="array" ref="U33">SUM(IF(descrizione2=$A33,impianto!AF$23:AF$194,0))</f>
        <v>0</v>
      </c>
      <c r="V33" s="434">
        <f t="array" ref="V33">SUM(IF(descrizione2=$A33,impianto!BE$23:BE$194,0))</f>
        <v>0</v>
      </c>
    </row>
    <row r="34" spans="1:256" outlineLevel="2" x14ac:dyDescent="0.2">
      <c r="A34" s="90" t="s">
        <v>995</v>
      </c>
      <c r="B34" s="84"/>
      <c r="C34" s="86">
        <f t="array" ref="C34">SUM(IF(descrizione2=$A34,impianto!N$23:N$194,0))</f>
        <v>0</v>
      </c>
      <c r="D34" s="434">
        <f t="array" ref="D34">SUM(IF(descrizione2=$A34,impianto!AM$23:AM$194,0))</f>
        <v>0</v>
      </c>
      <c r="E34" s="86">
        <f t="array" ref="E34">SUM(IF(descrizione2=$A34,impianto!P$23:P$194,0))</f>
        <v>0</v>
      </c>
      <c r="F34" s="434">
        <f t="array" ref="F34">SUM(IF(descrizione2=$A34,impianto!AO$23:AO$194,0))</f>
        <v>0</v>
      </c>
      <c r="G34" s="86">
        <f t="array" ref="G34">SUM(IF(descrizione2=$A34,impianto!R$23:R$194,0))</f>
        <v>0</v>
      </c>
      <c r="H34" s="434">
        <f t="array" ref="H34">SUM(IF(descrizione2=$A34,impianto!AQ$23:AQ$194,0))</f>
        <v>0</v>
      </c>
      <c r="I34" s="86">
        <f t="array" ref="I34">SUM(IF(descrizione2=$A34,impianto!T$23:T$194,0))</f>
        <v>0</v>
      </c>
      <c r="J34" s="434">
        <f t="array" ref="J34">SUM(IF(descrizione2=$A34,impianto!AS$23:AS$194,0))</f>
        <v>0</v>
      </c>
      <c r="K34" s="86">
        <f t="array" ref="K34">SUM(IF(descrizione2=$A34,impianto!V$23:V$194,0))</f>
        <v>0</v>
      </c>
      <c r="L34" s="434">
        <f t="array" ref="L34">SUM(IF(descrizione2=$A34,impianto!AU$23:AU$194,0))</f>
        <v>0</v>
      </c>
      <c r="M34" s="86">
        <f t="array" ref="M34">SUM(IF(descrizione2=$A34,impianto!X$23:X$194,0))</f>
        <v>0</v>
      </c>
      <c r="N34" s="434">
        <f t="array" ref="N34">SUM(IF(descrizione2=$A34,impianto!AW$23:AW$194,0))</f>
        <v>0</v>
      </c>
      <c r="O34" s="86">
        <f t="array" ref="O34">SUM(IF(descrizione2=$A34,impianto!Z$23:Z$194,0))</f>
        <v>0</v>
      </c>
      <c r="P34" s="434">
        <f t="array" ref="P34">SUM(IF(descrizione2=$A34,impianto!AY$23:AY$194,0))</f>
        <v>0</v>
      </c>
      <c r="Q34" s="86">
        <f t="array" ref="Q34">SUM(IF(descrizione2=$A34,impianto!AB$23:AB$194,0))</f>
        <v>0</v>
      </c>
      <c r="R34" s="434">
        <f t="array" ref="R34">SUM(IF(descrizione2=$A34,impianto!BA$23:BA$194,0))</f>
        <v>0</v>
      </c>
      <c r="S34" s="86">
        <f t="array" ref="S34">SUM(IF(descrizione2=$A34,impianto!AD$23:AD$194,0))</f>
        <v>0</v>
      </c>
      <c r="T34" s="434">
        <f t="array" ref="T34">SUM(IF(descrizione2=$A34,impianto!BC$23:BC$194,0))</f>
        <v>0</v>
      </c>
      <c r="U34" s="86">
        <f t="array" ref="U34">SUM(IF(descrizione2=$A34,impianto!AF$23:AF$194,0))</f>
        <v>0</v>
      </c>
      <c r="V34" s="434">
        <f t="array" ref="V34">SUM(IF(descrizione2=$A34,impianto!BE$23:BE$194,0))</f>
        <v>0</v>
      </c>
    </row>
    <row r="35" spans="1:256" outlineLevel="2" x14ac:dyDescent="0.2">
      <c r="A35" s="90" t="s">
        <v>650</v>
      </c>
      <c r="B35" s="84"/>
      <c r="C35" s="86">
        <f t="array" ref="C35">SUM(IF(descrizione2=$A35,impianto!N$23:N$194,0))</f>
        <v>0</v>
      </c>
      <c r="D35" s="434">
        <f t="array" ref="D35">SUM(IF(descrizione2=$A35,impianto!AM$23:AM$194,0))</f>
        <v>0</v>
      </c>
      <c r="E35" s="86">
        <f t="array" ref="E35">SUM(IF(descrizione2=$A35,impianto!P$23:P$194,0))</f>
        <v>0</v>
      </c>
      <c r="F35" s="434">
        <f t="array" ref="F35">SUM(IF(descrizione2=$A35,impianto!AO$23:AO$194,0))</f>
        <v>0</v>
      </c>
      <c r="G35" s="86">
        <f t="array" ref="G35">SUM(IF(descrizione2=$A35,impianto!R$23:R$194,0))</f>
        <v>0</v>
      </c>
      <c r="H35" s="434">
        <f t="array" ref="H35">SUM(IF(descrizione2=$A35,impianto!AQ$23:AQ$194,0))</f>
        <v>0</v>
      </c>
      <c r="I35" s="86">
        <f t="array" ref="I35">SUM(IF(descrizione2=$A35,impianto!T$23:T$194,0))</f>
        <v>0</v>
      </c>
      <c r="J35" s="434">
        <f t="array" ref="J35">SUM(IF(descrizione2=$A35,impianto!AS$23:AS$194,0))</f>
        <v>0</v>
      </c>
      <c r="K35" s="86">
        <f t="array" ref="K35">SUM(IF(descrizione2=$A35,impianto!V$23:V$194,0))</f>
        <v>0</v>
      </c>
      <c r="L35" s="434">
        <f t="array" ref="L35">SUM(IF(descrizione2=$A35,impianto!AU$23:AU$194,0))</f>
        <v>0</v>
      </c>
      <c r="M35" s="86">
        <f t="array" ref="M35">SUM(IF(descrizione2=$A35,impianto!X$23:X$194,0))</f>
        <v>0</v>
      </c>
      <c r="N35" s="434">
        <f t="array" ref="N35">SUM(IF(descrizione2=$A35,impianto!AW$23:AW$194,0))</f>
        <v>0</v>
      </c>
      <c r="O35" s="86">
        <f t="array" ref="O35">SUM(IF(descrizione2=$A35,impianto!Z$23:Z$194,0))</f>
        <v>0</v>
      </c>
      <c r="P35" s="434">
        <f t="array" ref="P35">SUM(IF(descrizione2=$A35,impianto!AY$23:AY$194,0))</f>
        <v>0</v>
      </c>
      <c r="Q35" s="86">
        <f t="array" ref="Q35">SUM(IF(descrizione2=$A35,impianto!AB$23:AB$194,0))</f>
        <v>0</v>
      </c>
      <c r="R35" s="434">
        <f t="array" ref="R35">SUM(IF(descrizione2=$A35,impianto!BA$23:BA$194,0))</f>
        <v>0</v>
      </c>
      <c r="S35" s="86">
        <f t="array" ref="S35">SUM(IF(descrizione2=$A35,impianto!AD$23:AD$194,0))</f>
        <v>0</v>
      </c>
      <c r="T35" s="434">
        <f t="array" ref="T35">SUM(IF(descrizione2=$A35,impianto!BC$23:BC$194,0))</f>
        <v>0</v>
      </c>
      <c r="U35" s="86">
        <f t="array" ref="U35">SUM(IF(descrizione2=$A35,impianto!AF$23:AF$194,0))</f>
        <v>0</v>
      </c>
      <c r="V35" s="434">
        <f t="array" ref="V35">SUM(IF(descrizione2=$A35,impianto!BE$23:BE$194,0))</f>
        <v>0</v>
      </c>
    </row>
    <row r="36" spans="1:256" outlineLevel="2" x14ac:dyDescent="0.2">
      <c r="A36" s="90" t="s">
        <v>651</v>
      </c>
      <c r="B36" s="84"/>
      <c r="C36" s="86">
        <f t="array" ref="C36">SUM(IF(descrizione2=$A36,impianto!N$23:N$194,0))</f>
        <v>0</v>
      </c>
      <c r="D36" s="434">
        <f t="array" ref="D36">SUM(IF(descrizione2=$A36,impianto!AM$23:AM$194,0))</f>
        <v>0</v>
      </c>
      <c r="E36" s="86">
        <f t="array" ref="E36">SUM(IF(descrizione2=$A36,impianto!P$23:P$194,0))</f>
        <v>0</v>
      </c>
      <c r="F36" s="434">
        <f t="array" ref="F36">SUM(IF(descrizione2=$A36,impianto!AO$23:AO$194,0))</f>
        <v>0</v>
      </c>
      <c r="G36" s="86">
        <f t="array" ref="G36">SUM(IF(descrizione2=$A36,impianto!R$23:R$194,0))</f>
        <v>0</v>
      </c>
      <c r="H36" s="434">
        <f t="array" ref="H36">SUM(IF(descrizione2=$A36,impianto!AQ$23:AQ$194,0))</f>
        <v>0</v>
      </c>
      <c r="I36" s="86">
        <f t="array" ref="I36">SUM(IF(descrizione2=$A36,impianto!T$23:T$194,0))</f>
        <v>0</v>
      </c>
      <c r="J36" s="434">
        <f t="array" ref="J36">SUM(IF(descrizione2=$A36,impianto!AS$23:AS$194,0))</f>
        <v>0</v>
      </c>
      <c r="K36" s="86">
        <f t="array" ref="K36">SUM(IF(descrizione2=$A36,impianto!V$23:V$194,0))</f>
        <v>0</v>
      </c>
      <c r="L36" s="434">
        <f t="array" ref="L36">SUM(IF(descrizione2=$A36,impianto!AU$23:AU$194,0))</f>
        <v>0</v>
      </c>
      <c r="M36" s="86">
        <f t="array" ref="M36">SUM(IF(descrizione2=$A36,impianto!X$23:X$194,0))</f>
        <v>0</v>
      </c>
      <c r="N36" s="434">
        <f t="array" ref="N36">SUM(IF(descrizione2=$A36,impianto!AW$23:AW$194,0))</f>
        <v>0</v>
      </c>
      <c r="O36" s="86">
        <f t="array" ref="O36">SUM(IF(descrizione2=$A36,impianto!Z$23:Z$194,0))</f>
        <v>0</v>
      </c>
      <c r="P36" s="434">
        <f t="array" ref="P36">SUM(IF(descrizione2=$A36,impianto!AY$23:AY$194,0))</f>
        <v>0</v>
      </c>
      <c r="Q36" s="86">
        <f t="array" ref="Q36">SUM(IF(descrizione2=$A36,impianto!AB$23:AB$194,0))</f>
        <v>0</v>
      </c>
      <c r="R36" s="434">
        <f t="array" ref="R36">SUM(IF(descrizione2=$A36,impianto!BA$23:BA$194,0))</f>
        <v>0</v>
      </c>
      <c r="S36" s="86">
        <f t="array" ref="S36">SUM(IF(descrizione2=$A36,impianto!AD$23:AD$194,0))</f>
        <v>0</v>
      </c>
      <c r="T36" s="434">
        <f t="array" ref="T36">SUM(IF(descrizione2=$A36,impianto!BC$23:BC$194,0))</f>
        <v>0</v>
      </c>
      <c r="U36" s="86">
        <f t="array" ref="U36">SUM(IF(descrizione2=$A36,impianto!AF$23:AF$194,0))</f>
        <v>0</v>
      </c>
      <c r="V36" s="434">
        <f t="array" ref="V36">SUM(IF(descrizione2=$A36,impianto!BE$23:BE$194,0))</f>
        <v>0</v>
      </c>
    </row>
    <row r="37" spans="1:256" outlineLevel="2" x14ac:dyDescent="0.2">
      <c r="A37" s="90" t="s">
        <v>2340</v>
      </c>
      <c r="B37" s="84"/>
      <c r="C37" s="86">
        <f t="array" ref="C37">SUM(IF(descrizione2=$A37,impianto!N$23:N$194,0))</f>
        <v>0</v>
      </c>
      <c r="D37" s="434">
        <f t="array" ref="D37">SUM(IF(descrizione2=$A37,impianto!AM$23:AM$194,0))</f>
        <v>0</v>
      </c>
      <c r="E37" s="86">
        <f t="array" ref="E37">SUM(IF(descrizione2=$A37,impianto!P$23:P$194,0))</f>
        <v>0</v>
      </c>
      <c r="F37" s="434">
        <f t="array" ref="F37">SUM(IF(descrizione2=$A37,impianto!AO$23:AO$194,0))</f>
        <v>0</v>
      </c>
      <c r="G37" s="86">
        <f t="array" ref="G37">SUM(IF(descrizione2=$A37,impianto!R$23:R$194,0))</f>
        <v>0</v>
      </c>
      <c r="H37" s="434">
        <f t="array" ref="H37">SUM(IF(descrizione2=$A37,impianto!AQ$23:AQ$194,0))</f>
        <v>0</v>
      </c>
      <c r="I37" s="86">
        <f t="array" ref="I37">SUM(IF(descrizione2=$A37,impianto!T$23:T$194,0))</f>
        <v>0</v>
      </c>
      <c r="J37" s="434">
        <f t="array" ref="J37">SUM(IF(descrizione2=$A37,impianto!AS$23:AS$194,0))</f>
        <v>0</v>
      </c>
      <c r="K37" s="86">
        <f t="array" ref="K37">SUM(IF(descrizione2=$A37,impianto!V$23:V$194,0))</f>
        <v>0</v>
      </c>
      <c r="L37" s="434">
        <f t="array" ref="L37">SUM(IF(descrizione2=$A37,impianto!AU$23:AU$194,0))</f>
        <v>0</v>
      </c>
      <c r="M37" s="86">
        <f t="array" ref="M37">SUM(IF(descrizione2=$A37,impianto!X$23:X$194,0))</f>
        <v>0</v>
      </c>
      <c r="N37" s="434">
        <f t="array" ref="N37">SUM(IF(descrizione2=$A37,impianto!AW$23:AW$194,0))</f>
        <v>0</v>
      </c>
      <c r="O37" s="86">
        <f t="array" ref="O37">SUM(IF(descrizione2=$A37,impianto!Z$23:Z$194,0))</f>
        <v>0</v>
      </c>
      <c r="P37" s="434">
        <f t="array" ref="P37">SUM(IF(descrizione2=$A37,impianto!AY$23:AY$194,0))</f>
        <v>0</v>
      </c>
      <c r="Q37" s="86">
        <f t="array" ref="Q37">SUM(IF(descrizione2=$A37,impianto!AB$23:AB$194,0))</f>
        <v>0</v>
      </c>
      <c r="R37" s="434">
        <f t="array" ref="R37">SUM(IF(descrizione2=$A37,impianto!BA$23:BA$194,0))</f>
        <v>0</v>
      </c>
      <c r="S37" s="86">
        <f t="array" ref="S37">SUM(IF(descrizione2=$A37,impianto!AD$23:AD$194,0))</f>
        <v>0</v>
      </c>
      <c r="T37" s="434">
        <f t="array" ref="T37">SUM(IF(descrizione2=$A37,impianto!BC$23:BC$194,0))</f>
        <v>0</v>
      </c>
      <c r="U37" s="86">
        <f t="array" ref="U37">SUM(IF(descrizione2=$A37,impianto!AF$23:AF$194,0))</f>
        <v>0</v>
      </c>
      <c r="V37" s="434">
        <f t="array" ref="V37">SUM(IF(descrizione2=$A37,impianto!BE$23:BE$194,0))</f>
        <v>0</v>
      </c>
    </row>
    <row r="38" spans="1:256" outlineLevel="2" x14ac:dyDescent="0.2">
      <c r="A38" s="90" t="s">
        <v>656</v>
      </c>
      <c r="B38" s="84"/>
      <c r="C38" s="86">
        <f t="array" ref="C38">SUM(IF(descrizione2=$A38,impianto!N$23:N$194,0))</f>
        <v>0</v>
      </c>
      <c r="D38" s="434">
        <f t="array" ref="D38">SUM(IF(descrizione2=$A38,impianto!AM$23:AM$194,0))</f>
        <v>0</v>
      </c>
      <c r="E38" s="86">
        <f t="array" ref="E38">SUM(IF(descrizione2=$A38,impianto!P$23:P$194,0))</f>
        <v>0</v>
      </c>
      <c r="F38" s="434">
        <f t="array" ref="F38">SUM(IF(descrizione2=$A38,impianto!AO$23:AO$194,0))</f>
        <v>0</v>
      </c>
      <c r="G38" s="86">
        <f t="array" ref="G38">SUM(IF(descrizione2=$A38,impianto!R$23:R$194,0))</f>
        <v>0</v>
      </c>
      <c r="H38" s="434">
        <f t="array" ref="H38">SUM(IF(descrizione2=$A38,impianto!AQ$23:AQ$194,0))</f>
        <v>0</v>
      </c>
      <c r="I38" s="86">
        <f t="array" ref="I38">SUM(IF(descrizione2=$A38,impianto!T$23:T$194,0))</f>
        <v>0</v>
      </c>
      <c r="J38" s="434">
        <f t="array" ref="J38">SUM(IF(descrizione2=$A38,impianto!AS$23:AS$194,0))</f>
        <v>0</v>
      </c>
      <c r="K38" s="86">
        <f t="array" ref="K38">SUM(IF(descrizione2=$A38,impianto!V$23:V$194,0))</f>
        <v>0</v>
      </c>
      <c r="L38" s="434">
        <f t="array" ref="L38">SUM(IF(descrizione2=$A38,impianto!AU$23:AU$194,0))</f>
        <v>0</v>
      </c>
      <c r="M38" s="86">
        <f t="array" ref="M38">SUM(IF(descrizione2=$A38,impianto!X$23:X$194,0))</f>
        <v>0</v>
      </c>
      <c r="N38" s="434">
        <f t="array" ref="N38">SUM(IF(descrizione2=$A38,impianto!AW$23:AW$194,0))</f>
        <v>0</v>
      </c>
      <c r="O38" s="86">
        <f t="array" ref="O38">SUM(IF(descrizione2=$A38,impianto!Z$23:Z$194,0))</f>
        <v>0</v>
      </c>
      <c r="P38" s="434">
        <f t="array" ref="P38">SUM(IF(descrizione2=$A38,impianto!AY$23:AY$194,0))</f>
        <v>0</v>
      </c>
      <c r="Q38" s="86">
        <f t="array" ref="Q38">SUM(IF(descrizione2=$A38,impianto!AB$23:AB$194,0))</f>
        <v>0</v>
      </c>
      <c r="R38" s="434">
        <f t="array" ref="R38">SUM(IF(descrizione2=$A38,impianto!BA$23:BA$194,0))</f>
        <v>0</v>
      </c>
      <c r="S38" s="86">
        <f t="array" ref="S38">SUM(IF(descrizione2=$A38,impianto!AD$23:AD$194,0))</f>
        <v>0</v>
      </c>
      <c r="T38" s="434">
        <f t="array" ref="T38">SUM(IF(descrizione2=$A38,impianto!BC$23:BC$194,0))</f>
        <v>0</v>
      </c>
      <c r="U38" s="86">
        <f t="array" ref="U38">SUM(IF(descrizione2=$A38,impianto!AF$23:AF$194,0))</f>
        <v>0</v>
      </c>
      <c r="V38" s="434">
        <f t="array" ref="V38">SUM(IF(descrizione2=$A38,impianto!BE$23:BE$194,0))</f>
        <v>0</v>
      </c>
    </row>
    <row r="39" spans="1:256" s="105" customFormat="1" ht="14.25" outlineLevel="1" thickBot="1" x14ac:dyDescent="0.3">
      <c r="A39" s="132" t="s">
        <v>876</v>
      </c>
      <c r="B39" s="436">
        <f>SUM(C39:V39)</f>
        <v>0</v>
      </c>
      <c r="C39" s="124"/>
      <c r="D39" s="435">
        <f>SUM(D33:D38)</f>
        <v>0</v>
      </c>
      <c r="E39" s="124"/>
      <c r="F39" s="435">
        <f>SUM(F33:F38)</f>
        <v>0</v>
      </c>
      <c r="G39" s="124"/>
      <c r="H39" s="435">
        <f>SUM(H33:H38)</f>
        <v>0</v>
      </c>
      <c r="I39" s="124"/>
      <c r="J39" s="435">
        <f>SUM(J33:J38)</f>
        <v>0</v>
      </c>
      <c r="K39" s="124"/>
      <c r="L39" s="435">
        <f>SUM(L33:L38)</f>
        <v>0</v>
      </c>
      <c r="M39" s="124"/>
      <c r="N39" s="435">
        <f>SUM(N33:N38)</f>
        <v>0</v>
      </c>
      <c r="O39" s="124"/>
      <c r="P39" s="435">
        <f>SUM(P33:P38)</f>
        <v>0</v>
      </c>
      <c r="Q39" s="124"/>
      <c r="R39" s="435">
        <f>SUM(R33:R38)</f>
        <v>0</v>
      </c>
      <c r="S39" s="124"/>
      <c r="T39" s="435">
        <f>SUM(T33:T38)</f>
        <v>0</v>
      </c>
      <c r="U39" s="124"/>
      <c r="V39" s="435">
        <f>SUM(V33:V38)</f>
        <v>0</v>
      </c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  <c r="BK39" s="102"/>
      <c r="BL39" s="102"/>
      <c r="BM39" s="102"/>
      <c r="BN39" s="102"/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BY39" s="102"/>
      <c r="BZ39" s="102"/>
      <c r="CA39" s="102"/>
      <c r="CB39" s="102"/>
      <c r="CC39" s="102"/>
      <c r="CD39" s="102"/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02"/>
      <c r="CU39" s="102"/>
      <c r="CV39" s="102"/>
      <c r="CW39" s="102"/>
      <c r="CX39" s="102"/>
      <c r="CY39" s="102"/>
      <c r="CZ39" s="102"/>
      <c r="DA39" s="102"/>
      <c r="DB39" s="102"/>
      <c r="DC39" s="102"/>
      <c r="DD39" s="102"/>
      <c r="DE39" s="102"/>
      <c r="DF39" s="102"/>
      <c r="DG39" s="102"/>
      <c r="DH39" s="102"/>
      <c r="DI39" s="102"/>
      <c r="DJ39" s="102"/>
      <c r="DK39" s="102"/>
      <c r="DL39" s="102"/>
      <c r="DM39" s="102"/>
      <c r="DN39" s="102"/>
      <c r="DO39" s="102"/>
      <c r="DP39" s="102"/>
      <c r="DQ39" s="102"/>
      <c r="DR39" s="102"/>
      <c r="DS39" s="102"/>
      <c r="DT39" s="102"/>
      <c r="DU39" s="102"/>
      <c r="DV39" s="102"/>
      <c r="DW39" s="102"/>
      <c r="DX39" s="102"/>
      <c r="DY39" s="102"/>
      <c r="DZ39" s="102"/>
      <c r="EA39" s="102"/>
      <c r="EB39" s="102"/>
      <c r="EC39" s="102"/>
      <c r="ED39" s="102"/>
      <c r="EE39" s="102"/>
      <c r="EF39" s="102"/>
      <c r="EG39" s="102"/>
      <c r="EH39" s="102"/>
      <c r="EI39" s="102"/>
      <c r="EJ39" s="102"/>
      <c r="EK39" s="102"/>
      <c r="EL39" s="102"/>
      <c r="EM39" s="102"/>
      <c r="EN39" s="102"/>
      <c r="EO39" s="102"/>
      <c r="EP39" s="102"/>
      <c r="EQ39" s="102"/>
      <c r="ER39" s="102"/>
      <c r="ES39" s="102"/>
      <c r="ET39" s="102"/>
      <c r="EU39" s="102"/>
      <c r="EV39" s="102"/>
      <c r="EW39" s="102"/>
      <c r="EX39" s="102"/>
      <c r="EY39" s="102"/>
      <c r="EZ39" s="102"/>
      <c r="FA39" s="102"/>
      <c r="FB39" s="102"/>
      <c r="FC39" s="102"/>
      <c r="FD39" s="102"/>
      <c r="FE39" s="102"/>
      <c r="FF39" s="102"/>
      <c r="FG39" s="102"/>
      <c r="FH39" s="102"/>
      <c r="FI39" s="102"/>
      <c r="FJ39" s="102"/>
      <c r="FK39" s="102"/>
      <c r="FL39" s="102"/>
      <c r="FM39" s="102"/>
      <c r="FN39" s="102"/>
      <c r="FO39" s="102"/>
      <c r="FP39" s="102"/>
      <c r="FQ39" s="102"/>
      <c r="FR39" s="102"/>
      <c r="FS39" s="102"/>
      <c r="FT39" s="102"/>
      <c r="FU39" s="102"/>
      <c r="FV39" s="102"/>
      <c r="FW39" s="102"/>
      <c r="FX39" s="102"/>
      <c r="FY39" s="102"/>
      <c r="FZ39" s="102"/>
      <c r="GA39" s="102"/>
      <c r="GB39" s="102"/>
      <c r="GC39" s="102"/>
      <c r="GD39" s="102"/>
      <c r="GE39" s="102"/>
      <c r="GF39" s="102"/>
      <c r="GG39" s="102"/>
      <c r="GH39" s="102"/>
      <c r="GI39" s="102"/>
      <c r="GJ39" s="102"/>
      <c r="GK39" s="102"/>
      <c r="GL39" s="102"/>
      <c r="GM39" s="102"/>
      <c r="GN39" s="102"/>
      <c r="GO39" s="102"/>
      <c r="GP39" s="102"/>
      <c r="GQ39" s="102"/>
      <c r="GR39" s="102"/>
      <c r="GS39" s="102"/>
      <c r="GT39" s="102"/>
      <c r="GU39" s="102"/>
      <c r="GV39" s="102"/>
      <c r="GW39" s="102"/>
      <c r="GX39" s="102"/>
      <c r="GY39" s="102"/>
      <c r="GZ39" s="102"/>
      <c r="HA39" s="102"/>
      <c r="HB39" s="102"/>
      <c r="HC39" s="102"/>
      <c r="HD39" s="102"/>
      <c r="HE39" s="102"/>
      <c r="HF39" s="102"/>
      <c r="HG39" s="102"/>
      <c r="HH39" s="102"/>
      <c r="HI39" s="102"/>
      <c r="HJ39" s="102"/>
      <c r="HK39" s="102"/>
      <c r="HL39" s="102"/>
      <c r="HM39" s="102"/>
      <c r="HN39" s="102"/>
      <c r="HO39" s="102"/>
      <c r="HP39" s="102"/>
      <c r="HQ39" s="102"/>
      <c r="HR39" s="102"/>
      <c r="HS39" s="102"/>
      <c r="HT39" s="102"/>
      <c r="HU39" s="102"/>
      <c r="HV39" s="102"/>
      <c r="HW39" s="102"/>
      <c r="HX39" s="102"/>
      <c r="HY39" s="102"/>
      <c r="HZ39" s="102"/>
      <c r="IA39" s="102"/>
      <c r="IB39" s="102"/>
      <c r="IC39" s="102"/>
      <c r="ID39" s="102"/>
      <c r="IE39" s="102"/>
      <c r="IF39" s="102"/>
      <c r="IG39" s="102"/>
      <c r="IH39" s="102"/>
      <c r="II39" s="102"/>
      <c r="IJ39" s="102"/>
      <c r="IK39" s="102"/>
      <c r="IL39" s="102"/>
      <c r="IM39" s="102"/>
      <c r="IN39" s="102"/>
      <c r="IO39" s="102"/>
      <c r="IP39" s="102"/>
      <c r="IQ39" s="102"/>
      <c r="IR39" s="102"/>
      <c r="IS39" s="102"/>
      <c r="IT39" s="102"/>
      <c r="IU39" s="102"/>
      <c r="IV39" s="102"/>
    </row>
    <row r="40" spans="1:256" outlineLevel="1" x14ac:dyDescent="0.2">
      <c r="A40" s="133"/>
      <c r="B40" s="134"/>
      <c r="C40" s="134"/>
      <c r="D40" s="135"/>
      <c r="E40" s="136"/>
      <c r="F40" s="137"/>
      <c r="G40" s="134"/>
      <c r="H40" s="135"/>
      <c r="I40" s="134"/>
      <c r="J40" s="135"/>
      <c r="K40" s="134"/>
      <c r="L40" s="135"/>
      <c r="M40" s="134"/>
      <c r="N40" s="135"/>
      <c r="O40" s="134"/>
      <c r="P40" s="135"/>
      <c r="Q40" s="134"/>
      <c r="R40" s="135"/>
      <c r="S40" s="134"/>
      <c r="T40" s="135"/>
      <c r="U40" s="134"/>
      <c r="V40" s="138"/>
    </row>
    <row r="41" spans="1:256" s="106" customFormat="1" ht="13.5" outlineLevel="2" x14ac:dyDescent="0.25">
      <c r="A41" s="408" t="str">
        <f>"1-"&amp;'Elenchi controllo_Parametri'!B63</f>
        <v>1-peso SIWAREX</v>
      </c>
      <c r="B41" s="703"/>
      <c r="C41" s="671">
        <f t="array" ref="C41">SUM(IF(descrizione2_filtrata=$A41,impianto!N$23:N$194,0))</f>
        <v>0</v>
      </c>
      <c r="D41" s="692">
        <f t="array" ref="D41">SUM(IF(descrizione2_filtrata=$A41,impianto!AM$23:AM$194,0))</f>
        <v>0</v>
      </c>
      <c r="E41" s="671">
        <f t="array" ref="E41">SUM(IF(descrizione2_filtrata=$A41,impianto!P$23:P$194,0))</f>
        <v>0</v>
      </c>
      <c r="F41" s="692">
        <f t="array" ref="F41">SUM(IF(descrizione2_filtrata=$A41,impianto!AO$23:AO$194,0))</f>
        <v>0</v>
      </c>
      <c r="G41" s="671">
        <f t="array" ref="G41">SUM(IF(descrizione2_filtrata=$A41,impianto!R$23:R$194,0))</f>
        <v>0</v>
      </c>
      <c r="H41" s="692">
        <f t="array" ref="H41">SUM(IF(descrizione2_filtrata=$A41,impianto!AQ$23:AQ$194,0))</f>
        <v>0</v>
      </c>
      <c r="I41" s="671">
        <f t="array" ref="I41">SUM(IF(descrizione2_filtrata=$A41,impianto!T$23:T$194,0))</f>
        <v>0</v>
      </c>
      <c r="J41" s="692">
        <f t="array" ref="J41">SUM(IF(descrizione2_filtrata=$A41,impianto!AS$23:AS$194,0))</f>
        <v>0</v>
      </c>
      <c r="K41" s="671">
        <f t="array" ref="K41">SUM(IF(descrizione2_filtrata=$A41,impianto!V$23:V$194,0))</f>
        <v>0</v>
      </c>
      <c r="L41" s="692">
        <f t="array" ref="L41">SUM(IF(descrizione2_filtrata=$A41,impianto!AU$23:AU$194,0))</f>
        <v>0</v>
      </c>
      <c r="M41" s="671">
        <f t="array" ref="M41">SUM(IF(descrizione2_filtrata=$A41,impianto!X$23:X$194,0))</f>
        <v>0</v>
      </c>
      <c r="N41" s="692">
        <f t="array" ref="N41">SUM(IF(descrizione2_filtrata=$A41,impianto!AW$23:AW$194,0))</f>
        <v>0</v>
      </c>
      <c r="O41" s="671">
        <f t="array" ref="O41">SUM(IF(descrizione2_filtrata=$A41,impianto!Z$23:Z$194,0))</f>
        <v>0</v>
      </c>
      <c r="P41" s="692">
        <f t="array" ref="P41">SUM(IF(descrizione2_filtrata=$A41,impianto!AY$23:AY$194,0))</f>
        <v>0</v>
      </c>
      <c r="Q41" s="671">
        <f t="array" ref="Q41">SUM(IF(descrizione2_filtrata=$A41,impianto!AB$23:AB$194,0))</f>
        <v>0</v>
      </c>
      <c r="R41" s="692">
        <f t="array" ref="R41">SUM(IF(descrizione2_filtrata=$A41,impianto!BA$23:BA$194,0))</f>
        <v>0</v>
      </c>
      <c r="S41" s="671">
        <f t="array" ref="S41">SUM(IF(descrizione2_filtrata=$A41,impianto!AD$23:AD$194,0))</f>
        <v>0</v>
      </c>
      <c r="T41" s="692">
        <f t="array" ref="T41">SUM(IF(descrizione2_filtrata=$A41,impianto!BC$23:BC$194,0))</f>
        <v>0</v>
      </c>
      <c r="U41" s="671">
        <f t="array" ref="U41">SUM(IF(descrizione2_filtrata=$A41,impianto!AF$23:AF$194,0))</f>
        <v>0</v>
      </c>
      <c r="V41" s="692">
        <f t="array" ref="V41">SUM(IF(descrizione2_filtrata=$A41,impianto!BE$23:BE$194,0))</f>
        <v>0</v>
      </c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2"/>
      <c r="CS41" s="102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2"/>
      <c r="GH41" s="102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</row>
    <row r="42" spans="1:256" s="106" customFormat="1" ht="13.5" outlineLevel="2" x14ac:dyDescent="0.25">
      <c r="A42" s="408" t="str">
        <f>"1-"&amp;'Elenchi controllo_Parametri'!B64</f>
        <v>1-peso wp104 rete PROFIBUS</v>
      </c>
      <c r="B42" s="703"/>
      <c r="C42" s="671">
        <f t="array" ref="C42">SUM(IF(descrizione2_filtrata=$A42,impianto!N$23:N$194,0))</f>
        <v>0</v>
      </c>
      <c r="D42" s="692">
        <f t="array" ref="D42">SUM(IF(descrizione2_filtrata=$A42,impianto!AM$23:AM$194,0))</f>
        <v>0</v>
      </c>
      <c r="E42" s="671">
        <f t="array" ref="E42">SUM(IF(descrizione2_filtrata=$A42,impianto!P$23:P$194,0))</f>
        <v>0</v>
      </c>
      <c r="F42" s="692">
        <f t="array" ref="F42">SUM(IF(descrizione2_filtrata=$A42,impianto!AO$23:AO$194,0))</f>
        <v>0</v>
      </c>
      <c r="G42" s="671">
        <f t="array" ref="G42">SUM(IF(descrizione2_filtrata=$A42,impianto!R$23:R$194,0))</f>
        <v>0</v>
      </c>
      <c r="H42" s="692">
        <f t="array" ref="H42">SUM(IF(descrizione2_filtrata=$A42,impianto!AQ$23:AQ$194,0))</f>
        <v>0</v>
      </c>
      <c r="I42" s="671">
        <f t="array" ref="I42">SUM(IF(descrizione2_filtrata=$A42,impianto!T$23:T$194,0))</f>
        <v>0</v>
      </c>
      <c r="J42" s="692">
        <f t="array" ref="J42">SUM(IF(descrizione2_filtrata=$A42,impianto!AS$23:AS$194,0))</f>
        <v>0</v>
      </c>
      <c r="K42" s="671">
        <f t="array" ref="K42">SUM(IF(descrizione2_filtrata=$A42,impianto!V$23:V$194,0))</f>
        <v>0</v>
      </c>
      <c r="L42" s="692">
        <f t="array" ref="L42">SUM(IF(descrizione2_filtrata=$A42,impianto!AU$23:AU$194,0))</f>
        <v>0</v>
      </c>
      <c r="M42" s="671">
        <f t="array" ref="M42">SUM(IF(descrizione2_filtrata=$A42,impianto!X$23:X$194,0))</f>
        <v>0</v>
      </c>
      <c r="N42" s="692">
        <f t="array" ref="N42">SUM(IF(descrizione2_filtrata=$A42,impianto!AW$23:AW$194,0))</f>
        <v>0</v>
      </c>
      <c r="O42" s="671">
        <f t="array" ref="O42">SUM(IF(descrizione2_filtrata=$A42,impianto!Z$23:Z$194,0))</f>
        <v>0</v>
      </c>
      <c r="P42" s="692">
        <f t="array" ref="P42">SUM(IF(descrizione2_filtrata=$A42,impianto!AY$23:AY$194,0))</f>
        <v>0</v>
      </c>
      <c r="Q42" s="671">
        <f t="array" ref="Q42">SUM(IF(descrizione2_filtrata=$A42,impianto!AB$23:AB$194,0))</f>
        <v>0</v>
      </c>
      <c r="R42" s="692">
        <f t="array" ref="R42">SUM(IF(descrizione2_filtrata=$A42,impianto!BA$23:BA$194,0))</f>
        <v>0</v>
      </c>
      <c r="S42" s="671">
        <f t="array" ref="S42">SUM(IF(descrizione2_filtrata=$A42,impianto!AD$23:AD$194,0))</f>
        <v>0</v>
      </c>
      <c r="T42" s="692">
        <f t="array" ref="T42">SUM(IF(descrizione2_filtrata=$A42,impianto!BC$23:BC$194,0))</f>
        <v>0</v>
      </c>
      <c r="U42" s="671">
        <f t="array" ref="U42">SUM(IF(descrizione2_filtrata=$A42,impianto!AF$23:AF$194,0))</f>
        <v>0</v>
      </c>
      <c r="V42" s="692">
        <f t="array" ref="V42">SUM(IF(descrizione2_filtrata=$A42,impianto!BE$23:BE$194,0))</f>
        <v>0</v>
      </c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02"/>
      <c r="BZ42" s="102"/>
      <c r="CA42" s="102"/>
      <c r="CB42" s="102"/>
      <c r="CC42" s="102"/>
      <c r="CD42" s="102"/>
      <c r="CE42" s="102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2"/>
      <c r="CQ42" s="102"/>
      <c r="CR42" s="102"/>
      <c r="CS42" s="102"/>
      <c r="CT42" s="102"/>
      <c r="CU42" s="102"/>
      <c r="CV42" s="102"/>
      <c r="CW42" s="102"/>
      <c r="CX42" s="102"/>
      <c r="CY42" s="102"/>
      <c r="CZ42" s="102"/>
      <c r="DA42" s="102"/>
      <c r="DB42" s="102"/>
      <c r="DC42" s="102"/>
      <c r="DD42" s="102"/>
      <c r="DE42" s="102"/>
      <c r="DF42" s="102"/>
      <c r="DG42" s="102"/>
      <c r="DH42" s="102"/>
      <c r="DI42" s="102"/>
      <c r="DJ42" s="102"/>
      <c r="DK42" s="102"/>
      <c r="DL42" s="102"/>
      <c r="DM42" s="102"/>
      <c r="DN42" s="102"/>
      <c r="DO42" s="102"/>
      <c r="DP42" s="102"/>
      <c r="DQ42" s="102"/>
      <c r="DR42" s="102"/>
      <c r="DS42" s="102"/>
      <c r="DT42" s="102"/>
      <c r="DU42" s="102"/>
      <c r="DV42" s="102"/>
      <c r="DW42" s="102"/>
      <c r="DX42" s="102"/>
      <c r="DY42" s="102"/>
      <c r="DZ42" s="102"/>
      <c r="EA42" s="102"/>
      <c r="EB42" s="102"/>
      <c r="EC42" s="102"/>
      <c r="ED42" s="102"/>
      <c r="EE42" s="102"/>
      <c r="EF42" s="102"/>
      <c r="EG42" s="102"/>
      <c r="EH42" s="102"/>
      <c r="EI42" s="102"/>
      <c r="EJ42" s="102"/>
      <c r="EK42" s="102"/>
      <c r="EL42" s="102"/>
      <c r="EM42" s="102"/>
      <c r="EN42" s="102"/>
      <c r="EO42" s="102"/>
      <c r="EP42" s="102"/>
      <c r="EQ42" s="102"/>
      <c r="ER42" s="102"/>
      <c r="ES42" s="102"/>
      <c r="ET42" s="102"/>
      <c r="EU42" s="102"/>
      <c r="EV42" s="102"/>
      <c r="EW42" s="102"/>
      <c r="EX42" s="102"/>
      <c r="EY42" s="102"/>
      <c r="EZ42" s="102"/>
      <c r="FA42" s="102"/>
      <c r="FB42" s="102"/>
      <c r="FC42" s="102"/>
      <c r="FD42" s="102"/>
      <c r="FE42" s="102"/>
      <c r="FF42" s="102"/>
      <c r="FG42" s="102"/>
      <c r="FH42" s="102"/>
      <c r="FI42" s="102"/>
      <c r="FJ42" s="102"/>
      <c r="FK42" s="102"/>
      <c r="FL42" s="102"/>
      <c r="FM42" s="102"/>
      <c r="FN42" s="102"/>
      <c r="FO42" s="102"/>
      <c r="FP42" s="102"/>
      <c r="FQ42" s="102"/>
      <c r="FR42" s="102"/>
      <c r="FS42" s="102"/>
      <c r="FT42" s="102"/>
      <c r="FU42" s="102"/>
      <c r="FV42" s="102"/>
      <c r="FW42" s="102"/>
      <c r="FX42" s="102"/>
      <c r="FY42" s="102"/>
      <c r="FZ42" s="102"/>
      <c r="GA42" s="102"/>
      <c r="GB42" s="102"/>
      <c r="GC42" s="102"/>
      <c r="GD42" s="102"/>
      <c r="GE42" s="102"/>
      <c r="GF42" s="102"/>
      <c r="GG42" s="102"/>
      <c r="GH42" s="102"/>
      <c r="GI42" s="102"/>
      <c r="GJ42" s="102"/>
      <c r="GK42" s="102"/>
      <c r="GL42" s="102"/>
      <c r="GM42" s="102"/>
      <c r="GN42" s="102"/>
      <c r="GO42" s="102"/>
      <c r="GP42" s="102"/>
      <c r="GQ42" s="102"/>
      <c r="GR42" s="102"/>
      <c r="GS42" s="102"/>
      <c r="GT42" s="102"/>
      <c r="GU42" s="102"/>
      <c r="GV42" s="102"/>
      <c r="GW42" s="102"/>
      <c r="GX42" s="102"/>
      <c r="GY42" s="102"/>
      <c r="GZ42" s="102"/>
      <c r="HA42" s="102"/>
      <c r="HB42" s="102"/>
      <c r="HC42" s="102"/>
      <c r="HD42" s="102"/>
      <c r="HE42" s="102"/>
      <c r="HF42" s="102"/>
      <c r="HG42" s="102"/>
      <c r="HH42" s="102"/>
      <c r="HI42" s="102"/>
      <c r="HJ42" s="102"/>
      <c r="HK42" s="102"/>
      <c r="HL42" s="102"/>
      <c r="HM42" s="102"/>
      <c r="HN42" s="102"/>
      <c r="HO42" s="102"/>
      <c r="HP42" s="102"/>
      <c r="HQ42" s="102"/>
      <c r="HR42" s="102"/>
      <c r="HS42" s="102"/>
      <c r="HT42" s="102"/>
      <c r="HU42" s="102"/>
      <c r="HV42" s="102"/>
      <c r="HW42" s="102"/>
      <c r="HX42" s="102"/>
      <c r="HY42" s="102"/>
      <c r="HZ42" s="102"/>
      <c r="IA42" s="102"/>
      <c r="IB42" s="102"/>
      <c r="IC42" s="102"/>
      <c r="ID42" s="102"/>
      <c r="IE42" s="102"/>
      <c r="IF42" s="102"/>
      <c r="IG42" s="102"/>
      <c r="IH42" s="102"/>
      <c r="II42" s="102"/>
      <c r="IJ42" s="102"/>
      <c r="IK42" s="102"/>
      <c r="IL42" s="102"/>
      <c r="IM42" s="102"/>
      <c r="IN42" s="102"/>
      <c r="IO42" s="102"/>
      <c r="IP42" s="102"/>
      <c r="IQ42" s="102"/>
      <c r="IR42" s="102"/>
      <c r="IS42" s="102"/>
      <c r="IT42" s="102"/>
      <c r="IU42" s="102"/>
      <c r="IV42" s="102"/>
    </row>
    <row r="43" spans="1:256" s="106" customFormat="1" ht="13.5" outlineLevel="2" x14ac:dyDescent="0.25">
      <c r="A43" s="408" t="str">
        <f>"1-"&amp;'Elenchi controllo_Parametri'!B65</f>
        <v>1-peso wp104 rete ETHERNET IP</v>
      </c>
      <c r="B43" s="703"/>
      <c r="C43" s="671">
        <f t="array" ref="C43">SUM(IF(descrizione2_filtrata=$A43,impianto!N$23:N$194,0))</f>
        <v>0</v>
      </c>
      <c r="D43" s="692">
        <f t="array" ref="D43">SUM(IF(descrizione2_filtrata=$A43,impianto!AM$23:AM$194,0))</f>
        <v>0</v>
      </c>
      <c r="E43" s="671">
        <f t="array" ref="E43">SUM(IF(descrizione2_filtrata=$A43,impianto!P$23:P$194,0))</f>
        <v>0</v>
      </c>
      <c r="F43" s="692">
        <f t="array" ref="F43">SUM(IF(descrizione2_filtrata=$A43,impianto!AO$23:AO$194,0))</f>
        <v>0</v>
      </c>
      <c r="G43" s="671">
        <f t="array" ref="G43">SUM(IF(descrizione2_filtrata=$A43,impianto!R$23:R$194,0))</f>
        <v>0</v>
      </c>
      <c r="H43" s="692">
        <f t="array" ref="H43">SUM(IF(descrizione2_filtrata=$A43,impianto!AQ$23:AQ$194,0))</f>
        <v>0</v>
      </c>
      <c r="I43" s="671">
        <f t="array" ref="I43">SUM(IF(descrizione2_filtrata=$A43,impianto!T$23:T$194,0))</f>
        <v>0</v>
      </c>
      <c r="J43" s="692">
        <f t="array" ref="J43">SUM(IF(descrizione2_filtrata=$A43,impianto!AS$23:AS$194,0))</f>
        <v>0</v>
      </c>
      <c r="K43" s="671">
        <f t="array" ref="K43">SUM(IF(descrizione2_filtrata=$A43,impianto!V$23:V$194,0))</f>
        <v>0</v>
      </c>
      <c r="L43" s="692">
        <f t="array" ref="L43">SUM(IF(descrizione2_filtrata=$A43,impianto!AU$23:AU$194,0))</f>
        <v>0</v>
      </c>
      <c r="M43" s="671">
        <f t="array" ref="M43">SUM(IF(descrizione2_filtrata=$A43,impianto!X$23:X$194,0))</f>
        <v>0</v>
      </c>
      <c r="N43" s="692">
        <f t="array" ref="N43">SUM(IF(descrizione2_filtrata=$A43,impianto!AW$23:AW$194,0))</f>
        <v>0</v>
      </c>
      <c r="O43" s="671">
        <f t="array" ref="O43">SUM(IF(descrizione2_filtrata=$A43,impianto!Z$23:Z$194,0))</f>
        <v>0</v>
      </c>
      <c r="P43" s="692">
        <f t="array" ref="P43">SUM(IF(descrizione2_filtrata=$A43,impianto!AY$23:AY$194,0))</f>
        <v>0</v>
      </c>
      <c r="Q43" s="671">
        <f t="array" ref="Q43">SUM(IF(descrizione2_filtrata=$A43,impianto!AB$23:AB$194,0))</f>
        <v>0</v>
      </c>
      <c r="R43" s="692">
        <f t="array" ref="R43">SUM(IF(descrizione2_filtrata=$A43,impianto!BA$23:BA$194,0))</f>
        <v>0</v>
      </c>
      <c r="S43" s="671">
        <f t="array" ref="S43">SUM(IF(descrizione2_filtrata=$A43,impianto!AD$23:AD$194,0))</f>
        <v>0</v>
      </c>
      <c r="T43" s="692">
        <f t="array" ref="T43">SUM(IF(descrizione2_filtrata=$A43,impianto!BC$23:BC$194,0))</f>
        <v>0</v>
      </c>
      <c r="U43" s="671">
        <f t="array" ref="U43">SUM(IF(descrizione2_filtrata=$A43,impianto!AF$23:AF$194,0))</f>
        <v>0</v>
      </c>
      <c r="V43" s="692">
        <f t="array" ref="V43">SUM(IF(descrizione2_filtrata=$A43,impianto!BE$23:BE$194,0))</f>
        <v>0</v>
      </c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02"/>
      <c r="BZ43" s="102"/>
      <c r="CA43" s="102"/>
      <c r="CB43" s="102"/>
      <c r="CC43" s="102"/>
      <c r="CD43" s="102"/>
      <c r="CE43" s="102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2"/>
      <c r="CQ43" s="102"/>
      <c r="CR43" s="102"/>
      <c r="CS43" s="102"/>
      <c r="CT43" s="102"/>
      <c r="CU43" s="102"/>
      <c r="CV43" s="102"/>
      <c r="CW43" s="102"/>
      <c r="CX43" s="102"/>
      <c r="CY43" s="102"/>
      <c r="CZ43" s="102"/>
      <c r="DA43" s="102"/>
      <c r="DB43" s="102"/>
      <c r="DC43" s="102"/>
      <c r="DD43" s="102"/>
      <c r="DE43" s="102"/>
      <c r="DF43" s="102"/>
      <c r="DG43" s="102"/>
      <c r="DH43" s="102"/>
      <c r="DI43" s="102"/>
      <c r="DJ43" s="102"/>
      <c r="DK43" s="102"/>
      <c r="DL43" s="102"/>
      <c r="DM43" s="102"/>
      <c r="DN43" s="102"/>
      <c r="DO43" s="102"/>
      <c r="DP43" s="102"/>
      <c r="DQ43" s="102"/>
      <c r="DR43" s="102"/>
      <c r="DS43" s="102"/>
      <c r="DT43" s="102"/>
      <c r="DU43" s="102"/>
      <c r="DV43" s="102"/>
      <c r="DW43" s="102"/>
      <c r="DX43" s="102"/>
      <c r="DY43" s="102"/>
      <c r="DZ43" s="102"/>
      <c r="EA43" s="102"/>
      <c r="EB43" s="102"/>
      <c r="EC43" s="102"/>
      <c r="ED43" s="102"/>
      <c r="EE43" s="102"/>
      <c r="EF43" s="102"/>
      <c r="EG43" s="102"/>
      <c r="EH43" s="102"/>
      <c r="EI43" s="102"/>
      <c r="EJ43" s="102"/>
      <c r="EK43" s="102"/>
      <c r="EL43" s="102"/>
      <c r="EM43" s="102"/>
      <c r="EN43" s="102"/>
      <c r="EO43" s="102"/>
      <c r="EP43" s="102"/>
      <c r="EQ43" s="102"/>
      <c r="ER43" s="102"/>
      <c r="ES43" s="102"/>
      <c r="ET43" s="102"/>
      <c r="EU43" s="102"/>
      <c r="EV43" s="102"/>
      <c r="EW43" s="102"/>
      <c r="EX43" s="102"/>
      <c r="EY43" s="102"/>
      <c r="EZ43" s="102"/>
      <c r="FA43" s="102"/>
      <c r="FB43" s="102"/>
      <c r="FC43" s="102"/>
      <c r="FD43" s="102"/>
      <c r="FE43" s="102"/>
      <c r="FF43" s="102"/>
      <c r="FG43" s="102"/>
      <c r="FH43" s="102"/>
      <c r="FI43" s="102"/>
      <c r="FJ43" s="102"/>
      <c r="FK43" s="102"/>
      <c r="FL43" s="102"/>
      <c r="FM43" s="102"/>
      <c r="FN43" s="102"/>
      <c r="FO43" s="102"/>
      <c r="FP43" s="102"/>
      <c r="FQ43" s="102"/>
      <c r="FR43" s="102"/>
      <c r="FS43" s="102"/>
      <c r="FT43" s="102"/>
      <c r="FU43" s="102"/>
      <c r="FV43" s="102"/>
      <c r="FW43" s="102"/>
      <c r="FX43" s="102"/>
      <c r="FY43" s="102"/>
      <c r="FZ43" s="102"/>
      <c r="GA43" s="102"/>
      <c r="GB43" s="102"/>
      <c r="GC43" s="102"/>
      <c r="GD43" s="102"/>
      <c r="GE43" s="102"/>
      <c r="GF43" s="102"/>
      <c r="GG43" s="102"/>
      <c r="GH43" s="102"/>
      <c r="GI43" s="102"/>
      <c r="GJ43" s="102"/>
      <c r="GK43" s="102"/>
      <c r="GL43" s="102"/>
      <c r="GM43" s="102"/>
      <c r="GN43" s="102"/>
      <c r="GO43" s="102"/>
      <c r="GP43" s="102"/>
      <c r="GQ43" s="102"/>
      <c r="GR43" s="102"/>
      <c r="GS43" s="102"/>
      <c r="GT43" s="102"/>
      <c r="GU43" s="102"/>
      <c r="GV43" s="102"/>
      <c r="GW43" s="102"/>
      <c r="GX43" s="102"/>
      <c r="GY43" s="102"/>
      <c r="GZ43" s="102"/>
      <c r="HA43" s="102"/>
      <c r="HB43" s="102"/>
      <c r="HC43" s="102"/>
      <c r="HD43" s="102"/>
      <c r="HE43" s="102"/>
      <c r="HF43" s="102"/>
      <c r="HG43" s="102"/>
      <c r="HH43" s="102"/>
      <c r="HI43" s="102"/>
      <c r="HJ43" s="102"/>
      <c r="HK43" s="102"/>
      <c r="HL43" s="102"/>
      <c r="HM43" s="102"/>
      <c r="HN43" s="102"/>
      <c r="HO43" s="102"/>
      <c r="HP43" s="102"/>
      <c r="HQ43" s="102"/>
      <c r="HR43" s="102"/>
      <c r="HS43" s="102"/>
      <c r="HT43" s="102"/>
      <c r="HU43" s="102"/>
      <c r="HV43" s="102"/>
      <c r="HW43" s="102"/>
      <c r="HX43" s="102"/>
      <c r="HY43" s="102"/>
      <c r="HZ43" s="102"/>
      <c r="IA43" s="102"/>
      <c r="IB43" s="102"/>
      <c r="IC43" s="102"/>
      <c r="ID43" s="102"/>
      <c r="IE43" s="102"/>
      <c r="IF43" s="102"/>
      <c r="IG43" s="102"/>
      <c r="IH43" s="102"/>
      <c r="II43" s="102"/>
      <c r="IJ43" s="102"/>
      <c r="IK43" s="102"/>
      <c r="IL43" s="102"/>
      <c r="IM43" s="102"/>
      <c r="IN43" s="102"/>
      <c r="IO43" s="102"/>
      <c r="IP43" s="102"/>
      <c r="IQ43" s="102"/>
      <c r="IR43" s="102"/>
      <c r="IS43" s="102"/>
      <c r="IT43" s="102"/>
      <c r="IU43" s="102"/>
      <c r="IV43" s="102"/>
    </row>
    <row r="44" spans="1:256" s="106" customFormat="1" ht="13.5" outlineLevel="2" x14ac:dyDescent="0.25">
      <c r="A44" s="408" t="str">
        <f>"1-"&amp;'Elenchi controllo_Parametri'!B66</f>
        <v>1-peso wp104 rete MODBUS RTU</v>
      </c>
      <c r="B44" s="703"/>
      <c r="C44" s="671">
        <f t="array" ref="C44">SUM(IF(descrizione2_filtrata=$A44,impianto!N$23:N$194,0))</f>
        <v>0</v>
      </c>
      <c r="D44" s="692">
        <f t="array" ref="D44">SUM(IF(descrizione2_filtrata=$A44,impianto!AM$23:AM$194,0))</f>
        <v>0</v>
      </c>
      <c r="E44" s="671">
        <f t="array" ref="E44">SUM(IF(descrizione2_filtrata=$A44,impianto!P$23:P$194,0))</f>
        <v>0</v>
      </c>
      <c r="F44" s="692">
        <f t="array" ref="F44">SUM(IF(descrizione2_filtrata=$A44,impianto!AO$23:AO$194,0))</f>
        <v>0</v>
      </c>
      <c r="G44" s="671">
        <f t="array" ref="G44">SUM(IF(descrizione2_filtrata=$A44,impianto!R$23:R$194,0))</f>
        <v>0</v>
      </c>
      <c r="H44" s="692">
        <f t="array" ref="H44">SUM(IF(descrizione2_filtrata=$A44,impianto!AQ$23:AQ$194,0))</f>
        <v>0</v>
      </c>
      <c r="I44" s="671">
        <f t="array" ref="I44">SUM(IF(descrizione2_filtrata=$A44,impianto!T$23:T$194,0))</f>
        <v>0</v>
      </c>
      <c r="J44" s="692">
        <f t="array" ref="J44">SUM(IF(descrizione2_filtrata=$A44,impianto!AS$23:AS$194,0))</f>
        <v>0</v>
      </c>
      <c r="K44" s="671">
        <f t="array" ref="K44">SUM(IF(descrizione2_filtrata=$A44,impianto!V$23:V$194,0))</f>
        <v>0</v>
      </c>
      <c r="L44" s="692">
        <f t="array" ref="L44">SUM(IF(descrizione2_filtrata=$A44,impianto!AU$23:AU$194,0))</f>
        <v>0</v>
      </c>
      <c r="M44" s="671">
        <f t="array" ref="M44">SUM(IF(descrizione2_filtrata=$A44,impianto!X$23:X$194,0))</f>
        <v>0</v>
      </c>
      <c r="N44" s="692">
        <f t="array" ref="N44">SUM(IF(descrizione2_filtrata=$A44,impianto!AW$23:AW$194,0))</f>
        <v>0</v>
      </c>
      <c r="O44" s="671">
        <f t="array" ref="O44">SUM(IF(descrizione2_filtrata=$A44,impianto!Z$23:Z$194,0))</f>
        <v>0</v>
      </c>
      <c r="P44" s="692">
        <f t="array" ref="P44">SUM(IF(descrizione2_filtrata=$A44,impianto!AY$23:AY$194,0))</f>
        <v>0</v>
      </c>
      <c r="Q44" s="671">
        <f t="array" ref="Q44">SUM(IF(descrizione2_filtrata=$A44,impianto!AB$23:AB$194,0))</f>
        <v>0</v>
      </c>
      <c r="R44" s="692">
        <f t="array" ref="R44">SUM(IF(descrizione2_filtrata=$A44,impianto!BA$23:BA$194,0))</f>
        <v>0</v>
      </c>
      <c r="S44" s="671">
        <f t="array" ref="S44">SUM(IF(descrizione2_filtrata=$A44,impianto!AD$23:AD$194,0))</f>
        <v>0</v>
      </c>
      <c r="T44" s="692">
        <f t="array" ref="T44">SUM(IF(descrizione2_filtrata=$A44,impianto!BC$23:BC$194,0))</f>
        <v>0</v>
      </c>
      <c r="U44" s="671">
        <f t="array" ref="U44">SUM(IF(descrizione2_filtrata=$A44,impianto!AF$23:AF$194,0))</f>
        <v>0</v>
      </c>
      <c r="V44" s="692">
        <f t="array" ref="V44">SUM(IF(descrizione2_filtrata=$A44,impianto!BE$23:BE$194,0))</f>
        <v>0</v>
      </c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  <c r="BK44" s="102"/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BY44" s="102"/>
      <c r="BZ44" s="102"/>
      <c r="CA44" s="102"/>
      <c r="CB44" s="102"/>
      <c r="CC44" s="102"/>
      <c r="CD44" s="102"/>
      <c r="CE44" s="102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2"/>
      <c r="CQ44" s="102"/>
      <c r="CR44" s="102"/>
      <c r="CS44" s="102"/>
      <c r="CT44" s="102"/>
      <c r="CU44" s="102"/>
      <c r="CV44" s="102"/>
      <c r="CW44" s="102"/>
      <c r="CX44" s="102"/>
      <c r="CY44" s="102"/>
      <c r="CZ44" s="102"/>
      <c r="DA44" s="102"/>
      <c r="DB44" s="102"/>
      <c r="DC44" s="102"/>
      <c r="DD44" s="102"/>
      <c r="DE44" s="102"/>
      <c r="DF44" s="102"/>
      <c r="DG44" s="102"/>
      <c r="DH44" s="102"/>
      <c r="DI44" s="102"/>
      <c r="DJ44" s="102"/>
      <c r="DK44" s="102"/>
      <c r="DL44" s="102"/>
      <c r="DM44" s="102"/>
      <c r="DN44" s="102"/>
      <c r="DO44" s="102"/>
      <c r="DP44" s="102"/>
      <c r="DQ44" s="102"/>
      <c r="DR44" s="102"/>
      <c r="DS44" s="102"/>
      <c r="DT44" s="102"/>
      <c r="DU44" s="102"/>
      <c r="DV44" s="102"/>
      <c r="DW44" s="102"/>
      <c r="DX44" s="102"/>
      <c r="DY44" s="102"/>
      <c r="DZ44" s="102"/>
      <c r="EA44" s="102"/>
      <c r="EB44" s="102"/>
      <c r="EC44" s="102"/>
      <c r="ED44" s="102"/>
      <c r="EE44" s="102"/>
      <c r="EF44" s="102"/>
      <c r="EG44" s="102"/>
      <c r="EH44" s="102"/>
      <c r="EI44" s="102"/>
      <c r="EJ44" s="102"/>
      <c r="EK44" s="102"/>
      <c r="EL44" s="102"/>
      <c r="EM44" s="102"/>
      <c r="EN44" s="102"/>
      <c r="EO44" s="102"/>
      <c r="EP44" s="102"/>
      <c r="EQ44" s="102"/>
      <c r="ER44" s="102"/>
      <c r="ES44" s="102"/>
      <c r="ET44" s="102"/>
      <c r="EU44" s="102"/>
      <c r="EV44" s="102"/>
      <c r="EW44" s="102"/>
      <c r="EX44" s="102"/>
      <c r="EY44" s="102"/>
      <c r="EZ44" s="102"/>
      <c r="FA44" s="102"/>
      <c r="FB44" s="102"/>
      <c r="FC44" s="102"/>
      <c r="FD44" s="102"/>
      <c r="FE44" s="102"/>
      <c r="FF44" s="102"/>
      <c r="FG44" s="102"/>
      <c r="FH44" s="102"/>
      <c r="FI44" s="102"/>
      <c r="FJ44" s="102"/>
      <c r="FK44" s="102"/>
      <c r="FL44" s="102"/>
      <c r="FM44" s="102"/>
      <c r="FN44" s="102"/>
      <c r="FO44" s="102"/>
      <c r="FP44" s="102"/>
      <c r="FQ44" s="102"/>
      <c r="FR44" s="102"/>
      <c r="FS44" s="102"/>
      <c r="FT44" s="102"/>
      <c r="FU44" s="102"/>
      <c r="FV44" s="102"/>
      <c r="FW44" s="102"/>
      <c r="FX44" s="102"/>
      <c r="FY44" s="102"/>
      <c r="FZ44" s="102"/>
      <c r="GA44" s="102"/>
      <c r="GB44" s="102"/>
      <c r="GC44" s="102"/>
      <c r="GD44" s="102"/>
      <c r="GE44" s="102"/>
      <c r="GF44" s="102"/>
      <c r="GG44" s="102"/>
      <c r="GH44" s="102"/>
      <c r="GI44" s="102"/>
      <c r="GJ44" s="102"/>
      <c r="GK44" s="102"/>
      <c r="GL44" s="102"/>
      <c r="GM44" s="102"/>
      <c r="GN44" s="102"/>
      <c r="GO44" s="102"/>
      <c r="GP44" s="102"/>
      <c r="GQ44" s="102"/>
      <c r="GR44" s="102"/>
      <c r="GS44" s="102"/>
      <c r="GT44" s="102"/>
      <c r="GU44" s="102"/>
      <c r="GV44" s="102"/>
      <c r="GW44" s="102"/>
      <c r="GX44" s="102"/>
      <c r="GY44" s="102"/>
      <c r="GZ44" s="102"/>
      <c r="HA44" s="102"/>
      <c r="HB44" s="102"/>
      <c r="HC44" s="102"/>
      <c r="HD44" s="102"/>
      <c r="HE44" s="102"/>
      <c r="HF44" s="102"/>
      <c r="HG44" s="102"/>
      <c r="HH44" s="102"/>
      <c r="HI44" s="102"/>
      <c r="HJ44" s="102"/>
      <c r="HK44" s="102"/>
      <c r="HL44" s="102"/>
      <c r="HM44" s="102"/>
      <c r="HN44" s="102"/>
      <c r="HO44" s="102"/>
      <c r="HP44" s="102"/>
      <c r="HQ44" s="102"/>
      <c r="HR44" s="102"/>
      <c r="HS44" s="102"/>
      <c r="HT44" s="102"/>
      <c r="HU44" s="102"/>
      <c r="HV44" s="102"/>
      <c r="HW44" s="102"/>
      <c r="HX44" s="102"/>
      <c r="HY44" s="102"/>
      <c r="HZ44" s="102"/>
      <c r="IA44" s="102"/>
      <c r="IB44" s="102"/>
      <c r="IC44" s="102"/>
      <c r="ID44" s="102"/>
      <c r="IE44" s="102"/>
      <c r="IF44" s="102"/>
      <c r="IG44" s="102"/>
      <c r="IH44" s="102"/>
      <c r="II44" s="102"/>
      <c r="IJ44" s="102"/>
      <c r="IK44" s="102"/>
      <c r="IL44" s="102"/>
      <c r="IM44" s="102"/>
      <c r="IN44" s="102"/>
      <c r="IO44" s="102"/>
      <c r="IP44" s="102"/>
      <c r="IQ44" s="102"/>
      <c r="IR44" s="102"/>
      <c r="IS44" s="102"/>
      <c r="IT44" s="102"/>
      <c r="IU44" s="102"/>
      <c r="IV44" s="102"/>
    </row>
    <row r="45" spans="1:256" s="105" customFormat="1" ht="14.25" outlineLevel="1" thickBot="1" x14ac:dyDescent="0.3">
      <c r="A45" s="713" t="s">
        <v>2457</v>
      </c>
      <c r="B45" s="714">
        <f>SUM(C45:V45)</f>
        <v>0</v>
      </c>
      <c r="C45" s="715"/>
      <c r="D45" s="716">
        <f>SUM(D41:D44)</f>
        <v>0</v>
      </c>
      <c r="E45" s="715"/>
      <c r="F45" s="716">
        <f>SUM(F41:F44)</f>
        <v>0</v>
      </c>
      <c r="G45" s="715"/>
      <c r="H45" s="716">
        <f>SUM(H41:H44)</f>
        <v>0</v>
      </c>
      <c r="I45" s="715"/>
      <c r="J45" s="716">
        <f>SUM(J41:J44)</f>
        <v>0</v>
      </c>
      <c r="K45" s="715"/>
      <c r="L45" s="716">
        <f>SUM(L41:L44)</f>
        <v>0</v>
      </c>
      <c r="M45" s="715"/>
      <c r="N45" s="716">
        <f>SUM(N41:N44)</f>
        <v>0</v>
      </c>
      <c r="O45" s="715"/>
      <c r="P45" s="716">
        <f>SUM(P41:P44)</f>
        <v>0</v>
      </c>
      <c r="Q45" s="715"/>
      <c r="R45" s="716">
        <f>SUM(R41:R44)</f>
        <v>0</v>
      </c>
      <c r="S45" s="715"/>
      <c r="T45" s="716">
        <f>SUM(T41:T44)</f>
        <v>0</v>
      </c>
      <c r="U45" s="715"/>
      <c r="V45" s="716">
        <f>SUM(V41:V44)</f>
        <v>0</v>
      </c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2"/>
      <c r="CW45" s="102"/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102"/>
      <c r="DJ45" s="102"/>
      <c r="DK45" s="102"/>
      <c r="DL45" s="102"/>
      <c r="DM45" s="102"/>
      <c r="DN45" s="102"/>
      <c r="DO45" s="102"/>
      <c r="DP45" s="102"/>
      <c r="DQ45" s="102"/>
      <c r="DR45" s="102"/>
      <c r="DS45" s="102"/>
      <c r="DT45" s="102"/>
      <c r="DU45" s="102"/>
      <c r="DV45" s="102"/>
      <c r="DW45" s="102"/>
      <c r="DX45" s="102"/>
      <c r="DY45" s="102"/>
      <c r="DZ45" s="102"/>
      <c r="EA45" s="102"/>
      <c r="EB45" s="102"/>
      <c r="EC45" s="102"/>
      <c r="ED45" s="102"/>
      <c r="EE45" s="102"/>
      <c r="EF45" s="102"/>
      <c r="EG45" s="102"/>
      <c r="EH45" s="102"/>
      <c r="EI45" s="102"/>
      <c r="EJ45" s="102"/>
      <c r="EK45" s="102"/>
      <c r="EL45" s="102"/>
      <c r="EM45" s="102"/>
      <c r="EN45" s="102"/>
      <c r="EO45" s="102"/>
      <c r="EP45" s="102"/>
      <c r="EQ45" s="102"/>
      <c r="ER45" s="102"/>
      <c r="ES45" s="102"/>
      <c r="ET45" s="102"/>
      <c r="EU45" s="102"/>
      <c r="EV45" s="102"/>
      <c r="EW45" s="102"/>
      <c r="EX45" s="102"/>
      <c r="EY45" s="102"/>
      <c r="EZ45" s="102"/>
      <c r="FA45" s="102"/>
      <c r="FB45" s="102"/>
      <c r="FC45" s="102"/>
      <c r="FD45" s="102"/>
      <c r="FE45" s="102"/>
      <c r="FF45" s="102"/>
      <c r="FG45" s="102"/>
      <c r="FH45" s="102"/>
      <c r="FI45" s="102"/>
      <c r="FJ45" s="102"/>
      <c r="FK45" s="102"/>
      <c r="FL45" s="102"/>
      <c r="FM45" s="102"/>
      <c r="FN45" s="102"/>
      <c r="FO45" s="102"/>
      <c r="FP45" s="102"/>
      <c r="FQ45" s="102"/>
      <c r="FR45" s="102"/>
      <c r="FS45" s="102"/>
      <c r="FT45" s="102"/>
      <c r="FU45" s="102"/>
      <c r="FV45" s="102"/>
      <c r="FW45" s="102"/>
      <c r="FX45" s="102"/>
      <c r="FY45" s="102"/>
      <c r="FZ45" s="102"/>
      <c r="GA45" s="102"/>
      <c r="GB45" s="102"/>
      <c r="GC45" s="102"/>
      <c r="GD45" s="102"/>
      <c r="GE45" s="102"/>
      <c r="GF45" s="102"/>
      <c r="GG45" s="102"/>
      <c r="GH45" s="102"/>
      <c r="GI45" s="102"/>
      <c r="GJ45" s="102"/>
      <c r="GK45" s="102"/>
      <c r="GL45" s="102"/>
      <c r="GM45" s="102"/>
      <c r="GN45" s="102"/>
      <c r="GO45" s="102"/>
      <c r="GP45" s="102"/>
      <c r="GQ45" s="102"/>
      <c r="GR45" s="102"/>
      <c r="GS45" s="102"/>
      <c r="GT45" s="102"/>
      <c r="GU45" s="102"/>
      <c r="GV45" s="102"/>
      <c r="GW45" s="102"/>
      <c r="GX45" s="102"/>
      <c r="GY45" s="102"/>
      <c r="GZ45" s="102"/>
      <c r="HA45" s="102"/>
      <c r="HB45" s="102"/>
      <c r="HC45" s="102"/>
      <c r="HD45" s="102"/>
      <c r="HE45" s="102"/>
      <c r="HF45" s="102"/>
      <c r="HG45" s="102"/>
      <c r="HH45" s="102"/>
      <c r="HI45" s="102"/>
      <c r="HJ45" s="102"/>
      <c r="HK45" s="102"/>
      <c r="HL45" s="102"/>
      <c r="HM45" s="102"/>
      <c r="HN45" s="102"/>
      <c r="HO45" s="102"/>
      <c r="HP45" s="102"/>
      <c r="HQ45" s="102"/>
      <c r="HR45" s="102"/>
      <c r="HS45" s="102"/>
      <c r="HT45" s="102"/>
      <c r="HU45" s="102"/>
      <c r="HV45" s="102"/>
      <c r="HW45" s="102"/>
      <c r="HX45" s="102"/>
      <c r="HY45" s="102"/>
      <c r="HZ45" s="102"/>
      <c r="IA45" s="102"/>
      <c r="IB45" s="102"/>
      <c r="IC45" s="102"/>
      <c r="ID45" s="102"/>
      <c r="IE45" s="102"/>
      <c r="IF45" s="102"/>
      <c r="IG45" s="102"/>
      <c r="IH45" s="102"/>
      <c r="II45" s="102"/>
      <c r="IJ45" s="102"/>
      <c r="IK45" s="102"/>
      <c r="IL45" s="102"/>
      <c r="IM45" s="102"/>
      <c r="IN45" s="102"/>
      <c r="IO45" s="102"/>
      <c r="IP45" s="102"/>
      <c r="IQ45" s="102"/>
      <c r="IR45" s="102"/>
      <c r="IS45" s="102"/>
      <c r="IT45" s="102"/>
      <c r="IU45" s="102"/>
      <c r="IV45" s="102"/>
    </row>
    <row r="46" spans="1:256" s="106" customFormat="1" ht="13.5" outlineLevel="2" x14ac:dyDescent="0.25">
      <c r="A46" s="410" t="str">
        <f>"2-"&amp;'Elenchi controllo_Parametri'!B63</f>
        <v>2-peso SIWAREX</v>
      </c>
      <c r="B46" s="704"/>
      <c r="C46" s="672">
        <f t="array" ref="C46">SUM(IF(descrizione2_filtrata=$A46,impianto!N$23:N$194,0))</f>
        <v>0</v>
      </c>
      <c r="D46" s="693">
        <f t="array" ref="D46">SUM(IF(descrizione2_filtrata=$A46,impianto!AM$23:AM$194,0))</f>
        <v>0</v>
      </c>
      <c r="E46" s="672">
        <f t="array" ref="E46">SUM(IF(descrizione2_filtrata=$A46,impianto!P$23:P$194,0))</f>
        <v>0</v>
      </c>
      <c r="F46" s="693">
        <f t="array" ref="F46">SUM(IF(descrizione2_filtrata=$A46,impianto!AO$23:AO$194,0))</f>
        <v>0</v>
      </c>
      <c r="G46" s="672">
        <f t="array" ref="G46">SUM(IF(descrizione2_filtrata=$A46,impianto!R$23:R$194,0))</f>
        <v>0</v>
      </c>
      <c r="H46" s="693">
        <f t="array" ref="H46">SUM(IF(descrizione2_filtrata=$A46,impianto!AQ$23:AQ$194,0))</f>
        <v>0</v>
      </c>
      <c r="I46" s="672">
        <f t="array" ref="I46">SUM(IF(descrizione2_filtrata=$A46,impianto!T$23:T$194,0))</f>
        <v>0</v>
      </c>
      <c r="J46" s="693">
        <f t="array" ref="J46">SUM(IF(descrizione2_filtrata=$A46,impianto!AS$23:AS$194,0))</f>
        <v>0</v>
      </c>
      <c r="K46" s="672">
        <f t="array" ref="K46">SUM(IF(descrizione2_filtrata=$A46,impianto!V$23:V$194,0))</f>
        <v>0</v>
      </c>
      <c r="L46" s="693">
        <f t="array" ref="L46">SUM(IF(descrizione2_filtrata=$A46,impianto!AU$23:AU$194,0))</f>
        <v>0</v>
      </c>
      <c r="M46" s="672">
        <f t="array" ref="M46">SUM(IF(descrizione2_filtrata=$A46,impianto!X$23:X$194,0))</f>
        <v>0</v>
      </c>
      <c r="N46" s="693">
        <f t="array" ref="N46">SUM(IF(descrizione2_filtrata=$A46,impianto!AW$23:AW$194,0))</f>
        <v>0</v>
      </c>
      <c r="O46" s="672">
        <f t="array" ref="O46">SUM(IF(descrizione2_filtrata=$A46,impianto!Z$23:Z$194,0))</f>
        <v>0</v>
      </c>
      <c r="P46" s="693">
        <f t="array" ref="P46">SUM(IF(descrizione2_filtrata=$A46,impianto!AY$23:AY$194,0))</f>
        <v>0</v>
      </c>
      <c r="Q46" s="672">
        <f t="array" ref="Q46">SUM(IF(descrizione2_filtrata=$A46,impianto!AB$23:AB$194,0))</f>
        <v>0</v>
      </c>
      <c r="R46" s="693">
        <f t="array" ref="R46">SUM(IF(descrizione2_filtrata=$A46,impianto!BA$23:BA$194,0))</f>
        <v>0</v>
      </c>
      <c r="S46" s="672">
        <f t="array" ref="S46">SUM(IF(descrizione2_filtrata=$A46,impianto!AD$23:AD$194,0))</f>
        <v>0</v>
      </c>
      <c r="T46" s="693">
        <f t="array" ref="T46">SUM(IF(descrizione2_filtrata=$A46,impianto!BC$23:BC$194,0))</f>
        <v>0</v>
      </c>
      <c r="U46" s="672">
        <f t="array" ref="U46">SUM(IF(descrizione2_filtrata=$A46,impianto!AF$23:AF$194,0))</f>
        <v>0</v>
      </c>
      <c r="V46" s="693">
        <f t="array" ref="V46">SUM(IF(descrizione2_filtrata=$A46,impianto!BE$23:BE$194,0))</f>
        <v>0</v>
      </c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  <c r="BK46" s="102"/>
      <c r="BL46" s="102"/>
      <c r="BM46" s="102"/>
      <c r="BN46" s="102"/>
      <c r="BO46" s="102"/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CU46" s="102"/>
      <c r="CV46" s="102"/>
      <c r="CW46" s="102"/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102"/>
      <c r="DJ46" s="102"/>
      <c r="DK46" s="102"/>
      <c r="DL46" s="102"/>
      <c r="DM46" s="102"/>
      <c r="DN46" s="102"/>
      <c r="DO46" s="102"/>
      <c r="DP46" s="102"/>
      <c r="DQ46" s="102"/>
      <c r="DR46" s="102"/>
      <c r="DS46" s="102"/>
      <c r="DT46" s="102"/>
      <c r="DU46" s="102"/>
      <c r="DV46" s="102"/>
      <c r="DW46" s="102"/>
      <c r="DX46" s="102"/>
      <c r="DY46" s="102"/>
      <c r="DZ46" s="102"/>
      <c r="EA46" s="102"/>
      <c r="EB46" s="102"/>
      <c r="EC46" s="102"/>
      <c r="ED46" s="102"/>
      <c r="EE46" s="102"/>
      <c r="EF46" s="102"/>
      <c r="EG46" s="102"/>
      <c r="EH46" s="102"/>
      <c r="EI46" s="102"/>
      <c r="EJ46" s="102"/>
      <c r="EK46" s="102"/>
      <c r="EL46" s="102"/>
      <c r="EM46" s="102"/>
      <c r="EN46" s="102"/>
      <c r="EO46" s="102"/>
      <c r="EP46" s="102"/>
      <c r="EQ46" s="102"/>
      <c r="ER46" s="102"/>
      <c r="ES46" s="102"/>
      <c r="ET46" s="102"/>
      <c r="EU46" s="102"/>
      <c r="EV46" s="102"/>
      <c r="EW46" s="102"/>
      <c r="EX46" s="102"/>
      <c r="EY46" s="102"/>
      <c r="EZ46" s="102"/>
      <c r="FA46" s="102"/>
      <c r="FB46" s="102"/>
      <c r="FC46" s="102"/>
      <c r="FD46" s="102"/>
      <c r="FE46" s="102"/>
      <c r="FF46" s="102"/>
      <c r="FG46" s="102"/>
      <c r="FH46" s="102"/>
      <c r="FI46" s="102"/>
      <c r="FJ46" s="102"/>
      <c r="FK46" s="102"/>
      <c r="FL46" s="102"/>
      <c r="FM46" s="102"/>
      <c r="FN46" s="102"/>
      <c r="FO46" s="102"/>
      <c r="FP46" s="102"/>
      <c r="FQ46" s="102"/>
      <c r="FR46" s="102"/>
      <c r="FS46" s="102"/>
      <c r="FT46" s="102"/>
      <c r="FU46" s="102"/>
      <c r="FV46" s="102"/>
      <c r="FW46" s="102"/>
      <c r="FX46" s="102"/>
      <c r="FY46" s="102"/>
      <c r="FZ46" s="102"/>
      <c r="GA46" s="102"/>
      <c r="GB46" s="102"/>
      <c r="GC46" s="102"/>
      <c r="GD46" s="102"/>
      <c r="GE46" s="102"/>
      <c r="GF46" s="102"/>
      <c r="GG46" s="102"/>
      <c r="GH46" s="102"/>
      <c r="GI46" s="102"/>
      <c r="GJ46" s="102"/>
      <c r="GK46" s="102"/>
      <c r="GL46" s="102"/>
      <c r="GM46" s="102"/>
      <c r="GN46" s="102"/>
      <c r="GO46" s="102"/>
      <c r="GP46" s="102"/>
      <c r="GQ46" s="102"/>
      <c r="GR46" s="102"/>
      <c r="GS46" s="102"/>
      <c r="GT46" s="102"/>
      <c r="GU46" s="102"/>
      <c r="GV46" s="102"/>
      <c r="GW46" s="102"/>
      <c r="GX46" s="102"/>
      <c r="GY46" s="102"/>
      <c r="GZ46" s="102"/>
      <c r="HA46" s="102"/>
      <c r="HB46" s="102"/>
      <c r="HC46" s="102"/>
      <c r="HD46" s="102"/>
      <c r="HE46" s="102"/>
      <c r="HF46" s="102"/>
      <c r="HG46" s="102"/>
      <c r="HH46" s="102"/>
      <c r="HI46" s="102"/>
      <c r="HJ46" s="102"/>
      <c r="HK46" s="102"/>
      <c r="HL46" s="102"/>
      <c r="HM46" s="102"/>
      <c r="HN46" s="102"/>
      <c r="HO46" s="102"/>
      <c r="HP46" s="102"/>
      <c r="HQ46" s="102"/>
      <c r="HR46" s="102"/>
      <c r="HS46" s="102"/>
      <c r="HT46" s="102"/>
      <c r="HU46" s="102"/>
      <c r="HV46" s="102"/>
      <c r="HW46" s="102"/>
      <c r="HX46" s="102"/>
      <c r="HY46" s="102"/>
      <c r="HZ46" s="102"/>
      <c r="IA46" s="102"/>
      <c r="IB46" s="102"/>
      <c r="IC46" s="102"/>
      <c r="ID46" s="102"/>
      <c r="IE46" s="102"/>
      <c r="IF46" s="102"/>
      <c r="IG46" s="102"/>
      <c r="IH46" s="102"/>
      <c r="II46" s="102"/>
      <c r="IJ46" s="102"/>
      <c r="IK46" s="102"/>
      <c r="IL46" s="102"/>
      <c r="IM46" s="102"/>
      <c r="IN46" s="102"/>
      <c r="IO46" s="102"/>
      <c r="IP46" s="102"/>
      <c r="IQ46" s="102"/>
      <c r="IR46" s="102"/>
      <c r="IS46" s="102"/>
      <c r="IT46" s="102"/>
      <c r="IU46" s="102"/>
      <c r="IV46" s="102"/>
    </row>
    <row r="47" spans="1:256" s="106" customFormat="1" ht="13.5" outlineLevel="2" x14ac:dyDescent="0.25">
      <c r="A47" s="410" t="str">
        <f>"2-"&amp;'Elenchi controllo_Parametri'!B64</f>
        <v>2-peso wp104 rete PROFIBUS</v>
      </c>
      <c r="B47" s="704"/>
      <c r="C47" s="672">
        <f t="array" ref="C47">SUM(IF(descrizione2_filtrata=$A47,impianto!N$23:N$194,0))</f>
        <v>0</v>
      </c>
      <c r="D47" s="693">
        <f t="array" ref="D47">SUM(IF(descrizione2_filtrata=$A47,impianto!AM$23:AM$194,0))</f>
        <v>0</v>
      </c>
      <c r="E47" s="672">
        <f t="array" ref="E47">SUM(IF(descrizione2_filtrata=$A47,impianto!P$23:P$194,0))</f>
        <v>0</v>
      </c>
      <c r="F47" s="693">
        <f t="array" ref="F47">SUM(IF(descrizione2_filtrata=$A47,impianto!AO$23:AO$194,0))</f>
        <v>0</v>
      </c>
      <c r="G47" s="672">
        <f t="array" ref="G47">SUM(IF(descrizione2_filtrata=$A47,impianto!R$23:R$194,0))</f>
        <v>0</v>
      </c>
      <c r="H47" s="693">
        <f t="array" ref="H47">SUM(IF(descrizione2_filtrata=$A47,impianto!AQ$23:AQ$194,0))</f>
        <v>0</v>
      </c>
      <c r="I47" s="672">
        <f t="array" ref="I47">SUM(IF(descrizione2_filtrata=$A47,impianto!T$23:T$194,0))</f>
        <v>0</v>
      </c>
      <c r="J47" s="693">
        <f t="array" ref="J47">SUM(IF(descrizione2_filtrata=$A47,impianto!AS$23:AS$194,0))</f>
        <v>0</v>
      </c>
      <c r="K47" s="672">
        <f t="array" ref="K47">SUM(IF(descrizione2_filtrata=$A47,impianto!V$23:V$194,0))</f>
        <v>0</v>
      </c>
      <c r="L47" s="693">
        <f t="array" ref="L47">SUM(IF(descrizione2_filtrata=$A47,impianto!AU$23:AU$194,0))</f>
        <v>0</v>
      </c>
      <c r="M47" s="672">
        <f t="array" ref="M47">SUM(IF(descrizione2_filtrata=$A47,impianto!X$23:X$194,0))</f>
        <v>0</v>
      </c>
      <c r="N47" s="693">
        <f t="array" ref="N47">SUM(IF(descrizione2_filtrata=$A47,impianto!AW$23:AW$194,0))</f>
        <v>0</v>
      </c>
      <c r="O47" s="672">
        <f t="array" ref="O47">SUM(IF(descrizione2_filtrata=$A47,impianto!Z$23:Z$194,0))</f>
        <v>0</v>
      </c>
      <c r="P47" s="693">
        <f t="array" ref="P47">SUM(IF(descrizione2_filtrata=$A47,impianto!AY$23:AY$194,0))</f>
        <v>0</v>
      </c>
      <c r="Q47" s="672">
        <f t="array" ref="Q47">SUM(IF(descrizione2_filtrata=$A47,impianto!AB$23:AB$194,0))</f>
        <v>0</v>
      </c>
      <c r="R47" s="693">
        <f t="array" ref="R47">SUM(IF(descrizione2_filtrata=$A47,impianto!BA$23:BA$194,0))</f>
        <v>0</v>
      </c>
      <c r="S47" s="672">
        <f t="array" ref="S47">SUM(IF(descrizione2_filtrata=$A47,impianto!AD$23:AD$194,0))</f>
        <v>0</v>
      </c>
      <c r="T47" s="693">
        <f t="array" ref="T47">SUM(IF(descrizione2_filtrata=$A47,impianto!BC$23:BC$194,0))</f>
        <v>0</v>
      </c>
      <c r="U47" s="672">
        <f t="array" ref="U47">SUM(IF(descrizione2_filtrata=$A47,impianto!AF$23:AF$194,0))</f>
        <v>0</v>
      </c>
      <c r="V47" s="693">
        <f t="array" ref="V47">SUM(IF(descrizione2_filtrata=$A47,impianto!BE$23:BE$194,0))</f>
        <v>0</v>
      </c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  <c r="BK47" s="102"/>
      <c r="BL47" s="102"/>
      <c r="BM47" s="102"/>
      <c r="BN47" s="102"/>
      <c r="BO47" s="102"/>
      <c r="BP47" s="102"/>
      <c r="BQ47" s="102"/>
      <c r="BR47" s="102"/>
      <c r="BS47" s="102"/>
      <c r="BT47" s="102"/>
      <c r="BU47" s="102"/>
      <c r="BV47" s="102"/>
      <c r="BW47" s="102"/>
      <c r="BX47" s="102"/>
      <c r="BY47" s="102"/>
      <c r="BZ47" s="102"/>
      <c r="CA47" s="102"/>
      <c r="CB47" s="102"/>
      <c r="CC47" s="102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02"/>
      <c r="CV47" s="102"/>
      <c r="CW47" s="102"/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102"/>
      <c r="DJ47" s="102"/>
      <c r="DK47" s="102"/>
      <c r="DL47" s="102"/>
      <c r="DM47" s="102"/>
      <c r="DN47" s="102"/>
      <c r="DO47" s="102"/>
      <c r="DP47" s="102"/>
      <c r="DQ47" s="102"/>
      <c r="DR47" s="102"/>
      <c r="DS47" s="102"/>
      <c r="DT47" s="102"/>
      <c r="DU47" s="102"/>
      <c r="DV47" s="102"/>
      <c r="DW47" s="102"/>
      <c r="DX47" s="102"/>
      <c r="DY47" s="102"/>
      <c r="DZ47" s="102"/>
      <c r="EA47" s="102"/>
      <c r="EB47" s="102"/>
      <c r="EC47" s="102"/>
      <c r="ED47" s="102"/>
      <c r="EE47" s="102"/>
      <c r="EF47" s="102"/>
      <c r="EG47" s="102"/>
      <c r="EH47" s="102"/>
      <c r="EI47" s="102"/>
      <c r="EJ47" s="102"/>
      <c r="EK47" s="102"/>
      <c r="EL47" s="102"/>
      <c r="EM47" s="102"/>
      <c r="EN47" s="102"/>
      <c r="EO47" s="102"/>
      <c r="EP47" s="102"/>
      <c r="EQ47" s="102"/>
      <c r="ER47" s="102"/>
      <c r="ES47" s="102"/>
      <c r="ET47" s="102"/>
      <c r="EU47" s="102"/>
      <c r="EV47" s="102"/>
      <c r="EW47" s="102"/>
      <c r="EX47" s="102"/>
      <c r="EY47" s="102"/>
      <c r="EZ47" s="102"/>
      <c r="FA47" s="102"/>
      <c r="FB47" s="102"/>
      <c r="FC47" s="102"/>
      <c r="FD47" s="102"/>
      <c r="FE47" s="102"/>
      <c r="FF47" s="102"/>
      <c r="FG47" s="102"/>
      <c r="FH47" s="102"/>
      <c r="FI47" s="102"/>
      <c r="FJ47" s="102"/>
      <c r="FK47" s="102"/>
      <c r="FL47" s="102"/>
      <c r="FM47" s="102"/>
      <c r="FN47" s="102"/>
      <c r="FO47" s="102"/>
      <c r="FP47" s="102"/>
      <c r="FQ47" s="102"/>
      <c r="FR47" s="102"/>
      <c r="FS47" s="102"/>
      <c r="FT47" s="102"/>
      <c r="FU47" s="102"/>
      <c r="FV47" s="102"/>
      <c r="FW47" s="102"/>
      <c r="FX47" s="102"/>
      <c r="FY47" s="102"/>
      <c r="FZ47" s="102"/>
      <c r="GA47" s="102"/>
      <c r="GB47" s="102"/>
      <c r="GC47" s="102"/>
      <c r="GD47" s="102"/>
      <c r="GE47" s="102"/>
      <c r="GF47" s="102"/>
      <c r="GG47" s="102"/>
      <c r="GH47" s="102"/>
      <c r="GI47" s="102"/>
      <c r="GJ47" s="102"/>
      <c r="GK47" s="102"/>
      <c r="GL47" s="102"/>
      <c r="GM47" s="102"/>
      <c r="GN47" s="102"/>
      <c r="GO47" s="102"/>
      <c r="GP47" s="102"/>
      <c r="GQ47" s="102"/>
      <c r="GR47" s="102"/>
      <c r="GS47" s="102"/>
      <c r="GT47" s="102"/>
      <c r="GU47" s="102"/>
      <c r="GV47" s="102"/>
      <c r="GW47" s="102"/>
      <c r="GX47" s="102"/>
      <c r="GY47" s="102"/>
      <c r="GZ47" s="102"/>
      <c r="HA47" s="102"/>
      <c r="HB47" s="102"/>
      <c r="HC47" s="102"/>
      <c r="HD47" s="102"/>
      <c r="HE47" s="102"/>
      <c r="HF47" s="102"/>
      <c r="HG47" s="102"/>
      <c r="HH47" s="102"/>
      <c r="HI47" s="102"/>
      <c r="HJ47" s="102"/>
      <c r="HK47" s="102"/>
      <c r="HL47" s="102"/>
      <c r="HM47" s="102"/>
      <c r="HN47" s="102"/>
      <c r="HO47" s="102"/>
      <c r="HP47" s="102"/>
      <c r="HQ47" s="102"/>
      <c r="HR47" s="102"/>
      <c r="HS47" s="102"/>
      <c r="HT47" s="102"/>
      <c r="HU47" s="102"/>
      <c r="HV47" s="102"/>
      <c r="HW47" s="102"/>
      <c r="HX47" s="102"/>
      <c r="HY47" s="102"/>
      <c r="HZ47" s="102"/>
      <c r="IA47" s="102"/>
      <c r="IB47" s="102"/>
      <c r="IC47" s="102"/>
      <c r="ID47" s="102"/>
      <c r="IE47" s="102"/>
      <c r="IF47" s="102"/>
      <c r="IG47" s="102"/>
      <c r="IH47" s="102"/>
      <c r="II47" s="102"/>
      <c r="IJ47" s="102"/>
      <c r="IK47" s="102"/>
      <c r="IL47" s="102"/>
      <c r="IM47" s="102"/>
      <c r="IN47" s="102"/>
      <c r="IO47" s="102"/>
      <c r="IP47" s="102"/>
      <c r="IQ47" s="102"/>
      <c r="IR47" s="102"/>
      <c r="IS47" s="102"/>
      <c r="IT47" s="102"/>
      <c r="IU47" s="102"/>
      <c r="IV47" s="102"/>
    </row>
    <row r="48" spans="1:256" s="106" customFormat="1" ht="13.5" outlineLevel="2" x14ac:dyDescent="0.25">
      <c r="A48" s="410" t="str">
        <f>"2-"&amp;'Elenchi controllo_Parametri'!B65</f>
        <v>2-peso wp104 rete ETHERNET IP</v>
      </c>
      <c r="B48" s="704"/>
      <c r="C48" s="672">
        <f t="array" ref="C48">SUM(IF(descrizione2_filtrata=$A48,impianto!N$23:N$194,0))</f>
        <v>0</v>
      </c>
      <c r="D48" s="693">
        <f t="array" ref="D48">SUM(IF(descrizione2_filtrata=$A48,impianto!AM$23:AM$194,0))</f>
        <v>0</v>
      </c>
      <c r="E48" s="672">
        <f t="array" ref="E48">SUM(IF(descrizione2_filtrata=$A48,impianto!P$23:P$194,0))</f>
        <v>0</v>
      </c>
      <c r="F48" s="693">
        <f t="array" ref="F48">SUM(IF(descrizione2_filtrata=$A48,impianto!AO$23:AO$194,0))</f>
        <v>0</v>
      </c>
      <c r="G48" s="672">
        <f t="array" ref="G48">SUM(IF(descrizione2_filtrata=$A48,impianto!R$23:R$194,0))</f>
        <v>0</v>
      </c>
      <c r="H48" s="693">
        <f t="array" ref="H48">SUM(IF(descrizione2_filtrata=$A48,impianto!AQ$23:AQ$194,0))</f>
        <v>0</v>
      </c>
      <c r="I48" s="672">
        <f t="array" ref="I48">SUM(IF(descrizione2_filtrata=$A48,impianto!T$23:T$194,0))</f>
        <v>0</v>
      </c>
      <c r="J48" s="693">
        <f t="array" ref="J48">SUM(IF(descrizione2_filtrata=$A48,impianto!AS$23:AS$194,0))</f>
        <v>0</v>
      </c>
      <c r="K48" s="672">
        <f t="array" ref="K48">SUM(IF(descrizione2_filtrata=$A48,impianto!V$23:V$194,0))</f>
        <v>0</v>
      </c>
      <c r="L48" s="693">
        <f t="array" ref="L48">SUM(IF(descrizione2_filtrata=$A48,impianto!AU$23:AU$194,0))</f>
        <v>0</v>
      </c>
      <c r="M48" s="672">
        <f t="array" ref="M48">SUM(IF(descrizione2_filtrata=$A48,impianto!X$23:X$194,0))</f>
        <v>0</v>
      </c>
      <c r="N48" s="693">
        <f t="array" ref="N48">SUM(IF(descrizione2_filtrata=$A48,impianto!AW$23:AW$194,0))</f>
        <v>0</v>
      </c>
      <c r="O48" s="672">
        <f t="array" ref="O48">SUM(IF(descrizione2_filtrata=$A48,impianto!Z$23:Z$194,0))</f>
        <v>0</v>
      </c>
      <c r="P48" s="693">
        <f t="array" ref="P48">SUM(IF(descrizione2_filtrata=$A48,impianto!AY$23:AY$194,0))</f>
        <v>0</v>
      </c>
      <c r="Q48" s="672">
        <f t="array" ref="Q48">SUM(IF(descrizione2_filtrata=$A48,impianto!AB$23:AB$194,0))</f>
        <v>0</v>
      </c>
      <c r="R48" s="693">
        <f t="array" ref="R48">SUM(IF(descrizione2_filtrata=$A48,impianto!BA$23:BA$194,0))</f>
        <v>0</v>
      </c>
      <c r="S48" s="672">
        <f t="array" ref="S48">SUM(IF(descrizione2_filtrata=$A48,impianto!AD$23:AD$194,0))</f>
        <v>0</v>
      </c>
      <c r="T48" s="693">
        <f t="array" ref="T48">SUM(IF(descrizione2_filtrata=$A48,impianto!BC$23:BC$194,0))</f>
        <v>0</v>
      </c>
      <c r="U48" s="672">
        <f t="array" ref="U48">SUM(IF(descrizione2_filtrata=$A48,impianto!AF$23:AF$194,0))</f>
        <v>0</v>
      </c>
      <c r="V48" s="693">
        <f t="array" ref="V48">SUM(IF(descrizione2_filtrata=$A48,impianto!BE$23:BE$194,0))</f>
        <v>0</v>
      </c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102"/>
      <c r="DJ48" s="102"/>
      <c r="DK48" s="102"/>
      <c r="DL48" s="102"/>
      <c r="DM48" s="102"/>
      <c r="DN48" s="102"/>
      <c r="DO48" s="102"/>
      <c r="DP48" s="102"/>
      <c r="DQ48" s="102"/>
      <c r="DR48" s="102"/>
      <c r="DS48" s="102"/>
      <c r="DT48" s="102"/>
      <c r="DU48" s="102"/>
      <c r="DV48" s="102"/>
      <c r="DW48" s="102"/>
      <c r="DX48" s="102"/>
      <c r="DY48" s="102"/>
      <c r="DZ48" s="102"/>
      <c r="EA48" s="102"/>
      <c r="EB48" s="102"/>
      <c r="EC48" s="102"/>
      <c r="ED48" s="102"/>
      <c r="EE48" s="102"/>
      <c r="EF48" s="102"/>
      <c r="EG48" s="102"/>
      <c r="EH48" s="102"/>
      <c r="EI48" s="102"/>
      <c r="EJ48" s="102"/>
      <c r="EK48" s="102"/>
      <c r="EL48" s="102"/>
      <c r="EM48" s="102"/>
      <c r="EN48" s="102"/>
      <c r="EO48" s="102"/>
      <c r="EP48" s="102"/>
      <c r="EQ48" s="102"/>
      <c r="ER48" s="102"/>
      <c r="ES48" s="102"/>
      <c r="ET48" s="102"/>
      <c r="EU48" s="102"/>
      <c r="EV48" s="102"/>
      <c r="EW48" s="102"/>
      <c r="EX48" s="102"/>
      <c r="EY48" s="102"/>
      <c r="EZ48" s="102"/>
      <c r="FA48" s="102"/>
      <c r="FB48" s="102"/>
      <c r="FC48" s="102"/>
      <c r="FD48" s="102"/>
      <c r="FE48" s="102"/>
      <c r="FF48" s="102"/>
      <c r="FG48" s="102"/>
      <c r="FH48" s="102"/>
      <c r="FI48" s="102"/>
      <c r="FJ48" s="102"/>
      <c r="FK48" s="102"/>
      <c r="FL48" s="102"/>
      <c r="FM48" s="102"/>
      <c r="FN48" s="102"/>
      <c r="FO48" s="102"/>
      <c r="FP48" s="102"/>
      <c r="FQ48" s="102"/>
      <c r="FR48" s="102"/>
      <c r="FS48" s="102"/>
      <c r="FT48" s="102"/>
      <c r="FU48" s="102"/>
      <c r="FV48" s="102"/>
      <c r="FW48" s="102"/>
      <c r="FX48" s="102"/>
      <c r="FY48" s="102"/>
      <c r="FZ48" s="102"/>
      <c r="GA48" s="102"/>
      <c r="GB48" s="102"/>
      <c r="GC48" s="102"/>
      <c r="GD48" s="102"/>
      <c r="GE48" s="102"/>
      <c r="GF48" s="102"/>
      <c r="GG48" s="102"/>
      <c r="GH48" s="102"/>
      <c r="GI48" s="102"/>
      <c r="GJ48" s="102"/>
      <c r="GK48" s="102"/>
      <c r="GL48" s="102"/>
      <c r="GM48" s="102"/>
      <c r="GN48" s="102"/>
      <c r="GO48" s="102"/>
      <c r="GP48" s="102"/>
      <c r="GQ48" s="102"/>
      <c r="GR48" s="102"/>
      <c r="GS48" s="102"/>
      <c r="GT48" s="102"/>
      <c r="GU48" s="102"/>
      <c r="GV48" s="102"/>
      <c r="GW48" s="102"/>
      <c r="GX48" s="102"/>
      <c r="GY48" s="102"/>
      <c r="GZ48" s="102"/>
      <c r="HA48" s="102"/>
      <c r="HB48" s="102"/>
      <c r="HC48" s="102"/>
      <c r="HD48" s="102"/>
      <c r="HE48" s="102"/>
      <c r="HF48" s="102"/>
      <c r="HG48" s="102"/>
      <c r="HH48" s="102"/>
      <c r="HI48" s="102"/>
      <c r="HJ48" s="102"/>
      <c r="HK48" s="102"/>
      <c r="HL48" s="102"/>
      <c r="HM48" s="102"/>
      <c r="HN48" s="102"/>
      <c r="HO48" s="102"/>
      <c r="HP48" s="102"/>
      <c r="HQ48" s="102"/>
      <c r="HR48" s="102"/>
      <c r="HS48" s="102"/>
      <c r="HT48" s="102"/>
      <c r="HU48" s="102"/>
      <c r="HV48" s="102"/>
      <c r="HW48" s="102"/>
      <c r="HX48" s="102"/>
      <c r="HY48" s="102"/>
      <c r="HZ48" s="102"/>
      <c r="IA48" s="102"/>
      <c r="IB48" s="102"/>
      <c r="IC48" s="102"/>
      <c r="ID48" s="102"/>
      <c r="IE48" s="102"/>
      <c r="IF48" s="102"/>
      <c r="IG48" s="102"/>
      <c r="IH48" s="102"/>
      <c r="II48" s="102"/>
      <c r="IJ48" s="102"/>
      <c r="IK48" s="102"/>
      <c r="IL48" s="102"/>
      <c r="IM48" s="102"/>
      <c r="IN48" s="102"/>
      <c r="IO48" s="102"/>
      <c r="IP48" s="102"/>
      <c r="IQ48" s="102"/>
      <c r="IR48" s="102"/>
      <c r="IS48" s="102"/>
      <c r="IT48" s="102"/>
      <c r="IU48" s="102"/>
      <c r="IV48" s="102"/>
    </row>
    <row r="49" spans="1:256" s="106" customFormat="1" ht="13.5" outlineLevel="2" x14ac:dyDescent="0.25">
      <c r="A49" s="410" t="str">
        <f>"2-"&amp;'Elenchi controllo_Parametri'!B66</f>
        <v>2-peso wp104 rete MODBUS RTU</v>
      </c>
      <c r="B49" s="704"/>
      <c r="C49" s="672">
        <f t="array" ref="C49">SUM(IF(descrizione2_filtrata=$A49,impianto!N$23:N$194,0))</f>
        <v>0</v>
      </c>
      <c r="D49" s="693">
        <f t="array" ref="D49">SUM(IF(descrizione2_filtrata=$A49,impianto!AM$23:AM$194,0))</f>
        <v>0</v>
      </c>
      <c r="E49" s="672">
        <f t="array" ref="E49">SUM(IF(descrizione2_filtrata=$A49,impianto!P$23:P$194,0))</f>
        <v>0</v>
      </c>
      <c r="F49" s="693">
        <f t="array" ref="F49">SUM(IF(descrizione2_filtrata=$A49,impianto!AO$23:AO$194,0))</f>
        <v>0</v>
      </c>
      <c r="G49" s="672">
        <f t="array" ref="G49">SUM(IF(descrizione2_filtrata=$A49,impianto!R$23:R$194,0))</f>
        <v>0</v>
      </c>
      <c r="H49" s="693">
        <f t="array" ref="H49">SUM(IF(descrizione2_filtrata=$A49,impianto!AQ$23:AQ$194,0))</f>
        <v>0</v>
      </c>
      <c r="I49" s="672">
        <f t="array" ref="I49">SUM(IF(descrizione2_filtrata=$A49,impianto!T$23:T$194,0))</f>
        <v>0</v>
      </c>
      <c r="J49" s="693">
        <f t="array" ref="J49">SUM(IF(descrizione2_filtrata=$A49,impianto!AS$23:AS$194,0))</f>
        <v>0</v>
      </c>
      <c r="K49" s="672">
        <f t="array" ref="K49">SUM(IF(descrizione2_filtrata=$A49,impianto!V$23:V$194,0))</f>
        <v>0</v>
      </c>
      <c r="L49" s="693">
        <f t="array" ref="L49">SUM(IF(descrizione2_filtrata=$A49,impianto!AU$23:AU$194,0))</f>
        <v>0</v>
      </c>
      <c r="M49" s="672">
        <f t="array" ref="M49">SUM(IF(descrizione2_filtrata=$A49,impianto!X$23:X$194,0))</f>
        <v>0</v>
      </c>
      <c r="N49" s="693">
        <f t="array" ref="N49">SUM(IF(descrizione2_filtrata=$A49,impianto!AW$23:AW$194,0))</f>
        <v>0</v>
      </c>
      <c r="O49" s="672">
        <f t="array" ref="O49">SUM(IF(descrizione2_filtrata=$A49,impianto!Z$23:Z$194,0))</f>
        <v>0</v>
      </c>
      <c r="P49" s="693">
        <f t="array" ref="P49">SUM(IF(descrizione2_filtrata=$A49,impianto!AY$23:AY$194,0))</f>
        <v>0</v>
      </c>
      <c r="Q49" s="672">
        <f t="array" ref="Q49">SUM(IF(descrizione2_filtrata=$A49,impianto!AB$23:AB$194,0))</f>
        <v>0</v>
      </c>
      <c r="R49" s="693">
        <f t="array" ref="R49">SUM(IF(descrizione2_filtrata=$A49,impianto!BA$23:BA$194,0))</f>
        <v>0</v>
      </c>
      <c r="S49" s="672">
        <f t="array" ref="S49">SUM(IF(descrizione2_filtrata=$A49,impianto!AD$23:AD$194,0))</f>
        <v>0</v>
      </c>
      <c r="T49" s="693">
        <f t="array" ref="T49">SUM(IF(descrizione2_filtrata=$A49,impianto!BC$23:BC$194,0))</f>
        <v>0</v>
      </c>
      <c r="U49" s="672">
        <f t="array" ref="U49">SUM(IF(descrizione2_filtrata=$A49,impianto!AF$23:AF$194,0))</f>
        <v>0</v>
      </c>
      <c r="V49" s="693">
        <f t="array" ref="V49">SUM(IF(descrizione2_filtrata=$A49,impianto!BE$23:BE$194,0))</f>
        <v>0</v>
      </c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02"/>
      <c r="BZ49" s="102"/>
      <c r="CA49" s="102"/>
      <c r="CB49" s="102"/>
      <c r="CC49" s="102"/>
      <c r="CD49" s="102"/>
      <c r="CE49" s="102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2"/>
      <c r="CQ49" s="102"/>
      <c r="CR49" s="102"/>
      <c r="CS49" s="102"/>
      <c r="CT49" s="102"/>
      <c r="CU49" s="102"/>
      <c r="CV49" s="102"/>
      <c r="CW49" s="102"/>
      <c r="CX49" s="102"/>
      <c r="CY49" s="102"/>
      <c r="CZ49" s="102"/>
      <c r="DA49" s="102"/>
      <c r="DB49" s="102"/>
      <c r="DC49" s="102"/>
      <c r="DD49" s="102"/>
      <c r="DE49" s="102"/>
      <c r="DF49" s="102"/>
      <c r="DG49" s="102"/>
      <c r="DH49" s="102"/>
      <c r="DI49" s="102"/>
      <c r="DJ49" s="102"/>
      <c r="DK49" s="102"/>
      <c r="DL49" s="102"/>
      <c r="DM49" s="102"/>
      <c r="DN49" s="102"/>
      <c r="DO49" s="102"/>
      <c r="DP49" s="102"/>
      <c r="DQ49" s="102"/>
      <c r="DR49" s="102"/>
      <c r="DS49" s="102"/>
      <c r="DT49" s="102"/>
      <c r="DU49" s="102"/>
      <c r="DV49" s="102"/>
      <c r="DW49" s="102"/>
      <c r="DX49" s="102"/>
      <c r="DY49" s="102"/>
      <c r="DZ49" s="102"/>
      <c r="EA49" s="102"/>
      <c r="EB49" s="102"/>
      <c r="EC49" s="102"/>
      <c r="ED49" s="102"/>
      <c r="EE49" s="102"/>
      <c r="EF49" s="102"/>
      <c r="EG49" s="102"/>
      <c r="EH49" s="102"/>
      <c r="EI49" s="102"/>
      <c r="EJ49" s="102"/>
      <c r="EK49" s="102"/>
      <c r="EL49" s="102"/>
      <c r="EM49" s="102"/>
      <c r="EN49" s="102"/>
      <c r="EO49" s="102"/>
      <c r="EP49" s="102"/>
      <c r="EQ49" s="102"/>
      <c r="ER49" s="102"/>
      <c r="ES49" s="102"/>
      <c r="ET49" s="102"/>
      <c r="EU49" s="102"/>
      <c r="EV49" s="102"/>
      <c r="EW49" s="102"/>
      <c r="EX49" s="102"/>
      <c r="EY49" s="102"/>
      <c r="EZ49" s="102"/>
      <c r="FA49" s="102"/>
      <c r="FB49" s="102"/>
      <c r="FC49" s="102"/>
      <c r="FD49" s="102"/>
      <c r="FE49" s="102"/>
      <c r="FF49" s="102"/>
      <c r="FG49" s="102"/>
      <c r="FH49" s="102"/>
      <c r="FI49" s="102"/>
      <c r="FJ49" s="102"/>
      <c r="FK49" s="102"/>
      <c r="FL49" s="102"/>
      <c r="FM49" s="102"/>
      <c r="FN49" s="102"/>
      <c r="FO49" s="102"/>
      <c r="FP49" s="102"/>
      <c r="FQ49" s="102"/>
      <c r="FR49" s="102"/>
      <c r="FS49" s="102"/>
      <c r="FT49" s="102"/>
      <c r="FU49" s="102"/>
      <c r="FV49" s="102"/>
      <c r="FW49" s="102"/>
      <c r="FX49" s="102"/>
      <c r="FY49" s="102"/>
      <c r="FZ49" s="102"/>
      <c r="GA49" s="102"/>
      <c r="GB49" s="102"/>
      <c r="GC49" s="102"/>
      <c r="GD49" s="102"/>
      <c r="GE49" s="102"/>
      <c r="GF49" s="102"/>
      <c r="GG49" s="102"/>
      <c r="GH49" s="102"/>
      <c r="GI49" s="102"/>
      <c r="GJ49" s="102"/>
      <c r="GK49" s="102"/>
      <c r="GL49" s="102"/>
      <c r="GM49" s="102"/>
      <c r="GN49" s="102"/>
      <c r="GO49" s="102"/>
      <c r="GP49" s="102"/>
      <c r="GQ49" s="102"/>
      <c r="GR49" s="102"/>
      <c r="GS49" s="102"/>
      <c r="GT49" s="102"/>
      <c r="GU49" s="102"/>
      <c r="GV49" s="102"/>
      <c r="GW49" s="102"/>
      <c r="GX49" s="102"/>
      <c r="GY49" s="102"/>
      <c r="GZ49" s="102"/>
      <c r="HA49" s="102"/>
      <c r="HB49" s="102"/>
      <c r="HC49" s="102"/>
      <c r="HD49" s="102"/>
      <c r="HE49" s="102"/>
      <c r="HF49" s="102"/>
      <c r="HG49" s="102"/>
      <c r="HH49" s="102"/>
      <c r="HI49" s="102"/>
      <c r="HJ49" s="102"/>
      <c r="HK49" s="102"/>
      <c r="HL49" s="102"/>
      <c r="HM49" s="102"/>
      <c r="HN49" s="102"/>
      <c r="HO49" s="102"/>
      <c r="HP49" s="102"/>
      <c r="HQ49" s="102"/>
      <c r="HR49" s="102"/>
      <c r="HS49" s="102"/>
      <c r="HT49" s="102"/>
      <c r="HU49" s="102"/>
      <c r="HV49" s="102"/>
      <c r="HW49" s="102"/>
      <c r="HX49" s="102"/>
      <c r="HY49" s="102"/>
      <c r="HZ49" s="102"/>
      <c r="IA49" s="102"/>
      <c r="IB49" s="102"/>
      <c r="IC49" s="102"/>
      <c r="ID49" s="102"/>
      <c r="IE49" s="102"/>
      <c r="IF49" s="102"/>
      <c r="IG49" s="102"/>
      <c r="IH49" s="102"/>
      <c r="II49" s="102"/>
      <c r="IJ49" s="102"/>
      <c r="IK49" s="102"/>
      <c r="IL49" s="102"/>
      <c r="IM49" s="102"/>
      <c r="IN49" s="102"/>
      <c r="IO49" s="102"/>
      <c r="IP49" s="102"/>
      <c r="IQ49" s="102"/>
      <c r="IR49" s="102"/>
      <c r="IS49" s="102"/>
      <c r="IT49" s="102"/>
      <c r="IU49" s="102"/>
      <c r="IV49" s="102"/>
    </row>
    <row r="50" spans="1:256" s="105" customFormat="1" ht="14.25" outlineLevel="1" thickBot="1" x14ac:dyDescent="0.3">
      <c r="A50" s="709" t="s">
        <v>2457</v>
      </c>
      <c r="B50" s="710">
        <f>SUM(C50:V50)</f>
        <v>0</v>
      </c>
      <c r="C50" s="711"/>
      <c r="D50" s="712">
        <f>SUM(D46:D49)</f>
        <v>0</v>
      </c>
      <c r="E50" s="711"/>
      <c r="F50" s="712">
        <f>SUM(F46:F49)</f>
        <v>0</v>
      </c>
      <c r="G50" s="711"/>
      <c r="H50" s="712">
        <f>SUM(H46:H49)</f>
        <v>0</v>
      </c>
      <c r="I50" s="711"/>
      <c r="J50" s="712">
        <f>SUM(J46:J49)</f>
        <v>0</v>
      </c>
      <c r="K50" s="711"/>
      <c r="L50" s="712">
        <f>SUM(L46:L49)</f>
        <v>0</v>
      </c>
      <c r="M50" s="711"/>
      <c r="N50" s="712">
        <f>SUM(N46:N49)</f>
        <v>0</v>
      </c>
      <c r="O50" s="711"/>
      <c r="P50" s="712">
        <f>SUM(P46:P49)</f>
        <v>0</v>
      </c>
      <c r="Q50" s="711"/>
      <c r="R50" s="712">
        <f>SUM(R46:R49)</f>
        <v>0</v>
      </c>
      <c r="S50" s="711"/>
      <c r="T50" s="712">
        <f>SUM(T46:T49)</f>
        <v>0</v>
      </c>
      <c r="U50" s="711"/>
      <c r="V50" s="712">
        <f>SUM(V46:V49)</f>
        <v>0</v>
      </c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02"/>
      <c r="BZ50" s="102"/>
      <c r="CA50" s="102"/>
      <c r="CB50" s="102"/>
      <c r="CC50" s="102"/>
      <c r="CD50" s="102"/>
      <c r="CE50" s="102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2"/>
      <c r="CQ50" s="102"/>
      <c r="CR50" s="102"/>
      <c r="CS50" s="102"/>
      <c r="CT50" s="102"/>
      <c r="CU50" s="102"/>
      <c r="CV50" s="102"/>
      <c r="CW50" s="102"/>
      <c r="CX50" s="102"/>
      <c r="CY50" s="102"/>
      <c r="CZ50" s="102"/>
      <c r="DA50" s="102"/>
      <c r="DB50" s="102"/>
      <c r="DC50" s="102"/>
      <c r="DD50" s="102"/>
      <c r="DE50" s="102"/>
      <c r="DF50" s="102"/>
      <c r="DG50" s="102"/>
      <c r="DH50" s="102"/>
      <c r="DI50" s="102"/>
      <c r="DJ50" s="102"/>
      <c r="DK50" s="102"/>
      <c r="DL50" s="102"/>
      <c r="DM50" s="102"/>
      <c r="DN50" s="102"/>
      <c r="DO50" s="102"/>
      <c r="DP50" s="102"/>
      <c r="DQ50" s="102"/>
      <c r="DR50" s="102"/>
      <c r="DS50" s="102"/>
      <c r="DT50" s="102"/>
      <c r="DU50" s="102"/>
      <c r="DV50" s="102"/>
      <c r="DW50" s="102"/>
      <c r="DX50" s="102"/>
      <c r="DY50" s="102"/>
      <c r="DZ50" s="102"/>
      <c r="EA50" s="102"/>
      <c r="EB50" s="102"/>
      <c r="EC50" s="102"/>
      <c r="ED50" s="102"/>
      <c r="EE50" s="102"/>
      <c r="EF50" s="102"/>
      <c r="EG50" s="102"/>
      <c r="EH50" s="102"/>
      <c r="EI50" s="102"/>
      <c r="EJ50" s="102"/>
      <c r="EK50" s="102"/>
      <c r="EL50" s="102"/>
      <c r="EM50" s="102"/>
      <c r="EN50" s="102"/>
      <c r="EO50" s="102"/>
      <c r="EP50" s="102"/>
      <c r="EQ50" s="102"/>
      <c r="ER50" s="102"/>
      <c r="ES50" s="102"/>
      <c r="ET50" s="102"/>
      <c r="EU50" s="102"/>
      <c r="EV50" s="102"/>
      <c r="EW50" s="102"/>
      <c r="EX50" s="102"/>
      <c r="EY50" s="102"/>
      <c r="EZ50" s="102"/>
      <c r="FA50" s="102"/>
      <c r="FB50" s="102"/>
      <c r="FC50" s="102"/>
      <c r="FD50" s="102"/>
      <c r="FE50" s="102"/>
      <c r="FF50" s="102"/>
      <c r="FG50" s="102"/>
      <c r="FH50" s="102"/>
      <c r="FI50" s="102"/>
      <c r="FJ50" s="102"/>
      <c r="FK50" s="102"/>
      <c r="FL50" s="102"/>
      <c r="FM50" s="102"/>
      <c r="FN50" s="102"/>
      <c r="FO50" s="102"/>
      <c r="FP50" s="102"/>
      <c r="FQ50" s="102"/>
      <c r="FR50" s="102"/>
      <c r="FS50" s="102"/>
      <c r="FT50" s="102"/>
      <c r="FU50" s="102"/>
      <c r="FV50" s="102"/>
      <c r="FW50" s="102"/>
      <c r="FX50" s="102"/>
      <c r="FY50" s="102"/>
      <c r="FZ50" s="102"/>
      <c r="GA50" s="102"/>
      <c r="GB50" s="102"/>
      <c r="GC50" s="102"/>
      <c r="GD50" s="102"/>
      <c r="GE50" s="102"/>
      <c r="GF50" s="102"/>
      <c r="GG50" s="102"/>
      <c r="GH50" s="102"/>
      <c r="GI50" s="102"/>
      <c r="GJ50" s="102"/>
      <c r="GK50" s="102"/>
      <c r="GL50" s="102"/>
      <c r="GM50" s="102"/>
      <c r="GN50" s="102"/>
      <c r="GO50" s="102"/>
      <c r="GP50" s="102"/>
      <c r="GQ50" s="102"/>
      <c r="GR50" s="102"/>
      <c r="GS50" s="102"/>
      <c r="GT50" s="102"/>
      <c r="GU50" s="102"/>
      <c r="GV50" s="102"/>
      <c r="GW50" s="102"/>
      <c r="GX50" s="102"/>
      <c r="GY50" s="102"/>
      <c r="GZ50" s="102"/>
      <c r="HA50" s="102"/>
      <c r="HB50" s="102"/>
      <c r="HC50" s="102"/>
      <c r="HD50" s="102"/>
      <c r="HE50" s="102"/>
      <c r="HF50" s="102"/>
      <c r="HG50" s="102"/>
      <c r="HH50" s="102"/>
      <c r="HI50" s="102"/>
      <c r="HJ50" s="102"/>
      <c r="HK50" s="102"/>
      <c r="HL50" s="102"/>
      <c r="HM50" s="102"/>
      <c r="HN50" s="102"/>
      <c r="HO50" s="102"/>
      <c r="HP50" s="102"/>
      <c r="HQ50" s="102"/>
      <c r="HR50" s="102"/>
      <c r="HS50" s="102"/>
      <c r="HT50" s="102"/>
      <c r="HU50" s="102"/>
      <c r="HV50" s="102"/>
      <c r="HW50" s="102"/>
      <c r="HX50" s="102"/>
      <c r="HY50" s="102"/>
      <c r="HZ50" s="102"/>
      <c r="IA50" s="102"/>
      <c r="IB50" s="102"/>
      <c r="IC50" s="102"/>
      <c r="ID50" s="102"/>
      <c r="IE50" s="102"/>
      <c r="IF50" s="102"/>
      <c r="IG50" s="102"/>
      <c r="IH50" s="102"/>
      <c r="II50" s="102"/>
      <c r="IJ50" s="102"/>
      <c r="IK50" s="102"/>
      <c r="IL50" s="102"/>
      <c r="IM50" s="102"/>
      <c r="IN50" s="102"/>
      <c r="IO50" s="102"/>
      <c r="IP50" s="102"/>
      <c r="IQ50" s="102"/>
      <c r="IR50" s="102"/>
      <c r="IS50" s="102"/>
      <c r="IT50" s="102"/>
      <c r="IU50" s="102"/>
      <c r="IV50" s="102"/>
    </row>
    <row r="51" spans="1:256" outlineLevel="2" x14ac:dyDescent="0.2">
      <c r="A51" s="92" t="s">
        <v>702</v>
      </c>
      <c r="B51" s="93"/>
      <c r="C51" s="93"/>
      <c r="D51" s="95"/>
      <c r="E51" s="98"/>
      <c r="F51" s="96"/>
      <c r="G51" s="93"/>
      <c r="H51" s="95"/>
      <c r="I51" s="93"/>
      <c r="J51" s="95"/>
      <c r="K51" s="93"/>
      <c r="L51" s="95"/>
      <c r="M51" s="93"/>
      <c r="N51" s="95"/>
      <c r="O51" s="93"/>
      <c r="P51" s="95"/>
      <c r="Q51" s="93"/>
      <c r="R51" s="95"/>
      <c r="S51" s="93"/>
      <c r="T51" s="95"/>
      <c r="U51" s="93"/>
      <c r="V51" s="97"/>
    </row>
    <row r="52" spans="1:256" outlineLevel="2" x14ac:dyDescent="0.2">
      <c r="A52" s="90" t="s">
        <v>660</v>
      </c>
      <c r="B52" s="84"/>
      <c r="C52" s="99">
        <f t="array" ref="C52">SUM(IF(settore=$A52,impianto!AI$23:AI$194,0))</f>
        <v>0</v>
      </c>
      <c r="D52" s="434">
        <f t="array" ref="D52">SUM(IF(settore=$A52,impianto!AM$23:AM$194,0))</f>
        <v>0</v>
      </c>
      <c r="E52" s="99">
        <f t="array" ref="E52">SUM(IF(settore=$A52,impianto!AN$23:AN$194,0))</f>
        <v>0</v>
      </c>
      <c r="F52" s="434">
        <f t="array" ref="F52">SUM(IF(settore=$A52,impianto!AO$23:AO$194,0))</f>
        <v>0</v>
      </c>
      <c r="G52" s="99">
        <f t="array" ref="G52">SUM(IF(settore=$A52,impianto!AP$23:AP$194,0))</f>
        <v>0</v>
      </c>
      <c r="H52" s="434">
        <f t="array" ref="H52">SUM(IF(settore=$A52,impianto!AQ$23:AQ$194,0))</f>
        <v>0</v>
      </c>
      <c r="I52" s="99">
        <f t="array" ref="I52">SUM(IF(settore=$A52,impianto!AR$23:AR$194,0))</f>
        <v>0</v>
      </c>
      <c r="J52" s="434">
        <f t="array" ref="J52">SUM(IF(settore=$A52,impianto!AS$23:AS$194,0))</f>
        <v>0</v>
      </c>
      <c r="K52" s="99">
        <f t="array" ref="K52">SUM(IF(settore=$A52,impianto!AT$23:AT$194,0))</f>
        <v>0</v>
      </c>
      <c r="L52" s="434">
        <f t="array" ref="L52">SUM(IF(settore=$A52,impianto!AU$23:AU$194,0))</f>
        <v>0</v>
      </c>
      <c r="M52" s="99">
        <f t="array" ref="M52">SUM(IF(settore=$A52,impianto!AV$23:AV$194,0))</f>
        <v>0</v>
      </c>
      <c r="N52" s="434">
        <f t="array" ref="N52">SUM(IF(settore=$A52,impianto!AW$23:AW$194,0))</f>
        <v>0</v>
      </c>
      <c r="O52" s="99">
        <f t="array" ref="O52">SUM(IF(settore=$A52,impianto!AX$23:AX$194,0))</f>
        <v>0</v>
      </c>
      <c r="P52" s="434">
        <f t="array" ref="P52">SUM(IF(settore=$A52,impianto!AY$23:AY$194,0))</f>
        <v>0</v>
      </c>
      <c r="Q52" s="99">
        <f t="array" ref="Q52">SUM(IF(settore=$A52,impianto!AZ$23:AZ$194,0))</f>
        <v>0</v>
      </c>
      <c r="R52" s="434">
        <f t="array" ref="R52">SUM(IF(settore=$A52,impianto!BA$23:BA$194,0))</f>
        <v>0</v>
      </c>
      <c r="S52" s="99">
        <f t="array" ref="S52">SUM(IF(settore=$A52,impianto!BB$23:BB$194,0))</f>
        <v>0</v>
      </c>
      <c r="T52" s="434">
        <f t="array" ref="T52">SUM(IF(settore=$A52,impianto!BC$23:BC$194,0))</f>
        <v>0</v>
      </c>
      <c r="U52" s="99">
        <f t="array" ref="U52">SUM(IF(settore=$A52,impianto!BD$23:BD$194,0))</f>
        <v>0</v>
      </c>
      <c r="V52" s="434">
        <f t="array" ref="V52">SUM(IF(settore=$A52,impianto!BE$23:BE$194,0))</f>
        <v>0</v>
      </c>
    </row>
    <row r="53" spans="1:256" outlineLevel="2" x14ac:dyDescent="0.2">
      <c r="A53" s="90" t="s">
        <v>662</v>
      </c>
      <c r="B53" s="84"/>
      <c r="C53" s="99">
        <f t="array" ref="C53">SUM(IF(settore=$A53,impianto!AI$23:AI$194,0))</f>
        <v>0</v>
      </c>
      <c r="D53" s="434">
        <f t="array" ref="D53">SUM(IF(settore=$A53,impianto!AM$23:AM$194,0))</f>
        <v>0</v>
      </c>
      <c r="E53" s="99">
        <f t="array" ref="E53">SUM(IF(settore=$A53,impianto!AN$23:AN$194,0))</f>
        <v>0</v>
      </c>
      <c r="F53" s="434">
        <f t="array" ref="F53">SUM(IF(settore=$A53,impianto!AO$23:AO$194,0))</f>
        <v>0</v>
      </c>
      <c r="G53" s="99">
        <f t="array" ref="G53">SUM(IF(settore=$A53,impianto!AP$23:AP$194,0))</f>
        <v>0</v>
      </c>
      <c r="H53" s="434">
        <f t="array" ref="H53">SUM(IF(settore=$A53,impianto!AQ$23:AQ$194,0))</f>
        <v>0</v>
      </c>
      <c r="I53" s="99">
        <f t="array" ref="I53">SUM(IF(settore=$A53,impianto!AR$23:AR$194,0))</f>
        <v>0</v>
      </c>
      <c r="J53" s="434">
        <f t="array" ref="J53">SUM(IF(settore=$A53,impianto!AS$23:AS$194,0))</f>
        <v>0</v>
      </c>
      <c r="K53" s="99">
        <f t="array" ref="K53">SUM(IF(settore=$A53,impianto!AT$23:AT$194,0))</f>
        <v>0</v>
      </c>
      <c r="L53" s="434">
        <f t="array" ref="L53">SUM(IF(settore=$A53,impianto!AU$23:AU$194,0))</f>
        <v>0</v>
      </c>
      <c r="M53" s="99">
        <f t="array" ref="M53">SUM(IF(settore=$A53,impianto!AV$23:AV$194,0))</f>
        <v>0</v>
      </c>
      <c r="N53" s="434">
        <f t="array" ref="N53">SUM(IF(settore=$A53,impianto!AW$23:AW$194,0))</f>
        <v>0</v>
      </c>
      <c r="O53" s="99">
        <f t="array" ref="O53">SUM(IF(settore=$A53,impianto!AX$23:AX$194,0))</f>
        <v>0</v>
      </c>
      <c r="P53" s="434">
        <f t="array" ref="P53">SUM(IF(settore=$A53,impianto!AY$23:AY$194,0))</f>
        <v>0</v>
      </c>
      <c r="Q53" s="99">
        <f t="array" ref="Q53">SUM(IF(settore=$A53,impianto!AZ$23:AZ$194,0))</f>
        <v>0</v>
      </c>
      <c r="R53" s="434">
        <f t="array" ref="R53">SUM(IF(settore=$A53,impianto!BA$23:BA$194,0))</f>
        <v>0</v>
      </c>
      <c r="S53" s="99">
        <f t="array" ref="S53">SUM(IF(settore=$A53,impianto!BB$23:BB$194,0))</f>
        <v>0</v>
      </c>
      <c r="T53" s="434">
        <f t="array" ref="T53">SUM(IF(settore=$A53,impianto!BC$23:BC$194,0))</f>
        <v>0</v>
      </c>
      <c r="U53" s="99">
        <f t="array" ref="U53">SUM(IF(settore=$A53,impianto!BD$23:BD$194,0))</f>
        <v>0</v>
      </c>
      <c r="V53" s="434">
        <f t="array" ref="V53">SUM(IF(settore=$A53,impianto!BE$23:BE$194,0))</f>
        <v>0</v>
      </c>
    </row>
    <row r="54" spans="1:256" outlineLevel="2" x14ac:dyDescent="0.2">
      <c r="A54" s="90" t="s">
        <v>665</v>
      </c>
      <c r="B54" s="84"/>
      <c r="C54" s="99">
        <f t="array" ref="C54">SUM(IF(settore=$A54,impianto!AI$23:AI$194,0))</f>
        <v>0</v>
      </c>
      <c r="D54" s="434">
        <f t="array" ref="D54">SUM(IF(settore=$A54,impianto!AM$23:AM$194,0))</f>
        <v>0</v>
      </c>
      <c r="E54" s="99">
        <f t="array" ref="E54">SUM(IF(settore=$A54,impianto!AN$23:AN$194,0))</f>
        <v>0</v>
      </c>
      <c r="F54" s="434">
        <f t="array" ref="F54">SUM(IF(settore=$A54,impianto!AO$23:AO$194,0))</f>
        <v>0</v>
      </c>
      <c r="G54" s="99">
        <f t="array" ref="G54">SUM(IF(settore=$A54,impianto!AP$23:AP$194,0))</f>
        <v>0</v>
      </c>
      <c r="H54" s="434">
        <f t="array" ref="H54">SUM(IF(settore=$A54,impianto!AQ$23:AQ$194,0))</f>
        <v>0</v>
      </c>
      <c r="I54" s="99">
        <f t="array" ref="I54">SUM(IF(settore=$A54,impianto!AR$23:AR$194,0))</f>
        <v>0</v>
      </c>
      <c r="J54" s="434">
        <f t="array" ref="J54">SUM(IF(settore=$A54,impianto!AS$23:AS$194,0))</f>
        <v>0</v>
      </c>
      <c r="K54" s="99">
        <f t="array" ref="K54">SUM(IF(settore=$A54,impianto!AT$23:AT$194,0))</f>
        <v>0</v>
      </c>
      <c r="L54" s="434">
        <f t="array" ref="L54">SUM(IF(settore=$A54,impianto!AU$23:AU$194,0))</f>
        <v>0</v>
      </c>
      <c r="M54" s="99">
        <f t="array" ref="M54">SUM(IF(settore=$A54,impianto!AV$23:AV$194,0))</f>
        <v>0</v>
      </c>
      <c r="N54" s="434">
        <f t="array" ref="N54">SUM(IF(settore=$A54,impianto!AW$23:AW$194,0))</f>
        <v>0</v>
      </c>
      <c r="O54" s="99">
        <f t="array" ref="O54">SUM(IF(settore=$A54,impianto!AX$23:AX$194,0))</f>
        <v>0</v>
      </c>
      <c r="P54" s="434">
        <f t="array" ref="P54">SUM(IF(settore=$A54,impianto!AY$23:AY$194,0))</f>
        <v>0</v>
      </c>
      <c r="Q54" s="99">
        <f t="array" ref="Q54">SUM(IF(settore=$A54,impianto!AZ$23:AZ$194,0))</f>
        <v>0</v>
      </c>
      <c r="R54" s="434">
        <f t="array" ref="R54">SUM(IF(settore=$A54,impianto!BA$23:BA$194,0))</f>
        <v>0</v>
      </c>
      <c r="S54" s="99">
        <f t="array" ref="S54">SUM(IF(settore=$A54,impianto!BB$23:BB$194,0))</f>
        <v>0</v>
      </c>
      <c r="T54" s="434">
        <f t="array" ref="T54">SUM(IF(settore=$A54,impianto!BC$23:BC$194,0))</f>
        <v>0</v>
      </c>
      <c r="U54" s="99">
        <f t="array" ref="U54">SUM(IF(settore=$A54,impianto!BD$23:BD$194,0))</f>
        <v>0</v>
      </c>
      <c r="V54" s="434">
        <f t="array" ref="V54">SUM(IF(settore=$A54,impianto!BE$23:BE$194,0))</f>
        <v>0</v>
      </c>
    </row>
    <row r="55" spans="1:256" outlineLevel="2" x14ac:dyDescent="0.2">
      <c r="A55" s="90" t="s">
        <v>1035</v>
      </c>
      <c r="B55" s="84"/>
      <c r="C55" s="99">
        <f t="array" ref="C55">SUM(IF(settore=$A55,impianto!AI$23:AI$194,0))</f>
        <v>0</v>
      </c>
      <c r="D55" s="434">
        <f t="array" ref="D55">SUM(IF(settore=$A55,impianto!AM$23:AM$194,0))</f>
        <v>0</v>
      </c>
      <c r="E55" s="99">
        <f t="array" ref="E55">SUM(IF(settore=$A55,impianto!AN$23:AN$194,0))</f>
        <v>0</v>
      </c>
      <c r="F55" s="434">
        <f t="array" ref="F55">SUM(IF(settore=$A55,impianto!AO$23:AO$194,0))</f>
        <v>0</v>
      </c>
      <c r="G55" s="99">
        <f t="array" ref="G55">SUM(IF(settore=$A55,impianto!AP$23:AP$194,0))</f>
        <v>0</v>
      </c>
      <c r="H55" s="434">
        <f t="array" ref="H55">SUM(IF(settore=$A55,impianto!AQ$23:AQ$194,0))</f>
        <v>0</v>
      </c>
      <c r="I55" s="99">
        <f t="array" ref="I55">SUM(IF(settore=$A55,impianto!AR$23:AR$194,0))</f>
        <v>0</v>
      </c>
      <c r="J55" s="434">
        <f t="array" ref="J55">SUM(IF(settore=$A55,impianto!AS$23:AS$194,0))</f>
        <v>0</v>
      </c>
      <c r="K55" s="99">
        <f t="array" ref="K55">SUM(IF(settore=$A55,impianto!AT$23:AT$194,0))</f>
        <v>0</v>
      </c>
      <c r="L55" s="434">
        <f t="array" ref="L55">SUM(IF(settore=$A55,impianto!AU$23:AU$194,0))</f>
        <v>0</v>
      </c>
      <c r="M55" s="99">
        <f t="array" ref="M55">SUM(IF(settore=$A55,impianto!AV$23:AV$194,0))</f>
        <v>0</v>
      </c>
      <c r="N55" s="434">
        <f t="array" ref="N55">SUM(IF(settore=$A55,impianto!AW$23:AW$194,0))</f>
        <v>0</v>
      </c>
      <c r="O55" s="99">
        <f t="array" ref="O55">SUM(IF(settore=$A55,impianto!AX$23:AX$194,0))</f>
        <v>0</v>
      </c>
      <c r="P55" s="434">
        <f t="array" ref="P55">SUM(IF(settore=$A55,impianto!AY$23:AY$194,0))</f>
        <v>0</v>
      </c>
      <c r="Q55" s="99">
        <f t="array" ref="Q55">SUM(IF(settore=$A55,impianto!AZ$23:AZ$194,0))</f>
        <v>0</v>
      </c>
      <c r="R55" s="434">
        <f t="array" ref="R55">SUM(IF(settore=$A55,impianto!BA$23:BA$194,0))</f>
        <v>0</v>
      </c>
      <c r="S55" s="99">
        <f t="array" ref="S55">SUM(IF(settore=$A55,impianto!BB$23:BB$194,0))</f>
        <v>0</v>
      </c>
      <c r="T55" s="434">
        <f t="array" ref="T55">SUM(IF(settore=$A55,impianto!BC$23:BC$194,0))</f>
        <v>0</v>
      </c>
      <c r="U55" s="99">
        <f t="array" ref="U55">SUM(IF(settore=$A55,impianto!BD$23:BD$194,0))</f>
        <v>0</v>
      </c>
      <c r="V55" s="434">
        <f t="array" ref="V55">SUM(IF(settore=$A55,impianto!BE$23:BE$194,0))</f>
        <v>0</v>
      </c>
    </row>
    <row r="56" spans="1:256" outlineLevel="2" x14ac:dyDescent="0.2">
      <c r="A56" s="90" t="s">
        <v>667</v>
      </c>
      <c r="B56" s="84"/>
      <c r="C56" s="99">
        <f t="array" ref="C56">SUM(IF(settore=$A56,impianto!AI$23:AI$194,0))</f>
        <v>0</v>
      </c>
      <c r="D56" s="434">
        <f t="array" ref="D56">SUM(IF(settore=$A56,impianto!AM$23:AM$194,0))</f>
        <v>0</v>
      </c>
      <c r="E56" s="99">
        <f t="array" ref="E56">SUM(IF(settore=$A56,impianto!AN$23:AN$194,0))</f>
        <v>0</v>
      </c>
      <c r="F56" s="434">
        <f t="array" ref="F56">SUM(IF(settore=$A56,impianto!AO$23:AO$194,0))</f>
        <v>0</v>
      </c>
      <c r="G56" s="99">
        <f t="array" ref="G56">SUM(IF(settore=$A56,impianto!AP$23:AP$194,0))</f>
        <v>0</v>
      </c>
      <c r="H56" s="434">
        <f t="array" ref="H56">SUM(IF(settore=$A56,impianto!AQ$23:AQ$194,0))</f>
        <v>0</v>
      </c>
      <c r="I56" s="99">
        <f t="array" ref="I56">SUM(IF(settore=$A56,impianto!AR$23:AR$194,0))</f>
        <v>0</v>
      </c>
      <c r="J56" s="434">
        <f t="array" ref="J56">SUM(IF(settore=$A56,impianto!AS$23:AS$194,0))</f>
        <v>0</v>
      </c>
      <c r="K56" s="99">
        <f t="array" ref="K56">SUM(IF(settore=$A56,impianto!AT$23:AT$194,0))</f>
        <v>0</v>
      </c>
      <c r="L56" s="434">
        <f t="array" ref="L56">SUM(IF(settore=$A56,impianto!AU$23:AU$194,0))</f>
        <v>0</v>
      </c>
      <c r="M56" s="99">
        <f t="array" ref="M56">SUM(IF(settore=$A56,impianto!AV$23:AV$194,0))</f>
        <v>0</v>
      </c>
      <c r="N56" s="434">
        <f t="array" ref="N56">SUM(IF(settore=$A56,impianto!AW$23:AW$194,0))</f>
        <v>0</v>
      </c>
      <c r="O56" s="99">
        <f t="array" ref="O56">SUM(IF(settore=$A56,impianto!AX$23:AX$194,0))</f>
        <v>0</v>
      </c>
      <c r="P56" s="434">
        <f t="array" ref="P56">SUM(IF(settore=$A56,impianto!AY$23:AY$194,0))</f>
        <v>0</v>
      </c>
      <c r="Q56" s="99">
        <f t="array" ref="Q56">SUM(IF(settore=$A56,impianto!AZ$23:AZ$194,0))</f>
        <v>0</v>
      </c>
      <c r="R56" s="434">
        <f t="array" ref="R56">SUM(IF(settore=$A56,impianto!BA$23:BA$194,0))</f>
        <v>0</v>
      </c>
      <c r="S56" s="99">
        <f t="array" ref="S56">SUM(IF(settore=$A56,impianto!BB$23:BB$194,0))</f>
        <v>0</v>
      </c>
      <c r="T56" s="434">
        <f t="array" ref="T56">SUM(IF(settore=$A56,impianto!BC$23:BC$194,0))</f>
        <v>0</v>
      </c>
      <c r="U56" s="99">
        <f t="array" ref="U56">SUM(IF(settore=$A56,impianto!BD$23:BD$194,0))</f>
        <v>0</v>
      </c>
      <c r="V56" s="434">
        <f t="array" ref="V56">SUM(IF(settore=$A56,impianto!BE$23:BE$194,0))</f>
        <v>0</v>
      </c>
    </row>
    <row r="57" spans="1:256" outlineLevel="2" x14ac:dyDescent="0.2">
      <c r="A57" s="90" t="s">
        <v>666</v>
      </c>
      <c r="B57" s="84"/>
      <c r="C57" s="99">
        <f t="array" ref="C57">SUM(IF(settore=$A57,impianto!AI$23:AI$194,0))</f>
        <v>0</v>
      </c>
      <c r="D57" s="434">
        <f t="array" ref="D57">SUM(IF(settore=$A57,impianto!AM$23:AM$194,0))</f>
        <v>0</v>
      </c>
      <c r="E57" s="99">
        <f t="array" ref="E57">SUM(IF(settore=$A57,impianto!AN$23:AN$194,0))</f>
        <v>0</v>
      </c>
      <c r="F57" s="434">
        <f t="array" ref="F57">SUM(IF(settore=$A57,impianto!AO$23:AO$194,0))</f>
        <v>0</v>
      </c>
      <c r="G57" s="99">
        <f t="array" ref="G57">SUM(IF(settore=$A57,impianto!AP$23:AP$194,0))</f>
        <v>0</v>
      </c>
      <c r="H57" s="434">
        <f t="array" ref="H57">SUM(IF(settore=$A57,impianto!AQ$23:AQ$194,0))</f>
        <v>0</v>
      </c>
      <c r="I57" s="99">
        <f t="array" ref="I57">SUM(IF(settore=$A57,impianto!AR$23:AR$194,0))</f>
        <v>0</v>
      </c>
      <c r="J57" s="434">
        <f t="array" ref="J57">SUM(IF(settore=$A57,impianto!AS$23:AS$194,0))</f>
        <v>0</v>
      </c>
      <c r="K57" s="99">
        <f t="array" ref="K57">SUM(IF(settore=$A57,impianto!AT$23:AT$194,0))</f>
        <v>0</v>
      </c>
      <c r="L57" s="434">
        <f t="array" ref="L57">SUM(IF(settore=$A57,impianto!AU$23:AU$194,0))</f>
        <v>0</v>
      </c>
      <c r="M57" s="99">
        <f t="array" ref="M57">SUM(IF(settore=$A57,impianto!AV$23:AV$194,0))</f>
        <v>0</v>
      </c>
      <c r="N57" s="434">
        <f t="array" ref="N57">SUM(IF(settore=$A57,impianto!AW$23:AW$194,0))</f>
        <v>0</v>
      </c>
      <c r="O57" s="99">
        <f t="array" ref="O57">SUM(IF(settore=$A57,impianto!AX$23:AX$194,0))</f>
        <v>0</v>
      </c>
      <c r="P57" s="434">
        <f t="array" ref="P57">SUM(IF(settore=$A57,impianto!AY$23:AY$194,0))</f>
        <v>0</v>
      </c>
      <c r="Q57" s="99">
        <f t="array" ref="Q57">SUM(IF(settore=$A57,impianto!AZ$23:AZ$194,0))</f>
        <v>0</v>
      </c>
      <c r="R57" s="434">
        <f t="array" ref="R57">SUM(IF(settore=$A57,impianto!BA$23:BA$194,0))</f>
        <v>0</v>
      </c>
      <c r="S57" s="99">
        <f t="array" ref="S57">SUM(IF(settore=$A57,impianto!BB$23:BB$194,0))</f>
        <v>0</v>
      </c>
      <c r="T57" s="434">
        <f t="array" ref="T57">SUM(IF(settore=$A57,impianto!BC$23:BC$194,0))</f>
        <v>0</v>
      </c>
      <c r="U57" s="99">
        <f t="array" ref="U57">SUM(IF(settore=$A57,impianto!BD$23:BD$194,0))</f>
        <v>0</v>
      </c>
      <c r="V57" s="434">
        <f t="array" ref="V57">SUM(IF(settore=$A57,impianto!BE$23:BE$194,0))</f>
        <v>0</v>
      </c>
    </row>
    <row r="58" spans="1:256" ht="13.5" outlineLevel="2" thickBot="1" x14ac:dyDescent="0.25">
      <c r="A58" s="112" t="s">
        <v>668</v>
      </c>
      <c r="B58" s="109"/>
      <c r="C58" s="717">
        <f t="array" ref="C58">SUM(IF(settore=$A58,impianto!AI$23:AI$194,0))</f>
        <v>0</v>
      </c>
      <c r="D58" s="439">
        <f t="array" ref="D58">SUM(IF(settore=$A58,impianto!AM$23:AM$194,0))</f>
        <v>0</v>
      </c>
      <c r="E58" s="717">
        <f t="array" ref="E58">SUM(IF(settore=$A58,impianto!AN$23:AN$194,0))</f>
        <v>0</v>
      </c>
      <c r="F58" s="439">
        <f t="array" ref="F58">SUM(IF(settore=$A58,impianto!AO$23:AO$194,0))</f>
        <v>0</v>
      </c>
      <c r="G58" s="717">
        <f t="array" ref="G58">SUM(IF(settore=$A58,impianto!AP$23:AP$194,0))</f>
        <v>0</v>
      </c>
      <c r="H58" s="439">
        <f t="array" ref="H58">SUM(IF(settore=$A58,impianto!AQ$23:AQ$194,0))</f>
        <v>0</v>
      </c>
      <c r="I58" s="717">
        <f t="array" ref="I58">SUM(IF(settore=$A58,impianto!AR$23:AR$194,0))</f>
        <v>0</v>
      </c>
      <c r="J58" s="439">
        <f t="array" ref="J58">SUM(IF(settore=$A58,impianto!AS$23:AS$194,0))</f>
        <v>0</v>
      </c>
      <c r="K58" s="717">
        <f t="array" ref="K58">SUM(IF(settore=$A58,impianto!AT$23:AT$194,0))</f>
        <v>0</v>
      </c>
      <c r="L58" s="439">
        <f t="array" ref="L58">SUM(IF(settore=$A58,impianto!AU$23:AU$194,0))</f>
        <v>0</v>
      </c>
      <c r="M58" s="717">
        <f t="array" ref="M58">SUM(IF(settore=$A58,impianto!AV$23:AV$194,0))</f>
        <v>0</v>
      </c>
      <c r="N58" s="439">
        <f t="array" ref="N58">SUM(IF(settore=$A58,impianto!AW$23:AW$194,0))</f>
        <v>0</v>
      </c>
      <c r="O58" s="717">
        <f t="array" ref="O58">SUM(IF(settore=$A58,impianto!AX$23:AX$194,0))</f>
        <v>0</v>
      </c>
      <c r="P58" s="439">
        <f t="array" ref="P58">SUM(IF(settore=$A58,impianto!AY$23:AY$194,0))</f>
        <v>0</v>
      </c>
      <c r="Q58" s="717">
        <f t="array" ref="Q58">SUM(IF(settore=$A58,impianto!AZ$23:AZ$194,0))</f>
        <v>0</v>
      </c>
      <c r="R58" s="439">
        <f t="array" ref="R58">SUM(IF(settore=$A58,impianto!BA$23:BA$194,0))</f>
        <v>0</v>
      </c>
      <c r="S58" s="717">
        <f t="array" ref="S58">SUM(IF(settore=$A58,impianto!BB$23:BB$194,0))</f>
        <v>0</v>
      </c>
      <c r="T58" s="439">
        <f t="array" ref="T58">SUM(IF(settore=$A58,impianto!BC$23:BC$194,0))</f>
        <v>0</v>
      </c>
      <c r="U58" s="717">
        <f t="array" ref="U58">SUM(IF(settore=$A58,impianto!BD$23:BD$194,0))</f>
        <v>0</v>
      </c>
      <c r="V58" s="439">
        <f t="array" ref="V58">SUM(IF(settore=$A58,impianto!BE$23:BE$194,0))</f>
        <v>0</v>
      </c>
    </row>
    <row r="59" spans="1:256" outlineLevel="1" x14ac:dyDescent="0.2">
      <c r="A59" s="125" t="s">
        <v>722</v>
      </c>
      <c r="B59" s="127"/>
      <c r="C59" s="126"/>
      <c r="D59" s="128"/>
      <c r="E59" s="107"/>
      <c r="F59" s="130"/>
      <c r="G59" s="126"/>
      <c r="H59" s="128"/>
      <c r="I59" s="126"/>
      <c r="J59" s="128"/>
      <c r="K59" s="126"/>
      <c r="L59" s="128"/>
      <c r="M59" s="126"/>
      <c r="N59" s="128"/>
      <c r="O59" s="126"/>
      <c r="P59" s="128"/>
      <c r="Q59" s="126"/>
      <c r="R59" s="128"/>
      <c r="S59" s="126"/>
      <c r="T59" s="128"/>
      <c r="U59" s="126"/>
      <c r="V59" s="131"/>
    </row>
    <row r="60" spans="1:256" outlineLevel="1" x14ac:dyDescent="0.2">
      <c r="A60" s="90" t="s">
        <v>646</v>
      </c>
      <c r="B60" s="438">
        <f t="shared" ref="B60:B66" si="0">VLOOKUP(A60,prezzi,5,)</f>
        <v>107.544</v>
      </c>
      <c r="C60" s="84">
        <f>IF(AND(C$91&gt;0,C$91*2.1&lt;32),1,0)</f>
        <v>0</v>
      </c>
      <c r="D60" s="434">
        <f t="shared" ref="D60:D66" si="1">$B60*C60</f>
        <v>0</v>
      </c>
      <c r="E60" s="84">
        <f>IF(AND(E$91&gt;0,E$91*2.1&lt;32),1,0)</f>
        <v>0</v>
      </c>
      <c r="F60" s="434">
        <f t="shared" ref="F60:F66" si="2">$B60*E60</f>
        <v>0</v>
      </c>
      <c r="G60" s="84">
        <f>IF(AND(G$91&gt;0,G$91*2.1&lt;32),1,0)</f>
        <v>0</v>
      </c>
      <c r="H60" s="434">
        <f t="shared" ref="H60:H66" si="3">$B60*G60</f>
        <v>0</v>
      </c>
      <c r="I60" s="84">
        <f>IF(AND(I$91&gt;0,I$91*2.1&lt;32),1,0)</f>
        <v>0</v>
      </c>
      <c r="J60" s="434">
        <f t="shared" ref="J60:J66" si="4">$B60*I60</f>
        <v>0</v>
      </c>
      <c r="K60" s="84">
        <f>IF(AND(K$91&gt;0,K$91*2.1&lt;32),1,0)</f>
        <v>0</v>
      </c>
      <c r="L60" s="434">
        <f t="shared" ref="L60:L66" si="5">$B60*K60</f>
        <v>0</v>
      </c>
      <c r="M60" s="84">
        <f>IF(AND(M$91&gt;0,M$91*2.1&lt;32),1,0)</f>
        <v>0</v>
      </c>
      <c r="N60" s="434">
        <f t="shared" ref="N60:N66" si="6">$B60*M60</f>
        <v>0</v>
      </c>
      <c r="O60" s="84">
        <f>IF(AND(O$91&gt;0,O$91*2.1&lt;32),1,0)</f>
        <v>0</v>
      </c>
      <c r="P60" s="434">
        <f t="shared" ref="P60:P66" si="7">$B60*O60</f>
        <v>0</v>
      </c>
      <c r="Q60" s="84">
        <f>IF(AND(Q$91&gt;0,Q$91*2.1&lt;32),1,0)</f>
        <v>0</v>
      </c>
      <c r="R60" s="434">
        <f t="shared" ref="R60:R66" si="8">$B60*Q60</f>
        <v>0</v>
      </c>
      <c r="S60" s="84">
        <f>IF(AND(S$91&gt;0,S$91*2.1&lt;32),1,0)</f>
        <v>0</v>
      </c>
      <c r="T60" s="434">
        <f t="shared" ref="T60:T66" si="9">$B60*S60</f>
        <v>0</v>
      </c>
      <c r="U60" s="84">
        <f>IF(AND(U$91&gt;0,U$91*2.1&lt;32),1,0)</f>
        <v>0</v>
      </c>
      <c r="V60" s="434">
        <f t="shared" ref="V60:V66" si="10">$B60*U60</f>
        <v>0</v>
      </c>
    </row>
    <row r="61" spans="1:256" outlineLevel="1" x14ac:dyDescent="0.2">
      <c r="A61" s="90" t="s">
        <v>647</v>
      </c>
      <c r="B61" s="438">
        <f t="shared" si="0"/>
        <v>126.04836</v>
      </c>
      <c r="C61" s="84">
        <f>IF(AND(C$91*2.1&gt;32,C$91*2.1&lt;63),1,0)</f>
        <v>0</v>
      </c>
      <c r="D61" s="434">
        <f t="shared" si="1"/>
        <v>0</v>
      </c>
      <c r="E61" s="84">
        <f>IF(AND(E$91*2.1&gt;32,E$91*2.1&lt;63),1,0)</f>
        <v>0</v>
      </c>
      <c r="F61" s="434">
        <f t="shared" si="2"/>
        <v>0</v>
      </c>
      <c r="G61" s="84">
        <f>IF(AND(G$91*2.1&gt;32,G$91*2.1&lt;63),1,0)</f>
        <v>0</v>
      </c>
      <c r="H61" s="434">
        <f t="shared" si="3"/>
        <v>0</v>
      </c>
      <c r="I61" s="84">
        <f>IF(AND(I$91*2.1&gt;32,I$91*2.1&lt;63),1,0)</f>
        <v>0</v>
      </c>
      <c r="J61" s="434">
        <f t="shared" si="4"/>
        <v>0</v>
      </c>
      <c r="K61" s="84">
        <f>IF(AND(K$91*2.1&gt;32,K$91*2.1&lt;63),1,0)</f>
        <v>0</v>
      </c>
      <c r="L61" s="434">
        <f t="shared" si="5"/>
        <v>0</v>
      </c>
      <c r="M61" s="84">
        <f>IF(AND(M$91*2.1&gt;32,M$91*2.1&lt;63),1,0)</f>
        <v>0</v>
      </c>
      <c r="N61" s="434">
        <f t="shared" si="6"/>
        <v>0</v>
      </c>
      <c r="O61" s="84">
        <f>IF(AND(O$91*2.1&gt;32,O$91*2.1&lt;63),1,0)</f>
        <v>0</v>
      </c>
      <c r="P61" s="434">
        <f t="shared" si="7"/>
        <v>0</v>
      </c>
      <c r="Q61" s="84">
        <f>IF(AND(Q$91*2.1&gt;32,Q$91*2.1&lt;63),1,0)</f>
        <v>0</v>
      </c>
      <c r="R61" s="434">
        <f t="shared" si="8"/>
        <v>0</v>
      </c>
      <c r="S61" s="84">
        <f>IF(AND(S$91*2.1&gt;32,S$91*2.1&lt;63),1,0)</f>
        <v>0</v>
      </c>
      <c r="T61" s="434">
        <f t="shared" si="9"/>
        <v>0</v>
      </c>
      <c r="U61" s="84">
        <f>IF(AND(U$91*2.1&gt;32,U$91*2.1&lt;63),1,0)</f>
        <v>0</v>
      </c>
      <c r="V61" s="434">
        <f t="shared" si="10"/>
        <v>0</v>
      </c>
    </row>
    <row r="62" spans="1:256" outlineLevel="1" x14ac:dyDescent="0.2">
      <c r="A62" s="90" t="s">
        <v>648</v>
      </c>
      <c r="B62" s="438">
        <f t="shared" si="0"/>
        <v>212.08271999999999</v>
      </c>
      <c r="C62" s="84">
        <f>IF(AND(C$91*2.1&gt;63,C$91*2.1&lt;100),1,0)</f>
        <v>0</v>
      </c>
      <c r="D62" s="434">
        <f t="shared" si="1"/>
        <v>0</v>
      </c>
      <c r="E62" s="84">
        <f>IF(AND(E$91*2.1&gt;63,E$91*2.1&lt;100),1,0)</f>
        <v>0</v>
      </c>
      <c r="F62" s="434">
        <f t="shared" si="2"/>
        <v>0</v>
      </c>
      <c r="G62" s="84">
        <f>IF(AND(G$91*2.1&gt;63,G$91*2.1&lt;100),1,0)</f>
        <v>0</v>
      </c>
      <c r="H62" s="434">
        <f t="shared" si="3"/>
        <v>0</v>
      </c>
      <c r="I62" s="84">
        <f>IF(AND(I$91*2.1&gt;63,I$91*2.1&lt;100),1,0)</f>
        <v>0</v>
      </c>
      <c r="J62" s="434">
        <f t="shared" si="4"/>
        <v>0</v>
      </c>
      <c r="K62" s="84">
        <f>IF(AND(K$91*2.1&gt;63,K$91*2.1&lt;100),1,0)</f>
        <v>0</v>
      </c>
      <c r="L62" s="434">
        <f t="shared" si="5"/>
        <v>0</v>
      </c>
      <c r="M62" s="84">
        <f>IF(AND(M$91*2.1&gt;63,M$91*2.1&lt;100),1,0)</f>
        <v>0</v>
      </c>
      <c r="N62" s="434">
        <f t="shared" si="6"/>
        <v>0</v>
      </c>
      <c r="O62" s="84">
        <f>IF(AND(O$91*2.1&gt;63,O$91*2.1&lt;100),1,0)</f>
        <v>0</v>
      </c>
      <c r="P62" s="434">
        <f t="shared" si="7"/>
        <v>0</v>
      </c>
      <c r="Q62" s="84">
        <f>IF(AND(Q$91*2.1&gt;63,Q$91*2.1&lt;100),1,0)</f>
        <v>0</v>
      </c>
      <c r="R62" s="434">
        <f t="shared" si="8"/>
        <v>0</v>
      </c>
      <c r="S62" s="84">
        <f>IF(AND(S$91*2.1&gt;63,S$91*2.1&lt;100),1,0)</f>
        <v>0</v>
      </c>
      <c r="T62" s="434">
        <f t="shared" si="9"/>
        <v>0</v>
      </c>
      <c r="U62" s="84">
        <f>IF(AND(U$91*2.1&gt;63,U$91*2.1&lt;100),1,0)</f>
        <v>0</v>
      </c>
      <c r="V62" s="434">
        <f t="shared" si="10"/>
        <v>0</v>
      </c>
    </row>
    <row r="63" spans="1:256" outlineLevel="1" x14ac:dyDescent="0.2">
      <c r="A63" s="90" t="s">
        <v>649</v>
      </c>
      <c r="B63" s="438">
        <f t="shared" si="0"/>
        <v>313.36500000000001</v>
      </c>
      <c r="C63" s="84">
        <f>IF(AND(C$91*2.1&gt;100,C$91*2.1&lt;125),1,0)</f>
        <v>0</v>
      </c>
      <c r="D63" s="434">
        <f t="shared" si="1"/>
        <v>0</v>
      </c>
      <c r="E63" s="84">
        <f>IF(AND(E$91*2.1&gt;100,E$91*2.1&lt;125),1,0)</f>
        <v>0</v>
      </c>
      <c r="F63" s="434">
        <f t="shared" si="2"/>
        <v>0</v>
      </c>
      <c r="G63" s="84">
        <f>IF(AND(G$91*2.1&gt;100,G$91*2.1&lt;125),1,0)</f>
        <v>0</v>
      </c>
      <c r="H63" s="434">
        <f t="shared" si="3"/>
        <v>0</v>
      </c>
      <c r="I63" s="84">
        <f>IF(AND(I$91*2.1&gt;100,I$91*2.1&lt;125),1,0)</f>
        <v>0</v>
      </c>
      <c r="J63" s="434">
        <f t="shared" si="4"/>
        <v>0</v>
      </c>
      <c r="K63" s="84">
        <f>IF(AND(K$91*2.1&gt;100,K$91*2.1&lt;125),1,0)</f>
        <v>0</v>
      </c>
      <c r="L63" s="434">
        <f t="shared" si="5"/>
        <v>0</v>
      </c>
      <c r="M63" s="84">
        <f>IF(AND(M$91*2.1&gt;100,M$91*2.1&lt;125),1,0)</f>
        <v>0</v>
      </c>
      <c r="N63" s="434">
        <f t="shared" si="6"/>
        <v>0</v>
      </c>
      <c r="O63" s="84">
        <f>IF(AND(O$91*2.1&gt;100,O$91*2.1&lt;125),1,0)</f>
        <v>0</v>
      </c>
      <c r="P63" s="434">
        <f t="shared" si="7"/>
        <v>0</v>
      </c>
      <c r="Q63" s="84">
        <f>IF(AND(Q$91*2.1&gt;100,Q$91*2.1&lt;125),1,0)</f>
        <v>0</v>
      </c>
      <c r="R63" s="434">
        <f t="shared" si="8"/>
        <v>0</v>
      </c>
      <c r="S63" s="84">
        <f>IF(AND(S$91*2.1&gt;100,S$91*2.1&lt;125),1,0)</f>
        <v>0</v>
      </c>
      <c r="T63" s="434">
        <f t="shared" si="9"/>
        <v>0</v>
      </c>
      <c r="U63" s="84">
        <f>IF(AND(U$91*2.1&gt;100,U$91*2.1&lt;125),1,0)</f>
        <v>0</v>
      </c>
      <c r="V63" s="434">
        <f t="shared" si="10"/>
        <v>0</v>
      </c>
    </row>
    <row r="64" spans="1:256" outlineLevel="1" x14ac:dyDescent="0.2">
      <c r="A64" s="90" t="s">
        <v>1239</v>
      </c>
      <c r="B64" s="438">
        <f t="shared" si="0"/>
        <v>330.24</v>
      </c>
      <c r="C64" s="84">
        <f>IF(AND(C$91*2.1&gt;125,C$91*2.1&lt;160),1,0)</f>
        <v>0</v>
      </c>
      <c r="D64" s="434">
        <f t="shared" si="1"/>
        <v>0</v>
      </c>
      <c r="E64" s="84">
        <f>IF(AND(E$91*2.1&gt;125,E$91*2.1&lt;160),1,0)</f>
        <v>0</v>
      </c>
      <c r="F64" s="434">
        <f t="shared" si="2"/>
        <v>0</v>
      </c>
      <c r="G64" s="84">
        <f>IF(AND(G$91*2.1&gt;125,G$91*2.1&lt;160),1,0)</f>
        <v>0</v>
      </c>
      <c r="H64" s="434">
        <f t="shared" si="3"/>
        <v>0</v>
      </c>
      <c r="I64" s="84">
        <f>IF(AND(I$91*2.1&gt;125,I$91*2.1&lt;160),1,0)</f>
        <v>0</v>
      </c>
      <c r="J64" s="434">
        <f t="shared" si="4"/>
        <v>0</v>
      </c>
      <c r="K64" s="84">
        <f>IF(AND(K$91*2.1&gt;125,K$91*2.1&lt;160),1,0)</f>
        <v>0</v>
      </c>
      <c r="L64" s="434">
        <f t="shared" si="5"/>
        <v>0</v>
      </c>
      <c r="M64" s="84">
        <f>IF(AND(M$91*2.1&gt;125,M$91*2.1&lt;160),1,0)</f>
        <v>0</v>
      </c>
      <c r="N64" s="434">
        <f t="shared" si="6"/>
        <v>0</v>
      </c>
      <c r="O64" s="84">
        <f>IF(AND(O$91*2.1&gt;125,O$91*2.1&lt;160),1,0)</f>
        <v>0</v>
      </c>
      <c r="P64" s="434">
        <f t="shared" si="7"/>
        <v>0</v>
      </c>
      <c r="Q64" s="84">
        <f>IF(AND(Q$91*2.1&gt;125,Q$91*2.1&lt;160),1,0)</f>
        <v>0</v>
      </c>
      <c r="R64" s="434">
        <f t="shared" si="8"/>
        <v>0</v>
      </c>
      <c r="S64" s="84">
        <f>IF(AND(S$91*2.1&gt;125,S$91*2.1&lt;160),1,0)</f>
        <v>0</v>
      </c>
      <c r="T64" s="434">
        <f t="shared" si="9"/>
        <v>0</v>
      </c>
      <c r="U64" s="84">
        <f>IF(AND(U$91*2.1&gt;125,U$91*2.1&lt;160),1,0)</f>
        <v>0</v>
      </c>
      <c r="V64" s="434">
        <f t="shared" si="10"/>
        <v>0</v>
      </c>
    </row>
    <row r="65" spans="1:23" outlineLevel="1" x14ac:dyDescent="0.2">
      <c r="A65" s="90" t="s">
        <v>1240</v>
      </c>
      <c r="B65" s="438">
        <f t="shared" si="0"/>
        <v>505.71126000000004</v>
      </c>
      <c r="C65" s="84">
        <f>IF(AND(C$91*2.1&gt;160,C$91*2.1&lt;250),1,0)</f>
        <v>0</v>
      </c>
      <c r="D65" s="434">
        <f t="shared" si="1"/>
        <v>0</v>
      </c>
      <c r="E65" s="84">
        <f>IF(AND(E$91*2.1&gt;160,E$91*2.1&lt;250),1,0)</f>
        <v>0</v>
      </c>
      <c r="F65" s="434">
        <f t="shared" si="2"/>
        <v>0</v>
      </c>
      <c r="G65" s="84">
        <f>IF(AND(G$91*2.1&gt;160,G$91*2.1&lt;250),1,0)</f>
        <v>0</v>
      </c>
      <c r="H65" s="434">
        <f t="shared" si="3"/>
        <v>0</v>
      </c>
      <c r="I65" s="84">
        <f>IF(AND(I$91*2.1&gt;160,I$91*2.1&lt;250),1,0)</f>
        <v>0</v>
      </c>
      <c r="J65" s="434">
        <f t="shared" si="4"/>
        <v>0</v>
      </c>
      <c r="K65" s="84">
        <f>IF(AND(K$91*2.1&gt;160,K$91*2.1&lt;250),1,0)</f>
        <v>0</v>
      </c>
      <c r="L65" s="434">
        <f t="shared" si="5"/>
        <v>0</v>
      </c>
      <c r="M65" s="84">
        <f>IF(AND(M$91*2.1&gt;160,M$91*2.1&lt;250),1,0)</f>
        <v>0</v>
      </c>
      <c r="N65" s="434">
        <f t="shared" si="6"/>
        <v>0</v>
      </c>
      <c r="O65" s="84">
        <f>IF(AND(O$91*2.1&gt;160,O$91*2.1&lt;250),1,0)</f>
        <v>0</v>
      </c>
      <c r="P65" s="434">
        <f t="shared" si="7"/>
        <v>0</v>
      </c>
      <c r="Q65" s="84">
        <f>IF(AND(Q$91*2.1&gt;160,Q$91*2.1&lt;250),1,0)</f>
        <v>0</v>
      </c>
      <c r="R65" s="434">
        <f t="shared" si="8"/>
        <v>0</v>
      </c>
      <c r="S65" s="84">
        <f>IF(AND(S$91*2.1&gt;160,S$91*2.1&lt;250),1,0)</f>
        <v>0</v>
      </c>
      <c r="T65" s="434">
        <f t="shared" si="9"/>
        <v>0</v>
      </c>
      <c r="U65" s="84">
        <f>IF(AND(U$91*2.1&gt;160,U$91*2.1&lt;250),1,0)</f>
        <v>0</v>
      </c>
      <c r="V65" s="434">
        <f t="shared" si="10"/>
        <v>0</v>
      </c>
    </row>
    <row r="66" spans="1:23" outlineLevel="1" x14ac:dyDescent="0.2">
      <c r="A66" s="90" t="s">
        <v>1241</v>
      </c>
      <c r="B66" s="438">
        <f t="shared" si="0"/>
        <v>648.43500000000006</v>
      </c>
      <c r="C66" s="84">
        <f>IF(AND(C$91*2.1&gt;250,C$91*2.1&lt;400),1,0)</f>
        <v>0</v>
      </c>
      <c r="D66" s="434">
        <f t="shared" si="1"/>
        <v>0</v>
      </c>
      <c r="E66" s="84">
        <f>IF(AND(E$91*2.1&gt;250,E$91*2.1&lt;400),1,0)</f>
        <v>0</v>
      </c>
      <c r="F66" s="434">
        <f t="shared" si="2"/>
        <v>0</v>
      </c>
      <c r="G66" s="84">
        <f>IF(AND(G$91*2.1&gt;250,G$91*2.1&lt;400),1,0)</f>
        <v>0</v>
      </c>
      <c r="H66" s="434">
        <f t="shared" si="3"/>
        <v>0</v>
      </c>
      <c r="I66" s="84">
        <f>IF(AND(I$91*2.1&gt;250,I$91*2.1&lt;400),1,0)</f>
        <v>0</v>
      </c>
      <c r="J66" s="434">
        <f t="shared" si="4"/>
        <v>0</v>
      </c>
      <c r="K66" s="84">
        <f>IF(AND(K$91*2.1&gt;250,K$91*2.1&lt;400),1,0)</f>
        <v>0</v>
      </c>
      <c r="L66" s="434">
        <f t="shared" si="5"/>
        <v>0</v>
      </c>
      <c r="M66" s="84">
        <f>IF(AND(M$91*2.1&gt;250,M$91*2.1&lt;400),1,0)</f>
        <v>0</v>
      </c>
      <c r="N66" s="434">
        <f t="shared" si="6"/>
        <v>0</v>
      </c>
      <c r="O66" s="84">
        <f>IF(AND(O$91*2.1&gt;250,O$91*2.1&lt;400),1,0)</f>
        <v>0</v>
      </c>
      <c r="P66" s="434">
        <f t="shared" si="7"/>
        <v>0</v>
      </c>
      <c r="Q66" s="84">
        <f>IF(AND(Q$91*2.1&gt;250,Q$91*2.1&lt;400),1,0)</f>
        <v>0</v>
      </c>
      <c r="R66" s="434">
        <f t="shared" si="8"/>
        <v>0</v>
      </c>
      <c r="S66" s="84">
        <f>IF(AND(S$91*2.1&gt;250,S$91*2.1&lt;400),1,0)</f>
        <v>0</v>
      </c>
      <c r="T66" s="434">
        <f t="shared" si="9"/>
        <v>0</v>
      </c>
      <c r="U66" s="84">
        <f>IF(AND(U$91*2.1&gt;250,U$91*2.1&lt;400),1,0)</f>
        <v>0</v>
      </c>
      <c r="V66" s="434">
        <f t="shared" si="10"/>
        <v>0</v>
      </c>
    </row>
    <row r="67" spans="1:23" outlineLevel="1" x14ac:dyDescent="0.2">
      <c r="A67" s="92" t="s">
        <v>723</v>
      </c>
      <c r="B67" s="94"/>
      <c r="C67" s="93"/>
      <c r="D67" s="95"/>
      <c r="E67" s="98"/>
      <c r="F67" s="96"/>
      <c r="G67" s="93"/>
      <c r="H67" s="95"/>
      <c r="I67" s="93"/>
      <c r="J67" s="95"/>
      <c r="K67" s="93"/>
      <c r="L67" s="95"/>
      <c r="M67" s="93"/>
      <c r="N67" s="95"/>
      <c r="O67" s="93"/>
      <c r="P67" s="95"/>
      <c r="Q67" s="93"/>
      <c r="R67" s="95"/>
      <c r="S67" s="93"/>
      <c r="T67" s="95"/>
      <c r="U67" s="93"/>
      <c r="V67" s="97"/>
    </row>
    <row r="68" spans="1:23" outlineLevel="1" x14ac:dyDescent="0.2">
      <c r="A68" s="90" t="s">
        <v>1268</v>
      </c>
      <c r="B68" s="100">
        <f>VLOOKUP(A68,prezzi,5,)</f>
        <v>2.5499999999999998</v>
      </c>
      <c r="C68" s="86">
        <f>VLOOKUP(C1,input_output!$G$2:$H$11,2,FALSE)</f>
        <v>0</v>
      </c>
      <c r="D68" s="434">
        <f>$B68*C68</f>
        <v>0</v>
      </c>
      <c r="E68" s="86">
        <f>VLOOKUP(E1,input_output!$G$2:$H$11,2,FALSE)</f>
        <v>0</v>
      </c>
      <c r="F68" s="434">
        <f>$B68*E68</f>
        <v>0</v>
      </c>
      <c r="G68" s="86">
        <f>VLOOKUP(G1,input_output!$G$2:$H$11,2,FALSE)</f>
        <v>0</v>
      </c>
      <c r="H68" s="434">
        <f>$B68*G68</f>
        <v>0</v>
      </c>
      <c r="I68" s="86">
        <f>VLOOKUP(I1,input_output!$G$2:$H$11,2,FALSE)</f>
        <v>0</v>
      </c>
      <c r="J68" s="434">
        <f>$B68*I68</f>
        <v>0</v>
      </c>
      <c r="K68" s="86">
        <f>VLOOKUP(K1,input_output!$G$2:$H$11,2,FALSE)</f>
        <v>0</v>
      </c>
      <c r="L68" s="434">
        <f>$B68*K68</f>
        <v>0</v>
      </c>
      <c r="M68" s="86">
        <f>VLOOKUP(M1,input_output!$G$2:$H$11,2,FALSE)</f>
        <v>0</v>
      </c>
      <c r="N68" s="434">
        <f>$B68*M68</f>
        <v>0</v>
      </c>
      <c r="O68" s="86">
        <f>VLOOKUP(O1,input_output!$G$2:$H$11,2,FALSE)</f>
        <v>0</v>
      </c>
      <c r="P68" s="434">
        <f>$B68*O68</f>
        <v>0</v>
      </c>
      <c r="Q68" s="86">
        <f>VLOOKUP(Q1,input_output!$G$2:$H$11,2,FALSE)</f>
        <v>0</v>
      </c>
      <c r="R68" s="434">
        <f>$B68*Q68</f>
        <v>0</v>
      </c>
      <c r="S68" s="86">
        <f>VLOOKUP(S1,input_output!$G$2:$H$11,2,FALSE)</f>
        <v>0</v>
      </c>
      <c r="T68" s="434">
        <f>$B68*S68</f>
        <v>0</v>
      </c>
      <c r="U68" s="86">
        <f>VLOOKUP(U1,input_output!$G$2:$H$11,2,FALSE)</f>
        <v>0</v>
      </c>
      <c r="V68" s="434">
        <f>$B68*U68</f>
        <v>0</v>
      </c>
    </row>
    <row r="69" spans="1:23" outlineLevel="1" x14ac:dyDescent="0.2">
      <c r="A69" s="112" t="s">
        <v>919</v>
      </c>
      <c r="B69" s="108">
        <f>VLOOKUP(A69,prezzi,5,)</f>
        <v>60</v>
      </c>
      <c r="C69" s="279">
        <f>C4*ore_motore+C68*ore_i_o</f>
        <v>0</v>
      </c>
      <c r="D69" s="439">
        <f>$B69*C69</f>
        <v>0</v>
      </c>
      <c r="E69" s="279">
        <f>E4*ore_motore+E68*ore_i_o</f>
        <v>0</v>
      </c>
      <c r="F69" s="439">
        <f>$B69*E69</f>
        <v>0</v>
      </c>
      <c r="G69" s="279">
        <f>G4*ore_motore+G68*ore_i_o</f>
        <v>0</v>
      </c>
      <c r="H69" s="439">
        <f>$B69*G69</f>
        <v>0</v>
      </c>
      <c r="I69" s="279">
        <f>I4*ore_motore+I68*ore_i_o</f>
        <v>0</v>
      </c>
      <c r="J69" s="439">
        <f>$B69*I69</f>
        <v>0</v>
      </c>
      <c r="K69" s="279">
        <f>K4*ore_motore+K68*ore_i_o</f>
        <v>0</v>
      </c>
      <c r="L69" s="439">
        <f>$B69*K69</f>
        <v>0</v>
      </c>
      <c r="M69" s="279">
        <f>M4*ore_motore+M68*ore_i_o</f>
        <v>0</v>
      </c>
      <c r="N69" s="439">
        <f>$B69*M69</f>
        <v>0</v>
      </c>
      <c r="O69" s="279">
        <f>O4*ore_motore+O68*ore_i_o</f>
        <v>0</v>
      </c>
      <c r="P69" s="439">
        <f>$B69*O69</f>
        <v>0</v>
      </c>
      <c r="Q69" s="279">
        <f>Q4*ore_motore+Q68*ore_i_o</f>
        <v>0</v>
      </c>
      <c r="R69" s="439">
        <f>$B69*Q69</f>
        <v>0</v>
      </c>
      <c r="S69" s="279">
        <f>S4*ore_motore+S68*ore_i_o</f>
        <v>0</v>
      </c>
      <c r="T69" s="439">
        <f>$B69*S69</f>
        <v>0</v>
      </c>
      <c r="U69" s="279">
        <f>U4*ore_motore+U68*ore_i_o</f>
        <v>0</v>
      </c>
      <c r="V69" s="439">
        <f>$B69*U69</f>
        <v>0</v>
      </c>
    </row>
    <row r="70" spans="1:23" outlineLevel="1" x14ac:dyDescent="0.2">
      <c r="A70" s="90"/>
      <c r="B70" s="100"/>
      <c r="C70" s="352"/>
      <c r="D70" s="87"/>
      <c r="E70" s="101"/>
      <c r="F70" s="88"/>
      <c r="H70" s="87"/>
      <c r="J70" s="87"/>
      <c r="L70" s="87"/>
      <c r="N70" s="87"/>
      <c r="P70" s="87"/>
      <c r="R70" s="87"/>
      <c r="T70" s="87"/>
      <c r="V70" s="89"/>
    </row>
    <row r="71" spans="1:23" outlineLevel="1" x14ac:dyDescent="0.2">
      <c r="A71" s="359" t="s">
        <v>2383</v>
      </c>
      <c r="B71" s="100"/>
      <c r="C71" s="357"/>
      <c r="D71" s="358"/>
      <c r="E71" s="357"/>
      <c r="F71" s="358"/>
      <c r="G71" s="357"/>
      <c r="H71" s="358"/>
      <c r="I71" s="357"/>
      <c r="J71" s="358"/>
      <c r="K71" s="357"/>
      <c r="L71" s="358"/>
      <c r="M71" s="357"/>
      <c r="N71" s="358"/>
      <c r="O71" s="357"/>
      <c r="P71" s="358"/>
      <c r="Q71" s="357"/>
      <c r="R71" s="358"/>
      <c r="S71" s="357"/>
      <c r="T71" s="358"/>
      <c r="U71" s="357"/>
      <c r="V71" s="358"/>
    </row>
    <row r="72" spans="1:23" outlineLevel="1" x14ac:dyDescent="0.2">
      <c r="A72" s="469" t="s">
        <v>1229</v>
      </c>
      <c r="B72" s="470">
        <f>IF(impianto!$C$12="SI",0,VLOOKUP(A72,prezzi,5,))</f>
        <v>5170.8968100000002</v>
      </c>
      <c r="C72" s="85">
        <f>IF(C$4&gt;nr_motori_cassa1,IF(C$4&lt;=nr_motori_armadio,1,CEILING((C$4)/nr_motori_armadio,1)+_WP300_config1),0)</f>
        <v>0</v>
      </c>
      <c r="D72" s="437">
        <f t="shared" ref="D72:D77" si="11">$B72*C72</f>
        <v>0</v>
      </c>
      <c r="E72" s="85">
        <f>IF(E$4&gt;nr_motori_cassa1,IF(E$4&lt;=nr_motori_armadio,1,CEILING((E$4)/nr_motori_armadio,1)+_WP300_config1),0)</f>
        <v>0</v>
      </c>
      <c r="F72" s="437">
        <f t="shared" ref="F72" si="12">$B72*E72</f>
        <v>0</v>
      </c>
      <c r="G72" s="85">
        <f>IF(G$4&gt;nr_motori_cassa1,IF(G$4&lt;=nr_motori_armadio,1,CEILING((G$4)/nr_motori_armadio,1)+_WP300_config1),0)</f>
        <v>0</v>
      </c>
      <c r="H72" s="437">
        <f t="shared" ref="H72" si="13">$B72*G72</f>
        <v>0</v>
      </c>
      <c r="I72" s="85">
        <f>IF(I$4&gt;nr_motori_cassa1,IF(I$4&lt;=nr_motori_armadio,1,CEILING((I$4)/nr_motori_armadio,1)+_WP300_config1),0)</f>
        <v>0</v>
      </c>
      <c r="J72" s="437">
        <f t="shared" ref="J72" si="14">$B72*I72</f>
        <v>0</v>
      </c>
      <c r="K72" s="85">
        <f>IF(K$4&gt;nr_motori_cassa1,IF(K$4&lt;=nr_motori_armadio,1,CEILING((K$4)/nr_motori_armadio,1)+_WP300_config1),0)</f>
        <v>0</v>
      </c>
      <c r="L72" s="437">
        <f t="shared" ref="L72" si="15">$B72*K72</f>
        <v>0</v>
      </c>
      <c r="M72" s="85">
        <f>IF(M$4&gt;nr_motori_cassa1,IF(M$4&lt;=nr_motori_armadio,1,CEILING((M$4)/nr_motori_armadio,1)+_WP300_config1),0)</f>
        <v>0</v>
      </c>
      <c r="N72" s="437">
        <f t="shared" ref="N72" si="16">$B72*M72</f>
        <v>0</v>
      </c>
      <c r="O72" s="85">
        <f>IF(O$4&gt;nr_motori_cassa1,IF(O$4&lt;=nr_motori_armadio,1,CEILING((O$4)/nr_motori_armadio,1)+_WP300_config1),0)</f>
        <v>0</v>
      </c>
      <c r="P72" s="437">
        <f t="shared" ref="P72" si="17">$B72*O72</f>
        <v>0</v>
      </c>
      <c r="Q72" s="85">
        <f>IF(Q$4&gt;nr_motori_cassa1,IF(Q$4&lt;=nr_motori_armadio,1,CEILING((Q$4)/nr_motori_armadio,1)+_WP300_config1),0)</f>
        <v>0</v>
      </c>
      <c r="R72" s="437">
        <f t="shared" ref="R72" si="18">$B72*Q72</f>
        <v>0</v>
      </c>
      <c r="S72" s="85">
        <f>IF(S$4&gt;nr_motori_cassa1,IF(S$4&lt;=nr_motori_armadio,1,CEILING((S$4)/nr_motori_armadio,1)+_WP300_config1),0)</f>
        <v>0</v>
      </c>
      <c r="T72" s="437">
        <f t="shared" ref="T72" si="19">$B72*S72</f>
        <v>0</v>
      </c>
      <c r="U72" s="85">
        <f>IF(U$4&gt;nr_motori_cassa1,IF(U$4&lt;=nr_motori_armadio,1,CEILING((U$4)/nr_motori_armadio,1)+_WP300_config1),0)</f>
        <v>0</v>
      </c>
      <c r="V72" s="437">
        <f t="shared" ref="V72" si="20">$B72*U72</f>
        <v>0</v>
      </c>
    </row>
    <row r="73" spans="1:23" outlineLevel="1" x14ac:dyDescent="0.2">
      <c r="A73" s="469" t="s">
        <v>1227</v>
      </c>
      <c r="B73" s="470">
        <f>IF(impianto!$C$12="SI",0,VLOOKUP(A73,prezzi,5,))</f>
        <v>3245.55312</v>
      </c>
      <c r="C73" s="85">
        <f>IF(AND(C$4&gt;nr_motori_cassa2,C$4&lt;=nr_motori_cassa1),1,0)</f>
        <v>0</v>
      </c>
      <c r="D73" s="437">
        <f t="shared" si="11"/>
        <v>0</v>
      </c>
      <c r="E73" s="85">
        <f>IF(AND(E$4&gt;nr_motori_cassa2,E$4&lt;=nr_motori_cassa1),1,0)</f>
        <v>0</v>
      </c>
      <c r="F73" s="437">
        <f t="shared" ref="F73:F77" si="21">$B73*E73</f>
        <v>0</v>
      </c>
      <c r="G73" s="85">
        <f>IF(AND(G$4&gt;nr_motori_cassa2,G$4&lt;=nr_motori_cassa1),1,0)</f>
        <v>0</v>
      </c>
      <c r="H73" s="437">
        <f t="shared" ref="H73:H77" si="22">$B73*G73</f>
        <v>0</v>
      </c>
      <c r="I73" s="85">
        <f>IF(AND(I$4&gt;nr_motori_cassa2,I$4&lt;=nr_motori_cassa1),1,0)</f>
        <v>0</v>
      </c>
      <c r="J73" s="437">
        <f t="shared" ref="J73:J77" si="23">$B73*I73</f>
        <v>0</v>
      </c>
      <c r="K73" s="85">
        <f>IF(AND(K$4&gt;nr_motori_cassa2,K$4&lt;=nr_motori_cassa1),1,0)</f>
        <v>0</v>
      </c>
      <c r="L73" s="437">
        <f t="shared" ref="L73:L77" si="24">$B73*K73</f>
        <v>0</v>
      </c>
      <c r="M73" s="85">
        <f>IF(AND(M$4&gt;nr_motori_cassa2,M$4&lt;=nr_motori_cassa1),1,0)</f>
        <v>0</v>
      </c>
      <c r="N73" s="437">
        <f t="shared" ref="N73:N77" si="25">$B73*M73</f>
        <v>0</v>
      </c>
      <c r="O73" s="85">
        <f>IF(AND(O$4&gt;nr_motori_cassa2,O$4&lt;=nr_motori_cassa1),1,0)</f>
        <v>0</v>
      </c>
      <c r="P73" s="437">
        <f t="shared" ref="P73:P77" si="26">$B73*O73</f>
        <v>0</v>
      </c>
      <c r="Q73" s="85">
        <f>IF(AND(Q$4&gt;nr_motori_cassa2,Q$4&lt;=nr_motori_cassa1),1,0)</f>
        <v>0</v>
      </c>
      <c r="R73" s="437">
        <f t="shared" ref="R73:R77" si="27">$B73*Q73</f>
        <v>0</v>
      </c>
      <c r="S73" s="85">
        <f>IF(AND(S$4&gt;nr_motori_cassa2,S$4&lt;=nr_motori_cassa1),1,0)</f>
        <v>0</v>
      </c>
      <c r="T73" s="437">
        <f t="shared" ref="T73:T77" si="28">$B73*S73</f>
        <v>0</v>
      </c>
      <c r="U73" s="85">
        <f>IF(AND(U$4&gt;nr_motori_cassa2,U$4&lt;=nr_motori_cassa1),1,0)</f>
        <v>0</v>
      </c>
      <c r="V73" s="437">
        <f t="shared" ref="V73:V77" si="29">$B73*U73</f>
        <v>0</v>
      </c>
    </row>
    <row r="74" spans="1:23" ht="13.5" outlineLevel="1" thickBot="1" x14ac:dyDescent="0.25">
      <c r="A74" s="471" t="s">
        <v>2370</v>
      </c>
      <c r="B74" s="472">
        <f>IF(impianto!$C$12="SI",0,VLOOKUP(A74,prezzi,5,))</f>
        <v>2500</v>
      </c>
      <c r="C74" s="118">
        <f>IF(AND(C$4&gt;0,C$4&lt;=nr_motori_cassa2),1,0)</f>
        <v>0</v>
      </c>
      <c r="D74" s="473">
        <f t="shared" si="11"/>
        <v>0</v>
      </c>
      <c r="E74" s="118">
        <f>IF(AND(E$4&gt;0,E$4&lt;=nr_motori_cassa2),1,0)</f>
        <v>0</v>
      </c>
      <c r="F74" s="473">
        <f t="shared" si="21"/>
        <v>0</v>
      </c>
      <c r="G74" s="118">
        <f>IF(AND(G$4&gt;0,G$4&lt;=nr_motori_cassa2),1,0)</f>
        <v>0</v>
      </c>
      <c r="H74" s="473">
        <f t="shared" si="22"/>
        <v>0</v>
      </c>
      <c r="I74" s="118">
        <f>IF(AND(I$4&gt;0,I$4&lt;=nr_motori_cassa2),1,0)</f>
        <v>0</v>
      </c>
      <c r="J74" s="473">
        <f t="shared" si="23"/>
        <v>0</v>
      </c>
      <c r="K74" s="118">
        <f>IF(AND(K$4&gt;0,K$4&lt;=nr_motori_cassa2),1,0)</f>
        <v>0</v>
      </c>
      <c r="L74" s="473">
        <f t="shared" si="24"/>
        <v>0</v>
      </c>
      <c r="M74" s="118">
        <f>IF(AND(M$4&gt;0,M$4&lt;=nr_motori_cassa2),1,0)</f>
        <v>0</v>
      </c>
      <c r="N74" s="473">
        <f t="shared" si="25"/>
        <v>0</v>
      </c>
      <c r="O74" s="118">
        <f>IF(AND(O$4&gt;0,O$4&lt;=nr_motori_cassa2),1,0)</f>
        <v>0</v>
      </c>
      <c r="P74" s="473">
        <f t="shared" si="26"/>
        <v>0</v>
      </c>
      <c r="Q74" s="118">
        <f>IF(AND(Q$4&gt;0,Q$4&lt;=nr_motori_cassa2),1,0)</f>
        <v>0</v>
      </c>
      <c r="R74" s="473">
        <f t="shared" si="27"/>
        <v>0</v>
      </c>
      <c r="S74" s="118">
        <f>IF(AND(S$4&gt;0,S$4&lt;=nr_motori_cassa2),1,0)</f>
        <v>0</v>
      </c>
      <c r="T74" s="473">
        <f t="shared" si="28"/>
        <v>0</v>
      </c>
      <c r="U74" s="118">
        <f>IF(AND(U$4&gt;0,U$4&lt;=nr_motori_cassa2),1,0)</f>
        <v>0</v>
      </c>
      <c r="V74" s="473">
        <f t="shared" si="29"/>
        <v>0</v>
      </c>
      <c r="W74" s="263"/>
    </row>
    <row r="75" spans="1:23" outlineLevel="1" x14ac:dyDescent="0.2">
      <c r="A75" s="474" t="s">
        <v>1230</v>
      </c>
      <c r="B75" s="475">
        <f>IF(impianto!$C$12="SI",0,VLOOKUP(A75,prezzi,5,))</f>
        <v>7794.6762899999994</v>
      </c>
      <c r="C75" s="476">
        <f>IF(C$4&gt;nr_motori_cassa1,IF(C$4&lt;=nr_motori_armadio,1,CEILING((C$4)/nr_motori_armadio,1)+_WP300_config2),0)</f>
        <v>0</v>
      </c>
      <c r="D75" s="477">
        <f t="shared" si="11"/>
        <v>0</v>
      </c>
      <c r="E75" s="476">
        <f>IF(E$4&gt;nr_motori_cassa1,IF(E$4&lt;=nr_motori_armadio,1,CEILING((E$4)/nr_motori_armadio,1)+_WP300_config2),0)</f>
        <v>0</v>
      </c>
      <c r="F75" s="477">
        <f t="shared" si="21"/>
        <v>0</v>
      </c>
      <c r="G75" s="476">
        <f>IF(G$4&gt;nr_motori_cassa1,IF(G$4&lt;=nr_motori_armadio,1,CEILING((G$4)/nr_motori_armadio,1)+_WP300_config2),0)</f>
        <v>0</v>
      </c>
      <c r="H75" s="477">
        <f t="shared" si="22"/>
        <v>0</v>
      </c>
      <c r="I75" s="476">
        <f>IF(I$4&gt;nr_motori_cassa1,IF(I$4&lt;=nr_motori_armadio,1,CEILING((I$4)/nr_motori_armadio,1)+_WP300_config2),0)</f>
        <v>0</v>
      </c>
      <c r="J75" s="477">
        <f t="shared" si="23"/>
        <v>0</v>
      </c>
      <c r="K75" s="476">
        <f>IF(K$4&gt;nr_motori_cassa1,IF(K$4&lt;=nr_motori_armadio,1,CEILING((K$4)/nr_motori_armadio,1)+_WP300_config2),0)</f>
        <v>0</v>
      </c>
      <c r="L75" s="477">
        <f t="shared" si="24"/>
        <v>0</v>
      </c>
      <c r="M75" s="476">
        <f>IF(M$4&gt;nr_motori_cassa1,IF(M$4&lt;=nr_motori_armadio,1,CEILING((M$4)/nr_motori_armadio,1)+_WP300_config2),0)</f>
        <v>0</v>
      </c>
      <c r="N75" s="477">
        <f t="shared" si="25"/>
        <v>0</v>
      </c>
      <c r="O75" s="476">
        <f>IF(O$4&gt;nr_motori_cassa1,IF(O$4&lt;=nr_motori_armadio,1,CEILING((O$4)/nr_motori_armadio,1)+_WP300_config2),0)</f>
        <v>0</v>
      </c>
      <c r="P75" s="477">
        <f t="shared" si="26"/>
        <v>0</v>
      </c>
      <c r="Q75" s="476">
        <f>IF(Q$4&gt;nr_motori_cassa1,IF(Q$4&lt;=nr_motori_armadio,1,CEILING((Q$4)/nr_motori_armadio,1)+_WP300_config2),0)</f>
        <v>0</v>
      </c>
      <c r="R75" s="477">
        <f t="shared" si="27"/>
        <v>0</v>
      </c>
      <c r="S75" s="476">
        <f>IF(S$4&gt;nr_motori_cassa1,IF(S$4&lt;=nr_motori_armadio,1,CEILING((S$4)/nr_motori_armadio,1)+_WP300_config2),0)</f>
        <v>0</v>
      </c>
      <c r="T75" s="477">
        <f t="shared" si="28"/>
        <v>0</v>
      </c>
      <c r="U75" s="476">
        <f>IF(U$4&gt;nr_motori_cassa1,IF(U$4&lt;=nr_motori_armadio,1,CEILING((U$4)/nr_motori_armadio,1)+_WP300_config2),0)</f>
        <v>0</v>
      </c>
      <c r="V75" s="477">
        <f t="shared" si="29"/>
        <v>0</v>
      </c>
      <c r="W75" s="263"/>
    </row>
    <row r="76" spans="1:23" outlineLevel="1" x14ac:dyDescent="0.2">
      <c r="A76" s="474" t="s">
        <v>1228</v>
      </c>
      <c r="B76" s="475">
        <f>IF(impianto!$C$12="SI",0,VLOOKUP(A76,prezzi,5,))</f>
        <v>4170.9931200000001</v>
      </c>
      <c r="C76" s="476">
        <f>IF(AND(C$4&gt;nr_motori_cassa2,C$4&lt;=nr_motori_cassa1),1,0)</f>
        <v>0</v>
      </c>
      <c r="D76" s="477">
        <f t="shared" si="11"/>
        <v>0</v>
      </c>
      <c r="E76" s="476">
        <f>IF(AND(E$4&gt;nr_motori_cassa2,E$4&lt;=nr_motori_cassa1),1,0)</f>
        <v>0</v>
      </c>
      <c r="F76" s="477">
        <f t="shared" si="21"/>
        <v>0</v>
      </c>
      <c r="G76" s="476">
        <f>IF(AND(G$4&gt;nr_motori_cassa2,G$4&lt;=nr_motori_cassa1),1,0)</f>
        <v>0</v>
      </c>
      <c r="H76" s="477">
        <f t="shared" si="22"/>
        <v>0</v>
      </c>
      <c r="I76" s="476">
        <f>IF(AND(I$4&gt;nr_motori_cassa2,I$4&lt;=nr_motori_cassa1),1,0)</f>
        <v>0</v>
      </c>
      <c r="J76" s="477">
        <f t="shared" si="23"/>
        <v>0</v>
      </c>
      <c r="K76" s="476">
        <f>IF(AND(K$4&gt;nr_motori_cassa2,K$4&lt;=nr_motori_cassa1),1,0)</f>
        <v>0</v>
      </c>
      <c r="L76" s="477">
        <f t="shared" si="24"/>
        <v>0</v>
      </c>
      <c r="M76" s="476">
        <f>IF(AND(M$4&gt;nr_motori_cassa2,M$4&lt;=nr_motori_cassa1),1,0)</f>
        <v>0</v>
      </c>
      <c r="N76" s="477">
        <f t="shared" si="25"/>
        <v>0</v>
      </c>
      <c r="O76" s="476">
        <f>IF(AND(O$4&gt;nr_motori_cassa2,O$4&lt;=nr_motori_cassa1),1,0)</f>
        <v>0</v>
      </c>
      <c r="P76" s="477">
        <f t="shared" si="26"/>
        <v>0</v>
      </c>
      <c r="Q76" s="476">
        <f>IF(AND(Q$4&gt;nr_motori_cassa2,Q$4&lt;=nr_motori_cassa1),1,0)</f>
        <v>0</v>
      </c>
      <c r="R76" s="477">
        <f t="shared" si="27"/>
        <v>0</v>
      </c>
      <c r="S76" s="476">
        <f>IF(AND(S$4&gt;nr_motori_cassa2,S$4&lt;=nr_motori_cassa1),1,0)</f>
        <v>0</v>
      </c>
      <c r="T76" s="477">
        <f t="shared" si="28"/>
        <v>0</v>
      </c>
      <c r="U76" s="476">
        <f>IF(AND(U$4&gt;nr_motori_cassa2,U$4&lt;=nr_motori_cassa1),1,0)</f>
        <v>0</v>
      </c>
      <c r="V76" s="477">
        <f t="shared" si="29"/>
        <v>0</v>
      </c>
      <c r="W76" s="263"/>
    </row>
    <row r="77" spans="1:23" outlineLevel="1" x14ac:dyDescent="0.2">
      <c r="A77" s="474" t="s">
        <v>2371</v>
      </c>
      <c r="B77" s="475">
        <f>IF(impianto!$C$12="SI",0,VLOOKUP(A77,prezzi,5,))</f>
        <v>3000</v>
      </c>
      <c r="C77" s="476">
        <f>IF(AND(C$4&gt;0,C$4&lt;=nr_motori_cassa2),1,0)</f>
        <v>0</v>
      </c>
      <c r="D77" s="477">
        <f t="shared" si="11"/>
        <v>0</v>
      </c>
      <c r="E77" s="476">
        <f>IF(AND(E$4&gt;0,E$4&lt;=nr_motori_cassa2),1,0)</f>
        <v>0</v>
      </c>
      <c r="F77" s="477">
        <f t="shared" si="21"/>
        <v>0</v>
      </c>
      <c r="G77" s="476">
        <f>IF(AND(G$4&gt;0,G$4&lt;=nr_motori_cassa2),1,0)</f>
        <v>0</v>
      </c>
      <c r="H77" s="477">
        <f t="shared" si="22"/>
        <v>0</v>
      </c>
      <c r="I77" s="476">
        <f>IF(AND(I$4&gt;0,I$4&lt;=nr_motori_cassa2),1,0)</f>
        <v>0</v>
      </c>
      <c r="J77" s="477">
        <f t="shared" si="23"/>
        <v>0</v>
      </c>
      <c r="K77" s="476">
        <f>IF(AND(K$4&gt;0,K$4&lt;=nr_motori_cassa2),1,0)</f>
        <v>0</v>
      </c>
      <c r="L77" s="477">
        <f t="shared" si="24"/>
        <v>0</v>
      </c>
      <c r="M77" s="476">
        <f>IF(AND(M$4&gt;0,M$4&lt;=nr_motori_cassa2),1,0)</f>
        <v>0</v>
      </c>
      <c r="N77" s="477">
        <f t="shared" si="25"/>
        <v>0</v>
      </c>
      <c r="O77" s="476">
        <f>IF(AND(O$4&gt;0,O$4&lt;=nr_motori_cassa2),1,0)</f>
        <v>0</v>
      </c>
      <c r="P77" s="477">
        <f t="shared" si="26"/>
        <v>0</v>
      </c>
      <c r="Q77" s="476">
        <f>IF(AND(Q$4&gt;0,Q$4&lt;=nr_motori_cassa2),1,0)</f>
        <v>0</v>
      </c>
      <c r="R77" s="477">
        <f t="shared" si="27"/>
        <v>0</v>
      </c>
      <c r="S77" s="476">
        <f>IF(AND(S$4&gt;0,S$4&lt;=nr_motori_cassa2),1,0)</f>
        <v>0</v>
      </c>
      <c r="T77" s="477">
        <f t="shared" si="28"/>
        <v>0</v>
      </c>
      <c r="U77" s="476">
        <f>IF(AND(U$4&gt;0,U$4&lt;=nr_motori_cassa2),1,0)</f>
        <v>0</v>
      </c>
      <c r="V77" s="477">
        <f t="shared" si="29"/>
        <v>0</v>
      </c>
      <c r="W77" s="263"/>
    </row>
    <row r="78" spans="1:23" outlineLevel="1" x14ac:dyDescent="0.2">
      <c r="A78" s="90"/>
      <c r="B78" s="100"/>
      <c r="C78" s="352"/>
      <c r="D78" s="87"/>
      <c r="E78" s="101"/>
      <c r="F78" s="88"/>
      <c r="H78" s="87"/>
      <c r="J78" s="87"/>
      <c r="L78" s="87"/>
      <c r="N78" s="87"/>
      <c r="P78" s="87"/>
      <c r="R78" s="87"/>
      <c r="T78" s="87"/>
      <c r="V78" s="89"/>
    </row>
    <row r="79" spans="1:23" outlineLevel="1" x14ac:dyDescent="0.2">
      <c r="A79" s="90" t="s">
        <v>2298</v>
      </c>
      <c r="B79" s="100"/>
      <c r="C79" s="352"/>
      <c r="D79" s="87"/>
      <c r="E79" s="101"/>
      <c r="F79" s="88"/>
      <c r="H79" s="87"/>
      <c r="J79" s="87"/>
      <c r="L79" s="87"/>
      <c r="N79" s="87"/>
      <c r="P79" s="87"/>
      <c r="R79" s="87"/>
      <c r="T79" s="87"/>
      <c r="V79" s="89"/>
    </row>
    <row r="80" spans="1:23" outlineLevel="1" x14ac:dyDescent="0.2">
      <c r="A80" s="90" t="s">
        <v>1163</v>
      </c>
      <c r="B80" s="100">
        <f>VLOOKUP(A80,prezzi,5,)</f>
        <v>23.478300000000001</v>
      </c>
      <c r="C80" s="277">
        <f>IF((C4+C15)&gt;0,1,0)*CEILING(((C4/'Elenchi controllo_Parametri'!$D$46+C15/'Elenchi controllo_Parametri'!$D$49)+'Elenchi controllo_Parametri'!$D$43),1)</f>
        <v>0</v>
      </c>
      <c r="D80" s="434">
        <f>$B80*C80</f>
        <v>0</v>
      </c>
      <c r="E80" s="277">
        <f>IF((E4+E15)&gt;0,1,0)*CEILING(((E4/'Elenchi controllo_Parametri'!$D$46+E15/'Elenchi controllo_Parametri'!$D$49)+'Elenchi controllo_Parametri'!$D$43),1)</f>
        <v>0</v>
      </c>
      <c r="F80" s="434">
        <f>$B80*E80</f>
        <v>0</v>
      </c>
      <c r="G80" s="277">
        <f>IF((G4+G15)&gt;0,1,0)*CEILING(((G4/'Elenchi controllo_Parametri'!$D$46+G15/'Elenchi controllo_Parametri'!$D$49)+'Elenchi controllo_Parametri'!$D$43),1)</f>
        <v>0</v>
      </c>
      <c r="H80" s="434">
        <f>$B80*G80</f>
        <v>0</v>
      </c>
      <c r="I80" s="277">
        <f>IF((I4+I15)&gt;0,1,0)*CEILING(((I4/'Elenchi controllo_Parametri'!$D$46+I15/'Elenchi controllo_Parametri'!$D$49)+'Elenchi controllo_Parametri'!$D$43),1)</f>
        <v>0</v>
      </c>
      <c r="J80" s="434">
        <f>$B80*I80</f>
        <v>0</v>
      </c>
      <c r="K80" s="277">
        <f>IF((K4+K15)&gt;0,1,0)*CEILING(((K4/'Elenchi controllo_Parametri'!$D$46+K15/'Elenchi controllo_Parametri'!$D$49)+'Elenchi controllo_Parametri'!$D$43),1)</f>
        <v>0</v>
      </c>
      <c r="L80" s="434">
        <f>$B80*K80</f>
        <v>0</v>
      </c>
      <c r="M80" s="277">
        <f>IF((M4+M15)&gt;0,1,0)*CEILING(((M4/'Elenchi controllo_Parametri'!$D$46+M15/'Elenchi controllo_Parametri'!$D$49)+'Elenchi controllo_Parametri'!$D$43),1)</f>
        <v>0</v>
      </c>
      <c r="N80" s="434">
        <f>$B80*M80</f>
        <v>0</v>
      </c>
      <c r="O80" s="277">
        <f>IF((O4+O15)&gt;0,1,0)*CEILING(((O4/'Elenchi controllo_Parametri'!$D$46+O15/'Elenchi controllo_Parametri'!$D$49)+'Elenchi controllo_Parametri'!$D$43),1)</f>
        <v>0</v>
      </c>
      <c r="P80" s="434">
        <f>$B80*O80</f>
        <v>0</v>
      </c>
      <c r="Q80" s="277">
        <f>IF((Q4+Q15)&gt;0,1,0)*CEILING(((Q4/'Elenchi controllo_Parametri'!$D$46+Q15/'Elenchi controllo_Parametri'!$D$49)+'Elenchi controllo_Parametri'!$D$43),1)</f>
        <v>0</v>
      </c>
      <c r="R80" s="434">
        <f>$B80*Q80</f>
        <v>0</v>
      </c>
      <c r="S80" s="277">
        <f>IF((S4+S15)&gt;0,1,0)*CEILING(((S4/'Elenchi controllo_Parametri'!$D$46+S15/'Elenchi controllo_Parametri'!$D$49)+'Elenchi controllo_Parametri'!$D$43),1)</f>
        <v>0</v>
      </c>
      <c r="T80" s="434">
        <f>$B80*S80</f>
        <v>0</v>
      </c>
      <c r="U80" s="277">
        <f>IF((U4+U15)&gt;0,1,0)*CEILING(((U4/'Elenchi controllo_Parametri'!$D$46+U15/'Elenchi controllo_Parametri'!$D$49)+'Elenchi controllo_Parametri'!$D$43),1)</f>
        <v>0</v>
      </c>
      <c r="V80" s="434">
        <f>$B80*U80</f>
        <v>0</v>
      </c>
    </row>
    <row r="81" spans="1:23" outlineLevel="1" x14ac:dyDescent="0.2">
      <c r="A81" s="90" t="s">
        <v>1164</v>
      </c>
      <c r="B81" s="100">
        <f>VLOOKUP(A81,prezzi,5,)</f>
        <v>23.478300000000001</v>
      </c>
      <c r="C81" s="277">
        <f>IF((C4+C15)&gt;0,1,0)*CEILING(((C4/'Elenchi controllo_Parametri'!$D$47+C10/'Elenchi controllo_Parametri'!$D$50)+'Elenchi controllo_Parametri'!$D$44),1)</f>
        <v>0</v>
      </c>
      <c r="D81" s="434">
        <f>$B81*C81</f>
        <v>0</v>
      </c>
      <c r="E81" s="277">
        <f>IF((E4+E15)&gt;0,1,0)*CEILING(((E4/'Elenchi controllo_Parametri'!$D$47+E10/'Elenchi controllo_Parametri'!$D$50)+'Elenchi controllo_Parametri'!$D$44),1)</f>
        <v>0</v>
      </c>
      <c r="F81" s="434">
        <f>$B81*E81</f>
        <v>0</v>
      </c>
      <c r="G81" s="277">
        <f>IF((G4+G15)&gt;0,1,0)*CEILING(((G4/'Elenchi controllo_Parametri'!$D$47+G10/'Elenchi controllo_Parametri'!$D$50)+'Elenchi controllo_Parametri'!$D$44),1)</f>
        <v>0</v>
      </c>
      <c r="H81" s="434">
        <f>$B81*G81</f>
        <v>0</v>
      </c>
      <c r="I81" s="277">
        <f>IF((I4+I15)&gt;0,1,0)*CEILING(((I4/'Elenchi controllo_Parametri'!$D$47+I10/'Elenchi controllo_Parametri'!$D$50)+'Elenchi controllo_Parametri'!$D$44),1)</f>
        <v>0</v>
      </c>
      <c r="J81" s="434">
        <f>$B81*I81</f>
        <v>0</v>
      </c>
      <c r="K81" s="277">
        <f>IF((K4+K15)&gt;0,1,0)*CEILING(((K4/'Elenchi controllo_Parametri'!$D$47+K10/'Elenchi controllo_Parametri'!$D$50)+'Elenchi controllo_Parametri'!$D$44),1)</f>
        <v>0</v>
      </c>
      <c r="L81" s="434">
        <f>$B81*K81</f>
        <v>0</v>
      </c>
      <c r="M81" s="277">
        <f>IF((M4+M15)&gt;0,1,0)*CEILING(((M4/'Elenchi controllo_Parametri'!$D$47+M10/'Elenchi controllo_Parametri'!$D$50)+'Elenchi controllo_Parametri'!$D$44),1)</f>
        <v>0</v>
      </c>
      <c r="N81" s="434">
        <f>$B81*M81</f>
        <v>0</v>
      </c>
      <c r="O81" s="277">
        <f>IF((O4+O15)&gt;0,1,0)*CEILING(((O4/'Elenchi controllo_Parametri'!$D$47+O10/'Elenchi controllo_Parametri'!$D$50)+'Elenchi controllo_Parametri'!$D$44),1)</f>
        <v>0</v>
      </c>
      <c r="P81" s="434">
        <f>$B81*O81</f>
        <v>0</v>
      </c>
      <c r="Q81" s="277">
        <f>IF((Q4+Q15)&gt;0,1,0)*CEILING(((Q4/'Elenchi controllo_Parametri'!$D$47+Q10/'Elenchi controllo_Parametri'!$D$50)+'Elenchi controllo_Parametri'!$D$44),1)</f>
        <v>0</v>
      </c>
      <c r="R81" s="434">
        <f>$B81*Q81</f>
        <v>0</v>
      </c>
      <c r="S81" s="277">
        <f>IF((S4+S15)&gt;0,1,0)*CEILING(((S4/'Elenchi controllo_Parametri'!$D$47+S10/'Elenchi controllo_Parametri'!$D$50)+'Elenchi controllo_Parametri'!$D$44),1)</f>
        <v>0</v>
      </c>
      <c r="T81" s="434">
        <f>$B81*S81</f>
        <v>0</v>
      </c>
      <c r="U81" s="277">
        <f>IF((U4+U15)&gt;0,1,0)*CEILING(((U4/'Elenchi controllo_Parametri'!$D$47+U10/'Elenchi controllo_Parametri'!$D$50)+'Elenchi controllo_Parametri'!$D$44),1)</f>
        <v>0</v>
      </c>
      <c r="V81" s="434">
        <f>$B81*U81</f>
        <v>0</v>
      </c>
    </row>
    <row r="82" spans="1:23" outlineLevel="1" x14ac:dyDescent="0.2">
      <c r="A82" s="90" t="s">
        <v>1165</v>
      </c>
      <c r="B82" s="100">
        <f>VLOOKUP(A82,prezzi,5,)</f>
        <v>76.57911</v>
      </c>
      <c r="C82" s="277">
        <f>IF((C4+C15)&gt;0,1,0)*FLOOR(((C4/'Elenchi controllo_Parametri'!$D$48+C10/'Elenchi controllo_Parametri'!$D$51)+'Elenchi controllo_Parametri'!$D$45),1)</f>
        <v>0</v>
      </c>
      <c r="D82" s="434">
        <f>$B82*C82</f>
        <v>0</v>
      </c>
      <c r="E82" s="277">
        <f>IF((E4+E15)&gt;0,1,0)*FLOOR(((E4/'Elenchi controllo_Parametri'!$D$48+E10/'Elenchi controllo_Parametri'!$D$51)+'Elenchi controllo_Parametri'!$D$45),1)</f>
        <v>0</v>
      </c>
      <c r="F82" s="434">
        <f>$B82*E82</f>
        <v>0</v>
      </c>
      <c r="G82" s="277">
        <f>IF((G4+G15)&gt;0,1,0)*FLOOR(((G4/'Elenchi controllo_Parametri'!$D$48+G10/'Elenchi controllo_Parametri'!$D$51)+'Elenchi controllo_Parametri'!$D$45),1)</f>
        <v>0</v>
      </c>
      <c r="H82" s="434">
        <f>$B82*G82</f>
        <v>0</v>
      </c>
      <c r="I82" s="277">
        <f>IF((I4+I15)&gt;0,1,0)*FLOOR(((I4/'Elenchi controllo_Parametri'!$D$48+I10/'Elenchi controllo_Parametri'!$D$51)+'Elenchi controllo_Parametri'!$D$45),1)</f>
        <v>0</v>
      </c>
      <c r="J82" s="434">
        <f>$B82*I82</f>
        <v>0</v>
      </c>
      <c r="K82" s="277">
        <f>IF((K4+K15)&gt;0,1,0)*FLOOR(((K4/'Elenchi controllo_Parametri'!$D$48+K10/'Elenchi controllo_Parametri'!$D$51)+'Elenchi controllo_Parametri'!$D$45),1)</f>
        <v>0</v>
      </c>
      <c r="L82" s="434">
        <f>$B82*K82</f>
        <v>0</v>
      </c>
      <c r="M82" s="277">
        <f>IF((M4+M15)&gt;0,1,0)*FLOOR(((M4/'Elenchi controllo_Parametri'!$D$48+M10/'Elenchi controllo_Parametri'!$D$51)+'Elenchi controllo_Parametri'!$D$45),1)</f>
        <v>0</v>
      </c>
      <c r="N82" s="434">
        <f>$B82*M82</f>
        <v>0</v>
      </c>
      <c r="O82" s="277">
        <f>IF((O4+O15)&gt;0,1,0)*FLOOR(((O4/'Elenchi controllo_Parametri'!$D$48+O10/'Elenchi controllo_Parametri'!$D$51)+'Elenchi controllo_Parametri'!$D$45),1)</f>
        <v>0</v>
      </c>
      <c r="P82" s="434">
        <f>$B82*O82</f>
        <v>0</v>
      </c>
      <c r="Q82" s="277">
        <f>IF((Q4+Q15)&gt;0,1,0)*FLOOR(((Q4/'Elenchi controllo_Parametri'!$D$48+Q10/'Elenchi controllo_Parametri'!$D$51)+'Elenchi controllo_Parametri'!$D$45),1)</f>
        <v>0</v>
      </c>
      <c r="R82" s="434">
        <f>$B82*Q82</f>
        <v>0</v>
      </c>
      <c r="S82" s="277">
        <f>IF((S4+S15)&gt;0,1,0)*FLOOR(((S4/'Elenchi controllo_Parametri'!$D$48+S10/'Elenchi controllo_Parametri'!$D$51)+'Elenchi controllo_Parametri'!$D$45),1)</f>
        <v>0</v>
      </c>
      <c r="T82" s="434">
        <f>$B82*S82</f>
        <v>0</v>
      </c>
      <c r="U82" s="277">
        <f>IF((U4+U15)&gt;0,1,0)*FLOOR(((U4/'Elenchi controllo_Parametri'!$D$48+U10/'Elenchi controllo_Parametri'!$D$51)+'Elenchi controllo_Parametri'!$D$45),1)</f>
        <v>0</v>
      </c>
      <c r="V82" s="434">
        <f>$B82*U82</f>
        <v>0</v>
      </c>
    </row>
    <row r="83" spans="1:23" outlineLevel="1" x14ac:dyDescent="0.2">
      <c r="A83" s="90"/>
      <c r="B83" s="100"/>
      <c r="C83" s="277">
        <f>SUBTOTAL(9,C80:C82)</f>
        <v>0</v>
      </c>
      <c r="D83" s="434">
        <f>SUBTOTAL(9,D80:D82)</f>
        <v>0</v>
      </c>
      <c r="E83" s="277">
        <f t="shared" ref="E83:V83" si="30">SUBTOTAL(9,E80:E82)</f>
        <v>0</v>
      </c>
      <c r="F83" s="434">
        <f t="shared" si="30"/>
        <v>0</v>
      </c>
      <c r="G83" s="277">
        <f t="shared" si="30"/>
        <v>0</v>
      </c>
      <c r="H83" s="434">
        <f t="shared" si="30"/>
        <v>0</v>
      </c>
      <c r="I83" s="277">
        <f t="shared" si="30"/>
        <v>0</v>
      </c>
      <c r="J83" s="434">
        <f t="shared" si="30"/>
        <v>0</v>
      </c>
      <c r="K83" s="277">
        <f t="shared" si="30"/>
        <v>0</v>
      </c>
      <c r="L83" s="434">
        <f t="shared" si="30"/>
        <v>0</v>
      </c>
      <c r="M83" s="277">
        <f t="shared" si="30"/>
        <v>0</v>
      </c>
      <c r="N83" s="434">
        <f t="shared" si="30"/>
        <v>0</v>
      </c>
      <c r="O83" s="277">
        <f t="shared" si="30"/>
        <v>0</v>
      </c>
      <c r="P83" s="434">
        <f t="shared" si="30"/>
        <v>0</v>
      </c>
      <c r="Q83" s="277">
        <f t="shared" si="30"/>
        <v>0</v>
      </c>
      <c r="R83" s="434">
        <f t="shared" si="30"/>
        <v>0</v>
      </c>
      <c r="S83" s="277">
        <f t="shared" si="30"/>
        <v>0</v>
      </c>
      <c r="T83" s="434">
        <f t="shared" si="30"/>
        <v>0</v>
      </c>
      <c r="U83" s="277">
        <f t="shared" si="30"/>
        <v>0</v>
      </c>
      <c r="V83" s="434">
        <f t="shared" si="30"/>
        <v>0</v>
      </c>
    </row>
    <row r="84" spans="1:23" outlineLevel="1" x14ac:dyDescent="0.2">
      <c r="A84" s="478" t="s">
        <v>2381</v>
      </c>
      <c r="B84" s="353"/>
      <c r="C84" s="354"/>
      <c r="D84" s="373"/>
      <c r="E84" s="354"/>
      <c r="F84" s="373"/>
      <c r="G84" s="354"/>
      <c r="H84" s="373"/>
      <c r="I84" s="354"/>
      <c r="J84" s="373"/>
      <c r="K84" s="354"/>
      <c r="L84" s="373"/>
      <c r="M84" s="354"/>
      <c r="N84" s="373"/>
      <c r="O84" s="354"/>
      <c r="P84" s="373"/>
      <c r="Q84" s="354"/>
      <c r="R84" s="373"/>
      <c r="S84" s="354"/>
      <c r="T84" s="373"/>
      <c r="U84" s="354"/>
      <c r="V84" s="373"/>
    </row>
    <row r="85" spans="1:23" outlineLevel="1" x14ac:dyDescent="0.2">
      <c r="A85" s="90" t="s">
        <v>1163</v>
      </c>
      <c r="B85" s="100">
        <f>VLOOKUP(A85,prezzi,5,)</f>
        <v>23.478300000000001</v>
      </c>
      <c r="C85" s="277">
        <f>IF((C4+C15)&gt;0,1,0)*CEILING(((C4/'Elenchi controllo_Parametri'!$C$46+C15/'Elenchi controllo_Parametri'!$C$49)+'Elenchi controllo_Parametri'!$C$43),1)</f>
        <v>0</v>
      </c>
      <c r="D85" s="434">
        <f>$B85*C85</f>
        <v>0</v>
      </c>
      <c r="E85" s="277">
        <f>IF((E4+E15)&gt;0,1,0)*CEILING(((E4/'Elenchi controllo_Parametri'!$C$46+E15/'Elenchi controllo_Parametri'!$C$49)+'Elenchi controllo_Parametri'!$C$43),1)</f>
        <v>0</v>
      </c>
      <c r="F85" s="434">
        <f>$B85*E85</f>
        <v>0</v>
      </c>
      <c r="G85" s="277">
        <f>IF((G4+G15)&gt;0,1,0)*CEILING(((G4/'Elenchi controllo_Parametri'!$C$46+G15/'Elenchi controllo_Parametri'!$C$49)+'Elenchi controllo_Parametri'!$C$43),1)</f>
        <v>0</v>
      </c>
      <c r="H85" s="434">
        <f>$B85*G85</f>
        <v>0</v>
      </c>
      <c r="I85" s="277">
        <f>IF((I4+I15)&gt;0,1,0)*CEILING(((I4/'Elenchi controllo_Parametri'!$C$46+I15/'Elenchi controllo_Parametri'!$C$49)+'Elenchi controllo_Parametri'!$C$43),1)</f>
        <v>0</v>
      </c>
      <c r="J85" s="434">
        <f>$B85*I85</f>
        <v>0</v>
      </c>
      <c r="K85" s="277">
        <f>IF((K4+K15)&gt;0,1,0)*CEILING(((K4/'Elenchi controllo_Parametri'!$C$46+K15/'Elenchi controllo_Parametri'!$C$49)+'Elenchi controllo_Parametri'!$C$43),1)</f>
        <v>0</v>
      </c>
      <c r="L85" s="434">
        <f>$B85*K85</f>
        <v>0</v>
      </c>
      <c r="M85" s="277">
        <f>IF((M4+M15)&gt;0,1,0)*CEILING(((M4/'Elenchi controllo_Parametri'!$C$46+M15/'Elenchi controllo_Parametri'!$C$49)+'Elenchi controllo_Parametri'!$C$43),1)</f>
        <v>0</v>
      </c>
      <c r="N85" s="434">
        <f>$B85*M85</f>
        <v>0</v>
      </c>
      <c r="O85" s="277">
        <f>IF((O4+O15)&gt;0,1,0)*CEILING(((O4/'Elenchi controllo_Parametri'!$C$46+O15/'Elenchi controllo_Parametri'!$C$49)+'Elenchi controllo_Parametri'!$C$43),1)</f>
        <v>0</v>
      </c>
      <c r="P85" s="434">
        <f>$B85*O85</f>
        <v>0</v>
      </c>
      <c r="Q85" s="277">
        <f>IF((Q4+Q15)&gt;0,1,0)*CEILING(((Q4/'Elenchi controllo_Parametri'!$C$46+Q15/'Elenchi controllo_Parametri'!$C$49)+'Elenchi controllo_Parametri'!$C$43),1)</f>
        <v>0</v>
      </c>
      <c r="R85" s="434">
        <f>$B85*Q85</f>
        <v>0</v>
      </c>
      <c r="S85" s="277">
        <f>IF((S4+S15)&gt;0,1,0)*CEILING(((S4/'Elenchi controllo_Parametri'!$C$46+S15/'Elenchi controllo_Parametri'!$C$49)+'Elenchi controllo_Parametri'!$C$43),1)</f>
        <v>0</v>
      </c>
      <c r="T85" s="434">
        <f>$B85*S85</f>
        <v>0</v>
      </c>
      <c r="U85" s="277">
        <f>IF((U4+U15)&gt;0,1,0)*CEILING(((U4/'Elenchi controllo_Parametri'!$C$46+U15/'Elenchi controllo_Parametri'!$C$49)+'Elenchi controllo_Parametri'!$C$43),1)</f>
        <v>0</v>
      </c>
      <c r="V85" s="434">
        <f>$B85*U85</f>
        <v>0</v>
      </c>
    </row>
    <row r="86" spans="1:23" outlineLevel="1" x14ac:dyDescent="0.2">
      <c r="A86" s="90" t="s">
        <v>1164</v>
      </c>
      <c r="B86" s="100">
        <f>VLOOKUP(A86,prezzi,5,)</f>
        <v>23.478300000000001</v>
      </c>
      <c r="C86" s="277">
        <f>IF((C4+C15)&gt;0,1,0)*CEILING(((C4/'Elenchi controllo_Parametri'!$C$47+C15/'Elenchi controllo_Parametri'!$C$50)+'Elenchi controllo_Parametri'!$C$44),1)</f>
        <v>0</v>
      </c>
      <c r="D86" s="434">
        <f>$B86*C86</f>
        <v>0</v>
      </c>
      <c r="E86" s="277">
        <f>IF((E4+E15)&gt;0,1,0)*CEILING(((E4/'Elenchi controllo_Parametri'!$C$47+E15/'Elenchi controllo_Parametri'!$C$50)+'Elenchi controllo_Parametri'!$C$44),1)</f>
        <v>0</v>
      </c>
      <c r="F86" s="434">
        <f>$B86*E86</f>
        <v>0</v>
      </c>
      <c r="G86" s="277">
        <f>IF((G4+G15)&gt;0,1,0)*CEILING(((G4/'Elenchi controllo_Parametri'!$C$47+G15/'Elenchi controllo_Parametri'!$C$50)+'Elenchi controllo_Parametri'!$C$44),1)</f>
        <v>0</v>
      </c>
      <c r="H86" s="434">
        <f>$B86*G86</f>
        <v>0</v>
      </c>
      <c r="I86" s="277">
        <f>IF((I4+I15)&gt;0,1,0)*CEILING(((I4/'Elenchi controllo_Parametri'!$C$47+I15/'Elenchi controllo_Parametri'!$C$50)+'Elenchi controllo_Parametri'!$C$44),1)</f>
        <v>0</v>
      </c>
      <c r="J86" s="434">
        <f>$B86*I86</f>
        <v>0</v>
      </c>
      <c r="K86" s="277">
        <f>IF((K4+K15)&gt;0,1,0)*CEILING(((K4/'Elenchi controllo_Parametri'!$C$47+K15/'Elenchi controllo_Parametri'!$C$50)+'Elenchi controllo_Parametri'!$C$44),1)</f>
        <v>0</v>
      </c>
      <c r="L86" s="434">
        <f>$B86*K86</f>
        <v>0</v>
      </c>
      <c r="M86" s="277">
        <f>IF((M4+M15)&gt;0,1,0)*CEILING(((M4/'Elenchi controllo_Parametri'!$C$47+M15/'Elenchi controllo_Parametri'!$C$50)+'Elenchi controllo_Parametri'!$C$44),1)</f>
        <v>0</v>
      </c>
      <c r="N86" s="434">
        <f>$B86*M86</f>
        <v>0</v>
      </c>
      <c r="O86" s="277">
        <f>IF((O4+O15)&gt;0,1,0)*CEILING(((O4/'Elenchi controllo_Parametri'!$C$47+O15/'Elenchi controllo_Parametri'!$C$50)+'Elenchi controllo_Parametri'!$C$44),1)</f>
        <v>0</v>
      </c>
      <c r="P86" s="434">
        <f>$B86*O86</f>
        <v>0</v>
      </c>
      <c r="Q86" s="277">
        <f>IF((Q4+Q15)&gt;0,1,0)*CEILING(((Q4/'Elenchi controllo_Parametri'!$C$47+Q15/'Elenchi controllo_Parametri'!$C$50)+'Elenchi controllo_Parametri'!$C$44),1)</f>
        <v>0</v>
      </c>
      <c r="R86" s="434">
        <f>$B86*Q86</f>
        <v>0</v>
      </c>
      <c r="S86" s="277">
        <f>IF((S4+S15)&gt;0,1,0)*CEILING(((S4/'Elenchi controllo_Parametri'!$C$47+S15/'Elenchi controllo_Parametri'!$C$50)+'Elenchi controllo_Parametri'!$C$44),1)</f>
        <v>0</v>
      </c>
      <c r="T86" s="434">
        <f>$B86*S86</f>
        <v>0</v>
      </c>
      <c r="U86" s="277">
        <f>IF((U4+U15)&gt;0,1,0)*CEILING(((U4/'Elenchi controllo_Parametri'!$C$47+U15/'Elenchi controllo_Parametri'!$C$50)+'Elenchi controllo_Parametri'!$C$44),1)</f>
        <v>0</v>
      </c>
      <c r="V86" s="434">
        <f>$B86*U86</f>
        <v>0</v>
      </c>
    </row>
    <row r="87" spans="1:23" outlineLevel="1" x14ac:dyDescent="0.2">
      <c r="A87" s="112" t="s">
        <v>1165</v>
      </c>
      <c r="B87" s="108">
        <f>VLOOKUP(A87,prezzi,5,)</f>
        <v>76.57911</v>
      </c>
      <c r="C87" s="356">
        <f>IF((C4+C15)&gt;0,1,0)*FLOOR(((C4/'Elenchi controllo_Parametri'!$C$48+C15/'Elenchi controllo_Parametri'!$C$51)+'Elenchi controllo_Parametri'!$C$45),1)</f>
        <v>0</v>
      </c>
      <c r="D87" s="439">
        <f>$B87*C87</f>
        <v>0</v>
      </c>
      <c r="E87" s="356">
        <f>IF((E4+E15)&gt;0,1,0)*FLOOR(((E4/'Elenchi controllo_Parametri'!$C$48+E15/'Elenchi controllo_Parametri'!$C$51)+'Elenchi controllo_Parametri'!$C$45),1)</f>
        <v>0</v>
      </c>
      <c r="F87" s="439">
        <f>$B87*E87</f>
        <v>0</v>
      </c>
      <c r="G87" s="356">
        <f>IF((G4+G15)&gt;0,1,0)*FLOOR(((G4/'Elenchi controllo_Parametri'!$C$48+G15/'Elenchi controllo_Parametri'!$C$51)+'Elenchi controllo_Parametri'!$C$45),1)</f>
        <v>0</v>
      </c>
      <c r="H87" s="439">
        <f>$B87*G87</f>
        <v>0</v>
      </c>
      <c r="I87" s="356">
        <f>IF((I4+I15)&gt;0,1,0)*FLOOR(((I4/'Elenchi controllo_Parametri'!$C$48+I15/'Elenchi controllo_Parametri'!$C$51)+'Elenchi controllo_Parametri'!$C$45),1)</f>
        <v>0</v>
      </c>
      <c r="J87" s="439">
        <f>$B87*I87</f>
        <v>0</v>
      </c>
      <c r="K87" s="356">
        <f>IF((K4+K15)&gt;0,1,0)*FLOOR(((K4/'Elenchi controllo_Parametri'!$C$48+K15/'Elenchi controllo_Parametri'!$C$51)+'Elenchi controllo_Parametri'!$C$45),1)</f>
        <v>0</v>
      </c>
      <c r="L87" s="439">
        <f>$B87*K87</f>
        <v>0</v>
      </c>
      <c r="M87" s="356">
        <f>IF((M4+M15)&gt;0,1,0)*FLOOR(((M4/'Elenchi controllo_Parametri'!$C$48+M15/'Elenchi controllo_Parametri'!$C$51)+'Elenchi controllo_Parametri'!$C$45),1)</f>
        <v>0</v>
      </c>
      <c r="N87" s="439">
        <f>$B87*M87</f>
        <v>0</v>
      </c>
      <c r="O87" s="356">
        <f>IF((O4+O15)&gt;0,1,0)*FLOOR(((O4/'Elenchi controllo_Parametri'!$C$48+O15/'Elenchi controllo_Parametri'!$C$51)+'Elenchi controllo_Parametri'!$C$45),1)</f>
        <v>0</v>
      </c>
      <c r="P87" s="439">
        <f>$B87*O87</f>
        <v>0</v>
      </c>
      <c r="Q87" s="356">
        <f>IF((Q4+Q15)&gt;0,1,0)*FLOOR(((Q4/'Elenchi controllo_Parametri'!$C$48+Q15/'Elenchi controllo_Parametri'!$C$51)+'Elenchi controllo_Parametri'!$C$45),1)</f>
        <v>0</v>
      </c>
      <c r="R87" s="439">
        <f>$B87*Q87</f>
        <v>0</v>
      </c>
      <c r="S87" s="356">
        <f>IF((S4+S15)&gt;0,1,0)*FLOOR(((S4/'Elenchi controllo_Parametri'!$C$48+S15/'Elenchi controllo_Parametri'!$C$51)+'Elenchi controllo_Parametri'!$C$45),1)</f>
        <v>0</v>
      </c>
      <c r="T87" s="439">
        <f>$B87*S87</f>
        <v>0</v>
      </c>
      <c r="U87" s="356">
        <f>IF((U4+U15)&gt;0,1,0)*FLOOR(((U4/'Elenchi controllo_Parametri'!$C$48+U15/'Elenchi controllo_Parametri'!$C$51)+'Elenchi controllo_Parametri'!$C$45),1)</f>
        <v>0</v>
      </c>
      <c r="V87" s="439">
        <f>$B87*U87</f>
        <v>0</v>
      </c>
    </row>
    <row r="88" spans="1:23" outlineLevel="1" x14ac:dyDescent="0.2">
      <c r="A88" s="90"/>
      <c r="B88" s="100"/>
      <c r="C88" s="357">
        <f>SUBTOTAL(9,C85:C87)</f>
        <v>0</v>
      </c>
      <c r="D88" s="439">
        <f>SUBTOTAL(9,D85:D87)</f>
        <v>0</v>
      </c>
      <c r="E88" s="357">
        <f t="shared" ref="E88:V88" si="31">SUBTOTAL(9,E85:E87)</f>
        <v>0</v>
      </c>
      <c r="F88" s="439">
        <f t="shared" si="31"/>
        <v>0</v>
      </c>
      <c r="G88" s="357">
        <f t="shared" si="31"/>
        <v>0</v>
      </c>
      <c r="H88" s="439">
        <f t="shared" si="31"/>
        <v>0</v>
      </c>
      <c r="I88" s="357">
        <f t="shared" si="31"/>
        <v>0</v>
      </c>
      <c r="J88" s="439">
        <f t="shared" si="31"/>
        <v>0</v>
      </c>
      <c r="K88" s="357">
        <f t="shared" si="31"/>
        <v>0</v>
      </c>
      <c r="L88" s="439">
        <f t="shared" si="31"/>
        <v>0</v>
      </c>
      <c r="M88" s="357">
        <f t="shared" si="31"/>
        <v>0</v>
      </c>
      <c r="N88" s="439">
        <f t="shared" si="31"/>
        <v>0</v>
      </c>
      <c r="O88" s="357">
        <f t="shared" si="31"/>
        <v>0</v>
      </c>
      <c r="P88" s="439">
        <f t="shared" si="31"/>
        <v>0</v>
      </c>
      <c r="Q88" s="357">
        <f t="shared" si="31"/>
        <v>0</v>
      </c>
      <c r="R88" s="439">
        <f t="shared" si="31"/>
        <v>0</v>
      </c>
      <c r="S88" s="357">
        <f t="shared" si="31"/>
        <v>0</v>
      </c>
      <c r="T88" s="439">
        <f t="shared" si="31"/>
        <v>0</v>
      </c>
      <c r="U88" s="357">
        <f t="shared" si="31"/>
        <v>0</v>
      </c>
      <c r="V88" s="439">
        <f t="shared" si="31"/>
        <v>0</v>
      </c>
    </row>
    <row r="89" spans="1:23" ht="13.5" outlineLevel="1" thickBot="1" x14ac:dyDescent="0.25">
      <c r="A89" s="90"/>
      <c r="B89" s="100"/>
      <c r="C89" s="84"/>
      <c r="D89" s="87"/>
      <c r="E89" s="84"/>
      <c r="F89" s="87"/>
      <c r="G89" s="84"/>
      <c r="H89" s="87"/>
      <c r="I89" s="84"/>
      <c r="J89" s="87"/>
      <c r="K89" s="84"/>
      <c r="L89" s="87"/>
      <c r="M89" s="84"/>
      <c r="N89" s="87"/>
      <c r="O89" s="84"/>
      <c r="P89" s="87"/>
      <c r="Q89" s="84"/>
      <c r="R89" s="87"/>
      <c r="S89" s="84"/>
      <c r="T89" s="87"/>
      <c r="U89" s="84"/>
      <c r="V89" s="88"/>
      <c r="W89" s="263"/>
    </row>
    <row r="90" spans="1:23" ht="15.75" outlineLevel="1" x14ac:dyDescent="0.25">
      <c r="A90" s="139" t="s">
        <v>637</v>
      </c>
      <c r="B90" s="121"/>
      <c r="C90" s="140" t="s">
        <v>652</v>
      </c>
      <c r="D90" s="141"/>
      <c r="E90" s="140" t="s">
        <v>703</v>
      </c>
      <c r="F90" s="141"/>
      <c r="G90" s="140" t="s">
        <v>704</v>
      </c>
      <c r="H90" s="141"/>
      <c r="I90" s="140" t="s">
        <v>705</v>
      </c>
      <c r="J90" s="141"/>
      <c r="K90" s="140" t="s">
        <v>706</v>
      </c>
      <c r="L90" s="141"/>
      <c r="M90" s="140" t="s">
        <v>707</v>
      </c>
      <c r="N90" s="141"/>
      <c r="O90" s="140" t="s">
        <v>708</v>
      </c>
      <c r="P90" s="141"/>
      <c r="Q90" s="140" t="s">
        <v>709</v>
      </c>
      <c r="R90" s="141"/>
      <c r="S90" s="140" t="s">
        <v>710</v>
      </c>
      <c r="T90" s="141"/>
      <c r="U90" s="142" t="s">
        <v>711</v>
      </c>
      <c r="V90" s="143"/>
    </row>
    <row r="91" spans="1:23" ht="15.75" outlineLevel="1" x14ac:dyDescent="0.25">
      <c r="A91" s="363" t="s">
        <v>2382</v>
      </c>
      <c r="B91" s="273"/>
      <c r="C91" s="361">
        <f>SUM(impianto!AI23:AI194)</f>
        <v>0</v>
      </c>
      <c r="D91" s="360"/>
      <c r="E91" s="361">
        <f>SUM(impianto!AN23:AN194)</f>
        <v>0</v>
      </c>
      <c r="F91" s="360"/>
      <c r="G91" s="361">
        <f>SUM(impianto!AP23:AP194)</f>
        <v>0</v>
      </c>
      <c r="H91" s="360"/>
      <c r="I91" s="361">
        <f>SUM(impianto!AR23:AR194)</f>
        <v>0</v>
      </c>
      <c r="J91" s="360"/>
      <c r="K91" s="361">
        <f>SUM(impianto!AT23:AT194)</f>
        <v>0</v>
      </c>
      <c r="L91" s="360"/>
      <c r="M91" s="361">
        <f>SUM(impianto!AV23:AV194)</f>
        <v>0</v>
      </c>
      <c r="N91" s="360"/>
      <c r="O91" s="361">
        <f>SUM(impianto!AX23:AX194)</f>
        <v>0</v>
      </c>
      <c r="P91" s="360"/>
      <c r="Q91" s="361">
        <f>SUM(impianto!AZ23:AZ194)</f>
        <v>0</v>
      </c>
      <c r="R91" s="360"/>
      <c r="S91" s="361">
        <f>SUM(impianto!BB23:BB194)</f>
        <v>0</v>
      </c>
      <c r="T91" s="360"/>
      <c r="U91" s="361">
        <f>SUM(impianto!BD23:BD194)</f>
        <v>0</v>
      </c>
      <c r="V91" s="360"/>
    </row>
    <row r="92" spans="1:23" ht="15.75" x14ac:dyDescent="0.25">
      <c r="A92" s="355"/>
      <c r="B92" s="273"/>
      <c r="C92" s="274"/>
      <c r="D92" s="275"/>
      <c r="E92" s="274"/>
      <c r="F92" s="275"/>
      <c r="G92" s="274"/>
      <c r="H92" s="275"/>
      <c r="I92" s="274"/>
      <c r="J92" s="275"/>
      <c r="K92" s="274"/>
      <c r="L92" s="275"/>
      <c r="M92" s="274"/>
      <c r="N92" s="275"/>
      <c r="O92" s="274"/>
      <c r="P92" s="275"/>
      <c r="Q92" s="274"/>
      <c r="R92" s="275"/>
      <c r="S92" s="274"/>
      <c r="T92" s="275"/>
      <c r="U92" s="274"/>
      <c r="V92" s="275"/>
    </row>
    <row r="93" spans="1:23" ht="16.5" thickBot="1" x14ac:dyDescent="0.3">
      <c r="A93" s="355"/>
      <c r="B93" s="273"/>
      <c r="C93" s="274"/>
      <c r="D93" s="275"/>
      <c r="E93" s="274"/>
      <c r="F93" s="275"/>
      <c r="G93" s="274"/>
      <c r="H93" s="275"/>
      <c r="I93" s="274"/>
      <c r="J93" s="275"/>
      <c r="K93" s="274"/>
      <c r="L93" s="275"/>
      <c r="M93" s="274"/>
      <c r="N93" s="275"/>
      <c r="O93" s="274"/>
      <c r="P93" s="275"/>
      <c r="Q93" s="274"/>
      <c r="R93" s="275"/>
      <c r="S93" s="274"/>
      <c r="T93" s="275"/>
      <c r="U93" s="274"/>
      <c r="V93" s="275"/>
    </row>
    <row r="94" spans="1:23" ht="15.75" outlineLevel="1" x14ac:dyDescent="0.25">
      <c r="A94" s="400" t="s">
        <v>637</v>
      </c>
      <c r="B94" s="401">
        <f>VLOOKUP(tipo_em1,'Elenchi controllo_Parametri'!A26:C29,3)</f>
        <v>1</v>
      </c>
      <c r="C94" s="402" t="s">
        <v>652</v>
      </c>
      <c r="D94" s="403"/>
      <c r="E94" s="402" t="s">
        <v>703</v>
      </c>
      <c r="F94" s="403"/>
      <c r="G94" s="402" t="s">
        <v>704</v>
      </c>
      <c r="H94" s="403"/>
      <c r="I94" s="402" t="s">
        <v>705</v>
      </c>
      <c r="J94" s="403"/>
      <c r="K94" s="402" t="s">
        <v>706</v>
      </c>
      <c r="L94" s="403"/>
      <c r="M94" s="402" t="s">
        <v>707</v>
      </c>
      <c r="N94" s="403"/>
      <c r="O94" s="402" t="s">
        <v>708</v>
      </c>
      <c r="P94" s="403"/>
      <c r="Q94" s="402" t="s">
        <v>709</v>
      </c>
      <c r="R94" s="403"/>
      <c r="S94" s="402" t="s">
        <v>710</v>
      </c>
      <c r="T94" s="403"/>
      <c r="U94" s="404" t="s">
        <v>711</v>
      </c>
      <c r="V94" s="405"/>
    </row>
    <row r="95" spans="1:23" ht="15.75" x14ac:dyDescent="0.25">
      <c r="A95" s="406" t="s">
        <v>2268</v>
      </c>
      <c r="B95" s="369"/>
      <c r="C95" s="274"/>
      <c r="D95" s="275"/>
      <c r="E95" s="274"/>
      <c r="F95" s="275"/>
      <c r="G95" s="274"/>
      <c r="H95" s="275"/>
      <c r="I95" s="274"/>
      <c r="J95" s="275"/>
      <c r="K95" s="274"/>
      <c r="L95" s="275"/>
      <c r="M95" s="274"/>
      <c r="N95" s="275"/>
      <c r="O95" s="274"/>
      <c r="P95" s="275"/>
      <c r="Q95" s="274"/>
      <c r="R95" s="275"/>
      <c r="S95" s="274"/>
      <c r="T95" s="275"/>
      <c r="U95" s="274"/>
      <c r="V95" s="275"/>
    </row>
    <row r="96" spans="1:23" ht="15.75" x14ac:dyDescent="0.25">
      <c r="A96" s="449" t="s">
        <v>1185</v>
      </c>
      <c r="B96" s="417">
        <f>HLOOKUP(tipo_controllore1,input_output!B29:F30,2)</f>
        <v>0</v>
      </c>
      <c r="C96" s="274"/>
      <c r="D96" s="417"/>
      <c r="E96" s="274"/>
      <c r="F96" s="275"/>
      <c r="G96" s="274"/>
      <c r="H96" s="275"/>
      <c r="I96" s="274"/>
      <c r="J96" s="275"/>
      <c r="K96" s="274"/>
      <c r="L96" s="275"/>
      <c r="M96" s="274"/>
      <c r="N96" s="275"/>
      <c r="O96" s="274"/>
      <c r="P96" s="275"/>
      <c r="Q96" s="274"/>
      <c r="R96" s="275"/>
      <c r="S96" s="274"/>
      <c r="T96" s="275"/>
      <c r="U96" s="274"/>
      <c r="V96" s="275"/>
    </row>
    <row r="97" spans="1:22" ht="15.75" x14ac:dyDescent="0.25">
      <c r="A97" s="408" t="s">
        <v>2273</v>
      </c>
      <c r="B97" s="407"/>
      <c r="C97" s="274"/>
      <c r="D97" s="275"/>
      <c r="E97" s="274"/>
      <c r="F97" s="275"/>
      <c r="G97" s="274"/>
      <c r="H97" s="275"/>
      <c r="I97" s="274"/>
      <c r="J97" s="275"/>
      <c r="K97" s="274"/>
      <c r="L97" s="275"/>
      <c r="M97" s="274"/>
      <c r="N97" s="275"/>
      <c r="O97" s="274"/>
      <c r="P97" s="275"/>
      <c r="Q97" s="274"/>
      <c r="R97" s="275"/>
      <c r="S97" s="274"/>
      <c r="T97" s="275"/>
      <c r="U97" s="274"/>
      <c r="V97" s="275"/>
    </row>
    <row r="98" spans="1:22" ht="13.5" x14ac:dyDescent="0.25">
      <c r="A98" s="428" t="s">
        <v>2402</v>
      </c>
      <c r="B98" s="440">
        <f t="shared" ref="B98:B103" si="32">SUM(C98:V98)</f>
        <v>0</v>
      </c>
      <c r="C98" s="374"/>
      <c r="D98" s="443">
        <f>$B$94*SUBTOTAL(9,D52:D66)</f>
        <v>0</v>
      </c>
      <c r="E98" s="374"/>
      <c r="F98" s="443">
        <f>$B$94*SUBTOTAL(9,F52:F66)</f>
        <v>0</v>
      </c>
      <c r="G98" s="374"/>
      <c r="H98" s="443">
        <f>$B$94*SUBTOTAL(9,H52:H66)</f>
        <v>0</v>
      </c>
      <c r="I98" s="374"/>
      <c r="J98" s="443">
        <f>$B$94*SUBTOTAL(9,J52:J66)</f>
        <v>0</v>
      </c>
      <c r="K98" s="374"/>
      <c r="L98" s="443">
        <f>$B$94*SUBTOTAL(9,L52:L66)</f>
        <v>0</v>
      </c>
      <c r="M98" s="374"/>
      <c r="N98" s="443">
        <f>$B$94*SUBTOTAL(9,N52:N66)</f>
        <v>0</v>
      </c>
      <c r="O98" s="374"/>
      <c r="P98" s="443">
        <f>$B$94*SUBTOTAL(9,P52:P66)</f>
        <v>0</v>
      </c>
      <c r="Q98" s="374"/>
      <c r="R98" s="443">
        <f>$B$94*SUBTOTAL(9,R52:R66)</f>
        <v>0</v>
      </c>
      <c r="S98" s="374"/>
      <c r="T98" s="443">
        <f>$B$94*SUBTOTAL(9,T52:T66)</f>
        <v>0</v>
      </c>
      <c r="U98" s="374"/>
      <c r="V98" s="443">
        <f>$B$94*SUBTOTAL(9,V52:V66)</f>
        <v>0</v>
      </c>
    </row>
    <row r="99" spans="1:22" outlineLevel="1" x14ac:dyDescent="0.2">
      <c r="A99" s="428" t="s">
        <v>2393</v>
      </c>
      <c r="B99" s="440">
        <f t="shared" si="32"/>
        <v>0</v>
      </c>
      <c r="C99" s="366"/>
      <c r="D99" s="443">
        <f>IF(impianto!O22=2,SUM(quadro!D75:D77)+SUM(D68:D69),(SUM(D72:D74))+SUM(D68:D69))</f>
        <v>0</v>
      </c>
      <c r="E99" s="366"/>
      <c r="F99" s="443">
        <f>IF(impianto!Q22=2,SUM(quadro!F75:F77)+SUM(F68:F69),(SUM(F72:F74))+SUM(F68:F69))</f>
        <v>0</v>
      </c>
      <c r="G99" s="366"/>
      <c r="H99" s="443">
        <f>IF(impianto!S22=2,SUM(quadro!H75:H77)+SUM(H68:H69),(SUM(H72:H74))+SUM(H68:H69))</f>
        <v>0</v>
      </c>
      <c r="I99" s="366"/>
      <c r="J99" s="443">
        <f>IF(impianto!U22=2,SUM(quadro!J75:J77)+SUM(J68:J69),(SUM(J72:J74))+SUM(J68:J69))</f>
        <v>0</v>
      </c>
      <c r="K99" s="366"/>
      <c r="L99" s="443">
        <f>IF(impianto!W22=2,SUM(quadro!L75:L77)+SUM(L68:L69),(SUM(L72:L74))+SUM(L68:L69))</f>
        <v>0</v>
      </c>
      <c r="M99" s="366"/>
      <c r="N99" s="443">
        <f>IF(impianto!Y22=2,SUM(quadro!N75:N77)+SUM(N68:N69),(SUM(N72:N74))+SUM(N68:N69))</f>
        <v>0</v>
      </c>
      <c r="O99" s="366"/>
      <c r="P99" s="443">
        <f>IF(impianto!AA22=2,SUM(quadro!P75:P77)+SUM(P68:P69),(SUM(P72:P74))+SUM(P68:P69))</f>
        <v>0</v>
      </c>
      <c r="Q99" s="366"/>
      <c r="R99" s="443">
        <f>IF(impianto!AC22=2,SUM(quadro!R75:R77)+SUM(R68:R69),(SUM(R72:R74))+SUM(R68:R69))</f>
        <v>0</v>
      </c>
      <c r="S99" s="366"/>
      <c r="T99" s="443">
        <f>IF(impianto!AE22=2,SUM(quadro!T75:T77)+SUM(T68:T69),(SUM(T72:T74))+SUM(T68:T69))</f>
        <v>0</v>
      </c>
      <c r="U99" s="366"/>
      <c r="V99" s="443">
        <f>IF(impianto!AG22=2,SUM(quadro!V75:V77)+SUM(V68:V69),(SUM(V72:V74))+SUM(V68:V69))</f>
        <v>0</v>
      </c>
    </row>
    <row r="100" spans="1:22" outlineLevel="1" x14ac:dyDescent="0.2">
      <c r="A100" s="428" t="s">
        <v>2394</v>
      </c>
      <c r="B100" s="440">
        <f t="shared" si="32"/>
        <v>0</v>
      </c>
      <c r="C100" s="366"/>
      <c r="D100" s="443">
        <f>IF(tipo_controllore1&lt;=2,0,IF(tipo_controllore1=3,quadro!D83,quadro!D88))</f>
        <v>0</v>
      </c>
      <c r="E100" s="366"/>
      <c r="F100" s="443">
        <f>IF(tipo_controllore1&lt;=2,0,IF(tipo_controllore1=3,quadro!F83,quadro!F88))</f>
        <v>0</v>
      </c>
      <c r="G100" s="366"/>
      <c r="H100" s="443">
        <f>IF(tipo_controllore1&lt;=2,0,IF(tipo_controllore1=3,quadro!H83,quadro!H88))</f>
        <v>0</v>
      </c>
      <c r="I100" s="366"/>
      <c r="J100" s="443">
        <f>IF(tipo_controllore1&lt;=2,0,IF(tipo_controllore1=3,quadro!J83,quadro!J88))</f>
        <v>0</v>
      </c>
      <c r="K100" s="366"/>
      <c r="L100" s="443">
        <f>IF(tipo_controllore1&lt;=2,0,IF(tipo_controllore1=3,quadro!L83,quadro!L88))</f>
        <v>0</v>
      </c>
      <c r="M100" s="366"/>
      <c r="N100" s="443">
        <f>IF(tipo_controllore1&lt;=2,0,IF(tipo_controllore1=3,quadro!N83,quadro!N88))</f>
        <v>0</v>
      </c>
      <c r="O100" s="366"/>
      <c r="P100" s="443">
        <f>IF(tipo_controllore1&lt;=2,0,IF(tipo_controllore1=3,quadro!P83,quadro!P88))</f>
        <v>0</v>
      </c>
      <c r="Q100" s="366"/>
      <c r="R100" s="443">
        <f>IF(tipo_controllore1&lt;=2,0,IF(tipo_controllore1=3,quadro!R83,quadro!R88))</f>
        <v>0</v>
      </c>
      <c r="S100" s="366"/>
      <c r="T100" s="443">
        <f>IF(tipo_controllore1&lt;=2,0,IF(tipo_controllore1=3,quadro!T83,quadro!T88))</f>
        <v>0</v>
      </c>
      <c r="U100" s="366"/>
      <c r="V100" s="443">
        <f>IF(tipo_controllore1&lt;=2,0,IF(tipo_controllore1=3,quadro!V83,quadro!V88))</f>
        <v>0</v>
      </c>
    </row>
    <row r="101" spans="1:22" outlineLevel="1" x14ac:dyDescent="0.2">
      <c r="A101" s="428" t="s">
        <v>2456</v>
      </c>
      <c r="B101" s="440">
        <f t="shared" si="32"/>
        <v>0</v>
      </c>
      <c r="C101" s="366"/>
      <c r="D101" s="443">
        <f>IF(AND(tipo_controllore1=1,SUM(impianto!$N$51:$AG$51,impianto!$N$147:$AG$147)&gt;0),GATEWAY_MODBUS,0)</f>
        <v>0</v>
      </c>
      <c r="E101" s="366"/>
      <c r="F101" s="443"/>
      <c r="G101" s="366"/>
      <c r="H101" s="443"/>
      <c r="I101" s="366"/>
      <c r="J101" s="443"/>
      <c r="K101" s="366"/>
      <c r="L101" s="443"/>
      <c r="M101" s="366"/>
      <c r="N101" s="443"/>
      <c r="O101" s="366"/>
      <c r="P101" s="443"/>
      <c r="Q101" s="366"/>
      <c r="R101" s="443"/>
      <c r="S101" s="366"/>
      <c r="T101" s="443"/>
      <c r="U101" s="366"/>
      <c r="V101" s="443"/>
    </row>
    <row r="102" spans="1:22" outlineLevel="1" x14ac:dyDescent="0.2">
      <c r="A102" s="428" t="s">
        <v>2455</v>
      </c>
      <c r="B102" s="440">
        <f t="shared" si="32"/>
        <v>0</v>
      </c>
      <c r="C102" s="366"/>
      <c r="D102" s="443">
        <f>D45</f>
        <v>0</v>
      </c>
      <c r="E102" s="366"/>
      <c r="F102" s="443">
        <f>F45</f>
        <v>0</v>
      </c>
      <c r="G102" s="366"/>
      <c r="H102" s="443">
        <f>H45</f>
        <v>0</v>
      </c>
      <c r="I102" s="366"/>
      <c r="J102" s="443">
        <f>J45</f>
        <v>0</v>
      </c>
      <c r="K102" s="366"/>
      <c r="L102" s="443">
        <f>L45</f>
        <v>0</v>
      </c>
      <c r="M102" s="366"/>
      <c r="N102" s="443">
        <f>N45</f>
        <v>0</v>
      </c>
      <c r="O102" s="366"/>
      <c r="P102" s="443">
        <f>P45</f>
        <v>0</v>
      </c>
      <c r="Q102" s="366"/>
      <c r="R102" s="443">
        <f>R45</f>
        <v>0</v>
      </c>
      <c r="S102" s="366"/>
      <c r="T102" s="443">
        <f>T45</f>
        <v>0</v>
      </c>
      <c r="U102" s="366"/>
      <c r="V102" s="443">
        <f>V45</f>
        <v>0</v>
      </c>
    </row>
    <row r="103" spans="1:22" ht="14.25" thickBot="1" x14ac:dyDescent="0.3">
      <c r="A103" s="429" t="s">
        <v>2403</v>
      </c>
      <c r="B103" s="441">
        <f t="shared" si="32"/>
        <v>0</v>
      </c>
      <c r="C103" s="427"/>
      <c r="D103" s="444">
        <f>HLOOKUP(tipo_controllore1,input_output!$B$29:$F$40,'Elenchi controllo_Parametri'!C56,FALSE)</f>
        <v>0</v>
      </c>
      <c r="E103" s="427"/>
      <c r="F103" s="444">
        <f>HLOOKUP(tipo_controllore1,input_output!$B$29:$F$40,'Elenchi controllo_Parametri'!E56,FALSE)</f>
        <v>0</v>
      </c>
      <c r="G103" s="427"/>
      <c r="H103" s="444">
        <f>HLOOKUP(tipo_controllore1,input_output!$B$29:$F$40,'Elenchi controllo_Parametri'!G56,FALSE)</f>
        <v>0</v>
      </c>
      <c r="I103" s="427"/>
      <c r="J103" s="444">
        <f>HLOOKUP(tipo_controllore1,input_output!$B$29:$F$40,'Elenchi controllo_Parametri'!I56,FALSE)</f>
        <v>0</v>
      </c>
      <c r="K103" s="427"/>
      <c r="L103" s="444">
        <f>HLOOKUP(tipo_controllore1,input_output!$B$29:$F$40,'Elenchi controllo_Parametri'!K56,FALSE)</f>
        <v>0</v>
      </c>
      <c r="M103" s="427"/>
      <c r="N103" s="444">
        <f>HLOOKUP(tipo_controllore1,input_output!$B$29:$F$40,'Elenchi controllo_Parametri'!M56,FALSE)</f>
        <v>0</v>
      </c>
      <c r="O103" s="427"/>
      <c r="P103" s="444">
        <f>HLOOKUP(tipo_controllore1,input_output!$B$29:$F$40,'Elenchi controllo_Parametri'!O56,FALSE)</f>
        <v>0</v>
      </c>
      <c r="Q103" s="427"/>
      <c r="R103" s="444">
        <f>HLOOKUP(tipo_controllore1,input_output!$B$29:$F$40,'Elenchi controllo_Parametri'!Q56,FALSE)</f>
        <v>0</v>
      </c>
      <c r="S103" s="427"/>
      <c r="T103" s="444">
        <f>HLOOKUP(tipo_controllore1,input_output!$B$29:$F$40,'Elenchi controllo_Parametri'!S56,FALSE)</f>
        <v>0</v>
      </c>
      <c r="U103" s="427"/>
      <c r="V103" s="444">
        <f>HLOOKUP(tipo_controllore1,input_output!$B$29:$F$40,'Elenchi controllo_Parametri'!U56,FALSE)</f>
        <v>0</v>
      </c>
    </row>
    <row r="104" spans="1:22" ht="14.25" thickTop="1" x14ac:dyDescent="0.25">
      <c r="A104" s="499" t="s">
        <v>327</v>
      </c>
      <c r="B104" s="440">
        <f>manodopera!D50</f>
        <v>1600</v>
      </c>
      <c r="C104" s="374"/>
      <c r="D104" s="443"/>
      <c r="E104" s="374"/>
      <c r="F104" s="443"/>
      <c r="G104" s="374"/>
      <c r="H104" s="443"/>
      <c r="I104" s="374"/>
      <c r="J104" s="443"/>
      <c r="K104" s="374"/>
      <c r="L104" s="443"/>
      <c r="M104" s="374"/>
      <c r="N104" s="443"/>
      <c r="O104" s="374"/>
      <c r="P104" s="443"/>
      <c r="Q104" s="374"/>
      <c r="R104" s="443"/>
      <c r="S104" s="374"/>
      <c r="T104" s="443"/>
      <c r="U104" s="374"/>
      <c r="V104" s="443"/>
    </row>
    <row r="105" spans="1:22" ht="13.5" x14ac:dyDescent="0.25">
      <c r="A105" s="499" t="s">
        <v>2416</v>
      </c>
      <c r="B105" s="440">
        <f>IF(tipo_controllore1=4,quadro!F187+quadro!F188,quadro!F191)</f>
        <v>0</v>
      </c>
      <c r="C105" s="374"/>
      <c r="D105" s="443"/>
      <c r="E105" s="374"/>
      <c r="F105" s="443"/>
      <c r="G105" s="374"/>
      <c r="H105" s="443"/>
      <c r="I105" s="374"/>
      <c r="J105" s="443"/>
      <c r="K105" s="374"/>
      <c r="L105" s="443"/>
      <c r="M105" s="374"/>
      <c r="N105" s="443"/>
      <c r="O105" s="374"/>
      <c r="P105" s="443"/>
      <c r="Q105" s="374"/>
      <c r="R105" s="443"/>
      <c r="S105" s="374"/>
      <c r="T105" s="443"/>
      <c r="U105" s="374"/>
      <c r="V105" s="443"/>
    </row>
    <row r="106" spans="1:22" s="371" customFormat="1" ht="15.75" x14ac:dyDescent="0.25">
      <c r="A106" s="430" t="s">
        <v>2401</v>
      </c>
      <c r="B106" s="442">
        <f>SUM(B98:B105)+B96</f>
        <v>1600</v>
      </c>
      <c r="C106" s="274"/>
      <c r="D106" s="445">
        <f>SUM(D98:D103)+D96</f>
        <v>0</v>
      </c>
      <c r="E106" s="274"/>
      <c r="F106" s="445">
        <f>SUM(F98:F103)+F96</f>
        <v>0</v>
      </c>
      <c r="G106" s="274"/>
      <c r="H106" s="445">
        <f>SUM(H98:H103)+H96</f>
        <v>0</v>
      </c>
      <c r="I106" s="274"/>
      <c r="J106" s="445">
        <f>SUM(J98:J103)+J96</f>
        <v>0</v>
      </c>
      <c r="K106" s="274"/>
      <c r="L106" s="445">
        <f>SUM(L98:L103)+L96</f>
        <v>0</v>
      </c>
      <c r="M106" s="274"/>
      <c r="N106" s="445">
        <f>SUM(N98:N103)+N96</f>
        <v>0</v>
      </c>
      <c r="O106" s="274"/>
      <c r="P106" s="445">
        <f>SUM(P98:P103)+P96</f>
        <v>0</v>
      </c>
      <c r="Q106" s="274"/>
      <c r="R106" s="445">
        <f>SUM(R98:R103)+R96</f>
        <v>0</v>
      </c>
      <c r="S106" s="274"/>
      <c r="T106" s="445">
        <f>SUM(T98:T103)+T96</f>
        <v>0</v>
      </c>
      <c r="U106" s="274"/>
      <c r="V106" s="445">
        <f>SUM(V98:V103)+V96</f>
        <v>0</v>
      </c>
    </row>
    <row r="107" spans="1:22" s="371" customFormat="1" ht="15.75" x14ac:dyDescent="0.25">
      <c r="A107" s="430" t="s">
        <v>2399</v>
      </c>
      <c r="B107" s="442">
        <f>SUM(C107:V107)</f>
        <v>0</v>
      </c>
      <c r="C107" s="274"/>
      <c r="D107" s="445">
        <f>VLOOKUP(tipo_controllore1,quadro!$B$125:$V$129,'Elenchi controllo_Parametri'!C58,FALSE)</f>
        <v>0</v>
      </c>
      <c r="E107" s="274"/>
      <c r="F107" s="445">
        <f>VLOOKUP(tipo_controllore1,quadro!$B$125:$V$129,'Elenchi controllo_Parametri'!E58,FALSE)</f>
        <v>0</v>
      </c>
      <c r="G107" s="274"/>
      <c r="H107" s="445">
        <f>VLOOKUP(tipo_controllore1,quadro!$B$125:$V$129,'Elenchi controllo_Parametri'!G58,FALSE)</f>
        <v>0</v>
      </c>
      <c r="I107" s="274"/>
      <c r="J107" s="445">
        <f>VLOOKUP(tipo_controllore1,quadro!$B$125:$V$129,'Elenchi controllo_Parametri'!I58,FALSE)</f>
        <v>0</v>
      </c>
      <c r="K107" s="274"/>
      <c r="L107" s="445">
        <f>VLOOKUP(tipo_controllore1,quadro!$B$125:$V$129,'Elenchi controllo_Parametri'!K58,FALSE)</f>
        <v>0</v>
      </c>
      <c r="M107" s="274"/>
      <c r="N107" s="445">
        <f>VLOOKUP(tipo_controllore1,quadro!$B$125:$V$129,'Elenchi controllo_Parametri'!M58,FALSE)</f>
        <v>0</v>
      </c>
      <c r="O107" s="274"/>
      <c r="P107" s="445">
        <f>VLOOKUP(tipo_controllore1,quadro!$B$125:$V$129,'Elenchi controllo_Parametri'!O58,FALSE)</f>
        <v>0</v>
      </c>
      <c r="Q107" s="274"/>
      <c r="R107" s="445">
        <f>VLOOKUP(tipo_controllore1,quadro!$B$125:$V$129,'Elenchi controllo_Parametri'!Q58,FALSE)</f>
        <v>0</v>
      </c>
      <c r="S107" s="274"/>
      <c r="T107" s="445">
        <f>VLOOKUP(tipo_controllore1,quadro!$B$125:$V$129,'Elenchi controllo_Parametri'!S58,FALSE)</f>
        <v>0</v>
      </c>
      <c r="U107" s="274"/>
      <c r="V107" s="445">
        <f>VLOOKUP(tipo_controllore1,quadro!$B$125:$V$129,'Elenchi controllo_Parametri'!U58,FALSE)</f>
        <v>0</v>
      </c>
    </row>
    <row r="108" spans="1:22" ht="15.75" x14ac:dyDescent="0.25">
      <c r="A108" s="112"/>
      <c r="C108" s="274"/>
      <c r="D108" s="367"/>
      <c r="E108" s="274"/>
      <c r="F108" s="367"/>
      <c r="G108" s="274"/>
      <c r="H108" s="367"/>
      <c r="I108" s="274"/>
      <c r="J108" s="367"/>
      <c r="K108" s="274"/>
      <c r="L108" s="367"/>
      <c r="M108" s="274"/>
      <c r="N108" s="367"/>
      <c r="O108" s="274"/>
      <c r="P108" s="367"/>
      <c r="Q108" s="274"/>
      <c r="R108" s="367"/>
      <c r="S108" s="274"/>
      <c r="T108" s="367"/>
      <c r="U108" s="274"/>
      <c r="V108" s="367"/>
    </row>
    <row r="109" spans="1:22" hidden="1" x14ac:dyDescent="0.2">
      <c r="A109" s="385" t="s">
        <v>2387</v>
      </c>
      <c r="B109" s="386">
        <f>tipo_controllore1</f>
        <v>3</v>
      </c>
      <c r="C109" s="386"/>
      <c r="D109" s="387"/>
      <c r="E109" s="388"/>
      <c r="F109" s="387"/>
      <c r="G109" s="388"/>
      <c r="H109" s="387"/>
      <c r="I109" s="388"/>
      <c r="J109" s="387"/>
      <c r="K109" s="388"/>
      <c r="L109" s="387"/>
      <c r="M109" s="388"/>
      <c r="N109" s="387"/>
      <c r="O109" s="388"/>
      <c r="P109" s="387"/>
      <c r="Q109" s="388"/>
      <c r="R109" s="387"/>
      <c r="S109" s="388"/>
      <c r="T109" s="387"/>
      <c r="U109" s="388"/>
      <c r="V109" s="389"/>
    </row>
    <row r="110" spans="1:22" hidden="1" x14ac:dyDescent="0.2">
      <c r="A110" s="825" t="str">
        <f>'base prezzi'!B20</f>
        <v>Siemens-Pannello KTP400 4" touch colore</v>
      </c>
      <c r="B110" s="438">
        <f t="shared" ref="B110:B119" si="33">VLOOKUP(A110,prezzi,5,)</f>
        <v>1865.8685100000002</v>
      </c>
      <c r="C110" s="826">
        <f>impianto!N168</f>
        <v>0</v>
      </c>
      <c r="D110" s="434">
        <f>$B110*C110</f>
        <v>0</v>
      </c>
      <c r="E110" s="826">
        <f>impianto!P168</f>
        <v>0</v>
      </c>
      <c r="F110" s="434">
        <f t="shared" ref="F110:F119" si="34">$B110*E110</f>
        <v>0</v>
      </c>
      <c r="G110" s="826">
        <f>impianto!R168</f>
        <v>0</v>
      </c>
      <c r="H110" s="434">
        <f t="shared" ref="H110:H119" si="35">$B110*G110</f>
        <v>0</v>
      </c>
      <c r="I110" s="826">
        <f>impianto!T168</f>
        <v>0</v>
      </c>
      <c r="J110" s="434">
        <f t="shared" ref="J110:J119" si="36">$B110*I110</f>
        <v>0</v>
      </c>
      <c r="K110" s="826">
        <f>impianto!V168</f>
        <v>0</v>
      </c>
      <c r="L110" s="434">
        <f t="shared" ref="L110:L119" si="37">$B110*K110</f>
        <v>0</v>
      </c>
      <c r="M110" s="826">
        <f>impianto!X168</f>
        <v>0</v>
      </c>
      <c r="N110" s="434">
        <f t="shared" ref="N110:N119" si="38">$B110*M110</f>
        <v>0</v>
      </c>
      <c r="O110" s="826">
        <f>impianto!Z168</f>
        <v>0</v>
      </c>
      <c r="P110" s="434">
        <f t="shared" ref="P110:P119" si="39">$B110*O110</f>
        <v>0</v>
      </c>
      <c r="Q110" s="826">
        <f>impianto!AB168</f>
        <v>0</v>
      </c>
      <c r="R110" s="434">
        <f t="shared" ref="R110:R119" si="40">$B110*Q110</f>
        <v>0</v>
      </c>
      <c r="S110" s="826">
        <f>impianto!AD168</f>
        <v>0</v>
      </c>
      <c r="T110" s="434">
        <f t="shared" ref="T110:T119" si="41">$B110*S110</f>
        <v>0</v>
      </c>
      <c r="U110" s="826">
        <f>impianto!AF168</f>
        <v>0</v>
      </c>
      <c r="V110" s="372">
        <f t="shared" ref="V110:V119" si="42">$B110*U110</f>
        <v>0</v>
      </c>
    </row>
    <row r="111" spans="1:22" hidden="1" x14ac:dyDescent="0.2">
      <c r="A111" s="825" t="str">
        <f>'base prezzi'!B21</f>
        <v>Siemens-Pannello TP700 7" touch colore</v>
      </c>
      <c r="B111" s="438">
        <f t="shared" si="33"/>
        <v>2731.1189100000001</v>
      </c>
      <c r="C111" s="826">
        <f>impianto!N169</f>
        <v>0</v>
      </c>
      <c r="D111" s="434">
        <f t="shared" ref="D111:D119" si="43">$B111*C111</f>
        <v>0</v>
      </c>
      <c r="E111" s="826">
        <f>impianto!P169</f>
        <v>0</v>
      </c>
      <c r="F111" s="434">
        <f t="shared" si="34"/>
        <v>0</v>
      </c>
      <c r="G111" s="826">
        <f>impianto!R169</f>
        <v>0</v>
      </c>
      <c r="H111" s="434">
        <f t="shared" si="35"/>
        <v>0</v>
      </c>
      <c r="I111" s="826">
        <f>impianto!T169</f>
        <v>0</v>
      </c>
      <c r="J111" s="434">
        <f t="shared" si="36"/>
        <v>0</v>
      </c>
      <c r="K111" s="826">
        <f>impianto!V169</f>
        <v>0</v>
      </c>
      <c r="L111" s="434">
        <f t="shared" si="37"/>
        <v>0</v>
      </c>
      <c r="M111" s="826">
        <f>impianto!X169</f>
        <v>0</v>
      </c>
      <c r="N111" s="434">
        <f t="shared" si="38"/>
        <v>0</v>
      </c>
      <c r="O111" s="826">
        <f>impianto!Z169</f>
        <v>0</v>
      </c>
      <c r="P111" s="434">
        <f t="shared" si="39"/>
        <v>0</v>
      </c>
      <c r="Q111" s="826">
        <f>impianto!AB169</f>
        <v>0</v>
      </c>
      <c r="R111" s="434">
        <f t="shared" si="40"/>
        <v>0</v>
      </c>
      <c r="S111" s="826">
        <f>impianto!AD169</f>
        <v>0</v>
      </c>
      <c r="T111" s="434">
        <f t="shared" si="41"/>
        <v>0</v>
      </c>
      <c r="U111" s="826">
        <f>impianto!AF169</f>
        <v>0</v>
      </c>
      <c r="V111" s="434">
        <f t="shared" si="42"/>
        <v>0</v>
      </c>
    </row>
    <row r="112" spans="1:22" hidden="1" x14ac:dyDescent="0.2">
      <c r="A112" s="825" t="str">
        <f>'base prezzi'!B22</f>
        <v>Siemens-Pannello TP900 9" touch colore</v>
      </c>
      <c r="B112" s="438">
        <f t="shared" si="33"/>
        <v>2507.4485100000002</v>
      </c>
      <c r="C112" s="826">
        <f>impianto!N170</f>
        <v>0</v>
      </c>
      <c r="D112" s="434">
        <f t="shared" si="43"/>
        <v>0</v>
      </c>
      <c r="E112" s="826">
        <f>impianto!P170</f>
        <v>0</v>
      </c>
      <c r="F112" s="434">
        <f t="shared" si="34"/>
        <v>0</v>
      </c>
      <c r="G112" s="826">
        <f>impianto!R170</f>
        <v>0</v>
      </c>
      <c r="H112" s="434">
        <f t="shared" si="35"/>
        <v>0</v>
      </c>
      <c r="I112" s="826">
        <f>impianto!T170</f>
        <v>0</v>
      </c>
      <c r="J112" s="434">
        <f t="shared" si="36"/>
        <v>0</v>
      </c>
      <c r="K112" s="826">
        <f>impianto!V170</f>
        <v>0</v>
      </c>
      <c r="L112" s="434">
        <f t="shared" si="37"/>
        <v>0</v>
      </c>
      <c r="M112" s="826">
        <f>impianto!X170</f>
        <v>0</v>
      </c>
      <c r="N112" s="434">
        <f t="shared" si="38"/>
        <v>0</v>
      </c>
      <c r="O112" s="826">
        <f>impianto!Z170</f>
        <v>0</v>
      </c>
      <c r="P112" s="434">
        <f t="shared" si="39"/>
        <v>0</v>
      </c>
      <c r="Q112" s="826">
        <f>impianto!AB170</f>
        <v>0</v>
      </c>
      <c r="R112" s="434">
        <f t="shared" si="40"/>
        <v>0</v>
      </c>
      <c r="S112" s="826">
        <f>impianto!AD170</f>
        <v>0</v>
      </c>
      <c r="T112" s="434">
        <f t="shared" si="41"/>
        <v>0</v>
      </c>
      <c r="U112" s="826">
        <f>impianto!AF170</f>
        <v>0</v>
      </c>
      <c r="V112" s="434">
        <f t="shared" si="42"/>
        <v>0</v>
      </c>
    </row>
    <row r="113" spans="1:22" ht="15" hidden="1" customHeight="1" thickBot="1" x14ac:dyDescent="0.25">
      <c r="A113" s="825" t="str">
        <f>'base prezzi'!B23</f>
        <v>Siemens-Pannello TP1200 12" touch colore</v>
      </c>
      <c r="B113" s="438">
        <f t="shared" si="33"/>
        <v>3257.4485100000002</v>
      </c>
      <c r="C113" s="826">
        <f>impianto!N171</f>
        <v>0</v>
      </c>
      <c r="D113" s="434">
        <f t="shared" si="43"/>
        <v>0</v>
      </c>
      <c r="E113" s="826">
        <f>impianto!P171</f>
        <v>0</v>
      </c>
      <c r="F113" s="434">
        <f t="shared" si="34"/>
        <v>0</v>
      </c>
      <c r="G113" s="826">
        <f>impianto!R171</f>
        <v>0</v>
      </c>
      <c r="H113" s="434">
        <f t="shared" si="35"/>
        <v>0</v>
      </c>
      <c r="I113" s="826">
        <f>impianto!T171</f>
        <v>0</v>
      </c>
      <c r="J113" s="434">
        <f t="shared" si="36"/>
        <v>0</v>
      </c>
      <c r="K113" s="826">
        <f>impianto!V171</f>
        <v>0</v>
      </c>
      <c r="L113" s="434">
        <f t="shared" si="37"/>
        <v>0</v>
      </c>
      <c r="M113" s="826">
        <f>impianto!X171</f>
        <v>0</v>
      </c>
      <c r="N113" s="434">
        <f t="shared" si="38"/>
        <v>0</v>
      </c>
      <c r="O113" s="826">
        <f>impianto!Z171</f>
        <v>0</v>
      </c>
      <c r="P113" s="434">
        <f t="shared" si="39"/>
        <v>0</v>
      </c>
      <c r="Q113" s="826">
        <f>impianto!AB171</f>
        <v>0</v>
      </c>
      <c r="R113" s="434">
        <f t="shared" si="40"/>
        <v>0</v>
      </c>
      <c r="S113" s="826">
        <f>impianto!AD171</f>
        <v>0</v>
      </c>
      <c r="T113" s="434">
        <f t="shared" si="41"/>
        <v>0</v>
      </c>
      <c r="U113" s="826">
        <f>impianto!AF171</f>
        <v>0</v>
      </c>
      <c r="V113" s="434">
        <f t="shared" si="42"/>
        <v>0</v>
      </c>
    </row>
    <row r="114" spans="1:22" ht="15" hidden="1" customHeight="1" thickBot="1" x14ac:dyDescent="0.25">
      <c r="A114" s="825" t="str">
        <f>'base prezzi'!B24</f>
        <v>Siemens-Pannello TP1500 15" touch colore</v>
      </c>
      <c r="B114" s="438">
        <f t="shared" si="33"/>
        <v>3457</v>
      </c>
      <c r="C114" s="826">
        <f>impianto!N172</f>
        <v>0</v>
      </c>
      <c r="D114" s="434">
        <f t="shared" si="43"/>
        <v>0</v>
      </c>
      <c r="E114" s="826">
        <f>impianto!P172</f>
        <v>0</v>
      </c>
      <c r="F114" s="434">
        <f t="shared" si="34"/>
        <v>0</v>
      </c>
      <c r="G114" s="826">
        <f>impianto!R172</f>
        <v>0</v>
      </c>
      <c r="H114" s="434">
        <f t="shared" si="35"/>
        <v>0</v>
      </c>
      <c r="I114" s="826">
        <f>impianto!T172</f>
        <v>0</v>
      </c>
      <c r="J114" s="434">
        <f t="shared" si="36"/>
        <v>0</v>
      </c>
      <c r="K114" s="826">
        <f>impianto!V172</f>
        <v>0</v>
      </c>
      <c r="L114" s="434">
        <f t="shared" si="37"/>
        <v>0</v>
      </c>
      <c r="M114" s="826">
        <f>impianto!X172</f>
        <v>0</v>
      </c>
      <c r="N114" s="434">
        <f t="shared" si="38"/>
        <v>0</v>
      </c>
      <c r="O114" s="826">
        <f>impianto!Z172</f>
        <v>0</v>
      </c>
      <c r="P114" s="434">
        <f t="shared" si="39"/>
        <v>0</v>
      </c>
      <c r="Q114" s="826">
        <f>impianto!AB172</f>
        <v>0</v>
      </c>
      <c r="R114" s="434">
        <f t="shared" si="40"/>
        <v>0</v>
      </c>
      <c r="S114" s="826">
        <f>impianto!AD172</f>
        <v>0</v>
      </c>
      <c r="T114" s="434">
        <f t="shared" si="41"/>
        <v>0</v>
      </c>
      <c r="U114" s="826">
        <f>impianto!AF172</f>
        <v>0</v>
      </c>
      <c r="V114" s="434">
        <f t="shared" si="42"/>
        <v>0</v>
      </c>
    </row>
    <row r="115" spans="1:22" ht="15" hidden="1" customHeight="1" thickBot="1" x14ac:dyDescent="0.25">
      <c r="A115" s="825" t="str">
        <f>'base prezzi'!B111</f>
        <v>AllenBradley-Pannello PanelView 7" touch colore</v>
      </c>
      <c r="B115" s="438">
        <f t="shared" si="33"/>
        <v>2922.2972337000001</v>
      </c>
      <c r="C115" s="826">
        <f>impianto!N173</f>
        <v>0</v>
      </c>
      <c r="D115" s="434">
        <f t="shared" si="43"/>
        <v>0</v>
      </c>
      <c r="E115" s="826">
        <f>impianto!P173</f>
        <v>0</v>
      </c>
      <c r="F115" s="434">
        <f t="shared" si="34"/>
        <v>0</v>
      </c>
      <c r="G115" s="826">
        <f>impianto!R173</f>
        <v>0</v>
      </c>
      <c r="H115" s="434">
        <f t="shared" si="35"/>
        <v>0</v>
      </c>
      <c r="I115" s="826">
        <f>impianto!T173</f>
        <v>0</v>
      </c>
      <c r="J115" s="434">
        <f t="shared" si="36"/>
        <v>0</v>
      </c>
      <c r="K115" s="826">
        <f>impianto!V173</f>
        <v>0</v>
      </c>
      <c r="L115" s="434">
        <f t="shared" si="37"/>
        <v>0</v>
      </c>
      <c r="M115" s="826">
        <f>impianto!X173</f>
        <v>0</v>
      </c>
      <c r="N115" s="434">
        <f t="shared" si="38"/>
        <v>0</v>
      </c>
      <c r="O115" s="826">
        <f>impianto!Z173</f>
        <v>0</v>
      </c>
      <c r="P115" s="434">
        <f t="shared" si="39"/>
        <v>0</v>
      </c>
      <c r="Q115" s="826">
        <f>impianto!AB173</f>
        <v>0</v>
      </c>
      <c r="R115" s="434">
        <f t="shared" si="40"/>
        <v>0</v>
      </c>
      <c r="S115" s="826">
        <f>impianto!AD173</f>
        <v>0</v>
      </c>
      <c r="T115" s="434">
        <f t="shared" si="41"/>
        <v>0</v>
      </c>
      <c r="U115" s="826">
        <f>impianto!AF173</f>
        <v>0</v>
      </c>
      <c r="V115" s="434">
        <f t="shared" si="42"/>
        <v>0</v>
      </c>
    </row>
    <row r="116" spans="1:22" ht="15" hidden="1" customHeight="1" thickBot="1" x14ac:dyDescent="0.25">
      <c r="A116" s="825" t="str">
        <f>'base prezzi'!B112</f>
        <v>AllenBradley-Pannello PanelView 9" touch colore</v>
      </c>
      <c r="B116" s="438">
        <f t="shared" si="33"/>
        <v>2682.9699057000003</v>
      </c>
      <c r="C116" s="826">
        <f>impianto!N174</f>
        <v>0</v>
      </c>
      <c r="D116" s="434">
        <f t="shared" si="43"/>
        <v>0</v>
      </c>
      <c r="E116" s="826">
        <f>impianto!P174</f>
        <v>0</v>
      </c>
      <c r="F116" s="434">
        <f t="shared" si="34"/>
        <v>0</v>
      </c>
      <c r="G116" s="826">
        <f>impianto!R174</f>
        <v>0</v>
      </c>
      <c r="H116" s="434">
        <f t="shared" si="35"/>
        <v>0</v>
      </c>
      <c r="I116" s="826">
        <f>impianto!T174</f>
        <v>0</v>
      </c>
      <c r="J116" s="434">
        <f t="shared" si="36"/>
        <v>0</v>
      </c>
      <c r="K116" s="826">
        <f>impianto!V174</f>
        <v>0</v>
      </c>
      <c r="L116" s="434">
        <f t="shared" si="37"/>
        <v>0</v>
      </c>
      <c r="M116" s="826">
        <f>impianto!X174</f>
        <v>0</v>
      </c>
      <c r="N116" s="434">
        <f t="shared" si="38"/>
        <v>0</v>
      </c>
      <c r="O116" s="826">
        <f>impianto!Z174</f>
        <v>0</v>
      </c>
      <c r="P116" s="434">
        <f t="shared" si="39"/>
        <v>0</v>
      </c>
      <c r="Q116" s="826">
        <f>impianto!AB174</f>
        <v>0</v>
      </c>
      <c r="R116" s="434">
        <f t="shared" si="40"/>
        <v>0</v>
      </c>
      <c r="S116" s="826">
        <f>impianto!AD174</f>
        <v>0</v>
      </c>
      <c r="T116" s="434">
        <f t="shared" si="41"/>
        <v>0</v>
      </c>
      <c r="U116" s="826">
        <f>impianto!AF174</f>
        <v>0</v>
      </c>
      <c r="V116" s="434">
        <f t="shared" si="42"/>
        <v>0</v>
      </c>
    </row>
    <row r="117" spans="1:22" ht="15" hidden="1" customHeight="1" thickBot="1" x14ac:dyDescent="0.25">
      <c r="A117" s="825" t="str">
        <f>'base prezzi'!B113</f>
        <v>AllenBradley-Pannello PanelView 12" touch colore</v>
      </c>
      <c r="B117" s="438">
        <f t="shared" si="33"/>
        <v>3485.4699057000003</v>
      </c>
      <c r="C117" s="826">
        <f>impianto!N175</f>
        <v>0</v>
      </c>
      <c r="D117" s="434">
        <f t="shared" si="43"/>
        <v>0</v>
      </c>
      <c r="E117" s="826">
        <f>impianto!P175</f>
        <v>0</v>
      </c>
      <c r="F117" s="434">
        <f t="shared" si="34"/>
        <v>0</v>
      </c>
      <c r="G117" s="826">
        <f>impianto!R175</f>
        <v>0</v>
      </c>
      <c r="H117" s="434">
        <f t="shared" si="35"/>
        <v>0</v>
      </c>
      <c r="I117" s="826">
        <f>impianto!T175</f>
        <v>0</v>
      </c>
      <c r="J117" s="434">
        <f t="shared" si="36"/>
        <v>0</v>
      </c>
      <c r="K117" s="826">
        <f>impianto!V175</f>
        <v>0</v>
      </c>
      <c r="L117" s="434">
        <f t="shared" si="37"/>
        <v>0</v>
      </c>
      <c r="M117" s="826">
        <f>impianto!X175</f>
        <v>0</v>
      </c>
      <c r="N117" s="434">
        <f t="shared" si="38"/>
        <v>0</v>
      </c>
      <c r="O117" s="826">
        <f>impianto!Z175</f>
        <v>0</v>
      </c>
      <c r="P117" s="434">
        <f t="shared" si="39"/>
        <v>0</v>
      </c>
      <c r="Q117" s="826">
        <f>impianto!AB175</f>
        <v>0</v>
      </c>
      <c r="R117" s="434">
        <f t="shared" si="40"/>
        <v>0</v>
      </c>
      <c r="S117" s="826">
        <f>impianto!AD175</f>
        <v>0</v>
      </c>
      <c r="T117" s="434">
        <f t="shared" si="41"/>
        <v>0</v>
      </c>
      <c r="U117" s="826">
        <f>impianto!AF175</f>
        <v>0</v>
      </c>
      <c r="V117" s="434">
        <f t="shared" si="42"/>
        <v>0</v>
      </c>
    </row>
    <row r="118" spans="1:22" ht="15" hidden="1" customHeight="1" thickBot="1" x14ac:dyDescent="0.25">
      <c r="A118" s="825" t="str">
        <f>'base prezzi'!B114</f>
        <v>AllenBradley-Pannello PanelView 15" touch colore</v>
      </c>
      <c r="B118" s="438">
        <f t="shared" si="33"/>
        <v>3698.9900000000002</v>
      </c>
      <c r="C118" s="826">
        <f>impianto!N176</f>
        <v>0</v>
      </c>
      <c r="D118" s="434">
        <f t="shared" si="43"/>
        <v>0</v>
      </c>
      <c r="E118" s="826">
        <f>impianto!P176</f>
        <v>0</v>
      </c>
      <c r="F118" s="434">
        <f t="shared" si="34"/>
        <v>0</v>
      </c>
      <c r="G118" s="826">
        <f>impianto!R176</f>
        <v>0</v>
      </c>
      <c r="H118" s="434">
        <f t="shared" si="35"/>
        <v>0</v>
      </c>
      <c r="I118" s="826">
        <f>impianto!T176</f>
        <v>0</v>
      </c>
      <c r="J118" s="434">
        <f t="shared" si="36"/>
        <v>0</v>
      </c>
      <c r="K118" s="826">
        <f>impianto!V176</f>
        <v>0</v>
      </c>
      <c r="L118" s="434">
        <f t="shared" si="37"/>
        <v>0</v>
      </c>
      <c r="M118" s="826">
        <f>impianto!X176</f>
        <v>0</v>
      </c>
      <c r="N118" s="434">
        <f t="shared" si="38"/>
        <v>0</v>
      </c>
      <c r="O118" s="826">
        <f>impianto!Z176</f>
        <v>0</v>
      </c>
      <c r="P118" s="434">
        <f t="shared" si="39"/>
        <v>0</v>
      </c>
      <c r="Q118" s="826">
        <f>impianto!AB176</f>
        <v>0</v>
      </c>
      <c r="R118" s="434">
        <f t="shared" si="40"/>
        <v>0</v>
      </c>
      <c r="S118" s="826">
        <f>impianto!AD176</f>
        <v>0</v>
      </c>
      <c r="T118" s="434">
        <f t="shared" si="41"/>
        <v>0</v>
      </c>
      <c r="U118" s="826">
        <f>impianto!AF176</f>
        <v>0</v>
      </c>
      <c r="V118" s="434">
        <f t="shared" si="42"/>
        <v>0</v>
      </c>
    </row>
    <row r="119" spans="1:22" ht="15" hidden="1" customHeight="1" thickBot="1" x14ac:dyDescent="0.25">
      <c r="A119" s="825" t="str">
        <f>'base prezzi'!B25</f>
        <v>pc con sinottico (escluso hardware)</v>
      </c>
      <c r="B119" s="438">
        <f t="shared" si="33"/>
        <v>3000</v>
      </c>
      <c r="C119" s="826">
        <f>impianto!N177</f>
        <v>0</v>
      </c>
      <c r="D119" s="434">
        <f t="shared" si="43"/>
        <v>0</v>
      </c>
      <c r="E119" s="826">
        <f>impianto!P177</f>
        <v>0</v>
      </c>
      <c r="F119" s="434">
        <f t="shared" si="34"/>
        <v>0</v>
      </c>
      <c r="G119" s="826">
        <f>impianto!R177</f>
        <v>0</v>
      </c>
      <c r="H119" s="434">
        <f t="shared" si="35"/>
        <v>0</v>
      </c>
      <c r="I119" s="826">
        <f>impianto!T177</f>
        <v>0</v>
      </c>
      <c r="J119" s="434">
        <f t="shared" si="36"/>
        <v>0</v>
      </c>
      <c r="K119" s="826">
        <f>impianto!V177</f>
        <v>0</v>
      </c>
      <c r="L119" s="434">
        <f t="shared" si="37"/>
        <v>0</v>
      </c>
      <c r="M119" s="826">
        <f>impianto!X177</f>
        <v>0</v>
      </c>
      <c r="N119" s="434">
        <f t="shared" si="38"/>
        <v>0</v>
      </c>
      <c r="O119" s="826">
        <f>impianto!Z177</f>
        <v>0</v>
      </c>
      <c r="P119" s="434">
        <f t="shared" si="39"/>
        <v>0</v>
      </c>
      <c r="Q119" s="826">
        <f>impianto!AB177</f>
        <v>0</v>
      </c>
      <c r="R119" s="434">
        <f t="shared" si="40"/>
        <v>0</v>
      </c>
      <c r="S119" s="826">
        <f>impianto!AD177</f>
        <v>0</v>
      </c>
      <c r="T119" s="434">
        <f t="shared" si="41"/>
        <v>0</v>
      </c>
      <c r="U119" s="826">
        <f>impianto!AF177</f>
        <v>0</v>
      </c>
      <c r="V119" s="434">
        <f t="shared" si="42"/>
        <v>0</v>
      </c>
    </row>
    <row r="120" spans="1:22" hidden="1" x14ac:dyDescent="0.2">
      <c r="A120" s="825" t="str">
        <f>'base prezzi'!B27</f>
        <v>Pannello WP500</v>
      </c>
      <c r="B120" s="438"/>
      <c r="C120" s="826">
        <f>impianto!N$178</f>
        <v>0</v>
      </c>
      <c r="D120" s="434">
        <f>$W120*C120</f>
        <v>0</v>
      </c>
      <c r="E120" s="826">
        <f>impianto!P$178</f>
        <v>0</v>
      </c>
      <c r="F120" s="434">
        <f>$W120*E120</f>
        <v>0</v>
      </c>
      <c r="G120" s="826">
        <f>impianto!R$178</f>
        <v>0</v>
      </c>
      <c r="H120" s="434">
        <f>$W120*G120</f>
        <v>0</v>
      </c>
      <c r="I120" s="826">
        <f>impianto!T$178</f>
        <v>0</v>
      </c>
      <c r="J120" s="434">
        <f>$W120*I120</f>
        <v>0</v>
      </c>
      <c r="K120" s="826">
        <f>impianto!V$178</f>
        <v>0</v>
      </c>
      <c r="L120" s="434">
        <f>$W120*K120</f>
        <v>0</v>
      </c>
      <c r="M120" s="826">
        <f>impianto!X$178</f>
        <v>0</v>
      </c>
      <c r="N120" s="434">
        <f>$W120*M120</f>
        <v>0</v>
      </c>
      <c r="O120" s="826">
        <f>impianto!Z$178</f>
        <v>0</v>
      </c>
      <c r="P120" s="434">
        <f>$W120*O120</f>
        <v>0</v>
      </c>
      <c r="Q120" s="826">
        <f>impianto!AB$178</f>
        <v>0</v>
      </c>
      <c r="R120" s="434">
        <f>$W120*Q120</f>
        <v>0</v>
      </c>
      <c r="S120" s="826">
        <f>impianto!AD$178</f>
        <v>0</v>
      </c>
      <c r="T120" s="434">
        <f>$W120*S120</f>
        <v>0</v>
      </c>
      <c r="U120" s="826">
        <f>impianto!AF$178</f>
        <v>0</v>
      </c>
      <c r="V120" s="434">
        <f>$W120*U120</f>
        <v>0</v>
      </c>
    </row>
    <row r="121" spans="1:22" hidden="1" x14ac:dyDescent="0.2">
      <c r="A121" s="825" t="str">
        <f>'base prezzi'!B28</f>
        <v>Pannello WP140</v>
      </c>
      <c r="B121" s="438"/>
      <c r="C121" s="826">
        <f>impianto!N$179</f>
        <v>0</v>
      </c>
      <c r="D121" s="434">
        <f>$W121*C121</f>
        <v>0</v>
      </c>
      <c r="E121" s="826">
        <f>impianto!P$179</f>
        <v>0</v>
      </c>
      <c r="F121" s="434">
        <f>$W121*E121</f>
        <v>0</v>
      </c>
      <c r="G121" s="826">
        <f>impianto!R$179</f>
        <v>0</v>
      </c>
      <c r="H121" s="434">
        <f>$W121*G121</f>
        <v>0</v>
      </c>
      <c r="I121" s="826">
        <f>impianto!T$179</f>
        <v>0</v>
      </c>
      <c r="J121" s="434">
        <f>$W121*I121</f>
        <v>0</v>
      </c>
      <c r="K121" s="826">
        <f>impianto!V$179</f>
        <v>0</v>
      </c>
      <c r="L121" s="434">
        <f>$W121*K121</f>
        <v>0</v>
      </c>
      <c r="M121" s="826">
        <f>impianto!X$179</f>
        <v>0</v>
      </c>
      <c r="N121" s="434">
        <f>$W121*M121</f>
        <v>0</v>
      </c>
      <c r="O121" s="826">
        <f>impianto!Z$179</f>
        <v>0</v>
      </c>
      <c r="P121" s="434">
        <f>$W121*O121</f>
        <v>0</v>
      </c>
      <c r="Q121" s="826">
        <f>impianto!AB$179</f>
        <v>0</v>
      </c>
      <c r="R121" s="434">
        <f>$W121*Q121</f>
        <v>0</v>
      </c>
      <c r="S121" s="826">
        <f>impianto!AD$179</f>
        <v>0</v>
      </c>
      <c r="T121" s="434">
        <f>$W121*S121</f>
        <v>0</v>
      </c>
      <c r="U121" s="826">
        <f>impianto!AF$179</f>
        <v>0</v>
      </c>
      <c r="V121" s="434">
        <f>$W121*U121</f>
        <v>0</v>
      </c>
    </row>
    <row r="122" spans="1:22" hidden="1" x14ac:dyDescent="0.2">
      <c r="A122" s="825" t="str">
        <f>'base prezzi'!B26</f>
        <v>Pannello WP300</v>
      </c>
      <c r="B122" s="438"/>
      <c r="C122" s="826">
        <f>impianto!N$180</f>
        <v>0</v>
      </c>
      <c r="D122" s="434">
        <f>$W122*C122</f>
        <v>0</v>
      </c>
      <c r="E122" s="826">
        <f>impianto!P$180</f>
        <v>0</v>
      </c>
      <c r="F122" s="434">
        <f>$W122*E122</f>
        <v>0</v>
      </c>
      <c r="G122" s="826">
        <f>impianto!R$180</f>
        <v>0</v>
      </c>
      <c r="H122" s="434">
        <f>$W122*G122</f>
        <v>0</v>
      </c>
      <c r="I122" s="826">
        <f>impianto!T$180</f>
        <v>0</v>
      </c>
      <c r="J122" s="434">
        <f>$W122*I122</f>
        <v>0</v>
      </c>
      <c r="K122" s="826">
        <f>impianto!V$180</f>
        <v>0</v>
      </c>
      <c r="L122" s="434">
        <f>$W122*K122</f>
        <v>0</v>
      </c>
      <c r="M122" s="826">
        <f>impianto!X$180</f>
        <v>0</v>
      </c>
      <c r="N122" s="434">
        <f>$W122*M122</f>
        <v>0</v>
      </c>
      <c r="O122" s="826">
        <f>impianto!Z$180</f>
        <v>0</v>
      </c>
      <c r="P122" s="434">
        <f>$W122*O122</f>
        <v>0</v>
      </c>
      <c r="Q122" s="826">
        <f>impianto!AB$180</f>
        <v>0</v>
      </c>
      <c r="R122" s="434">
        <f>$W122*Q122</f>
        <v>0</v>
      </c>
      <c r="S122" s="826">
        <f>impianto!AD$180</f>
        <v>0</v>
      </c>
      <c r="T122" s="434">
        <f>$W122*S122</f>
        <v>0</v>
      </c>
      <c r="U122" s="826">
        <f>impianto!AF$180</f>
        <v>0</v>
      </c>
      <c r="V122" s="434">
        <f>$W122*U122</f>
        <v>0</v>
      </c>
    </row>
    <row r="123" spans="1:22" hidden="1" x14ac:dyDescent="0.2">
      <c r="A123" s="825"/>
      <c r="B123" s="440"/>
      <c r="C123" s="827"/>
      <c r="D123" s="434"/>
      <c r="E123" s="827"/>
      <c r="F123" s="434"/>
      <c r="G123" s="827"/>
      <c r="H123" s="434"/>
      <c r="I123" s="827"/>
      <c r="J123" s="434"/>
      <c r="K123" s="827"/>
      <c r="L123" s="434"/>
      <c r="M123" s="827"/>
      <c r="N123" s="434"/>
      <c r="O123" s="827"/>
      <c r="P123" s="437"/>
      <c r="Q123" s="827"/>
      <c r="R123" s="434"/>
      <c r="S123" s="827"/>
      <c r="T123" s="437"/>
      <c r="U123" s="827"/>
      <c r="V123" s="434"/>
    </row>
    <row r="124" spans="1:22" ht="15" hidden="1" customHeight="1" x14ac:dyDescent="0.2">
      <c r="A124" s="828"/>
      <c r="B124" s="479" t="s">
        <v>2407</v>
      </c>
      <c r="D124" s="434"/>
      <c r="F124" s="434"/>
      <c r="H124" s="434"/>
      <c r="J124" s="434"/>
      <c r="L124" s="434"/>
      <c r="N124" s="434"/>
      <c r="P124" s="437"/>
      <c r="R124" s="434"/>
      <c r="T124" s="437"/>
      <c r="V124" s="434"/>
    </row>
    <row r="125" spans="1:22" ht="15" hidden="1" customHeight="1" x14ac:dyDescent="0.2">
      <c r="A125" s="825" t="str">
        <f>"TOTALE PANNELLI "&amp;'Elenchi controllo_Parametri'!B3</f>
        <v>TOTALE PANNELLI PLC Siemens S7</v>
      </c>
      <c r="B125" s="480">
        <v>1</v>
      </c>
      <c r="C125" s="85">
        <f>SUM(C110:C114)+C119</f>
        <v>0</v>
      </c>
      <c r="D125" s="434">
        <f>SUM(D110:D114)+D119</f>
        <v>0</v>
      </c>
      <c r="E125" s="85">
        <f t="shared" ref="E125:V125" si="44">SUM(E110:E114)+E119</f>
        <v>0</v>
      </c>
      <c r="F125" s="434">
        <f t="shared" si="44"/>
        <v>0</v>
      </c>
      <c r="G125" s="85">
        <f t="shared" si="44"/>
        <v>0</v>
      </c>
      <c r="H125" s="434">
        <f t="shared" si="44"/>
        <v>0</v>
      </c>
      <c r="I125" s="85">
        <f t="shared" si="44"/>
        <v>0</v>
      </c>
      <c r="J125" s="434">
        <f t="shared" si="44"/>
        <v>0</v>
      </c>
      <c r="K125" s="85">
        <f t="shared" si="44"/>
        <v>0</v>
      </c>
      <c r="L125" s="434">
        <f t="shared" si="44"/>
        <v>0</v>
      </c>
      <c r="M125" s="85">
        <f t="shared" si="44"/>
        <v>0</v>
      </c>
      <c r="N125" s="434">
        <f t="shared" si="44"/>
        <v>0</v>
      </c>
      <c r="O125" s="85">
        <f t="shared" si="44"/>
        <v>0</v>
      </c>
      <c r="P125" s="434">
        <f t="shared" si="44"/>
        <v>0</v>
      </c>
      <c r="Q125" s="85">
        <f t="shared" si="44"/>
        <v>0</v>
      </c>
      <c r="R125" s="434">
        <f t="shared" si="44"/>
        <v>0</v>
      </c>
      <c r="S125" s="85">
        <f t="shared" si="44"/>
        <v>0</v>
      </c>
      <c r="T125" s="434">
        <f t="shared" si="44"/>
        <v>0</v>
      </c>
      <c r="U125" s="85">
        <f t="shared" si="44"/>
        <v>0</v>
      </c>
      <c r="V125" s="434">
        <f t="shared" si="44"/>
        <v>0</v>
      </c>
    </row>
    <row r="126" spans="1:22" ht="15" hidden="1" customHeight="1" x14ac:dyDescent="0.2">
      <c r="A126" s="825" t="str">
        <f>"TOTALE PANNELLI "&amp;'Elenchi controllo_Parametri'!B4</f>
        <v>TOTALE PANNELLI PLC AllenBradley CompactLogix</v>
      </c>
      <c r="B126" s="480">
        <v>2</v>
      </c>
      <c r="C126" s="85">
        <f>SUM(C115:C118)+C119</f>
        <v>0</v>
      </c>
      <c r="D126" s="434">
        <f>SUM(D115:D118)+D119</f>
        <v>0</v>
      </c>
      <c r="E126" s="85">
        <f t="shared" ref="E126:V126" si="45">SUM(E115:E118)+E119</f>
        <v>0</v>
      </c>
      <c r="F126" s="434">
        <f t="shared" si="45"/>
        <v>0</v>
      </c>
      <c r="G126" s="85">
        <f t="shared" si="45"/>
        <v>0</v>
      </c>
      <c r="H126" s="434">
        <f t="shared" si="45"/>
        <v>0</v>
      </c>
      <c r="I126" s="85">
        <f t="shared" si="45"/>
        <v>0</v>
      </c>
      <c r="J126" s="434">
        <f t="shared" si="45"/>
        <v>0</v>
      </c>
      <c r="K126" s="85">
        <f t="shared" si="45"/>
        <v>0</v>
      </c>
      <c r="L126" s="434">
        <f t="shared" si="45"/>
        <v>0</v>
      </c>
      <c r="M126" s="85">
        <f t="shared" si="45"/>
        <v>0</v>
      </c>
      <c r="N126" s="434">
        <f t="shared" si="45"/>
        <v>0</v>
      </c>
      <c r="O126" s="85">
        <f t="shared" si="45"/>
        <v>0</v>
      </c>
      <c r="P126" s="434">
        <f t="shared" si="45"/>
        <v>0</v>
      </c>
      <c r="Q126" s="85">
        <f t="shared" si="45"/>
        <v>0</v>
      </c>
      <c r="R126" s="434">
        <f t="shared" si="45"/>
        <v>0</v>
      </c>
      <c r="S126" s="85">
        <f t="shared" si="45"/>
        <v>0</v>
      </c>
      <c r="T126" s="434">
        <f t="shared" si="45"/>
        <v>0</v>
      </c>
      <c r="U126" s="85">
        <f t="shared" si="45"/>
        <v>0</v>
      </c>
      <c r="V126" s="434">
        <f t="shared" si="45"/>
        <v>0</v>
      </c>
    </row>
    <row r="127" spans="1:22" ht="15" hidden="1" customHeight="1" x14ac:dyDescent="0.2">
      <c r="A127" s="825" t="str">
        <f>'base prezzi'!B27</f>
        <v>Pannello WP500</v>
      </c>
      <c r="B127" s="480">
        <v>3</v>
      </c>
      <c r="C127" s="85">
        <f t="shared" ref="C127:D129" si="46">C120</f>
        <v>0</v>
      </c>
      <c r="D127" s="434">
        <f t="shared" si="46"/>
        <v>0</v>
      </c>
      <c r="E127" s="85">
        <f t="shared" ref="E127:V127" si="47">E120</f>
        <v>0</v>
      </c>
      <c r="F127" s="434">
        <f t="shared" si="47"/>
        <v>0</v>
      </c>
      <c r="G127" s="85">
        <f t="shared" si="47"/>
        <v>0</v>
      </c>
      <c r="H127" s="434">
        <f t="shared" si="47"/>
        <v>0</v>
      </c>
      <c r="I127" s="85">
        <f t="shared" si="47"/>
        <v>0</v>
      </c>
      <c r="J127" s="434">
        <f t="shared" si="47"/>
        <v>0</v>
      </c>
      <c r="K127" s="85">
        <f t="shared" si="47"/>
        <v>0</v>
      </c>
      <c r="L127" s="434">
        <f t="shared" si="47"/>
        <v>0</v>
      </c>
      <c r="M127" s="85">
        <f t="shared" si="47"/>
        <v>0</v>
      </c>
      <c r="N127" s="434">
        <f t="shared" si="47"/>
        <v>0</v>
      </c>
      <c r="O127" s="85">
        <f t="shared" si="47"/>
        <v>0</v>
      </c>
      <c r="P127" s="434">
        <f t="shared" si="47"/>
        <v>0</v>
      </c>
      <c r="Q127" s="85">
        <f t="shared" si="47"/>
        <v>0</v>
      </c>
      <c r="R127" s="434">
        <f t="shared" si="47"/>
        <v>0</v>
      </c>
      <c r="S127" s="85">
        <f t="shared" si="47"/>
        <v>0</v>
      </c>
      <c r="T127" s="434">
        <f t="shared" si="47"/>
        <v>0</v>
      </c>
      <c r="U127" s="85">
        <f t="shared" si="47"/>
        <v>0</v>
      </c>
      <c r="V127" s="434">
        <f t="shared" si="47"/>
        <v>0</v>
      </c>
    </row>
    <row r="128" spans="1:22" ht="15" hidden="1" customHeight="1" x14ac:dyDescent="0.2">
      <c r="A128" s="825" t="str">
        <f>'base prezzi'!B28</f>
        <v>Pannello WP140</v>
      </c>
      <c r="B128" s="480">
        <v>4</v>
      </c>
      <c r="C128" s="85">
        <f t="shared" si="46"/>
        <v>0</v>
      </c>
      <c r="D128" s="434">
        <f t="shared" si="46"/>
        <v>0</v>
      </c>
      <c r="E128" s="85">
        <f t="shared" ref="E128:V128" si="48">E121</f>
        <v>0</v>
      </c>
      <c r="F128" s="434">
        <f t="shared" si="48"/>
        <v>0</v>
      </c>
      <c r="G128" s="85">
        <f t="shared" si="48"/>
        <v>0</v>
      </c>
      <c r="H128" s="434">
        <f t="shared" si="48"/>
        <v>0</v>
      </c>
      <c r="I128" s="85">
        <f t="shared" si="48"/>
        <v>0</v>
      </c>
      <c r="J128" s="434">
        <f t="shared" si="48"/>
        <v>0</v>
      </c>
      <c r="K128" s="85">
        <f t="shared" si="48"/>
        <v>0</v>
      </c>
      <c r="L128" s="434">
        <f t="shared" si="48"/>
        <v>0</v>
      </c>
      <c r="M128" s="85">
        <f t="shared" si="48"/>
        <v>0</v>
      </c>
      <c r="N128" s="434">
        <f t="shared" si="48"/>
        <v>0</v>
      </c>
      <c r="O128" s="85">
        <f t="shared" si="48"/>
        <v>0</v>
      </c>
      <c r="P128" s="434">
        <f t="shared" si="48"/>
        <v>0</v>
      </c>
      <c r="Q128" s="85">
        <f t="shared" si="48"/>
        <v>0</v>
      </c>
      <c r="R128" s="434">
        <f t="shared" si="48"/>
        <v>0</v>
      </c>
      <c r="S128" s="85">
        <f t="shared" si="48"/>
        <v>0</v>
      </c>
      <c r="T128" s="434">
        <f t="shared" si="48"/>
        <v>0</v>
      </c>
      <c r="U128" s="85">
        <f t="shared" si="48"/>
        <v>0</v>
      </c>
      <c r="V128" s="434">
        <f t="shared" si="48"/>
        <v>0</v>
      </c>
    </row>
    <row r="129" spans="1:22" ht="15" hidden="1" customHeight="1" x14ac:dyDescent="0.2">
      <c r="A129" s="825" t="str">
        <f>'base prezzi'!B26</f>
        <v>Pannello WP300</v>
      </c>
      <c r="B129" s="480">
        <v>5</v>
      </c>
      <c r="C129" s="85">
        <f t="shared" si="46"/>
        <v>0</v>
      </c>
      <c r="D129" s="434">
        <f t="shared" si="46"/>
        <v>0</v>
      </c>
      <c r="E129" s="85">
        <f t="shared" ref="E129:V129" si="49">E122</f>
        <v>0</v>
      </c>
      <c r="F129" s="434">
        <f t="shared" si="49"/>
        <v>0</v>
      </c>
      <c r="G129" s="85">
        <f t="shared" si="49"/>
        <v>0</v>
      </c>
      <c r="H129" s="434">
        <f t="shared" si="49"/>
        <v>0</v>
      </c>
      <c r="I129" s="85">
        <f t="shared" si="49"/>
        <v>0</v>
      </c>
      <c r="J129" s="434">
        <f t="shared" si="49"/>
        <v>0</v>
      </c>
      <c r="K129" s="85">
        <f t="shared" si="49"/>
        <v>0</v>
      </c>
      <c r="L129" s="434">
        <f t="shared" si="49"/>
        <v>0</v>
      </c>
      <c r="M129" s="85">
        <f t="shared" si="49"/>
        <v>0</v>
      </c>
      <c r="N129" s="434">
        <f t="shared" si="49"/>
        <v>0</v>
      </c>
      <c r="O129" s="85">
        <f t="shared" si="49"/>
        <v>0</v>
      </c>
      <c r="P129" s="434">
        <f t="shared" si="49"/>
        <v>0</v>
      </c>
      <c r="Q129" s="85">
        <f t="shared" si="49"/>
        <v>0</v>
      </c>
      <c r="R129" s="434">
        <f t="shared" si="49"/>
        <v>0</v>
      </c>
      <c r="S129" s="85">
        <f t="shared" si="49"/>
        <v>0</v>
      </c>
      <c r="T129" s="434">
        <f t="shared" si="49"/>
        <v>0</v>
      </c>
      <c r="U129" s="85">
        <f t="shared" si="49"/>
        <v>0</v>
      </c>
      <c r="V129" s="434">
        <f t="shared" si="49"/>
        <v>0</v>
      </c>
    </row>
    <row r="130" spans="1:22" ht="15" customHeight="1" thickBot="1" x14ac:dyDescent="0.25">
      <c r="A130" s="469"/>
      <c r="B130" s="100"/>
      <c r="D130" s="372"/>
      <c r="F130" s="87"/>
      <c r="H130" s="87"/>
      <c r="J130" s="87"/>
      <c r="L130" s="87"/>
      <c r="N130" s="87"/>
      <c r="P130" s="88"/>
      <c r="R130" s="87"/>
      <c r="T130" s="88"/>
      <c r="V130" s="87"/>
    </row>
    <row r="131" spans="1:22" ht="15.75" outlineLevel="1" x14ac:dyDescent="0.25">
      <c r="A131" s="394" t="s">
        <v>637</v>
      </c>
      <c r="B131" s="395">
        <f>VLOOKUP(tipo_em2,'Elenchi controllo_Parametri'!A26:C29,3)</f>
        <v>1</v>
      </c>
      <c r="C131" s="396" t="s">
        <v>652</v>
      </c>
      <c r="D131" s="397"/>
      <c r="E131" s="396" t="s">
        <v>703</v>
      </c>
      <c r="F131" s="397"/>
      <c r="G131" s="396" t="s">
        <v>704</v>
      </c>
      <c r="H131" s="397"/>
      <c r="I131" s="396" t="s">
        <v>705</v>
      </c>
      <c r="J131" s="397"/>
      <c r="K131" s="396" t="s">
        <v>706</v>
      </c>
      <c r="L131" s="397"/>
      <c r="M131" s="396" t="s">
        <v>707</v>
      </c>
      <c r="N131" s="397"/>
      <c r="O131" s="396" t="s">
        <v>708</v>
      </c>
      <c r="P131" s="397"/>
      <c r="Q131" s="396" t="s">
        <v>709</v>
      </c>
      <c r="R131" s="397"/>
      <c r="S131" s="396" t="s">
        <v>710</v>
      </c>
      <c r="T131" s="397"/>
      <c r="U131" s="398" t="s">
        <v>711</v>
      </c>
      <c r="V131" s="399"/>
    </row>
    <row r="132" spans="1:22" ht="15.75" x14ac:dyDescent="0.25">
      <c r="A132" s="409" t="s">
        <v>2268</v>
      </c>
      <c r="B132" s="369"/>
      <c r="C132" s="274"/>
      <c r="D132" s="275"/>
      <c r="E132" s="274"/>
      <c r="F132" s="275"/>
      <c r="G132" s="274"/>
      <c r="H132" s="275"/>
      <c r="I132" s="274"/>
      <c r="J132" s="275"/>
      <c r="K132" s="274"/>
      <c r="L132" s="275"/>
      <c r="M132" s="274"/>
      <c r="N132" s="275"/>
      <c r="O132" s="274"/>
      <c r="P132" s="275"/>
      <c r="Q132" s="274"/>
      <c r="R132" s="275"/>
      <c r="S132" s="274"/>
      <c r="T132" s="275"/>
      <c r="U132" s="274"/>
      <c r="V132" s="275"/>
    </row>
    <row r="133" spans="1:22" ht="15.75" x14ac:dyDescent="0.25">
      <c r="A133" s="448" t="s">
        <v>1185</v>
      </c>
      <c r="B133" s="370">
        <f>HLOOKUP(tipo_controllore2,input_output!B29:F30,2)</f>
        <v>5120.2256699999998</v>
      </c>
      <c r="C133" s="274"/>
      <c r="D133" s="417"/>
      <c r="E133" s="274"/>
      <c r="F133" s="275"/>
      <c r="G133" s="274"/>
      <c r="H133" s="275"/>
      <c r="I133" s="274"/>
      <c r="J133" s="275"/>
      <c r="K133" s="274"/>
      <c r="L133" s="275"/>
      <c r="M133" s="274"/>
      <c r="N133" s="275"/>
      <c r="O133" s="274"/>
      <c r="P133" s="275"/>
      <c r="Q133" s="274"/>
      <c r="R133" s="275"/>
      <c r="S133" s="274"/>
      <c r="T133" s="275"/>
      <c r="U133" s="274"/>
      <c r="V133" s="275"/>
    </row>
    <row r="134" spans="1:22" ht="15.75" x14ac:dyDescent="0.25">
      <c r="A134" s="410" t="s">
        <v>2273</v>
      </c>
      <c r="B134" s="411"/>
      <c r="C134" s="274"/>
      <c r="D134" s="417"/>
      <c r="E134" s="274"/>
      <c r="F134" s="275"/>
      <c r="G134" s="274"/>
      <c r="H134" s="275"/>
      <c r="I134" s="274"/>
      <c r="J134" s="275"/>
      <c r="K134" s="274"/>
      <c r="L134" s="275"/>
      <c r="M134" s="274"/>
      <c r="N134" s="275"/>
      <c r="O134" s="274"/>
      <c r="P134" s="275"/>
      <c r="Q134" s="274"/>
      <c r="R134" s="275"/>
      <c r="S134" s="274"/>
      <c r="T134" s="275"/>
      <c r="U134" s="274"/>
      <c r="V134" s="275"/>
    </row>
    <row r="135" spans="1:22" ht="13.5" x14ac:dyDescent="0.25">
      <c r="A135" s="431" t="s">
        <v>2402</v>
      </c>
      <c r="B135" s="440">
        <f t="shared" ref="B135:B140" si="50">SUM(C135:V135)</f>
        <v>0</v>
      </c>
      <c r="C135" s="374"/>
      <c r="D135" s="443">
        <f>$B$131*SUBTOTAL(9,D52:D66)</f>
        <v>0</v>
      </c>
      <c r="E135" s="374"/>
      <c r="F135" s="443">
        <f>$B$131*SUBTOTAL(9,F52:F66)</f>
        <v>0</v>
      </c>
      <c r="G135" s="374"/>
      <c r="H135" s="443">
        <f>$B$131*SUBTOTAL(9,H52:H66)</f>
        <v>0</v>
      </c>
      <c r="I135" s="374"/>
      <c r="J135" s="443">
        <f>$B$131*SUBTOTAL(9,J52:J66)</f>
        <v>0</v>
      </c>
      <c r="K135" s="374"/>
      <c r="L135" s="443">
        <f>$B$131*SUBTOTAL(9,L52:L66)</f>
        <v>0</v>
      </c>
      <c r="M135" s="374"/>
      <c r="N135" s="443">
        <f>$B$131*SUBTOTAL(9,N52:N66)</f>
        <v>0</v>
      </c>
      <c r="O135" s="374"/>
      <c r="P135" s="443">
        <f>$B$131*SUBTOTAL(9,P52:P66)</f>
        <v>0</v>
      </c>
      <c r="Q135" s="374"/>
      <c r="R135" s="443">
        <f>$B$131*SUBTOTAL(9,R52:R66)</f>
        <v>0</v>
      </c>
      <c r="S135" s="374"/>
      <c r="T135" s="443">
        <f>$B$131*SUBTOTAL(9,T52:T66)</f>
        <v>0</v>
      </c>
      <c r="U135" s="374"/>
      <c r="V135" s="443">
        <f>$B$131*SUBTOTAL(9,V52:V66)</f>
        <v>0</v>
      </c>
    </row>
    <row r="136" spans="1:22" outlineLevel="1" x14ac:dyDescent="0.2">
      <c r="A136" s="431" t="s">
        <v>2393</v>
      </c>
      <c r="B136" s="440">
        <f t="shared" si="50"/>
        <v>0</v>
      </c>
      <c r="C136" s="366"/>
      <c r="D136" s="443">
        <f>IF(impianto!O22=2,SUM(quadro!D75:D77)+SUM(D68:D69),(SUM(D72:D74))+SUM(D68:D69))</f>
        <v>0</v>
      </c>
      <c r="E136" s="366"/>
      <c r="F136" s="443">
        <f>IF(impianto!Q22=2,SUM(quadro!F75:F77)+SUM(F68:F69),(SUM(F72:F74))+SUM(F68:F69))</f>
        <v>0</v>
      </c>
      <c r="G136" s="366"/>
      <c r="H136" s="443">
        <f>IF(impianto!S22=2,SUM(quadro!H75:H77)+SUM(H68:H69),(SUM(H72:H74))+SUM(H68:H69))</f>
        <v>0</v>
      </c>
      <c r="I136" s="366"/>
      <c r="J136" s="443">
        <f>IF(impianto!U22=2,SUM(quadro!J75:J77)+SUM(J68:J69),(SUM(J72:J74))+SUM(J68:J69))</f>
        <v>0</v>
      </c>
      <c r="K136" s="366"/>
      <c r="L136" s="443">
        <f>IF(impianto!W22=2,SUM(quadro!L75:L77)+SUM(L68:L69),(SUM(L72:L74))+SUM(L68:L69))</f>
        <v>0</v>
      </c>
      <c r="M136" s="366"/>
      <c r="N136" s="443">
        <f>IF(impianto!Y22=2,SUM(quadro!N75:N77)+SUM(N68:N69),(SUM(N72:N74))+SUM(N68:N69))</f>
        <v>0</v>
      </c>
      <c r="O136" s="366"/>
      <c r="P136" s="443">
        <f>IF(impianto!AA22=2,SUM(quadro!P75:P77)+SUM(P68:P69),(SUM(P72:P74))+SUM(P68:P69))</f>
        <v>0</v>
      </c>
      <c r="Q136" s="366"/>
      <c r="R136" s="443">
        <f>IF(impianto!AC22=2,SUM(quadro!R75:R77)+SUM(R68:R69),(SUM(R72:R74))+SUM(R68:R69))</f>
        <v>0</v>
      </c>
      <c r="S136" s="366"/>
      <c r="T136" s="443">
        <f>IF(impianto!AE22=2,SUM(quadro!T75:T77)+SUM(T68:T69),(SUM(T72:T74))+SUM(T68:T69))</f>
        <v>0</v>
      </c>
      <c r="U136" s="366"/>
      <c r="V136" s="443">
        <f>IF(impianto!AG22=2,SUM(quadro!V75:V77)+SUM(V68:V69),(SUM(V72:V74))+SUM(V68:V69))</f>
        <v>0</v>
      </c>
    </row>
    <row r="137" spans="1:22" outlineLevel="1" x14ac:dyDescent="0.2">
      <c r="A137" s="431" t="s">
        <v>2394</v>
      </c>
      <c r="B137" s="440">
        <f t="shared" si="50"/>
        <v>0</v>
      </c>
      <c r="C137" s="366"/>
      <c r="D137" s="443">
        <f>IF(tipo_controllore2&lt;=2,0,IF(tipo_controllore2=3,quadro!D83,quadro!D88))</f>
        <v>0</v>
      </c>
      <c r="E137" s="366"/>
      <c r="F137" s="443">
        <f>IF(tipo_controllore2&lt;=2,0,IF(tipo_controllore2=3,quadro!F83,quadro!F88))</f>
        <v>0</v>
      </c>
      <c r="G137" s="366"/>
      <c r="H137" s="443">
        <f>IF(tipo_controllore2&lt;=2,0,IF(tipo_controllore2=3,quadro!H83,quadro!H88))</f>
        <v>0</v>
      </c>
      <c r="I137" s="366"/>
      <c r="J137" s="443">
        <f>IF(tipo_controllore2&lt;=2,0,IF(tipo_controllore2=3,quadro!J83,quadro!J88))</f>
        <v>0</v>
      </c>
      <c r="K137" s="366"/>
      <c r="L137" s="443">
        <f>IF(tipo_controllore2&lt;=2,0,IF(tipo_controllore2=3,quadro!L83,quadro!L88))</f>
        <v>0</v>
      </c>
      <c r="M137" s="366"/>
      <c r="N137" s="443">
        <f>IF(tipo_controllore2&lt;=2,0,IF(tipo_controllore2=3,quadro!N83,quadro!N88))</f>
        <v>0</v>
      </c>
      <c r="O137" s="366"/>
      <c r="P137" s="443">
        <f>IF(tipo_controllore2&lt;=2,0,IF(tipo_controllore2=3,quadro!P83,quadro!P88))</f>
        <v>0</v>
      </c>
      <c r="Q137" s="366"/>
      <c r="R137" s="443">
        <f>IF(tipo_controllore2&lt;=2,0,IF(tipo_controllore2=3,quadro!R83,quadro!R88))</f>
        <v>0</v>
      </c>
      <c r="S137" s="366"/>
      <c r="T137" s="443">
        <f>IF(tipo_controllore2&lt;=2,0,IF(tipo_controllore2=3,quadro!T83,quadro!T88))</f>
        <v>0</v>
      </c>
      <c r="U137" s="366"/>
      <c r="V137" s="443">
        <f>IF(tipo_controllore2&lt;=2,0,IF(tipo_controllore2=3,quadro!V83,quadro!V88))</f>
        <v>0</v>
      </c>
    </row>
    <row r="138" spans="1:22" outlineLevel="1" x14ac:dyDescent="0.2">
      <c r="A138" s="431" t="s">
        <v>2438</v>
      </c>
      <c r="B138" s="440">
        <f t="shared" si="50"/>
        <v>0</v>
      </c>
      <c r="C138" s="366"/>
      <c r="D138" s="443">
        <f>IF(AND(tipo_controllore2=1,SUM(impianto!$N$53:$AG$53,impianto!$N$149:$AG$149)&gt;0),GATEWAY_MODBUS,0)</f>
        <v>0</v>
      </c>
      <c r="E138" s="366"/>
      <c r="F138" s="443"/>
      <c r="G138" s="366"/>
      <c r="H138" s="443"/>
      <c r="I138" s="366"/>
      <c r="J138" s="443"/>
      <c r="K138" s="366"/>
      <c r="L138" s="443"/>
      <c r="M138" s="366"/>
      <c r="N138" s="443"/>
      <c r="O138" s="366"/>
      <c r="P138" s="443"/>
      <c r="Q138" s="366"/>
      <c r="R138" s="443"/>
      <c r="S138" s="366"/>
      <c r="T138" s="443"/>
      <c r="U138" s="366"/>
      <c r="V138" s="443"/>
    </row>
    <row r="139" spans="1:22" outlineLevel="1" x14ac:dyDescent="0.2">
      <c r="A139" s="431" t="s">
        <v>2455</v>
      </c>
      <c r="B139" s="440">
        <f t="shared" si="50"/>
        <v>0</v>
      </c>
      <c r="C139" s="366"/>
      <c r="D139" s="443">
        <f>D50</f>
        <v>0</v>
      </c>
      <c r="E139" s="366"/>
      <c r="F139" s="443">
        <f>F50</f>
        <v>0</v>
      </c>
      <c r="G139" s="366"/>
      <c r="H139" s="443">
        <f>H50</f>
        <v>0</v>
      </c>
      <c r="I139" s="366"/>
      <c r="J139" s="443">
        <f>J50</f>
        <v>0</v>
      </c>
      <c r="K139" s="366"/>
      <c r="L139" s="443">
        <f>L50</f>
        <v>0</v>
      </c>
      <c r="M139" s="366"/>
      <c r="N139" s="443">
        <f>N50</f>
        <v>0</v>
      </c>
      <c r="O139" s="366"/>
      <c r="P139" s="443">
        <f>P50</f>
        <v>0</v>
      </c>
      <c r="Q139" s="366"/>
      <c r="R139" s="443">
        <f>R50</f>
        <v>0</v>
      </c>
      <c r="S139" s="366"/>
      <c r="T139" s="443">
        <f>T50</f>
        <v>0</v>
      </c>
      <c r="U139" s="366"/>
      <c r="V139" s="443">
        <f>V50</f>
        <v>0</v>
      </c>
    </row>
    <row r="140" spans="1:22" ht="14.25" thickBot="1" x14ac:dyDescent="0.3">
      <c r="A140" s="432" t="s">
        <v>2403</v>
      </c>
      <c r="B140" s="441">
        <f t="shared" si="50"/>
        <v>0</v>
      </c>
      <c r="C140" s="427"/>
      <c r="D140" s="444">
        <f>HLOOKUP(tipo_controllore2,input_output!$B$29:$F$40,'Elenchi controllo_Parametri'!C56,FALSE)</f>
        <v>0</v>
      </c>
      <c r="E140" s="427"/>
      <c r="F140" s="444">
        <f>HLOOKUP(tipo_controllore2,input_output!$B$29:$F$40,'Elenchi controllo_Parametri'!E56,FALSE)</f>
        <v>0</v>
      </c>
      <c r="G140" s="427"/>
      <c r="H140" s="444">
        <f>HLOOKUP(tipo_controllore2,input_output!$B$29:$F$40,'Elenchi controllo_Parametri'!G56,FALSE)</f>
        <v>0</v>
      </c>
      <c r="I140" s="427"/>
      <c r="J140" s="444">
        <f>HLOOKUP(tipo_controllore2,input_output!$B$29:$F$40,'Elenchi controllo_Parametri'!I56,FALSE)</f>
        <v>0</v>
      </c>
      <c r="K140" s="427"/>
      <c r="L140" s="444">
        <f>HLOOKUP(tipo_controllore2,input_output!$B$29:$F$40,'Elenchi controllo_Parametri'!K56,FALSE)</f>
        <v>0</v>
      </c>
      <c r="M140" s="427"/>
      <c r="N140" s="444">
        <f>HLOOKUP(tipo_controllore2,input_output!$B$29:$F$40,'Elenchi controllo_Parametri'!M56,FALSE)</f>
        <v>0</v>
      </c>
      <c r="O140" s="427"/>
      <c r="P140" s="444">
        <f>HLOOKUP(tipo_controllore2,input_output!$B$29:$F$40,'Elenchi controllo_Parametri'!O56,FALSE)</f>
        <v>0</v>
      </c>
      <c r="Q140" s="427"/>
      <c r="R140" s="444">
        <f>HLOOKUP(tipo_controllore2,input_output!$B$29:$F$40,'Elenchi controllo_Parametri'!Q56,FALSE)</f>
        <v>0</v>
      </c>
      <c r="S140" s="427"/>
      <c r="T140" s="444">
        <f>HLOOKUP(tipo_controllore2,input_output!$B$29:$F$40,'Elenchi controllo_Parametri'!S56,FALSE)</f>
        <v>0</v>
      </c>
      <c r="U140" s="427"/>
      <c r="V140" s="444">
        <f>HLOOKUP(tipo_controllore2,input_output!$B$29:$F$40,'Elenchi controllo_Parametri'!U56,FALSE)</f>
        <v>0</v>
      </c>
    </row>
    <row r="141" spans="1:22" ht="14.25" thickTop="1" x14ac:dyDescent="0.25">
      <c r="A141" s="500" t="s">
        <v>327</v>
      </c>
      <c r="B141" s="440">
        <f>manodopera!D95</f>
        <v>3030</v>
      </c>
      <c r="C141" s="374"/>
      <c r="D141" s="443"/>
      <c r="E141" s="374"/>
      <c r="F141" s="443"/>
      <c r="G141" s="374"/>
      <c r="H141" s="443"/>
      <c r="I141" s="374"/>
      <c r="J141" s="443"/>
      <c r="K141" s="374"/>
      <c r="L141" s="443"/>
      <c r="M141" s="374"/>
      <c r="N141" s="443"/>
      <c r="O141" s="374"/>
      <c r="P141" s="443"/>
      <c r="Q141" s="374"/>
      <c r="R141" s="443"/>
      <c r="S141" s="374"/>
      <c r="T141" s="443"/>
      <c r="U141" s="374"/>
      <c r="V141" s="443"/>
    </row>
    <row r="142" spans="1:22" ht="13.5" x14ac:dyDescent="0.25">
      <c r="A142" s="500" t="s">
        <v>2417</v>
      </c>
      <c r="B142" s="440">
        <f>IF(tipo_controllore2=4,quadro!F187+quadro!F188,quadro!F191)</f>
        <v>0</v>
      </c>
      <c r="C142" s="374"/>
      <c r="D142" s="443"/>
      <c r="E142" s="374"/>
      <c r="F142" s="443"/>
      <c r="G142" s="374"/>
      <c r="H142" s="443"/>
      <c r="I142" s="374"/>
      <c r="J142" s="443"/>
      <c r="K142" s="374"/>
      <c r="L142" s="443"/>
      <c r="M142" s="374"/>
      <c r="N142" s="443"/>
      <c r="O142" s="374"/>
      <c r="P142" s="443"/>
      <c r="Q142" s="374"/>
      <c r="R142" s="443"/>
      <c r="S142" s="374"/>
      <c r="T142" s="443"/>
      <c r="U142" s="374"/>
      <c r="V142" s="443"/>
    </row>
    <row r="143" spans="1:22" s="371" customFormat="1" ht="15.75" x14ac:dyDescent="0.25">
      <c r="A143" s="433" t="s">
        <v>2401</v>
      </c>
      <c r="B143" s="442">
        <f>SUM(B135:B142)+B133</f>
        <v>8150.2256699999998</v>
      </c>
      <c r="C143" s="274"/>
      <c r="D143" s="445">
        <f>SUM(D135:D140)+D133</f>
        <v>0</v>
      </c>
      <c r="E143" s="274"/>
      <c r="F143" s="445">
        <f>SUM(F135:F140)+F133</f>
        <v>0</v>
      </c>
      <c r="G143" s="274"/>
      <c r="H143" s="445">
        <f>SUM(H135:H140)+H133</f>
        <v>0</v>
      </c>
      <c r="I143" s="274"/>
      <c r="J143" s="445">
        <f>SUM(J135:J140)+J133</f>
        <v>0</v>
      </c>
      <c r="K143" s="274"/>
      <c r="L143" s="445">
        <f>SUM(L135:L140)+L133</f>
        <v>0</v>
      </c>
      <c r="M143" s="274"/>
      <c r="N143" s="445">
        <f>SUM(N135:N140)+N133</f>
        <v>0</v>
      </c>
      <c r="O143" s="274"/>
      <c r="P143" s="445">
        <f>SUM(P135:P140)+P133</f>
        <v>0</v>
      </c>
      <c r="Q143" s="274"/>
      <c r="R143" s="445">
        <f>SUM(R135:R140)+R133</f>
        <v>0</v>
      </c>
      <c r="S143" s="274"/>
      <c r="T143" s="445">
        <f>SUM(T135:T140)+T133</f>
        <v>0</v>
      </c>
      <c r="U143" s="274"/>
      <c r="V143" s="445">
        <f>SUM(V135:V140)+V133</f>
        <v>0</v>
      </c>
    </row>
    <row r="144" spans="1:22" s="371" customFormat="1" ht="15.75" x14ac:dyDescent="0.25">
      <c r="A144" s="433" t="s">
        <v>2399</v>
      </c>
      <c r="B144" s="442">
        <f>SUM(C144:V144)</f>
        <v>0</v>
      </c>
      <c r="C144" s="274"/>
      <c r="D144" s="445">
        <f>VLOOKUP(tipo_controllore2,$B$162:$V$166,'Elenchi controllo_Parametri'!C58,FALSE)</f>
        <v>0</v>
      </c>
      <c r="E144" s="274"/>
      <c r="F144" s="445">
        <f>VLOOKUP(tipo_controllore2,$B$162:$V$166,'Elenchi controllo_Parametri'!E58,FALSE)</f>
        <v>0</v>
      </c>
      <c r="G144" s="274"/>
      <c r="H144" s="445">
        <f>VLOOKUP(tipo_controllore2,$B$162:$V$166,'Elenchi controllo_Parametri'!G58,FALSE)</f>
        <v>0</v>
      </c>
      <c r="I144" s="274"/>
      <c r="J144" s="445">
        <f>VLOOKUP(tipo_controllore2,$B$162:$V$166,'Elenchi controllo_Parametri'!I58,FALSE)</f>
        <v>0</v>
      </c>
      <c r="K144" s="274"/>
      <c r="L144" s="445">
        <f>VLOOKUP(tipo_controllore2,$B$162:$V$166,'Elenchi controllo_Parametri'!K58,FALSE)</f>
        <v>0</v>
      </c>
      <c r="M144" s="274"/>
      <c r="N144" s="445">
        <f>VLOOKUP(tipo_controllore2,$B$162:$V$166,'Elenchi controllo_Parametri'!M58,FALSE)</f>
        <v>0</v>
      </c>
      <c r="O144" s="274"/>
      <c r="P144" s="445">
        <f>VLOOKUP(tipo_controllore2,$B$162:$V$166,'Elenchi controllo_Parametri'!O58,FALSE)</f>
        <v>0</v>
      </c>
      <c r="Q144" s="274"/>
      <c r="R144" s="445">
        <f>VLOOKUP(tipo_controllore2,$B$162:$V$166,'Elenchi controllo_Parametri'!Q58,FALSE)</f>
        <v>0</v>
      </c>
      <c r="S144" s="274"/>
      <c r="T144" s="445">
        <f>VLOOKUP(tipo_controllore2,$B$162:$V$166,'Elenchi controllo_Parametri'!S58,FALSE)</f>
        <v>0</v>
      </c>
      <c r="U144" s="274"/>
      <c r="V144" s="445">
        <f>VLOOKUP(tipo_controllore2,$B$162:$V$166,'Elenchi controllo_Parametri'!U58,FALSE)</f>
        <v>0</v>
      </c>
    </row>
    <row r="145" spans="1:22" ht="15.75" x14ac:dyDescent="0.25">
      <c r="A145" s="112"/>
      <c r="C145" s="274"/>
      <c r="D145" s="367"/>
      <c r="E145" s="274"/>
      <c r="F145" s="367"/>
      <c r="G145" s="274"/>
      <c r="H145" s="367"/>
      <c r="I145" s="274"/>
      <c r="J145" s="367"/>
      <c r="K145" s="274"/>
      <c r="L145" s="367"/>
      <c r="M145" s="274"/>
      <c r="N145" s="367"/>
      <c r="O145" s="274"/>
      <c r="P145" s="367"/>
      <c r="Q145" s="274"/>
      <c r="R145" s="367"/>
      <c r="S145" s="274"/>
      <c r="T145" s="367"/>
      <c r="U145" s="274"/>
      <c r="V145" s="367"/>
    </row>
    <row r="146" spans="1:22" ht="13.5" hidden="1" thickBot="1" x14ac:dyDescent="0.25">
      <c r="A146" s="412" t="s">
        <v>2387</v>
      </c>
      <c r="B146" s="413">
        <f>tipo_controllore2</f>
        <v>1</v>
      </c>
      <c r="C146" s="413"/>
      <c r="D146" s="414"/>
      <c r="E146" s="415"/>
      <c r="F146" s="414"/>
      <c r="G146" s="415"/>
      <c r="H146" s="414"/>
      <c r="I146" s="415"/>
      <c r="J146" s="414"/>
      <c r="K146" s="415"/>
      <c r="L146" s="414"/>
      <c r="M146" s="415"/>
      <c r="N146" s="414"/>
      <c r="O146" s="415"/>
      <c r="P146" s="414"/>
      <c r="Q146" s="415"/>
      <c r="R146" s="414"/>
      <c r="S146" s="415"/>
      <c r="T146" s="414"/>
      <c r="U146" s="415"/>
      <c r="V146" s="416"/>
    </row>
    <row r="147" spans="1:22" ht="13.5" hidden="1" thickBot="1" x14ac:dyDescent="0.25">
      <c r="A147" s="825" t="str">
        <f>'base prezzi'!B20</f>
        <v>Siemens-Pannello KTP400 4" touch colore</v>
      </c>
      <c r="B147" s="438">
        <f t="shared" ref="B147:B156" si="51">VLOOKUP(A147,prezzi,5,)</f>
        <v>1865.8685100000002</v>
      </c>
      <c r="C147" s="826">
        <f>impianto!N181</f>
        <v>0</v>
      </c>
      <c r="D147" s="434">
        <f t="shared" ref="D147:D156" si="52">$B147*C147</f>
        <v>0</v>
      </c>
      <c r="E147" s="826">
        <f>impianto!P181</f>
        <v>0</v>
      </c>
      <c r="F147" s="434">
        <f t="shared" ref="F147:F156" si="53">$B147*E147</f>
        <v>0</v>
      </c>
      <c r="G147" s="826">
        <f>impianto!R181</f>
        <v>0</v>
      </c>
      <c r="H147" s="434">
        <f t="shared" ref="H147:H156" si="54">$B147*G147</f>
        <v>0</v>
      </c>
      <c r="I147" s="826">
        <f>impianto!T181</f>
        <v>0</v>
      </c>
      <c r="J147" s="434">
        <f t="shared" ref="J147:J156" si="55">$B147*I147</f>
        <v>0</v>
      </c>
      <c r="K147" s="826">
        <f>impianto!V181</f>
        <v>0</v>
      </c>
      <c r="L147" s="434">
        <f t="shared" ref="L147:L156" si="56">$B147*K147</f>
        <v>0</v>
      </c>
      <c r="M147" s="826">
        <f>impianto!X181</f>
        <v>0</v>
      </c>
      <c r="N147" s="434">
        <f t="shared" ref="N147:N156" si="57">$B147*M147</f>
        <v>0</v>
      </c>
      <c r="O147" s="826">
        <f>impianto!Z181</f>
        <v>0</v>
      </c>
      <c r="P147" s="434">
        <f t="shared" ref="P147:P156" si="58">$B147*O147</f>
        <v>0</v>
      </c>
      <c r="Q147" s="826">
        <f>impianto!AB181</f>
        <v>0</v>
      </c>
      <c r="R147" s="434">
        <f t="shared" ref="R147:R156" si="59">$B147*Q147</f>
        <v>0</v>
      </c>
      <c r="S147" s="826">
        <f>impianto!AD181</f>
        <v>0</v>
      </c>
      <c r="T147" s="434">
        <f t="shared" ref="T147:T156" si="60">$B147*S147</f>
        <v>0</v>
      </c>
      <c r="U147" s="826">
        <f>impianto!AF181</f>
        <v>0</v>
      </c>
      <c r="V147" s="434">
        <f t="shared" ref="V147:V156" si="61">$B147*U147</f>
        <v>0</v>
      </c>
    </row>
    <row r="148" spans="1:22" ht="13.5" hidden="1" thickBot="1" x14ac:dyDescent="0.25">
      <c r="A148" s="825" t="str">
        <f>'base prezzi'!B21</f>
        <v>Siemens-Pannello TP700 7" touch colore</v>
      </c>
      <c r="B148" s="438">
        <f t="shared" si="51"/>
        <v>2731.1189100000001</v>
      </c>
      <c r="C148" s="826">
        <f>impianto!N182</f>
        <v>0</v>
      </c>
      <c r="D148" s="434">
        <f t="shared" si="52"/>
        <v>0</v>
      </c>
      <c r="E148" s="826">
        <f>impianto!P182</f>
        <v>0</v>
      </c>
      <c r="F148" s="434">
        <f t="shared" si="53"/>
        <v>0</v>
      </c>
      <c r="G148" s="826">
        <f>impianto!R182</f>
        <v>0</v>
      </c>
      <c r="H148" s="434">
        <f t="shared" si="54"/>
        <v>0</v>
      </c>
      <c r="I148" s="826">
        <f>impianto!T182</f>
        <v>0</v>
      </c>
      <c r="J148" s="434">
        <f t="shared" si="55"/>
        <v>0</v>
      </c>
      <c r="K148" s="826">
        <f>impianto!V182</f>
        <v>0</v>
      </c>
      <c r="L148" s="434">
        <f t="shared" si="56"/>
        <v>0</v>
      </c>
      <c r="M148" s="826">
        <f>impianto!X182</f>
        <v>0</v>
      </c>
      <c r="N148" s="434">
        <f t="shared" si="57"/>
        <v>0</v>
      </c>
      <c r="O148" s="826">
        <f>impianto!Z182</f>
        <v>0</v>
      </c>
      <c r="P148" s="434">
        <f t="shared" si="58"/>
        <v>0</v>
      </c>
      <c r="Q148" s="826">
        <f>impianto!AB182</f>
        <v>0</v>
      </c>
      <c r="R148" s="434">
        <f t="shared" si="59"/>
        <v>0</v>
      </c>
      <c r="S148" s="826">
        <f>impianto!AD182</f>
        <v>0</v>
      </c>
      <c r="T148" s="434">
        <f t="shared" si="60"/>
        <v>0</v>
      </c>
      <c r="U148" s="826">
        <f>impianto!AF182</f>
        <v>0</v>
      </c>
      <c r="V148" s="434">
        <f t="shared" si="61"/>
        <v>0</v>
      </c>
    </row>
    <row r="149" spans="1:22" ht="13.5" hidden="1" thickBot="1" x14ac:dyDescent="0.25">
      <c r="A149" s="825" t="str">
        <f>'base prezzi'!B22</f>
        <v>Siemens-Pannello TP900 9" touch colore</v>
      </c>
      <c r="B149" s="438">
        <f t="shared" si="51"/>
        <v>2507.4485100000002</v>
      </c>
      <c r="C149" s="826">
        <f>impianto!N183</f>
        <v>0</v>
      </c>
      <c r="D149" s="434">
        <f t="shared" si="52"/>
        <v>0</v>
      </c>
      <c r="E149" s="826">
        <f>impianto!P183</f>
        <v>0</v>
      </c>
      <c r="F149" s="434">
        <f t="shared" si="53"/>
        <v>0</v>
      </c>
      <c r="G149" s="826">
        <f>impianto!R183</f>
        <v>0</v>
      </c>
      <c r="H149" s="434">
        <f t="shared" si="54"/>
        <v>0</v>
      </c>
      <c r="I149" s="826">
        <f>impianto!T183</f>
        <v>0</v>
      </c>
      <c r="J149" s="434">
        <f t="shared" si="55"/>
        <v>0</v>
      </c>
      <c r="K149" s="826">
        <f>impianto!V183</f>
        <v>0</v>
      </c>
      <c r="L149" s="434">
        <f t="shared" si="56"/>
        <v>0</v>
      </c>
      <c r="M149" s="826">
        <f>impianto!X183</f>
        <v>0</v>
      </c>
      <c r="N149" s="434">
        <f t="shared" si="57"/>
        <v>0</v>
      </c>
      <c r="O149" s="826">
        <f>impianto!Z183</f>
        <v>0</v>
      </c>
      <c r="P149" s="434">
        <f t="shared" si="58"/>
        <v>0</v>
      </c>
      <c r="Q149" s="826">
        <f>impianto!AB183</f>
        <v>0</v>
      </c>
      <c r="R149" s="434">
        <f t="shared" si="59"/>
        <v>0</v>
      </c>
      <c r="S149" s="826">
        <f>impianto!AD183</f>
        <v>0</v>
      </c>
      <c r="T149" s="434">
        <f t="shared" si="60"/>
        <v>0</v>
      </c>
      <c r="U149" s="826">
        <f>impianto!AF183</f>
        <v>0</v>
      </c>
      <c r="V149" s="434">
        <f t="shared" si="61"/>
        <v>0</v>
      </c>
    </row>
    <row r="150" spans="1:22" ht="15" hidden="1" customHeight="1" thickBot="1" x14ac:dyDescent="0.25">
      <c r="A150" s="825" t="str">
        <f>'base prezzi'!B23</f>
        <v>Siemens-Pannello TP1200 12" touch colore</v>
      </c>
      <c r="B150" s="438">
        <f t="shared" si="51"/>
        <v>3257.4485100000002</v>
      </c>
      <c r="C150" s="826">
        <f>impianto!N184</f>
        <v>0</v>
      </c>
      <c r="D150" s="434">
        <f t="shared" si="52"/>
        <v>0</v>
      </c>
      <c r="E150" s="826">
        <f>impianto!P184</f>
        <v>0</v>
      </c>
      <c r="F150" s="434">
        <f t="shared" si="53"/>
        <v>0</v>
      </c>
      <c r="G150" s="826">
        <f>impianto!R184</f>
        <v>0</v>
      </c>
      <c r="H150" s="434">
        <f t="shared" si="54"/>
        <v>0</v>
      </c>
      <c r="I150" s="826">
        <f>impianto!T184</f>
        <v>0</v>
      </c>
      <c r="J150" s="434">
        <f t="shared" si="55"/>
        <v>0</v>
      </c>
      <c r="K150" s="826">
        <f>impianto!V184</f>
        <v>0</v>
      </c>
      <c r="L150" s="434">
        <f t="shared" si="56"/>
        <v>0</v>
      </c>
      <c r="M150" s="826">
        <f>impianto!X184</f>
        <v>0</v>
      </c>
      <c r="N150" s="434">
        <f t="shared" si="57"/>
        <v>0</v>
      </c>
      <c r="O150" s="826">
        <f>impianto!Z184</f>
        <v>0</v>
      </c>
      <c r="P150" s="434">
        <f t="shared" si="58"/>
        <v>0</v>
      </c>
      <c r="Q150" s="826">
        <f>impianto!AB184</f>
        <v>0</v>
      </c>
      <c r="R150" s="434">
        <f t="shared" si="59"/>
        <v>0</v>
      </c>
      <c r="S150" s="826">
        <f>impianto!AD184</f>
        <v>0</v>
      </c>
      <c r="T150" s="434">
        <f t="shared" si="60"/>
        <v>0</v>
      </c>
      <c r="U150" s="826">
        <f>impianto!AF184</f>
        <v>0</v>
      </c>
      <c r="V150" s="434">
        <f t="shared" si="61"/>
        <v>0</v>
      </c>
    </row>
    <row r="151" spans="1:22" ht="15" hidden="1" customHeight="1" thickBot="1" x14ac:dyDescent="0.25">
      <c r="A151" s="825" t="str">
        <f>'base prezzi'!B24</f>
        <v>Siemens-Pannello TP1500 15" touch colore</v>
      </c>
      <c r="B151" s="438">
        <f t="shared" si="51"/>
        <v>3457</v>
      </c>
      <c r="C151" s="826">
        <f>impianto!N185</f>
        <v>0</v>
      </c>
      <c r="D151" s="434">
        <f t="shared" si="52"/>
        <v>0</v>
      </c>
      <c r="E151" s="826">
        <f>impianto!P185</f>
        <v>0</v>
      </c>
      <c r="F151" s="434">
        <f t="shared" si="53"/>
        <v>0</v>
      </c>
      <c r="G151" s="826">
        <f>impianto!R185</f>
        <v>0</v>
      </c>
      <c r="H151" s="434">
        <f t="shared" si="54"/>
        <v>0</v>
      </c>
      <c r="I151" s="826">
        <f>impianto!T185</f>
        <v>0</v>
      </c>
      <c r="J151" s="434">
        <f t="shared" si="55"/>
        <v>0</v>
      </c>
      <c r="K151" s="826">
        <f>impianto!V185</f>
        <v>0</v>
      </c>
      <c r="L151" s="434">
        <f t="shared" si="56"/>
        <v>0</v>
      </c>
      <c r="M151" s="826">
        <f>impianto!X185</f>
        <v>0</v>
      </c>
      <c r="N151" s="434">
        <f t="shared" si="57"/>
        <v>0</v>
      </c>
      <c r="O151" s="826">
        <f>impianto!Z185</f>
        <v>0</v>
      </c>
      <c r="P151" s="434">
        <f t="shared" si="58"/>
        <v>0</v>
      </c>
      <c r="Q151" s="826">
        <f>impianto!AB185</f>
        <v>0</v>
      </c>
      <c r="R151" s="434">
        <f t="shared" si="59"/>
        <v>0</v>
      </c>
      <c r="S151" s="826">
        <f>impianto!AD185</f>
        <v>0</v>
      </c>
      <c r="T151" s="434">
        <f t="shared" si="60"/>
        <v>0</v>
      </c>
      <c r="U151" s="826">
        <f>impianto!AF185</f>
        <v>0</v>
      </c>
      <c r="V151" s="434">
        <f t="shared" si="61"/>
        <v>0</v>
      </c>
    </row>
    <row r="152" spans="1:22" ht="15" hidden="1" customHeight="1" thickBot="1" x14ac:dyDescent="0.25">
      <c r="A152" s="825" t="str">
        <f>'base prezzi'!B111</f>
        <v>AllenBradley-Pannello PanelView 7" touch colore</v>
      </c>
      <c r="B152" s="438">
        <f t="shared" si="51"/>
        <v>2922.2972337000001</v>
      </c>
      <c r="C152" s="826">
        <f>impianto!N186</f>
        <v>0</v>
      </c>
      <c r="D152" s="434">
        <f t="shared" si="52"/>
        <v>0</v>
      </c>
      <c r="E152" s="826">
        <f>impianto!P186</f>
        <v>0</v>
      </c>
      <c r="F152" s="434">
        <f t="shared" si="53"/>
        <v>0</v>
      </c>
      <c r="G152" s="826">
        <f>impianto!R186</f>
        <v>0</v>
      </c>
      <c r="H152" s="434">
        <f t="shared" si="54"/>
        <v>0</v>
      </c>
      <c r="I152" s="826">
        <f>impianto!T186</f>
        <v>0</v>
      </c>
      <c r="J152" s="434">
        <f t="shared" si="55"/>
        <v>0</v>
      </c>
      <c r="K152" s="826">
        <f>impianto!V186</f>
        <v>0</v>
      </c>
      <c r="L152" s="434">
        <f t="shared" si="56"/>
        <v>0</v>
      </c>
      <c r="M152" s="826">
        <f>impianto!X186</f>
        <v>0</v>
      </c>
      <c r="N152" s="434">
        <f t="shared" si="57"/>
        <v>0</v>
      </c>
      <c r="O152" s="826">
        <f>impianto!Z186</f>
        <v>0</v>
      </c>
      <c r="P152" s="434">
        <f t="shared" si="58"/>
        <v>0</v>
      </c>
      <c r="Q152" s="826">
        <f>impianto!AB186</f>
        <v>0</v>
      </c>
      <c r="R152" s="434">
        <f t="shared" si="59"/>
        <v>0</v>
      </c>
      <c r="S152" s="826">
        <f>impianto!AD186</f>
        <v>0</v>
      </c>
      <c r="T152" s="434">
        <f t="shared" si="60"/>
        <v>0</v>
      </c>
      <c r="U152" s="826">
        <f>impianto!AF186</f>
        <v>0</v>
      </c>
      <c r="V152" s="434">
        <f t="shared" si="61"/>
        <v>0</v>
      </c>
    </row>
    <row r="153" spans="1:22" ht="15" hidden="1" customHeight="1" thickBot="1" x14ac:dyDescent="0.25">
      <c r="A153" s="825" t="str">
        <f>'base prezzi'!B112</f>
        <v>AllenBradley-Pannello PanelView 9" touch colore</v>
      </c>
      <c r="B153" s="438">
        <f t="shared" si="51"/>
        <v>2682.9699057000003</v>
      </c>
      <c r="C153" s="826">
        <f>impianto!N187</f>
        <v>0</v>
      </c>
      <c r="D153" s="434">
        <f t="shared" si="52"/>
        <v>0</v>
      </c>
      <c r="E153" s="826">
        <f>impianto!P187</f>
        <v>0</v>
      </c>
      <c r="F153" s="434">
        <f t="shared" si="53"/>
        <v>0</v>
      </c>
      <c r="G153" s="826">
        <f>impianto!R187</f>
        <v>0</v>
      </c>
      <c r="H153" s="434">
        <f t="shared" si="54"/>
        <v>0</v>
      </c>
      <c r="I153" s="826">
        <f>impianto!T187</f>
        <v>0</v>
      </c>
      <c r="J153" s="434">
        <f t="shared" si="55"/>
        <v>0</v>
      </c>
      <c r="K153" s="826">
        <f>impianto!V187</f>
        <v>0</v>
      </c>
      <c r="L153" s="434">
        <f t="shared" si="56"/>
        <v>0</v>
      </c>
      <c r="M153" s="826">
        <f>impianto!X187</f>
        <v>0</v>
      </c>
      <c r="N153" s="434">
        <f t="shared" si="57"/>
        <v>0</v>
      </c>
      <c r="O153" s="826">
        <f>impianto!Z187</f>
        <v>0</v>
      </c>
      <c r="P153" s="434">
        <f t="shared" si="58"/>
        <v>0</v>
      </c>
      <c r="Q153" s="826">
        <f>impianto!AB187</f>
        <v>0</v>
      </c>
      <c r="R153" s="434">
        <f t="shared" si="59"/>
        <v>0</v>
      </c>
      <c r="S153" s="826">
        <f>impianto!AD187</f>
        <v>0</v>
      </c>
      <c r="T153" s="434">
        <f t="shared" si="60"/>
        <v>0</v>
      </c>
      <c r="U153" s="826">
        <f>impianto!AF187</f>
        <v>0</v>
      </c>
      <c r="V153" s="434">
        <f t="shared" si="61"/>
        <v>0</v>
      </c>
    </row>
    <row r="154" spans="1:22" ht="15" hidden="1" customHeight="1" thickBot="1" x14ac:dyDescent="0.25">
      <c r="A154" s="825" t="str">
        <f>'base prezzi'!B113</f>
        <v>AllenBradley-Pannello PanelView 12" touch colore</v>
      </c>
      <c r="B154" s="438">
        <f t="shared" si="51"/>
        <v>3485.4699057000003</v>
      </c>
      <c r="C154" s="826">
        <f>impianto!N188</f>
        <v>0</v>
      </c>
      <c r="D154" s="434">
        <f t="shared" si="52"/>
        <v>0</v>
      </c>
      <c r="E154" s="826">
        <f>impianto!P188</f>
        <v>0</v>
      </c>
      <c r="F154" s="434">
        <f t="shared" si="53"/>
        <v>0</v>
      </c>
      <c r="G154" s="826">
        <f>impianto!R188</f>
        <v>0</v>
      </c>
      <c r="H154" s="434">
        <f t="shared" si="54"/>
        <v>0</v>
      </c>
      <c r="I154" s="826">
        <f>impianto!T188</f>
        <v>0</v>
      </c>
      <c r="J154" s="434">
        <f t="shared" si="55"/>
        <v>0</v>
      </c>
      <c r="K154" s="826">
        <f>impianto!V188</f>
        <v>0</v>
      </c>
      <c r="L154" s="434">
        <f t="shared" si="56"/>
        <v>0</v>
      </c>
      <c r="M154" s="826">
        <f>impianto!X188</f>
        <v>0</v>
      </c>
      <c r="N154" s="434">
        <f t="shared" si="57"/>
        <v>0</v>
      </c>
      <c r="O154" s="826">
        <f>impianto!Z188</f>
        <v>0</v>
      </c>
      <c r="P154" s="434">
        <f t="shared" si="58"/>
        <v>0</v>
      </c>
      <c r="Q154" s="826">
        <f>impianto!AB188</f>
        <v>0</v>
      </c>
      <c r="R154" s="434">
        <f t="shared" si="59"/>
        <v>0</v>
      </c>
      <c r="S154" s="826">
        <f>impianto!AD188</f>
        <v>0</v>
      </c>
      <c r="T154" s="434">
        <f t="shared" si="60"/>
        <v>0</v>
      </c>
      <c r="U154" s="826">
        <f>impianto!AF188</f>
        <v>0</v>
      </c>
      <c r="V154" s="434">
        <f t="shared" si="61"/>
        <v>0</v>
      </c>
    </row>
    <row r="155" spans="1:22" ht="15" hidden="1" customHeight="1" thickBot="1" x14ac:dyDescent="0.25">
      <c r="A155" s="825" t="str">
        <f>'base prezzi'!B114</f>
        <v>AllenBradley-Pannello PanelView 15" touch colore</v>
      </c>
      <c r="B155" s="438">
        <f t="shared" si="51"/>
        <v>3698.9900000000002</v>
      </c>
      <c r="C155" s="826">
        <f>impianto!N189</f>
        <v>0</v>
      </c>
      <c r="D155" s="434">
        <f t="shared" si="52"/>
        <v>0</v>
      </c>
      <c r="E155" s="826">
        <f>impianto!P189</f>
        <v>0</v>
      </c>
      <c r="F155" s="434">
        <f t="shared" si="53"/>
        <v>0</v>
      </c>
      <c r="G155" s="826">
        <f>impianto!R189</f>
        <v>0</v>
      </c>
      <c r="H155" s="434">
        <f t="shared" si="54"/>
        <v>0</v>
      </c>
      <c r="I155" s="826">
        <f>impianto!T189</f>
        <v>0</v>
      </c>
      <c r="J155" s="434">
        <f t="shared" si="55"/>
        <v>0</v>
      </c>
      <c r="K155" s="826">
        <f>impianto!V189</f>
        <v>0</v>
      </c>
      <c r="L155" s="434">
        <f t="shared" si="56"/>
        <v>0</v>
      </c>
      <c r="M155" s="826">
        <f>impianto!X189</f>
        <v>0</v>
      </c>
      <c r="N155" s="434">
        <f t="shared" si="57"/>
        <v>0</v>
      </c>
      <c r="O155" s="826">
        <f>impianto!Z189</f>
        <v>0</v>
      </c>
      <c r="P155" s="434">
        <f t="shared" si="58"/>
        <v>0</v>
      </c>
      <c r="Q155" s="826">
        <f>impianto!AB189</f>
        <v>0</v>
      </c>
      <c r="R155" s="434">
        <f t="shared" si="59"/>
        <v>0</v>
      </c>
      <c r="S155" s="826">
        <f>impianto!AD189</f>
        <v>0</v>
      </c>
      <c r="T155" s="434">
        <f t="shared" si="60"/>
        <v>0</v>
      </c>
      <c r="U155" s="826">
        <f>impianto!AF189</f>
        <v>0</v>
      </c>
      <c r="V155" s="434">
        <f t="shared" si="61"/>
        <v>0</v>
      </c>
    </row>
    <row r="156" spans="1:22" ht="15" hidden="1" customHeight="1" thickBot="1" x14ac:dyDescent="0.25">
      <c r="A156" s="825" t="str">
        <f>'base prezzi'!B115</f>
        <v>pc con sinottico (escluso hardware)</v>
      </c>
      <c r="B156" s="438">
        <f t="shared" si="51"/>
        <v>3000</v>
      </c>
      <c r="C156" s="826">
        <f>impianto!N190</f>
        <v>0</v>
      </c>
      <c r="D156" s="434">
        <f t="shared" si="52"/>
        <v>0</v>
      </c>
      <c r="E156" s="826">
        <f>impianto!P190</f>
        <v>0</v>
      </c>
      <c r="F156" s="434">
        <f t="shared" si="53"/>
        <v>0</v>
      </c>
      <c r="G156" s="826">
        <f>impianto!R190</f>
        <v>0</v>
      </c>
      <c r="H156" s="434">
        <f t="shared" si="54"/>
        <v>0</v>
      </c>
      <c r="I156" s="826">
        <f>impianto!T190</f>
        <v>0</v>
      </c>
      <c r="J156" s="434">
        <f t="shared" si="55"/>
        <v>0</v>
      </c>
      <c r="K156" s="826">
        <f>impianto!V190</f>
        <v>0</v>
      </c>
      <c r="L156" s="434">
        <f t="shared" si="56"/>
        <v>0</v>
      </c>
      <c r="M156" s="826">
        <f>impianto!X190</f>
        <v>0</v>
      </c>
      <c r="N156" s="434">
        <f t="shared" si="57"/>
        <v>0</v>
      </c>
      <c r="O156" s="826">
        <f>impianto!Z190</f>
        <v>0</v>
      </c>
      <c r="P156" s="434">
        <f t="shared" si="58"/>
        <v>0</v>
      </c>
      <c r="Q156" s="826">
        <f>impianto!AB190</f>
        <v>0</v>
      </c>
      <c r="R156" s="434">
        <f t="shared" si="59"/>
        <v>0</v>
      </c>
      <c r="S156" s="826">
        <f>impianto!AD190</f>
        <v>0</v>
      </c>
      <c r="T156" s="434">
        <f t="shared" si="60"/>
        <v>0</v>
      </c>
      <c r="U156" s="826">
        <f>impianto!AF190</f>
        <v>0</v>
      </c>
      <c r="V156" s="434">
        <f t="shared" si="61"/>
        <v>0</v>
      </c>
    </row>
    <row r="157" spans="1:22" ht="13.5" hidden="1" thickBot="1" x14ac:dyDescent="0.25">
      <c r="A157" s="825" t="str">
        <f>'base prezzi'!B27</f>
        <v>Pannello WP500</v>
      </c>
      <c r="B157" s="446"/>
      <c r="C157" s="826">
        <f>impianto!N191</f>
        <v>0</v>
      </c>
      <c r="D157" s="434">
        <f>$W157*C157</f>
        <v>0</v>
      </c>
      <c r="E157" s="826">
        <f>impianto!P191</f>
        <v>0</v>
      </c>
      <c r="F157" s="434">
        <f>$W157*E157</f>
        <v>0</v>
      </c>
      <c r="G157" s="826">
        <f>impianto!R191</f>
        <v>0</v>
      </c>
      <c r="H157" s="434">
        <f>$W157*G157</f>
        <v>0</v>
      </c>
      <c r="I157" s="826">
        <f>impianto!T191</f>
        <v>0</v>
      </c>
      <c r="J157" s="434">
        <f>$W157*I157</f>
        <v>0</v>
      </c>
      <c r="K157" s="826">
        <f>impianto!V191</f>
        <v>0</v>
      </c>
      <c r="L157" s="434">
        <f>$W157*K157</f>
        <v>0</v>
      </c>
      <c r="M157" s="826">
        <f>impianto!X191</f>
        <v>0</v>
      </c>
      <c r="N157" s="434">
        <f>$W157*M157</f>
        <v>0</v>
      </c>
      <c r="O157" s="826">
        <f>impianto!Z191</f>
        <v>0</v>
      </c>
      <c r="P157" s="434">
        <f>$W157*O157</f>
        <v>0</v>
      </c>
      <c r="Q157" s="826">
        <f>impianto!AB191</f>
        <v>0</v>
      </c>
      <c r="R157" s="434">
        <f>$W157*Q157</f>
        <v>0</v>
      </c>
      <c r="S157" s="826">
        <f>impianto!AD191</f>
        <v>0</v>
      </c>
      <c r="T157" s="434">
        <f>$W157*S157</f>
        <v>0</v>
      </c>
      <c r="U157" s="826">
        <f>impianto!AF191</f>
        <v>0</v>
      </c>
      <c r="V157" s="434">
        <f>$W157*U157</f>
        <v>0</v>
      </c>
    </row>
    <row r="158" spans="1:22" ht="13.5" hidden="1" thickBot="1" x14ac:dyDescent="0.25">
      <c r="A158" s="825" t="str">
        <f>'base prezzi'!B28</f>
        <v>Pannello WP140</v>
      </c>
      <c r="B158" s="446"/>
      <c r="C158" s="826">
        <f>impianto!N192</f>
        <v>0</v>
      </c>
      <c r="D158" s="434">
        <f>$W158*C158</f>
        <v>0</v>
      </c>
      <c r="E158" s="826">
        <f>impianto!P192</f>
        <v>0</v>
      </c>
      <c r="F158" s="434">
        <f>$W158*E158</f>
        <v>0</v>
      </c>
      <c r="G158" s="826">
        <f>impianto!R192</f>
        <v>0</v>
      </c>
      <c r="H158" s="434">
        <f>$W158*G158</f>
        <v>0</v>
      </c>
      <c r="I158" s="826">
        <f>impianto!T192</f>
        <v>0</v>
      </c>
      <c r="J158" s="434">
        <f>$W158*I158</f>
        <v>0</v>
      </c>
      <c r="K158" s="826">
        <f>impianto!V192</f>
        <v>0</v>
      </c>
      <c r="L158" s="434">
        <f>$W158*K158</f>
        <v>0</v>
      </c>
      <c r="M158" s="826">
        <f>impianto!X192</f>
        <v>0</v>
      </c>
      <c r="N158" s="434">
        <f>$W158*M158</f>
        <v>0</v>
      </c>
      <c r="O158" s="826">
        <f>impianto!Z192</f>
        <v>0</v>
      </c>
      <c r="P158" s="434">
        <f>$W158*O158</f>
        <v>0</v>
      </c>
      <c r="Q158" s="826">
        <f>impianto!AB192</f>
        <v>0</v>
      </c>
      <c r="R158" s="434">
        <f>$W158*Q158</f>
        <v>0</v>
      </c>
      <c r="S158" s="826">
        <f>impianto!AD192</f>
        <v>0</v>
      </c>
      <c r="T158" s="434">
        <f>$W158*S158</f>
        <v>0</v>
      </c>
      <c r="U158" s="826">
        <f>impianto!AF192</f>
        <v>0</v>
      </c>
      <c r="V158" s="434">
        <f>$W158*U158</f>
        <v>0</v>
      </c>
    </row>
    <row r="159" spans="1:22" hidden="1" x14ac:dyDescent="0.2">
      <c r="A159" s="825" t="str">
        <f>'base prezzi'!B26</f>
        <v>Pannello WP300</v>
      </c>
      <c r="B159" s="446"/>
      <c r="C159" s="826">
        <f>impianto!N193</f>
        <v>0</v>
      </c>
      <c r="D159" s="434">
        <f>$W159*C159</f>
        <v>0</v>
      </c>
      <c r="E159" s="826">
        <f>impianto!P193</f>
        <v>0</v>
      </c>
      <c r="F159" s="434">
        <f>$W159*E159</f>
        <v>0</v>
      </c>
      <c r="G159" s="826">
        <f>impianto!R193</f>
        <v>0</v>
      </c>
      <c r="H159" s="434">
        <f>$W159*G159</f>
        <v>0</v>
      </c>
      <c r="I159" s="826">
        <f>impianto!T193</f>
        <v>0</v>
      </c>
      <c r="J159" s="434">
        <f>$W159*I159</f>
        <v>0</v>
      </c>
      <c r="K159" s="826">
        <f>impianto!V193</f>
        <v>0</v>
      </c>
      <c r="L159" s="434">
        <f>$W159*K159</f>
        <v>0</v>
      </c>
      <c r="M159" s="826">
        <f>impianto!X193</f>
        <v>0</v>
      </c>
      <c r="N159" s="434">
        <f>$W159*M159</f>
        <v>0</v>
      </c>
      <c r="O159" s="826">
        <f>impianto!Z193</f>
        <v>0</v>
      </c>
      <c r="P159" s="434">
        <f>$W159*O159</f>
        <v>0</v>
      </c>
      <c r="Q159" s="826">
        <f>impianto!AB193</f>
        <v>0</v>
      </c>
      <c r="R159" s="434">
        <f>$W159*Q159</f>
        <v>0</v>
      </c>
      <c r="S159" s="826">
        <f>impianto!AD193</f>
        <v>0</v>
      </c>
      <c r="T159" s="434">
        <f>$W159*S159</f>
        <v>0</v>
      </c>
      <c r="U159" s="826">
        <f>impianto!AF193</f>
        <v>0</v>
      </c>
      <c r="V159" s="434">
        <f>$W159*U159</f>
        <v>0</v>
      </c>
    </row>
    <row r="160" spans="1:22" hidden="1" x14ac:dyDescent="0.2">
      <c r="A160" s="825"/>
      <c r="B160" s="446"/>
      <c r="C160" s="827"/>
      <c r="D160" s="434"/>
      <c r="E160" s="827"/>
      <c r="F160" s="434"/>
      <c r="G160" s="827"/>
      <c r="H160" s="434"/>
      <c r="I160" s="827"/>
      <c r="J160" s="434"/>
      <c r="K160" s="827"/>
      <c r="L160" s="434"/>
      <c r="M160" s="827"/>
      <c r="N160" s="434"/>
      <c r="O160" s="827"/>
      <c r="P160" s="437"/>
      <c r="Q160" s="827"/>
      <c r="R160" s="434"/>
      <c r="S160" s="827"/>
      <c r="T160" s="437"/>
      <c r="U160" s="827"/>
      <c r="V160" s="434"/>
    </row>
    <row r="161" spans="1:256" ht="15" hidden="1" customHeight="1" x14ac:dyDescent="0.2">
      <c r="A161" s="828"/>
      <c r="B161" s="479" t="s">
        <v>2407</v>
      </c>
      <c r="D161" s="434"/>
      <c r="F161" s="434"/>
      <c r="H161" s="434"/>
      <c r="J161" s="434"/>
      <c r="L161" s="434"/>
      <c r="N161" s="434"/>
      <c r="P161" s="437"/>
      <c r="R161" s="434"/>
      <c r="T161" s="437"/>
      <c r="V161" s="434"/>
    </row>
    <row r="162" spans="1:256" ht="15" hidden="1" customHeight="1" x14ac:dyDescent="0.2">
      <c r="A162" s="825" t="str">
        <f>"TOTALE PANNELLI "&amp;'Elenchi controllo_Parametri'!B3</f>
        <v>TOTALE PANNELLI PLC Siemens S7</v>
      </c>
      <c r="B162" s="480">
        <v>1</v>
      </c>
      <c r="C162" s="85">
        <f>SUM(C147:C151)+C156</f>
        <v>0</v>
      </c>
      <c r="D162" s="434">
        <f>SUM(D147:D151)+D156</f>
        <v>0</v>
      </c>
      <c r="E162" s="85">
        <f t="shared" ref="E162:V162" si="62">SUM(E147:E151)+E156</f>
        <v>0</v>
      </c>
      <c r="F162" s="434">
        <f t="shared" si="62"/>
        <v>0</v>
      </c>
      <c r="G162" s="85">
        <f t="shared" si="62"/>
        <v>0</v>
      </c>
      <c r="H162" s="434">
        <f t="shared" si="62"/>
        <v>0</v>
      </c>
      <c r="I162" s="85">
        <f t="shared" si="62"/>
        <v>0</v>
      </c>
      <c r="J162" s="434">
        <f t="shared" si="62"/>
        <v>0</v>
      </c>
      <c r="K162" s="85">
        <f t="shared" si="62"/>
        <v>0</v>
      </c>
      <c r="L162" s="434">
        <f t="shared" si="62"/>
        <v>0</v>
      </c>
      <c r="M162" s="85">
        <f t="shared" si="62"/>
        <v>0</v>
      </c>
      <c r="N162" s="434">
        <f t="shared" si="62"/>
        <v>0</v>
      </c>
      <c r="O162" s="85">
        <f t="shared" si="62"/>
        <v>0</v>
      </c>
      <c r="P162" s="434">
        <f t="shared" si="62"/>
        <v>0</v>
      </c>
      <c r="Q162" s="85">
        <f t="shared" si="62"/>
        <v>0</v>
      </c>
      <c r="R162" s="434">
        <f t="shared" si="62"/>
        <v>0</v>
      </c>
      <c r="S162" s="85">
        <f t="shared" si="62"/>
        <v>0</v>
      </c>
      <c r="T162" s="434">
        <f t="shared" si="62"/>
        <v>0</v>
      </c>
      <c r="U162" s="85">
        <f t="shared" si="62"/>
        <v>0</v>
      </c>
      <c r="V162" s="434">
        <f t="shared" si="62"/>
        <v>0</v>
      </c>
    </row>
    <row r="163" spans="1:256" ht="15" hidden="1" customHeight="1" x14ac:dyDescent="0.2">
      <c r="A163" s="825" t="str">
        <f>"TOTALE PANNELLI "&amp;'Elenchi controllo_Parametri'!B4</f>
        <v>TOTALE PANNELLI PLC AllenBradley CompactLogix</v>
      </c>
      <c r="B163" s="480">
        <v>2</v>
      </c>
      <c r="C163" s="85">
        <f>SUM(C152:C155)+C156</f>
        <v>0</v>
      </c>
      <c r="D163" s="434">
        <f>SUM(D152:D155)+D156</f>
        <v>0</v>
      </c>
      <c r="E163" s="85">
        <f t="shared" ref="E163:V163" si="63">SUM(E152:E155)+E156</f>
        <v>0</v>
      </c>
      <c r="F163" s="434">
        <f t="shared" si="63"/>
        <v>0</v>
      </c>
      <c r="G163" s="85">
        <f t="shared" si="63"/>
        <v>0</v>
      </c>
      <c r="H163" s="434">
        <f t="shared" si="63"/>
        <v>0</v>
      </c>
      <c r="I163" s="85">
        <f t="shared" si="63"/>
        <v>0</v>
      </c>
      <c r="J163" s="434">
        <f t="shared" si="63"/>
        <v>0</v>
      </c>
      <c r="K163" s="85">
        <f t="shared" si="63"/>
        <v>0</v>
      </c>
      <c r="L163" s="434">
        <f t="shared" si="63"/>
        <v>0</v>
      </c>
      <c r="M163" s="85">
        <f t="shared" si="63"/>
        <v>0</v>
      </c>
      <c r="N163" s="434">
        <f t="shared" si="63"/>
        <v>0</v>
      </c>
      <c r="O163" s="85">
        <f t="shared" si="63"/>
        <v>0</v>
      </c>
      <c r="P163" s="434">
        <f t="shared" si="63"/>
        <v>0</v>
      </c>
      <c r="Q163" s="85">
        <f t="shared" si="63"/>
        <v>0</v>
      </c>
      <c r="R163" s="434">
        <f t="shared" si="63"/>
        <v>0</v>
      </c>
      <c r="S163" s="85">
        <f t="shared" si="63"/>
        <v>0</v>
      </c>
      <c r="T163" s="434">
        <f t="shared" si="63"/>
        <v>0</v>
      </c>
      <c r="U163" s="85">
        <f t="shared" si="63"/>
        <v>0</v>
      </c>
      <c r="V163" s="434">
        <f t="shared" si="63"/>
        <v>0</v>
      </c>
    </row>
    <row r="164" spans="1:256" ht="15" hidden="1" customHeight="1" x14ac:dyDescent="0.2">
      <c r="A164" s="825" t="str">
        <f>'base prezzi'!B27</f>
        <v>Pannello WP500</v>
      </c>
      <c r="B164" s="480">
        <v>3</v>
      </c>
      <c r="C164" s="85">
        <f>C157</f>
        <v>0</v>
      </c>
      <c r="D164" s="434">
        <f>D157</f>
        <v>0</v>
      </c>
      <c r="E164" s="85">
        <f t="shared" ref="E164:V164" si="64">E157</f>
        <v>0</v>
      </c>
      <c r="F164" s="434">
        <f t="shared" si="64"/>
        <v>0</v>
      </c>
      <c r="G164" s="85">
        <f t="shared" si="64"/>
        <v>0</v>
      </c>
      <c r="H164" s="434">
        <f t="shared" si="64"/>
        <v>0</v>
      </c>
      <c r="I164" s="85">
        <f t="shared" si="64"/>
        <v>0</v>
      </c>
      <c r="J164" s="434">
        <f t="shared" si="64"/>
        <v>0</v>
      </c>
      <c r="K164" s="85">
        <f t="shared" si="64"/>
        <v>0</v>
      </c>
      <c r="L164" s="434">
        <f t="shared" si="64"/>
        <v>0</v>
      </c>
      <c r="M164" s="85">
        <f t="shared" si="64"/>
        <v>0</v>
      </c>
      <c r="N164" s="434">
        <f t="shared" si="64"/>
        <v>0</v>
      </c>
      <c r="O164" s="85">
        <f t="shared" si="64"/>
        <v>0</v>
      </c>
      <c r="P164" s="434">
        <f t="shared" si="64"/>
        <v>0</v>
      </c>
      <c r="Q164" s="85">
        <f t="shared" si="64"/>
        <v>0</v>
      </c>
      <c r="R164" s="434">
        <f t="shared" si="64"/>
        <v>0</v>
      </c>
      <c r="S164" s="85">
        <f t="shared" si="64"/>
        <v>0</v>
      </c>
      <c r="T164" s="434">
        <f t="shared" si="64"/>
        <v>0</v>
      </c>
      <c r="U164" s="85">
        <f t="shared" si="64"/>
        <v>0</v>
      </c>
      <c r="V164" s="434">
        <f t="shared" si="64"/>
        <v>0</v>
      </c>
    </row>
    <row r="165" spans="1:256" ht="15" hidden="1" customHeight="1" x14ac:dyDescent="0.2">
      <c r="A165" s="825" t="str">
        <f>'base prezzi'!B28</f>
        <v>Pannello WP140</v>
      </c>
      <c r="B165" s="480">
        <v>4</v>
      </c>
      <c r="C165" s="85">
        <f t="shared" ref="C165:V165" si="65">C158</f>
        <v>0</v>
      </c>
      <c r="D165" s="434">
        <f t="shared" si="65"/>
        <v>0</v>
      </c>
      <c r="E165" s="85">
        <f t="shared" si="65"/>
        <v>0</v>
      </c>
      <c r="F165" s="434">
        <f t="shared" si="65"/>
        <v>0</v>
      </c>
      <c r="G165" s="85">
        <f t="shared" si="65"/>
        <v>0</v>
      </c>
      <c r="H165" s="434">
        <f t="shared" si="65"/>
        <v>0</v>
      </c>
      <c r="I165" s="85">
        <f t="shared" si="65"/>
        <v>0</v>
      </c>
      <c r="J165" s="434">
        <f t="shared" si="65"/>
        <v>0</v>
      </c>
      <c r="K165" s="85">
        <f t="shared" si="65"/>
        <v>0</v>
      </c>
      <c r="L165" s="434">
        <f t="shared" si="65"/>
        <v>0</v>
      </c>
      <c r="M165" s="85">
        <f t="shared" si="65"/>
        <v>0</v>
      </c>
      <c r="N165" s="434">
        <f t="shared" si="65"/>
        <v>0</v>
      </c>
      <c r="O165" s="85">
        <f t="shared" si="65"/>
        <v>0</v>
      </c>
      <c r="P165" s="434">
        <f t="shared" si="65"/>
        <v>0</v>
      </c>
      <c r="Q165" s="85">
        <f t="shared" si="65"/>
        <v>0</v>
      </c>
      <c r="R165" s="434">
        <f t="shared" si="65"/>
        <v>0</v>
      </c>
      <c r="S165" s="85">
        <f t="shared" si="65"/>
        <v>0</v>
      </c>
      <c r="T165" s="434">
        <f t="shared" si="65"/>
        <v>0</v>
      </c>
      <c r="U165" s="85">
        <f t="shared" si="65"/>
        <v>0</v>
      </c>
      <c r="V165" s="434">
        <f t="shared" si="65"/>
        <v>0</v>
      </c>
    </row>
    <row r="166" spans="1:256" ht="15" hidden="1" customHeight="1" x14ac:dyDescent="0.2">
      <c r="A166" s="825" t="str">
        <f>'base prezzi'!B26</f>
        <v>Pannello WP300</v>
      </c>
      <c r="B166" s="480">
        <v>5</v>
      </c>
      <c r="C166" s="85">
        <f t="shared" ref="C166:V166" si="66">C159</f>
        <v>0</v>
      </c>
      <c r="D166" s="434">
        <f t="shared" si="66"/>
        <v>0</v>
      </c>
      <c r="E166" s="85">
        <f t="shared" si="66"/>
        <v>0</v>
      </c>
      <c r="F166" s="434">
        <f t="shared" si="66"/>
        <v>0</v>
      </c>
      <c r="G166" s="85">
        <f t="shared" si="66"/>
        <v>0</v>
      </c>
      <c r="H166" s="434">
        <f t="shared" si="66"/>
        <v>0</v>
      </c>
      <c r="I166" s="85">
        <f t="shared" si="66"/>
        <v>0</v>
      </c>
      <c r="J166" s="434">
        <f t="shared" si="66"/>
        <v>0</v>
      </c>
      <c r="K166" s="85">
        <f t="shared" si="66"/>
        <v>0</v>
      </c>
      <c r="L166" s="434">
        <f t="shared" si="66"/>
        <v>0</v>
      </c>
      <c r="M166" s="85">
        <f t="shared" si="66"/>
        <v>0</v>
      </c>
      <c r="N166" s="434">
        <f t="shared" si="66"/>
        <v>0</v>
      </c>
      <c r="O166" s="85">
        <f t="shared" si="66"/>
        <v>0</v>
      </c>
      <c r="P166" s="434">
        <f t="shared" si="66"/>
        <v>0</v>
      </c>
      <c r="Q166" s="85">
        <f t="shared" si="66"/>
        <v>0</v>
      </c>
      <c r="R166" s="434">
        <f t="shared" si="66"/>
        <v>0</v>
      </c>
      <c r="S166" s="85">
        <f t="shared" si="66"/>
        <v>0</v>
      </c>
      <c r="T166" s="434">
        <f t="shared" si="66"/>
        <v>0</v>
      </c>
      <c r="U166" s="85">
        <f t="shared" si="66"/>
        <v>0</v>
      </c>
      <c r="V166" s="434">
        <f t="shared" si="66"/>
        <v>0</v>
      </c>
    </row>
    <row r="167" spans="1:256" ht="15" hidden="1" customHeight="1" x14ac:dyDescent="0.2">
      <c r="A167" s="469"/>
      <c r="B167" s="100"/>
      <c r="D167" s="372"/>
      <c r="F167" s="87"/>
      <c r="H167" s="87"/>
      <c r="J167" s="87"/>
      <c r="L167" s="87"/>
      <c r="N167" s="87"/>
      <c r="P167" s="88"/>
      <c r="R167" s="87"/>
      <c r="T167" s="88"/>
      <c r="V167" s="87"/>
    </row>
    <row r="168" spans="1:256" ht="15" hidden="1" customHeight="1" x14ac:dyDescent="0.2">
      <c r="A168" s="469"/>
      <c r="B168" s="100"/>
      <c r="D168" s="372"/>
      <c r="F168" s="87"/>
      <c r="H168" s="87"/>
      <c r="J168" s="87"/>
      <c r="L168" s="87"/>
      <c r="N168" s="87"/>
      <c r="P168" s="88"/>
      <c r="R168" s="87"/>
      <c r="T168" s="88"/>
      <c r="V168" s="87"/>
    </row>
    <row r="169" spans="1:256" hidden="1" x14ac:dyDescent="0.2">
      <c r="A169" s="418" t="s">
        <v>2279</v>
      </c>
      <c r="B169" s="93"/>
      <c r="C169" s="111"/>
      <c r="D169" s="447">
        <f>$B$96+D103</f>
        <v>0</v>
      </c>
      <c r="E169" s="111"/>
      <c r="F169" s="447">
        <f>$B$96+F103</f>
        <v>0</v>
      </c>
      <c r="G169" s="111"/>
      <c r="H169" s="447">
        <f>$B$96+H103</f>
        <v>0</v>
      </c>
      <c r="I169" s="111"/>
      <c r="J169" s="447">
        <f>$B$96+J103</f>
        <v>0</v>
      </c>
      <c r="K169" s="111"/>
      <c r="L169" s="447">
        <f>$B$96+L103</f>
        <v>0</v>
      </c>
      <c r="M169" s="111"/>
      <c r="N169" s="447">
        <f>$B$96+N103</f>
        <v>0</v>
      </c>
      <c r="O169" s="111"/>
      <c r="P169" s="447">
        <f>$B$96+P103</f>
        <v>0</v>
      </c>
      <c r="Q169" s="111"/>
      <c r="R169" s="447">
        <f>$B$96+R103</f>
        <v>0</v>
      </c>
      <c r="S169" s="111"/>
      <c r="T169" s="447">
        <f>$B$96+T103</f>
        <v>0</v>
      </c>
      <c r="U169" s="111"/>
      <c r="V169" s="447">
        <f>$B$96+V103</f>
        <v>0</v>
      </c>
    </row>
    <row r="170" spans="1:256" hidden="1" x14ac:dyDescent="0.2">
      <c r="A170" s="419" t="s">
        <v>2280</v>
      </c>
      <c r="B170" s="109"/>
      <c r="C170" s="111"/>
      <c r="D170" s="439">
        <f>SUM(D96+D103+D107)</f>
        <v>0</v>
      </c>
      <c r="E170" s="111"/>
      <c r="F170" s="439">
        <f>SUM(F96+F103+F107)</f>
        <v>0</v>
      </c>
      <c r="G170" s="111"/>
      <c r="H170" s="439">
        <f>SUM(H96+H103+H107)</f>
        <v>0</v>
      </c>
      <c r="I170" s="111"/>
      <c r="J170" s="439">
        <f>SUM(J96+J103+J107)</f>
        <v>0</v>
      </c>
      <c r="K170" s="111"/>
      <c r="L170" s="439">
        <f>SUM(L96+L103+L107)</f>
        <v>0</v>
      </c>
      <c r="M170" s="111"/>
      <c r="N170" s="439">
        <f>SUM(N96+N103+N107)</f>
        <v>0</v>
      </c>
      <c r="O170" s="111"/>
      <c r="P170" s="439">
        <f>SUM(P96+P103+P107)</f>
        <v>0</v>
      </c>
      <c r="Q170" s="111"/>
      <c r="R170" s="439">
        <f>SUM(R96+R103+R107)</f>
        <v>0</v>
      </c>
      <c r="S170" s="111"/>
      <c r="T170" s="439">
        <f>SUM(T96+T103+T107)</f>
        <v>0</v>
      </c>
      <c r="U170" s="111"/>
      <c r="V170" s="439">
        <f>SUM(V96+V103+V107)</f>
        <v>0</v>
      </c>
    </row>
    <row r="171" spans="1:256" hidden="1" x14ac:dyDescent="0.2">
      <c r="A171" s="83"/>
      <c r="B171" s="84"/>
      <c r="C171" s="84"/>
      <c r="D171" s="87"/>
      <c r="E171" s="84"/>
      <c r="F171" s="87"/>
      <c r="G171" s="84"/>
      <c r="H171" s="87"/>
      <c r="I171" s="84"/>
      <c r="J171" s="87"/>
      <c r="K171" s="84"/>
      <c r="L171" s="87"/>
      <c r="M171" s="84"/>
      <c r="N171" s="87"/>
      <c r="O171" s="84"/>
      <c r="P171" s="87"/>
      <c r="Q171" s="84"/>
      <c r="R171" s="87"/>
      <c r="S171" s="84"/>
      <c r="T171" s="87"/>
      <c r="U171" s="84"/>
      <c r="V171" s="87"/>
    </row>
    <row r="172" spans="1:256" s="114" customFormat="1" hidden="1" x14ac:dyDescent="0.2">
      <c r="A172" s="90" t="s">
        <v>2302</v>
      </c>
      <c r="B172" s="84"/>
      <c r="C172" s="84"/>
      <c r="D172" s="113">
        <f>D106+D144</f>
        <v>0</v>
      </c>
      <c r="E172" s="84"/>
      <c r="F172" s="113">
        <f>F106+F144</f>
        <v>0</v>
      </c>
      <c r="G172" s="84"/>
      <c r="H172" s="113">
        <f>H106+H144</f>
        <v>0</v>
      </c>
      <c r="I172" s="84"/>
      <c r="J172" s="113">
        <f>J106+J144</f>
        <v>0</v>
      </c>
      <c r="K172" s="84"/>
      <c r="L172" s="113">
        <f>L106+L144</f>
        <v>0</v>
      </c>
      <c r="M172" s="84"/>
      <c r="N172" s="113">
        <f>N106+N144</f>
        <v>0</v>
      </c>
      <c r="O172" s="84"/>
      <c r="P172" s="113">
        <f>P106+P144</f>
        <v>0</v>
      </c>
      <c r="Q172" s="84"/>
      <c r="R172" s="113">
        <f>R106+R144</f>
        <v>0</v>
      </c>
      <c r="S172" s="84"/>
      <c r="T172" s="113">
        <f>T106+T144</f>
        <v>0</v>
      </c>
      <c r="U172" s="84"/>
      <c r="V172" s="113">
        <f>V106+V144</f>
        <v>0</v>
      </c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  <c r="BJ172" s="102"/>
      <c r="BK172" s="102"/>
      <c r="BL172" s="102"/>
      <c r="BM172" s="102"/>
      <c r="BN172" s="102"/>
      <c r="BO172" s="102"/>
      <c r="BP172" s="102"/>
      <c r="BQ172" s="102"/>
      <c r="BR172" s="102"/>
      <c r="BS172" s="102"/>
      <c r="BT172" s="102"/>
      <c r="BU172" s="102"/>
      <c r="BV172" s="102"/>
      <c r="BW172" s="102"/>
      <c r="BX172" s="102"/>
      <c r="BY172" s="102"/>
      <c r="BZ172" s="102"/>
      <c r="CA172" s="102"/>
      <c r="CB172" s="102"/>
      <c r="CC172" s="102"/>
      <c r="CD172" s="102"/>
      <c r="CE172" s="102"/>
      <c r="CF172" s="102"/>
      <c r="CG172" s="102"/>
      <c r="CH172" s="102"/>
      <c r="CI172" s="102"/>
      <c r="CJ172" s="102"/>
      <c r="CK172" s="102"/>
      <c r="CL172" s="102"/>
      <c r="CM172" s="102"/>
      <c r="CN172" s="102"/>
      <c r="CO172" s="102"/>
      <c r="CP172" s="102"/>
      <c r="CQ172" s="102"/>
      <c r="CR172" s="102"/>
      <c r="CS172" s="102"/>
      <c r="CT172" s="102"/>
      <c r="CU172" s="102"/>
      <c r="CV172" s="102"/>
      <c r="CW172" s="102"/>
      <c r="CX172" s="102"/>
      <c r="CY172" s="102"/>
      <c r="CZ172" s="102"/>
      <c r="DA172" s="102"/>
      <c r="DB172" s="102"/>
      <c r="DC172" s="102"/>
      <c r="DD172" s="102"/>
      <c r="DE172" s="102"/>
      <c r="DF172" s="102"/>
      <c r="DG172" s="102"/>
      <c r="DH172" s="102"/>
      <c r="DI172" s="102"/>
      <c r="DJ172" s="102"/>
      <c r="DK172" s="102"/>
      <c r="DL172" s="102"/>
      <c r="DM172" s="102"/>
      <c r="DN172" s="102"/>
      <c r="DO172" s="102"/>
      <c r="DP172" s="102"/>
      <c r="DQ172" s="102"/>
      <c r="DR172" s="102"/>
      <c r="DS172" s="102"/>
      <c r="DT172" s="102"/>
      <c r="DU172" s="102"/>
      <c r="DV172" s="102"/>
      <c r="DW172" s="102"/>
      <c r="DX172" s="102"/>
      <c r="DY172" s="102"/>
      <c r="DZ172" s="102"/>
      <c r="EA172" s="102"/>
      <c r="EB172" s="102"/>
      <c r="EC172" s="102"/>
      <c r="ED172" s="102"/>
      <c r="EE172" s="102"/>
      <c r="EF172" s="102"/>
      <c r="EG172" s="102"/>
      <c r="EH172" s="102"/>
      <c r="EI172" s="102"/>
      <c r="EJ172" s="102"/>
      <c r="EK172" s="102"/>
      <c r="EL172" s="102"/>
      <c r="EM172" s="102"/>
      <c r="EN172" s="102"/>
      <c r="EO172" s="102"/>
      <c r="EP172" s="102"/>
      <c r="EQ172" s="102"/>
      <c r="ER172" s="102"/>
      <c r="ES172" s="102"/>
      <c r="ET172" s="102"/>
      <c r="EU172" s="102"/>
      <c r="EV172" s="102"/>
      <c r="EW172" s="102"/>
      <c r="EX172" s="102"/>
      <c r="EY172" s="102"/>
      <c r="EZ172" s="102"/>
      <c r="FA172" s="102"/>
      <c r="FB172" s="102"/>
      <c r="FC172" s="102"/>
      <c r="FD172" s="102"/>
      <c r="FE172" s="102"/>
      <c r="FF172" s="102"/>
      <c r="FG172" s="102"/>
      <c r="FH172" s="102"/>
      <c r="FI172" s="102"/>
      <c r="FJ172" s="102"/>
      <c r="FK172" s="102"/>
      <c r="FL172" s="102"/>
      <c r="FM172" s="102"/>
      <c r="FN172" s="102"/>
      <c r="FO172" s="102"/>
      <c r="FP172" s="102"/>
      <c r="FQ172" s="102"/>
      <c r="FR172" s="102"/>
      <c r="FS172" s="102"/>
      <c r="FT172" s="102"/>
      <c r="FU172" s="102"/>
      <c r="FV172" s="102"/>
      <c r="FW172" s="102"/>
      <c r="FX172" s="102"/>
      <c r="FY172" s="102"/>
      <c r="FZ172" s="102"/>
      <c r="GA172" s="102"/>
      <c r="GB172" s="102"/>
      <c r="GC172" s="102"/>
      <c r="GD172" s="102"/>
      <c r="GE172" s="102"/>
      <c r="GF172" s="102"/>
      <c r="GG172" s="102"/>
      <c r="GH172" s="102"/>
      <c r="GI172" s="102"/>
      <c r="GJ172" s="102"/>
      <c r="GK172" s="102"/>
      <c r="GL172" s="102"/>
      <c r="GM172" s="102"/>
      <c r="GN172" s="102"/>
      <c r="GO172" s="102"/>
      <c r="GP172" s="102"/>
      <c r="GQ172" s="102"/>
      <c r="GR172" s="102"/>
      <c r="GS172" s="102"/>
      <c r="GT172" s="102"/>
      <c r="GU172" s="102"/>
      <c r="GV172" s="102"/>
      <c r="GW172" s="102"/>
      <c r="GX172" s="102"/>
      <c r="GY172" s="102"/>
      <c r="GZ172" s="102"/>
      <c r="HA172" s="102"/>
      <c r="HB172" s="102"/>
      <c r="HC172" s="102"/>
      <c r="HD172" s="102"/>
      <c r="HE172" s="102"/>
      <c r="HF172" s="102"/>
      <c r="HG172" s="102"/>
      <c r="HH172" s="102"/>
      <c r="HI172" s="102"/>
      <c r="HJ172" s="102"/>
      <c r="HK172" s="102"/>
      <c r="HL172" s="102"/>
      <c r="HM172" s="102"/>
      <c r="HN172" s="102"/>
      <c r="HO172" s="102"/>
      <c r="HP172" s="102"/>
      <c r="HQ172" s="102"/>
      <c r="HR172" s="102"/>
      <c r="HS172" s="102"/>
      <c r="HT172" s="102"/>
      <c r="HU172" s="102"/>
      <c r="HV172" s="102"/>
      <c r="HW172" s="102"/>
      <c r="HX172" s="102"/>
      <c r="HY172" s="102"/>
      <c r="HZ172" s="102"/>
      <c r="IA172" s="102"/>
      <c r="IB172" s="102"/>
      <c r="IC172" s="102"/>
      <c r="ID172" s="102"/>
      <c r="IE172" s="102"/>
      <c r="IF172" s="102"/>
      <c r="IG172" s="102"/>
      <c r="IH172" s="102"/>
      <c r="II172" s="102"/>
      <c r="IJ172" s="102"/>
      <c r="IK172" s="102"/>
      <c r="IL172" s="102"/>
      <c r="IM172" s="102"/>
      <c r="IN172" s="102"/>
      <c r="IO172" s="102"/>
      <c r="IP172" s="102"/>
      <c r="IQ172" s="102"/>
      <c r="IR172" s="102"/>
      <c r="IS172" s="102"/>
      <c r="IT172" s="102"/>
      <c r="IU172" s="102"/>
      <c r="IV172" s="102"/>
    </row>
    <row r="173" spans="1:256" s="114" customFormat="1" hidden="1" x14ac:dyDescent="0.2">
      <c r="A173" s="90" t="s">
        <v>2379</v>
      </c>
      <c r="B173" s="84"/>
      <c r="C173" s="84"/>
      <c r="D173" s="87"/>
      <c r="E173" s="85"/>
      <c r="F173" s="88"/>
      <c r="G173" s="84"/>
      <c r="H173" s="87"/>
      <c r="I173" s="84"/>
      <c r="J173" s="87"/>
      <c r="K173" s="84"/>
      <c r="L173" s="87"/>
      <c r="M173" s="84"/>
      <c r="N173" s="87"/>
      <c r="O173" s="84"/>
      <c r="P173" s="87"/>
      <c r="Q173" s="84"/>
      <c r="R173" s="87"/>
      <c r="S173" s="84"/>
      <c r="T173" s="87"/>
      <c r="U173" s="84"/>
      <c r="V173" s="89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  <c r="BS173" s="102"/>
      <c r="BT173" s="102"/>
      <c r="BU173" s="102"/>
      <c r="BV173" s="102"/>
      <c r="BW173" s="102"/>
      <c r="BX173" s="102"/>
      <c r="BY173" s="102"/>
      <c r="BZ173" s="102"/>
      <c r="CA173" s="102"/>
      <c r="CB173" s="102"/>
      <c r="CC173" s="102"/>
      <c r="CD173" s="102"/>
      <c r="CE173" s="102"/>
      <c r="CF173" s="102"/>
      <c r="CG173" s="102"/>
      <c r="CH173" s="102"/>
      <c r="CI173" s="102"/>
      <c r="CJ173" s="102"/>
      <c r="CK173" s="102"/>
      <c r="CL173" s="102"/>
      <c r="CM173" s="102"/>
      <c r="CN173" s="102"/>
      <c r="CO173" s="102"/>
      <c r="CP173" s="102"/>
      <c r="CQ173" s="102"/>
      <c r="CR173" s="102"/>
      <c r="CS173" s="102"/>
      <c r="CT173" s="102"/>
      <c r="CU173" s="102"/>
      <c r="CV173" s="102"/>
      <c r="CW173" s="102"/>
      <c r="CX173" s="102"/>
      <c r="CY173" s="102"/>
      <c r="CZ173" s="102"/>
      <c r="DA173" s="102"/>
      <c r="DB173" s="102"/>
      <c r="DC173" s="102"/>
      <c r="DD173" s="102"/>
      <c r="DE173" s="102"/>
      <c r="DF173" s="102"/>
      <c r="DG173" s="102"/>
      <c r="DH173" s="102"/>
      <c r="DI173" s="102"/>
      <c r="DJ173" s="102"/>
      <c r="DK173" s="102"/>
      <c r="DL173" s="102"/>
      <c r="DM173" s="102"/>
      <c r="DN173" s="102"/>
      <c r="DO173" s="102"/>
      <c r="DP173" s="102"/>
      <c r="DQ173" s="102"/>
      <c r="DR173" s="102"/>
      <c r="DS173" s="102"/>
      <c r="DT173" s="102"/>
      <c r="DU173" s="102"/>
      <c r="DV173" s="102"/>
      <c r="DW173" s="102"/>
      <c r="DX173" s="102"/>
      <c r="DY173" s="102"/>
      <c r="DZ173" s="102"/>
      <c r="EA173" s="102"/>
      <c r="EB173" s="102"/>
      <c r="EC173" s="102"/>
      <c r="ED173" s="102"/>
      <c r="EE173" s="102"/>
      <c r="EF173" s="102"/>
      <c r="EG173" s="102"/>
      <c r="EH173" s="102"/>
      <c r="EI173" s="102"/>
      <c r="EJ173" s="102"/>
      <c r="EK173" s="102"/>
      <c r="EL173" s="102"/>
      <c r="EM173" s="102"/>
      <c r="EN173" s="102"/>
      <c r="EO173" s="102"/>
      <c r="EP173" s="102"/>
      <c r="EQ173" s="102"/>
      <c r="ER173" s="102"/>
      <c r="ES173" s="102"/>
      <c r="ET173" s="102"/>
      <c r="EU173" s="102"/>
      <c r="EV173" s="102"/>
      <c r="EW173" s="102"/>
      <c r="EX173" s="102"/>
      <c r="EY173" s="102"/>
      <c r="EZ173" s="102"/>
      <c r="FA173" s="102"/>
      <c r="FB173" s="102"/>
      <c r="FC173" s="102"/>
      <c r="FD173" s="102"/>
      <c r="FE173" s="102"/>
      <c r="FF173" s="102"/>
      <c r="FG173" s="102"/>
      <c r="FH173" s="102"/>
      <c r="FI173" s="102"/>
      <c r="FJ173" s="102"/>
      <c r="FK173" s="102"/>
      <c r="FL173" s="102"/>
      <c r="FM173" s="102"/>
      <c r="FN173" s="102"/>
      <c r="FO173" s="102"/>
      <c r="FP173" s="102"/>
      <c r="FQ173" s="102"/>
      <c r="FR173" s="102"/>
      <c r="FS173" s="102"/>
      <c r="FT173" s="102"/>
      <c r="FU173" s="102"/>
      <c r="FV173" s="102"/>
      <c r="FW173" s="102"/>
      <c r="FX173" s="102"/>
      <c r="FY173" s="102"/>
      <c r="FZ173" s="102"/>
      <c r="GA173" s="102"/>
      <c r="GB173" s="102"/>
      <c r="GC173" s="102"/>
      <c r="GD173" s="102"/>
      <c r="GE173" s="102"/>
      <c r="GF173" s="102"/>
      <c r="GG173" s="102"/>
      <c r="GH173" s="102"/>
      <c r="GI173" s="102"/>
      <c r="GJ173" s="102"/>
      <c r="GK173" s="102"/>
      <c r="GL173" s="102"/>
      <c r="GM173" s="102"/>
      <c r="GN173" s="102"/>
      <c r="GO173" s="102"/>
      <c r="GP173" s="102"/>
      <c r="GQ173" s="102"/>
      <c r="GR173" s="102"/>
      <c r="GS173" s="102"/>
      <c r="GT173" s="102"/>
      <c r="GU173" s="102"/>
      <c r="GV173" s="102"/>
      <c r="GW173" s="102"/>
      <c r="GX173" s="102"/>
      <c r="GY173" s="102"/>
      <c r="GZ173" s="102"/>
      <c r="HA173" s="102"/>
      <c r="HB173" s="102"/>
      <c r="HC173" s="102"/>
      <c r="HD173" s="102"/>
      <c r="HE173" s="102"/>
      <c r="HF173" s="102"/>
      <c r="HG173" s="102"/>
      <c r="HH173" s="102"/>
      <c r="HI173" s="102"/>
      <c r="HJ173" s="102"/>
      <c r="HK173" s="102"/>
      <c r="HL173" s="102"/>
      <c r="HM173" s="102"/>
      <c r="HN173" s="102"/>
      <c r="HO173" s="102"/>
      <c r="HP173" s="102"/>
      <c r="HQ173" s="102"/>
      <c r="HR173" s="102"/>
      <c r="HS173" s="102"/>
      <c r="HT173" s="102"/>
      <c r="HU173" s="102"/>
      <c r="HV173" s="102"/>
      <c r="HW173" s="102"/>
      <c r="HX173" s="102"/>
      <c r="HY173" s="102"/>
      <c r="HZ173" s="102"/>
      <c r="IA173" s="102"/>
      <c r="IB173" s="102"/>
      <c r="IC173" s="102"/>
      <c r="ID173" s="102"/>
      <c r="IE173" s="102"/>
      <c r="IF173" s="102"/>
      <c r="IG173" s="102"/>
      <c r="IH173" s="102"/>
      <c r="II173" s="102"/>
      <c r="IJ173" s="102"/>
      <c r="IK173" s="102"/>
      <c r="IL173" s="102"/>
      <c r="IM173" s="102"/>
      <c r="IN173" s="102"/>
      <c r="IO173" s="102"/>
      <c r="IP173" s="102"/>
      <c r="IQ173" s="102"/>
      <c r="IR173" s="102"/>
      <c r="IS173" s="102"/>
      <c r="IT173" s="102"/>
      <c r="IU173" s="102"/>
      <c r="IV173" s="102"/>
    </row>
    <row r="174" spans="1:256" s="114" customFormat="1" ht="13.5" hidden="1" thickBot="1" x14ac:dyDescent="0.25">
      <c r="A174" s="90" t="s">
        <v>2380</v>
      </c>
      <c r="B174" s="84"/>
      <c r="C174" s="84"/>
      <c r="D174" s="87"/>
      <c r="E174" s="85"/>
      <c r="F174" s="88"/>
      <c r="G174" s="84"/>
      <c r="H174" s="87"/>
      <c r="I174" s="84"/>
      <c r="J174" s="87"/>
      <c r="K174" s="84"/>
      <c r="L174" s="87"/>
      <c r="M174" s="84"/>
      <c r="N174" s="87"/>
      <c r="O174" s="84"/>
      <c r="P174" s="87"/>
      <c r="Q174" s="84"/>
      <c r="R174" s="87"/>
      <c r="S174" s="84"/>
      <c r="T174" s="87"/>
      <c r="U174" s="84"/>
      <c r="V174" s="89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  <c r="BJ174" s="102"/>
      <c r="BK174" s="102"/>
      <c r="BL174" s="102"/>
      <c r="BM174" s="102"/>
      <c r="BN174" s="102"/>
      <c r="BO174" s="102"/>
      <c r="BP174" s="102"/>
      <c r="BQ174" s="102"/>
      <c r="BR174" s="102"/>
      <c r="BS174" s="102"/>
      <c r="BT174" s="102"/>
      <c r="BU174" s="102"/>
      <c r="BV174" s="102"/>
      <c r="BW174" s="102"/>
      <c r="BX174" s="102"/>
      <c r="BY174" s="102"/>
      <c r="BZ174" s="102"/>
      <c r="CA174" s="102"/>
      <c r="CB174" s="102"/>
      <c r="CC174" s="102"/>
      <c r="CD174" s="102"/>
      <c r="CE174" s="102"/>
      <c r="CF174" s="102"/>
      <c r="CG174" s="102"/>
      <c r="CH174" s="102"/>
      <c r="CI174" s="102"/>
      <c r="CJ174" s="102"/>
      <c r="CK174" s="102"/>
      <c r="CL174" s="102"/>
      <c r="CM174" s="102"/>
      <c r="CN174" s="102"/>
      <c r="CO174" s="102"/>
      <c r="CP174" s="102"/>
      <c r="CQ174" s="102"/>
      <c r="CR174" s="102"/>
      <c r="CS174" s="102"/>
      <c r="CT174" s="102"/>
      <c r="CU174" s="102"/>
      <c r="CV174" s="102"/>
      <c r="CW174" s="102"/>
      <c r="CX174" s="102"/>
      <c r="CY174" s="102"/>
      <c r="CZ174" s="102"/>
      <c r="DA174" s="102"/>
      <c r="DB174" s="102"/>
      <c r="DC174" s="102"/>
      <c r="DD174" s="102"/>
      <c r="DE174" s="102"/>
      <c r="DF174" s="102"/>
      <c r="DG174" s="102"/>
      <c r="DH174" s="102"/>
      <c r="DI174" s="102"/>
      <c r="DJ174" s="102"/>
      <c r="DK174" s="102"/>
      <c r="DL174" s="102"/>
      <c r="DM174" s="102"/>
      <c r="DN174" s="102"/>
      <c r="DO174" s="102"/>
      <c r="DP174" s="102"/>
      <c r="DQ174" s="102"/>
      <c r="DR174" s="102"/>
      <c r="DS174" s="102"/>
      <c r="DT174" s="102"/>
      <c r="DU174" s="102"/>
      <c r="DV174" s="102"/>
      <c r="DW174" s="102"/>
      <c r="DX174" s="102"/>
      <c r="DY174" s="102"/>
      <c r="DZ174" s="102"/>
      <c r="EA174" s="102"/>
      <c r="EB174" s="102"/>
      <c r="EC174" s="102"/>
      <c r="ED174" s="102"/>
      <c r="EE174" s="102"/>
      <c r="EF174" s="102"/>
      <c r="EG174" s="102"/>
      <c r="EH174" s="102"/>
      <c r="EI174" s="102"/>
      <c r="EJ174" s="102"/>
      <c r="EK174" s="102"/>
      <c r="EL174" s="102"/>
      <c r="EM174" s="102"/>
      <c r="EN174" s="102"/>
      <c r="EO174" s="102"/>
      <c r="EP174" s="102"/>
      <c r="EQ174" s="102"/>
      <c r="ER174" s="102"/>
      <c r="ES174" s="102"/>
      <c r="ET174" s="102"/>
      <c r="EU174" s="102"/>
      <c r="EV174" s="102"/>
      <c r="EW174" s="102"/>
      <c r="EX174" s="102"/>
      <c r="EY174" s="102"/>
      <c r="EZ174" s="102"/>
      <c r="FA174" s="102"/>
      <c r="FB174" s="102"/>
      <c r="FC174" s="102"/>
      <c r="FD174" s="102"/>
      <c r="FE174" s="102"/>
      <c r="FF174" s="102"/>
      <c r="FG174" s="102"/>
      <c r="FH174" s="102"/>
      <c r="FI174" s="102"/>
      <c r="FJ174" s="102"/>
      <c r="FK174" s="102"/>
      <c r="FL174" s="102"/>
      <c r="FM174" s="102"/>
      <c r="FN174" s="102"/>
      <c r="FO174" s="102"/>
      <c r="FP174" s="102"/>
      <c r="FQ174" s="102"/>
      <c r="FR174" s="102"/>
      <c r="FS174" s="102"/>
      <c r="FT174" s="102"/>
      <c r="FU174" s="102"/>
      <c r="FV174" s="102"/>
      <c r="FW174" s="102"/>
      <c r="FX174" s="102"/>
      <c r="FY174" s="102"/>
      <c r="FZ174" s="102"/>
      <c r="GA174" s="102"/>
      <c r="GB174" s="102"/>
      <c r="GC174" s="102"/>
      <c r="GD174" s="102"/>
      <c r="GE174" s="102"/>
      <c r="GF174" s="102"/>
      <c r="GG174" s="102"/>
      <c r="GH174" s="102"/>
      <c r="GI174" s="102"/>
      <c r="GJ174" s="102"/>
      <c r="GK174" s="102"/>
      <c r="GL174" s="102"/>
      <c r="GM174" s="102"/>
      <c r="GN174" s="102"/>
      <c r="GO174" s="102"/>
      <c r="GP174" s="102"/>
      <c r="GQ174" s="102"/>
      <c r="GR174" s="102"/>
      <c r="GS174" s="102"/>
      <c r="GT174" s="102"/>
      <c r="GU174" s="102"/>
      <c r="GV174" s="102"/>
      <c r="GW174" s="102"/>
      <c r="GX174" s="102"/>
      <c r="GY174" s="102"/>
      <c r="GZ174" s="102"/>
      <c r="HA174" s="102"/>
      <c r="HB174" s="102"/>
      <c r="HC174" s="102"/>
      <c r="HD174" s="102"/>
      <c r="HE174" s="102"/>
      <c r="HF174" s="102"/>
      <c r="HG174" s="102"/>
      <c r="HH174" s="102"/>
      <c r="HI174" s="102"/>
      <c r="HJ174" s="102"/>
      <c r="HK174" s="102"/>
      <c r="HL174" s="102"/>
      <c r="HM174" s="102"/>
      <c r="HN174" s="102"/>
      <c r="HO174" s="102"/>
      <c r="HP174" s="102"/>
      <c r="HQ174" s="102"/>
      <c r="HR174" s="102"/>
      <c r="HS174" s="102"/>
      <c r="HT174" s="102"/>
      <c r="HU174" s="102"/>
      <c r="HV174" s="102"/>
      <c r="HW174" s="102"/>
      <c r="HX174" s="102"/>
      <c r="HY174" s="102"/>
      <c r="HZ174" s="102"/>
      <c r="IA174" s="102"/>
      <c r="IB174" s="102"/>
      <c r="IC174" s="102"/>
      <c r="ID174" s="102"/>
      <c r="IE174" s="102"/>
      <c r="IF174" s="102"/>
      <c r="IG174" s="102"/>
      <c r="IH174" s="102"/>
      <c r="II174" s="102"/>
      <c r="IJ174" s="102"/>
      <c r="IK174" s="102"/>
      <c r="IL174" s="102"/>
      <c r="IM174" s="102"/>
      <c r="IN174" s="102"/>
      <c r="IO174" s="102"/>
      <c r="IP174" s="102"/>
      <c r="IQ174" s="102"/>
      <c r="IR174" s="102"/>
      <c r="IS174" s="102"/>
      <c r="IT174" s="102"/>
      <c r="IU174" s="102"/>
      <c r="IV174" s="102"/>
    </row>
    <row r="175" spans="1:256" ht="28.9" hidden="1" customHeight="1" thickBot="1" x14ac:dyDescent="0.3">
      <c r="A175" s="115" t="s">
        <v>2406</v>
      </c>
      <c r="B175" s="148">
        <f>SUM(D172:V172)</f>
        <v>0</v>
      </c>
      <c r="C175" s="116"/>
      <c r="D175" s="117"/>
      <c r="E175" s="118"/>
      <c r="F175" s="119"/>
      <c r="G175" s="116"/>
      <c r="H175" s="117"/>
      <c r="I175" s="116"/>
      <c r="J175" s="117"/>
      <c r="K175" s="116"/>
      <c r="L175" s="117"/>
      <c r="M175" s="116"/>
      <c r="N175" s="117"/>
      <c r="O175" s="116"/>
      <c r="P175" s="117"/>
      <c r="Q175" s="116"/>
      <c r="R175" s="117"/>
      <c r="S175" s="116"/>
      <c r="T175" s="117"/>
      <c r="U175" s="116"/>
      <c r="V175" s="120"/>
    </row>
    <row r="176" spans="1:256" ht="28.9" hidden="1" customHeight="1" thickBot="1" x14ac:dyDescent="0.3">
      <c r="B176" s="420"/>
      <c r="C176" s="118"/>
      <c r="D176" s="119"/>
      <c r="F176" s="88"/>
      <c r="H176" s="88"/>
      <c r="J176" s="88"/>
      <c r="L176" s="88"/>
      <c r="N176" s="88"/>
      <c r="P176" s="88"/>
      <c r="R176" s="88"/>
      <c r="T176" s="88"/>
      <c r="V176" s="89"/>
    </row>
    <row r="177" spans="1:22" ht="13.5" hidden="1" thickBot="1" x14ac:dyDescent="0.25">
      <c r="A177" s="421" t="s">
        <v>2301</v>
      </c>
      <c r="B177" s="422"/>
      <c r="C177" s="423"/>
      <c r="D177" s="424"/>
      <c r="E177" s="422"/>
      <c r="F177" s="425"/>
      <c r="G177" s="422"/>
      <c r="H177" s="425"/>
      <c r="I177" s="422"/>
      <c r="J177" s="425"/>
      <c r="K177" s="422"/>
      <c r="L177" s="425"/>
      <c r="M177" s="422"/>
      <c r="N177" s="425"/>
      <c r="O177" s="422"/>
      <c r="P177" s="425"/>
      <c r="Q177" s="422"/>
      <c r="R177" s="425"/>
      <c r="S177" s="422"/>
      <c r="T177" s="425"/>
      <c r="U177" s="422"/>
      <c r="V177" s="426"/>
    </row>
    <row r="178" spans="1:22" hidden="1" x14ac:dyDescent="0.2">
      <c r="A178" s="110" t="s">
        <v>1158</v>
      </c>
      <c r="B178" s="93"/>
      <c r="C178" s="84"/>
      <c r="D178" s="113">
        <f>D140</f>
        <v>0</v>
      </c>
      <c r="E178" s="84"/>
      <c r="F178" s="113">
        <f>F140</f>
        <v>0</v>
      </c>
      <c r="G178" s="84"/>
      <c r="H178" s="113">
        <f>H140</f>
        <v>0</v>
      </c>
      <c r="I178" s="84"/>
      <c r="J178" s="113">
        <f>J140</f>
        <v>0</v>
      </c>
      <c r="K178" s="84"/>
      <c r="L178" s="113">
        <f>L140</f>
        <v>0</v>
      </c>
      <c r="M178" s="84"/>
      <c r="N178" s="113">
        <f>N140</f>
        <v>0</v>
      </c>
      <c r="O178" s="84"/>
      <c r="P178" s="113">
        <f>P140</f>
        <v>0</v>
      </c>
      <c r="Q178" s="84"/>
      <c r="R178" s="113">
        <f>R140</f>
        <v>0</v>
      </c>
      <c r="S178" s="84"/>
      <c r="T178" s="113">
        <f>T140</f>
        <v>0</v>
      </c>
      <c r="U178" s="84"/>
      <c r="V178" s="113">
        <f>V140</f>
        <v>0</v>
      </c>
    </row>
    <row r="179" spans="1:22" hidden="1" x14ac:dyDescent="0.2">
      <c r="A179" s="110" t="s">
        <v>2303</v>
      </c>
      <c r="B179" s="93"/>
      <c r="C179" s="84"/>
      <c r="D179" s="113">
        <f>D178</f>
        <v>0</v>
      </c>
      <c r="E179" s="84"/>
      <c r="F179" s="113">
        <f>F178</f>
        <v>0</v>
      </c>
      <c r="G179" s="84"/>
      <c r="H179" s="113">
        <f>H178</f>
        <v>0</v>
      </c>
      <c r="I179" s="84"/>
      <c r="J179" s="113">
        <f>J178</f>
        <v>0</v>
      </c>
      <c r="K179" s="84"/>
      <c r="L179" s="113">
        <f>L178</f>
        <v>0</v>
      </c>
      <c r="M179" s="84"/>
      <c r="N179" s="113">
        <f>N178</f>
        <v>0</v>
      </c>
      <c r="O179" s="84"/>
      <c r="P179" s="113">
        <f>P178</f>
        <v>0</v>
      </c>
      <c r="Q179" s="84"/>
      <c r="R179" s="113">
        <f>R178</f>
        <v>0</v>
      </c>
      <c r="S179" s="84"/>
      <c r="T179" s="113">
        <f>T178</f>
        <v>0</v>
      </c>
      <c r="U179" s="84"/>
      <c r="V179" s="113">
        <f>V178</f>
        <v>0</v>
      </c>
    </row>
    <row r="180" spans="1:22" hidden="1" x14ac:dyDescent="0.2">
      <c r="A180" s="825" t="s">
        <v>2305</v>
      </c>
      <c r="B180" s="276">
        <f>SUM(C120+E120+G120+I120+K120+M120+O120+Q120+S120+U120)</f>
        <v>0</v>
      </c>
      <c r="C180" s="84"/>
      <c r="D180" s="87"/>
      <c r="E180" s="84"/>
      <c r="F180" s="87"/>
      <c r="G180" s="84"/>
      <c r="H180" s="87"/>
      <c r="I180" s="84"/>
      <c r="J180" s="87"/>
      <c r="K180" s="84"/>
      <c r="L180" s="87"/>
      <c r="M180" s="84"/>
      <c r="N180" s="87"/>
      <c r="O180" s="84"/>
      <c r="P180" s="87"/>
      <c r="Q180" s="84"/>
      <c r="R180" s="87"/>
      <c r="S180" s="84"/>
      <c r="T180" s="87"/>
      <c r="U180" s="84"/>
      <c r="V180" s="87"/>
    </row>
    <row r="181" spans="1:22" hidden="1" x14ac:dyDescent="0.2">
      <c r="A181" s="825" t="s">
        <v>2306</v>
      </c>
      <c r="B181" s="276">
        <f>SUM(C121+E121+G121+I121+K121+M121+O121+Q121+S121+U121)</f>
        <v>0</v>
      </c>
      <c r="C181" s="84"/>
      <c r="D181" s="87"/>
      <c r="E181" s="84"/>
      <c r="F181" s="87"/>
      <c r="G181" s="84"/>
      <c r="H181" s="87"/>
      <c r="I181" s="84"/>
      <c r="J181" s="87"/>
      <c r="K181" s="84"/>
      <c r="L181" s="87"/>
      <c r="M181" s="84"/>
      <c r="N181" s="87"/>
      <c r="O181" s="84"/>
      <c r="P181" s="87"/>
      <c r="Q181" s="84"/>
      <c r="R181" s="87"/>
      <c r="S181" s="84"/>
      <c r="T181" s="87"/>
      <c r="U181" s="84"/>
      <c r="V181" s="87"/>
    </row>
    <row r="182" spans="1:22" hidden="1" x14ac:dyDescent="0.2">
      <c r="A182" s="825" t="s">
        <v>1166</v>
      </c>
      <c r="B182" s="276">
        <f>SUM(C122+E122+G122+I122+K122+M122+O122+Q122+S122+U122)</f>
        <v>0</v>
      </c>
      <c r="C182" s="84"/>
      <c r="D182" s="87"/>
      <c r="E182" s="84"/>
      <c r="F182" s="87"/>
      <c r="G182" s="84"/>
      <c r="H182" s="87"/>
      <c r="I182" s="84"/>
      <c r="J182" s="87"/>
      <c r="K182" s="84"/>
      <c r="L182" s="87"/>
      <c r="M182" s="84"/>
      <c r="N182" s="87"/>
      <c r="O182" s="84"/>
      <c r="P182" s="87"/>
      <c r="Q182" s="84"/>
      <c r="R182" s="87"/>
      <c r="S182" s="84"/>
      <c r="T182" s="87"/>
      <c r="U182" s="84"/>
      <c r="V182" s="87"/>
    </row>
    <row r="183" spans="1:22" ht="13.5" hidden="1" thickBot="1" x14ac:dyDescent="0.25">
      <c r="A183" s="90" t="s">
        <v>2304</v>
      </c>
      <c r="B183" s="84"/>
      <c r="C183" s="84"/>
      <c r="D183" s="113">
        <f>D143</f>
        <v>0</v>
      </c>
      <c r="E183" s="84"/>
      <c r="F183" s="113">
        <f>F143</f>
        <v>0</v>
      </c>
      <c r="G183" s="84"/>
      <c r="H183" s="113">
        <f>H143</f>
        <v>0</v>
      </c>
      <c r="I183" s="84"/>
      <c r="J183" s="113">
        <f>J143</f>
        <v>0</v>
      </c>
      <c r="K183" s="84"/>
      <c r="L183" s="113">
        <f>L143</f>
        <v>0</v>
      </c>
      <c r="M183" s="84"/>
      <c r="N183" s="113">
        <f>N143</f>
        <v>0</v>
      </c>
      <c r="O183" s="84"/>
      <c r="P183" s="113">
        <f>P143</f>
        <v>0</v>
      </c>
      <c r="Q183" s="84"/>
      <c r="R183" s="113">
        <f>R143</f>
        <v>0</v>
      </c>
      <c r="S183" s="84"/>
      <c r="T183" s="113">
        <f>T143</f>
        <v>0</v>
      </c>
      <c r="U183" s="84"/>
      <c r="V183" s="113">
        <f>V143</f>
        <v>0</v>
      </c>
    </row>
    <row r="184" spans="1:22" ht="16.5" hidden="1" thickBot="1" x14ac:dyDescent="0.3">
      <c r="A184" s="115" t="s">
        <v>1162</v>
      </c>
      <c r="B184" s="149">
        <f>SUM(C183:V183)</f>
        <v>0</v>
      </c>
      <c r="C184" s="116"/>
      <c r="D184" s="119"/>
      <c r="E184" s="118"/>
      <c r="F184" s="119"/>
      <c r="G184" s="116"/>
      <c r="H184" s="117"/>
      <c r="I184" s="116"/>
      <c r="J184" s="117"/>
      <c r="K184" s="116"/>
      <c r="L184" s="117"/>
      <c r="M184" s="116"/>
      <c r="N184" s="117"/>
      <c r="O184" s="116"/>
      <c r="P184" s="117"/>
      <c r="Q184" s="116"/>
      <c r="R184" s="117"/>
      <c r="S184" s="116"/>
      <c r="T184" s="117"/>
      <c r="U184" s="116"/>
      <c r="V184" s="120"/>
    </row>
    <row r="186" spans="1:22" ht="13.5" thickBot="1" x14ac:dyDescent="0.25">
      <c r="A186" s="1" t="s">
        <v>866</v>
      </c>
      <c r="B186" t="s">
        <v>867</v>
      </c>
      <c r="C186" s="102" t="s">
        <v>551</v>
      </c>
      <c r="D186" t="s">
        <v>868</v>
      </c>
      <c r="J186" s="852" t="str">
        <f>impianto!R2</f>
        <v>Standard</v>
      </c>
      <c r="K186" s="852" t="str">
        <f>impianto!R3</f>
        <v>Corto</v>
      </c>
      <c r="L186" s="854" t="str">
        <f>impianto!R4</f>
        <v>lungo</v>
      </c>
    </row>
    <row r="187" spans="1:22" x14ac:dyDescent="0.2">
      <c r="A187" s="1" t="s">
        <v>552</v>
      </c>
      <c r="B187" s="100">
        <f>IF(H187=J$186,J187,IF(H187=K$186,K187,IF(H187=L$186,L187,0)))</f>
        <v>110</v>
      </c>
      <c r="C187" s="829">
        <f>impianto!DZ195</f>
        <v>0</v>
      </c>
      <c r="D187">
        <f>B187*C187</f>
        <v>0</v>
      </c>
      <c r="F187" s="123">
        <f>IF(impianto!$X$8="si",quadro!D187,0)</f>
        <v>0</v>
      </c>
      <c r="H187" s="123" t="str">
        <f>impianto!X7</f>
        <v>Standard</v>
      </c>
      <c r="J187" s="123">
        <v>110</v>
      </c>
      <c r="K187" s="85">
        <v>90</v>
      </c>
      <c r="L187" s="123">
        <v>130</v>
      </c>
    </row>
    <row r="188" spans="1:22" x14ac:dyDescent="0.2">
      <c r="A188" s="1" t="s">
        <v>553</v>
      </c>
      <c r="B188" s="100">
        <f>IF(H188=J$186,J188,IF(H188=K$186,K188,IF(H188=L$186,L188,0)))</f>
        <v>85</v>
      </c>
      <c r="C188" s="829">
        <f>impianto!EA195</f>
        <v>0</v>
      </c>
      <c r="D188">
        <f>B188*C188</f>
        <v>0</v>
      </c>
      <c r="F188" s="123">
        <f>IF(impianto!$X$8="si",quadro!D188,0)</f>
        <v>0</v>
      </c>
      <c r="H188" s="123" t="str">
        <f>impianto!X7</f>
        <v>Standard</v>
      </c>
      <c r="J188" s="123">
        <v>85</v>
      </c>
      <c r="K188" s="85">
        <v>70</v>
      </c>
      <c r="L188" s="123">
        <v>100</v>
      </c>
    </row>
    <row r="189" spans="1:22" x14ac:dyDescent="0.2">
      <c r="A189" s="1" t="s">
        <v>1024</v>
      </c>
      <c r="B189" s="100">
        <f>IF(H189=J$186,J189,IF(H189=K$186,K189,IF(H189=L$186,L189,0)))</f>
        <v>12</v>
      </c>
      <c r="C189">
        <f>impianto!A201*20</f>
        <v>0</v>
      </c>
      <c r="D189">
        <f>B189*C189</f>
        <v>0</v>
      </c>
      <c r="F189" s="123">
        <f>IF(impianto!$AB$8="si",quadro!D189,0)</f>
        <v>0</v>
      </c>
      <c r="H189" s="123" t="str">
        <f>impianto!AB7</f>
        <v>Standard</v>
      </c>
      <c r="J189" s="123">
        <v>12</v>
      </c>
      <c r="K189" s="85">
        <v>11</v>
      </c>
      <c r="L189" s="123">
        <v>15</v>
      </c>
    </row>
    <row r="190" spans="1:22" x14ac:dyDescent="0.2">
      <c r="A190" s="1"/>
      <c r="B190"/>
      <c r="C190"/>
      <c r="D190"/>
    </row>
    <row r="191" spans="1:22" x14ac:dyDescent="0.2">
      <c r="A191" s="1" t="s">
        <v>868</v>
      </c>
      <c r="B191"/>
      <c r="C191"/>
      <c r="D191" s="830">
        <f>SUM(D187:D190)</f>
        <v>0</v>
      </c>
      <c r="F191" s="830">
        <f>SUM(F187:F190)</f>
        <v>0</v>
      </c>
    </row>
    <row r="192" spans="1:22" hidden="1" x14ac:dyDescent="0.2"/>
    <row r="193" spans="1:22" ht="15" hidden="1" customHeight="1" thickBot="1" x14ac:dyDescent="0.25">
      <c r="B193" s="102"/>
      <c r="C193" s="85">
        <f>SUM(C120:C120)</f>
        <v>0</v>
      </c>
      <c r="E193" s="85">
        <f>SUM(E120:E120)</f>
        <v>0</v>
      </c>
      <c r="G193" s="85">
        <f>SUM(G120:G120)</f>
        <v>0</v>
      </c>
      <c r="I193" s="85">
        <f>SUM(I120:I120)</f>
        <v>0</v>
      </c>
      <c r="K193" s="85">
        <f>SUM(K120:K120)</f>
        <v>0</v>
      </c>
      <c r="M193" s="85">
        <f>SUM(M120:M120)</f>
        <v>0</v>
      </c>
      <c r="O193" s="85">
        <f>SUM(O120:O120)</f>
        <v>0</v>
      </c>
      <c r="Q193" s="85">
        <f>SUM(Q120:Q120)</f>
        <v>0</v>
      </c>
      <c r="S193" s="85">
        <f>SUM(S120:S120)</f>
        <v>0</v>
      </c>
      <c r="U193" s="85">
        <f>SUM(U120:U120)</f>
        <v>0</v>
      </c>
    </row>
    <row r="194" spans="1:22" ht="13.5" hidden="1" thickBot="1" x14ac:dyDescent="0.25">
      <c r="A194" s="122" t="s">
        <v>2238</v>
      </c>
      <c r="B194" s="304">
        <f>SUM(C194:V194)</f>
        <v>0</v>
      </c>
      <c r="C194" s="302"/>
      <c r="D194" s="303">
        <f>SUM(D29:D48)</f>
        <v>0</v>
      </c>
      <c r="E194" s="302"/>
      <c r="F194" s="303">
        <f>SUM(F29:F48)</f>
        <v>0</v>
      </c>
      <c r="G194" s="302"/>
      <c r="H194" s="303">
        <f>SUM(H29:H48)</f>
        <v>0</v>
      </c>
      <c r="I194" s="302"/>
      <c r="J194" s="303">
        <f>SUM(J29:J48)</f>
        <v>0</v>
      </c>
      <c r="K194" s="302"/>
      <c r="L194" s="303">
        <f>SUM(L29:L48)</f>
        <v>0</v>
      </c>
      <c r="M194" s="302"/>
      <c r="N194" s="303">
        <f>SUM(N29:N48)</f>
        <v>0</v>
      </c>
      <c r="O194" s="302"/>
      <c r="P194" s="303">
        <f>SUM(P29:P48)</f>
        <v>0</v>
      </c>
      <c r="Q194" s="302"/>
      <c r="R194" s="303">
        <f>SUM(R29:R48)</f>
        <v>0</v>
      </c>
      <c r="S194" s="302"/>
      <c r="T194" s="303">
        <f>SUM(T29:T48)</f>
        <v>0</v>
      </c>
      <c r="U194" s="302"/>
      <c r="V194" s="303">
        <f>SUM(V29:V48)</f>
        <v>0</v>
      </c>
    </row>
    <row r="195" spans="1:22" hidden="1" x14ac:dyDescent="0.2">
      <c r="B195" s="102"/>
    </row>
    <row r="196" spans="1:22" hidden="1" x14ac:dyDescent="0.2">
      <c r="A196" s="122" t="s">
        <v>2239</v>
      </c>
      <c r="B196" s="305">
        <f>SUM(C196:U196)</f>
        <v>0</v>
      </c>
      <c r="C196" s="305">
        <f>SUM(C110:C119)</f>
        <v>0</v>
      </c>
      <c r="E196" s="305">
        <f>SUM(E110:E119)</f>
        <v>0</v>
      </c>
      <c r="G196" s="305">
        <f>SUM(G110:G119)</f>
        <v>0</v>
      </c>
      <c r="I196" s="305">
        <f>SUM(I110:I119)</f>
        <v>0</v>
      </c>
      <c r="K196" s="305">
        <f>SUM(K110:K119)</f>
        <v>0</v>
      </c>
      <c r="M196" s="305">
        <f>SUM(M110:M119)</f>
        <v>0</v>
      </c>
      <c r="O196" s="305">
        <f>SUM(O110:O119)</f>
        <v>0</v>
      </c>
      <c r="Q196" s="305">
        <f>SUM(Q110:Q119)</f>
        <v>0</v>
      </c>
      <c r="S196" s="305">
        <f>SUM(S110:S119)</f>
        <v>0</v>
      </c>
      <c r="U196" s="305">
        <f>SUM(U110:U119)</f>
        <v>0</v>
      </c>
    </row>
    <row r="197" spans="1:22" hidden="1" x14ac:dyDescent="0.2"/>
    <row r="198" spans="1:22" hidden="1" x14ac:dyDescent="0.2"/>
  </sheetData>
  <sheetProtection password="C71F" sheet="1" objects="1" scenarios="1"/>
  <customSheetViews>
    <customSheetView guid="{FFF8F457-6B9E-424E-8E8A-94E56AA6D66B}" fitToPage="1" hiddenRows="1" showRuler="0">
      <pane xSplit="2" ySplit="2" topLeftCell="C3" activePane="bottomRight" state="frozenSplit"/>
      <selection pane="bottomRight" activeCell="C110" sqref="C110:V110"/>
      <colBreaks count="1" manualBreakCount="1">
        <brk id="6" max="1048575" man="1"/>
      </colBreaks>
      <pageMargins left="0.23622047244094491" right="0.19685039370078741" top="0.39370078740157483" bottom="0.39370078740157483" header="0.19685039370078741" footer="0.23622047244094491"/>
      <printOptions horizontalCentered="1"/>
      <pageSetup paperSize="9" scale="35" orientation="portrait" horizontalDpi="300" r:id="rId1"/>
      <headerFooter alignWithMargins="0"/>
    </customSheetView>
  </customSheetViews>
  <phoneticPr fontId="0" type="noConversion"/>
  <conditionalFormatting sqref="B167:B168 B106 B60:B89 B130:B160 B110:B122 B187:B189">
    <cfRule type="cellIs" dxfId="31" priority="91" stopIfTrue="1" operator="greaterThan">
      <formula>0</formula>
    </cfRule>
  </conditionalFormatting>
  <conditionalFormatting sqref="A181 A121 A128">
    <cfRule type="expression" dxfId="30" priority="75">
      <formula>$B$109&lt;&gt;4</formula>
    </cfRule>
    <cfRule type="expression" dxfId="29" priority="76">
      <formula>$B$109=4</formula>
    </cfRule>
  </conditionalFormatting>
  <conditionalFormatting sqref="A180 A120 A127">
    <cfRule type="expression" dxfId="28" priority="73">
      <formula>$B$109&lt;&gt;3</formula>
    </cfRule>
    <cfRule type="expression" dxfId="27" priority="74">
      <formula>$B$109=3</formula>
    </cfRule>
  </conditionalFormatting>
  <conditionalFormatting sqref="A182 A122:A123 A129">
    <cfRule type="expression" dxfId="26" priority="71">
      <formula>$B$109&lt;&gt;5</formula>
    </cfRule>
    <cfRule type="expression" dxfId="25" priority="72">
      <formula>$B$109=5</formula>
    </cfRule>
  </conditionalFormatting>
  <conditionalFormatting sqref="A147:A151 A162">
    <cfRule type="expression" dxfId="24" priority="45">
      <formula>$B$146&lt;&gt;1</formula>
    </cfRule>
    <cfRule type="expression" dxfId="23" priority="46">
      <formula>$B$146=1</formula>
    </cfRule>
  </conditionalFormatting>
  <conditionalFormatting sqref="A158 A165">
    <cfRule type="expression" dxfId="22" priority="41">
      <formula>$B$146&lt;&gt;4</formula>
    </cfRule>
    <cfRule type="expression" dxfId="21" priority="42">
      <formula>$B$146=4</formula>
    </cfRule>
  </conditionalFormatting>
  <conditionalFormatting sqref="A159:A160 A166">
    <cfRule type="expression" dxfId="20" priority="37">
      <formula>$B$146&lt;&gt;5</formula>
    </cfRule>
    <cfRule type="expression" dxfId="19" priority="38">
      <formula>$B$146=5</formula>
    </cfRule>
  </conditionalFormatting>
  <conditionalFormatting sqref="A157 A164">
    <cfRule type="expression" dxfId="18" priority="39">
      <formula>$B$146&lt;&gt;3</formula>
    </cfRule>
    <cfRule type="expression" dxfId="17" priority="40">
      <formula>$B$146=3</formula>
    </cfRule>
  </conditionalFormatting>
  <conditionalFormatting sqref="A152:A155">
    <cfRule type="expression" dxfId="16" priority="43">
      <formula>$B$146&lt;&gt;2</formula>
    </cfRule>
    <cfRule type="expression" dxfId="15" priority="44">
      <formula>$B$146=2</formula>
    </cfRule>
  </conditionalFormatting>
  <conditionalFormatting sqref="A156">
    <cfRule type="expression" dxfId="14" priority="21">
      <formula>$B$146&gt;2</formula>
    </cfRule>
    <cfRule type="expression" dxfId="13" priority="22">
      <formula>$B$146&lt;=2</formula>
    </cfRule>
  </conditionalFormatting>
  <conditionalFormatting sqref="A125 A110:A114">
    <cfRule type="expression" dxfId="12" priority="89">
      <formula>$B$109&lt;&gt;1</formula>
    </cfRule>
    <cfRule type="expression" dxfId="11" priority="90">
      <formula>$B$109=1</formula>
    </cfRule>
  </conditionalFormatting>
  <conditionalFormatting sqref="A126">
    <cfRule type="expression" dxfId="10" priority="19">
      <formula>$B$109&lt;&gt;2</formula>
    </cfRule>
    <cfRule type="expression" dxfId="9" priority="20">
      <formula>$B$109=2</formula>
    </cfRule>
  </conditionalFormatting>
  <conditionalFormatting sqref="A163">
    <cfRule type="expression" dxfId="8" priority="9">
      <formula>$B$146&lt;&gt;2</formula>
    </cfRule>
    <cfRule type="expression" dxfId="7" priority="10">
      <formula>$B$146=2</formula>
    </cfRule>
  </conditionalFormatting>
  <conditionalFormatting sqref="A115:A118">
    <cfRule type="expression" dxfId="6" priority="5">
      <formula>$B$109&lt;&gt;2</formula>
    </cfRule>
    <cfRule type="expression" dxfId="5" priority="6">
      <formula>$B$109=2</formula>
    </cfRule>
  </conditionalFormatting>
  <conditionalFormatting sqref="A119">
    <cfRule type="expression" dxfId="4" priority="3">
      <formula>$B$109&gt;2</formula>
    </cfRule>
    <cfRule type="expression" dxfId="3" priority="4">
      <formula>$B$109&lt;=2</formula>
    </cfRule>
  </conditionalFormatting>
  <printOptions horizontalCentered="1"/>
  <pageMargins left="0.23622047244094491" right="0.19685039370078741" top="0.39370078740157483" bottom="0.39370078740157483" header="0.19685039370078741" footer="0.23622047244094491"/>
  <pageSetup paperSize="9" scale="61" fitToWidth="2" fitToHeight="2" orientation="landscape" horizontalDpi="300" r:id="rId2"/>
  <headerFooter alignWithMargins="0"/>
  <rowBreaks count="1" manualBreakCount="1">
    <brk id="108" max="16383" man="1"/>
  </rowBreaks>
  <colBreaks count="1" manualBreakCount="1">
    <brk id="12" max="1048575" man="1"/>
  </col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5" name="Drop Down 12">
              <controlPr defaultSize="0" autoLine="0" autoPict="0">
                <anchor moveWithCells="1">
                  <from>
                    <xdr:col>0</xdr:col>
                    <xdr:colOff>2000250</xdr:colOff>
                    <xdr:row>94</xdr:row>
                    <xdr:rowOff>0</xdr:rowOff>
                  </from>
                  <to>
                    <xdr:col>1</xdr:col>
                    <xdr:colOff>504825</xdr:colOff>
                    <xdr:row>95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1</xdr:col>
                    <xdr:colOff>219075</xdr:colOff>
                    <xdr:row>96</xdr:row>
                    <xdr:rowOff>19050</xdr:rowOff>
                  </from>
                  <to>
                    <xdr:col>1</xdr:col>
                    <xdr:colOff>1257300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Drop Down 15">
              <controlPr defaultSize="0" autoLine="0" autoPict="0">
                <anchor moveWithCells="1">
                  <from>
                    <xdr:col>3</xdr:col>
                    <xdr:colOff>9525</xdr:colOff>
                    <xdr:row>93</xdr:row>
                    <xdr:rowOff>0</xdr:rowOff>
                  </from>
                  <to>
                    <xdr:col>3</xdr:col>
                    <xdr:colOff>1123950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Drop Down 16">
              <controlPr defaultSize="0" autoLine="0" autoPict="0">
                <anchor moveWithCells="1">
                  <from>
                    <xdr:col>5</xdr:col>
                    <xdr:colOff>0</xdr:colOff>
                    <xdr:row>93</xdr:row>
                    <xdr:rowOff>0</xdr:rowOff>
                  </from>
                  <to>
                    <xdr:col>5</xdr:col>
                    <xdr:colOff>1114425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Drop Down 17">
              <controlPr defaultSize="0" autoLine="0" autoPict="0">
                <anchor moveWithCells="1">
                  <from>
                    <xdr:col>7</xdr:col>
                    <xdr:colOff>0</xdr:colOff>
                    <xdr:row>93</xdr:row>
                    <xdr:rowOff>0</xdr:rowOff>
                  </from>
                  <to>
                    <xdr:col>7</xdr:col>
                    <xdr:colOff>1114425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Drop Down 18">
              <controlPr defaultSize="0" autoLine="0" autoPict="0">
                <anchor moveWithCells="1">
                  <from>
                    <xdr:col>8</xdr:col>
                    <xdr:colOff>1076325</xdr:colOff>
                    <xdr:row>93</xdr:row>
                    <xdr:rowOff>0</xdr:rowOff>
                  </from>
                  <to>
                    <xdr:col>9</xdr:col>
                    <xdr:colOff>1104900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Drop Down 19">
              <controlPr defaultSize="0" autoLine="0" autoPict="0">
                <anchor moveWithCells="1">
                  <from>
                    <xdr:col>11</xdr:col>
                    <xdr:colOff>9525</xdr:colOff>
                    <xdr:row>93</xdr:row>
                    <xdr:rowOff>9525</xdr:rowOff>
                  </from>
                  <to>
                    <xdr:col>11</xdr:col>
                    <xdr:colOff>1123950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Drop Down 20">
              <controlPr defaultSize="0" autoLine="0" autoPict="0">
                <anchor moveWithCells="1">
                  <from>
                    <xdr:col>13</xdr:col>
                    <xdr:colOff>9525</xdr:colOff>
                    <xdr:row>93</xdr:row>
                    <xdr:rowOff>0</xdr:rowOff>
                  </from>
                  <to>
                    <xdr:col>13</xdr:col>
                    <xdr:colOff>1123950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Drop Down 21">
              <controlPr defaultSize="0" autoLine="0" autoPict="0">
                <anchor moveWithCells="1">
                  <from>
                    <xdr:col>14</xdr:col>
                    <xdr:colOff>1076325</xdr:colOff>
                    <xdr:row>93</xdr:row>
                    <xdr:rowOff>0</xdr:rowOff>
                  </from>
                  <to>
                    <xdr:col>15</xdr:col>
                    <xdr:colOff>1104900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Drop Down 22">
              <controlPr defaultSize="0" autoLine="0" autoPict="0">
                <anchor moveWithCells="1">
                  <from>
                    <xdr:col>16</xdr:col>
                    <xdr:colOff>1076325</xdr:colOff>
                    <xdr:row>93</xdr:row>
                    <xdr:rowOff>0</xdr:rowOff>
                  </from>
                  <to>
                    <xdr:col>17</xdr:col>
                    <xdr:colOff>1104900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Drop Down 23">
              <controlPr defaultSize="0" autoLine="0" autoPict="0">
                <anchor moveWithCells="1">
                  <from>
                    <xdr:col>19</xdr:col>
                    <xdr:colOff>9525</xdr:colOff>
                    <xdr:row>93</xdr:row>
                    <xdr:rowOff>0</xdr:rowOff>
                  </from>
                  <to>
                    <xdr:col>19</xdr:col>
                    <xdr:colOff>1123950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Drop Down 24">
              <controlPr defaultSize="0" autoLine="0" autoPict="0">
                <anchor moveWithCells="1">
                  <from>
                    <xdr:col>21</xdr:col>
                    <xdr:colOff>19050</xdr:colOff>
                    <xdr:row>93</xdr:row>
                    <xdr:rowOff>0</xdr:rowOff>
                  </from>
                  <to>
                    <xdr:col>21</xdr:col>
                    <xdr:colOff>1133475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Drop Down 25">
              <controlPr defaultSize="0" autoLine="0" autoPict="0">
                <anchor moveWithCells="1">
                  <from>
                    <xdr:col>0</xdr:col>
                    <xdr:colOff>2000250</xdr:colOff>
                    <xdr:row>131</xdr:row>
                    <xdr:rowOff>0</xdr:rowOff>
                  </from>
                  <to>
                    <xdr:col>1</xdr:col>
                    <xdr:colOff>504825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Drop Down 26">
              <controlPr defaultSize="0" autoLine="0" autoPict="0">
                <anchor moveWithCells="1">
                  <from>
                    <xdr:col>1</xdr:col>
                    <xdr:colOff>219075</xdr:colOff>
                    <xdr:row>133</xdr:row>
                    <xdr:rowOff>19050</xdr:rowOff>
                  </from>
                  <to>
                    <xdr:col>1</xdr:col>
                    <xdr:colOff>1257300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Drop Down 27">
              <controlPr defaultSize="0" autoLine="0" autoPict="0">
                <anchor moveWithCells="1">
                  <from>
                    <xdr:col>3</xdr:col>
                    <xdr:colOff>9525</xdr:colOff>
                    <xdr:row>130</xdr:row>
                    <xdr:rowOff>0</xdr:rowOff>
                  </from>
                  <to>
                    <xdr:col>3</xdr:col>
                    <xdr:colOff>1123950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Drop Down 28">
              <controlPr defaultSize="0" autoLine="0" autoPict="0">
                <anchor moveWithCells="1">
                  <from>
                    <xdr:col>5</xdr:col>
                    <xdr:colOff>0</xdr:colOff>
                    <xdr:row>130</xdr:row>
                    <xdr:rowOff>0</xdr:rowOff>
                  </from>
                  <to>
                    <xdr:col>5</xdr:col>
                    <xdr:colOff>1114425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Drop Down 29">
              <controlPr defaultSize="0" autoLine="0" autoPict="0">
                <anchor moveWithCells="1">
                  <from>
                    <xdr:col>7</xdr:col>
                    <xdr:colOff>0</xdr:colOff>
                    <xdr:row>130</xdr:row>
                    <xdr:rowOff>0</xdr:rowOff>
                  </from>
                  <to>
                    <xdr:col>7</xdr:col>
                    <xdr:colOff>1114425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2" name="Drop Down 30">
              <controlPr defaultSize="0" autoLine="0" autoPict="0">
                <anchor moveWithCells="1">
                  <from>
                    <xdr:col>8</xdr:col>
                    <xdr:colOff>1076325</xdr:colOff>
                    <xdr:row>130</xdr:row>
                    <xdr:rowOff>0</xdr:rowOff>
                  </from>
                  <to>
                    <xdr:col>9</xdr:col>
                    <xdr:colOff>1104900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3" name="Drop Down 31">
              <controlPr defaultSize="0" autoLine="0" autoPict="0">
                <anchor moveWithCells="1">
                  <from>
                    <xdr:col>11</xdr:col>
                    <xdr:colOff>9525</xdr:colOff>
                    <xdr:row>130</xdr:row>
                    <xdr:rowOff>9525</xdr:rowOff>
                  </from>
                  <to>
                    <xdr:col>11</xdr:col>
                    <xdr:colOff>1123950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4" name="Drop Down 32">
              <controlPr defaultSize="0" autoLine="0" autoPict="0">
                <anchor moveWithCells="1">
                  <from>
                    <xdr:col>13</xdr:col>
                    <xdr:colOff>9525</xdr:colOff>
                    <xdr:row>130</xdr:row>
                    <xdr:rowOff>0</xdr:rowOff>
                  </from>
                  <to>
                    <xdr:col>13</xdr:col>
                    <xdr:colOff>1123950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5" name="Drop Down 33">
              <controlPr defaultSize="0" autoLine="0" autoPict="0">
                <anchor moveWithCells="1">
                  <from>
                    <xdr:col>14</xdr:col>
                    <xdr:colOff>1076325</xdr:colOff>
                    <xdr:row>130</xdr:row>
                    <xdr:rowOff>0</xdr:rowOff>
                  </from>
                  <to>
                    <xdr:col>15</xdr:col>
                    <xdr:colOff>1104900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6" name="Drop Down 34">
              <controlPr defaultSize="0" autoLine="0" autoPict="0">
                <anchor moveWithCells="1">
                  <from>
                    <xdr:col>16</xdr:col>
                    <xdr:colOff>1076325</xdr:colOff>
                    <xdr:row>130</xdr:row>
                    <xdr:rowOff>0</xdr:rowOff>
                  </from>
                  <to>
                    <xdr:col>17</xdr:col>
                    <xdr:colOff>1104900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7" name="Drop Down 35">
              <controlPr defaultSize="0" autoLine="0" autoPict="0">
                <anchor moveWithCells="1">
                  <from>
                    <xdr:col>19</xdr:col>
                    <xdr:colOff>9525</xdr:colOff>
                    <xdr:row>130</xdr:row>
                    <xdr:rowOff>0</xdr:rowOff>
                  </from>
                  <to>
                    <xdr:col>19</xdr:col>
                    <xdr:colOff>1123950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8" name="Drop Down 36">
              <controlPr defaultSize="0" autoLine="0" autoPict="0">
                <anchor moveWithCells="1">
                  <from>
                    <xdr:col>21</xdr:col>
                    <xdr:colOff>19050</xdr:colOff>
                    <xdr:row>130</xdr:row>
                    <xdr:rowOff>0</xdr:rowOff>
                  </from>
                  <to>
                    <xdr:col>21</xdr:col>
                    <xdr:colOff>1133475</xdr:colOff>
                    <xdr:row>131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6"/>
  <dimension ref="A1:V127"/>
  <sheetViews>
    <sheetView topLeftCell="A26" workbookViewId="0">
      <selection activeCell="D31" sqref="D31"/>
    </sheetView>
  </sheetViews>
  <sheetFormatPr defaultRowHeight="12.75" x14ac:dyDescent="0.2"/>
  <cols>
    <col min="1" max="1" width="12.85546875" bestFit="1" customWidth="1"/>
    <col min="2" max="2" width="12.5703125" bestFit="1" customWidth="1"/>
    <col min="3" max="3" width="12.5703125" customWidth="1"/>
    <col min="4" max="6" width="12" customWidth="1"/>
    <col min="7" max="7" width="12.7109375" customWidth="1"/>
    <col min="8" max="9" width="11" bestFit="1" customWidth="1"/>
    <col min="10" max="10" width="12" bestFit="1" customWidth="1"/>
    <col min="11" max="11" width="12.140625" customWidth="1"/>
    <col min="12" max="12" width="10.85546875" customWidth="1"/>
    <col min="13" max="13" width="13.7109375" customWidth="1"/>
    <col min="14" max="14" width="10.85546875" customWidth="1"/>
    <col min="15" max="15" width="13" customWidth="1"/>
    <col min="16" max="20" width="11" bestFit="1" customWidth="1"/>
    <col min="21" max="21" width="10" customWidth="1"/>
    <col min="22" max="22" width="10.42578125" customWidth="1"/>
    <col min="23" max="23" width="12.140625" customWidth="1"/>
  </cols>
  <sheetData>
    <row r="1" spans="7:22" ht="13.5" thickBot="1" x14ac:dyDescent="0.25">
      <c r="G1" s="1"/>
      <c r="H1" s="375" t="s">
        <v>967</v>
      </c>
      <c r="I1" s="11" t="s">
        <v>15</v>
      </c>
      <c r="J1" s="19" t="s">
        <v>13</v>
      </c>
      <c r="K1" s="13" t="s">
        <v>643</v>
      </c>
      <c r="L1" s="13" t="s">
        <v>11</v>
      </c>
      <c r="M1" s="13" t="s">
        <v>10</v>
      </c>
      <c r="N1" s="13" t="s">
        <v>14</v>
      </c>
      <c r="O1" s="13" t="s">
        <v>12</v>
      </c>
    </row>
    <row r="2" spans="7:22" x14ac:dyDescent="0.2">
      <c r="G2" s="14" t="s">
        <v>652</v>
      </c>
      <c r="H2" s="376">
        <f>SUM(I2:O2)</f>
        <v>0</v>
      </c>
      <c r="I2" s="20">
        <f t="array" ref="I2:I11">TRANSPOSE(impianto!BF195:BO195)</f>
        <v>0</v>
      </c>
      <c r="J2" s="20">
        <f t="array" ref="J2:J11">TRANSPOSE(impianto!BP195:BY195)</f>
        <v>0</v>
      </c>
      <c r="K2" s="15">
        <f t="array" ref="K2:K11">TRANSPOSE(impianto!BZ195:CI195)</f>
        <v>0</v>
      </c>
      <c r="L2" s="15">
        <f t="array" ref="L2:L11">TRANSPOSE(impianto!CJ195:CS195)</f>
        <v>0</v>
      </c>
      <c r="M2" s="15">
        <f t="array" ref="M2:M11">TRANSPOSE(impianto!CT195:DC195)</f>
        <v>0</v>
      </c>
      <c r="N2" s="15">
        <f t="array" ref="N2:N11">TRANSPOSE(impianto!DD195:DM195)</f>
        <v>0</v>
      </c>
      <c r="O2" s="15">
        <f t="array" ref="O2:O11">TRANSPOSE(impianto!DN195:DW195)</f>
        <v>0</v>
      </c>
    </row>
    <row r="3" spans="7:22" x14ac:dyDescent="0.2">
      <c r="G3" s="14" t="s">
        <v>703</v>
      </c>
      <c r="H3" s="376">
        <f t="shared" ref="H3:H11" si="0">SUM(I3:O3)</f>
        <v>0</v>
      </c>
      <c r="I3" s="15">
        <v>0</v>
      </c>
      <c r="J3" s="20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</row>
    <row r="4" spans="7:22" x14ac:dyDescent="0.2">
      <c r="G4" s="14" t="s">
        <v>704</v>
      </c>
      <c r="H4" s="376">
        <f t="shared" si="0"/>
        <v>0</v>
      </c>
      <c r="I4" s="15">
        <v>0</v>
      </c>
      <c r="J4" s="20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</row>
    <row r="5" spans="7:22" x14ac:dyDescent="0.2">
      <c r="G5" s="14" t="s">
        <v>705</v>
      </c>
      <c r="H5" s="376">
        <f t="shared" si="0"/>
        <v>0</v>
      </c>
      <c r="I5" s="15">
        <v>0</v>
      </c>
      <c r="J5" s="20">
        <v>0</v>
      </c>
      <c r="K5" s="15">
        <v>0</v>
      </c>
      <c r="L5" s="15">
        <v>0</v>
      </c>
      <c r="M5" s="15">
        <v>0</v>
      </c>
      <c r="N5" s="15">
        <v>0</v>
      </c>
      <c r="O5" s="15">
        <v>0</v>
      </c>
    </row>
    <row r="6" spans="7:22" x14ac:dyDescent="0.2">
      <c r="G6" s="14" t="s">
        <v>706</v>
      </c>
      <c r="H6" s="376">
        <f t="shared" si="0"/>
        <v>0</v>
      </c>
      <c r="I6" s="15">
        <v>0</v>
      </c>
      <c r="J6" s="20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</row>
    <row r="7" spans="7:22" x14ac:dyDescent="0.2">
      <c r="G7" s="14" t="s">
        <v>707</v>
      </c>
      <c r="H7" s="376">
        <f t="shared" si="0"/>
        <v>0</v>
      </c>
      <c r="I7" s="15">
        <v>0</v>
      </c>
      <c r="J7" s="20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</row>
    <row r="8" spans="7:22" x14ac:dyDescent="0.2">
      <c r="G8" s="14" t="s">
        <v>708</v>
      </c>
      <c r="H8" s="376">
        <f t="shared" si="0"/>
        <v>0</v>
      </c>
      <c r="I8" s="15">
        <v>0</v>
      </c>
      <c r="J8" s="20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</row>
    <row r="9" spans="7:22" x14ac:dyDescent="0.2">
      <c r="G9" s="14" t="s">
        <v>709</v>
      </c>
      <c r="H9" s="376">
        <f t="shared" si="0"/>
        <v>0</v>
      </c>
      <c r="I9" s="15">
        <v>0</v>
      </c>
      <c r="J9" s="20">
        <v>0</v>
      </c>
      <c r="K9" s="15">
        <v>0</v>
      </c>
      <c r="L9" s="15">
        <v>0</v>
      </c>
      <c r="M9" s="15">
        <v>0</v>
      </c>
      <c r="N9" s="15">
        <v>0</v>
      </c>
      <c r="O9" s="15">
        <v>0</v>
      </c>
    </row>
    <row r="10" spans="7:22" x14ac:dyDescent="0.2">
      <c r="G10" s="14" t="s">
        <v>710</v>
      </c>
      <c r="H10" s="376">
        <f t="shared" si="0"/>
        <v>0</v>
      </c>
      <c r="I10" s="15">
        <v>0</v>
      </c>
      <c r="J10" s="20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</row>
    <row r="11" spans="7:22" ht="13.5" thickBot="1" x14ac:dyDescent="0.25">
      <c r="G11" s="14" t="s">
        <v>711</v>
      </c>
      <c r="H11" s="376">
        <f t="shared" si="0"/>
        <v>0</v>
      </c>
      <c r="I11" s="187">
        <v>0</v>
      </c>
      <c r="J11" s="188">
        <v>0</v>
      </c>
      <c r="K11" s="187">
        <v>0</v>
      </c>
      <c r="L11" s="187">
        <v>0</v>
      </c>
      <c r="M11" s="187">
        <v>0</v>
      </c>
      <c r="N11" s="187">
        <v>0</v>
      </c>
      <c r="O11" s="187">
        <v>0</v>
      </c>
    </row>
    <row r="12" spans="7:22" x14ac:dyDescent="0.2">
      <c r="G12" s="189" t="s">
        <v>865</v>
      </c>
      <c r="H12" s="189"/>
      <c r="I12" s="190">
        <f>SUM(I2:I11)</f>
        <v>0</v>
      </c>
      <c r="J12" s="190">
        <f t="shared" ref="J12:O12" si="1">SUM(J2:J11)</f>
        <v>0</v>
      </c>
      <c r="K12" s="190">
        <f t="shared" si="1"/>
        <v>0</v>
      </c>
      <c r="L12" s="190">
        <f t="shared" si="1"/>
        <v>0</v>
      </c>
      <c r="M12" s="190">
        <f t="shared" si="1"/>
        <v>0</v>
      </c>
      <c r="N12" s="190">
        <f t="shared" si="1"/>
        <v>0</v>
      </c>
      <c r="O12" s="190">
        <f t="shared" si="1"/>
        <v>0</v>
      </c>
    </row>
    <row r="13" spans="7:22" x14ac:dyDescent="0.2">
      <c r="G13" s="189"/>
      <c r="H13" s="189"/>
      <c r="I13" s="190"/>
      <c r="J13" s="190"/>
      <c r="K13" s="190"/>
      <c r="L13" s="190"/>
      <c r="M13" s="190"/>
      <c r="N13" s="190"/>
      <c r="O13" s="190"/>
    </row>
    <row r="14" spans="7:22" ht="154.5" x14ac:dyDescent="0.2">
      <c r="G14" s="750" t="str">
        <f>G28</f>
        <v>CPU 315 2PN/DP</v>
      </c>
      <c r="H14" s="750" t="str">
        <f t="shared" ref="H14:V14" si="2">H28</f>
        <v>CPU 317 2PN/DP</v>
      </c>
      <c r="I14" s="750" t="str">
        <f t="shared" si="2"/>
        <v>CPU 319 3PN/DP</v>
      </c>
      <c r="J14" s="750" t="str">
        <f t="shared" si="2"/>
        <v>ESPANSIONE RETE ET200M</v>
      </c>
      <c r="K14" s="750" t="str">
        <f t="shared" si="2"/>
        <v>SIWAREX 1 CANALE</v>
      </c>
      <c r="L14" s="750" t="str">
        <f t="shared" si="2"/>
        <v>SIWAREX 2 CANALE</v>
      </c>
      <c r="M14" s="750" t="str">
        <f t="shared" si="2"/>
        <v>2 INGRESSI ANALOGICI</v>
      </c>
      <c r="N14" s="750" t="str">
        <f t="shared" si="2"/>
        <v>8 INGRESSI ANALOGICI</v>
      </c>
      <c r="O14" s="750" t="str">
        <f t="shared" si="2"/>
        <v>1 INGRESSO VELOCE</v>
      </c>
      <c r="P14" s="750" t="str">
        <f t="shared" si="2"/>
        <v>32 INGRESSI DIGITALI</v>
      </c>
      <c r="Q14" s="750" t="str">
        <f t="shared" si="2"/>
        <v>16 INGRESSI DIGITALI</v>
      </c>
      <c r="R14" s="750" t="str">
        <f t="shared" si="2"/>
        <v>32 USCITE DIGITALI</v>
      </c>
      <c r="S14" s="750" t="str">
        <f t="shared" si="2"/>
        <v>16 USCITE DIGITALI</v>
      </c>
      <c r="T14" s="750" t="str">
        <f t="shared" si="2"/>
        <v>8 USCITE DIGITALI POTENZIATE</v>
      </c>
      <c r="U14" s="750" t="str">
        <f t="shared" si="2"/>
        <v>2 USCITE ANALOGICHE</v>
      </c>
      <c r="V14" s="750" t="str">
        <f t="shared" si="2"/>
        <v>4 USCITE ANALOGICHE</v>
      </c>
    </row>
    <row r="15" spans="7:22" x14ac:dyDescent="0.2">
      <c r="G15" s="189"/>
      <c r="H15" s="190"/>
      <c r="I15" s="190"/>
      <c r="J15" s="190"/>
      <c r="K15" s="190"/>
      <c r="L15" s="190"/>
      <c r="M15" s="190"/>
      <c r="N15" s="190"/>
    </row>
    <row r="16" spans="7:22" x14ac:dyDescent="0.2">
      <c r="G16" s="728">
        <f xml:space="preserve"> IF(impianto!$A12="SI",0,IF(quadro!$B$3&lt;=8,1,0))</f>
        <v>1</v>
      </c>
      <c r="H16" s="728">
        <f>IF(impianto!$A12="SI",0,IF(AND(quadro!$B$3&gt;8,quadro!$B$3&lt;=20),1,0))</f>
        <v>0</v>
      </c>
      <c r="I16" s="728">
        <f>IF(impianto!$A12="SI",0,IF(quadro!$B$3&gt;20,1,0))</f>
        <v>0</v>
      </c>
      <c r="J16" s="728">
        <f t="shared" ref="J16:J25" si="3">IF(SUM($G16:$I16)=0,CEILING(SUM($K16:$V16)/8,1),FLOOR(SUM($K16:$V16)/8,1))</f>
        <v>0</v>
      </c>
      <c r="K16" s="741">
        <f>EVEN(input_output!$I2)-input_output!$I2</f>
        <v>0</v>
      </c>
      <c r="L16" s="728">
        <f>(input_output!$I2-K16)/2</f>
        <v>0</v>
      </c>
      <c r="M16" s="728">
        <f>IF((input_output!$J2)-N16*8&gt;=0,CEILING(((input_output!$J2)-N16*8)/2,1),0)</f>
        <v>0</v>
      </c>
      <c r="N16" s="728">
        <f>FLOOR((input_output!$J2+1)/8,1)</f>
        <v>0</v>
      </c>
      <c r="O16" s="728">
        <f>input_output!$K2</f>
        <v>0</v>
      </c>
      <c r="P16" s="728">
        <f>FLOOR(CEILING(input_output!$L2/16,1)/2,1)</f>
        <v>0</v>
      </c>
      <c r="Q16" s="728">
        <f>CEILING(input_output!$L2/16,1)-2*P16</f>
        <v>0</v>
      </c>
      <c r="R16" s="728">
        <f>FLOOR(CEILING(input_output!$M2/16,1)/2,1)</f>
        <v>0</v>
      </c>
      <c r="S16" s="728">
        <f>CEILING(input_output!$M2/16,1)-2*R16</f>
        <v>0</v>
      </c>
      <c r="T16" s="728">
        <f>CEILING(input_output!$N2/8,1)</f>
        <v>0</v>
      </c>
      <c r="U16" s="728">
        <f>CEILING(input_output!$O2/2,1)-2*V16</f>
        <v>0</v>
      </c>
      <c r="V16" s="737">
        <f>FLOOR(CEILING(input_output!$O2/2,1)/2,1)</f>
        <v>0</v>
      </c>
    </row>
    <row r="17" spans="1:22" x14ac:dyDescent="0.2">
      <c r="A17" s="44"/>
      <c r="B17" s="44"/>
      <c r="C17" s="44"/>
      <c r="D17" s="44"/>
      <c r="E17" s="44"/>
      <c r="F17" s="44"/>
      <c r="G17" s="738"/>
      <c r="H17" s="730"/>
      <c r="I17" s="730"/>
      <c r="J17" s="728">
        <f t="shared" si="3"/>
        <v>0</v>
      </c>
      <c r="K17" s="741">
        <f>EVEN(input_output!$I3)-input_output!$I3</f>
        <v>0</v>
      </c>
      <c r="L17" s="728">
        <f>(input_output!$I3-K17)/2</f>
        <v>0</v>
      </c>
      <c r="M17" s="728">
        <f>IF((input_output!$J3)-N17*8&gt;=0,CEILING(((input_output!$J3)-N17*8)/2,1),0)</f>
        <v>0</v>
      </c>
      <c r="N17" s="728">
        <f>FLOOR((input_output!$J3+1)/8,1)</f>
        <v>0</v>
      </c>
      <c r="O17" s="728">
        <f>input_output!$K3</f>
        <v>0</v>
      </c>
      <c r="P17" s="728">
        <f>FLOOR(CEILING(input_output!$L3/16,1)/2,1)</f>
        <v>0</v>
      </c>
      <c r="Q17" s="728">
        <f>CEILING(input_output!$L3/16,1)-2*P17</f>
        <v>0</v>
      </c>
      <c r="R17" s="728">
        <f>FLOOR(CEILING(input_output!$M3/16,1)/2,1)</f>
        <v>0</v>
      </c>
      <c r="S17" s="728">
        <f>CEILING(input_output!$M3/16,1)-2*R17</f>
        <v>0</v>
      </c>
      <c r="T17" s="728">
        <f>CEILING(input_output!$N3/8,1)</f>
        <v>0</v>
      </c>
      <c r="U17" s="728">
        <f>CEILING(input_output!$O3/2,1)-2*V17</f>
        <v>0</v>
      </c>
      <c r="V17" s="737">
        <f>FLOOR(CEILING(input_output!$O3/2,1)/2,1)</f>
        <v>0</v>
      </c>
    </row>
    <row r="18" spans="1:22" x14ac:dyDescent="0.2">
      <c r="A18" s="44"/>
      <c r="B18" s="44"/>
      <c r="C18" s="44"/>
      <c r="D18" s="44"/>
      <c r="E18" s="44"/>
      <c r="F18" s="44"/>
      <c r="G18" s="738"/>
      <c r="H18" s="730"/>
      <c r="I18" s="730"/>
      <c r="J18" s="728">
        <f t="shared" si="3"/>
        <v>0</v>
      </c>
      <c r="K18" s="741">
        <f>EVEN(input_output!$I4)-input_output!$I4</f>
        <v>0</v>
      </c>
      <c r="L18" s="728">
        <f>(input_output!$I4-K18)/2</f>
        <v>0</v>
      </c>
      <c r="M18" s="728">
        <f>IF((input_output!$J4)-N18*8&gt;=0,CEILING(((input_output!$J4)-N18*8)/2,1),0)</f>
        <v>0</v>
      </c>
      <c r="N18" s="728">
        <f>FLOOR((input_output!$J4+1)/8,1)</f>
        <v>0</v>
      </c>
      <c r="O18" s="728">
        <f>input_output!$K4</f>
        <v>0</v>
      </c>
      <c r="P18" s="728">
        <f>FLOOR(CEILING(input_output!$L4/16,1)/2,1)</f>
        <v>0</v>
      </c>
      <c r="Q18" s="728">
        <f>CEILING(input_output!$L4/16,1)-2*P18</f>
        <v>0</v>
      </c>
      <c r="R18" s="728">
        <f>FLOOR(CEILING(input_output!$M4/16,1)/2,1)</f>
        <v>0</v>
      </c>
      <c r="S18" s="728">
        <f>CEILING(input_output!$M4/16,1)-2*R18</f>
        <v>0</v>
      </c>
      <c r="T18" s="728">
        <f>CEILING(input_output!$N4/8,1)</f>
        <v>0</v>
      </c>
      <c r="U18" s="728">
        <f>CEILING(input_output!$O4/2,1)-2*V18</f>
        <v>0</v>
      </c>
      <c r="V18" s="737">
        <f>FLOOR(CEILING(input_output!$O4/2,1)/2,1)</f>
        <v>0</v>
      </c>
    </row>
    <row r="19" spans="1:22" x14ac:dyDescent="0.2">
      <c r="A19" s="44"/>
      <c r="B19" s="44"/>
      <c r="C19" s="44"/>
      <c r="D19" s="44"/>
      <c r="E19" s="44"/>
      <c r="F19" s="44"/>
      <c r="G19" s="738"/>
      <c r="H19" s="730"/>
      <c r="I19" s="730"/>
      <c r="J19" s="728">
        <f t="shared" si="3"/>
        <v>0</v>
      </c>
      <c r="K19" s="741">
        <f>EVEN(input_output!$I5)-input_output!$I5</f>
        <v>0</v>
      </c>
      <c r="L19" s="728">
        <f>(input_output!$I5-K19)/2</f>
        <v>0</v>
      </c>
      <c r="M19" s="728">
        <f>IF((input_output!$J5)-N19*8&gt;=0,CEILING(((input_output!$J5)-N19*8)/2,1),0)</f>
        <v>0</v>
      </c>
      <c r="N19" s="728">
        <f>FLOOR((input_output!$J5+1)/8,1)</f>
        <v>0</v>
      </c>
      <c r="O19" s="728">
        <f>input_output!$K5</f>
        <v>0</v>
      </c>
      <c r="P19" s="728">
        <f>FLOOR(CEILING(input_output!$L5/16,1)/2,1)</f>
        <v>0</v>
      </c>
      <c r="Q19" s="728">
        <f>CEILING(input_output!$L5/16,1)-2*P19</f>
        <v>0</v>
      </c>
      <c r="R19" s="728">
        <f>FLOOR(CEILING(input_output!$M5/16,1)/2,1)</f>
        <v>0</v>
      </c>
      <c r="S19" s="728">
        <f>CEILING(input_output!$M5/16,1)-2*R19</f>
        <v>0</v>
      </c>
      <c r="T19" s="728">
        <f>CEILING(input_output!$N5/8,1)</f>
        <v>0</v>
      </c>
      <c r="U19" s="728">
        <f>CEILING(input_output!$O5/2,1)-2*V19</f>
        <v>0</v>
      </c>
      <c r="V19" s="737">
        <f>FLOOR(CEILING(input_output!$O5/2,1)/2,1)</f>
        <v>0</v>
      </c>
    </row>
    <row r="20" spans="1:22" x14ac:dyDescent="0.2">
      <c r="A20" s="44"/>
      <c r="B20" s="44"/>
      <c r="C20" s="44"/>
      <c r="D20" s="44"/>
      <c r="E20" s="44"/>
      <c r="F20" s="44"/>
      <c r="G20" s="738"/>
      <c r="H20" s="730"/>
      <c r="I20" s="730"/>
      <c r="J20" s="728">
        <f t="shared" si="3"/>
        <v>0</v>
      </c>
      <c r="K20" s="741">
        <f>EVEN(input_output!$I6)-input_output!$I6</f>
        <v>0</v>
      </c>
      <c r="L20" s="728">
        <f>(input_output!$I6-K20)/2</f>
        <v>0</v>
      </c>
      <c r="M20" s="728">
        <f>IF((input_output!$J6)-N20*8&gt;=0,CEILING(((input_output!$J6)-N20*8)/2,1),0)</f>
        <v>0</v>
      </c>
      <c r="N20" s="728">
        <f>FLOOR((input_output!$J6+1)/8,1)</f>
        <v>0</v>
      </c>
      <c r="O20" s="728">
        <f>input_output!$K6</f>
        <v>0</v>
      </c>
      <c r="P20" s="728">
        <f>FLOOR(CEILING(input_output!$L6/16,1)/2,1)</f>
        <v>0</v>
      </c>
      <c r="Q20" s="728">
        <f>CEILING(input_output!$L6/16,1)-2*P20</f>
        <v>0</v>
      </c>
      <c r="R20" s="728">
        <f>FLOOR(CEILING(input_output!$M6/16,1)/2,1)</f>
        <v>0</v>
      </c>
      <c r="S20" s="728">
        <f>CEILING(input_output!$M6/16,1)-2*R20</f>
        <v>0</v>
      </c>
      <c r="T20" s="728">
        <f>CEILING(input_output!$N6/8,1)</f>
        <v>0</v>
      </c>
      <c r="U20" s="728">
        <f>CEILING(input_output!$O6/2,1)-2*V20</f>
        <v>0</v>
      </c>
      <c r="V20" s="737">
        <f>FLOOR(CEILING(input_output!$O6/2,1)/2,1)</f>
        <v>0</v>
      </c>
    </row>
    <row r="21" spans="1:22" x14ac:dyDescent="0.2">
      <c r="A21" s="44"/>
      <c r="B21" s="44"/>
      <c r="C21" s="44"/>
      <c r="D21" s="44"/>
      <c r="E21" s="44"/>
      <c r="F21" s="44"/>
      <c r="G21" s="738"/>
      <c r="H21" s="730"/>
      <c r="I21" s="730"/>
      <c r="J21" s="728">
        <f t="shared" si="3"/>
        <v>0</v>
      </c>
      <c r="K21" s="741">
        <f>EVEN(input_output!$I7)-input_output!$I7</f>
        <v>0</v>
      </c>
      <c r="L21" s="728">
        <f>(input_output!$I7-K21)/2</f>
        <v>0</v>
      </c>
      <c r="M21" s="728">
        <f>IF((input_output!$J7)-N21*8&gt;=0,CEILING(((input_output!$J7)-N21*8)/2,1),0)</f>
        <v>0</v>
      </c>
      <c r="N21" s="728">
        <f>FLOOR((input_output!$J7+1)/8,1)</f>
        <v>0</v>
      </c>
      <c r="O21" s="728">
        <f>input_output!$K7</f>
        <v>0</v>
      </c>
      <c r="P21" s="728">
        <f>FLOOR(CEILING(input_output!$L7/16,1)/2,1)</f>
        <v>0</v>
      </c>
      <c r="Q21" s="728">
        <f>CEILING(input_output!$L7/16,1)-2*P21</f>
        <v>0</v>
      </c>
      <c r="R21" s="728">
        <f>FLOOR(CEILING(input_output!$M7/16,1)/2,1)</f>
        <v>0</v>
      </c>
      <c r="S21" s="728">
        <f>CEILING(input_output!$M7/16,1)-2*R21</f>
        <v>0</v>
      </c>
      <c r="T21" s="728">
        <f>CEILING(input_output!$N7/8,1)</f>
        <v>0</v>
      </c>
      <c r="U21" s="728">
        <f>CEILING(input_output!$O7/2,1)-2*V21</f>
        <v>0</v>
      </c>
      <c r="V21" s="737">
        <f>FLOOR(CEILING(input_output!$O7/2,1)/2,1)</f>
        <v>0</v>
      </c>
    </row>
    <row r="22" spans="1:22" x14ac:dyDescent="0.2">
      <c r="A22" s="44"/>
      <c r="B22" s="44"/>
      <c r="C22" s="44"/>
      <c r="D22" s="44"/>
      <c r="E22" s="44"/>
      <c r="F22" s="44"/>
      <c r="G22" s="738"/>
      <c r="H22" s="730"/>
      <c r="I22" s="730"/>
      <c r="J22" s="728">
        <f t="shared" si="3"/>
        <v>0</v>
      </c>
      <c r="K22" s="741">
        <f>EVEN(input_output!$I8)-input_output!$I8</f>
        <v>0</v>
      </c>
      <c r="L22" s="728">
        <f>(input_output!$I8-K22)/2</f>
        <v>0</v>
      </c>
      <c r="M22" s="728">
        <f>IF((input_output!$J8)-N22*8&gt;=0,CEILING(((input_output!$J8)-N22*8)/2,1),0)</f>
        <v>0</v>
      </c>
      <c r="N22" s="728">
        <f>FLOOR((input_output!$J8+1)/8,1)</f>
        <v>0</v>
      </c>
      <c r="O22" s="728">
        <f>input_output!$K8</f>
        <v>0</v>
      </c>
      <c r="P22" s="728">
        <f>FLOOR(CEILING(input_output!$L8/16,1)/2,1)</f>
        <v>0</v>
      </c>
      <c r="Q22" s="728">
        <f>CEILING(input_output!$L8/16,1)-2*P22</f>
        <v>0</v>
      </c>
      <c r="R22" s="728">
        <f>FLOOR(CEILING(input_output!$M8/16,1)/2,1)</f>
        <v>0</v>
      </c>
      <c r="S22" s="728">
        <f>CEILING(input_output!$M8/16,1)-2*R22</f>
        <v>0</v>
      </c>
      <c r="T22" s="728">
        <f>CEILING(input_output!$N8/8,1)</f>
        <v>0</v>
      </c>
      <c r="U22" s="728">
        <f>CEILING(input_output!$O8/2,1)-2*V22</f>
        <v>0</v>
      </c>
      <c r="V22" s="737">
        <f>FLOOR(CEILING(input_output!$O8/2,1)/2,1)</f>
        <v>0</v>
      </c>
    </row>
    <row r="23" spans="1:22" x14ac:dyDescent="0.2">
      <c r="A23" s="44"/>
      <c r="B23" s="44"/>
      <c r="C23" s="44"/>
      <c r="D23" s="44"/>
      <c r="E23" s="44"/>
      <c r="F23" s="44"/>
      <c r="G23" s="738"/>
      <c r="H23" s="730"/>
      <c r="I23" s="730"/>
      <c r="J23" s="728">
        <f t="shared" si="3"/>
        <v>0</v>
      </c>
      <c r="K23" s="741">
        <f>EVEN(input_output!$I9)-input_output!$I9</f>
        <v>0</v>
      </c>
      <c r="L23" s="728">
        <f>(input_output!$I9-K23)/2</f>
        <v>0</v>
      </c>
      <c r="M23" s="728">
        <f>IF((input_output!$J9)-N23*8&gt;=0,CEILING(((input_output!$J9)-N23*8)/2,1),0)</f>
        <v>0</v>
      </c>
      <c r="N23" s="728">
        <f>FLOOR((input_output!$J9+1)/8,1)</f>
        <v>0</v>
      </c>
      <c r="O23" s="728">
        <f>input_output!$K9</f>
        <v>0</v>
      </c>
      <c r="P23" s="728">
        <f>FLOOR(CEILING(input_output!$L9/16,1)/2,1)</f>
        <v>0</v>
      </c>
      <c r="Q23" s="728">
        <f>CEILING(input_output!$L9/16,1)-2*P23</f>
        <v>0</v>
      </c>
      <c r="R23" s="728">
        <f>FLOOR(CEILING(input_output!$M9/16,1)/2,1)</f>
        <v>0</v>
      </c>
      <c r="S23" s="728">
        <f>CEILING(input_output!$M9/16,1)-2*R23</f>
        <v>0</v>
      </c>
      <c r="T23" s="728">
        <f>CEILING(input_output!$N9/8,1)</f>
        <v>0</v>
      </c>
      <c r="U23" s="728">
        <f>CEILING(input_output!$O9/2,1)-2*V23</f>
        <v>0</v>
      </c>
      <c r="V23" s="737">
        <f>FLOOR(CEILING(input_output!$O9/2,1)/2,1)</f>
        <v>0</v>
      </c>
    </row>
    <row r="24" spans="1:22" x14ac:dyDescent="0.2">
      <c r="A24" s="44"/>
      <c r="B24" s="44"/>
      <c r="C24" s="44"/>
      <c r="D24" s="44"/>
      <c r="E24" s="44"/>
      <c r="F24" s="44"/>
      <c r="G24" s="738"/>
      <c r="H24" s="730"/>
      <c r="I24" s="730"/>
      <c r="J24" s="728">
        <f t="shared" si="3"/>
        <v>0</v>
      </c>
      <c r="K24" s="741">
        <f>EVEN(input_output!$I10)-input_output!$I10</f>
        <v>0</v>
      </c>
      <c r="L24" s="728">
        <f>(input_output!$I10-K24)/2</f>
        <v>0</v>
      </c>
      <c r="M24" s="728">
        <f>IF((input_output!$J10)-N24*8&gt;=0,CEILING(((input_output!$J10)-N24*8)/2,1),0)</f>
        <v>0</v>
      </c>
      <c r="N24" s="728">
        <f>FLOOR((input_output!$J10+1)/8,1)</f>
        <v>0</v>
      </c>
      <c r="O24" s="728">
        <f>input_output!$K10</f>
        <v>0</v>
      </c>
      <c r="P24" s="728">
        <f>FLOOR(CEILING(input_output!$L10/16,1)/2,1)</f>
        <v>0</v>
      </c>
      <c r="Q24" s="728">
        <f>CEILING(input_output!$L10/16,1)-2*P24</f>
        <v>0</v>
      </c>
      <c r="R24" s="728">
        <f>FLOOR(CEILING(input_output!$M10/16,1)/2,1)</f>
        <v>0</v>
      </c>
      <c r="S24" s="728">
        <f>CEILING(input_output!$M10/16,1)-2*R24</f>
        <v>0</v>
      </c>
      <c r="T24" s="728">
        <f>CEILING(input_output!$N10/8,1)</f>
        <v>0</v>
      </c>
      <c r="U24" s="728">
        <f>CEILING(input_output!$O10/2,1)-2*V24</f>
        <v>0</v>
      </c>
      <c r="V24" s="737">
        <f>FLOOR(CEILING(input_output!$O10/2,1)/2,1)</f>
        <v>0</v>
      </c>
    </row>
    <row r="25" spans="1:22" x14ac:dyDescent="0.2">
      <c r="A25" s="44"/>
      <c r="B25" s="44"/>
      <c r="C25" s="44"/>
      <c r="D25" s="44"/>
      <c r="E25" s="44"/>
      <c r="F25" s="44"/>
      <c r="G25" s="738"/>
      <c r="H25" s="730"/>
      <c r="I25" s="730"/>
      <c r="J25" s="728">
        <f t="shared" si="3"/>
        <v>0</v>
      </c>
      <c r="K25" s="741">
        <f>EVEN(input_output!$I11)-input_output!$I11</f>
        <v>0</v>
      </c>
      <c r="L25" s="728">
        <f>(input_output!$I11-K25)/2</f>
        <v>0</v>
      </c>
      <c r="M25" s="728">
        <f>IF((input_output!$J11)-N25*8&gt;=0,CEILING(((input_output!$J11)-N25*8)/2,1),0)</f>
        <v>0</v>
      </c>
      <c r="N25" s="728">
        <f>FLOOR((input_output!$J11+1)/8,1)</f>
        <v>0</v>
      </c>
      <c r="O25" s="728">
        <f>input_output!$K11</f>
        <v>0</v>
      </c>
      <c r="P25" s="728">
        <f>FLOOR(CEILING(input_output!$L11/16,1)/2,1)</f>
        <v>0</v>
      </c>
      <c r="Q25" s="728">
        <f>CEILING(input_output!$L11/16,1)-2*P25</f>
        <v>0</v>
      </c>
      <c r="R25" s="728">
        <f>FLOOR(CEILING(input_output!$M11/16,1)/2,1)</f>
        <v>0</v>
      </c>
      <c r="S25" s="728">
        <f>CEILING(input_output!$M11/16,1)-2*R25</f>
        <v>0</v>
      </c>
      <c r="T25" s="728">
        <f>CEILING(input_output!$N11/8,1)</f>
        <v>0</v>
      </c>
      <c r="U25" s="728">
        <f>CEILING(input_output!$O11/2,1)-2*V25</f>
        <v>0</v>
      </c>
      <c r="V25" s="737">
        <f>FLOOR(CEILING(input_output!$O11/2,1)/2,1)</f>
        <v>0</v>
      </c>
    </row>
    <row r="26" spans="1:22" x14ac:dyDescent="0.2">
      <c r="A26" s="44"/>
      <c r="B26" s="44"/>
      <c r="C26" s="44"/>
      <c r="D26" s="44"/>
      <c r="E26" s="44"/>
      <c r="F26" s="44"/>
      <c r="G26" s="738"/>
      <c r="H26" s="730"/>
      <c r="I26" s="730"/>
      <c r="J26" s="729"/>
      <c r="K26" s="742"/>
      <c r="L26" s="729"/>
      <c r="M26" s="729"/>
      <c r="N26" s="729"/>
      <c r="O26" s="729"/>
      <c r="P26" s="729"/>
      <c r="Q26" s="729"/>
      <c r="R26" s="729"/>
      <c r="S26" s="729"/>
      <c r="T26" s="729"/>
      <c r="U26" s="729"/>
      <c r="V26" s="739"/>
    </row>
    <row r="27" spans="1:22" ht="21" thickBot="1" x14ac:dyDescent="0.35">
      <c r="G27" s="740" t="s">
        <v>562</v>
      </c>
      <c r="H27" s="740"/>
      <c r="I27" s="740"/>
      <c r="J27" s="740"/>
      <c r="K27" s="740"/>
      <c r="L27" s="740"/>
      <c r="M27" s="740"/>
      <c r="N27" s="740"/>
      <c r="O27" s="740"/>
      <c r="P27" s="740"/>
      <c r="Q27" s="740"/>
      <c r="R27" s="740"/>
      <c r="S27" s="740"/>
      <c r="T27" s="740"/>
      <c r="U27" s="740"/>
      <c r="V27" s="740"/>
    </row>
    <row r="28" spans="1:22" s="70" customFormat="1" ht="189" customHeight="1" x14ac:dyDescent="0.2">
      <c r="B28" s="782" t="str">
        <f>"TOTALE CON "&amp;'Elenchi controllo_Parametri'!B3</f>
        <v>TOTALE CON PLC Siemens S7</v>
      </c>
      <c r="C28" s="783" t="str">
        <f>"TOTALE CON "&amp;'Elenchi controllo_Parametri'!B4</f>
        <v>TOTALE CON PLC AllenBradley CompactLogix</v>
      </c>
      <c r="D28" s="784" t="str">
        <f>"TOTALE CON "&amp;'Elenchi controllo_Parametri'!B5</f>
        <v>TOTALE CON WP500</v>
      </c>
      <c r="E28" s="785" t="str">
        <f>"TOTALE CON "&amp;'Elenchi controllo_Parametri'!B6</f>
        <v>TOTALE CON WP140-Elettromeccanico</v>
      </c>
      <c r="F28" s="786" t="str">
        <f>"TOTALE CON "&amp;'Elenchi controllo_Parametri'!B7</f>
        <v>TOTALE CON WP300</v>
      </c>
      <c r="G28" s="731" t="s">
        <v>1159</v>
      </c>
      <c r="H28" s="732" t="s">
        <v>1160</v>
      </c>
      <c r="I28" s="732" t="s">
        <v>1161</v>
      </c>
      <c r="J28" s="731" t="s">
        <v>1218</v>
      </c>
      <c r="K28" s="731" t="s">
        <v>717</v>
      </c>
      <c r="L28" s="731" t="s">
        <v>718</v>
      </c>
      <c r="M28" s="731" t="s">
        <v>1237</v>
      </c>
      <c r="N28" s="731" t="s">
        <v>1238</v>
      </c>
      <c r="O28" s="731" t="s">
        <v>1234</v>
      </c>
      <c r="P28" s="731" t="s">
        <v>1236</v>
      </c>
      <c r="Q28" s="731" t="s">
        <v>1235</v>
      </c>
      <c r="R28" s="731" t="s">
        <v>712</v>
      </c>
      <c r="S28" s="731" t="s">
        <v>716</v>
      </c>
      <c r="T28" s="731" t="s">
        <v>713</v>
      </c>
      <c r="U28" s="731" t="s">
        <v>714</v>
      </c>
      <c r="V28" s="733" t="s">
        <v>715</v>
      </c>
    </row>
    <row r="29" spans="1:22" x14ac:dyDescent="0.2">
      <c r="A29" s="368" t="s">
        <v>2395</v>
      </c>
      <c r="B29" s="787">
        <v>1</v>
      </c>
      <c r="C29" s="787">
        <v>2</v>
      </c>
      <c r="D29" s="787">
        <v>3</v>
      </c>
      <c r="E29" s="787">
        <v>4</v>
      </c>
      <c r="F29" s="787">
        <v>5</v>
      </c>
      <c r="G29" s="734">
        <f t="shared" ref="G29:V29" si="4">VLOOKUP(G28,prezzi,5,)</f>
        <v>5120.2256699999998</v>
      </c>
      <c r="H29" s="735">
        <f t="shared" si="4"/>
        <v>8641.1406600000009</v>
      </c>
      <c r="I29" s="727">
        <f t="shared" si="4"/>
        <v>9228.0535799999998</v>
      </c>
      <c r="J29" s="734">
        <f t="shared" si="4"/>
        <v>435.38040000000001</v>
      </c>
      <c r="K29" s="734">
        <f t="shared" si="4"/>
        <v>1306.09968</v>
      </c>
      <c r="L29" s="734">
        <f t="shared" si="4"/>
        <v>2127.6046799999999</v>
      </c>
      <c r="M29" s="734">
        <f t="shared" si="4"/>
        <v>368.70468</v>
      </c>
      <c r="N29" s="734">
        <f t="shared" si="4"/>
        <v>1532.5846799999999</v>
      </c>
      <c r="O29" s="734">
        <f t="shared" si="4"/>
        <v>49.654679999999999</v>
      </c>
      <c r="P29" s="734">
        <f t="shared" si="4"/>
        <v>805.84401000000003</v>
      </c>
      <c r="Q29" s="734">
        <f t="shared" si="4"/>
        <v>458.79</v>
      </c>
      <c r="R29" s="734">
        <f t="shared" si="4"/>
        <v>1104.0837300000001</v>
      </c>
      <c r="S29" s="734">
        <f t="shared" si="4"/>
        <v>567.15000000000009</v>
      </c>
      <c r="T29" s="734">
        <f t="shared" si="4"/>
        <v>343.86468000000002</v>
      </c>
      <c r="U29" s="734">
        <f t="shared" si="4"/>
        <v>706.35468000000003</v>
      </c>
      <c r="V29" s="736">
        <f t="shared" si="4"/>
        <v>1094.4046800000001</v>
      </c>
    </row>
    <row r="30" spans="1:22" x14ac:dyDescent="0.2">
      <c r="A30" s="743" t="s">
        <v>1185</v>
      </c>
      <c r="B30" s="769">
        <f>SUM(G31:I31)</f>
        <v>5120.2256699999998</v>
      </c>
      <c r="C30" s="772">
        <f t="shared" ref="C30:C40" si="5">B30*k_plc_AB</f>
        <v>6656.2933709999998</v>
      </c>
      <c r="D30" s="778">
        <v>0</v>
      </c>
      <c r="E30" s="775">
        <v>0</v>
      </c>
      <c r="F30" s="766">
        <v>0</v>
      </c>
      <c r="G30" s="729"/>
      <c r="H30" s="730"/>
      <c r="I30" s="730"/>
      <c r="J30" s="729"/>
      <c r="K30" s="729"/>
      <c r="L30" s="729"/>
      <c r="M30" s="729"/>
      <c r="N30" s="729"/>
      <c r="O30" s="729"/>
      <c r="P30" s="729"/>
      <c r="Q30" s="729"/>
      <c r="R30" s="729"/>
      <c r="S30" s="729"/>
      <c r="T30" s="729"/>
      <c r="U30" s="729"/>
      <c r="V30" s="739"/>
    </row>
    <row r="31" spans="1:22" x14ac:dyDescent="0.2">
      <c r="A31" s="53" t="s">
        <v>652</v>
      </c>
      <c r="B31" s="770">
        <f t="shared" ref="B31:B40" si="6">SUM(J31:V31)</f>
        <v>0</v>
      </c>
      <c r="C31" s="773">
        <f t="shared" si="5"/>
        <v>0</v>
      </c>
      <c r="D31" s="767">
        <f t="shared" ref="D31:D40" si="7">k_plc_Seneca*SUM($P31:$S31)+IF(SUM($P31:$S31)&gt;0,wp500_gateway,0)</f>
        <v>0</v>
      </c>
      <c r="E31" s="776">
        <v>0</v>
      </c>
      <c r="F31" s="780">
        <f t="shared" ref="F31:F40" si="8">k_plc_Seneca*SUM($P31:$S31)</f>
        <v>0</v>
      </c>
      <c r="G31" s="744">
        <f>G$16*G$29</f>
        <v>5120.2256699999998</v>
      </c>
      <c r="H31" s="744">
        <f>H$16*H$29</f>
        <v>0</v>
      </c>
      <c r="I31" s="744">
        <f>I$16*I$29</f>
        <v>0</v>
      </c>
      <c r="J31" s="744">
        <f t="shared" ref="J31:J40" si="9">J16*$J$29</f>
        <v>0</v>
      </c>
      <c r="K31" s="744">
        <f t="shared" ref="K31:K40" si="10">K16*$K$29</f>
        <v>0</v>
      </c>
      <c r="L31" s="744">
        <f t="shared" ref="L31:L40" si="11">L16*$L$29</f>
        <v>0</v>
      </c>
      <c r="M31" s="744">
        <f t="shared" ref="M31:M40" si="12">M16*$M$29</f>
        <v>0</v>
      </c>
      <c r="N31" s="744">
        <f t="shared" ref="N31:N40" si="13">N16*$N$29</f>
        <v>0</v>
      </c>
      <c r="O31" s="744">
        <f t="shared" ref="O31:O40" si="14">O16*$O$29</f>
        <v>0</v>
      </c>
      <c r="P31" s="744">
        <f t="shared" ref="P31:P40" si="15">P16*$P$29</f>
        <v>0</v>
      </c>
      <c r="Q31" s="744">
        <f t="shared" ref="Q31:Q40" si="16">Q16*$Q$29</f>
        <v>0</v>
      </c>
      <c r="R31" s="744">
        <f t="shared" ref="R31:R40" si="17">R16*$R$29</f>
        <v>0</v>
      </c>
      <c r="S31" s="744">
        <f t="shared" ref="S31:S40" si="18">S16*$S$29</f>
        <v>0</v>
      </c>
      <c r="T31" s="744">
        <f t="shared" ref="T31:T40" si="19">T16*$T$29</f>
        <v>0</v>
      </c>
      <c r="U31" s="744">
        <f t="shared" ref="U31:U40" si="20">U16*$U$29</f>
        <v>0</v>
      </c>
      <c r="V31" s="745">
        <f t="shared" ref="V31:V40" si="21">V16*$V$29</f>
        <v>0</v>
      </c>
    </row>
    <row r="32" spans="1:22" x14ac:dyDescent="0.2">
      <c r="A32" s="53" t="s">
        <v>703</v>
      </c>
      <c r="B32" s="770">
        <f t="shared" si="6"/>
        <v>0</v>
      </c>
      <c r="C32" s="773">
        <f t="shared" si="5"/>
        <v>0</v>
      </c>
      <c r="D32" s="767">
        <f t="shared" si="7"/>
        <v>0</v>
      </c>
      <c r="E32" s="776">
        <v>0</v>
      </c>
      <c r="F32" s="780">
        <f t="shared" si="8"/>
        <v>0</v>
      </c>
      <c r="G32" s="746"/>
      <c r="H32" s="747"/>
      <c r="I32" s="746"/>
      <c r="J32" s="744">
        <f t="shared" si="9"/>
        <v>0</v>
      </c>
      <c r="K32" s="744">
        <f t="shared" si="10"/>
        <v>0</v>
      </c>
      <c r="L32" s="744">
        <f t="shared" si="11"/>
        <v>0</v>
      </c>
      <c r="M32" s="744">
        <f t="shared" si="12"/>
        <v>0</v>
      </c>
      <c r="N32" s="744">
        <f t="shared" si="13"/>
        <v>0</v>
      </c>
      <c r="O32" s="744">
        <f t="shared" si="14"/>
        <v>0</v>
      </c>
      <c r="P32" s="744">
        <f t="shared" si="15"/>
        <v>0</v>
      </c>
      <c r="Q32" s="744">
        <f t="shared" si="16"/>
        <v>0</v>
      </c>
      <c r="R32" s="744">
        <f t="shared" si="17"/>
        <v>0</v>
      </c>
      <c r="S32" s="744">
        <f t="shared" si="18"/>
        <v>0</v>
      </c>
      <c r="T32" s="744">
        <f t="shared" si="19"/>
        <v>0</v>
      </c>
      <c r="U32" s="744">
        <f t="shared" si="20"/>
        <v>0</v>
      </c>
      <c r="V32" s="745">
        <f t="shared" si="21"/>
        <v>0</v>
      </c>
    </row>
    <row r="33" spans="1:22" x14ac:dyDescent="0.2">
      <c r="A33" s="53" t="s">
        <v>704</v>
      </c>
      <c r="B33" s="770">
        <f t="shared" si="6"/>
        <v>0</v>
      </c>
      <c r="C33" s="773">
        <f t="shared" si="5"/>
        <v>0</v>
      </c>
      <c r="D33" s="767">
        <f t="shared" si="7"/>
        <v>0</v>
      </c>
      <c r="E33" s="776">
        <v>0</v>
      </c>
      <c r="F33" s="780">
        <f t="shared" si="8"/>
        <v>0</v>
      </c>
      <c r="G33" s="746"/>
      <c r="H33" s="747"/>
      <c r="I33" s="746"/>
      <c r="J33" s="744">
        <f t="shared" si="9"/>
        <v>0</v>
      </c>
      <c r="K33" s="744">
        <f t="shared" si="10"/>
        <v>0</v>
      </c>
      <c r="L33" s="744">
        <f t="shared" si="11"/>
        <v>0</v>
      </c>
      <c r="M33" s="744">
        <f t="shared" si="12"/>
        <v>0</v>
      </c>
      <c r="N33" s="744">
        <f t="shared" si="13"/>
        <v>0</v>
      </c>
      <c r="O33" s="744">
        <f t="shared" si="14"/>
        <v>0</v>
      </c>
      <c r="P33" s="744">
        <f t="shared" si="15"/>
        <v>0</v>
      </c>
      <c r="Q33" s="744">
        <f t="shared" si="16"/>
        <v>0</v>
      </c>
      <c r="R33" s="744">
        <f t="shared" si="17"/>
        <v>0</v>
      </c>
      <c r="S33" s="744">
        <f t="shared" si="18"/>
        <v>0</v>
      </c>
      <c r="T33" s="744">
        <f t="shared" si="19"/>
        <v>0</v>
      </c>
      <c r="U33" s="744">
        <f t="shared" si="20"/>
        <v>0</v>
      </c>
      <c r="V33" s="745">
        <f t="shared" si="21"/>
        <v>0</v>
      </c>
    </row>
    <row r="34" spans="1:22" x14ac:dyDescent="0.2">
      <c r="A34" s="53" t="s">
        <v>705</v>
      </c>
      <c r="B34" s="770">
        <f t="shared" si="6"/>
        <v>0</v>
      </c>
      <c r="C34" s="773">
        <f t="shared" si="5"/>
        <v>0</v>
      </c>
      <c r="D34" s="767">
        <f t="shared" si="7"/>
        <v>0</v>
      </c>
      <c r="E34" s="776">
        <v>0</v>
      </c>
      <c r="F34" s="780">
        <f t="shared" si="8"/>
        <v>0</v>
      </c>
      <c r="G34" s="746"/>
      <c r="H34" s="747"/>
      <c r="I34" s="746"/>
      <c r="J34" s="744">
        <f t="shared" si="9"/>
        <v>0</v>
      </c>
      <c r="K34" s="744">
        <f t="shared" si="10"/>
        <v>0</v>
      </c>
      <c r="L34" s="744">
        <f t="shared" si="11"/>
        <v>0</v>
      </c>
      <c r="M34" s="744">
        <f t="shared" si="12"/>
        <v>0</v>
      </c>
      <c r="N34" s="744">
        <f t="shared" si="13"/>
        <v>0</v>
      </c>
      <c r="O34" s="744">
        <f t="shared" si="14"/>
        <v>0</v>
      </c>
      <c r="P34" s="744">
        <f t="shared" si="15"/>
        <v>0</v>
      </c>
      <c r="Q34" s="744">
        <f t="shared" si="16"/>
        <v>0</v>
      </c>
      <c r="R34" s="744">
        <f t="shared" si="17"/>
        <v>0</v>
      </c>
      <c r="S34" s="744">
        <f t="shared" si="18"/>
        <v>0</v>
      </c>
      <c r="T34" s="744">
        <f t="shared" si="19"/>
        <v>0</v>
      </c>
      <c r="U34" s="744">
        <f t="shared" si="20"/>
        <v>0</v>
      </c>
      <c r="V34" s="745">
        <f t="shared" si="21"/>
        <v>0</v>
      </c>
    </row>
    <row r="35" spans="1:22" x14ac:dyDescent="0.2">
      <c r="A35" s="53" t="s">
        <v>706</v>
      </c>
      <c r="B35" s="770">
        <f t="shared" si="6"/>
        <v>0</v>
      </c>
      <c r="C35" s="773">
        <f t="shared" si="5"/>
        <v>0</v>
      </c>
      <c r="D35" s="767">
        <f t="shared" si="7"/>
        <v>0</v>
      </c>
      <c r="E35" s="776">
        <v>0</v>
      </c>
      <c r="F35" s="780">
        <f t="shared" si="8"/>
        <v>0</v>
      </c>
      <c r="G35" s="746"/>
      <c r="H35" s="747"/>
      <c r="I35" s="746"/>
      <c r="J35" s="744">
        <f t="shared" si="9"/>
        <v>0</v>
      </c>
      <c r="K35" s="744">
        <f t="shared" si="10"/>
        <v>0</v>
      </c>
      <c r="L35" s="744">
        <f t="shared" si="11"/>
        <v>0</v>
      </c>
      <c r="M35" s="744">
        <f t="shared" si="12"/>
        <v>0</v>
      </c>
      <c r="N35" s="744">
        <f t="shared" si="13"/>
        <v>0</v>
      </c>
      <c r="O35" s="744">
        <f t="shared" si="14"/>
        <v>0</v>
      </c>
      <c r="P35" s="744">
        <f t="shared" si="15"/>
        <v>0</v>
      </c>
      <c r="Q35" s="744">
        <f t="shared" si="16"/>
        <v>0</v>
      </c>
      <c r="R35" s="744">
        <f t="shared" si="17"/>
        <v>0</v>
      </c>
      <c r="S35" s="744">
        <f t="shared" si="18"/>
        <v>0</v>
      </c>
      <c r="T35" s="744">
        <f t="shared" si="19"/>
        <v>0</v>
      </c>
      <c r="U35" s="744">
        <f t="shared" si="20"/>
        <v>0</v>
      </c>
      <c r="V35" s="745">
        <f t="shared" si="21"/>
        <v>0</v>
      </c>
    </row>
    <row r="36" spans="1:22" x14ac:dyDescent="0.2">
      <c r="A36" s="53" t="s">
        <v>707</v>
      </c>
      <c r="B36" s="770">
        <f t="shared" si="6"/>
        <v>0</v>
      </c>
      <c r="C36" s="773">
        <f t="shared" si="5"/>
        <v>0</v>
      </c>
      <c r="D36" s="767">
        <f t="shared" si="7"/>
        <v>0</v>
      </c>
      <c r="E36" s="776">
        <v>0</v>
      </c>
      <c r="F36" s="780">
        <f t="shared" si="8"/>
        <v>0</v>
      </c>
      <c r="G36" s="746"/>
      <c r="H36" s="747"/>
      <c r="I36" s="746"/>
      <c r="J36" s="744">
        <f t="shared" si="9"/>
        <v>0</v>
      </c>
      <c r="K36" s="744">
        <f t="shared" si="10"/>
        <v>0</v>
      </c>
      <c r="L36" s="744">
        <f t="shared" si="11"/>
        <v>0</v>
      </c>
      <c r="M36" s="744">
        <f t="shared" si="12"/>
        <v>0</v>
      </c>
      <c r="N36" s="744">
        <f t="shared" si="13"/>
        <v>0</v>
      </c>
      <c r="O36" s="744">
        <f t="shared" si="14"/>
        <v>0</v>
      </c>
      <c r="P36" s="744">
        <f t="shared" si="15"/>
        <v>0</v>
      </c>
      <c r="Q36" s="744">
        <f t="shared" si="16"/>
        <v>0</v>
      </c>
      <c r="R36" s="744">
        <f t="shared" si="17"/>
        <v>0</v>
      </c>
      <c r="S36" s="744">
        <f t="shared" si="18"/>
        <v>0</v>
      </c>
      <c r="T36" s="744">
        <f t="shared" si="19"/>
        <v>0</v>
      </c>
      <c r="U36" s="744">
        <f t="shared" si="20"/>
        <v>0</v>
      </c>
      <c r="V36" s="745">
        <f t="shared" si="21"/>
        <v>0</v>
      </c>
    </row>
    <row r="37" spans="1:22" x14ac:dyDescent="0.2">
      <c r="A37" s="53" t="s">
        <v>708</v>
      </c>
      <c r="B37" s="770">
        <f t="shared" si="6"/>
        <v>0</v>
      </c>
      <c r="C37" s="773">
        <f t="shared" si="5"/>
        <v>0</v>
      </c>
      <c r="D37" s="767">
        <f t="shared" si="7"/>
        <v>0</v>
      </c>
      <c r="E37" s="776">
        <v>0</v>
      </c>
      <c r="F37" s="780">
        <f t="shared" si="8"/>
        <v>0</v>
      </c>
      <c r="G37" s="746"/>
      <c r="H37" s="747"/>
      <c r="I37" s="746"/>
      <c r="J37" s="744">
        <f t="shared" si="9"/>
        <v>0</v>
      </c>
      <c r="K37" s="744">
        <f t="shared" si="10"/>
        <v>0</v>
      </c>
      <c r="L37" s="744">
        <f t="shared" si="11"/>
        <v>0</v>
      </c>
      <c r="M37" s="744">
        <f t="shared" si="12"/>
        <v>0</v>
      </c>
      <c r="N37" s="744">
        <f t="shared" si="13"/>
        <v>0</v>
      </c>
      <c r="O37" s="744">
        <f t="shared" si="14"/>
        <v>0</v>
      </c>
      <c r="P37" s="744">
        <f t="shared" si="15"/>
        <v>0</v>
      </c>
      <c r="Q37" s="744">
        <f t="shared" si="16"/>
        <v>0</v>
      </c>
      <c r="R37" s="744">
        <f t="shared" si="17"/>
        <v>0</v>
      </c>
      <c r="S37" s="744">
        <f t="shared" si="18"/>
        <v>0</v>
      </c>
      <c r="T37" s="744">
        <f t="shared" si="19"/>
        <v>0</v>
      </c>
      <c r="U37" s="744">
        <f t="shared" si="20"/>
        <v>0</v>
      </c>
      <c r="V37" s="745">
        <f t="shared" si="21"/>
        <v>0</v>
      </c>
    </row>
    <row r="38" spans="1:22" x14ac:dyDescent="0.2">
      <c r="A38" s="53" t="s">
        <v>709</v>
      </c>
      <c r="B38" s="770">
        <f t="shared" si="6"/>
        <v>0</v>
      </c>
      <c r="C38" s="773">
        <f t="shared" si="5"/>
        <v>0</v>
      </c>
      <c r="D38" s="767">
        <f t="shared" si="7"/>
        <v>0</v>
      </c>
      <c r="E38" s="776">
        <v>0</v>
      </c>
      <c r="F38" s="780">
        <f t="shared" si="8"/>
        <v>0</v>
      </c>
      <c r="G38" s="746"/>
      <c r="H38" s="747"/>
      <c r="I38" s="746"/>
      <c r="J38" s="744">
        <f t="shared" si="9"/>
        <v>0</v>
      </c>
      <c r="K38" s="744">
        <f t="shared" si="10"/>
        <v>0</v>
      </c>
      <c r="L38" s="744">
        <f t="shared" si="11"/>
        <v>0</v>
      </c>
      <c r="M38" s="744">
        <f t="shared" si="12"/>
        <v>0</v>
      </c>
      <c r="N38" s="744">
        <f t="shared" si="13"/>
        <v>0</v>
      </c>
      <c r="O38" s="744">
        <f t="shared" si="14"/>
        <v>0</v>
      </c>
      <c r="P38" s="744">
        <f t="shared" si="15"/>
        <v>0</v>
      </c>
      <c r="Q38" s="744">
        <f t="shared" si="16"/>
        <v>0</v>
      </c>
      <c r="R38" s="744">
        <f t="shared" si="17"/>
        <v>0</v>
      </c>
      <c r="S38" s="744">
        <f t="shared" si="18"/>
        <v>0</v>
      </c>
      <c r="T38" s="744">
        <f t="shared" si="19"/>
        <v>0</v>
      </c>
      <c r="U38" s="744">
        <f t="shared" si="20"/>
        <v>0</v>
      </c>
      <c r="V38" s="745">
        <f t="shared" si="21"/>
        <v>0</v>
      </c>
    </row>
    <row r="39" spans="1:22" x14ac:dyDescent="0.2">
      <c r="A39" s="53" t="s">
        <v>710</v>
      </c>
      <c r="B39" s="770">
        <f t="shared" si="6"/>
        <v>0</v>
      </c>
      <c r="C39" s="773">
        <f t="shared" si="5"/>
        <v>0</v>
      </c>
      <c r="D39" s="767">
        <f t="shared" si="7"/>
        <v>0</v>
      </c>
      <c r="E39" s="776">
        <v>0</v>
      </c>
      <c r="F39" s="780">
        <f t="shared" si="8"/>
        <v>0</v>
      </c>
      <c r="G39" s="746"/>
      <c r="H39" s="747"/>
      <c r="I39" s="746"/>
      <c r="J39" s="744">
        <f t="shared" si="9"/>
        <v>0</v>
      </c>
      <c r="K39" s="744">
        <f t="shared" si="10"/>
        <v>0</v>
      </c>
      <c r="L39" s="744">
        <f t="shared" si="11"/>
        <v>0</v>
      </c>
      <c r="M39" s="744">
        <f t="shared" si="12"/>
        <v>0</v>
      </c>
      <c r="N39" s="744">
        <f t="shared" si="13"/>
        <v>0</v>
      </c>
      <c r="O39" s="744">
        <f t="shared" si="14"/>
        <v>0</v>
      </c>
      <c r="P39" s="744">
        <f t="shared" si="15"/>
        <v>0</v>
      </c>
      <c r="Q39" s="744">
        <f t="shared" si="16"/>
        <v>0</v>
      </c>
      <c r="R39" s="744">
        <f t="shared" si="17"/>
        <v>0</v>
      </c>
      <c r="S39" s="744">
        <f t="shared" si="18"/>
        <v>0</v>
      </c>
      <c r="T39" s="744">
        <f t="shared" si="19"/>
        <v>0</v>
      </c>
      <c r="U39" s="744">
        <f t="shared" si="20"/>
        <v>0</v>
      </c>
      <c r="V39" s="745">
        <f t="shared" si="21"/>
        <v>0</v>
      </c>
    </row>
    <row r="40" spans="1:22" ht="13.5" thickBot="1" x14ac:dyDescent="0.25">
      <c r="A40" s="53" t="s">
        <v>711</v>
      </c>
      <c r="B40" s="770">
        <f t="shared" si="6"/>
        <v>0</v>
      </c>
      <c r="C40" s="773">
        <f t="shared" si="5"/>
        <v>0</v>
      </c>
      <c r="D40" s="767">
        <f t="shared" si="7"/>
        <v>0</v>
      </c>
      <c r="E40" s="776">
        <v>0</v>
      </c>
      <c r="F40" s="780">
        <f t="shared" si="8"/>
        <v>0</v>
      </c>
      <c r="G40" s="748"/>
      <c r="H40" s="749"/>
      <c r="I40" s="748"/>
      <c r="J40" s="744">
        <f t="shared" si="9"/>
        <v>0</v>
      </c>
      <c r="K40" s="744">
        <f t="shared" si="10"/>
        <v>0</v>
      </c>
      <c r="L40" s="744">
        <f t="shared" si="11"/>
        <v>0</v>
      </c>
      <c r="M40" s="744">
        <f t="shared" si="12"/>
        <v>0</v>
      </c>
      <c r="N40" s="744">
        <f t="shared" si="13"/>
        <v>0</v>
      </c>
      <c r="O40" s="744">
        <f t="shared" si="14"/>
        <v>0</v>
      </c>
      <c r="P40" s="744">
        <f t="shared" si="15"/>
        <v>0</v>
      </c>
      <c r="Q40" s="744">
        <f t="shared" si="16"/>
        <v>0</v>
      </c>
      <c r="R40" s="744">
        <f t="shared" si="17"/>
        <v>0</v>
      </c>
      <c r="S40" s="744">
        <f t="shared" si="18"/>
        <v>0</v>
      </c>
      <c r="T40" s="744">
        <f t="shared" si="19"/>
        <v>0</v>
      </c>
      <c r="U40" s="744">
        <f t="shared" si="20"/>
        <v>0</v>
      </c>
      <c r="V40" s="745">
        <f t="shared" si="21"/>
        <v>0</v>
      </c>
    </row>
    <row r="41" spans="1:22" x14ac:dyDescent="0.2">
      <c r="B41" s="771">
        <f>SUM(B17:B40)</f>
        <v>5121.2256699999998</v>
      </c>
      <c r="C41" s="774">
        <f>SUM(C17:C40)</f>
        <v>6658.2933709999998</v>
      </c>
      <c r="D41" s="779">
        <f>SUM(D17:D40)</f>
        <v>3</v>
      </c>
      <c r="E41" s="777"/>
      <c r="F41" s="781">
        <f>SUM(F17:F40)</f>
        <v>5</v>
      </c>
      <c r="I41" s="20"/>
    </row>
    <row r="42" spans="1:22" x14ac:dyDescent="0.2">
      <c r="G42" s="1"/>
      <c r="H42" s="1"/>
      <c r="J42" s="20"/>
    </row>
    <row r="45" spans="1:22" ht="138.75" x14ac:dyDescent="0.2">
      <c r="I45" s="71" t="s">
        <v>1159</v>
      </c>
      <c r="J45" s="291" t="s">
        <v>1219</v>
      </c>
      <c r="K45" s="57" t="s">
        <v>991</v>
      </c>
      <c r="L45" s="57" t="s">
        <v>992</v>
      </c>
      <c r="M45" s="57" t="s">
        <v>355</v>
      </c>
    </row>
    <row r="46" spans="1:22" x14ac:dyDescent="0.2">
      <c r="I46" s="56">
        <f>VLOOKUP(I45,prezzi,5,)</f>
        <v>5120.2256699999998</v>
      </c>
      <c r="J46" s="56">
        <f>VLOOKUP(J45,prezzi,5,)</f>
        <v>590.36424</v>
      </c>
      <c r="K46" s="56">
        <f>VLOOKUP(K45,prezzi,5,)</f>
        <v>57.705599999999997</v>
      </c>
      <c r="L46" s="56">
        <f>VLOOKUP(L45,prezzi,5,)</f>
        <v>133.85511</v>
      </c>
      <c r="M46" s="56">
        <f>VLOOKUP(M45,prezzi,5,)</f>
        <v>238.30611000000002</v>
      </c>
    </row>
    <row r="47" spans="1:22" x14ac:dyDescent="0.2">
      <c r="A47" s="40"/>
      <c r="B47" s="40"/>
      <c r="C47" s="40"/>
      <c r="D47" s="40"/>
      <c r="E47" s="40"/>
      <c r="F47" s="40"/>
      <c r="G47" s="40"/>
      <c r="J47">
        <f>CEILING(SUM(K47:L47)/12,1)</f>
        <v>0</v>
      </c>
      <c r="K47">
        <f>CEILING(SUM(K2:L2)/4,1)</f>
        <v>0</v>
      </c>
      <c r="L47">
        <f>CEILING(M2/4,1)</f>
        <v>0</v>
      </c>
      <c r="M47">
        <f>CEILING(O2/2,1)</f>
        <v>0</v>
      </c>
      <c r="N47" s="16"/>
    </row>
    <row r="48" spans="1:22" x14ac:dyDescent="0.2">
      <c r="A48" s="53" t="s">
        <v>652</v>
      </c>
      <c r="B48" s="53"/>
      <c r="C48" s="53"/>
      <c r="D48" s="53"/>
      <c r="E48" s="53"/>
      <c r="F48" s="53"/>
      <c r="G48" s="41">
        <f>SUM(I48:M48)</f>
        <v>0</v>
      </c>
      <c r="H48" s="41"/>
      <c r="I48" s="55"/>
      <c r="J48" s="55">
        <f>J$46*J47</f>
        <v>0</v>
      </c>
      <c r="K48" s="55">
        <f>K$46*K47</f>
        <v>0</v>
      </c>
      <c r="L48" s="55">
        <f>L$46*L47</f>
        <v>0</v>
      </c>
      <c r="M48" s="55">
        <f>M$46*M47</f>
        <v>0</v>
      </c>
      <c r="N48" s="16"/>
    </row>
    <row r="49" spans="1:13" x14ac:dyDescent="0.2">
      <c r="A49" s="40"/>
      <c r="B49" s="40"/>
      <c r="C49" s="40"/>
      <c r="D49" s="40"/>
      <c r="E49" s="40"/>
      <c r="F49" s="40"/>
      <c r="G49" s="40"/>
      <c r="J49">
        <f>CEILING(SUM(K49:L49)/12,1)</f>
        <v>0</v>
      </c>
      <c r="K49">
        <f>CEILING(SUM(K3:L3)/4,1)</f>
        <v>0</v>
      </c>
      <c r="L49">
        <f>CEILING(M3/4,1)</f>
        <v>0</v>
      </c>
      <c r="M49">
        <f>CEILING(O3/2,1)</f>
        <v>0</v>
      </c>
    </row>
    <row r="50" spans="1:13" x14ac:dyDescent="0.2">
      <c r="A50" s="53" t="s">
        <v>703</v>
      </c>
      <c r="B50" s="53"/>
      <c r="C50" s="53"/>
      <c r="D50" s="53"/>
      <c r="E50" s="53"/>
      <c r="F50" s="53"/>
      <c r="G50" s="41">
        <f>SUM(I50:M50)</f>
        <v>0</v>
      </c>
      <c r="H50" s="41"/>
      <c r="I50" s="55"/>
      <c r="J50" s="55">
        <f>J$46*J49</f>
        <v>0</v>
      </c>
      <c r="K50" s="55">
        <f>K$46*K49</f>
        <v>0</v>
      </c>
      <c r="L50" s="55">
        <f>L$46*L49</f>
        <v>0</v>
      </c>
      <c r="M50" s="55">
        <f>M$46*M49</f>
        <v>0</v>
      </c>
    </row>
    <row r="51" spans="1:13" x14ac:dyDescent="0.2">
      <c r="A51" s="40"/>
      <c r="B51" s="40"/>
      <c r="C51" s="40"/>
      <c r="D51" s="40"/>
      <c r="E51" s="40"/>
      <c r="F51" s="40"/>
      <c r="G51" s="40"/>
      <c r="J51">
        <f>CEILING(SUM(K51:L51)/12,1)</f>
        <v>0</v>
      </c>
      <c r="K51">
        <f>CEILING(SUM(K4:L4)/4,1)</f>
        <v>0</v>
      </c>
      <c r="L51">
        <f>CEILING(M4/4,1)</f>
        <v>0</v>
      </c>
      <c r="M51">
        <f>CEILING(O4/2,1)</f>
        <v>0</v>
      </c>
    </row>
    <row r="52" spans="1:13" x14ac:dyDescent="0.2">
      <c r="A52" s="53" t="s">
        <v>704</v>
      </c>
      <c r="B52" s="53"/>
      <c r="C52" s="53"/>
      <c r="D52" s="53"/>
      <c r="E52" s="53"/>
      <c r="F52" s="53"/>
      <c r="G52" s="41">
        <f>SUM(I52:M52)</f>
        <v>0</v>
      </c>
      <c r="H52" s="41"/>
      <c r="I52" s="55"/>
      <c r="J52" s="55">
        <f>J$46*J51</f>
        <v>0</v>
      </c>
      <c r="K52" s="55">
        <f>K$46*K51</f>
        <v>0</v>
      </c>
      <c r="L52" s="55">
        <f>L$46*L51</f>
        <v>0</v>
      </c>
      <c r="M52" s="55">
        <f>M$46*M51</f>
        <v>0</v>
      </c>
    </row>
    <row r="53" spans="1:13" x14ac:dyDescent="0.2">
      <c r="A53" s="40"/>
      <c r="B53" s="40"/>
      <c r="C53" s="40"/>
      <c r="D53" s="40"/>
      <c r="E53" s="40"/>
      <c r="F53" s="40"/>
      <c r="G53" s="40"/>
      <c r="J53">
        <f>CEILING(SUM(K53:L53)/12,1)</f>
        <v>0</v>
      </c>
      <c r="K53">
        <f>CEILING(SUM(K5:L5)/4,1)</f>
        <v>0</v>
      </c>
      <c r="L53">
        <f>CEILING(M5/4,1)</f>
        <v>0</v>
      </c>
      <c r="M53">
        <f>CEILING(O5/2,1)</f>
        <v>0</v>
      </c>
    </row>
    <row r="54" spans="1:13" x14ac:dyDescent="0.2">
      <c r="A54" s="53" t="s">
        <v>705</v>
      </c>
      <c r="B54" s="53"/>
      <c r="C54" s="53"/>
      <c r="D54" s="53"/>
      <c r="E54" s="53"/>
      <c r="F54" s="53"/>
      <c r="G54" s="41">
        <f>SUM(I54:M54)</f>
        <v>0</v>
      </c>
      <c r="H54" s="41"/>
      <c r="I54" s="55"/>
      <c r="J54" s="55">
        <f>J$46*J53</f>
        <v>0</v>
      </c>
      <c r="K54" s="55">
        <f>K$46*K53</f>
        <v>0</v>
      </c>
      <c r="L54" s="55">
        <f>L$46*L53</f>
        <v>0</v>
      </c>
      <c r="M54" s="55">
        <f>M$46*M53</f>
        <v>0</v>
      </c>
    </row>
    <row r="55" spans="1:13" x14ac:dyDescent="0.2">
      <c r="A55" s="40"/>
      <c r="B55" s="40"/>
      <c r="C55" s="40"/>
      <c r="D55" s="40"/>
      <c r="E55" s="40"/>
      <c r="F55" s="40"/>
      <c r="G55" s="40"/>
      <c r="J55">
        <f>CEILING(SUM(K55:L55)/12,1)</f>
        <v>0</v>
      </c>
      <c r="K55">
        <f>CEILING(SUM(K6:L6)/4,1)</f>
        <v>0</v>
      </c>
      <c r="L55">
        <f>CEILING(M6/4,1)</f>
        <v>0</v>
      </c>
      <c r="M55">
        <f>CEILING(O6/2,1)</f>
        <v>0</v>
      </c>
    </row>
    <row r="56" spans="1:13" x14ac:dyDescent="0.2">
      <c r="A56" s="53" t="s">
        <v>706</v>
      </c>
      <c r="B56" s="53"/>
      <c r="C56" s="53"/>
      <c r="D56" s="53"/>
      <c r="E56" s="53"/>
      <c r="F56" s="53"/>
      <c r="G56" s="41">
        <f>SUM(I56:M56)</f>
        <v>0</v>
      </c>
      <c r="H56" s="41"/>
      <c r="I56" s="55"/>
      <c r="J56" s="55">
        <f>J$46*J55</f>
        <v>0</v>
      </c>
      <c r="K56" s="55">
        <f>K$46*K55</f>
        <v>0</v>
      </c>
      <c r="L56" s="55">
        <f>L$46*L55</f>
        <v>0</v>
      </c>
      <c r="M56" s="55">
        <f>M$46*M55</f>
        <v>0</v>
      </c>
    </row>
    <row r="57" spans="1:13" x14ac:dyDescent="0.2">
      <c r="A57" s="40"/>
      <c r="B57" s="40"/>
      <c r="C57" s="40"/>
      <c r="D57" s="40"/>
      <c r="E57" s="40"/>
      <c r="F57" s="40"/>
      <c r="G57" s="40"/>
      <c r="J57">
        <f>CEILING(SUM(K57:L57)/12,1)</f>
        <v>0</v>
      </c>
      <c r="K57">
        <f>CEILING(SUM(K7:L7)/4,1)</f>
        <v>0</v>
      </c>
      <c r="L57">
        <f>CEILING(M7/4,1)</f>
        <v>0</v>
      </c>
      <c r="M57">
        <f>CEILING(O7/2,1)</f>
        <v>0</v>
      </c>
    </row>
    <row r="58" spans="1:13" x14ac:dyDescent="0.2">
      <c r="A58" s="53" t="s">
        <v>707</v>
      </c>
      <c r="B58" s="53"/>
      <c r="C58" s="53"/>
      <c r="D58" s="53"/>
      <c r="E58" s="53"/>
      <c r="F58" s="53"/>
      <c r="G58" s="41">
        <f>SUM(I58:M58)</f>
        <v>0</v>
      </c>
      <c r="H58" s="41"/>
      <c r="I58" s="55"/>
      <c r="J58" s="55">
        <f>J$46*J57</f>
        <v>0</v>
      </c>
      <c r="K58" s="55">
        <f>K$46*K57</f>
        <v>0</v>
      </c>
      <c r="L58" s="55">
        <f>L$46*L57</f>
        <v>0</v>
      </c>
      <c r="M58" s="55">
        <f>M$46*M57</f>
        <v>0</v>
      </c>
    </row>
    <row r="59" spans="1:13" x14ac:dyDescent="0.2">
      <c r="A59" s="40"/>
      <c r="B59" s="40"/>
      <c r="C59" s="40"/>
      <c r="D59" s="40"/>
      <c r="E59" s="40"/>
      <c r="F59" s="40"/>
      <c r="G59" s="40"/>
      <c r="J59">
        <f>CEILING(SUM(K59:L59)/12,1)</f>
        <v>0</v>
      </c>
      <c r="K59">
        <f>CEILING(SUM(K8:L8)/4,1)</f>
        <v>0</v>
      </c>
      <c r="L59">
        <f>CEILING(M8/4,1)</f>
        <v>0</v>
      </c>
      <c r="M59">
        <f>CEILING(O8/2,1)</f>
        <v>0</v>
      </c>
    </row>
    <row r="60" spans="1:13" x14ac:dyDescent="0.2">
      <c r="A60" s="53" t="s">
        <v>708</v>
      </c>
      <c r="B60" s="53"/>
      <c r="C60" s="53"/>
      <c r="D60" s="53"/>
      <c r="E60" s="53"/>
      <c r="F60" s="53"/>
      <c r="G60" s="41">
        <f>SUM(I60:M60)</f>
        <v>0</v>
      </c>
      <c r="H60" s="41"/>
      <c r="I60" s="55"/>
      <c r="J60" s="55">
        <f>J$46*J59</f>
        <v>0</v>
      </c>
      <c r="K60" s="55">
        <f>K$46*K59</f>
        <v>0</v>
      </c>
      <c r="L60" s="55">
        <f>L$46*L59</f>
        <v>0</v>
      </c>
      <c r="M60" s="55">
        <f>M$46*M59</f>
        <v>0</v>
      </c>
    </row>
    <row r="61" spans="1:13" x14ac:dyDescent="0.2">
      <c r="A61" s="40"/>
      <c r="B61" s="40"/>
      <c r="C61" s="40"/>
      <c r="D61" s="40"/>
      <c r="E61" s="40"/>
      <c r="F61" s="40"/>
      <c r="G61" s="40"/>
      <c r="J61">
        <f>CEILING(SUM(K61:L61)/12,1)</f>
        <v>0</v>
      </c>
      <c r="K61">
        <f>CEILING(SUM(K9:L9)/4,1)</f>
        <v>0</v>
      </c>
      <c r="L61">
        <f>CEILING(M9/4,1)</f>
        <v>0</v>
      </c>
      <c r="M61">
        <f>CEILING(O9/2,1)</f>
        <v>0</v>
      </c>
    </row>
    <row r="62" spans="1:13" x14ac:dyDescent="0.2">
      <c r="A62" s="53" t="s">
        <v>709</v>
      </c>
      <c r="B62" s="53"/>
      <c r="C62" s="53"/>
      <c r="D62" s="53"/>
      <c r="E62" s="53"/>
      <c r="F62" s="53"/>
      <c r="G62" s="41">
        <f>SUM(I62:M62)</f>
        <v>0</v>
      </c>
      <c r="H62" s="41"/>
      <c r="I62" s="55"/>
      <c r="J62" s="55">
        <f>J$46*J61</f>
        <v>0</v>
      </c>
      <c r="K62" s="55">
        <f>K$46*K61</f>
        <v>0</v>
      </c>
      <c r="L62" s="55">
        <f>L$46*L61</f>
        <v>0</v>
      </c>
      <c r="M62" s="55">
        <f>M$46*M61</f>
        <v>0</v>
      </c>
    </row>
    <row r="63" spans="1:13" x14ac:dyDescent="0.2">
      <c r="A63" s="40"/>
      <c r="B63" s="40"/>
      <c r="C63" s="40"/>
      <c r="D63" s="40"/>
      <c r="E63" s="40"/>
      <c r="F63" s="40"/>
      <c r="G63" s="40"/>
      <c r="J63">
        <f>CEILING(SUM(K63:L63)/12,1)</f>
        <v>0</v>
      </c>
      <c r="K63">
        <f>CEILING(SUM(K10:L10)/4,1)</f>
        <v>0</v>
      </c>
      <c r="L63">
        <f>CEILING(M10/4,1)</f>
        <v>0</v>
      </c>
      <c r="M63">
        <f>CEILING(O10/2,1)</f>
        <v>0</v>
      </c>
    </row>
    <row r="64" spans="1:13" x14ac:dyDescent="0.2">
      <c r="A64" s="53" t="s">
        <v>710</v>
      </c>
      <c r="B64" s="53"/>
      <c r="C64" s="53"/>
      <c r="D64" s="53"/>
      <c r="E64" s="53"/>
      <c r="F64" s="53"/>
      <c r="G64" s="41">
        <f>SUM(I64:M64)</f>
        <v>0</v>
      </c>
      <c r="H64" s="41"/>
      <c r="I64" s="55"/>
      <c r="J64" s="55">
        <f>J$46*J63</f>
        <v>0</v>
      </c>
      <c r="K64" s="55">
        <f>K$46*K63</f>
        <v>0</v>
      </c>
      <c r="L64" s="55">
        <f>L$46*L63</f>
        <v>0</v>
      </c>
      <c r="M64" s="55">
        <f>M$46*M63</f>
        <v>0</v>
      </c>
    </row>
    <row r="65" spans="1:15" x14ac:dyDescent="0.2">
      <c r="A65" s="40"/>
      <c r="B65" s="40"/>
      <c r="C65" s="40"/>
      <c r="D65" s="40"/>
      <c r="E65" s="40"/>
      <c r="F65" s="40"/>
      <c r="G65" s="40"/>
      <c r="J65">
        <f>CEILING(SUM(K65:L65)/12,1)</f>
        <v>0</v>
      </c>
      <c r="K65">
        <f>CEILING(SUM(K11:L11)/4,1)</f>
        <v>0</v>
      </c>
      <c r="L65">
        <f>CEILING(M11/4,1)</f>
        <v>0</v>
      </c>
      <c r="M65">
        <f>CEILING(O11/2,1)</f>
        <v>0</v>
      </c>
    </row>
    <row r="66" spans="1:15" x14ac:dyDescent="0.2">
      <c r="A66" s="53" t="s">
        <v>711</v>
      </c>
      <c r="B66" s="53"/>
      <c r="C66" s="53"/>
      <c r="D66" s="53"/>
      <c r="E66" s="53"/>
      <c r="F66" s="53"/>
      <c r="G66" s="41">
        <f>SUM(I66:M66)</f>
        <v>0</v>
      </c>
      <c r="H66" s="41"/>
      <c r="I66" s="55"/>
      <c r="J66" s="55">
        <f>J$46*J65</f>
        <v>0</v>
      </c>
      <c r="K66" s="55">
        <f>K$46*K65</f>
        <v>0</v>
      </c>
      <c r="L66" s="55">
        <f>L$46*L65</f>
        <v>0</v>
      </c>
      <c r="M66" s="55">
        <f>M$46*M65</f>
        <v>0</v>
      </c>
    </row>
    <row r="67" spans="1:15" ht="13.5" thickBot="1" x14ac:dyDescent="0.25">
      <c r="G67" s="43">
        <f>SUM(G47:G66)</f>
        <v>0</v>
      </c>
      <c r="H67" s="362"/>
    </row>
    <row r="72" spans="1:15" ht="150" hidden="1" x14ac:dyDescent="0.2">
      <c r="I72" s="57"/>
      <c r="J72" s="54" t="s">
        <v>988</v>
      </c>
      <c r="K72" s="54" t="s">
        <v>989</v>
      </c>
      <c r="L72" s="54" t="s">
        <v>990</v>
      </c>
      <c r="M72" s="54" t="s">
        <v>631</v>
      </c>
      <c r="O72" s="16"/>
    </row>
    <row r="73" spans="1:15" hidden="1" x14ac:dyDescent="0.2">
      <c r="I73" s="56"/>
      <c r="J73" s="56" t="e">
        <f>VLOOKUP(J72,prezzi,5,)</f>
        <v>#N/A</v>
      </c>
      <c r="K73" s="56" t="e">
        <f>VLOOKUP(K72,prezzi,5,)</f>
        <v>#N/A</v>
      </c>
      <c r="L73" s="56" t="e">
        <f>VLOOKUP(L72,prezzi,5,)</f>
        <v>#N/A</v>
      </c>
      <c r="M73" s="67">
        <v>95.3</v>
      </c>
    </row>
    <row r="74" spans="1:15" hidden="1" x14ac:dyDescent="0.2">
      <c r="A74" s="40"/>
      <c r="B74" s="40"/>
      <c r="C74" s="40"/>
      <c r="D74" s="40"/>
      <c r="E74" s="40"/>
      <c r="F74" s="40"/>
      <c r="G74" s="40"/>
      <c r="J74">
        <f>CEILING(SUM(K74:M74)/6,1)</f>
        <v>0</v>
      </c>
      <c r="K74">
        <f>CEILING(SUM(K2:L2)/16,1)</f>
        <v>0</v>
      </c>
      <c r="L74">
        <f>CEILING(M2/16,1)</f>
        <v>0</v>
      </c>
      <c r="M74">
        <f>CEILING(O2/4,1)</f>
        <v>0</v>
      </c>
      <c r="N74" s="16"/>
    </row>
    <row r="75" spans="1:15" hidden="1" x14ac:dyDescent="0.2">
      <c r="A75" s="53" t="s">
        <v>652</v>
      </c>
      <c r="B75" s="53"/>
      <c r="C75" s="53"/>
      <c r="D75" s="53"/>
      <c r="E75" s="53"/>
      <c r="F75" s="53"/>
      <c r="G75" s="41" t="e">
        <f>SUM(I75:M75)</f>
        <v>#REF!</v>
      </c>
      <c r="H75" s="41"/>
      <c r="I75" s="55" t="e">
        <f>#REF!*I74</f>
        <v>#REF!</v>
      </c>
      <c r="J75" s="55" t="e">
        <f>#REF!*J74</f>
        <v>#REF!</v>
      </c>
      <c r="K75" s="55" t="e">
        <f>#REF!*K74</f>
        <v>#REF!</v>
      </c>
      <c r="L75" s="55" t="e">
        <f>#REF!*L74</f>
        <v>#REF!</v>
      </c>
      <c r="M75" s="55" t="e">
        <f>#REF!*M74</f>
        <v>#REF!</v>
      </c>
      <c r="N75" s="16"/>
    </row>
    <row r="76" spans="1:15" hidden="1" x14ac:dyDescent="0.2">
      <c r="A76" s="40"/>
      <c r="B76" s="40"/>
      <c r="C76" s="40"/>
      <c r="D76" s="40"/>
      <c r="E76" s="40"/>
      <c r="F76" s="40"/>
      <c r="G76" s="40"/>
      <c r="J76">
        <f>CEILING(SUM(K76:M76)/6,1)</f>
        <v>0</v>
      </c>
      <c r="K76">
        <f>CEILING(SUM(K3:L3)/16,1)</f>
        <v>0</v>
      </c>
      <c r="L76">
        <f>CEILING(M3/16,1)</f>
        <v>0</v>
      </c>
      <c r="M76">
        <f>CEILING(O3/4,1)</f>
        <v>0</v>
      </c>
    </row>
    <row r="77" spans="1:15" hidden="1" x14ac:dyDescent="0.2">
      <c r="A77" s="53" t="s">
        <v>703</v>
      </c>
      <c r="B77" s="53"/>
      <c r="C77" s="53"/>
      <c r="D77" s="53"/>
      <c r="E77" s="53"/>
      <c r="F77" s="53"/>
      <c r="G77" s="41" t="e">
        <f>SUM(I77:M77)</f>
        <v>#REF!</v>
      </c>
      <c r="H77" s="41"/>
      <c r="I77" s="55" t="e">
        <f>#REF!*I76</f>
        <v>#REF!</v>
      </c>
      <c r="J77" s="55" t="e">
        <f>#REF!*J76</f>
        <v>#REF!</v>
      </c>
      <c r="K77" s="55" t="e">
        <f>#REF!*K76</f>
        <v>#REF!</v>
      </c>
      <c r="L77" s="55" t="e">
        <f>#REF!*L76</f>
        <v>#REF!</v>
      </c>
      <c r="M77" s="55" t="e">
        <f>#REF!*M76</f>
        <v>#REF!</v>
      </c>
    </row>
    <row r="78" spans="1:15" hidden="1" x14ac:dyDescent="0.2">
      <c r="A78" s="40"/>
      <c r="B78" s="40"/>
      <c r="C78" s="40"/>
      <c r="D78" s="40"/>
      <c r="E78" s="40"/>
      <c r="F78" s="40"/>
      <c r="G78" s="40"/>
      <c r="J78">
        <f>CEILING(SUM(K78:M78)/6,1)</f>
        <v>0</v>
      </c>
      <c r="K78">
        <f>CEILING(SUM(K4:L4)/16,1)</f>
        <v>0</v>
      </c>
      <c r="L78">
        <f>CEILING(M4/16,1)</f>
        <v>0</v>
      </c>
      <c r="M78">
        <f>CEILING(O4/4,1)</f>
        <v>0</v>
      </c>
    </row>
    <row r="79" spans="1:15" hidden="1" x14ac:dyDescent="0.2">
      <c r="A79" s="53" t="s">
        <v>704</v>
      </c>
      <c r="B79" s="53"/>
      <c r="C79" s="53"/>
      <c r="D79" s="53"/>
      <c r="E79" s="53"/>
      <c r="F79" s="53"/>
      <c r="G79" s="41" t="e">
        <f>SUM(I79:M79)</f>
        <v>#REF!</v>
      </c>
      <c r="H79" s="41"/>
      <c r="I79" s="55" t="e">
        <f>#REF!*I78</f>
        <v>#REF!</v>
      </c>
      <c r="J79" s="55" t="e">
        <f>#REF!*J78</f>
        <v>#REF!</v>
      </c>
      <c r="K79" s="55" t="e">
        <f>#REF!*K78</f>
        <v>#REF!</v>
      </c>
      <c r="L79" s="55" t="e">
        <f>#REF!*L78</f>
        <v>#REF!</v>
      </c>
      <c r="M79" s="55" t="e">
        <f>#REF!*M78</f>
        <v>#REF!</v>
      </c>
    </row>
    <row r="80" spans="1:15" hidden="1" x14ac:dyDescent="0.2">
      <c r="A80" s="40"/>
      <c r="B80" s="40"/>
      <c r="C80" s="40"/>
      <c r="D80" s="40"/>
      <c r="E80" s="40"/>
      <c r="F80" s="40"/>
      <c r="G80" s="40"/>
      <c r="J80">
        <f>CEILING(SUM(K80:M80)/6,1)</f>
        <v>0</v>
      </c>
      <c r="K80">
        <f>CEILING(SUM(K5:L5)/16,1)</f>
        <v>0</v>
      </c>
      <c r="L80">
        <f>CEILING(M5/16,1)</f>
        <v>0</v>
      </c>
      <c r="M80">
        <f>CEILING(O5/4,1)</f>
        <v>0</v>
      </c>
    </row>
    <row r="81" spans="1:13" hidden="1" x14ac:dyDescent="0.2">
      <c r="A81" s="53" t="s">
        <v>705</v>
      </c>
      <c r="B81" s="53"/>
      <c r="C81" s="53"/>
      <c r="D81" s="53"/>
      <c r="E81" s="53"/>
      <c r="F81" s="53"/>
      <c r="G81" s="41" t="e">
        <f>SUM(I81:M81)</f>
        <v>#REF!</v>
      </c>
      <c r="H81" s="41"/>
      <c r="I81" s="55" t="e">
        <f>#REF!*I80</f>
        <v>#REF!</v>
      </c>
      <c r="J81" s="55" t="e">
        <f>#REF!*J80</f>
        <v>#REF!</v>
      </c>
      <c r="K81" s="55" t="e">
        <f>#REF!*K80</f>
        <v>#REF!</v>
      </c>
      <c r="L81" s="55" t="e">
        <f>#REF!*L80</f>
        <v>#REF!</v>
      </c>
      <c r="M81" s="55" t="e">
        <f>#REF!*M80</f>
        <v>#REF!</v>
      </c>
    </row>
    <row r="82" spans="1:13" hidden="1" x14ac:dyDescent="0.2">
      <c r="A82" s="40"/>
      <c r="B82" s="40"/>
      <c r="C82" s="40"/>
      <c r="D82" s="40"/>
      <c r="E82" s="40"/>
      <c r="F82" s="40"/>
      <c r="G82" s="40"/>
      <c r="J82">
        <f>CEILING(SUM(K82:M82)/6,1)</f>
        <v>0</v>
      </c>
      <c r="K82">
        <f>CEILING(SUM(K6:L6)/16,1)</f>
        <v>0</v>
      </c>
      <c r="L82">
        <f>CEILING(M6/16,1)</f>
        <v>0</v>
      </c>
      <c r="M82">
        <f>CEILING(O6/4,1)</f>
        <v>0</v>
      </c>
    </row>
    <row r="83" spans="1:13" hidden="1" x14ac:dyDescent="0.2">
      <c r="A83" s="53" t="s">
        <v>706</v>
      </c>
      <c r="B83" s="53"/>
      <c r="C83" s="53"/>
      <c r="D83" s="53"/>
      <c r="E83" s="53"/>
      <c r="F83" s="53"/>
      <c r="G83" s="41" t="e">
        <f>SUM(I83:M83)</f>
        <v>#REF!</v>
      </c>
      <c r="H83" s="41"/>
      <c r="I83" s="55" t="e">
        <f>#REF!*I82</f>
        <v>#REF!</v>
      </c>
      <c r="J83" s="55" t="e">
        <f>#REF!*J82</f>
        <v>#REF!</v>
      </c>
      <c r="K83" s="55" t="e">
        <f>#REF!*K82</f>
        <v>#REF!</v>
      </c>
      <c r="L83" s="55" t="e">
        <f>#REF!*L82</f>
        <v>#REF!</v>
      </c>
      <c r="M83" s="55" t="e">
        <f>#REF!*M82</f>
        <v>#REF!</v>
      </c>
    </row>
    <row r="84" spans="1:13" hidden="1" x14ac:dyDescent="0.2">
      <c r="A84" s="40"/>
      <c r="B84" s="40"/>
      <c r="C84" s="40"/>
      <c r="D84" s="40"/>
      <c r="E84" s="40"/>
      <c r="F84" s="40"/>
      <c r="G84" s="40"/>
      <c r="J84">
        <f>CEILING(SUM(K84:M84)/6,1)</f>
        <v>0</v>
      </c>
      <c r="K84">
        <f>CEILING(SUM(K7:L7)/16,1)</f>
        <v>0</v>
      </c>
      <c r="L84">
        <f>CEILING(M7/16,1)</f>
        <v>0</v>
      </c>
      <c r="M84">
        <f>CEILING(O7/4,1)</f>
        <v>0</v>
      </c>
    </row>
    <row r="85" spans="1:13" hidden="1" x14ac:dyDescent="0.2">
      <c r="A85" s="53" t="s">
        <v>707</v>
      </c>
      <c r="B85" s="53"/>
      <c r="C85" s="53"/>
      <c r="D85" s="53"/>
      <c r="E85" s="53"/>
      <c r="F85" s="53"/>
      <c r="G85" s="41" t="e">
        <f>SUM(I85:M85)</f>
        <v>#REF!</v>
      </c>
      <c r="H85" s="41"/>
      <c r="I85" s="55" t="e">
        <f>#REF!*I84</f>
        <v>#REF!</v>
      </c>
      <c r="J85" s="55" t="e">
        <f>#REF!*J84</f>
        <v>#REF!</v>
      </c>
      <c r="K85" s="55" t="e">
        <f>#REF!*K84</f>
        <v>#REF!</v>
      </c>
      <c r="L85" s="55" t="e">
        <f>#REF!*L84</f>
        <v>#REF!</v>
      </c>
      <c r="M85" s="55" t="e">
        <f>#REF!*M84</f>
        <v>#REF!</v>
      </c>
    </row>
    <row r="86" spans="1:13" hidden="1" x14ac:dyDescent="0.2">
      <c r="A86" s="40"/>
      <c r="B86" s="40"/>
      <c r="C86" s="40"/>
      <c r="D86" s="40"/>
      <c r="E86" s="40"/>
      <c r="F86" s="40"/>
      <c r="G86" s="40"/>
      <c r="J86">
        <f>CEILING(SUM(K86:M86)/6,1)</f>
        <v>0</v>
      </c>
      <c r="K86">
        <f>CEILING(SUM(K8:L8)/16,1)</f>
        <v>0</v>
      </c>
      <c r="L86">
        <f>CEILING(M8/16,1)</f>
        <v>0</v>
      </c>
      <c r="M86">
        <f>CEILING(O8/4,1)</f>
        <v>0</v>
      </c>
    </row>
    <row r="87" spans="1:13" hidden="1" x14ac:dyDescent="0.2">
      <c r="A87" s="53" t="s">
        <v>708</v>
      </c>
      <c r="B87" s="53"/>
      <c r="C87" s="53"/>
      <c r="D87" s="53"/>
      <c r="E87" s="53"/>
      <c r="F87" s="53"/>
      <c r="G87" s="41" t="e">
        <f>SUM(I87:M87)</f>
        <v>#REF!</v>
      </c>
      <c r="H87" s="41"/>
      <c r="I87" s="55" t="e">
        <f>#REF!*I86</f>
        <v>#REF!</v>
      </c>
      <c r="J87" s="55" t="e">
        <f>#REF!*J86</f>
        <v>#REF!</v>
      </c>
      <c r="K87" s="55" t="e">
        <f>#REF!*K86</f>
        <v>#REF!</v>
      </c>
      <c r="L87" s="55" t="e">
        <f>#REF!*L86</f>
        <v>#REF!</v>
      </c>
      <c r="M87" s="55" t="e">
        <f>#REF!*M86</f>
        <v>#REF!</v>
      </c>
    </row>
    <row r="88" spans="1:13" hidden="1" x14ac:dyDescent="0.2">
      <c r="A88" s="40"/>
      <c r="B88" s="40"/>
      <c r="C88" s="40"/>
      <c r="D88" s="40"/>
      <c r="E88" s="40"/>
      <c r="F88" s="40"/>
      <c r="G88" s="40"/>
      <c r="J88">
        <f>CEILING(SUM(K88:M88)/6,1)</f>
        <v>0</v>
      </c>
      <c r="K88">
        <f>CEILING(SUM(K9:L9)/16,1)</f>
        <v>0</v>
      </c>
      <c r="L88">
        <f>CEILING(M9/16,1)</f>
        <v>0</v>
      </c>
      <c r="M88">
        <f>CEILING(O9/4,1)</f>
        <v>0</v>
      </c>
    </row>
    <row r="89" spans="1:13" hidden="1" x14ac:dyDescent="0.2">
      <c r="A89" s="53" t="s">
        <v>709</v>
      </c>
      <c r="B89" s="53"/>
      <c r="C89" s="53"/>
      <c r="D89" s="53"/>
      <c r="E89" s="53"/>
      <c r="F89" s="53"/>
      <c r="G89" s="41" t="e">
        <f>SUM(I89:M89)</f>
        <v>#REF!</v>
      </c>
      <c r="H89" s="41"/>
      <c r="I89" s="55" t="e">
        <f>#REF!*I88</f>
        <v>#REF!</v>
      </c>
      <c r="J89" s="55" t="e">
        <f>#REF!*J88</f>
        <v>#REF!</v>
      </c>
      <c r="K89" s="55" t="e">
        <f>#REF!*K88</f>
        <v>#REF!</v>
      </c>
      <c r="L89" s="55" t="e">
        <f>#REF!*L88</f>
        <v>#REF!</v>
      </c>
      <c r="M89" s="55" t="e">
        <f>#REF!*M88</f>
        <v>#REF!</v>
      </c>
    </row>
    <row r="90" spans="1:13" hidden="1" x14ac:dyDescent="0.2">
      <c r="A90" s="40"/>
      <c r="B90" s="40"/>
      <c r="C90" s="40"/>
      <c r="D90" s="40"/>
      <c r="E90" s="40"/>
      <c r="F90" s="40"/>
      <c r="G90" s="40"/>
      <c r="J90">
        <f>CEILING(SUM(K90:M90)/6,1)</f>
        <v>0</v>
      </c>
      <c r="K90">
        <f>CEILING(SUM(K10:L10)/16,1)</f>
        <v>0</v>
      </c>
      <c r="L90">
        <f>CEILING(M10/16,1)</f>
        <v>0</v>
      </c>
      <c r="M90">
        <f>CEILING(O10/4,1)</f>
        <v>0</v>
      </c>
    </row>
    <row r="91" spans="1:13" hidden="1" x14ac:dyDescent="0.2">
      <c r="A91" s="53" t="s">
        <v>710</v>
      </c>
      <c r="B91" s="53"/>
      <c r="C91" s="53"/>
      <c r="D91" s="53"/>
      <c r="E91" s="53"/>
      <c r="F91" s="53"/>
      <c r="G91" s="41" t="e">
        <f>SUM(I91:M91)</f>
        <v>#REF!</v>
      </c>
      <c r="H91" s="41"/>
      <c r="I91" s="55" t="e">
        <f>#REF!*I90</f>
        <v>#REF!</v>
      </c>
      <c r="J91" s="55" t="e">
        <f>#REF!*J90</f>
        <v>#REF!</v>
      </c>
      <c r="K91" s="55" t="e">
        <f>#REF!*K90</f>
        <v>#REF!</v>
      </c>
      <c r="L91" s="55" t="e">
        <f>#REF!*L90</f>
        <v>#REF!</v>
      </c>
      <c r="M91" s="55" t="e">
        <f>#REF!*M90</f>
        <v>#REF!</v>
      </c>
    </row>
    <row r="92" spans="1:13" hidden="1" x14ac:dyDescent="0.2">
      <c r="A92" s="40"/>
      <c r="B92" s="40"/>
      <c r="C92" s="40"/>
      <c r="D92" s="40"/>
      <c r="E92" s="40"/>
      <c r="F92" s="40"/>
      <c r="G92" s="40"/>
      <c r="J92">
        <f>CEILING(SUM(K92:M92)/6,1)</f>
        <v>0</v>
      </c>
      <c r="K92">
        <f>CEILING(SUM(K11:L11)/16,1)</f>
        <v>0</v>
      </c>
      <c r="L92">
        <f>CEILING(M11/16,1)</f>
        <v>0</v>
      </c>
      <c r="M92">
        <f>CEILING(O11/4,1)</f>
        <v>0</v>
      </c>
    </row>
    <row r="93" spans="1:13" hidden="1" x14ac:dyDescent="0.2">
      <c r="A93" s="53" t="s">
        <v>711</v>
      </c>
      <c r="B93" s="53"/>
      <c r="C93" s="53"/>
      <c r="D93" s="53"/>
      <c r="E93" s="53"/>
      <c r="F93" s="53"/>
      <c r="G93" s="41" t="e">
        <f>SUM(I93:M93)</f>
        <v>#REF!</v>
      </c>
      <c r="H93" s="41"/>
      <c r="I93" s="55" t="e">
        <f>#REF!*I92</f>
        <v>#REF!</v>
      </c>
      <c r="J93" s="55" t="e">
        <f>#REF!*J92</f>
        <v>#REF!</v>
      </c>
      <c r="K93" s="55" t="e">
        <f>#REF!*K92</f>
        <v>#REF!</v>
      </c>
      <c r="L93" s="55" t="e">
        <f>#REF!*L92</f>
        <v>#REF!</v>
      </c>
      <c r="M93" s="55" t="e">
        <f>#REF!*M92</f>
        <v>#REF!</v>
      </c>
    </row>
    <row r="94" spans="1:13" ht="13.5" hidden="1" thickBot="1" x14ac:dyDescent="0.25">
      <c r="G94" s="43" t="e">
        <f>SUM(G74:G93)</f>
        <v>#REF!</v>
      </c>
      <c r="H94" s="362"/>
    </row>
    <row r="95" spans="1:13" hidden="1" x14ac:dyDescent="0.2"/>
    <row r="96" spans="1:13" hidden="1" x14ac:dyDescent="0.2"/>
    <row r="97" spans="1:15" ht="121.5" hidden="1" x14ac:dyDescent="0.2">
      <c r="I97" s="54" t="s">
        <v>348</v>
      </c>
      <c r="J97" s="54" t="s">
        <v>347</v>
      </c>
      <c r="K97" s="54" t="s">
        <v>342</v>
      </c>
      <c r="L97" s="54" t="s">
        <v>345</v>
      </c>
      <c r="M97" s="54" t="s">
        <v>343</v>
      </c>
      <c r="N97" s="54" t="s">
        <v>346</v>
      </c>
      <c r="O97" s="16"/>
    </row>
    <row r="98" spans="1:15" ht="23.25" hidden="1" customHeight="1" x14ac:dyDescent="0.2">
      <c r="I98" s="54"/>
      <c r="J98" s="54">
        <f>32*8</f>
        <v>256</v>
      </c>
      <c r="K98" s="54">
        <v>8</v>
      </c>
      <c r="L98" s="54">
        <v>48</v>
      </c>
      <c r="M98" s="54">
        <v>8</v>
      </c>
      <c r="N98" s="54">
        <v>48</v>
      </c>
      <c r="O98" s="16"/>
    </row>
    <row r="99" spans="1:15" hidden="1" x14ac:dyDescent="0.2">
      <c r="I99" s="56"/>
      <c r="J99" s="56" t="e">
        <f>VLOOKUP(J97,prezzi,5,)</f>
        <v>#N/A</v>
      </c>
      <c r="K99" s="56" t="e">
        <f>VLOOKUP(K97,prezzi,5,)</f>
        <v>#N/A</v>
      </c>
      <c r="L99" s="56" t="e">
        <f>VLOOKUP(L97,prezzi,5,)</f>
        <v>#N/A</v>
      </c>
      <c r="M99" s="56" t="e">
        <f>VLOOKUP(M97,prezzi,5,)</f>
        <v>#N/A</v>
      </c>
      <c r="N99" s="56" t="e">
        <f>VLOOKUP(N97,prezzi,5,)</f>
        <v>#N/A</v>
      </c>
    </row>
    <row r="100" spans="1:15" hidden="1" x14ac:dyDescent="0.2">
      <c r="A100" s="40"/>
      <c r="B100" s="40"/>
      <c r="C100" s="40"/>
      <c r="D100" s="40"/>
      <c r="E100" s="40"/>
      <c r="F100" s="40"/>
      <c r="G100" s="40"/>
      <c r="I100">
        <f>(K100*$K$98+L100*$L$98+M100*$M$98+N100*$N$98)</f>
        <v>0</v>
      </c>
      <c r="J100">
        <f>CEILING(I100/$J$98,1)</f>
        <v>0</v>
      </c>
      <c r="K100">
        <f>CEILING(L2/8,1)</f>
        <v>0</v>
      </c>
      <c r="L100">
        <f>CEILING(K2/2,1)</f>
        <v>0</v>
      </c>
      <c r="M100">
        <f>CEILING(M2/8,1)</f>
        <v>0</v>
      </c>
      <c r="N100">
        <f>CEILING(O2/4,1)</f>
        <v>0</v>
      </c>
    </row>
    <row r="101" spans="1:15" hidden="1" x14ac:dyDescent="0.2">
      <c r="A101" s="53" t="s">
        <v>652</v>
      </c>
      <c r="B101" s="53"/>
      <c r="C101" s="53"/>
      <c r="D101" s="53"/>
      <c r="E101" s="53"/>
      <c r="F101" s="53"/>
      <c r="G101" s="41" t="e">
        <f>SUM(J101:N101)</f>
        <v>#N/A</v>
      </c>
      <c r="H101" s="41"/>
      <c r="I101" s="55"/>
      <c r="J101" s="55" t="e">
        <f>J$99*J100</f>
        <v>#N/A</v>
      </c>
      <c r="K101" s="55" t="e">
        <f>K$99*K100</f>
        <v>#N/A</v>
      </c>
      <c r="L101" s="55" t="e">
        <f>L$99*L100</f>
        <v>#N/A</v>
      </c>
      <c r="M101" s="55" t="e">
        <f>M$99*M100</f>
        <v>#N/A</v>
      </c>
      <c r="N101" s="55" t="e">
        <f>N$99*N100</f>
        <v>#N/A</v>
      </c>
    </row>
    <row r="102" spans="1:15" hidden="1" x14ac:dyDescent="0.2">
      <c r="A102" s="40"/>
      <c r="B102" s="40"/>
      <c r="C102" s="40"/>
      <c r="D102" s="40"/>
      <c r="E102" s="40"/>
      <c r="F102" s="40"/>
      <c r="G102" s="40"/>
      <c r="I102">
        <f>(K102*$K$98+L102*$L$98+M102*$M$98+N102*$N$98)</f>
        <v>0</v>
      </c>
      <c r="J102">
        <f>CEILING(I102/$J$98,1)</f>
        <v>0</v>
      </c>
      <c r="K102">
        <f>CEILING(L3/8,1)</f>
        <v>0</v>
      </c>
      <c r="L102">
        <f>CEILING(K3/2,1)</f>
        <v>0</v>
      </c>
      <c r="M102">
        <f>CEILING(M3/8,1)</f>
        <v>0</v>
      </c>
      <c r="N102">
        <f>CEILING(O3/4,1)</f>
        <v>0</v>
      </c>
    </row>
    <row r="103" spans="1:15" hidden="1" x14ac:dyDescent="0.2">
      <c r="A103" s="53" t="s">
        <v>703</v>
      </c>
      <c r="B103" s="53"/>
      <c r="C103" s="53"/>
      <c r="D103" s="53"/>
      <c r="E103" s="53"/>
      <c r="F103" s="53"/>
      <c r="G103" s="41" t="e">
        <f>SUM(J103:N103)</f>
        <v>#N/A</v>
      </c>
      <c r="H103" s="41"/>
      <c r="I103" s="55"/>
      <c r="J103" s="55" t="e">
        <f>J$99*J102</f>
        <v>#N/A</v>
      </c>
      <c r="K103" s="55" t="e">
        <f>K$99*K102</f>
        <v>#N/A</v>
      </c>
      <c r="L103" s="55" t="e">
        <f>L$99*L102</f>
        <v>#N/A</v>
      </c>
      <c r="M103" s="55" t="e">
        <f>M$99*M102</f>
        <v>#N/A</v>
      </c>
      <c r="N103" s="55" t="e">
        <f>N$99*N102</f>
        <v>#N/A</v>
      </c>
    </row>
    <row r="104" spans="1:15" hidden="1" x14ac:dyDescent="0.2">
      <c r="A104" s="40"/>
      <c r="B104" s="40"/>
      <c r="C104" s="40"/>
      <c r="D104" s="40"/>
      <c r="E104" s="40"/>
      <c r="F104" s="40"/>
      <c r="G104" s="40"/>
      <c r="I104">
        <f>(K104*$K$98+L104*$L$98+M104*$M$98+N104*$N$98)</f>
        <v>0</v>
      </c>
      <c r="J104">
        <f>CEILING(I104/$J$98,1)</f>
        <v>0</v>
      </c>
      <c r="K104">
        <f>CEILING(L4/8,1)</f>
        <v>0</v>
      </c>
      <c r="L104">
        <f>CEILING(K4/2,1)</f>
        <v>0</v>
      </c>
      <c r="M104">
        <f>CEILING(M4/8,1)</f>
        <v>0</v>
      </c>
      <c r="N104">
        <f>CEILING(O4/4,1)</f>
        <v>0</v>
      </c>
    </row>
    <row r="105" spans="1:15" hidden="1" x14ac:dyDescent="0.2">
      <c r="A105" s="53" t="s">
        <v>704</v>
      </c>
      <c r="B105" s="53"/>
      <c r="C105" s="53"/>
      <c r="D105" s="53"/>
      <c r="E105" s="53"/>
      <c r="F105" s="53"/>
      <c r="G105" s="41" t="e">
        <f>SUM(J105:N105)</f>
        <v>#N/A</v>
      </c>
      <c r="H105" s="41"/>
      <c r="I105" s="55"/>
      <c r="J105" s="55" t="e">
        <f>J$99*J104</f>
        <v>#N/A</v>
      </c>
      <c r="K105" s="55" t="e">
        <f>K$99*K104</f>
        <v>#N/A</v>
      </c>
      <c r="L105" s="55" t="e">
        <f>L$99*L104</f>
        <v>#N/A</v>
      </c>
      <c r="M105" s="55" t="e">
        <f>M$99*M104</f>
        <v>#N/A</v>
      </c>
      <c r="N105" s="55" t="e">
        <f>N$99*N104</f>
        <v>#N/A</v>
      </c>
    </row>
    <row r="106" spans="1:15" hidden="1" x14ac:dyDescent="0.2">
      <c r="A106" s="40"/>
      <c r="B106" s="40"/>
      <c r="C106" s="40"/>
      <c r="D106" s="40"/>
      <c r="E106" s="40"/>
      <c r="F106" s="40"/>
      <c r="G106" s="40"/>
      <c r="I106">
        <f>(K106*$K$98+L106*$L$98+M106*$M$98+N106*$N$98)</f>
        <v>0</v>
      </c>
      <c r="J106">
        <f>CEILING(I106/$J$98,1)</f>
        <v>0</v>
      </c>
      <c r="K106">
        <f>CEILING(L5/8,1)</f>
        <v>0</v>
      </c>
      <c r="L106">
        <f>CEILING(K5/2,1)</f>
        <v>0</v>
      </c>
      <c r="M106">
        <f>CEILING(M5/8,1)</f>
        <v>0</v>
      </c>
      <c r="N106">
        <f>CEILING(O5/4,1)</f>
        <v>0</v>
      </c>
    </row>
    <row r="107" spans="1:15" hidden="1" x14ac:dyDescent="0.2">
      <c r="A107" s="53" t="s">
        <v>705</v>
      </c>
      <c r="B107" s="53"/>
      <c r="C107" s="53"/>
      <c r="D107" s="53"/>
      <c r="E107" s="53"/>
      <c r="F107" s="53"/>
      <c r="G107" s="41" t="e">
        <f>SUM(J107:N107)</f>
        <v>#N/A</v>
      </c>
      <c r="H107" s="41"/>
      <c r="I107" s="55"/>
      <c r="J107" s="55" t="e">
        <f>J$99*J106</f>
        <v>#N/A</v>
      </c>
      <c r="K107" s="55" t="e">
        <f>K$99*K106</f>
        <v>#N/A</v>
      </c>
      <c r="L107" s="55" t="e">
        <f>L$99*L106</f>
        <v>#N/A</v>
      </c>
      <c r="M107" s="55" t="e">
        <f>M$99*M106</f>
        <v>#N/A</v>
      </c>
      <c r="N107" s="55" t="e">
        <f>N$99*N106</f>
        <v>#N/A</v>
      </c>
    </row>
    <row r="108" spans="1:15" hidden="1" x14ac:dyDescent="0.2">
      <c r="A108" s="40"/>
      <c r="B108" s="40"/>
      <c r="C108" s="40"/>
      <c r="D108" s="40"/>
      <c r="E108" s="40"/>
      <c r="F108" s="40"/>
      <c r="G108" s="40"/>
      <c r="I108">
        <f>(K108*$K$98+L108*$L$98+M108*$M$98+N108*$N$98)</f>
        <v>0</v>
      </c>
      <c r="J108">
        <f>CEILING(I108/$J$98,1)</f>
        <v>0</v>
      </c>
      <c r="K108">
        <f>CEILING(L6/8,1)</f>
        <v>0</v>
      </c>
      <c r="L108">
        <f>CEILING(K6/2,1)</f>
        <v>0</v>
      </c>
      <c r="M108">
        <f>CEILING(M6/8,1)</f>
        <v>0</v>
      </c>
      <c r="N108">
        <f>CEILING(O6/4,1)</f>
        <v>0</v>
      </c>
    </row>
    <row r="109" spans="1:15" hidden="1" x14ac:dyDescent="0.2">
      <c r="A109" s="53" t="s">
        <v>706</v>
      </c>
      <c r="B109" s="53"/>
      <c r="C109" s="53"/>
      <c r="D109" s="53"/>
      <c r="E109" s="53"/>
      <c r="F109" s="53"/>
      <c r="G109" s="41" t="e">
        <f>SUM(J109:N109)</f>
        <v>#N/A</v>
      </c>
      <c r="H109" s="41"/>
      <c r="I109" s="55"/>
      <c r="J109" s="55" t="e">
        <f>J$99*J108</f>
        <v>#N/A</v>
      </c>
      <c r="K109" s="55" t="e">
        <f>K$99*K108</f>
        <v>#N/A</v>
      </c>
      <c r="L109" s="55" t="e">
        <f>L$99*L108</f>
        <v>#N/A</v>
      </c>
      <c r="M109" s="55" t="e">
        <f>M$99*M108</f>
        <v>#N/A</v>
      </c>
      <c r="N109" s="55" t="e">
        <f>N$99*N108</f>
        <v>#N/A</v>
      </c>
    </row>
    <row r="110" spans="1:15" hidden="1" x14ac:dyDescent="0.2">
      <c r="A110" s="40"/>
      <c r="B110" s="40"/>
      <c r="C110" s="40"/>
      <c r="D110" s="40"/>
      <c r="E110" s="40"/>
      <c r="F110" s="40"/>
      <c r="G110" s="40"/>
      <c r="I110">
        <f>(K110*$K$98+L110*$L$98+M110*$M$98+N110*$N$98)</f>
        <v>0</v>
      </c>
      <c r="J110">
        <f>CEILING(I110/$J$98,1)</f>
        <v>0</v>
      </c>
      <c r="K110">
        <f>CEILING(L7/8,1)</f>
        <v>0</v>
      </c>
      <c r="L110">
        <f>CEILING(K7/2,1)</f>
        <v>0</v>
      </c>
      <c r="M110">
        <f>CEILING(M7/8,1)</f>
        <v>0</v>
      </c>
      <c r="N110">
        <f>CEILING(O7/4,1)</f>
        <v>0</v>
      </c>
    </row>
    <row r="111" spans="1:15" hidden="1" x14ac:dyDescent="0.2">
      <c r="A111" s="53" t="s">
        <v>707</v>
      </c>
      <c r="B111" s="53"/>
      <c r="C111" s="53"/>
      <c r="D111" s="53"/>
      <c r="E111" s="53"/>
      <c r="F111" s="53"/>
      <c r="G111" s="41" t="e">
        <f>SUM(J111:N111)</f>
        <v>#N/A</v>
      </c>
      <c r="H111" s="41"/>
      <c r="I111" s="55"/>
      <c r="J111" s="55" t="e">
        <f>J$99*J110</f>
        <v>#N/A</v>
      </c>
      <c r="K111" s="55" t="e">
        <f>K$99*K110</f>
        <v>#N/A</v>
      </c>
      <c r="L111" s="55" t="e">
        <f>L$99*L110</f>
        <v>#N/A</v>
      </c>
      <c r="M111" s="55" t="e">
        <f>M$99*M110</f>
        <v>#N/A</v>
      </c>
      <c r="N111" s="55" t="e">
        <f>N$99*N110</f>
        <v>#N/A</v>
      </c>
    </row>
    <row r="112" spans="1:15" hidden="1" x14ac:dyDescent="0.2">
      <c r="A112" s="40"/>
      <c r="B112" s="40"/>
      <c r="C112" s="40"/>
      <c r="D112" s="40"/>
      <c r="E112" s="40"/>
      <c r="F112" s="40"/>
      <c r="G112" s="40"/>
      <c r="I112">
        <f>(K112*$K$98+L112*$L$98+M112*$M$98+N112*$N$98)</f>
        <v>0</v>
      </c>
      <c r="J112">
        <f>CEILING(I112/$J$98,1)</f>
        <v>0</v>
      </c>
      <c r="K112">
        <f>CEILING(L8/8,1)</f>
        <v>0</v>
      </c>
      <c r="L112">
        <f>CEILING(K8/2,1)</f>
        <v>0</v>
      </c>
      <c r="M112">
        <f>CEILING(M8/8,1)</f>
        <v>0</v>
      </c>
      <c r="N112">
        <f>CEILING(O8/4,1)</f>
        <v>0</v>
      </c>
    </row>
    <row r="113" spans="1:14" hidden="1" x14ac:dyDescent="0.2">
      <c r="A113" s="53" t="s">
        <v>708</v>
      </c>
      <c r="B113" s="53"/>
      <c r="C113" s="53"/>
      <c r="D113" s="53"/>
      <c r="E113" s="53"/>
      <c r="F113" s="53"/>
      <c r="G113" s="41" t="e">
        <f>SUM(J113:N113)</f>
        <v>#N/A</v>
      </c>
      <c r="H113" s="41"/>
      <c r="I113" s="55"/>
      <c r="J113" s="55" t="e">
        <f>J$99*J112</f>
        <v>#N/A</v>
      </c>
      <c r="K113" s="55" t="e">
        <f>K$99*K112</f>
        <v>#N/A</v>
      </c>
      <c r="L113" s="55" t="e">
        <f>L$99*L112</f>
        <v>#N/A</v>
      </c>
      <c r="M113" s="55" t="e">
        <f>M$99*M112</f>
        <v>#N/A</v>
      </c>
      <c r="N113" s="55" t="e">
        <f>N$99*N112</f>
        <v>#N/A</v>
      </c>
    </row>
    <row r="114" spans="1:14" hidden="1" x14ac:dyDescent="0.2">
      <c r="A114" s="40"/>
      <c r="B114" s="40"/>
      <c r="C114" s="40"/>
      <c r="D114" s="40"/>
      <c r="E114" s="40"/>
      <c r="F114" s="40"/>
      <c r="G114" s="40"/>
      <c r="I114">
        <f>(K114*$K$98+L114*$L$98+M114*$M$98+N114*$N$98)</f>
        <v>0</v>
      </c>
      <c r="J114">
        <f>CEILING(I114/$J$98,1)</f>
        <v>0</v>
      </c>
      <c r="K114">
        <f>CEILING(L9/8,1)</f>
        <v>0</v>
      </c>
      <c r="L114">
        <f>CEILING(K9/2,1)</f>
        <v>0</v>
      </c>
      <c r="M114">
        <f>CEILING(M9/8,1)</f>
        <v>0</v>
      </c>
      <c r="N114">
        <f>CEILING(O9/4,1)</f>
        <v>0</v>
      </c>
    </row>
    <row r="115" spans="1:14" hidden="1" x14ac:dyDescent="0.2">
      <c r="A115" s="53" t="s">
        <v>709</v>
      </c>
      <c r="B115" s="53"/>
      <c r="C115" s="53"/>
      <c r="D115" s="53"/>
      <c r="E115" s="53"/>
      <c r="F115" s="53"/>
      <c r="G115" s="41" t="e">
        <f>SUM(J115:N115)</f>
        <v>#N/A</v>
      </c>
      <c r="H115" s="41"/>
      <c r="I115" s="55"/>
      <c r="J115" s="55" t="e">
        <f>J$99*J114</f>
        <v>#N/A</v>
      </c>
      <c r="K115" s="55" t="e">
        <f>K$99*K114</f>
        <v>#N/A</v>
      </c>
      <c r="L115" s="55" t="e">
        <f>L$99*L114</f>
        <v>#N/A</v>
      </c>
      <c r="M115" s="55" t="e">
        <f>M$99*M114</f>
        <v>#N/A</v>
      </c>
      <c r="N115" s="55" t="e">
        <f>N$99*N114</f>
        <v>#N/A</v>
      </c>
    </row>
    <row r="116" spans="1:14" hidden="1" x14ac:dyDescent="0.2">
      <c r="A116" s="40"/>
      <c r="B116" s="40"/>
      <c r="C116" s="40"/>
      <c r="D116" s="40"/>
      <c r="E116" s="40"/>
      <c r="F116" s="40"/>
      <c r="G116" s="40"/>
      <c r="I116">
        <f>(K116*$K$98+L116*$L$98+M116*$M$98+N116*$N$98)</f>
        <v>0</v>
      </c>
      <c r="J116">
        <f>CEILING(I116/$J$98,1)</f>
        <v>0</v>
      </c>
      <c r="K116">
        <f>CEILING(L10/8,1)</f>
        <v>0</v>
      </c>
      <c r="L116">
        <f>CEILING(K10/2,1)</f>
        <v>0</v>
      </c>
      <c r="M116">
        <f>CEILING(M10/8,1)</f>
        <v>0</v>
      </c>
      <c r="N116">
        <f>CEILING(O10/4,1)</f>
        <v>0</v>
      </c>
    </row>
    <row r="117" spans="1:14" hidden="1" x14ac:dyDescent="0.2">
      <c r="A117" s="53" t="s">
        <v>710</v>
      </c>
      <c r="B117" s="53"/>
      <c r="C117" s="53"/>
      <c r="D117" s="53"/>
      <c r="E117" s="53"/>
      <c r="F117" s="53"/>
      <c r="G117" s="41" t="e">
        <f>SUM(J117:N117)</f>
        <v>#N/A</v>
      </c>
      <c r="H117" s="41"/>
      <c r="I117" s="55"/>
      <c r="J117" s="55" t="e">
        <f>J$99*J116</f>
        <v>#N/A</v>
      </c>
      <c r="K117" s="55" t="e">
        <f>K$99*K116</f>
        <v>#N/A</v>
      </c>
      <c r="L117" s="55" t="e">
        <f>L$99*L116</f>
        <v>#N/A</v>
      </c>
      <c r="M117" s="55" t="e">
        <f>M$99*M116</f>
        <v>#N/A</v>
      </c>
      <c r="N117" s="55" t="e">
        <f>N$99*N116</f>
        <v>#N/A</v>
      </c>
    </row>
    <row r="118" spans="1:14" hidden="1" x14ac:dyDescent="0.2">
      <c r="A118" s="40"/>
      <c r="B118" s="40"/>
      <c r="C118" s="40"/>
      <c r="D118" s="40"/>
      <c r="E118" s="40"/>
      <c r="F118" s="40"/>
      <c r="G118" s="40"/>
      <c r="I118">
        <f>(K118*$K$98+L118*$L$98+M118*$M$98+N118*$N$98)</f>
        <v>0</v>
      </c>
      <c r="J118">
        <f>CEILING(I118/$J$98,1)</f>
        <v>0</v>
      </c>
      <c r="K118">
        <f>CEILING(L11/8,1)</f>
        <v>0</v>
      </c>
      <c r="L118">
        <f>CEILING(K11/2,1)</f>
        <v>0</v>
      </c>
      <c r="M118">
        <f>CEILING(M11/8,1)</f>
        <v>0</v>
      </c>
      <c r="N118">
        <f>CEILING(O11/4,1)</f>
        <v>0</v>
      </c>
    </row>
    <row r="119" spans="1:14" hidden="1" x14ac:dyDescent="0.2">
      <c r="A119" s="53" t="s">
        <v>711</v>
      </c>
      <c r="B119" s="53"/>
      <c r="C119" s="53"/>
      <c r="D119" s="53"/>
      <c r="E119" s="53"/>
      <c r="F119" s="53"/>
      <c r="G119" s="41" t="e">
        <f>SUM(J119:N119)</f>
        <v>#N/A</v>
      </c>
      <c r="H119" s="41"/>
      <c r="I119" s="55"/>
      <c r="J119" s="55" t="e">
        <f>J$99*J118</f>
        <v>#N/A</v>
      </c>
      <c r="K119" s="55" t="e">
        <f>K$99*K118</f>
        <v>#N/A</v>
      </c>
      <c r="L119" s="55" t="e">
        <f>L$99*L118</f>
        <v>#N/A</v>
      </c>
      <c r="M119" s="55" t="e">
        <f>M$99*M118</f>
        <v>#N/A</v>
      </c>
      <c r="N119" s="55" t="e">
        <f>N$99*N118</f>
        <v>#N/A</v>
      </c>
    </row>
    <row r="120" spans="1:14" ht="13.5" hidden="1" thickBot="1" x14ac:dyDescent="0.25">
      <c r="G120" s="43" t="e">
        <f>SUM(G100:G119)</f>
        <v>#N/A</v>
      </c>
      <c r="H120" s="362"/>
    </row>
    <row r="127" spans="1:14" ht="99" x14ac:dyDescent="0.2">
      <c r="B127" s="768" t="str">
        <f>"TOTALE "&amp;'Elenchi controllo_Parametri'!B3</f>
        <v>TOTALE PLC Siemens S7</v>
      </c>
    </row>
  </sheetData>
  <customSheetViews>
    <customSheetView guid="{FFF8F457-6B9E-424E-8E8A-94E56AA6D66B}" showRuler="0" topLeftCell="A79">
      <selection activeCell="C95" sqref="C95"/>
      <pageMargins left="0.75" right="0.75" top="1" bottom="1" header="0.5" footer="0.5"/>
      <pageSetup paperSize="9" orientation="portrait" r:id="rId1"/>
      <headerFooter alignWithMargins="0"/>
    </customSheetView>
  </customSheetViews>
  <phoneticPr fontId="0" type="noConversion"/>
  <conditionalFormatting sqref="J31:V40 G31:I31 G30:V30 G16:V26">
    <cfRule type="cellIs" dxfId="2" priority="7" stopIfTrue="1" operator="greaterThan">
      <formula>0</formula>
    </cfRule>
  </conditionalFormatting>
  <conditionalFormatting sqref="I46:M46 I73:L73 I99:N99 G29:V29">
    <cfRule type="cellIs" dxfId="1" priority="8" stopIfTrue="1" operator="greaterThan">
      <formula>0</formula>
    </cfRule>
  </conditionalFormatting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"/>
  <dimension ref="A1:K202"/>
  <sheetViews>
    <sheetView topLeftCell="B43" workbookViewId="0">
      <selection activeCell="B2" sqref="B2"/>
    </sheetView>
  </sheetViews>
  <sheetFormatPr defaultColWidth="9.140625" defaultRowHeight="12.75" outlineLevelCol="1" x14ac:dyDescent="0.2"/>
  <cols>
    <col min="1" max="1" width="19.5703125" style="1" hidden="1" customWidth="1" outlineLevel="1"/>
    <col min="2" max="2" width="20.7109375" style="1" bestFit="1" customWidth="1" collapsed="1"/>
    <col min="3" max="3" width="42.5703125" style="7" customWidth="1"/>
    <col min="4" max="4" width="10.85546875" style="2" bestFit="1" customWidth="1"/>
    <col min="5" max="5" width="9.140625" style="1"/>
    <col min="6" max="8" width="9.140625" style="1" hidden="1" customWidth="1" outlineLevel="1"/>
    <col min="9" max="9" width="9.140625" style="3" collapsed="1"/>
    <col min="10" max="10" width="10.85546875" style="2" bestFit="1" customWidth="1"/>
    <col min="11" max="11" width="9.28515625" style="1" bestFit="1" customWidth="1"/>
    <col min="12" max="16384" width="9.140625" style="1"/>
  </cols>
  <sheetData>
    <row r="1" spans="1:11" x14ac:dyDescent="0.2">
      <c r="A1" s="1" t="s">
        <v>108</v>
      </c>
      <c r="B1" s="1" t="s">
        <v>109</v>
      </c>
      <c r="C1" s="7" t="s">
        <v>110</v>
      </c>
      <c r="D1" s="2" t="s">
        <v>111</v>
      </c>
      <c r="E1" s="1" t="s">
        <v>112</v>
      </c>
      <c r="F1" s="1" t="s">
        <v>113</v>
      </c>
      <c r="G1" s="1" t="s">
        <v>114</v>
      </c>
      <c r="H1" s="1" t="s">
        <v>115</v>
      </c>
      <c r="I1" s="3" t="s">
        <v>528</v>
      </c>
      <c r="J1" s="2" t="s">
        <v>529</v>
      </c>
      <c r="K1" s="1" t="s">
        <v>645</v>
      </c>
    </row>
    <row r="2" spans="1:11" x14ac:dyDescent="0.2">
      <c r="A2" s="1" t="s">
        <v>16</v>
      </c>
      <c r="B2" s="1" t="s">
        <v>17</v>
      </c>
      <c r="C2" s="7" t="s">
        <v>18</v>
      </c>
      <c r="D2" s="2">
        <v>47.63</v>
      </c>
      <c r="E2" s="1">
        <v>1</v>
      </c>
      <c r="F2" s="1" t="s">
        <v>19</v>
      </c>
      <c r="G2" s="1" t="s">
        <v>20</v>
      </c>
      <c r="H2" s="1" t="s">
        <v>21</v>
      </c>
      <c r="I2" s="3">
        <v>0.55000000000000004</v>
      </c>
      <c r="J2" s="2">
        <f>D2/E2*(1-I2)</f>
        <v>21.433499999999999</v>
      </c>
      <c r="K2" s="1">
        <v>1936.27</v>
      </c>
    </row>
    <row r="3" spans="1:11" x14ac:dyDescent="0.2">
      <c r="A3" s="1" t="s">
        <v>22</v>
      </c>
      <c r="B3" s="1" t="s">
        <v>23</v>
      </c>
      <c r="C3" s="7" t="s">
        <v>24</v>
      </c>
      <c r="D3" s="2">
        <v>47.63</v>
      </c>
      <c r="E3" s="1">
        <v>1</v>
      </c>
      <c r="F3" s="1" t="s">
        <v>19</v>
      </c>
      <c r="G3" s="1" t="s">
        <v>20</v>
      </c>
      <c r="H3" s="1" t="s">
        <v>21</v>
      </c>
      <c r="I3" s="3">
        <v>0.55000000000000004</v>
      </c>
      <c r="J3" s="2">
        <f t="shared" ref="J3:J73" si="0">D3/E3*(1-I3)</f>
        <v>21.433499999999999</v>
      </c>
    </row>
    <row r="4" spans="1:11" x14ac:dyDescent="0.2">
      <c r="A4" s="1" t="s">
        <v>25</v>
      </c>
      <c r="B4" s="1" t="s">
        <v>26</v>
      </c>
      <c r="C4" s="7" t="s">
        <v>27</v>
      </c>
      <c r="D4" s="2">
        <v>47.63</v>
      </c>
      <c r="E4" s="1">
        <v>1</v>
      </c>
      <c r="F4" s="1" t="s">
        <v>19</v>
      </c>
      <c r="G4" s="1" t="s">
        <v>20</v>
      </c>
      <c r="H4" s="1" t="s">
        <v>21</v>
      </c>
      <c r="I4" s="3">
        <v>0.55000000000000004</v>
      </c>
      <c r="J4" s="2">
        <f t="shared" si="0"/>
        <v>21.433499999999999</v>
      </c>
    </row>
    <row r="5" spans="1:11" x14ac:dyDescent="0.2">
      <c r="A5" s="1" t="s">
        <v>28</v>
      </c>
      <c r="B5" s="1" t="s">
        <v>29</v>
      </c>
      <c r="C5" s="7" t="s">
        <v>30</v>
      </c>
      <c r="D5" s="2">
        <v>47.63</v>
      </c>
      <c r="E5" s="1">
        <v>1</v>
      </c>
      <c r="F5" s="1" t="s">
        <v>19</v>
      </c>
      <c r="G5" s="1" t="s">
        <v>20</v>
      </c>
      <c r="H5" s="1" t="s">
        <v>21</v>
      </c>
      <c r="I5" s="3">
        <v>0.55000000000000004</v>
      </c>
      <c r="J5" s="2">
        <f t="shared" si="0"/>
        <v>21.433499999999999</v>
      </c>
    </row>
    <row r="6" spans="1:11" x14ac:dyDescent="0.2">
      <c r="A6" s="1" t="s">
        <v>31</v>
      </c>
      <c r="B6" s="1" t="s">
        <v>32</v>
      </c>
      <c r="C6" s="7" t="s">
        <v>33</v>
      </c>
      <c r="D6" s="2">
        <v>47.63</v>
      </c>
      <c r="E6" s="1">
        <v>1</v>
      </c>
      <c r="F6" s="1" t="s">
        <v>19</v>
      </c>
      <c r="G6" s="1" t="s">
        <v>20</v>
      </c>
      <c r="H6" s="1" t="s">
        <v>21</v>
      </c>
      <c r="I6" s="3">
        <v>0.55000000000000004</v>
      </c>
      <c r="J6" s="2">
        <f t="shared" si="0"/>
        <v>21.433499999999999</v>
      </c>
    </row>
    <row r="7" spans="1:11" x14ac:dyDescent="0.2">
      <c r="A7" s="1" t="s">
        <v>34</v>
      </c>
      <c r="B7" s="1" t="s">
        <v>35</v>
      </c>
      <c r="C7" s="7" t="s">
        <v>36</v>
      </c>
      <c r="D7" s="2">
        <v>47.63</v>
      </c>
      <c r="E7" s="1">
        <v>1</v>
      </c>
      <c r="F7" s="1" t="s">
        <v>19</v>
      </c>
      <c r="G7" s="1" t="s">
        <v>20</v>
      </c>
      <c r="H7" s="1" t="s">
        <v>21</v>
      </c>
      <c r="I7" s="3">
        <v>0.55000000000000004</v>
      </c>
      <c r="J7" s="2">
        <f t="shared" si="0"/>
        <v>21.433499999999999</v>
      </c>
    </row>
    <row r="8" spans="1:11" x14ac:dyDescent="0.2">
      <c r="A8" s="1" t="s">
        <v>37</v>
      </c>
      <c r="B8" s="1" t="s">
        <v>38</v>
      </c>
      <c r="C8" s="7" t="s">
        <v>39</v>
      </c>
      <c r="D8" s="2">
        <v>47.63</v>
      </c>
      <c r="E8" s="1">
        <v>1</v>
      </c>
      <c r="F8" s="1" t="s">
        <v>19</v>
      </c>
      <c r="G8" s="1" t="s">
        <v>20</v>
      </c>
      <c r="H8" s="1" t="s">
        <v>21</v>
      </c>
      <c r="I8" s="3">
        <v>0.55000000000000004</v>
      </c>
      <c r="J8" s="2">
        <f t="shared" si="0"/>
        <v>21.433499999999999</v>
      </c>
    </row>
    <row r="9" spans="1:11" x14ac:dyDescent="0.2">
      <c r="A9" s="1" t="s">
        <v>40</v>
      </c>
      <c r="B9" s="1" t="s">
        <v>41</v>
      </c>
      <c r="C9" s="7" t="s">
        <v>42</v>
      </c>
      <c r="D9" s="2">
        <v>55.05</v>
      </c>
      <c r="E9" s="1">
        <v>1</v>
      </c>
      <c r="F9" s="1" t="s">
        <v>19</v>
      </c>
      <c r="G9" s="1" t="s">
        <v>20</v>
      </c>
      <c r="H9" s="1" t="s">
        <v>21</v>
      </c>
      <c r="I9" s="3">
        <v>0.55000000000000004</v>
      </c>
      <c r="J9" s="2">
        <f t="shared" si="0"/>
        <v>24.772499999999997</v>
      </c>
    </row>
    <row r="10" spans="1:11" x14ac:dyDescent="0.2">
      <c r="A10" s="1" t="s">
        <v>43</v>
      </c>
      <c r="B10" s="1" t="s">
        <v>44</v>
      </c>
      <c r="C10" s="7" t="s">
        <v>45</v>
      </c>
      <c r="D10" s="2">
        <v>55.05</v>
      </c>
      <c r="E10" s="1">
        <v>1</v>
      </c>
      <c r="F10" s="1" t="s">
        <v>19</v>
      </c>
      <c r="G10" s="1" t="s">
        <v>20</v>
      </c>
      <c r="H10" s="1" t="s">
        <v>21</v>
      </c>
      <c r="I10" s="3">
        <v>0.55000000000000004</v>
      </c>
      <c r="J10" s="2">
        <f t="shared" si="0"/>
        <v>24.772499999999997</v>
      </c>
    </row>
    <row r="11" spans="1:11" x14ac:dyDescent="0.2">
      <c r="A11" s="1" t="s">
        <v>46</v>
      </c>
      <c r="B11" s="1" t="s">
        <v>47</v>
      </c>
      <c r="C11" s="7" t="s">
        <v>48</v>
      </c>
      <c r="D11" s="2">
        <v>55.05</v>
      </c>
      <c r="E11" s="1">
        <v>1</v>
      </c>
      <c r="F11" s="1" t="s">
        <v>19</v>
      </c>
      <c r="G11" s="1" t="s">
        <v>20</v>
      </c>
      <c r="H11" s="1" t="s">
        <v>21</v>
      </c>
      <c r="I11" s="3">
        <v>0.55000000000000004</v>
      </c>
      <c r="J11" s="2">
        <f t="shared" si="0"/>
        <v>24.772499999999997</v>
      </c>
    </row>
    <row r="12" spans="1:11" x14ac:dyDescent="0.2">
      <c r="A12" s="1" t="s">
        <v>49</v>
      </c>
      <c r="B12" s="1" t="s">
        <v>50</v>
      </c>
      <c r="C12" s="7" t="s">
        <v>51</v>
      </c>
      <c r="D12" s="2">
        <v>55.05</v>
      </c>
      <c r="E12" s="1">
        <v>1</v>
      </c>
      <c r="F12" s="1" t="s">
        <v>19</v>
      </c>
      <c r="G12" s="1" t="s">
        <v>20</v>
      </c>
      <c r="H12" s="1" t="s">
        <v>21</v>
      </c>
      <c r="I12" s="3">
        <v>0.55000000000000004</v>
      </c>
      <c r="J12" s="2">
        <f t="shared" si="0"/>
        <v>24.772499999999997</v>
      </c>
    </row>
    <row r="13" spans="1:11" x14ac:dyDescent="0.2">
      <c r="A13" s="1" t="s">
        <v>52</v>
      </c>
      <c r="B13" s="1" t="s">
        <v>53</v>
      </c>
      <c r="C13" s="7" t="s">
        <v>54</v>
      </c>
      <c r="D13" s="2">
        <v>55.05</v>
      </c>
      <c r="E13" s="1">
        <v>1</v>
      </c>
      <c r="F13" s="1" t="s">
        <v>19</v>
      </c>
      <c r="G13" s="1" t="s">
        <v>20</v>
      </c>
      <c r="H13" s="1" t="s">
        <v>21</v>
      </c>
      <c r="I13" s="3">
        <v>0.55000000000000004</v>
      </c>
      <c r="J13" s="2">
        <f t="shared" si="0"/>
        <v>24.772499999999997</v>
      </c>
    </row>
    <row r="14" spans="1:11" x14ac:dyDescent="0.2">
      <c r="A14" s="1" t="s">
        <v>55</v>
      </c>
      <c r="B14" s="1" t="s">
        <v>56</v>
      </c>
      <c r="C14" s="7" t="s">
        <v>57</v>
      </c>
      <c r="D14" s="2">
        <v>55.05</v>
      </c>
      <c r="E14" s="1">
        <v>1</v>
      </c>
      <c r="F14" s="1" t="s">
        <v>19</v>
      </c>
      <c r="G14" s="1" t="s">
        <v>20</v>
      </c>
      <c r="H14" s="1" t="s">
        <v>21</v>
      </c>
      <c r="I14" s="3">
        <v>0.55000000000000004</v>
      </c>
      <c r="J14" s="2">
        <f t="shared" si="0"/>
        <v>24.772499999999997</v>
      </c>
    </row>
    <row r="15" spans="1:11" x14ac:dyDescent="0.2">
      <c r="A15" s="1" t="s">
        <v>58</v>
      </c>
      <c r="B15" s="1" t="s">
        <v>59</v>
      </c>
      <c r="C15" s="7" t="s">
        <v>60</v>
      </c>
      <c r="D15" s="2">
        <v>55.05</v>
      </c>
      <c r="E15" s="1">
        <v>1</v>
      </c>
      <c r="F15" s="1" t="s">
        <v>19</v>
      </c>
      <c r="G15" s="1" t="s">
        <v>20</v>
      </c>
      <c r="H15" s="1" t="s">
        <v>21</v>
      </c>
      <c r="I15" s="3">
        <v>0.55000000000000004</v>
      </c>
      <c r="J15" s="2">
        <f t="shared" si="0"/>
        <v>24.772499999999997</v>
      </c>
    </row>
    <row r="16" spans="1:11" x14ac:dyDescent="0.2">
      <c r="A16" s="1" t="s">
        <v>61</v>
      </c>
      <c r="B16" s="1" t="s">
        <v>62</v>
      </c>
      <c r="C16" s="7" t="s">
        <v>63</v>
      </c>
      <c r="D16" s="2">
        <v>55.05</v>
      </c>
      <c r="E16" s="1">
        <v>1</v>
      </c>
      <c r="F16" s="1" t="s">
        <v>19</v>
      </c>
      <c r="G16" s="1" t="s">
        <v>20</v>
      </c>
      <c r="H16" s="1" t="s">
        <v>21</v>
      </c>
      <c r="I16" s="3">
        <v>0.55000000000000004</v>
      </c>
      <c r="J16" s="2">
        <f t="shared" si="0"/>
        <v>24.772499999999997</v>
      </c>
    </row>
    <row r="17" spans="1:10" x14ac:dyDescent="0.2">
      <c r="A17" s="1" t="s">
        <v>64</v>
      </c>
      <c r="B17" s="1" t="s">
        <v>65</v>
      </c>
      <c r="C17" s="7" t="s">
        <v>66</v>
      </c>
      <c r="D17" s="2">
        <v>55.05</v>
      </c>
      <c r="E17" s="1">
        <v>1</v>
      </c>
      <c r="F17" s="1" t="s">
        <v>19</v>
      </c>
      <c r="G17" s="1" t="s">
        <v>20</v>
      </c>
      <c r="H17" s="1" t="s">
        <v>21</v>
      </c>
      <c r="I17" s="3">
        <v>0.55000000000000004</v>
      </c>
      <c r="J17" s="2">
        <f t="shared" si="0"/>
        <v>24.772499999999997</v>
      </c>
    </row>
    <row r="18" spans="1:10" x14ac:dyDescent="0.2">
      <c r="A18" s="1" t="s">
        <v>67</v>
      </c>
      <c r="B18" s="1" t="s">
        <v>68</v>
      </c>
      <c r="C18" s="7" t="s">
        <v>69</v>
      </c>
      <c r="D18" s="2">
        <v>55.05</v>
      </c>
      <c r="E18" s="1">
        <v>1</v>
      </c>
      <c r="F18" s="1" t="s">
        <v>19</v>
      </c>
      <c r="G18" s="1" t="s">
        <v>20</v>
      </c>
      <c r="H18" s="1" t="s">
        <v>21</v>
      </c>
      <c r="I18" s="3">
        <v>0.55000000000000004</v>
      </c>
      <c r="J18" s="2">
        <f t="shared" si="0"/>
        <v>24.772499999999997</v>
      </c>
    </row>
    <row r="19" spans="1:10" x14ac:dyDescent="0.2">
      <c r="A19" s="1" t="s">
        <v>70</v>
      </c>
      <c r="B19" s="1" t="s">
        <v>71</v>
      </c>
      <c r="C19" s="7" t="s">
        <v>72</v>
      </c>
      <c r="D19" s="2">
        <v>65.53</v>
      </c>
      <c r="E19" s="1">
        <v>1</v>
      </c>
      <c r="F19" s="1" t="s">
        <v>19</v>
      </c>
      <c r="G19" s="1" t="s">
        <v>20</v>
      </c>
      <c r="H19" s="1" t="s">
        <v>21</v>
      </c>
      <c r="I19" s="3">
        <v>0.55000000000000004</v>
      </c>
      <c r="J19" s="2">
        <f t="shared" si="0"/>
        <v>29.488499999999998</v>
      </c>
    </row>
    <row r="20" spans="1:10" x14ac:dyDescent="0.2">
      <c r="A20" s="1" t="s">
        <v>73</v>
      </c>
      <c r="B20" s="1" t="s">
        <v>74</v>
      </c>
      <c r="C20" s="7" t="s">
        <v>75</v>
      </c>
      <c r="D20" s="2">
        <v>65.53</v>
      </c>
      <c r="E20" s="1">
        <v>1</v>
      </c>
      <c r="F20" s="1" t="s">
        <v>19</v>
      </c>
      <c r="G20" s="1" t="s">
        <v>20</v>
      </c>
      <c r="H20" s="1" t="s">
        <v>21</v>
      </c>
      <c r="I20" s="3">
        <v>0.55000000000000004</v>
      </c>
      <c r="J20" s="2">
        <f t="shared" si="0"/>
        <v>29.488499999999998</v>
      </c>
    </row>
    <row r="21" spans="1:10" x14ac:dyDescent="0.2">
      <c r="A21" s="1" t="s">
        <v>76</v>
      </c>
      <c r="B21" s="1" t="s">
        <v>77</v>
      </c>
      <c r="C21" s="7" t="s">
        <v>78</v>
      </c>
      <c r="D21" s="2">
        <v>65.53</v>
      </c>
      <c r="E21" s="1">
        <v>1</v>
      </c>
      <c r="F21" s="1" t="s">
        <v>19</v>
      </c>
      <c r="G21" s="1" t="s">
        <v>20</v>
      </c>
      <c r="H21" s="1" t="s">
        <v>21</v>
      </c>
      <c r="I21" s="3">
        <v>0.55000000000000004</v>
      </c>
      <c r="J21" s="2">
        <f t="shared" si="0"/>
        <v>29.488499999999998</v>
      </c>
    </row>
    <row r="22" spans="1:10" x14ac:dyDescent="0.2">
      <c r="A22" s="1" t="s">
        <v>79</v>
      </c>
      <c r="B22" s="1" t="s">
        <v>80</v>
      </c>
      <c r="C22" s="7" t="s">
        <v>81</v>
      </c>
      <c r="D22" s="2">
        <v>65.53</v>
      </c>
      <c r="E22" s="1">
        <v>1</v>
      </c>
      <c r="F22" s="1" t="s">
        <v>19</v>
      </c>
      <c r="G22" s="1" t="s">
        <v>20</v>
      </c>
      <c r="H22" s="1" t="s">
        <v>21</v>
      </c>
      <c r="I22" s="3">
        <v>0.55000000000000004</v>
      </c>
      <c r="J22" s="2">
        <f t="shared" si="0"/>
        <v>29.488499999999998</v>
      </c>
    </row>
    <row r="23" spans="1:10" x14ac:dyDescent="0.2">
      <c r="A23" s="1" t="s">
        <v>82</v>
      </c>
      <c r="B23" s="1" t="s">
        <v>83</v>
      </c>
      <c r="C23" s="7" t="s">
        <v>84</v>
      </c>
      <c r="D23" s="2">
        <v>65.53</v>
      </c>
      <c r="E23" s="1">
        <v>1</v>
      </c>
      <c r="F23" s="1" t="s">
        <v>19</v>
      </c>
      <c r="G23" s="1" t="s">
        <v>20</v>
      </c>
      <c r="H23" s="1" t="s">
        <v>21</v>
      </c>
      <c r="I23" s="3">
        <v>0.55000000000000004</v>
      </c>
      <c r="J23" s="2">
        <f t="shared" si="0"/>
        <v>29.488499999999998</v>
      </c>
    </row>
    <row r="24" spans="1:10" x14ac:dyDescent="0.2">
      <c r="A24" s="1" t="s">
        <v>85</v>
      </c>
      <c r="B24" s="1" t="s">
        <v>86</v>
      </c>
      <c r="C24" s="7" t="s">
        <v>87</v>
      </c>
      <c r="D24" s="2">
        <v>79.78</v>
      </c>
      <c r="E24" s="1">
        <v>1</v>
      </c>
      <c r="F24" s="1" t="s">
        <v>19</v>
      </c>
      <c r="G24" s="1" t="s">
        <v>20</v>
      </c>
      <c r="H24" s="1" t="s">
        <v>21</v>
      </c>
      <c r="I24" s="3">
        <v>0.55000000000000004</v>
      </c>
      <c r="J24" s="2">
        <f t="shared" si="0"/>
        <v>35.900999999999996</v>
      </c>
    </row>
    <row r="25" spans="1:10" x14ac:dyDescent="0.2">
      <c r="A25" s="1" t="s">
        <v>88</v>
      </c>
      <c r="B25" s="1" t="s">
        <v>89</v>
      </c>
      <c r="C25" s="7" t="s">
        <v>90</v>
      </c>
      <c r="D25" s="2">
        <v>79.78</v>
      </c>
      <c r="E25" s="1">
        <v>1</v>
      </c>
      <c r="F25" s="1" t="s">
        <v>19</v>
      </c>
      <c r="G25" s="1" t="s">
        <v>20</v>
      </c>
      <c r="H25" s="1" t="s">
        <v>21</v>
      </c>
      <c r="I25" s="3">
        <v>0.55000000000000004</v>
      </c>
      <c r="J25" s="2">
        <f t="shared" si="0"/>
        <v>35.900999999999996</v>
      </c>
    </row>
    <row r="26" spans="1:10" x14ac:dyDescent="0.2">
      <c r="A26" s="1" t="s">
        <v>91</v>
      </c>
      <c r="B26" s="1" t="s">
        <v>92</v>
      </c>
      <c r="C26" s="7" t="s">
        <v>93</v>
      </c>
      <c r="D26" s="2">
        <v>117.38</v>
      </c>
      <c r="E26" s="1">
        <v>1</v>
      </c>
      <c r="F26" s="1" t="s">
        <v>19</v>
      </c>
      <c r="G26" s="1" t="s">
        <v>94</v>
      </c>
      <c r="H26" s="1" t="s">
        <v>95</v>
      </c>
      <c r="I26" s="3">
        <v>0.55000000000000004</v>
      </c>
      <c r="J26" s="2">
        <f t="shared" si="0"/>
        <v>52.820999999999991</v>
      </c>
    </row>
    <row r="27" spans="1:10" x14ac:dyDescent="0.2">
      <c r="A27" s="1" t="s">
        <v>574</v>
      </c>
      <c r="B27" s="1" t="s">
        <v>575</v>
      </c>
      <c r="C27" s="7" t="s">
        <v>576</v>
      </c>
      <c r="D27" s="2">
        <v>128.78</v>
      </c>
      <c r="E27" s="1">
        <v>1</v>
      </c>
      <c r="F27" s="1" t="s">
        <v>19</v>
      </c>
      <c r="G27" s="1" t="s">
        <v>94</v>
      </c>
      <c r="H27" s="1" t="s">
        <v>95</v>
      </c>
      <c r="I27" s="3">
        <v>0.55000000000000004</v>
      </c>
      <c r="J27" s="2">
        <f t="shared" si="0"/>
        <v>57.950999999999993</v>
      </c>
    </row>
    <row r="28" spans="1:10" x14ac:dyDescent="0.2">
      <c r="A28" s="1" t="s">
        <v>577</v>
      </c>
      <c r="B28" s="1" t="s">
        <v>578</v>
      </c>
      <c r="C28" s="7" t="s">
        <v>579</v>
      </c>
      <c r="D28" s="2">
        <v>161.25</v>
      </c>
      <c r="E28" s="1">
        <v>1</v>
      </c>
      <c r="F28" s="1" t="s">
        <v>19</v>
      </c>
      <c r="G28" s="1" t="s">
        <v>94</v>
      </c>
      <c r="H28" s="1" t="s">
        <v>95</v>
      </c>
      <c r="I28" s="3">
        <v>0.55000000000000004</v>
      </c>
      <c r="J28" s="2">
        <f t="shared" si="0"/>
        <v>72.562499999999986</v>
      </c>
    </row>
    <row r="29" spans="1:10" x14ac:dyDescent="0.2">
      <c r="A29" t="s">
        <v>584</v>
      </c>
      <c r="B29" t="s">
        <v>585</v>
      </c>
      <c r="C29" s="8" t="s">
        <v>586</v>
      </c>
      <c r="D29" s="2">
        <v>170.38</v>
      </c>
      <c r="E29">
        <v>1</v>
      </c>
      <c r="F29" t="s">
        <v>19</v>
      </c>
      <c r="G29" t="s">
        <v>94</v>
      </c>
      <c r="H29" t="s">
        <v>95</v>
      </c>
      <c r="I29" s="3">
        <v>0.55000000000000004</v>
      </c>
      <c r="J29" s="2">
        <f t="shared" si="0"/>
        <v>76.670999999999992</v>
      </c>
    </row>
    <row r="30" spans="1:10" x14ac:dyDescent="0.2">
      <c r="A30" s="1" t="s">
        <v>96</v>
      </c>
      <c r="B30" s="1" t="s">
        <v>97</v>
      </c>
      <c r="C30" s="7" t="s">
        <v>98</v>
      </c>
      <c r="D30" s="2">
        <v>59.83</v>
      </c>
      <c r="E30" s="1">
        <v>1</v>
      </c>
      <c r="F30" s="1" t="s">
        <v>19</v>
      </c>
      <c r="G30" s="1" t="s">
        <v>99</v>
      </c>
      <c r="H30" s="1" t="s">
        <v>21</v>
      </c>
      <c r="I30" s="3">
        <v>0.55000000000000004</v>
      </c>
      <c r="J30" s="2">
        <f t="shared" si="0"/>
        <v>26.923499999999997</v>
      </c>
    </row>
    <row r="31" spans="1:10" x14ac:dyDescent="0.2">
      <c r="A31" s="1" t="s">
        <v>100</v>
      </c>
      <c r="B31" s="1" t="s">
        <v>101</v>
      </c>
      <c r="C31" s="7" t="s">
        <v>102</v>
      </c>
      <c r="D31" s="2">
        <v>45.64</v>
      </c>
      <c r="E31" s="1">
        <v>1</v>
      </c>
      <c r="F31" s="1" t="s">
        <v>19</v>
      </c>
      <c r="G31" s="1" t="s">
        <v>103</v>
      </c>
      <c r="H31" s="1" t="s">
        <v>104</v>
      </c>
      <c r="I31" s="3">
        <v>0.55000000000000004</v>
      </c>
      <c r="J31" s="2">
        <f t="shared" si="0"/>
        <v>20.537999999999997</v>
      </c>
    </row>
    <row r="32" spans="1:10" x14ac:dyDescent="0.2">
      <c r="A32" t="s">
        <v>559</v>
      </c>
      <c r="B32" t="s">
        <v>560</v>
      </c>
      <c r="C32" s="8" t="s">
        <v>561</v>
      </c>
      <c r="D32" s="2">
        <v>6.7</v>
      </c>
      <c r="E32">
        <v>1</v>
      </c>
      <c r="F32" t="s">
        <v>19</v>
      </c>
      <c r="G32" t="s">
        <v>20</v>
      </c>
      <c r="H32" t="s">
        <v>21</v>
      </c>
      <c r="I32" s="3">
        <v>0.55000000000000004</v>
      </c>
      <c r="J32" s="2">
        <f t="shared" si="0"/>
        <v>3.0149999999999997</v>
      </c>
    </row>
    <row r="33" spans="1:10" x14ac:dyDescent="0.2">
      <c r="A33" s="1" t="s">
        <v>105</v>
      </c>
      <c r="B33" s="1" t="s">
        <v>106</v>
      </c>
      <c r="C33" s="7" t="s">
        <v>107</v>
      </c>
      <c r="D33" s="2">
        <v>39.61</v>
      </c>
      <c r="E33" s="1">
        <v>10</v>
      </c>
      <c r="F33" s="1" t="s">
        <v>19</v>
      </c>
      <c r="G33" s="1" t="s">
        <v>10</v>
      </c>
      <c r="H33" s="1" t="s">
        <v>21</v>
      </c>
      <c r="I33" s="3">
        <v>0.55000000000000004</v>
      </c>
      <c r="J33" s="2">
        <f t="shared" si="0"/>
        <v>1.7824499999999999</v>
      </c>
    </row>
    <row r="34" spans="1:10" x14ac:dyDescent="0.2">
      <c r="A34" s="1" t="s">
        <v>116</v>
      </c>
      <c r="B34" s="1" t="s">
        <v>117</v>
      </c>
      <c r="C34" s="7" t="s">
        <v>118</v>
      </c>
      <c r="D34" s="2">
        <v>7.67</v>
      </c>
      <c r="E34" s="1">
        <v>1</v>
      </c>
      <c r="F34" s="1" t="s">
        <v>19</v>
      </c>
      <c r="G34" s="1" t="s">
        <v>99</v>
      </c>
      <c r="H34" s="1" t="s">
        <v>21</v>
      </c>
      <c r="I34" s="3">
        <v>0.55000000000000004</v>
      </c>
      <c r="J34" s="2">
        <f t="shared" si="0"/>
        <v>3.4514999999999998</v>
      </c>
    </row>
    <row r="35" spans="1:10" x14ac:dyDescent="0.2">
      <c r="A35" s="1" t="s">
        <v>119</v>
      </c>
      <c r="B35" s="1" t="s">
        <v>120</v>
      </c>
      <c r="C35" s="7" t="s">
        <v>121</v>
      </c>
      <c r="D35" s="2">
        <v>8.99</v>
      </c>
      <c r="E35" s="1">
        <v>1</v>
      </c>
      <c r="F35" s="1" t="s">
        <v>19</v>
      </c>
      <c r="G35" s="1" t="s">
        <v>99</v>
      </c>
      <c r="H35" s="1" t="s">
        <v>21</v>
      </c>
      <c r="I35" s="3">
        <v>0.55000000000000004</v>
      </c>
      <c r="J35" s="2">
        <f t="shared" si="0"/>
        <v>4.0454999999999997</v>
      </c>
    </row>
    <row r="36" spans="1:10" x14ac:dyDescent="0.2">
      <c r="A36" s="1" t="s">
        <v>122</v>
      </c>
      <c r="B36" s="1" t="s">
        <v>123</v>
      </c>
      <c r="C36" s="7" t="s">
        <v>124</v>
      </c>
      <c r="D36" s="2">
        <v>10.130000000000001</v>
      </c>
      <c r="E36" s="1">
        <v>1</v>
      </c>
      <c r="F36" s="1" t="s">
        <v>19</v>
      </c>
      <c r="G36" s="1" t="s">
        <v>99</v>
      </c>
      <c r="H36" s="1" t="s">
        <v>21</v>
      </c>
      <c r="I36" s="3">
        <v>0.55000000000000004</v>
      </c>
      <c r="J36" s="2">
        <f t="shared" si="0"/>
        <v>4.5584999999999996</v>
      </c>
    </row>
    <row r="37" spans="1:10" x14ac:dyDescent="0.2">
      <c r="A37" s="1" t="s">
        <v>125</v>
      </c>
      <c r="B37" s="1" t="s">
        <v>126</v>
      </c>
      <c r="C37" s="7" t="s">
        <v>127</v>
      </c>
      <c r="D37" s="2">
        <v>10.85</v>
      </c>
      <c r="E37" s="1">
        <v>1</v>
      </c>
      <c r="F37" s="1" t="s">
        <v>19</v>
      </c>
      <c r="G37" s="1" t="s">
        <v>99</v>
      </c>
      <c r="H37" s="1" t="s">
        <v>21</v>
      </c>
      <c r="I37" s="3">
        <v>0.55000000000000004</v>
      </c>
      <c r="J37" s="2">
        <f t="shared" si="0"/>
        <v>4.8824999999999994</v>
      </c>
    </row>
    <row r="38" spans="1:10" x14ac:dyDescent="0.2">
      <c r="A38" s="1" t="s">
        <v>128</v>
      </c>
      <c r="B38" s="1" t="s">
        <v>129</v>
      </c>
      <c r="C38" s="7" t="s">
        <v>130</v>
      </c>
      <c r="D38" s="2">
        <v>8.5500000000000007</v>
      </c>
      <c r="E38" s="1">
        <v>1</v>
      </c>
      <c r="F38" s="1" t="s">
        <v>19</v>
      </c>
      <c r="G38" s="1" t="s">
        <v>99</v>
      </c>
      <c r="H38" s="1" t="s">
        <v>21</v>
      </c>
      <c r="I38" s="3">
        <v>0.55000000000000004</v>
      </c>
      <c r="J38" s="2">
        <f t="shared" si="0"/>
        <v>3.8475000000000001</v>
      </c>
    </row>
    <row r="39" spans="1:10" x14ac:dyDescent="0.2">
      <c r="A39" s="1" t="s">
        <v>131</v>
      </c>
      <c r="B39" s="1" t="s">
        <v>132</v>
      </c>
      <c r="C39" s="7" t="s">
        <v>133</v>
      </c>
      <c r="D39" s="2">
        <v>143.5</v>
      </c>
      <c r="E39" s="1">
        <v>100</v>
      </c>
      <c r="F39" s="1" t="s">
        <v>19</v>
      </c>
      <c r="G39" s="1" t="s">
        <v>99</v>
      </c>
      <c r="H39" s="1" t="s">
        <v>21</v>
      </c>
      <c r="I39" s="3">
        <v>0.55000000000000004</v>
      </c>
      <c r="J39" s="2">
        <f t="shared" si="0"/>
        <v>0.64574999999999994</v>
      </c>
    </row>
    <row r="40" spans="1:10" x14ac:dyDescent="0.2">
      <c r="A40" s="1" t="s">
        <v>134</v>
      </c>
      <c r="B40" s="1" t="s">
        <v>135</v>
      </c>
      <c r="C40" s="7" t="s">
        <v>136</v>
      </c>
      <c r="D40" s="2">
        <v>28.6</v>
      </c>
      <c r="E40" s="1">
        <v>1</v>
      </c>
      <c r="F40" s="1" t="s">
        <v>19</v>
      </c>
      <c r="G40" s="1" t="s">
        <v>137</v>
      </c>
      <c r="H40" s="1" t="s">
        <v>138</v>
      </c>
      <c r="I40" s="3">
        <v>0.55000000000000004</v>
      </c>
      <c r="J40" s="2">
        <f t="shared" si="0"/>
        <v>12.87</v>
      </c>
    </row>
    <row r="41" spans="1:10" x14ac:dyDescent="0.2">
      <c r="A41" s="1" t="s">
        <v>139</v>
      </c>
      <c r="B41" s="1" t="s">
        <v>140</v>
      </c>
      <c r="C41" s="7" t="s">
        <v>141</v>
      </c>
      <c r="D41" s="2">
        <v>29.97</v>
      </c>
      <c r="E41" s="1">
        <v>1</v>
      </c>
      <c r="F41" s="1" t="s">
        <v>19</v>
      </c>
      <c r="G41" s="1" t="s">
        <v>137</v>
      </c>
      <c r="H41" s="1" t="s">
        <v>138</v>
      </c>
      <c r="I41" s="3">
        <v>0.55000000000000004</v>
      </c>
      <c r="J41" s="2">
        <f t="shared" si="0"/>
        <v>13.486499999999998</v>
      </c>
    </row>
    <row r="42" spans="1:10" x14ac:dyDescent="0.2">
      <c r="A42" s="1" t="s">
        <v>142</v>
      </c>
      <c r="B42" s="1" t="s">
        <v>143</v>
      </c>
      <c r="C42" s="7" t="s">
        <v>144</v>
      </c>
      <c r="D42" s="2">
        <v>35.21</v>
      </c>
      <c r="E42" s="1">
        <v>1</v>
      </c>
      <c r="F42" s="1" t="s">
        <v>19</v>
      </c>
      <c r="G42" s="1" t="s">
        <v>137</v>
      </c>
      <c r="H42" s="1" t="s">
        <v>138</v>
      </c>
      <c r="I42" s="3">
        <v>0.55000000000000004</v>
      </c>
      <c r="J42" s="2">
        <f t="shared" si="0"/>
        <v>15.844499999999998</v>
      </c>
    </row>
    <row r="43" spans="1:10" x14ac:dyDescent="0.2">
      <c r="A43" s="1" t="s">
        <v>145</v>
      </c>
      <c r="B43" s="1" t="s">
        <v>146</v>
      </c>
      <c r="C43" s="7" t="s">
        <v>147</v>
      </c>
      <c r="D43" s="2">
        <v>56.98</v>
      </c>
      <c r="E43" s="1">
        <v>1</v>
      </c>
      <c r="F43" s="1" t="s">
        <v>19</v>
      </c>
      <c r="G43" s="1" t="s">
        <v>137</v>
      </c>
      <c r="H43" s="1" t="s">
        <v>148</v>
      </c>
      <c r="I43" s="3">
        <v>0.55000000000000004</v>
      </c>
      <c r="J43" s="2">
        <f t="shared" si="0"/>
        <v>25.640999999999995</v>
      </c>
    </row>
    <row r="44" spans="1:10" x14ac:dyDescent="0.2">
      <c r="A44" s="1" t="s">
        <v>149</v>
      </c>
      <c r="B44" s="1" t="s">
        <v>150</v>
      </c>
      <c r="C44" s="7" t="s">
        <v>151</v>
      </c>
      <c r="D44" s="2">
        <v>83.76</v>
      </c>
      <c r="E44" s="1">
        <v>1</v>
      </c>
      <c r="F44" s="1" t="s">
        <v>19</v>
      </c>
      <c r="G44" s="1" t="s">
        <v>137</v>
      </c>
      <c r="H44" s="1" t="s">
        <v>148</v>
      </c>
      <c r="I44" s="3">
        <v>0.55000000000000004</v>
      </c>
      <c r="J44" s="2">
        <f t="shared" si="0"/>
        <v>37.692</v>
      </c>
    </row>
    <row r="45" spans="1:10" x14ac:dyDescent="0.2">
      <c r="A45" s="1" t="s">
        <v>580</v>
      </c>
      <c r="B45" s="1" t="s">
        <v>581</v>
      </c>
      <c r="C45" s="7" t="s">
        <v>582</v>
      </c>
      <c r="D45" s="2">
        <v>115.11</v>
      </c>
      <c r="E45" s="1">
        <v>1</v>
      </c>
      <c r="F45" s="1" t="s">
        <v>19</v>
      </c>
      <c r="G45" s="1" t="s">
        <v>137</v>
      </c>
      <c r="H45" s="1" t="s">
        <v>583</v>
      </c>
      <c r="I45" s="3">
        <v>0.55000000000000004</v>
      </c>
      <c r="J45" s="2">
        <f t="shared" si="0"/>
        <v>51.799499999999995</v>
      </c>
    </row>
    <row r="46" spans="1:10" x14ac:dyDescent="0.2">
      <c r="A46" t="s">
        <v>568</v>
      </c>
      <c r="B46" t="s">
        <v>569</v>
      </c>
      <c r="C46" s="8" t="s">
        <v>570</v>
      </c>
      <c r="D46" s="5">
        <v>495.74</v>
      </c>
      <c r="E46">
        <v>100</v>
      </c>
      <c r="F46" t="s">
        <v>19</v>
      </c>
      <c r="G46" t="s">
        <v>164</v>
      </c>
      <c r="H46" t="s">
        <v>165</v>
      </c>
      <c r="I46" s="3">
        <v>0.55000000000000004</v>
      </c>
      <c r="J46" s="2">
        <f t="shared" si="0"/>
        <v>2.2308299999999996</v>
      </c>
    </row>
    <row r="47" spans="1:10" x14ac:dyDescent="0.2">
      <c r="A47" t="s">
        <v>571</v>
      </c>
      <c r="B47" t="s">
        <v>572</v>
      </c>
      <c r="C47" s="8" t="s">
        <v>573</v>
      </c>
      <c r="D47" s="5">
        <v>541.32000000000005</v>
      </c>
      <c r="E47">
        <v>100</v>
      </c>
      <c r="F47" t="s">
        <v>19</v>
      </c>
      <c r="G47" t="s">
        <v>164</v>
      </c>
      <c r="H47" t="s">
        <v>165</v>
      </c>
      <c r="I47" s="3">
        <v>0.55000000000000004</v>
      </c>
      <c r="J47" s="2">
        <f t="shared" si="0"/>
        <v>2.43594</v>
      </c>
    </row>
    <row r="48" spans="1:10" x14ac:dyDescent="0.2">
      <c r="A48" s="1" t="s">
        <v>152</v>
      </c>
      <c r="B48" s="1" t="s">
        <v>153</v>
      </c>
      <c r="C48" s="7" t="s">
        <v>154</v>
      </c>
      <c r="D48" s="2">
        <v>54.19</v>
      </c>
      <c r="E48" s="1">
        <v>1</v>
      </c>
      <c r="F48" s="1" t="s">
        <v>19</v>
      </c>
      <c r="G48" s="1" t="s">
        <v>155</v>
      </c>
      <c r="H48" s="1" t="s">
        <v>156</v>
      </c>
      <c r="I48" s="3">
        <v>0.55000000000000004</v>
      </c>
      <c r="J48" s="2">
        <f t="shared" si="0"/>
        <v>24.385499999999997</v>
      </c>
    </row>
    <row r="49" spans="1:10" x14ac:dyDescent="0.2">
      <c r="A49" t="s">
        <v>565</v>
      </c>
      <c r="B49" t="s">
        <v>566</v>
      </c>
      <c r="C49" s="8" t="s">
        <v>567</v>
      </c>
      <c r="D49" s="5">
        <v>8.5500000000000007</v>
      </c>
      <c r="E49">
        <v>1</v>
      </c>
      <c r="F49" t="s">
        <v>19</v>
      </c>
      <c r="G49" t="s">
        <v>137</v>
      </c>
      <c r="H49" t="s">
        <v>160</v>
      </c>
      <c r="I49" s="3">
        <v>0.55000000000000004</v>
      </c>
      <c r="J49" s="2">
        <f t="shared" si="0"/>
        <v>3.8475000000000001</v>
      </c>
    </row>
    <row r="50" spans="1:10" x14ac:dyDescent="0.2">
      <c r="A50" s="1" t="s">
        <v>157</v>
      </c>
      <c r="B50" s="1" t="s">
        <v>158</v>
      </c>
      <c r="C50" s="7" t="s">
        <v>159</v>
      </c>
      <c r="D50" s="2">
        <v>8.5500000000000007</v>
      </c>
      <c r="E50" s="1">
        <v>1</v>
      </c>
      <c r="F50" s="1" t="s">
        <v>19</v>
      </c>
      <c r="G50" s="1" t="s">
        <v>137</v>
      </c>
      <c r="H50" s="1" t="s">
        <v>160</v>
      </c>
      <c r="I50" s="3">
        <v>0.55000000000000004</v>
      </c>
      <c r="J50" s="2">
        <f t="shared" si="0"/>
        <v>3.8475000000000001</v>
      </c>
    </row>
    <row r="51" spans="1:10" x14ac:dyDescent="0.2">
      <c r="A51" s="1" t="s">
        <v>161</v>
      </c>
      <c r="B51" s="1" t="s">
        <v>162</v>
      </c>
      <c r="C51" s="7" t="s">
        <v>163</v>
      </c>
      <c r="D51" s="2">
        <v>313.39</v>
      </c>
      <c r="E51" s="1">
        <v>100</v>
      </c>
      <c r="F51" s="1" t="s">
        <v>19</v>
      </c>
      <c r="G51" s="1" t="s">
        <v>164</v>
      </c>
      <c r="H51" s="1" t="s">
        <v>165</v>
      </c>
      <c r="I51" s="3">
        <v>0.55000000000000004</v>
      </c>
      <c r="J51" s="2">
        <f t="shared" si="0"/>
        <v>1.4102549999999998</v>
      </c>
    </row>
    <row r="52" spans="1:10" x14ac:dyDescent="0.2">
      <c r="A52" s="1" t="s">
        <v>166</v>
      </c>
      <c r="B52" s="1" t="s">
        <v>167</v>
      </c>
      <c r="C52" s="7" t="s">
        <v>168</v>
      </c>
      <c r="D52" s="2">
        <v>313.39</v>
      </c>
      <c r="E52" s="1">
        <v>100</v>
      </c>
      <c r="F52" s="1" t="s">
        <v>19</v>
      </c>
      <c r="G52" s="1" t="s">
        <v>164</v>
      </c>
      <c r="H52" s="1" t="s">
        <v>165</v>
      </c>
      <c r="I52" s="3">
        <v>0.55000000000000004</v>
      </c>
      <c r="J52" s="2">
        <f t="shared" si="0"/>
        <v>1.4102549999999998</v>
      </c>
    </row>
    <row r="53" spans="1:10" x14ac:dyDescent="0.2">
      <c r="A53" s="1" t="s">
        <v>169</v>
      </c>
      <c r="B53" s="1" t="s">
        <v>170</v>
      </c>
      <c r="C53" s="7" t="s">
        <v>171</v>
      </c>
      <c r="D53" s="2">
        <v>9.64</v>
      </c>
      <c r="E53" s="1">
        <v>1</v>
      </c>
      <c r="F53" s="1" t="s">
        <v>19</v>
      </c>
      <c r="G53" s="1" t="s">
        <v>164</v>
      </c>
      <c r="H53" s="1" t="s">
        <v>165</v>
      </c>
      <c r="I53" s="3">
        <v>0.55000000000000004</v>
      </c>
      <c r="J53" s="2">
        <f t="shared" si="0"/>
        <v>4.3380000000000001</v>
      </c>
    </row>
    <row r="54" spans="1:10" x14ac:dyDescent="0.2">
      <c r="A54" s="1" t="s">
        <v>172</v>
      </c>
      <c r="B54" s="1" t="s">
        <v>173</v>
      </c>
      <c r="C54" s="7" t="s">
        <v>174</v>
      </c>
      <c r="D54" s="2">
        <v>11</v>
      </c>
      <c r="E54" s="1">
        <v>1</v>
      </c>
      <c r="F54" s="1" t="s">
        <v>19</v>
      </c>
      <c r="G54" s="1" t="s">
        <v>164</v>
      </c>
      <c r="H54" s="1" t="s">
        <v>165</v>
      </c>
      <c r="I54" s="3">
        <v>0.55000000000000004</v>
      </c>
      <c r="J54" s="2">
        <f t="shared" si="0"/>
        <v>4.9499999999999993</v>
      </c>
    </row>
    <row r="55" spans="1:10" x14ac:dyDescent="0.2">
      <c r="A55" s="1" t="s">
        <v>175</v>
      </c>
      <c r="B55" s="1" t="s">
        <v>176</v>
      </c>
      <c r="C55" s="7" t="s">
        <v>177</v>
      </c>
      <c r="D55" s="2">
        <v>11</v>
      </c>
      <c r="E55" s="1">
        <v>1</v>
      </c>
      <c r="F55" s="1" t="s">
        <v>19</v>
      </c>
      <c r="G55" s="1" t="s">
        <v>164</v>
      </c>
      <c r="H55" s="1" t="s">
        <v>165</v>
      </c>
      <c r="I55" s="3">
        <v>0.55000000000000004</v>
      </c>
      <c r="J55" s="2">
        <f t="shared" si="0"/>
        <v>4.9499999999999993</v>
      </c>
    </row>
    <row r="56" spans="1:10" x14ac:dyDescent="0.2">
      <c r="A56" s="1" t="s">
        <v>178</v>
      </c>
      <c r="B56" s="1" t="s">
        <v>179</v>
      </c>
      <c r="C56" s="7" t="s">
        <v>180</v>
      </c>
      <c r="D56" s="2">
        <v>6.2</v>
      </c>
      <c r="E56" s="1">
        <v>1</v>
      </c>
      <c r="F56" s="1" t="s">
        <v>19</v>
      </c>
      <c r="G56" s="1" t="s">
        <v>164</v>
      </c>
      <c r="H56" s="1" t="s">
        <v>165</v>
      </c>
      <c r="I56" s="3">
        <v>0.55000000000000004</v>
      </c>
      <c r="J56" s="2">
        <f t="shared" si="0"/>
        <v>2.7899999999999996</v>
      </c>
    </row>
    <row r="57" spans="1:10" x14ac:dyDescent="0.2">
      <c r="A57" s="1" t="s">
        <v>181</v>
      </c>
      <c r="B57" s="1" t="s">
        <v>182</v>
      </c>
      <c r="C57" s="7" t="s">
        <v>183</v>
      </c>
      <c r="D57" s="2">
        <v>6.2</v>
      </c>
      <c r="E57" s="1">
        <v>1</v>
      </c>
      <c r="F57" s="1" t="s">
        <v>19</v>
      </c>
      <c r="G57" s="1" t="s">
        <v>164</v>
      </c>
      <c r="H57" s="1" t="s">
        <v>165</v>
      </c>
      <c r="I57" s="3">
        <v>0.55000000000000004</v>
      </c>
      <c r="J57" s="2">
        <f t="shared" si="0"/>
        <v>2.7899999999999996</v>
      </c>
    </row>
    <row r="58" spans="1:10" x14ac:dyDescent="0.2">
      <c r="A58" s="1" t="s">
        <v>184</v>
      </c>
      <c r="B58" s="1" t="s">
        <v>185</v>
      </c>
      <c r="C58" s="7" t="s">
        <v>186</v>
      </c>
      <c r="D58" s="2">
        <v>41.05</v>
      </c>
      <c r="E58" s="1">
        <v>1</v>
      </c>
      <c r="F58" s="1" t="s">
        <v>19</v>
      </c>
      <c r="G58" s="1" t="s">
        <v>11</v>
      </c>
      <c r="H58" s="1" t="s">
        <v>187</v>
      </c>
      <c r="I58" s="3">
        <v>0.55000000000000004</v>
      </c>
      <c r="J58" s="2">
        <f t="shared" si="0"/>
        <v>18.472499999999997</v>
      </c>
    </row>
    <row r="59" spans="1:10" x14ac:dyDescent="0.2">
      <c r="A59" s="1" t="s">
        <v>188</v>
      </c>
      <c r="B59" s="1" t="s">
        <v>189</v>
      </c>
      <c r="C59" s="7" t="s">
        <v>190</v>
      </c>
      <c r="D59" s="2">
        <v>49.14</v>
      </c>
      <c r="E59" s="1">
        <v>1</v>
      </c>
      <c r="F59" s="1" t="s">
        <v>19</v>
      </c>
      <c r="G59" s="1" t="s">
        <v>11</v>
      </c>
      <c r="H59" s="1" t="s">
        <v>187</v>
      </c>
      <c r="I59" s="3">
        <v>0.55000000000000004</v>
      </c>
      <c r="J59" s="2">
        <f t="shared" si="0"/>
        <v>22.113</v>
      </c>
    </row>
    <row r="60" spans="1:10" x14ac:dyDescent="0.2">
      <c r="A60" s="1" t="s">
        <v>191</v>
      </c>
      <c r="B60" s="1" t="s">
        <v>192</v>
      </c>
      <c r="C60" s="7" t="s">
        <v>193</v>
      </c>
      <c r="D60" s="2">
        <v>81.02</v>
      </c>
      <c r="E60" s="1">
        <v>1</v>
      </c>
      <c r="F60" s="1" t="s">
        <v>19</v>
      </c>
      <c r="G60" s="1" t="s">
        <v>11</v>
      </c>
      <c r="H60" s="1" t="s">
        <v>187</v>
      </c>
      <c r="I60" s="3">
        <v>0.55000000000000004</v>
      </c>
      <c r="J60" s="2">
        <f t="shared" si="0"/>
        <v>36.458999999999996</v>
      </c>
    </row>
    <row r="61" spans="1:10" x14ac:dyDescent="0.2">
      <c r="A61" s="1" t="s">
        <v>194</v>
      </c>
      <c r="B61" s="1" t="s">
        <v>195</v>
      </c>
      <c r="C61" s="7" t="s">
        <v>196</v>
      </c>
      <c r="D61" s="2">
        <v>100.63</v>
      </c>
      <c r="E61" s="1">
        <v>1</v>
      </c>
      <c r="F61" s="1" t="s">
        <v>19</v>
      </c>
      <c r="G61" s="1" t="s">
        <v>11</v>
      </c>
      <c r="H61" s="1" t="s">
        <v>187</v>
      </c>
      <c r="I61" s="3">
        <v>0.55000000000000004</v>
      </c>
      <c r="J61" s="2">
        <f t="shared" si="0"/>
        <v>45.283499999999997</v>
      </c>
    </row>
    <row r="62" spans="1:10" x14ac:dyDescent="0.2">
      <c r="A62" s="1" t="s">
        <v>197</v>
      </c>
      <c r="B62" s="1" t="s">
        <v>198</v>
      </c>
      <c r="C62" s="7" t="s">
        <v>199</v>
      </c>
      <c r="D62" s="2">
        <v>8.2100000000000009</v>
      </c>
      <c r="E62" s="1">
        <v>1</v>
      </c>
      <c r="F62" s="1" t="s">
        <v>19</v>
      </c>
      <c r="G62" s="1" t="s">
        <v>11</v>
      </c>
      <c r="H62" s="1" t="s">
        <v>187</v>
      </c>
      <c r="I62" s="3">
        <v>0.55000000000000004</v>
      </c>
      <c r="J62" s="2">
        <f t="shared" si="0"/>
        <v>3.6945000000000001</v>
      </c>
    </row>
    <row r="63" spans="1:10" x14ac:dyDescent="0.2">
      <c r="A63" s="1" t="s">
        <v>200</v>
      </c>
      <c r="B63" s="1" t="s">
        <v>201</v>
      </c>
      <c r="C63" s="7" t="s">
        <v>202</v>
      </c>
      <c r="D63" s="2">
        <v>67.91</v>
      </c>
      <c r="E63" s="1">
        <v>100</v>
      </c>
      <c r="F63" s="1" t="s">
        <v>19</v>
      </c>
      <c r="G63" s="1" t="s">
        <v>11</v>
      </c>
      <c r="H63" s="1" t="s">
        <v>187</v>
      </c>
      <c r="I63" s="3">
        <v>0.55000000000000004</v>
      </c>
      <c r="J63" s="2">
        <f t="shared" si="0"/>
        <v>0.30559499999999995</v>
      </c>
    </row>
    <row r="64" spans="1:10" x14ac:dyDescent="0.2">
      <c r="A64" s="1" t="s">
        <v>203</v>
      </c>
      <c r="B64" s="1" t="s">
        <v>204</v>
      </c>
      <c r="C64" s="7" t="s">
        <v>205</v>
      </c>
      <c r="D64" s="2">
        <v>13.11</v>
      </c>
      <c r="E64" s="1">
        <v>1</v>
      </c>
      <c r="F64" s="1" t="s">
        <v>19</v>
      </c>
      <c r="G64" s="1" t="s">
        <v>11</v>
      </c>
      <c r="H64" s="1" t="s">
        <v>187</v>
      </c>
      <c r="I64" s="3">
        <v>0.55000000000000004</v>
      </c>
      <c r="J64" s="2">
        <f t="shared" si="0"/>
        <v>5.8994999999999989</v>
      </c>
    </row>
    <row r="65" spans="1:10" x14ac:dyDescent="0.2">
      <c r="A65" s="1" t="s">
        <v>206</v>
      </c>
      <c r="B65" s="1" t="s">
        <v>207</v>
      </c>
      <c r="C65" s="7" t="s">
        <v>208</v>
      </c>
      <c r="D65" s="2">
        <v>91.36</v>
      </c>
      <c r="E65" s="1">
        <v>100</v>
      </c>
      <c r="F65" s="1" t="s">
        <v>19</v>
      </c>
      <c r="G65" s="1" t="s">
        <v>11</v>
      </c>
      <c r="H65" s="1" t="s">
        <v>187</v>
      </c>
      <c r="I65" s="3">
        <v>0.55000000000000004</v>
      </c>
      <c r="J65" s="2">
        <f t="shared" si="0"/>
        <v>0.41111999999999993</v>
      </c>
    </row>
    <row r="66" spans="1:10" x14ac:dyDescent="0.2">
      <c r="A66" s="1" t="s">
        <v>209</v>
      </c>
      <c r="B66" s="1" t="s">
        <v>210</v>
      </c>
      <c r="C66" s="7" t="s">
        <v>211</v>
      </c>
      <c r="D66" s="2">
        <v>16.2</v>
      </c>
      <c r="E66" s="1">
        <v>1</v>
      </c>
      <c r="F66" s="1" t="s">
        <v>19</v>
      </c>
      <c r="G66" s="1" t="s">
        <v>11</v>
      </c>
      <c r="H66" s="1" t="s">
        <v>187</v>
      </c>
      <c r="I66" s="3">
        <v>0.55000000000000004</v>
      </c>
      <c r="J66" s="2">
        <f t="shared" si="0"/>
        <v>7.2899999999999991</v>
      </c>
    </row>
    <row r="67" spans="1:10" x14ac:dyDescent="0.2">
      <c r="A67" s="1" t="s">
        <v>212</v>
      </c>
      <c r="B67" s="1" t="s">
        <v>213</v>
      </c>
      <c r="C67" s="7" t="s">
        <v>214</v>
      </c>
      <c r="D67" s="2">
        <v>114.71</v>
      </c>
      <c r="E67" s="1">
        <v>100</v>
      </c>
      <c r="F67" s="1" t="s">
        <v>19</v>
      </c>
      <c r="G67" s="1" t="s">
        <v>11</v>
      </c>
      <c r="H67" s="1" t="s">
        <v>187</v>
      </c>
      <c r="I67" s="3">
        <v>0.55000000000000004</v>
      </c>
      <c r="J67" s="2">
        <f t="shared" si="0"/>
        <v>0.51619499999999996</v>
      </c>
    </row>
    <row r="68" spans="1:10" x14ac:dyDescent="0.2">
      <c r="A68" s="1" t="s">
        <v>215</v>
      </c>
      <c r="B68" s="1" t="s">
        <v>216</v>
      </c>
      <c r="C68" s="7" t="s">
        <v>217</v>
      </c>
      <c r="D68" s="2">
        <v>258.22000000000003</v>
      </c>
      <c r="E68" s="1">
        <v>1</v>
      </c>
      <c r="F68" s="1" t="s">
        <v>19</v>
      </c>
      <c r="G68" s="1" t="s">
        <v>218</v>
      </c>
      <c r="H68" s="1" t="s">
        <v>219</v>
      </c>
      <c r="I68" s="3">
        <v>0.55000000000000004</v>
      </c>
      <c r="J68" s="2">
        <f t="shared" si="0"/>
        <v>116.199</v>
      </c>
    </row>
    <row r="69" spans="1:10" x14ac:dyDescent="0.2">
      <c r="A69" s="1" t="s">
        <v>220</v>
      </c>
      <c r="B69" s="1" t="s">
        <v>221</v>
      </c>
      <c r="C69" s="7" t="s">
        <v>222</v>
      </c>
      <c r="D69" s="2">
        <v>321.2</v>
      </c>
      <c r="E69" s="1">
        <v>1</v>
      </c>
      <c r="F69" s="1" t="s">
        <v>19</v>
      </c>
      <c r="G69" s="1" t="s">
        <v>218</v>
      </c>
      <c r="H69" s="1" t="s">
        <v>223</v>
      </c>
      <c r="I69" s="3">
        <v>0.55000000000000004</v>
      </c>
      <c r="J69" s="2">
        <f t="shared" si="0"/>
        <v>144.54</v>
      </c>
    </row>
    <row r="70" spans="1:10" x14ac:dyDescent="0.2">
      <c r="A70" s="1" t="s">
        <v>224</v>
      </c>
      <c r="B70" s="1" t="s">
        <v>225</v>
      </c>
      <c r="C70" s="7" t="s">
        <v>226</v>
      </c>
      <c r="D70" s="2">
        <v>225.58</v>
      </c>
      <c r="E70" s="1">
        <v>1</v>
      </c>
      <c r="F70" s="1" t="s">
        <v>19</v>
      </c>
      <c r="G70" s="1" t="s">
        <v>218</v>
      </c>
      <c r="H70" s="1" t="s">
        <v>219</v>
      </c>
      <c r="I70" s="3">
        <v>0.55000000000000004</v>
      </c>
      <c r="J70" s="2">
        <f t="shared" si="0"/>
        <v>101.511</v>
      </c>
    </row>
    <row r="71" spans="1:10" x14ac:dyDescent="0.2">
      <c r="A71" s="1" t="s">
        <v>227</v>
      </c>
      <c r="B71" s="1" t="s">
        <v>228</v>
      </c>
      <c r="C71" s="7" t="s">
        <v>229</v>
      </c>
      <c r="D71" s="2">
        <v>166.61</v>
      </c>
      <c r="E71" s="1">
        <v>1</v>
      </c>
      <c r="F71" s="1" t="s">
        <v>19</v>
      </c>
      <c r="G71" s="1" t="s">
        <v>218</v>
      </c>
      <c r="H71" s="1" t="s">
        <v>219</v>
      </c>
      <c r="I71" s="3">
        <v>0.55000000000000004</v>
      </c>
      <c r="J71" s="2">
        <f t="shared" si="0"/>
        <v>74.974499999999992</v>
      </c>
    </row>
    <row r="72" spans="1:10" x14ac:dyDescent="0.2">
      <c r="A72" s="1" t="s">
        <v>215</v>
      </c>
      <c r="B72" s="1" t="s">
        <v>216</v>
      </c>
      <c r="C72" s="7" t="s">
        <v>217</v>
      </c>
      <c r="D72" s="2">
        <v>258.22000000000003</v>
      </c>
      <c r="E72" s="1">
        <v>1</v>
      </c>
      <c r="F72" s="1" t="s">
        <v>19</v>
      </c>
      <c r="G72" s="1" t="s">
        <v>218</v>
      </c>
      <c r="H72" s="1" t="s">
        <v>219</v>
      </c>
      <c r="I72" s="3">
        <v>0.55000000000000004</v>
      </c>
      <c r="J72" s="2">
        <f t="shared" si="0"/>
        <v>116.199</v>
      </c>
    </row>
    <row r="73" spans="1:10" x14ac:dyDescent="0.2">
      <c r="A73" s="1" t="s">
        <v>220</v>
      </c>
      <c r="B73" s="1" t="s">
        <v>221</v>
      </c>
      <c r="C73" s="7" t="s">
        <v>222</v>
      </c>
      <c r="D73" s="2">
        <v>321.2</v>
      </c>
      <c r="E73" s="1">
        <v>1</v>
      </c>
      <c r="F73" s="1" t="s">
        <v>19</v>
      </c>
      <c r="G73" s="1" t="s">
        <v>218</v>
      </c>
      <c r="H73" s="1" t="s">
        <v>223</v>
      </c>
      <c r="I73" s="3">
        <v>0.55000000000000004</v>
      </c>
      <c r="J73" s="2">
        <f t="shared" si="0"/>
        <v>144.54</v>
      </c>
    </row>
    <row r="74" spans="1:10" x14ac:dyDescent="0.2">
      <c r="A74" s="1" t="s">
        <v>230</v>
      </c>
      <c r="B74" s="1" t="s">
        <v>231</v>
      </c>
      <c r="C74" s="7" t="s">
        <v>232</v>
      </c>
      <c r="D74" s="2">
        <v>555.38</v>
      </c>
      <c r="E74" s="1">
        <v>1</v>
      </c>
      <c r="F74" s="1" t="s">
        <v>19</v>
      </c>
      <c r="G74" s="1" t="s">
        <v>218</v>
      </c>
      <c r="H74" s="1" t="s">
        <v>219</v>
      </c>
      <c r="I74" s="3">
        <v>0.55000000000000004</v>
      </c>
      <c r="J74" s="2">
        <f t="shared" ref="J74:J137" si="1">D74/E74*(1-I74)</f>
        <v>249.92099999999996</v>
      </c>
    </row>
    <row r="75" spans="1:10" x14ac:dyDescent="0.2">
      <c r="A75" s="1" t="s">
        <v>233</v>
      </c>
      <c r="B75" s="1" t="s">
        <v>234</v>
      </c>
      <c r="C75" s="7" t="s">
        <v>235</v>
      </c>
      <c r="D75" s="2">
        <v>555.38</v>
      </c>
      <c r="E75" s="1">
        <v>1</v>
      </c>
      <c r="F75" s="1" t="s">
        <v>19</v>
      </c>
      <c r="G75" s="1" t="s">
        <v>218</v>
      </c>
      <c r="H75" s="1" t="s">
        <v>219</v>
      </c>
      <c r="I75" s="3">
        <v>0.55000000000000004</v>
      </c>
      <c r="J75" s="2">
        <f t="shared" si="1"/>
        <v>249.92099999999996</v>
      </c>
    </row>
    <row r="76" spans="1:10" x14ac:dyDescent="0.2">
      <c r="A76" s="1" t="s">
        <v>236</v>
      </c>
      <c r="B76" s="1" t="s">
        <v>237</v>
      </c>
      <c r="C76" s="7" t="s">
        <v>238</v>
      </c>
      <c r="D76" s="2">
        <v>487.81</v>
      </c>
      <c r="E76" s="1">
        <v>1</v>
      </c>
      <c r="F76" s="1" t="s">
        <v>19</v>
      </c>
      <c r="G76" s="1" t="s">
        <v>218</v>
      </c>
      <c r="H76" s="1" t="s">
        <v>223</v>
      </c>
      <c r="I76" s="3">
        <v>0.55000000000000004</v>
      </c>
      <c r="J76" s="2">
        <f t="shared" si="1"/>
        <v>219.51449999999997</v>
      </c>
    </row>
    <row r="77" spans="1:10" x14ac:dyDescent="0.2">
      <c r="A77" s="1" t="s">
        <v>239</v>
      </c>
      <c r="B77" s="1" t="s">
        <v>240</v>
      </c>
      <c r="C77" s="7" t="s">
        <v>241</v>
      </c>
      <c r="D77" s="2">
        <v>16.72</v>
      </c>
      <c r="E77" s="1">
        <v>1</v>
      </c>
      <c r="F77" s="1" t="s">
        <v>19</v>
      </c>
      <c r="G77" s="1" t="s">
        <v>218</v>
      </c>
      <c r="H77" s="1" t="s">
        <v>223</v>
      </c>
      <c r="I77" s="3">
        <v>0.55000000000000004</v>
      </c>
      <c r="J77" s="2">
        <f t="shared" si="1"/>
        <v>7.5239999999999991</v>
      </c>
    </row>
    <row r="78" spans="1:10" x14ac:dyDescent="0.2">
      <c r="A78" s="1" t="s">
        <v>242</v>
      </c>
      <c r="B78" s="1" t="s">
        <v>243</v>
      </c>
      <c r="C78" s="7" t="s">
        <v>244</v>
      </c>
      <c r="D78" s="2">
        <v>22.21</v>
      </c>
      <c r="E78" s="1">
        <v>1</v>
      </c>
      <c r="F78" s="1" t="s">
        <v>19</v>
      </c>
      <c r="G78" s="1" t="s">
        <v>218</v>
      </c>
      <c r="H78" s="1" t="s">
        <v>223</v>
      </c>
      <c r="I78" s="3">
        <v>0.55000000000000004</v>
      </c>
      <c r="J78" s="2">
        <f t="shared" si="1"/>
        <v>9.9944999999999986</v>
      </c>
    </row>
    <row r="79" spans="1:10" x14ac:dyDescent="0.2">
      <c r="A79" s="1" t="s">
        <v>245</v>
      </c>
      <c r="B79" s="1" t="s">
        <v>246</v>
      </c>
      <c r="C79" s="7" t="s">
        <v>248</v>
      </c>
      <c r="D79" s="2">
        <v>16.2</v>
      </c>
      <c r="E79" s="1">
        <v>1</v>
      </c>
      <c r="F79" s="1" t="s">
        <v>19</v>
      </c>
      <c r="G79" s="1" t="s">
        <v>218</v>
      </c>
      <c r="H79" s="1" t="s">
        <v>223</v>
      </c>
      <c r="I79" s="3">
        <v>0.55000000000000004</v>
      </c>
      <c r="J79" s="2">
        <f t="shared" si="1"/>
        <v>7.2899999999999991</v>
      </c>
    </row>
    <row r="80" spans="1:10" x14ac:dyDescent="0.2">
      <c r="A80" s="1" t="s">
        <v>249</v>
      </c>
      <c r="B80" s="1" t="s">
        <v>250</v>
      </c>
      <c r="C80" s="7" t="s">
        <v>251</v>
      </c>
      <c r="D80" s="2">
        <v>19.52</v>
      </c>
      <c r="E80" s="1">
        <v>1</v>
      </c>
      <c r="F80" s="1" t="s">
        <v>19</v>
      </c>
      <c r="G80" s="1" t="s">
        <v>218</v>
      </c>
      <c r="H80" s="1" t="s">
        <v>223</v>
      </c>
      <c r="I80" s="3">
        <v>0.55000000000000004</v>
      </c>
      <c r="J80" s="2">
        <f t="shared" si="1"/>
        <v>8.7839999999999989</v>
      </c>
    </row>
    <row r="81" spans="1:11" x14ac:dyDescent="0.2">
      <c r="A81" s="1" t="s">
        <v>256</v>
      </c>
      <c r="B81" s="1" t="s">
        <v>257</v>
      </c>
      <c r="C81" s="7" t="s">
        <v>258</v>
      </c>
      <c r="D81" s="2">
        <v>103.06</v>
      </c>
      <c r="E81" s="1">
        <v>1</v>
      </c>
      <c r="F81" s="1" t="s">
        <v>19</v>
      </c>
      <c r="G81" s="1" t="s">
        <v>218</v>
      </c>
      <c r="H81" s="1" t="s">
        <v>223</v>
      </c>
      <c r="I81" s="3">
        <v>0.55000000000000004</v>
      </c>
      <c r="J81" s="2">
        <f t="shared" si="1"/>
        <v>46.376999999999995</v>
      </c>
    </row>
    <row r="82" spans="1:11" x14ac:dyDescent="0.2">
      <c r="A82" s="1" t="s">
        <v>259</v>
      </c>
      <c r="B82" s="1" t="s">
        <v>260</v>
      </c>
      <c r="C82" s="7" t="s">
        <v>261</v>
      </c>
      <c r="D82" s="2">
        <v>103.06</v>
      </c>
      <c r="E82" s="1">
        <v>1</v>
      </c>
      <c r="F82" s="1" t="s">
        <v>19</v>
      </c>
      <c r="G82" s="1" t="s">
        <v>218</v>
      </c>
      <c r="H82" s="1" t="s">
        <v>223</v>
      </c>
      <c r="I82" s="3">
        <v>0.55000000000000004</v>
      </c>
      <c r="J82" s="2">
        <f t="shared" si="1"/>
        <v>46.376999999999995</v>
      </c>
    </row>
    <row r="83" spans="1:11" x14ac:dyDescent="0.2">
      <c r="A83" s="1" t="s">
        <v>262</v>
      </c>
      <c r="B83" s="1" t="s">
        <v>263</v>
      </c>
      <c r="C83" s="7" t="s">
        <v>264</v>
      </c>
      <c r="D83" s="2">
        <v>99.96</v>
      </c>
      <c r="E83" s="1">
        <v>1</v>
      </c>
      <c r="F83" s="1" t="s">
        <v>19</v>
      </c>
      <c r="G83" s="1" t="s">
        <v>265</v>
      </c>
      <c r="H83" s="1" t="s">
        <v>266</v>
      </c>
      <c r="I83" s="3">
        <v>0.28000000000000003</v>
      </c>
      <c r="J83" s="2">
        <f t="shared" si="1"/>
        <v>71.971199999999996</v>
      </c>
    </row>
    <row r="84" spans="1:11" x14ac:dyDescent="0.2">
      <c r="A84" s="1" t="s">
        <v>267</v>
      </c>
      <c r="B84" s="1" t="s">
        <v>268</v>
      </c>
      <c r="C84" s="7" t="s">
        <v>269</v>
      </c>
      <c r="D84" s="2">
        <v>132.6</v>
      </c>
      <c r="E84" s="1">
        <v>1</v>
      </c>
      <c r="F84" s="1" t="s">
        <v>19</v>
      </c>
      <c r="G84" s="1" t="s">
        <v>265</v>
      </c>
      <c r="H84" s="1" t="s">
        <v>266</v>
      </c>
      <c r="I84" s="3">
        <v>0.28000000000000003</v>
      </c>
      <c r="J84" s="2">
        <f t="shared" si="1"/>
        <v>95.471999999999994</v>
      </c>
    </row>
    <row r="85" spans="1:11" x14ac:dyDescent="0.2">
      <c r="A85" s="1" t="s">
        <v>270</v>
      </c>
      <c r="B85" s="1" t="s">
        <v>271</v>
      </c>
      <c r="C85" s="7" t="s">
        <v>272</v>
      </c>
      <c r="D85" s="2">
        <v>171.36</v>
      </c>
      <c r="E85" s="1">
        <v>1</v>
      </c>
      <c r="F85" s="1" t="s">
        <v>19</v>
      </c>
      <c r="G85" s="1" t="s">
        <v>265</v>
      </c>
      <c r="H85" s="1" t="s">
        <v>266</v>
      </c>
      <c r="I85" s="3">
        <v>0.28000000000000003</v>
      </c>
      <c r="J85" s="2">
        <f t="shared" si="1"/>
        <v>123.37920000000001</v>
      </c>
    </row>
    <row r="86" spans="1:11" x14ac:dyDescent="0.2">
      <c r="A86" s="1" t="s">
        <v>273</v>
      </c>
      <c r="B86" s="1" t="s">
        <v>274</v>
      </c>
      <c r="C86" s="7" t="s">
        <v>275</v>
      </c>
      <c r="D86" s="2">
        <v>501.84</v>
      </c>
      <c r="E86" s="1">
        <v>1</v>
      </c>
      <c r="F86" s="1" t="s">
        <v>19</v>
      </c>
      <c r="G86" s="1" t="s">
        <v>265</v>
      </c>
      <c r="H86" s="1" t="s">
        <v>276</v>
      </c>
      <c r="I86" s="3">
        <v>0.28000000000000003</v>
      </c>
      <c r="J86" s="2">
        <f t="shared" si="1"/>
        <v>361.32479999999998</v>
      </c>
    </row>
    <row r="87" spans="1:11" ht="25.5" x14ac:dyDescent="0.2">
      <c r="A87" s="1" t="s">
        <v>277</v>
      </c>
      <c r="B87" s="1" t="s">
        <v>278</v>
      </c>
      <c r="C87" s="7" t="s">
        <v>285</v>
      </c>
      <c r="D87" s="2">
        <v>510</v>
      </c>
      <c r="E87" s="1">
        <v>1</v>
      </c>
      <c r="F87" s="1" t="s">
        <v>19</v>
      </c>
      <c r="G87" s="1" t="s">
        <v>265</v>
      </c>
      <c r="H87" s="1" t="s">
        <v>276</v>
      </c>
      <c r="I87" s="3">
        <v>0.28000000000000003</v>
      </c>
      <c r="J87" s="2">
        <f t="shared" si="1"/>
        <v>367.2</v>
      </c>
    </row>
    <row r="88" spans="1:11" x14ac:dyDescent="0.2">
      <c r="A88" s="1" t="s">
        <v>279</v>
      </c>
      <c r="B88" s="1" t="s">
        <v>280</v>
      </c>
      <c r="C88" s="7" t="s">
        <v>281</v>
      </c>
      <c r="D88" s="2">
        <v>1224</v>
      </c>
      <c r="E88" s="1">
        <v>1</v>
      </c>
      <c r="F88" s="1" t="s">
        <v>19</v>
      </c>
      <c r="G88" s="1" t="s">
        <v>265</v>
      </c>
      <c r="H88" s="1" t="s">
        <v>276</v>
      </c>
      <c r="I88" s="3">
        <v>0.28000000000000003</v>
      </c>
      <c r="J88" s="2">
        <f t="shared" si="1"/>
        <v>881.28</v>
      </c>
      <c r="K88" s="18" t="s">
        <v>724</v>
      </c>
    </row>
    <row r="89" spans="1:11" x14ac:dyDescent="0.2">
      <c r="A89" s="1" t="s">
        <v>282</v>
      </c>
      <c r="B89" s="1" t="s">
        <v>283</v>
      </c>
      <c r="C89" s="7" t="s">
        <v>284</v>
      </c>
      <c r="D89" s="2">
        <v>1387.2</v>
      </c>
      <c r="E89" s="1">
        <v>1</v>
      </c>
      <c r="F89" s="1" t="s">
        <v>19</v>
      </c>
      <c r="G89" s="1" t="s">
        <v>265</v>
      </c>
      <c r="H89" s="1" t="s">
        <v>276</v>
      </c>
      <c r="I89" s="3">
        <v>0.28000000000000003</v>
      </c>
      <c r="J89" s="2">
        <f t="shared" si="1"/>
        <v>998.78399999999999</v>
      </c>
    </row>
    <row r="90" spans="1:11" x14ac:dyDescent="0.2">
      <c r="A90" s="1" t="s">
        <v>286</v>
      </c>
      <c r="B90" s="1" t="s">
        <v>287</v>
      </c>
      <c r="C90" s="7" t="s">
        <v>288</v>
      </c>
      <c r="D90" s="2">
        <v>342.72</v>
      </c>
      <c r="E90" s="1">
        <v>1</v>
      </c>
      <c r="F90" s="1" t="s">
        <v>19</v>
      </c>
      <c r="G90" s="1" t="s">
        <v>265</v>
      </c>
      <c r="H90" s="1" t="s">
        <v>276</v>
      </c>
      <c r="I90" s="3">
        <v>0.28000000000000003</v>
      </c>
      <c r="J90" s="2">
        <f t="shared" si="1"/>
        <v>246.75840000000002</v>
      </c>
    </row>
    <row r="91" spans="1:11" x14ac:dyDescent="0.2">
      <c r="A91" s="1" t="s">
        <v>289</v>
      </c>
      <c r="B91" s="1" t="s">
        <v>290</v>
      </c>
      <c r="C91" s="7" t="s">
        <v>291</v>
      </c>
      <c r="D91" s="2">
        <v>754.8</v>
      </c>
      <c r="E91" s="1">
        <v>1</v>
      </c>
      <c r="F91" s="1" t="s">
        <v>19</v>
      </c>
      <c r="G91" s="1" t="s">
        <v>265</v>
      </c>
      <c r="H91" s="1" t="s">
        <v>276</v>
      </c>
      <c r="I91" s="3">
        <v>0.28000000000000003</v>
      </c>
      <c r="J91" s="2">
        <f t="shared" si="1"/>
        <v>543.4559999999999</v>
      </c>
    </row>
    <row r="92" spans="1:11" x14ac:dyDescent="0.2">
      <c r="A92" s="1" t="s">
        <v>292</v>
      </c>
      <c r="B92" s="1" t="s">
        <v>293</v>
      </c>
      <c r="C92" s="7" t="s">
        <v>294</v>
      </c>
      <c r="D92" s="2">
        <v>805.8</v>
      </c>
      <c r="E92" s="1">
        <v>1</v>
      </c>
      <c r="F92" s="1" t="s">
        <v>19</v>
      </c>
      <c r="G92" s="1" t="s">
        <v>265</v>
      </c>
      <c r="H92" s="1" t="s">
        <v>276</v>
      </c>
      <c r="I92" s="3">
        <v>0.28000000000000003</v>
      </c>
      <c r="J92" s="2">
        <f t="shared" si="1"/>
        <v>580.17599999999993</v>
      </c>
    </row>
    <row r="93" spans="1:11" x14ac:dyDescent="0.2">
      <c r="A93" s="1" t="s">
        <v>295</v>
      </c>
      <c r="B93" s="1" t="s">
        <v>296</v>
      </c>
      <c r="C93" s="7" t="s">
        <v>297</v>
      </c>
      <c r="D93" s="2">
        <v>963.9</v>
      </c>
      <c r="E93" s="1">
        <v>1</v>
      </c>
      <c r="F93" s="1" t="s">
        <v>19</v>
      </c>
      <c r="G93" s="1" t="s">
        <v>265</v>
      </c>
      <c r="H93" s="1" t="s">
        <v>276</v>
      </c>
      <c r="I93" s="3">
        <v>0.28000000000000003</v>
      </c>
      <c r="J93" s="2">
        <f t="shared" si="1"/>
        <v>694.00799999999992</v>
      </c>
    </row>
    <row r="94" spans="1:11" x14ac:dyDescent="0.2">
      <c r="A94" s="1" t="s">
        <v>298</v>
      </c>
      <c r="B94" s="1" t="s">
        <v>299</v>
      </c>
      <c r="C94" s="7" t="s">
        <v>300</v>
      </c>
      <c r="D94" s="2">
        <v>885.36</v>
      </c>
      <c r="E94" s="1">
        <v>1</v>
      </c>
      <c r="F94" s="1" t="s">
        <v>19</v>
      </c>
      <c r="G94" s="1" t="s">
        <v>265</v>
      </c>
      <c r="H94" s="1" t="s">
        <v>276</v>
      </c>
      <c r="I94" s="3">
        <v>0.28000000000000003</v>
      </c>
      <c r="J94" s="2">
        <f t="shared" si="1"/>
        <v>637.45920000000001</v>
      </c>
    </row>
    <row r="95" spans="1:11" x14ac:dyDescent="0.2">
      <c r="A95" s="1" t="s">
        <v>301</v>
      </c>
      <c r="B95" s="1" t="s">
        <v>302</v>
      </c>
      <c r="C95" s="7" t="s">
        <v>303</v>
      </c>
      <c r="D95" s="2">
        <v>1298.46</v>
      </c>
      <c r="E95" s="1">
        <v>1</v>
      </c>
      <c r="F95" s="1" t="s">
        <v>19</v>
      </c>
      <c r="G95" s="1" t="s">
        <v>265</v>
      </c>
      <c r="H95" s="1" t="s">
        <v>276</v>
      </c>
      <c r="I95" s="3">
        <v>0.28000000000000003</v>
      </c>
      <c r="J95" s="2">
        <f t="shared" si="1"/>
        <v>934.89120000000003</v>
      </c>
    </row>
    <row r="96" spans="1:11" ht="25.5" x14ac:dyDescent="0.2">
      <c r="A96" s="1" t="s">
        <v>304</v>
      </c>
      <c r="B96" s="1" t="s">
        <v>305</v>
      </c>
      <c r="C96" s="7" t="s">
        <v>306</v>
      </c>
      <c r="D96" s="2">
        <v>1275</v>
      </c>
      <c r="E96" s="1">
        <v>1</v>
      </c>
      <c r="F96" s="1" t="s">
        <v>19</v>
      </c>
      <c r="G96" s="1" t="s">
        <v>265</v>
      </c>
      <c r="H96" s="1" t="s">
        <v>276</v>
      </c>
      <c r="I96" s="3">
        <v>0.28000000000000003</v>
      </c>
      <c r="J96" s="2">
        <f t="shared" si="1"/>
        <v>918</v>
      </c>
    </row>
    <row r="97" spans="1:10" x14ac:dyDescent="0.2">
      <c r="A97" s="1" t="s">
        <v>307</v>
      </c>
      <c r="B97" s="1" t="s">
        <v>308</v>
      </c>
      <c r="C97" s="7" t="s">
        <v>309</v>
      </c>
      <c r="D97" s="2">
        <v>2361.3000000000002</v>
      </c>
      <c r="E97" s="1">
        <v>1</v>
      </c>
      <c r="F97" s="1" t="s">
        <v>19</v>
      </c>
      <c r="G97" s="1" t="s">
        <v>265</v>
      </c>
      <c r="H97" s="1" t="s">
        <v>276</v>
      </c>
      <c r="I97" s="3">
        <v>0.28000000000000003</v>
      </c>
      <c r="J97" s="2">
        <f t="shared" si="1"/>
        <v>1700.136</v>
      </c>
    </row>
    <row r="98" spans="1:10" x14ac:dyDescent="0.2">
      <c r="A98" s="1" t="s">
        <v>310</v>
      </c>
      <c r="B98" s="1" t="s">
        <v>311</v>
      </c>
      <c r="C98" s="7" t="s">
        <v>312</v>
      </c>
      <c r="D98" s="2">
        <v>4132.0200000000004</v>
      </c>
      <c r="E98" s="1">
        <v>1</v>
      </c>
      <c r="F98" s="1" t="s">
        <v>19</v>
      </c>
      <c r="G98" s="1" t="s">
        <v>265</v>
      </c>
      <c r="H98" s="1" t="s">
        <v>276</v>
      </c>
      <c r="I98" s="3">
        <v>0.28000000000000003</v>
      </c>
      <c r="J98" s="2">
        <f t="shared" si="1"/>
        <v>2975.0544</v>
      </c>
    </row>
    <row r="99" spans="1:10" x14ac:dyDescent="0.2">
      <c r="A99" s="1" t="s">
        <v>313</v>
      </c>
      <c r="B99" s="1" t="s">
        <v>314</v>
      </c>
      <c r="C99" s="7" t="s">
        <v>315</v>
      </c>
      <c r="D99" s="2">
        <v>147.9</v>
      </c>
      <c r="E99" s="1">
        <v>1</v>
      </c>
      <c r="F99" s="1" t="s">
        <v>19</v>
      </c>
      <c r="G99" s="1" t="s">
        <v>265</v>
      </c>
      <c r="H99" s="1" t="s">
        <v>316</v>
      </c>
      <c r="I99" s="3">
        <v>0.28000000000000003</v>
      </c>
      <c r="J99" s="2">
        <f t="shared" si="1"/>
        <v>106.488</v>
      </c>
    </row>
    <row r="100" spans="1:10" ht="25.5" x14ac:dyDescent="0.2">
      <c r="A100" s="1" t="s">
        <v>317</v>
      </c>
      <c r="B100" s="1" t="s">
        <v>318</v>
      </c>
      <c r="C100" s="7" t="s">
        <v>319</v>
      </c>
      <c r="D100" s="2">
        <v>224.4</v>
      </c>
      <c r="E100" s="1">
        <v>1</v>
      </c>
      <c r="F100" s="1" t="s">
        <v>19</v>
      </c>
      <c r="G100" s="1" t="s">
        <v>265</v>
      </c>
      <c r="H100" s="1" t="s">
        <v>316</v>
      </c>
      <c r="I100" s="3">
        <v>0.28000000000000003</v>
      </c>
      <c r="J100" s="2">
        <f t="shared" si="1"/>
        <v>161.56800000000001</v>
      </c>
    </row>
    <row r="101" spans="1:10" x14ac:dyDescent="0.2">
      <c r="A101" s="1" t="s">
        <v>320</v>
      </c>
      <c r="B101" s="1" t="s">
        <v>321</v>
      </c>
      <c r="C101" s="7" t="s">
        <v>322</v>
      </c>
      <c r="D101" s="2">
        <v>277.44</v>
      </c>
      <c r="E101" s="1">
        <v>1</v>
      </c>
      <c r="F101" s="1" t="s">
        <v>19</v>
      </c>
      <c r="G101" s="1" t="s">
        <v>265</v>
      </c>
      <c r="H101" s="1" t="s">
        <v>316</v>
      </c>
      <c r="I101" s="3">
        <v>0.28000000000000003</v>
      </c>
      <c r="J101" s="2">
        <f t="shared" si="1"/>
        <v>199.7568</v>
      </c>
    </row>
    <row r="102" spans="1:10" x14ac:dyDescent="0.2">
      <c r="A102" s="1" t="s">
        <v>323</v>
      </c>
      <c r="B102" s="1" t="s">
        <v>324</v>
      </c>
      <c r="C102" s="7" t="s">
        <v>325</v>
      </c>
      <c r="D102" s="2">
        <v>442.68</v>
      </c>
      <c r="E102" s="1">
        <v>1</v>
      </c>
      <c r="F102" s="1" t="s">
        <v>19</v>
      </c>
      <c r="G102" s="1" t="s">
        <v>265</v>
      </c>
      <c r="H102" s="1" t="s">
        <v>316</v>
      </c>
      <c r="I102" s="3">
        <v>0.28000000000000003</v>
      </c>
      <c r="J102" s="2">
        <f t="shared" si="1"/>
        <v>318.7296</v>
      </c>
    </row>
    <row r="103" spans="1:10" ht="25.5" x14ac:dyDescent="0.2">
      <c r="A103" s="1" t="s">
        <v>328</v>
      </c>
      <c r="B103" s="1" t="s">
        <v>329</v>
      </c>
      <c r="C103" s="7" t="s">
        <v>338</v>
      </c>
      <c r="D103" s="2">
        <v>35.700000000000003</v>
      </c>
      <c r="E103" s="1">
        <v>1</v>
      </c>
      <c r="F103" s="1" t="s">
        <v>19</v>
      </c>
      <c r="G103" s="1" t="s">
        <v>265</v>
      </c>
      <c r="H103" s="1" t="s">
        <v>276</v>
      </c>
      <c r="I103" s="3">
        <v>0.28000000000000003</v>
      </c>
      <c r="J103" s="2">
        <f t="shared" si="1"/>
        <v>25.704000000000001</v>
      </c>
    </row>
    <row r="104" spans="1:10" ht="25.5" x14ac:dyDescent="0.2">
      <c r="A104" s="1" t="s">
        <v>330</v>
      </c>
      <c r="B104" s="1" t="s">
        <v>331</v>
      </c>
      <c r="C104" s="7" t="s">
        <v>339</v>
      </c>
      <c r="D104" s="2">
        <v>71.400000000000006</v>
      </c>
      <c r="E104" s="1">
        <v>1</v>
      </c>
      <c r="F104" s="1" t="s">
        <v>19</v>
      </c>
      <c r="G104" s="1" t="s">
        <v>265</v>
      </c>
      <c r="H104" s="1" t="s">
        <v>276</v>
      </c>
      <c r="I104" s="3">
        <v>0.28000000000000003</v>
      </c>
      <c r="J104" s="2">
        <f t="shared" si="1"/>
        <v>51.408000000000001</v>
      </c>
    </row>
    <row r="105" spans="1:10" ht="25.5" x14ac:dyDescent="0.2">
      <c r="A105" s="1" t="s">
        <v>332</v>
      </c>
      <c r="B105" s="1" t="s">
        <v>333</v>
      </c>
      <c r="C105" s="7" t="s">
        <v>340</v>
      </c>
      <c r="D105" s="2">
        <v>163.19999999999999</v>
      </c>
      <c r="E105" s="1">
        <v>1</v>
      </c>
      <c r="F105" s="1" t="s">
        <v>19</v>
      </c>
      <c r="G105" s="1" t="s">
        <v>265</v>
      </c>
      <c r="H105" s="1" t="s">
        <v>276</v>
      </c>
      <c r="I105" s="3">
        <v>0.28000000000000003</v>
      </c>
      <c r="J105" s="2">
        <f t="shared" si="1"/>
        <v>117.50399999999999</v>
      </c>
    </row>
    <row r="106" spans="1:10" ht="25.5" x14ac:dyDescent="0.2">
      <c r="A106" s="1" t="s">
        <v>334</v>
      </c>
      <c r="B106" s="1" t="s">
        <v>335</v>
      </c>
      <c r="C106" s="7" t="s">
        <v>341</v>
      </c>
      <c r="D106" s="2">
        <v>234.6</v>
      </c>
      <c r="E106" s="1">
        <v>1</v>
      </c>
      <c r="F106" s="1" t="s">
        <v>19</v>
      </c>
      <c r="G106" s="1" t="s">
        <v>265</v>
      </c>
      <c r="H106" s="1" t="s">
        <v>276</v>
      </c>
      <c r="I106" s="3">
        <v>0.28000000000000003</v>
      </c>
      <c r="J106" s="2">
        <f t="shared" si="1"/>
        <v>168.91199999999998</v>
      </c>
    </row>
    <row r="107" spans="1:10" ht="25.5" x14ac:dyDescent="0.2">
      <c r="A107" s="1" t="s">
        <v>336</v>
      </c>
      <c r="B107" s="1" t="s">
        <v>337</v>
      </c>
      <c r="C107" s="7" t="s">
        <v>349</v>
      </c>
      <c r="D107" s="2">
        <v>285.60000000000002</v>
      </c>
      <c r="E107" s="1">
        <v>1</v>
      </c>
      <c r="F107" s="1" t="s">
        <v>19</v>
      </c>
      <c r="G107" s="1" t="s">
        <v>265</v>
      </c>
      <c r="H107" s="1" t="s">
        <v>276</v>
      </c>
      <c r="I107" s="3">
        <v>0.28000000000000003</v>
      </c>
      <c r="J107" s="2">
        <f t="shared" si="1"/>
        <v>205.63200000000001</v>
      </c>
    </row>
    <row r="108" spans="1:10" x14ac:dyDescent="0.2">
      <c r="A108" s="1" t="s">
        <v>350</v>
      </c>
      <c r="B108" s="1" t="s">
        <v>351</v>
      </c>
      <c r="C108" s="7" t="s">
        <v>352</v>
      </c>
      <c r="D108" s="2">
        <v>11.83</v>
      </c>
      <c r="E108" s="1">
        <v>1</v>
      </c>
      <c r="F108" s="1" t="s">
        <v>19</v>
      </c>
      <c r="G108" s="1" t="s">
        <v>265</v>
      </c>
      <c r="H108" s="1" t="s">
        <v>276</v>
      </c>
      <c r="I108" s="3">
        <v>0.28000000000000003</v>
      </c>
      <c r="J108" s="2">
        <f t="shared" si="1"/>
        <v>8.5175999999999998</v>
      </c>
    </row>
    <row r="109" spans="1:10" x14ac:dyDescent="0.2">
      <c r="A109" s="1" t="s">
        <v>353</v>
      </c>
      <c r="B109" s="1" t="s">
        <v>354</v>
      </c>
      <c r="C109" s="7" t="s">
        <v>356</v>
      </c>
      <c r="D109" s="2">
        <v>142.80000000000001</v>
      </c>
      <c r="E109" s="1">
        <v>1</v>
      </c>
      <c r="F109" s="1" t="s">
        <v>19</v>
      </c>
      <c r="G109" s="1" t="s">
        <v>265</v>
      </c>
      <c r="H109" s="1" t="s">
        <v>276</v>
      </c>
      <c r="I109" s="3">
        <v>0.28000000000000003</v>
      </c>
      <c r="J109" s="2">
        <f t="shared" si="1"/>
        <v>102.816</v>
      </c>
    </row>
    <row r="110" spans="1:10" x14ac:dyDescent="0.2">
      <c r="A110" s="1" t="s">
        <v>357</v>
      </c>
      <c r="B110" s="1" t="s">
        <v>358</v>
      </c>
      <c r="C110" s="7" t="s">
        <v>359</v>
      </c>
      <c r="D110" s="2">
        <v>287.64</v>
      </c>
      <c r="E110" s="1">
        <v>1</v>
      </c>
      <c r="F110" s="1" t="s">
        <v>19</v>
      </c>
      <c r="G110" s="1" t="s">
        <v>265</v>
      </c>
      <c r="H110" s="1" t="s">
        <v>276</v>
      </c>
      <c r="I110" s="3">
        <v>0.28000000000000003</v>
      </c>
      <c r="J110" s="2">
        <f t="shared" si="1"/>
        <v>207.10079999999999</v>
      </c>
    </row>
    <row r="111" spans="1:10" x14ac:dyDescent="0.2">
      <c r="A111" s="1" t="s">
        <v>360</v>
      </c>
      <c r="B111" s="1" t="s">
        <v>361</v>
      </c>
      <c r="C111" s="7" t="s">
        <v>362</v>
      </c>
      <c r="D111" s="2">
        <v>582.41999999999996</v>
      </c>
      <c r="E111" s="1">
        <v>1</v>
      </c>
      <c r="F111" s="1" t="s">
        <v>19</v>
      </c>
      <c r="G111" s="1" t="s">
        <v>363</v>
      </c>
      <c r="H111" s="1" t="s">
        <v>364</v>
      </c>
      <c r="I111" s="3">
        <v>0.33</v>
      </c>
      <c r="J111" s="2">
        <f t="shared" si="1"/>
        <v>390.2213999999999</v>
      </c>
    </row>
    <row r="112" spans="1:10" x14ac:dyDescent="0.2">
      <c r="A112" s="1" t="s">
        <v>365</v>
      </c>
      <c r="B112" s="1" t="s">
        <v>366</v>
      </c>
      <c r="C112" s="7" t="s">
        <v>367</v>
      </c>
      <c r="D112" s="2">
        <v>908.82</v>
      </c>
      <c r="E112" s="1">
        <v>1</v>
      </c>
      <c r="F112" s="1" t="s">
        <v>19</v>
      </c>
      <c r="G112" s="1" t="s">
        <v>363</v>
      </c>
      <c r="H112" s="1" t="s">
        <v>364</v>
      </c>
      <c r="I112" s="3">
        <v>0.33</v>
      </c>
      <c r="J112" s="2">
        <f t="shared" si="1"/>
        <v>608.90940000000001</v>
      </c>
    </row>
    <row r="113" spans="1:10" ht="63.75" x14ac:dyDescent="0.2">
      <c r="A113" s="1" t="s">
        <v>368</v>
      </c>
      <c r="B113" s="1" t="s">
        <v>369</v>
      </c>
      <c r="C113" s="9" t="s">
        <v>374</v>
      </c>
      <c r="D113" s="2">
        <v>172.38</v>
      </c>
      <c r="E113" s="1">
        <v>1</v>
      </c>
      <c r="F113" s="1" t="s">
        <v>19</v>
      </c>
      <c r="G113" s="1" t="s">
        <v>265</v>
      </c>
      <c r="H113" s="1" t="s">
        <v>276</v>
      </c>
      <c r="I113" s="3">
        <v>0.28000000000000003</v>
      </c>
      <c r="J113" s="2">
        <f t="shared" si="1"/>
        <v>124.11359999999999</v>
      </c>
    </row>
    <row r="114" spans="1:10" ht="63.75" x14ac:dyDescent="0.2">
      <c r="A114" s="1" t="s">
        <v>370</v>
      </c>
      <c r="B114" s="1" t="s">
        <v>371</v>
      </c>
      <c r="C114" s="10" t="s">
        <v>375</v>
      </c>
      <c r="D114" s="2">
        <v>550.79999999999995</v>
      </c>
      <c r="E114" s="1">
        <v>1</v>
      </c>
      <c r="F114" s="1" t="s">
        <v>19</v>
      </c>
      <c r="G114" s="1" t="s">
        <v>265</v>
      </c>
      <c r="H114" s="1" t="s">
        <v>276</v>
      </c>
      <c r="I114" s="3">
        <v>0.28000000000000003</v>
      </c>
      <c r="J114" s="2">
        <f t="shared" si="1"/>
        <v>396.57599999999996</v>
      </c>
    </row>
    <row r="115" spans="1:10" ht="51" x14ac:dyDescent="0.2">
      <c r="A115" s="1" t="s">
        <v>372</v>
      </c>
      <c r="B115" s="1" t="s">
        <v>373</v>
      </c>
      <c r="C115" s="9" t="s">
        <v>376</v>
      </c>
      <c r="D115" s="2">
        <v>516.12</v>
      </c>
      <c r="E115" s="1">
        <v>1</v>
      </c>
      <c r="F115" s="1" t="s">
        <v>19</v>
      </c>
      <c r="G115" s="1" t="s">
        <v>265</v>
      </c>
      <c r="H115" s="1" t="s">
        <v>276</v>
      </c>
      <c r="I115" s="3">
        <v>0.28000000000000003</v>
      </c>
      <c r="J115" s="2">
        <f t="shared" si="1"/>
        <v>371.60640000000001</v>
      </c>
    </row>
    <row r="116" spans="1:10" ht="51" x14ac:dyDescent="0.2">
      <c r="A116" s="1" t="s">
        <v>377</v>
      </c>
      <c r="B116" s="1" t="s">
        <v>378</v>
      </c>
      <c r="C116" s="9" t="s">
        <v>381</v>
      </c>
      <c r="D116" s="2">
        <v>286.82</v>
      </c>
      <c r="E116" s="1">
        <v>1</v>
      </c>
      <c r="F116" s="1" t="s">
        <v>19</v>
      </c>
      <c r="G116" s="1" t="s">
        <v>265</v>
      </c>
      <c r="H116" s="1" t="s">
        <v>276</v>
      </c>
      <c r="I116" s="3">
        <v>0.28000000000000003</v>
      </c>
      <c r="J116" s="2">
        <f t="shared" si="1"/>
        <v>206.51039999999998</v>
      </c>
    </row>
    <row r="117" spans="1:10" ht="51" x14ac:dyDescent="0.2">
      <c r="A117" s="1" t="s">
        <v>379</v>
      </c>
      <c r="B117" s="1" t="s">
        <v>380</v>
      </c>
      <c r="C117" s="9" t="s">
        <v>382</v>
      </c>
      <c r="D117" s="2">
        <v>459</v>
      </c>
      <c r="E117" s="1">
        <v>1</v>
      </c>
      <c r="F117" s="1" t="s">
        <v>19</v>
      </c>
      <c r="G117" s="1" t="s">
        <v>265</v>
      </c>
      <c r="H117" s="1" t="s">
        <v>276</v>
      </c>
      <c r="I117" s="3">
        <v>0.28000000000000003</v>
      </c>
      <c r="J117" s="2">
        <f t="shared" si="1"/>
        <v>330.47999999999996</v>
      </c>
    </row>
    <row r="118" spans="1:10" x14ac:dyDescent="0.2">
      <c r="A118" s="1" t="s">
        <v>383</v>
      </c>
      <c r="B118" s="1" t="s">
        <v>384</v>
      </c>
      <c r="C118" s="7" t="s">
        <v>385</v>
      </c>
      <c r="D118" s="2">
        <v>160.65</v>
      </c>
      <c r="E118" s="1">
        <v>1</v>
      </c>
      <c r="F118" s="1" t="s">
        <v>19</v>
      </c>
      <c r="G118" s="1" t="s">
        <v>265</v>
      </c>
      <c r="H118" s="1" t="s">
        <v>276</v>
      </c>
      <c r="I118" s="3">
        <v>0.28000000000000003</v>
      </c>
      <c r="J118" s="2">
        <f t="shared" si="1"/>
        <v>115.66800000000001</v>
      </c>
    </row>
    <row r="119" spans="1:10" x14ac:dyDescent="0.2">
      <c r="A119" s="1" t="s">
        <v>386</v>
      </c>
      <c r="B119" s="1" t="s">
        <v>387</v>
      </c>
      <c r="C119" s="7" t="s">
        <v>388</v>
      </c>
      <c r="D119" s="2">
        <v>199.21</v>
      </c>
      <c r="E119" s="1">
        <v>1</v>
      </c>
      <c r="F119" s="1" t="s">
        <v>19</v>
      </c>
      <c r="G119" s="1" t="s">
        <v>265</v>
      </c>
      <c r="H119" s="1" t="s">
        <v>276</v>
      </c>
      <c r="I119" s="3">
        <v>0.28000000000000003</v>
      </c>
      <c r="J119" s="2">
        <f t="shared" si="1"/>
        <v>143.43119999999999</v>
      </c>
    </row>
    <row r="120" spans="1:10" x14ac:dyDescent="0.2">
      <c r="A120" s="1" t="s">
        <v>389</v>
      </c>
      <c r="B120" s="1" t="s">
        <v>390</v>
      </c>
      <c r="C120" s="7" t="s">
        <v>391</v>
      </c>
      <c r="D120" s="2">
        <v>398.82</v>
      </c>
      <c r="E120" s="1">
        <v>1</v>
      </c>
      <c r="F120" s="1" t="s">
        <v>19</v>
      </c>
      <c r="G120" s="1" t="s">
        <v>265</v>
      </c>
      <c r="H120" s="1" t="s">
        <v>276</v>
      </c>
      <c r="I120" s="3">
        <v>0.28000000000000003</v>
      </c>
      <c r="J120" s="2">
        <f t="shared" si="1"/>
        <v>287.15039999999999</v>
      </c>
    </row>
    <row r="121" spans="1:10" ht="38.25" x14ac:dyDescent="0.2">
      <c r="A121" s="1" t="s">
        <v>392</v>
      </c>
      <c r="B121" s="1" t="s">
        <v>393</v>
      </c>
      <c r="C121" s="9" t="s">
        <v>397</v>
      </c>
      <c r="D121" s="2">
        <v>295.8</v>
      </c>
      <c r="E121" s="1">
        <v>1</v>
      </c>
      <c r="F121" s="1" t="s">
        <v>19</v>
      </c>
      <c r="G121" s="1" t="s">
        <v>265</v>
      </c>
      <c r="H121" s="1" t="s">
        <v>276</v>
      </c>
      <c r="I121" s="3">
        <v>0.28000000000000003</v>
      </c>
      <c r="J121" s="2">
        <f t="shared" si="1"/>
        <v>212.976</v>
      </c>
    </row>
    <row r="122" spans="1:10" ht="38.25" x14ac:dyDescent="0.2">
      <c r="A122" s="1" t="s">
        <v>394</v>
      </c>
      <c r="B122" s="1" t="s">
        <v>395</v>
      </c>
      <c r="C122" s="9" t="s">
        <v>396</v>
      </c>
      <c r="D122" s="2">
        <v>137.69999999999999</v>
      </c>
      <c r="E122" s="1">
        <v>1</v>
      </c>
      <c r="F122" s="1" t="s">
        <v>19</v>
      </c>
      <c r="G122" s="1" t="s">
        <v>265</v>
      </c>
      <c r="H122" s="1" t="s">
        <v>276</v>
      </c>
      <c r="I122" s="3">
        <v>0.28000000000000003</v>
      </c>
      <c r="J122" s="2">
        <f t="shared" si="1"/>
        <v>99.143999999999991</v>
      </c>
    </row>
    <row r="123" spans="1:10" x14ac:dyDescent="0.2">
      <c r="A123" s="1" t="s">
        <v>398</v>
      </c>
      <c r="B123" s="1" t="s">
        <v>399</v>
      </c>
      <c r="C123" s="7" t="s">
        <v>400</v>
      </c>
      <c r="D123" s="2">
        <v>217.97</v>
      </c>
      <c r="E123" s="1">
        <v>1</v>
      </c>
      <c r="F123" s="1" t="s">
        <v>19</v>
      </c>
      <c r="G123" s="1" t="s">
        <v>265</v>
      </c>
      <c r="H123" s="1" t="s">
        <v>276</v>
      </c>
      <c r="I123" s="3">
        <v>0.28000000000000003</v>
      </c>
      <c r="J123" s="2">
        <f t="shared" si="1"/>
        <v>156.9384</v>
      </c>
    </row>
    <row r="124" spans="1:10" ht="25.5" x14ac:dyDescent="0.2">
      <c r="A124" s="1" t="s">
        <v>401</v>
      </c>
      <c r="B124" s="1" t="s">
        <v>402</v>
      </c>
      <c r="C124" s="9" t="s">
        <v>405</v>
      </c>
      <c r="D124" s="2">
        <v>240.72</v>
      </c>
      <c r="E124" s="1">
        <v>1</v>
      </c>
      <c r="F124" s="1" t="s">
        <v>19</v>
      </c>
      <c r="G124" s="1" t="s">
        <v>403</v>
      </c>
      <c r="H124" s="1" t="s">
        <v>404</v>
      </c>
      <c r="I124" s="3">
        <v>0.28000000000000003</v>
      </c>
      <c r="J124" s="2">
        <f t="shared" si="1"/>
        <v>173.3184</v>
      </c>
    </row>
    <row r="125" spans="1:10" x14ac:dyDescent="0.2">
      <c r="A125" s="1" t="s">
        <v>406</v>
      </c>
      <c r="B125" s="1" t="s">
        <v>407</v>
      </c>
      <c r="C125" s="7" t="s">
        <v>408</v>
      </c>
      <c r="D125" s="2">
        <v>17.649999999999999</v>
      </c>
      <c r="E125" s="1">
        <v>1</v>
      </c>
      <c r="F125" s="1" t="s">
        <v>19</v>
      </c>
      <c r="G125" s="1" t="s">
        <v>265</v>
      </c>
      <c r="H125" s="1" t="s">
        <v>266</v>
      </c>
      <c r="I125" s="3">
        <v>0.28000000000000003</v>
      </c>
      <c r="J125" s="2">
        <f t="shared" si="1"/>
        <v>12.707999999999998</v>
      </c>
    </row>
    <row r="126" spans="1:10" x14ac:dyDescent="0.2">
      <c r="A126" s="1" t="s">
        <v>409</v>
      </c>
      <c r="B126" s="1" t="s">
        <v>410</v>
      </c>
      <c r="C126" s="7" t="s">
        <v>411</v>
      </c>
      <c r="D126" s="2">
        <v>16.829999999999998</v>
      </c>
      <c r="E126" s="1">
        <v>1</v>
      </c>
      <c r="F126" s="1" t="s">
        <v>19</v>
      </c>
      <c r="G126" s="1" t="s">
        <v>265</v>
      </c>
      <c r="H126" s="1" t="s">
        <v>276</v>
      </c>
      <c r="I126" s="3">
        <v>0.28000000000000003</v>
      </c>
      <c r="J126" s="2">
        <f t="shared" si="1"/>
        <v>12.117599999999998</v>
      </c>
    </row>
    <row r="127" spans="1:10" x14ac:dyDescent="0.2">
      <c r="A127" s="1" t="s">
        <v>412</v>
      </c>
      <c r="B127" s="1" t="s">
        <v>413</v>
      </c>
      <c r="C127" s="7" t="s">
        <v>414</v>
      </c>
      <c r="D127" s="2">
        <v>26.21</v>
      </c>
      <c r="E127" s="1">
        <v>1</v>
      </c>
      <c r="F127" s="1" t="s">
        <v>19</v>
      </c>
      <c r="G127" s="1" t="s">
        <v>265</v>
      </c>
      <c r="H127" s="1" t="s">
        <v>276</v>
      </c>
      <c r="I127" s="3">
        <v>0.28000000000000003</v>
      </c>
      <c r="J127" s="2">
        <f t="shared" si="1"/>
        <v>18.871199999999998</v>
      </c>
    </row>
    <row r="128" spans="1:10" x14ac:dyDescent="0.2">
      <c r="A128" s="1" t="s">
        <v>415</v>
      </c>
      <c r="B128" s="1" t="s">
        <v>416</v>
      </c>
      <c r="C128" s="7" t="s">
        <v>417</v>
      </c>
      <c r="D128" s="2">
        <v>31.52</v>
      </c>
      <c r="E128" s="1">
        <v>1</v>
      </c>
      <c r="F128" s="1" t="s">
        <v>19</v>
      </c>
      <c r="G128" s="1" t="s">
        <v>265</v>
      </c>
      <c r="H128" s="1" t="s">
        <v>276</v>
      </c>
      <c r="I128" s="3">
        <v>0.28000000000000003</v>
      </c>
      <c r="J128" s="2">
        <f t="shared" si="1"/>
        <v>22.694399999999998</v>
      </c>
    </row>
    <row r="129" spans="1:10" x14ac:dyDescent="0.2">
      <c r="A129" s="1" t="s">
        <v>418</v>
      </c>
      <c r="B129" s="1" t="s">
        <v>419</v>
      </c>
      <c r="C129" s="7" t="s">
        <v>420</v>
      </c>
      <c r="D129" s="2">
        <v>42.02</v>
      </c>
      <c r="E129" s="1">
        <v>1</v>
      </c>
      <c r="F129" s="1" t="s">
        <v>19</v>
      </c>
      <c r="G129" s="1" t="s">
        <v>265</v>
      </c>
      <c r="H129" s="1" t="s">
        <v>276</v>
      </c>
      <c r="I129" s="3">
        <v>0.28000000000000003</v>
      </c>
      <c r="J129" s="2">
        <f t="shared" si="1"/>
        <v>30.2544</v>
      </c>
    </row>
    <row r="130" spans="1:10" x14ac:dyDescent="0.2">
      <c r="A130" s="1" t="s">
        <v>421</v>
      </c>
      <c r="B130" s="1" t="s">
        <v>422</v>
      </c>
      <c r="C130" s="7" t="s">
        <v>423</v>
      </c>
      <c r="D130" s="2">
        <v>70.38</v>
      </c>
      <c r="E130" s="1">
        <v>1</v>
      </c>
      <c r="F130" s="1" t="s">
        <v>19</v>
      </c>
      <c r="G130" s="1" t="s">
        <v>265</v>
      </c>
      <c r="H130" s="1" t="s">
        <v>276</v>
      </c>
      <c r="I130" s="3">
        <v>0.28000000000000003</v>
      </c>
      <c r="J130" s="2">
        <f t="shared" si="1"/>
        <v>50.673599999999993</v>
      </c>
    </row>
    <row r="131" spans="1:10" x14ac:dyDescent="0.2">
      <c r="A131" s="1" t="s">
        <v>424</v>
      </c>
      <c r="B131" s="1" t="s">
        <v>425</v>
      </c>
      <c r="C131" s="7" t="s">
        <v>426</v>
      </c>
      <c r="D131" s="2">
        <v>11.83</v>
      </c>
      <c r="E131" s="1">
        <v>1</v>
      </c>
      <c r="F131" s="1" t="s">
        <v>19</v>
      </c>
      <c r="G131" s="1" t="s">
        <v>265</v>
      </c>
      <c r="H131" s="1" t="s">
        <v>276</v>
      </c>
      <c r="I131" s="3">
        <v>0.28000000000000003</v>
      </c>
      <c r="J131" s="2">
        <f t="shared" si="1"/>
        <v>8.5175999999999998</v>
      </c>
    </row>
    <row r="132" spans="1:10" x14ac:dyDescent="0.2">
      <c r="A132" s="1" t="s">
        <v>427</v>
      </c>
      <c r="B132" s="1" t="s">
        <v>428</v>
      </c>
      <c r="C132" s="7" t="s">
        <v>429</v>
      </c>
      <c r="D132" s="2">
        <v>8.82</v>
      </c>
      <c r="E132" s="1">
        <v>1</v>
      </c>
      <c r="F132" s="1" t="s">
        <v>19</v>
      </c>
      <c r="G132" s="1" t="s">
        <v>265</v>
      </c>
      <c r="H132" s="1" t="s">
        <v>276</v>
      </c>
      <c r="I132" s="3">
        <v>0.28000000000000003</v>
      </c>
      <c r="J132" s="2">
        <f t="shared" si="1"/>
        <v>6.3503999999999996</v>
      </c>
    </row>
    <row r="133" spans="1:10" x14ac:dyDescent="0.2">
      <c r="A133" s="1" t="s">
        <v>430</v>
      </c>
      <c r="B133" s="1" t="s">
        <v>431</v>
      </c>
      <c r="C133" s="7" t="s">
        <v>432</v>
      </c>
      <c r="D133" s="2">
        <v>34.43</v>
      </c>
      <c r="E133" s="1">
        <v>1</v>
      </c>
      <c r="F133" s="1" t="s">
        <v>19</v>
      </c>
      <c r="G133" s="1" t="s">
        <v>403</v>
      </c>
      <c r="H133" s="1" t="s">
        <v>404</v>
      </c>
      <c r="I133" s="3">
        <v>0.25</v>
      </c>
      <c r="J133" s="2">
        <f t="shared" si="1"/>
        <v>25.822499999999998</v>
      </c>
    </row>
    <row r="134" spans="1:10" x14ac:dyDescent="0.2">
      <c r="A134" s="1" t="s">
        <v>433</v>
      </c>
      <c r="B134" s="1" t="s">
        <v>434</v>
      </c>
      <c r="C134" s="7" t="s">
        <v>435</v>
      </c>
      <c r="D134" s="2">
        <v>45.9</v>
      </c>
      <c r="E134" s="1">
        <v>1</v>
      </c>
      <c r="F134" s="1" t="s">
        <v>19</v>
      </c>
      <c r="G134" s="1" t="s">
        <v>403</v>
      </c>
      <c r="H134" s="1" t="s">
        <v>404</v>
      </c>
      <c r="I134" s="3">
        <v>0.25</v>
      </c>
      <c r="J134" s="2">
        <f t="shared" si="1"/>
        <v>34.424999999999997</v>
      </c>
    </row>
    <row r="135" spans="1:10" x14ac:dyDescent="0.2">
      <c r="A135" s="1" t="s">
        <v>436</v>
      </c>
      <c r="B135" s="1" t="s">
        <v>437</v>
      </c>
      <c r="C135" s="7" t="s">
        <v>438</v>
      </c>
      <c r="D135" s="2">
        <v>45.9</v>
      </c>
      <c r="E135" s="1">
        <v>1</v>
      </c>
      <c r="F135" s="1" t="s">
        <v>19</v>
      </c>
      <c r="G135" s="1" t="s">
        <v>439</v>
      </c>
      <c r="H135" s="1" t="s">
        <v>440</v>
      </c>
      <c r="I135" s="3">
        <v>0.25</v>
      </c>
      <c r="J135" s="2">
        <f t="shared" si="1"/>
        <v>34.424999999999997</v>
      </c>
    </row>
    <row r="136" spans="1:10" x14ac:dyDescent="0.2">
      <c r="A136" s="1" t="s">
        <v>441</v>
      </c>
      <c r="B136" s="1" t="s">
        <v>442</v>
      </c>
      <c r="C136" s="7" t="s">
        <v>443</v>
      </c>
      <c r="D136" s="2">
        <v>1060.8</v>
      </c>
      <c r="E136" s="1">
        <v>1</v>
      </c>
      <c r="F136" s="1" t="s">
        <v>19</v>
      </c>
      <c r="G136" s="1" t="s">
        <v>444</v>
      </c>
      <c r="H136" s="1" t="s">
        <v>445</v>
      </c>
      <c r="I136" s="3">
        <v>0.31080000000000002</v>
      </c>
      <c r="J136" s="2">
        <f t="shared" si="1"/>
        <v>731.10335999999995</v>
      </c>
    </row>
    <row r="137" spans="1:10" x14ac:dyDescent="0.2">
      <c r="A137" s="1" t="s">
        <v>446</v>
      </c>
      <c r="B137" s="1" t="s">
        <v>447</v>
      </c>
      <c r="C137" s="7" t="s">
        <v>448</v>
      </c>
      <c r="D137" s="2">
        <v>1183.2</v>
      </c>
      <c r="E137" s="1">
        <v>1</v>
      </c>
      <c r="F137" s="1" t="s">
        <v>19</v>
      </c>
      <c r="G137" s="1" t="s">
        <v>444</v>
      </c>
      <c r="H137" s="1" t="s">
        <v>445</v>
      </c>
      <c r="I137" s="3">
        <v>0.31080000000000002</v>
      </c>
      <c r="J137" s="2">
        <f t="shared" si="1"/>
        <v>815.46144000000004</v>
      </c>
    </row>
    <row r="138" spans="1:10" x14ac:dyDescent="0.2">
      <c r="A138" s="1" t="s">
        <v>449</v>
      </c>
      <c r="B138" s="1" t="s">
        <v>450</v>
      </c>
      <c r="C138" s="7" t="s">
        <v>451</v>
      </c>
      <c r="D138" s="2">
        <v>1.31</v>
      </c>
      <c r="E138" s="1">
        <v>1</v>
      </c>
      <c r="F138" s="1" t="s">
        <v>452</v>
      </c>
      <c r="G138" s="1" t="s">
        <v>439</v>
      </c>
      <c r="H138" s="1" t="s">
        <v>440</v>
      </c>
      <c r="I138" s="3">
        <v>0</v>
      </c>
      <c r="J138" s="2">
        <f t="shared" ref="J138:J173" si="2">D138/E138*(1-I138)</f>
        <v>1.31</v>
      </c>
    </row>
    <row r="139" spans="1:10" x14ac:dyDescent="0.2">
      <c r="A139" s="1" t="s">
        <v>453</v>
      </c>
      <c r="B139" s="1" t="s">
        <v>454</v>
      </c>
      <c r="C139" s="7" t="s">
        <v>455</v>
      </c>
      <c r="D139" s="2">
        <v>26.07</v>
      </c>
      <c r="E139" s="1">
        <v>1</v>
      </c>
      <c r="F139" s="1" t="s">
        <v>19</v>
      </c>
      <c r="G139" s="1" t="s">
        <v>439</v>
      </c>
      <c r="H139" s="1" t="s">
        <v>440</v>
      </c>
      <c r="I139" s="3">
        <v>0</v>
      </c>
      <c r="J139" s="2">
        <f t="shared" si="2"/>
        <v>26.07</v>
      </c>
    </row>
    <row r="140" spans="1:10" x14ac:dyDescent="0.2">
      <c r="A140" s="1" t="s">
        <v>456</v>
      </c>
      <c r="B140" s="1" t="s">
        <v>457</v>
      </c>
      <c r="C140" s="7" t="s">
        <v>458</v>
      </c>
      <c r="D140" s="2">
        <v>65.19</v>
      </c>
      <c r="E140" s="1">
        <v>1</v>
      </c>
      <c r="F140" s="1" t="s">
        <v>19</v>
      </c>
      <c r="G140" s="1" t="s">
        <v>439</v>
      </c>
      <c r="H140" s="1" t="s">
        <v>440</v>
      </c>
      <c r="I140" s="3">
        <v>0</v>
      </c>
      <c r="J140" s="2">
        <f t="shared" si="2"/>
        <v>65.19</v>
      </c>
    </row>
    <row r="141" spans="1:10" x14ac:dyDescent="0.2">
      <c r="A141" s="1" t="s">
        <v>459</v>
      </c>
      <c r="B141" s="1" t="s">
        <v>460</v>
      </c>
      <c r="C141" s="7" t="s">
        <v>461</v>
      </c>
      <c r="D141" s="2">
        <v>130.38</v>
      </c>
      <c r="E141" s="1">
        <v>1</v>
      </c>
      <c r="F141" s="1" t="s">
        <v>19</v>
      </c>
      <c r="G141" s="1" t="s">
        <v>439</v>
      </c>
      <c r="H141" s="1" t="s">
        <v>440</v>
      </c>
      <c r="I141" s="3">
        <v>0</v>
      </c>
      <c r="J141" s="2">
        <f t="shared" si="2"/>
        <v>130.38</v>
      </c>
    </row>
    <row r="142" spans="1:10" x14ac:dyDescent="0.2">
      <c r="A142" s="1" t="s">
        <v>462</v>
      </c>
      <c r="B142" s="1" t="s">
        <v>463</v>
      </c>
      <c r="C142" s="7" t="s">
        <v>464</v>
      </c>
      <c r="D142" s="2">
        <v>260.76</v>
      </c>
      <c r="E142" s="1">
        <v>1</v>
      </c>
      <c r="F142" s="1" t="s">
        <v>19</v>
      </c>
      <c r="G142" s="1" t="s">
        <v>439</v>
      </c>
      <c r="H142" s="1" t="s">
        <v>440</v>
      </c>
      <c r="I142" s="3">
        <v>0</v>
      </c>
      <c r="J142" s="2">
        <f t="shared" si="2"/>
        <v>260.76</v>
      </c>
    </row>
    <row r="143" spans="1:10" x14ac:dyDescent="0.2">
      <c r="A143" s="1" t="s">
        <v>465</v>
      </c>
      <c r="B143" s="1" t="s">
        <v>466</v>
      </c>
      <c r="C143" s="7" t="s">
        <v>467</v>
      </c>
      <c r="D143" s="2">
        <v>651.89</v>
      </c>
      <c r="E143" s="1">
        <v>1</v>
      </c>
      <c r="F143" s="1" t="s">
        <v>19</v>
      </c>
      <c r="G143" s="1" t="s">
        <v>439</v>
      </c>
      <c r="H143" s="1" t="s">
        <v>440</v>
      </c>
      <c r="I143" s="3">
        <v>0</v>
      </c>
      <c r="J143" s="2">
        <f t="shared" si="2"/>
        <v>651.89</v>
      </c>
    </row>
    <row r="144" spans="1:10" x14ac:dyDescent="0.2">
      <c r="A144" s="1" t="s">
        <v>468</v>
      </c>
      <c r="B144" s="1" t="s">
        <v>469</v>
      </c>
      <c r="C144" s="7" t="s">
        <v>470</v>
      </c>
      <c r="D144" s="2">
        <v>1060.8</v>
      </c>
      <c r="E144" s="1">
        <v>1</v>
      </c>
      <c r="F144" s="1" t="s">
        <v>19</v>
      </c>
      <c r="G144" s="1" t="s">
        <v>444</v>
      </c>
      <c r="H144" s="1" t="s">
        <v>445</v>
      </c>
      <c r="I144" s="3">
        <v>0.3</v>
      </c>
      <c r="J144" s="2">
        <f t="shared" si="2"/>
        <v>742.56</v>
      </c>
    </row>
    <row r="145" spans="1:10" x14ac:dyDescent="0.2">
      <c r="A145" s="1" t="s">
        <v>471</v>
      </c>
      <c r="B145" s="1" t="s">
        <v>472</v>
      </c>
      <c r="C145" s="7" t="s">
        <v>473</v>
      </c>
      <c r="D145" s="2">
        <v>1269.9000000000001</v>
      </c>
      <c r="E145" s="1">
        <v>1</v>
      </c>
      <c r="F145" s="1" t="s">
        <v>19</v>
      </c>
      <c r="G145" s="1" t="s">
        <v>444</v>
      </c>
      <c r="H145" s="1" t="s">
        <v>445</v>
      </c>
      <c r="I145" s="3">
        <v>0.3</v>
      </c>
      <c r="J145" s="2">
        <f t="shared" si="2"/>
        <v>888.93000000000006</v>
      </c>
    </row>
    <row r="146" spans="1:10" x14ac:dyDescent="0.2">
      <c r="A146" s="1" t="s">
        <v>474</v>
      </c>
      <c r="B146" s="1" t="s">
        <v>475</v>
      </c>
      <c r="C146" s="7" t="s">
        <v>476</v>
      </c>
      <c r="D146" s="2">
        <v>1162.8</v>
      </c>
      <c r="E146" s="1">
        <v>1</v>
      </c>
      <c r="F146" s="1" t="s">
        <v>19</v>
      </c>
      <c r="G146" s="1" t="s">
        <v>444</v>
      </c>
      <c r="H146" s="1" t="s">
        <v>445</v>
      </c>
      <c r="I146" s="3">
        <v>0.27750000000000002</v>
      </c>
      <c r="J146" s="2">
        <f t="shared" si="2"/>
        <v>840.12299999999982</v>
      </c>
    </row>
    <row r="147" spans="1:10" ht="38.25" x14ac:dyDescent="0.2">
      <c r="A147" s="1" t="s">
        <v>477</v>
      </c>
      <c r="B147" s="1" t="s">
        <v>478</v>
      </c>
      <c r="C147" s="9" t="s">
        <v>485</v>
      </c>
      <c r="D147" s="2">
        <v>3095.7</v>
      </c>
      <c r="E147" s="1">
        <v>1</v>
      </c>
      <c r="F147" s="1" t="s">
        <v>19</v>
      </c>
      <c r="G147" s="1" t="s">
        <v>444</v>
      </c>
      <c r="H147" s="1" t="s">
        <v>445</v>
      </c>
      <c r="I147" s="3">
        <v>0.3</v>
      </c>
      <c r="J147" s="2">
        <f t="shared" si="2"/>
        <v>2166.9899999999998</v>
      </c>
    </row>
    <row r="148" spans="1:10" ht="38.25" x14ac:dyDescent="0.2">
      <c r="A148" s="1" t="s">
        <v>479</v>
      </c>
      <c r="B148" s="1" t="s">
        <v>480</v>
      </c>
      <c r="C148" s="9" t="s">
        <v>486</v>
      </c>
      <c r="D148" s="2">
        <v>1881.9</v>
      </c>
      <c r="E148" s="1">
        <v>1</v>
      </c>
      <c r="F148" s="1" t="s">
        <v>19</v>
      </c>
      <c r="G148" s="1" t="s">
        <v>444</v>
      </c>
      <c r="H148" s="1" t="s">
        <v>445</v>
      </c>
      <c r="I148" s="3">
        <v>0.27200000000000002</v>
      </c>
      <c r="J148" s="2">
        <f t="shared" si="2"/>
        <v>1370.0232000000001</v>
      </c>
    </row>
    <row r="149" spans="1:10" ht="38.25" x14ac:dyDescent="0.2">
      <c r="A149" s="1" t="s">
        <v>481</v>
      </c>
      <c r="B149" s="1" t="s">
        <v>482</v>
      </c>
      <c r="C149" s="9" t="s">
        <v>487</v>
      </c>
      <c r="D149" s="2">
        <v>2682.6</v>
      </c>
      <c r="E149" s="1">
        <v>1</v>
      </c>
      <c r="F149" s="1" t="s">
        <v>19</v>
      </c>
      <c r="G149" s="1" t="s">
        <v>444</v>
      </c>
      <c r="H149" s="1" t="s">
        <v>445</v>
      </c>
      <c r="I149" s="3">
        <v>0.3</v>
      </c>
      <c r="J149" s="2">
        <f t="shared" si="2"/>
        <v>1877.8199999999997</v>
      </c>
    </row>
    <row r="150" spans="1:10" ht="51" x14ac:dyDescent="0.2">
      <c r="A150" s="1" t="s">
        <v>483</v>
      </c>
      <c r="B150" s="1" t="s">
        <v>484</v>
      </c>
      <c r="C150" s="9" t="s">
        <v>488</v>
      </c>
      <c r="D150" s="2">
        <v>3677.1</v>
      </c>
      <c r="E150" s="1">
        <v>1</v>
      </c>
      <c r="F150" s="1" t="s">
        <v>19</v>
      </c>
      <c r="G150" s="1" t="s">
        <v>444</v>
      </c>
      <c r="H150" s="1" t="s">
        <v>445</v>
      </c>
      <c r="I150" s="3">
        <v>0.27750000000000002</v>
      </c>
      <c r="J150" s="2">
        <f t="shared" si="2"/>
        <v>2656.7047499999994</v>
      </c>
    </row>
    <row r="151" spans="1:10" ht="38.25" x14ac:dyDescent="0.2">
      <c r="A151" s="1" t="s">
        <v>489</v>
      </c>
      <c r="B151" s="1" t="s">
        <v>490</v>
      </c>
      <c r="C151" s="9" t="s">
        <v>491</v>
      </c>
      <c r="D151" s="2">
        <v>2993.7</v>
      </c>
      <c r="E151" s="1">
        <v>1</v>
      </c>
      <c r="F151" s="1" t="s">
        <v>19</v>
      </c>
      <c r="G151" s="1" t="s">
        <v>444</v>
      </c>
      <c r="H151" s="1" t="s">
        <v>445</v>
      </c>
      <c r="I151" s="3">
        <v>0.3</v>
      </c>
      <c r="J151" s="2">
        <f t="shared" si="2"/>
        <v>2095.5899999999997</v>
      </c>
    </row>
    <row r="152" spans="1:10" x14ac:dyDescent="0.2">
      <c r="A152" s="1" t="s">
        <v>494</v>
      </c>
      <c r="B152" s="1" t="s">
        <v>492</v>
      </c>
      <c r="C152" s="7" t="s">
        <v>495</v>
      </c>
      <c r="D152" s="2">
        <v>102</v>
      </c>
      <c r="E152" s="1">
        <v>1</v>
      </c>
      <c r="F152" s="1" t="s">
        <v>19</v>
      </c>
      <c r="G152" s="1" t="s">
        <v>444</v>
      </c>
      <c r="H152" s="1" t="s">
        <v>445</v>
      </c>
      <c r="I152" s="3">
        <v>0.25</v>
      </c>
      <c r="J152" s="2">
        <f t="shared" si="2"/>
        <v>76.5</v>
      </c>
    </row>
    <row r="153" spans="1:10" ht="25.5" x14ac:dyDescent="0.2">
      <c r="A153" s="1" t="s">
        <v>496</v>
      </c>
      <c r="B153" s="1" t="s">
        <v>493</v>
      </c>
      <c r="C153" s="7" t="s">
        <v>497</v>
      </c>
      <c r="D153" s="2">
        <v>316.2</v>
      </c>
      <c r="E153" s="1">
        <v>1</v>
      </c>
      <c r="F153" s="1" t="s">
        <v>19</v>
      </c>
      <c r="G153" s="1" t="s">
        <v>444</v>
      </c>
      <c r="H153" s="1" t="s">
        <v>445</v>
      </c>
      <c r="I153" s="3">
        <v>0.25</v>
      </c>
      <c r="J153" s="2">
        <f t="shared" si="2"/>
        <v>237.14999999999998</v>
      </c>
    </row>
    <row r="154" spans="1:10" x14ac:dyDescent="0.2">
      <c r="A154" s="1" t="s">
        <v>498</v>
      </c>
      <c r="B154" s="1" t="s">
        <v>499</v>
      </c>
      <c r="C154" s="7" t="s">
        <v>500</v>
      </c>
      <c r="D154" s="2">
        <v>184.62</v>
      </c>
      <c r="E154" s="1">
        <v>1</v>
      </c>
      <c r="F154" s="1" t="s">
        <v>19</v>
      </c>
      <c r="G154" s="1" t="s">
        <v>501</v>
      </c>
      <c r="H154" s="1" t="s">
        <v>266</v>
      </c>
      <c r="I154" s="3">
        <v>0.25</v>
      </c>
      <c r="J154" s="2">
        <f t="shared" si="2"/>
        <v>138.465</v>
      </c>
    </row>
    <row r="155" spans="1:10" ht="51" x14ac:dyDescent="0.2">
      <c r="A155" s="1" t="s">
        <v>502</v>
      </c>
      <c r="B155" s="1" t="s">
        <v>503</v>
      </c>
      <c r="C155" s="9" t="s">
        <v>521</v>
      </c>
      <c r="D155" s="2">
        <v>199.92</v>
      </c>
      <c r="E155" s="1">
        <v>1</v>
      </c>
      <c r="F155" s="1" t="s">
        <v>19</v>
      </c>
      <c r="G155" s="1" t="s">
        <v>501</v>
      </c>
      <c r="H155" s="1" t="s">
        <v>266</v>
      </c>
      <c r="I155" s="3">
        <v>0.25</v>
      </c>
      <c r="J155" s="2">
        <f t="shared" si="2"/>
        <v>149.94</v>
      </c>
    </row>
    <row r="156" spans="1:10" ht="25.5" x14ac:dyDescent="0.2">
      <c r="A156" s="1" t="s">
        <v>504</v>
      </c>
      <c r="B156" s="1" t="s">
        <v>505</v>
      </c>
      <c r="C156" s="7" t="s">
        <v>519</v>
      </c>
      <c r="D156" s="2">
        <v>286.62</v>
      </c>
      <c r="E156" s="1">
        <v>1</v>
      </c>
      <c r="F156" s="1" t="s">
        <v>19</v>
      </c>
      <c r="G156" s="1" t="s">
        <v>501</v>
      </c>
      <c r="H156" s="1" t="s">
        <v>266</v>
      </c>
      <c r="I156" s="3">
        <v>0.25</v>
      </c>
      <c r="J156" s="2">
        <f t="shared" si="2"/>
        <v>214.965</v>
      </c>
    </row>
    <row r="157" spans="1:10" ht="25.5" x14ac:dyDescent="0.2">
      <c r="A157" s="1" t="s">
        <v>506</v>
      </c>
      <c r="B157" s="1" t="s">
        <v>507</v>
      </c>
      <c r="C157" s="7" t="s">
        <v>520</v>
      </c>
      <c r="D157" s="2">
        <v>314.16000000000003</v>
      </c>
      <c r="E157" s="1">
        <v>1</v>
      </c>
      <c r="F157" s="1" t="s">
        <v>19</v>
      </c>
      <c r="G157" s="1" t="s">
        <v>501</v>
      </c>
      <c r="H157" s="1" t="s">
        <v>266</v>
      </c>
      <c r="I157" s="3">
        <v>0.25</v>
      </c>
      <c r="J157" s="2">
        <f t="shared" si="2"/>
        <v>235.62</v>
      </c>
    </row>
    <row r="158" spans="1:10" ht="25.5" x14ac:dyDescent="0.2">
      <c r="A158" s="1" t="s">
        <v>508</v>
      </c>
      <c r="B158" s="1" t="s">
        <v>509</v>
      </c>
      <c r="C158" s="7" t="s">
        <v>510</v>
      </c>
      <c r="D158" s="2">
        <v>201.96</v>
      </c>
      <c r="E158" s="1">
        <v>1</v>
      </c>
      <c r="F158" s="1" t="s">
        <v>19</v>
      </c>
      <c r="G158" s="1" t="s">
        <v>501</v>
      </c>
      <c r="H158" s="1" t="s">
        <v>266</v>
      </c>
      <c r="I158" s="3">
        <v>0.25</v>
      </c>
      <c r="J158" s="2">
        <f t="shared" si="2"/>
        <v>151.47</v>
      </c>
    </row>
    <row r="159" spans="1:10" x14ac:dyDescent="0.2">
      <c r="A159" s="1" t="s">
        <v>511</v>
      </c>
      <c r="B159" s="1" t="s">
        <v>512</v>
      </c>
      <c r="C159" s="7" t="s">
        <v>527</v>
      </c>
      <c r="D159" s="2">
        <v>93.84</v>
      </c>
      <c r="E159" s="1">
        <v>1</v>
      </c>
      <c r="F159" s="1" t="s">
        <v>19</v>
      </c>
      <c r="G159" s="1" t="s">
        <v>501</v>
      </c>
      <c r="H159" s="1" t="s">
        <v>266</v>
      </c>
      <c r="I159" s="3">
        <v>0.25</v>
      </c>
      <c r="J159" s="2">
        <f t="shared" si="2"/>
        <v>70.38</v>
      </c>
    </row>
    <row r="160" spans="1:10" x14ac:dyDescent="0.2">
      <c r="A160" s="1" t="s">
        <v>522</v>
      </c>
      <c r="B160" s="1" t="s">
        <v>523</v>
      </c>
      <c r="C160" s="7" t="s">
        <v>524</v>
      </c>
      <c r="D160" s="2">
        <v>112.2</v>
      </c>
      <c r="E160" s="1">
        <v>1</v>
      </c>
      <c r="F160" s="1" t="s">
        <v>19</v>
      </c>
      <c r="G160" s="1" t="s">
        <v>501</v>
      </c>
      <c r="H160" s="1" t="s">
        <v>266</v>
      </c>
      <c r="I160" s="3">
        <v>0.25</v>
      </c>
      <c r="J160" s="2">
        <f t="shared" si="2"/>
        <v>84.15</v>
      </c>
    </row>
    <row r="161" spans="1:10" ht="25.5" x14ac:dyDescent="0.2">
      <c r="A161" s="1" t="s">
        <v>525</v>
      </c>
      <c r="B161" s="1" t="s">
        <v>526</v>
      </c>
      <c r="C161" s="7" t="s">
        <v>638</v>
      </c>
      <c r="D161" s="2">
        <v>313.14</v>
      </c>
      <c r="E161" s="1">
        <v>1</v>
      </c>
      <c r="F161" s="1" t="s">
        <v>19</v>
      </c>
      <c r="G161" s="1" t="s">
        <v>501</v>
      </c>
      <c r="H161" s="1" t="s">
        <v>266</v>
      </c>
      <c r="I161" s="3">
        <v>0.25</v>
      </c>
      <c r="J161" s="2">
        <f t="shared" si="2"/>
        <v>234.85499999999999</v>
      </c>
    </row>
    <row r="162" spans="1:10" ht="51" x14ac:dyDescent="0.2">
      <c r="A162" s="1" t="s">
        <v>530</v>
      </c>
      <c r="B162" s="1" t="s">
        <v>531</v>
      </c>
      <c r="C162" s="9" t="s">
        <v>532</v>
      </c>
      <c r="D162" s="2">
        <v>269.27999999999997</v>
      </c>
      <c r="E162" s="1">
        <v>5</v>
      </c>
      <c r="F162" s="1" t="s">
        <v>19</v>
      </c>
      <c r="G162" s="1" t="s">
        <v>265</v>
      </c>
      <c r="H162" s="1" t="s">
        <v>533</v>
      </c>
      <c r="I162" s="3">
        <v>0.25</v>
      </c>
      <c r="J162" s="2">
        <f t="shared" si="2"/>
        <v>40.391999999999996</v>
      </c>
    </row>
    <row r="163" spans="1:10" ht="51" x14ac:dyDescent="0.2">
      <c r="A163" s="1" t="s">
        <v>534</v>
      </c>
      <c r="B163" s="1" t="s">
        <v>535</v>
      </c>
      <c r="C163" s="9" t="s">
        <v>536</v>
      </c>
      <c r="D163" s="2">
        <v>287.64</v>
      </c>
      <c r="E163" s="1">
        <v>5</v>
      </c>
      <c r="F163" s="1" t="s">
        <v>19</v>
      </c>
      <c r="G163" s="1" t="s">
        <v>265</v>
      </c>
      <c r="H163" s="1" t="s">
        <v>533</v>
      </c>
      <c r="I163" s="3">
        <v>0.25</v>
      </c>
      <c r="J163" s="2">
        <f t="shared" si="2"/>
        <v>43.146000000000001</v>
      </c>
    </row>
    <row r="164" spans="1:10" x14ac:dyDescent="0.2">
      <c r="A164" s="1" t="s">
        <v>537</v>
      </c>
      <c r="B164" s="1" t="s">
        <v>538</v>
      </c>
      <c r="C164" s="7" t="s">
        <v>539</v>
      </c>
      <c r="D164" s="2">
        <v>20.71</v>
      </c>
      <c r="E164" s="1">
        <v>1</v>
      </c>
      <c r="F164" s="1" t="s">
        <v>19</v>
      </c>
      <c r="G164" s="1" t="s">
        <v>265</v>
      </c>
      <c r="H164" s="1" t="s">
        <v>276</v>
      </c>
      <c r="I164" s="3">
        <v>0.25</v>
      </c>
      <c r="J164" s="2">
        <f t="shared" si="2"/>
        <v>15.532500000000001</v>
      </c>
    </row>
    <row r="165" spans="1:10" x14ac:dyDescent="0.2">
      <c r="A165" s="1" t="s">
        <v>540</v>
      </c>
      <c r="B165" s="1" t="s">
        <v>541</v>
      </c>
      <c r="C165" s="7" t="s">
        <v>542</v>
      </c>
      <c r="D165" s="2">
        <v>32.229999999999997</v>
      </c>
      <c r="E165" s="1">
        <v>1</v>
      </c>
      <c r="F165" s="1" t="s">
        <v>19</v>
      </c>
      <c r="G165" s="1" t="s">
        <v>265</v>
      </c>
      <c r="H165" s="1" t="s">
        <v>276</v>
      </c>
      <c r="I165" s="3">
        <v>0.25</v>
      </c>
      <c r="J165" s="2">
        <f t="shared" si="2"/>
        <v>24.172499999999999</v>
      </c>
    </row>
    <row r="166" spans="1:10" ht="51" x14ac:dyDescent="0.2">
      <c r="A166" s="1" t="s">
        <v>543</v>
      </c>
      <c r="B166" s="1" t="s">
        <v>544</v>
      </c>
      <c r="C166" s="9" t="s">
        <v>545</v>
      </c>
      <c r="D166" s="2">
        <v>394.74</v>
      </c>
      <c r="E166" s="1">
        <v>5</v>
      </c>
      <c r="F166" s="1" t="s">
        <v>19</v>
      </c>
      <c r="G166" s="1" t="s">
        <v>265</v>
      </c>
      <c r="H166" s="1" t="s">
        <v>533</v>
      </c>
      <c r="I166" s="3">
        <v>0.25</v>
      </c>
      <c r="J166" s="2">
        <f t="shared" si="2"/>
        <v>59.211000000000006</v>
      </c>
    </row>
    <row r="167" spans="1:10" ht="51" x14ac:dyDescent="0.2">
      <c r="A167" s="1" t="s">
        <v>546</v>
      </c>
      <c r="B167" s="1" t="s">
        <v>547</v>
      </c>
      <c r="C167" s="9" t="s">
        <v>548</v>
      </c>
      <c r="D167" s="2">
        <v>410.04</v>
      </c>
      <c r="E167" s="1">
        <v>5</v>
      </c>
      <c r="F167" s="1" t="s">
        <v>19</v>
      </c>
      <c r="G167" s="1" t="s">
        <v>265</v>
      </c>
      <c r="H167" s="1" t="s">
        <v>533</v>
      </c>
      <c r="I167" s="3">
        <v>0.25</v>
      </c>
      <c r="J167" s="2">
        <f t="shared" si="2"/>
        <v>61.506000000000007</v>
      </c>
    </row>
    <row r="168" spans="1:10" x14ac:dyDescent="0.2">
      <c r="A168" t="s">
        <v>588</v>
      </c>
      <c r="B168" t="s">
        <v>589</v>
      </c>
      <c r="C168" s="8" t="s">
        <v>590</v>
      </c>
      <c r="D168" s="2">
        <v>202.68</v>
      </c>
      <c r="E168">
        <v>1</v>
      </c>
      <c r="F168" t="s">
        <v>19</v>
      </c>
      <c r="G168" t="s">
        <v>218</v>
      </c>
      <c r="H168" t="s">
        <v>223</v>
      </c>
      <c r="I168" s="3">
        <v>0.55000000000000004</v>
      </c>
      <c r="J168" s="2">
        <f t="shared" si="2"/>
        <v>91.205999999999989</v>
      </c>
    </row>
    <row r="169" spans="1:10" x14ac:dyDescent="0.2">
      <c r="A169" t="s">
        <v>591</v>
      </c>
      <c r="B169" t="s">
        <v>592</v>
      </c>
      <c r="C169" s="8" t="s">
        <v>593</v>
      </c>
      <c r="D169" s="2">
        <v>455.76</v>
      </c>
      <c r="E169">
        <v>1</v>
      </c>
      <c r="F169" t="s">
        <v>19</v>
      </c>
      <c r="G169" t="s">
        <v>218</v>
      </c>
      <c r="H169" t="s">
        <v>219</v>
      </c>
      <c r="I169" s="3">
        <v>0.55000000000000004</v>
      </c>
      <c r="J169" s="2">
        <f t="shared" si="2"/>
        <v>205.09199999999998</v>
      </c>
    </row>
    <row r="170" spans="1:10" x14ac:dyDescent="0.2">
      <c r="A170" t="s">
        <v>594</v>
      </c>
      <c r="B170" t="s">
        <v>595</v>
      </c>
      <c r="C170" s="8" t="s">
        <v>596</v>
      </c>
      <c r="D170" s="2">
        <v>527.9</v>
      </c>
      <c r="E170">
        <v>1</v>
      </c>
      <c r="F170" t="s">
        <v>19</v>
      </c>
      <c r="G170" t="s">
        <v>218</v>
      </c>
      <c r="H170" t="s">
        <v>219</v>
      </c>
      <c r="I170" s="3">
        <v>0.55000000000000004</v>
      </c>
      <c r="J170" s="2">
        <f t="shared" si="2"/>
        <v>237.55499999999998</v>
      </c>
    </row>
    <row r="171" spans="1:10" x14ac:dyDescent="0.2">
      <c r="A171" t="s">
        <v>245</v>
      </c>
      <c r="B171" t="s">
        <v>246</v>
      </c>
      <c r="C171" s="8" t="s">
        <v>248</v>
      </c>
      <c r="D171" s="5">
        <v>16.2</v>
      </c>
      <c r="E171">
        <v>1</v>
      </c>
      <c r="F171" t="s">
        <v>19</v>
      </c>
      <c r="G171" t="s">
        <v>218</v>
      </c>
      <c r="H171" t="s">
        <v>223</v>
      </c>
      <c r="I171" s="3">
        <v>0.55000000000000004</v>
      </c>
      <c r="J171" s="2">
        <f t="shared" si="2"/>
        <v>7.2899999999999991</v>
      </c>
    </row>
    <row r="172" spans="1:10" x14ac:dyDescent="0.2">
      <c r="A172" t="s">
        <v>597</v>
      </c>
      <c r="B172" t="s">
        <v>598</v>
      </c>
      <c r="C172" s="8" t="s">
        <v>599</v>
      </c>
      <c r="D172" s="2">
        <v>29.77</v>
      </c>
      <c r="E172">
        <v>1</v>
      </c>
      <c r="F172" t="s">
        <v>19</v>
      </c>
      <c r="G172" t="s">
        <v>218</v>
      </c>
      <c r="H172" t="s">
        <v>223</v>
      </c>
      <c r="I172" s="3">
        <v>0.55000000000000004</v>
      </c>
      <c r="J172" s="2">
        <f t="shared" si="2"/>
        <v>13.396499999999998</v>
      </c>
    </row>
    <row r="173" spans="1:10" x14ac:dyDescent="0.2">
      <c r="A173" t="s">
        <v>600</v>
      </c>
      <c r="B173" t="s">
        <v>601</v>
      </c>
      <c r="C173" s="8" t="s">
        <v>602</v>
      </c>
      <c r="D173" s="2">
        <v>39.840000000000003</v>
      </c>
      <c r="E173">
        <v>1</v>
      </c>
      <c r="F173" t="s">
        <v>19</v>
      </c>
      <c r="G173" t="s">
        <v>218</v>
      </c>
      <c r="H173" t="s">
        <v>223</v>
      </c>
      <c r="I173" s="3">
        <v>0.55000000000000004</v>
      </c>
      <c r="J173" s="2">
        <f t="shared" si="2"/>
        <v>17.928000000000001</v>
      </c>
    </row>
    <row r="174" spans="1:10" x14ac:dyDescent="0.2">
      <c r="A174" t="s">
        <v>603</v>
      </c>
      <c r="B174" t="s">
        <v>604</v>
      </c>
      <c r="C174" s="8" t="s">
        <v>605</v>
      </c>
      <c r="D174" s="2">
        <v>565.1</v>
      </c>
      <c r="E174">
        <v>1</v>
      </c>
      <c r="F174" t="s">
        <v>19</v>
      </c>
      <c r="G174" t="s">
        <v>218</v>
      </c>
      <c r="H174" t="s">
        <v>219</v>
      </c>
      <c r="I174" s="3">
        <v>0.55000000000000004</v>
      </c>
      <c r="J174" s="2">
        <f t="shared" ref="J174:J195" si="3">D174/E174*(1-I174)</f>
        <v>254.29499999999999</v>
      </c>
    </row>
    <row r="175" spans="1:10" x14ac:dyDescent="0.2">
      <c r="A175" t="s">
        <v>606</v>
      </c>
      <c r="B175" t="s">
        <v>607</v>
      </c>
      <c r="C175" s="8" t="s">
        <v>608</v>
      </c>
      <c r="D175" s="2">
        <v>707.11</v>
      </c>
      <c r="E175">
        <v>1</v>
      </c>
      <c r="F175" t="s">
        <v>19</v>
      </c>
      <c r="G175" t="s">
        <v>218</v>
      </c>
      <c r="H175" t="s">
        <v>223</v>
      </c>
      <c r="I175" s="3">
        <v>0.55000000000000004</v>
      </c>
      <c r="J175" s="2">
        <f t="shared" si="3"/>
        <v>318.1995</v>
      </c>
    </row>
    <row r="176" spans="1:10" x14ac:dyDescent="0.2">
      <c r="A176" t="s">
        <v>609</v>
      </c>
      <c r="B176" t="s">
        <v>610</v>
      </c>
      <c r="C176" s="8" t="s">
        <v>611</v>
      </c>
      <c r="D176" s="2">
        <v>38.700000000000003</v>
      </c>
      <c r="E176">
        <v>1</v>
      </c>
      <c r="F176" t="s">
        <v>19</v>
      </c>
      <c r="G176" t="s">
        <v>218</v>
      </c>
      <c r="H176" t="s">
        <v>223</v>
      </c>
      <c r="I176" s="3">
        <v>0.55000000000000004</v>
      </c>
      <c r="J176" s="2">
        <f t="shared" si="3"/>
        <v>17.414999999999999</v>
      </c>
    </row>
    <row r="177" spans="1:10" x14ac:dyDescent="0.2">
      <c r="A177" t="s">
        <v>612</v>
      </c>
      <c r="B177" t="s">
        <v>613</v>
      </c>
      <c r="C177" s="8" t="s">
        <v>614</v>
      </c>
      <c r="D177" s="2">
        <v>51.53</v>
      </c>
      <c r="E177">
        <v>1</v>
      </c>
      <c r="F177" t="s">
        <v>19</v>
      </c>
      <c r="G177" t="s">
        <v>218</v>
      </c>
      <c r="H177" t="s">
        <v>223</v>
      </c>
      <c r="I177" s="3">
        <v>0.55000000000000004</v>
      </c>
      <c r="J177" s="2">
        <f t="shared" si="3"/>
        <v>23.188499999999998</v>
      </c>
    </row>
    <row r="178" spans="1:10" x14ac:dyDescent="0.2">
      <c r="A178" t="s">
        <v>615</v>
      </c>
      <c r="B178" t="s">
        <v>616</v>
      </c>
      <c r="C178" s="8" t="s">
        <v>617</v>
      </c>
      <c r="D178" s="2">
        <v>26.11</v>
      </c>
      <c r="E178">
        <v>1</v>
      </c>
      <c r="F178" t="s">
        <v>19</v>
      </c>
      <c r="G178" t="s">
        <v>218</v>
      </c>
      <c r="H178" t="s">
        <v>223</v>
      </c>
      <c r="I178" s="3">
        <v>0.55000000000000004</v>
      </c>
      <c r="J178" s="2">
        <f t="shared" si="3"/>
        <v>11.749499999999999</v>
      </c>
    </row>
    <row r="179" spans="1:10" x14ac:dyDescent="0.2">
      <c r="A179" t="s">
        <v>618</v>
      </c>
      <c r="B179" t="s">
        <v>619</v>
      </c>
      <c r="C179" s="8" t="s">
        <v>620</v>
      </c>
      <c r="D179" s="2">
        <v>27.78</v>
      </c>
      <c r="E179">
        <v>1</v>
      </c>
      <c r="F179" t="s">
        <v>19</v>
      </c>
      <c r="G179" t="s">
        <v>218</v>
      </c>
      <c r="H179" t="s">
        <v>223</v>
      </c>
      <c r="I179" s="3">
        <v>0.55000000000000004</v>
      </c>
      <c r="J179" s="2">
        <f t="shared" si="3"/>
        <v>12.500999999999999</v>
      </c>
    </row>
    <row r="180" spans="1:10" x14ac:dyDescent="0.2">
      <c r="A180" t="s">
        <v>621</v>
      </c>
      <c r="B180" t="s">
        <v>622</v>
      </c>
      <c r="C180" s="8" t="s">
        <v>623</v>
      </c>
      <c r="D180" s="2">
        <v>114.51</v>
      </c>
      <c r="E180">
        <v>1</v>
      </c>
      <c r="F180" t="s">
        <v>19</v>
      </c>
      <c r="G180" t="s">
        <v>218</v>
      </c>
      <c r="H180" t="s">
        <v>223</v>
      </c>
      <c r="I180" s="3">
        <v>0.55000000000000004</v>
      </c>
      <c r="J180" s="2">
        <f t="shared" si="3"/>
        <v>51.529499999999999</v>
      </c>
    </row>
    <row r="181" spans="1:10" x14ac:dyDescent="0.2">
      <c r="A181" t="s">
        <v>624</v>
      </c>
      <c r="B181" t="s">
        <v>624</v>
      </c>
      <c r="C181" s="8" t="s">
        <v>625</v>
      </c>
      <c r="D181" s="2">
        <v>6.72</v>
      </c>
      <c r="E181">
        <v>1</v>
      </c>
      <c r="F181" t="s">
        <v>19</v>
      </c>
      <c r="G181" t="s">
        <v>626</v>
      </c>
      <c r="H181" t="s">
        <v>627</v>
      </c>
      <c r="I181" s="3">
        <v>0.55000000000000004</v>
      </c>
      <c r="J181" s="2">
        <f t="shared" si="3"/>
        <v>3.0239999999999996</v>
      </c>
    </row>
    <row r="182" spans="1:10" x14ac:dyDescent="0.2">
      <c r="A182" t="s">
        <v>628</v>
      </c>
      <c r="B182" t="s">
        <v>628</v>
      </c>
      <c r="C182" s="8" t="s">
        <v>629</v>
      </c>
      <c r="D182" s="2">
        <v>9.09</v>
      </c>
      <c r="E182">
        <v>1</v>
      </c>
      <c r="F182" t="s">
        <v>19</v>
      </c>
      <c r="G182" t="s">
        <v>626</v>
      </c>
      <c r="H182" t="s">
        <v>627</v>
      </c>
      <c r="I182" s="3">
        <v>0.55000000000000004</v>
      </c>
      <c r="J182" s="2">
        <f t="shared" si="3"/>
        <v>4.0904999999999996</v>
      </c>
    </row>
    <row r="183" spans="1:10" x14ac:dyDescent="0.2">
      <c r="A183" t="s">
        <v>639</v>
      </c>
      <c r="B183" t="s">
        <v>640</v>
      </c>
      <c r="C183" s="8" t="s">
        <v>641</v>
      </c>
      <c r="D183" s="5">
        <v>59.27</v>
      </c>
      <c r="E183">
        <v>1</v>
      </c>
      <c r="F183" t="s">
        <v>19</v>
      </c>
      <c r="G183" t="s">
        <v>99</v>
      </c>
      <c r="H183" t="s">
        <v>21</v>
      </c>
      <c r="I183" s="3">
        <v>0.55000000000000004</v>
      </c>
      <c r="J183" s="2">
        <f t="shared" si="3"/>
        <v>26.671499999999998</v>
      </c>
    </row>
    <row r="184" spans="1:10" ht="25.5" x14ac:dyDescent="0.2">
      <c r="A184" s="1" t="s">
        <v>328</v>
      </c>
      <c r="B184" s="1" t="s">
        <v>329</v>
      </c>
      <c r="C184" s="7" t="s">
        <v>338</v>
      </c>
      <c r="D184" s="2">
        <v>35.700000000000003</v>
      </c>
      <c r="E184" s="1">
        <v>1</v>
      </c>
      <c r="F184" s="1" t="s">
        <v>19</v>
      </c>
      <c r="G184" s="1" t="s">
        <v>265</v>
      </c>
      <c r="H184" s="1" t="s">
        <v>276</v>
      </c>
      <c r="I184" s="3">
        <v>0.28000000000000003</v>
      </c>
      <c r="J184" s="2">
        <f t="shared" si="3"/>
        <v>25.704000000000001</v>
      </c>
    </row>
    <row r="185" spans="1:10" ht="25.5" x14ac:dyDescent="0.2">
      <c r="A185" s="1" t="s">
        <v>330</v>
      </c>
      <c r="B185" s="1" t="s">
        <v>331</v>
      </c>
      <c r="C185" s="7" t="s">
        <v>339</v>
      </c>
      <c r="D185" s="2">
        <v>71.400000000000006</v>
      </c>
      <c r="E185" s="1">
        <v>1</v>
      </c>
      <c r="F185" s="1" t="s">
        <v>19</v>
      </c>
      <c r="G185" s="1" t="s">
        <v>265</v>
      </c>
      <c r="H185" s="1" t="s">
        <v>276</v>
      </c>
      <c r="I185" s="3">
        <v>0.28000000000000003</v>
      </c>
      <c r="J185" s="2">
        <f t="shared" si="3"/>
        <v>51.408000000000001</v>
      </c>
    </row>
    <row r="186" spans="1:10" ht="25.5" x14ac:dyDescent="0.2">
      <c r="A186" s="1" t="s">
        <v>332</v>
      </c>
      <c r="B186" s="1" t="s">
        <v>333</v>
      </c>
      <c r="C186" s="7" t="s">
        <v>340</v>
      </c>
      <c r="D186" s="2">
        <v>163.19999999999999</v>
      </c>
      <c r="E186" s="1">
        <v>1</v>
      </c>
      <c r="F186" s="1" t="s">
        <v>19</v>
      </c>
      <c r="G186" s="1" t="s">
        <v>265</v>
      </c>
      <c r="H186" s="1" t="s">
        <v>276</v>
      </c>
      <c r="I186" s="3">
        <v>0.28000000000000003</v>
      </c>
      <c r="J186" s="2">
        <f t="shared" si="3"/>
        <v>117.50399999999999</v>
      </c>
    </row>
    <row r="187" spans="1:10" ht="25.5" x14ac:dyDescent="0.2">
      <c r="A187" s="1" t="s">
        <v>334</v>
      </c>
      <c r="B187" s="1" t="s">
        <v>335</v>
      </c>
      <c r="C187" s="7" t="s">
        <v>341</v>
      </c>
      <c r="D187" s="2">
        <v>234.6</v>
      </c>
      <c r="E187" s="1">
        <v>1</v>
      </c>
      <c r="F187" s="1" t="s">
        <v>19</v>
      </c>
      <c r="G187" s="1" t="s">
        <v>265</v>
      </c>
      <c r="H187" s="1" t="s">
        <v>276</v>
      </c>
      <c r="I187" s="3">
        <v>0.28000000000000003</v>
      </c>
      <c r="J187" s="2">
        <f t="shared" si="3"/>
        <v>168.91199999999998</v>
      </c>
    </row>
    <row r="188" spans="1:10" x14ac:dyDescent="0.2">
      <c r="A188" t="s">
        <v>441</v>
      </c>
      <c r="B188" t="s">
        <v>442</v>
      </c>
      <c r="C188" t="s">
        <v>443</v>
      </c>
      <c r="D188" s="5">
        <v>1060.8</v>
      </c>
      <c r="E188">
        <v>1</v>
      </c>
      <c r="F188" t="s">
        <v>19</v>
      </c>
      <c r="G188" t="s">
        <v>444</v>
      </c>
      <c r="H188" t="s">
        <v>445</v>
      </c>
      <c r="I188" s="3">
        <v>0.31</v>
      </c>
      <c r="J188" s="2">
        <f t="shared" si="3"/>
        <v>731.95199999999988</v>
      </c>
    </row>
    <row r="189" spans="1:10" x14ac:dyDescent="0.2">
      <c r="A189" t="s">
        <v>446</v>
      </c>
      <c r="B189" t="s">
        <v>447</v>
      </c>
      <c r="C189" t="s">
        <v>448</v>
      </c>
      <c r="D189" s="5">
        <v>1183.2</v>
      </c>
      <c r="E189">
        <v>1</v>
      </c>
      <c r="F189" t="s">
        <v>19</v>
      </c>
      <c r="G189" t="s">
        <v>444</v>
      </c>
      <c r="H189" t="s">
        <v>445</v>
      </c>
      <c r="I189" s="3">
        <v>0.31</v>
      </c>
      <c r="J189" s="2">
        <f t="shared" si="3"/>
        <v>816.40800000000002</v>
      </c>
    </row>
    <row r="190" spans="1:10" x14ac:dyDescent="0.2">
      <c r="A190" t="s">
        <v>669</v>
      </c>
      <c r="B190" t="s">
        <v>670</v>
      </c>
      <c r="C190" t="s">
        <v>671</v>
      </c>
      <c r="D190" s="5">
        <v>474.3</v>
      </c>
      <c r="E190">
        <v>1</v>
      </c>
      <c r="F190" t="s">
        <v>19</v>
      </c>
      <c r="G190" t="s">
        <v>444</v>
      </c>
      <c r="H190" t="s">
        <v>445</v>
      </c>
      <c r="I190" s="3">
        <v>0.31</v>
      </c>
      <c r="J190" s="2">
        <f t="shared" si="3"/>
        <v>327.267</v>
      </c>
    </row>
    <row r="191" spans="1:10" x14ac:dyDescent="0.2">
      <c r="A191" t="s">
        <v>672</v>
      </c>
      <c r="B191" t="s">
        <v>673</v>
      </c>
      <c r="C191" t="s">
        <v>674</v>
      </c>
      <c r="D191" s="5">
        <v>591.6</v>
      </c>
      <c r="E191">
        <v>1</v>
      </c>
      <c r="F191" t="s">
        <v>19</v>
      </c>
      <c r="G191" t="s">
        <v>444</v>
      </c>
      <c r="H191" t="s">
        <v>445</v>
      </c>
      <c r="I191" s="3">
        <v>0.31</v>
      </c>
      <c r="J191" s="2">
        <f t="shared" si="3"/>
        <v>408.20400000000001</v>
      </c>
    </row>
    <row r="192" spans="1:10" x14ac:dyDescent="0.2">
      <c r="A192" t="s">
        <v>677</v>
      </c>
      <c r="B192" t="s">
        <v>678</v>
      </c>
      <c r="C192" t="s">
        <v>679</v>
      </c>
      <c r="D192" s="5">
        <v>13.89</v>
      </c>
      <c r="E192">
        <v>1</v>
      </c>
      <c r="F192" t="s">
        <v>19</v>
      </c>
      <c r="G192" t="s">
        <v>680</v>
      </c>
      <c r="H192" t="s">
        <v>681</v>
      </c>
      <c r="I192" s="3">
        <v>0.55000000000000004</v>
      </c>
      <c r="J192" s="2">
        <f t="shared" si="3"/>
        <v>6.2504999999999997</v>
      </c>
    </row>
    <row r="193" spans="1:10" x14ac:dyDescent="0.2">
      <c r="A193" t="s">
        <v>682</v>
      </c>
      <c r="B193" t="s">
        <v>683</v>
      </c>
      <c r="C193" t="s">
        <v>684</v>
      </c>
      <c r="D193" s="5">
        <v>185.89</v>
      </c>
      <c r="E193">
        <v>100</v>
      </c>
      <c r="F193" t="s">
        <v>19</v>
      </c>
      <c r="G193" t="s">
        <v>680</v>
      </c>
      <c r="H193" t="s">
        <v>681</v>
      </c>
      <c r="I193" s="3">
        <v>0.55000000000000004</v>
      </c>
      <c r="J193" s="2">
        <f t="shared" si="3"/>
        <v>0.83650499999999983</v>
      </c>
    </row>
    <row r="194" spans="1:10" x14ac:dyDescent="0.2">
      <c r="A194" s="5" t="s">
        <v>685</v>
      </c>
      <c r="B194" s="5" t="s">
        <v>686</v>
      </c>
      <c r="C194" s="5" t="s">
        <v>687</v>
      </c>
      <c r="D194" s="5">
        <v>16.760000000000002</v>
      </c>
      <c r="E194" s="12">
        <v>1</v>
      </c>
      <c r="F194" s="5" t="s">
        <v>19</v>
      </c>
      <c r="G194" s="5" t="s">
        <v>680</v>
      </c>
      <c r="H194" s="5" t="s">
        <v>681</v>
      </c>
      <c r="I194" s="3">
        <v>0.55000000000000004</v>
      </c>
      <c r="J194" s="2">
        <f t="shared" si="3"/>
        <v>7.5419999999999998</v>
      </c>
    </row>
    <row r="195" spans="1:10" x14ac:dyDescent="0.2">
      <c r="A195" t="s">
        <v>688</v>
      </c>
      <c r="B195" t="s">
        <v>689</v>
      </c>
      <c r="C195" t="s">
        <v>690</v>
      </c>
      <c r="D195" s="5">
        <v>51.36</v>
      </c>
      <c r="E195">
        <v>1</v>
      </c>
      <c r="F195" t="s">
        <v>19</v>
      </c>
      <c r="G195" t="s">
        <v>680</v>
      </c>
      <c r="H195" t="s">
        <v>681</v>
      </c>
      <c r="I195" s="3">
        <v>0.55000000000000004</v>
      </c>
      <c r="J195" s="2">
        <f t="shared" si="3"/>
        <v>23.111999999999998</v>
      </c>
    </row>
    <row r="196" spans="1:10" x14ac:dyDescent="0.2">
      <c r="A196" t="s">
        <v>721</v>
      </c>
      <c r="B196" t="s">
        <v>719</v>
      </c>
      <c r="C196" t="s">
        <v>720</v>
      </c>
      <c r="D196" s="5">
        <v>359.04</v>
      </c>
      <c r="E196">
        <v>1</v>
      </c>
      <c r="F196" t="s">
        <v>19</v>
      </c>
      <c r="G196" t="s">
        <v>265</v>
      </c>
      <c r="H196" t="s">
        <v>276</v>
      </c>
      <c r="I196" s="3">
        <v>0.28000000000000003</v>
      </c>
      <c r="J196" s="2">
        <f>D196/E196*(1-I196)</f>
        <v>258.50880000000001</v>
      </c>
    </row>
    <row r="197" spans="1:10" x14ac:dyDescent="0.2">
      <c r="A197" t="s">
        <v>970</v>
      </c>
      <c r="B197" t="s">
        <v>971</v>
      </c>
      <c r="C197" t="s">
        <v>972</v>
      </c>
      <c r="D197" s="5">
        <v>181.56</v>
      </c>
      <c r="E197">
        <v>1</v>
      </c>
      <c r="F197" t="s">
        <v>19</v>
      </c>
      <c r="G197" t="s">
        <v>403</v>
      </c>
      <c r="H197" t="s">
        <v>404</v>
      </c>
      <c r="I197" s="3">
        <f t="shared" ref="I197:I202" si="4">1-(1-0.28)*(1-0.05)</f>
        <v>0.31600000000000006</v>
      </c>
      <c r="J197" s="2">
        <f t="shared" ref="J197:J202" si="5">D197/E197*(1-I197)</f>
        <v>124.18704</v>
      </c>
    </row>
    <row r="198" spans="1:10" x14ac:dyDescent="0.2">
      <c r="A198" t="s">
        <v>973</v>
      </c>
      <c r="B198" t="s">
        <v>974</v>
      </c>
      <c r="C198" t="s">
        <v>975</v>
      </c>
      <c r="D198" s="5">
        <v>6.73</v>
      </c>
      <c r="E198">
        <v>1</v>
      </c>
      <c r="F198" t="s">
        <v>19</v>
      </c>
      <c r="G198" t="s">
        <v>403</v>
      </c>
      <c r="H198" t="s">
        <v>404</v>
      </c>
      <c r="I198" s="3">
        <f t="shared" si="4"/>
        <v>0.31600000000000006</v>
      </c>
      <c r="J198" s="2">
        <f t="shared" si="5"/>
        <v>4.6033200000000001</v>
      </c>
    </row>
    <row r="199" spans="1:10" x14ac:dyDescent="0.2">
      <c r="A199" t="s">
        <v>976</v>
      </c>
      <c r="B199" t="s">
        <v>977</v>
      </c>
      <c r="C199" t="s">
        <v>978</v>
      </c>
      <c r="D199" s="5">
        <v>11.83</v>
      </c>
      <c r="E199">
        <v>1</v>
      </c>
      <c r="F199" t="s">
        <v>19</v>
      </c>
      <c r="G199" t="s">
        <v>403</v>
      </c>
      <c r="H199" t="s">
        <v>404</v>
      </c>
      <c r="I199" s="3">
        <f t="shared" si="4"/>
        <v>0.31600000000000006</v>
      </c>
      <c r="J199" s="2">
        <f t="shared" si="5"/>
        <v>8.0917199999999987</v>
      </c>
    </row>
    <row r="200" spans="1:10" x14ac:dyDescent="0.2">
      <c r="A200" t="s">
        <v>979</v>
      </c>
      <c r="B200" t="s">
        <v>980</v>
      </c>
      <c r="C200" t="s">
        <v>981</v>
      </c>
      <c r="D200" s="5">
        <v>112.2</v>
      </c>
      <c r="E200">
        <v>1</v>
      </c>
      <c r="F200" t="s">
        <v>19</v>
      </c>
      <c r="G200" t="s">
        <v>403</v>
      </c>
      <c r="H200" t="s">
        <v>404</v>
      </c>
      <c r="I200" s="3">
        <f t="shared" si="4"/>
        <v>0.31600000000000006</v>
      </c>
      <c r="J200" s="2">
        <f t="shared" si="5"/>
        <v>76.744799999999998</v>
      </c>
    </row>
    <row r="201" spans="1:10" x14ac:dyDescent="0.2">
      <c r="A201" t="s">
        <v>982</v>
      </c>
      <c r="B201" t="s">
        <v>983</v>
      </c>
      <c r="C201" t="s">
        <v>984</v>
      </c>
      <c r="D201" s="5">
        <v>151.97999999999999</v>
      </c>
      <c r="E201">
        <v>1</v>
      </c>
      <c r="F201" t="s">
        <v>19</v>
      </c>
      <c r="G201" t="s">
        <v>403</v>
      </c>
      <c r="H201" t="s">
        <v>404</v>
      </c>
      <c r="I201" s="3">
        <f t="shared" si="4"/>
        <v>0.31600000000000006</v>
      </c>
      <c r="J201" s="2">
        <f t="shared" si="5"/>
        <v>103.95431999999998</v>
      </c>
    </row>
    <row r="202" spans="1:10" x14ac:dyDescent="0.2">
      <c r="A202" t="s">
        <v>985</v>
      </c>
      <c r="B202" t="s">
        <v>986</v>
      </c>
      <c r="C202" t="s">
        <v>987</v>
      </c>
      <c r="D202" s="5">
        <v>44.78</v>
      </c>
      <c r="E202">
        <v>1</v>
      </c>
      <c r="F202" t="s">
        <v>19</v>
      </c>
      <c r="G202" t="s">
        <v>403</v>
      </c>
      <c r="H202" t="s">
        <v>404</v>
      </c>
      <c r="I202" s="3">
        <f t="shared" si="4"/>
        <v>0.31600000000000006</v>
      </c>
      <c r="J202" s="2">
        <f t="shared" si="5"/>
        <v>30.629519999999999</v>
      </c>
    </row>
  </sheetData>
  <customSheetViews>
    <customSheetView guid="{FFF8F457-6B9E-424E-8E8A-94E56AA6D66B}" showPageBreaks="1" hiddenColumns="1" showRuler="0" topLeftCell="B64">
      <selection activeCell="B133" sqref="B133:J134"/>
      <pageMargins left="0.75" right="0.75" top="1" bottom="1" header="0.5" footer="0.5"/>
      <pageSetup paperSize="9" orientation="portrait" r:id="rId1"/>
      <headerFooter alignWithMargins="0"/>
    </customSheetView>
    <customSheetView guid="{2F6DA050-2C78-4FEE-82E7-63FC04D1B289}" hiddenColumns="1" showRuler="0" topLeftCell="B64">
      <selection activeCell="B133" sqref="B133:J134"/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U21"/>
  <sheetViews>
    <sheetView topLeftCell="A10" workbookViewId="0">
      <selection activeCell="A18" sqref="A18"/>
    </sheetView>
  </sheetViews>
  <sheetFormatPr defaultRowHeight="12.75" x14ac:dyDescent="0.2"/>
  <cols>
    <col min="1" max="1" width="46.7109375" style="1" bestFit="1" customWidth="1"/>
    <col min="2" max="2" width="19.7109375" bestFit="1" customWidth="1"/>
  </cols>
  <sheetData>
    <row r="1" spans="1:21" x14ac:dyDescent="0.2">
      <c r="B1" s="59" t="s">
        <v>652</v>
      </c>
      <c r="C1" s="59"/>
      <c r="D1" s="59" t="s">
        <v>703</v>
      </c>
      <c r="E1" s="59"/>
      <c r="F1" s="59" t="s">
        <v>704</v>
      </c>
      <c r="G1" s="59"/>
      <c r="H1" s="59" t="s">
        <v>705</v>
      </c>
      <c r="I1" s="59"/>
      <c r="J1" s="59" t="s">
        <v>706</v>
      </c>
      <c r="K1" s="59"/>
      <c r="L1" s="59" t="s">
        <v>707</v>
      </c>
      <c r="M1" s="59"/>
      <c r="N1" s="59" t="s">
        <v>708</v>
      </c>
      <c r="O1" s="59"/>
      <c r="P1" s="59" t="s">
        <v>709</v>
      </c>
      <c r="Q1" s="59"/>
      <c r="R1" s="59" t="s">
        <v>710</v>
      </c>
      <c r="S1" s="59"/>
      <c r="T1" s="59" t="s">
        <v>711</v>
      </c>
      <c r="U1" s="59"/>
    </row>
    <row r="2" spans="1:21" x14ac:dyDescent="0.2">
      <c r="B2" s="60" t="s">
        <v>736</v>
      </c>
      <c r="C2" s="60" t="s">
        <v>920</v>
      </c>
    </row>
    <row r="3" spans="1:21" x14ac:dyDescent="0.2">
      <c r="A3" s="64" t="s">
        <v>725</v>
      </c>
    </row>
    <row r="4" spans="1:21" x14ac:dyDescent="0.2">
      <c r="A4" s="64" t="s">
        <v>726</v>
      </c>
    </row>
    <row r="5" spans="1:21" x14ac:dyDescent="0.2">
      <c r="A5" s="64" t="s">
        <v>727</v>
      </c>
    </row>
    <row r="6" spans="1:21" x14ac:dyDescent="0.2">
      <c r="A6" s="64" t="s">
        <v>728</v>
      </c>
    </row>
    <row r="7" spans="1:21" x14ac:dyDescent="0.2">
      <c r="A7" s="64" t="s">
        <v>729</v>
      </c>
    </row>
    <row r="8" spans="1:21" x14ac:dyDescent="0.2">
      <c r="A8" s="64" t="s">
        <v>730</v>
      </c>
    </row>
    <row r="9" spans="1:21" x14ac:dyDescent="0.2">
      <c r="A9" s="64" t="s">
        <v>731</v>
      </c>
    </row>
    <row r="10" spans="1:21" x14ac:dyDescent="0.2">
      <c r="A10" s="64" t="s">
        <v>732</v>
      </c>
    </row>
    <row r="11" spans="1:21" x14ac:dyDescent="0.2">
      <c r="A11" s="64" t="s">
        <v>733</v>
      </c>
    </row>
    <row r="12" spans="1:21" x14ac:dyDescent="0.2">
      <c r="A12" s="65" t="s">
        <v>734</v>
      </c>
    </row>
    <row r="13" spans="1:21" x14ac:dyDescent="0.2">
      <c r="A13" s="64" t="s">
        <v>735</v>
      </c>
    </row>
    <row r="16" spans="1:21" x14ac:dyDescent="0.2">
      <c r="A16" s="64" t="s">
        <v>725</v>
      </c>
      <c r="B16" t="s">
        <v>737</v>
      </c>
      <c r="C16" t="s">
        <v>740</v>
      </c>
      <c r="D16" t="s">
        <v>738</v>
      </c>
      <c r="E16">
        <f>16/200</f>
        <v>0.08</v>
      </c>
      <c r="F16" t="s">
        <v>739</v>
      </c>
    </row>
    <row r="17" spans="1:6" x14ac:dyDescent="0.2">
      <c r="A17" s="64" t="s">
        <v>726</v>
      </c>
      <c r="B17" t="s">
        <v>741</v>
      </c>
      <c r="C17" t="s">
        <v>743</v>
      </c>
      <c r="D17" t="s">
        <v>742</v>
      </c>
      <c r="E17">
        <f>1/28</f>
        <v>3.5714285714285712E-2</v>
      </c>
      <c r="F17" t="s">
        <v>744</v>
      </c>
    </row>
    <row r="18" spans="1:6" x14ac:dyDescent="0.2">
      <c r="A18" s="64" t="s">
        <v>746</v>
      </c>
      <c r="B18" t="s">
        <v>745</v>
      </c>
    </row>
    <row r="19" spans="1:6" x14ac:dyDescent="0.2">
      <c r="A19" s="64" t="s">
        <v>733</v>
      </c>
    </row>
    <row r="20" spans="1:6" x14ac:dyDescent="0.2">
      <c r="A20" s="65" t="s">
        <v>734</v>
      </c>
    </row>
    <row r="21" spans="1:6" x14ac:dyDescent="0.2">
      <c r="A21" s="64" t="s">
        <v>735</v>
      </c>
    </row>
  </sheetData>
  <customSheetViews>
    <customSheetView guid="{FFF8F457-6B9E-424E-8E8A-94E56AA6D66B}" showRuler="0">
      <selection activeCell="A33" sqref="A33"/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/>
  <dimension ref="A1:E23"/>
  <sheetViews>
    <sheetView workbookViewId="0">
      <pane ySplit="1" topLeftCell="A17" activePane="bottomLeft" state="frozenSplit"/>
      <selection pane="bottomLeft" activeCell="B10" sqref="B10"/>
    </sheetView>
  </sheetViews>
  <sheetFormatPr defaultRowHeight="12.75" x14ac:dyDescent="0.2"/>
  <cols>
    <col min="1" max="1" width="27.7109375" style="6" customWidth="1"/>
    <col min="2" max="5" width="27.7109375" customWidth="1"/>
  </cols>
  <sheetData>
    <row r="1" spans="1:5" ht="15.75" x14ac:dyDescent="0.25">
      <c r="B1" s="63" t="s">
        <v>562</v>
      </c>
      <c r="C1" s="63" t="s">
        <v>1042</v>
      </c>
      <c r="D1" s="63" t="s">
        <v>940</v>
      </c>
      <c r="E1" s="63" t="s">
        <v>922</v>
      </c>
    </row>
    <row r="2" spans="1:5" ht="65.25" customHeight="1" x14ac:dyDescent="0.2">
      <c r="A2" s="6" t="s">
        <v>1040</v>
      </c>
      <c r="B2" s="15" t="s">
        <v>1041</v>
      </c>
      <c r="C2" s="8" t="s">
        <v>1066</v>
      </c>
      <c r="D2" s="15" t="s">
        <v>1043</v>
      </c>
      <c r="E2" s="8" t="s">
        <v>1065</v>
      </c>
    </row>
    <row r="3" spans="1:5" ht="65.25" customHeight="1" x14ac:dyDescent="0.2">
      <c r="A3" s="6" t="s">
        <v>1046</v>
      </c>
      <c r="B3" s="15" t="s">
        <v>1047</v>
      </c>
      <c r="C3" s="8" t="s">
        <v>1101</v>
      </c>
      <c r="D3" s="15" t="s">
        <v>1048</v>
      </c>
      <c r="E3" s="8" t="s">
        <v>1049</v>
      </c>
    </row>
    <row r="4" spans="1:5" x14ac:dyDescent="0.2">
      <c r="A4" s="6" t="s">
        <v>1058</v>
      </c>
      <c r="B4" s="15" t="s">
        <v>1041</v>
      </c>
      <c r="C4" s="15" t="s">
        <v>1043</v>
      </c>
      <c r="D4" s="15" t="s">
        <v>1043</v>
      </c>
      <c r="E4" s="8" t="s">
        <v>1057</v>
      </c>
    </row>
    <row r="5" spans="1:5" ht="38.25" x14ac:dyDescent="0.2">
      <c r="A5" s="6" t="s">
        <v>1059</v>
      </c>
      <c r="B5" s="15" t="s">
        <v>1041</v>
      </c>
      <c r="C5" s="15" t="s">
        <v>1043</v>
      </c>
      <c r="D5" s="15" t="s">
        <v>1043</v>
      </c>
      <c r="E5" s="8" t="s">
        <v>1069</v>
      </c>
    </row>
    <row r="6" spans="1:5" x14ac:dyDescent="0.2">
      <c r="A6" s="6" t="s">
        <v>1060</v>
      </c>
      <c r="B6" s="15" t="s">
        <v>1061</v>
      </c>
      <c r="C6" s="15" t="s">
        <v>1062</v>
      </c>
      <c r="D6" s="15" t="s">
        <v>1063</v>
      </c>
      <c r="E6" s="8" t="s">
        <v>1064</v>
      </c>
    </row>
    <row r="7" spans="1:5" x14ac:dyDescent="0.2">
      <c r="A7" s="6" t="s">
        <v>1067</v>
      </c>
      <c r="B7" s="15" t="s">
        <v>1041</v>
      </c>
      <c r="C7" s="15" t="s">
        <v>1041</v>
      </c>
      <c r="D7" s="15" t="s">
        <v>1041</v>
      </c>
      <c r="E7" s="15" t="s">
        <v>1068</v>
      </c>
    </row>
    <row r="8" spans="1:5" ht="102" x14ac:dyDescent="0.2">
      <c r="A8" s="6" t="s">
        <v>1044</v>
      </c>
      <c r="B8" t="s">
        <v>1041</v>
      </c>
      <c r="C8" s="8" t="s">
        <v>1045</v>
      </c>
      <c r="D8" s="8" t="s">
        <v>1050</v>
      </c>
      <c r="E8" s="8" t="s">
        <v>1051</v>
      </c>
    </row>
    <row r="9" spans="1:5" ht="140.25" x14ac:dyDescent="0.2">
      <c r="A9" s="6" t="s">
        <v>1052</v>
      </c>
      <c r="B9" s="8" t="s">
        <v>1054</v>
      </c>
      <c r="C9" s="8" t="s">
        <v>1055</v>
      </c>
      <c r="D9" s="8" t="s">
        <v>1053</v>
      </c>
      <c r="E9" s="8" t="s">
        <v>1056</v>
      </c>
    </row>
    <row r="10" spans="1:5" ht="76.5" x14ac:dyDescent="0.2">
      <c r="A10" s="6" t="s">
        <v>1070</v>
      </c>
      <c r="B10" s="8" t="s">
        <v>1071</v>
      </c>
      <c r="C10" s="8" t="s">
        <v>1071</v>
      </c>
      <c r="D10" s="8" t="s">
        <v>1071</v>
      </c>
      <c r="E10" s="8" t="s">
        <v>1071</v>
      </c>
    </row>
    <row r="11" spans="1:5" ht="38.25" x14ac:dyDescent="0.2">
      <c r="A11" s="6" t="s">
        <v>1072</v>
      </c>
      <c r="B11" t="s">
        <v>1073</v>
      </c>
      <c r="C11" s="8" t="s">
        <v>1107</v>
      </c>
      <c r="D11" s="8" t="s">
        <v>1074</v>
      </c>
      <c r="E11" s="8" t="s">
        <v>1079</v>
      </c>
    </row>
    <row r="12" spans="1:5" ht="63.75" x14ac:dyDescent="0.2">
      <c r="A12" s="6" t="s">
        <v>1075</v>
      </c>
      <c r="B12" s="8" t="s">
        <v>1076</v>
      </c>
      <c r="C12" s="8" t="s">
        <v>1077</v>
      </c>
      <c r="D12" s="8" t="s">
        <v>1078</v>
      </c>
      <c r="E12" s="8" t="s">
        <v>1080</v>
      </c>
    </row>
    <row r="13" spans="1:5" ht="25.5" x14ac:dyDescent="0.2">
      <c r="A13" s="6" t="s">
        <v>1081</v>
      </c>
      <c r="B13" s="8" t="s">
        <v>1082</v>
      </c>
      <c r="C13" s="8" t="s">
        <v>1082</v>
      </c>
      <c r="D13" s="8" t="s">
        <v>1083</v>
      </c>
      <c r="E13" s="8" t="s">
        <v>1084</v>
      </c>
    </row>
    <row r="14" spans="1:5" ht="127.5" x14ac:dyDescent="0.2">
      <c r="A14" s="6" t="s">
        <v>1087</v>
      </c>
      <c r="B14" s="8" t="s">
        <v>1089</v>
      </c>
      <c r="C14" s="8" t="s">
        <v>1088</v>
      </c>
      <c r="D14" s="8" t="s">
        <v>1093</v>
      </c>
      <c r="E14" s="8" t="s">
        <v>9</v>
      </c>
    </row>
    <row r="15" spans="1:5" ht="51" x14ac:dyDescent="0.2">
      <c r="A15" s="6" t="s">
        <v>1090</v>
      </c>
      <c r="B15" s="8" t="s">
        <v>1091</v>
      </c>
      <c r="C15" s="8" t="s">
        <v>1092</v>
      </c>
      <c r="D15" s="8" t="s">
        <v>1085</v>
      </c>
      <c r="E15" s="8" t="s">
        <v>1086</v>
      </c>
    </row>
    <row r="16" spans="1:5" ht="89.25" x14ac:dyDescent="0.2">
      <c r="A16" s="6" t="s">
        <v>1096</v>
      </c>
      <c r="B16" s="8" t="s">
        <v>1091</v>
      </c>
      <c r="C16" s="8" t="s">
        <v>1094</v>
      </c>
      <c r="D16" s="8" t="s">
        <v>1095</v>
      </c>
      <c r="E16" s="8" t="s">
        <v>1097</v>
      </c>
    </row>
    <row r="17" spans="1:5" ht="25.5" x14ac:dyDescent="0.2">
      <c r="A17" s="6" t="s">
        <v>1098</v>
      </c>
      <c r="B17" s="8" t="s">
        <v>1099</v>
      </c>
      <c r="C17" s="8" t="s">
        <v>1100</v>
      </c>
      <c r="D17" s="8" t="s">
        <v>1101</v>
      </c>
      <c r="E17" s="8" t="s">
        <v>1102</v>
      </c>
    </row>
    <row r="18" spans="1:5" ht="38.25" x14ac:dyDescent="0.2">
      <c r="A18" s="6" t="s">
        <v>1103</v>
      </c>
      <c r="B18" s="8" t="s">
        <v>1106</v>
      </c>
      <c r="C18" s="8" t="s">
        <v>1104</v>
      </c>
      <c r="D18" s="8" t="s">
        <v>1105</v>
      </c>
      <c r="E18" s="8" t="s">
        <v>1104</v>
      </c>
    </row>
    <row r="19" spans="1:5" ht="102" x14ac:dyDescent="0.2">
      <c r="A19" s="6" t="s">
        <v>1108</v>
      </c>
      <c r="B19" s="8" t="s">
        <v>1109</v>
      </c>
      <c r="C19" s="8" t="s">
        <v>1111</v>
      </c>
      <c r="D19" s="8" t="s">
        <v>1110</v>
      </c>
      <c r="E19" s="8" t="s">
        <v>8</v>
      </c>
    </row>
    <row r="20" spans="1:5" x14ac:dyDescent="0.2">
      <c r="A20" s="6" t="s">
        <v>4</v>
      </c>
      <c r="B20" s="8" t="s">
        <v>1041</v>
      </c>
      <c r="C20" s="8" t="s">
        <v>1041</v>
      </c>
      <c r="D20" s="8" t="s">
        <v>3</v>
      </c>
      <c r="E20" s="8" t="s">
        <v>1057</v>
      </c>
    </row>
    <row r="21" spans="1:5" x14ac:dyDescent="0.2">
      <c r="A21" s="6" t="s">
        <v>1112</v>
      </c>
      <c r="B21" s="8" t="s">
        <v>1113</v>
      </c>
      <c r="C21" s="8" t="s">
        <v>1114</v>
      </c>
      <c r="D21" s="8" t="s">
        <v>3</v>
      </c>
      <c r="E21" s="8" t="s">
        <v>1114</v>
      </c>
    </row>
    <row r="22" spans="1:5" ht="25.5" x14ac:dyDescent="0.2">
      <c r="A22" s="6" t="s">
        <v>0</v>
      </c>
      <c r="B22" s="8" t="s">
        <v>1113</v>
      </c>
      <c r="C22" s="8" t="s">
        <v>2</v>
      </c>
      <c r="D22" s="8" t="s">
        <v>5</v>
      </c>
      <c r="E22" s="8" t="s">
        <v>6</v>
      </c>
    </row>
    <row r="23" spans="1:5" x14ac:dyDescent="0.2">
      <c r="A23" s="6" t="s">
        <v>1</v>
      </c>
      <c r="B23" s="8" t="s">
        <v>1113</v>
      </c>
      <c r="C23" s="8" t="s">
        <v>1057</v>
      </c>
      <c r="D23" s="8" t="s">
        <v>7</v>
      </c>
      <c r="E23" s="8" t="s">
        <v>1057</v>
      </c>
    </row>
  </sheetData>
  <customSheetViews>
    <customSheetView guid="{FFF8F457-6B9E-424E-8E8A-94E56AA6D66B}" showRuler="0">
      <pane ySplit="1" topLeftCell="A14" activePane="bottomLeft" state="frozenSplit"/>
      <selection pane="bottomLeft" activeCell="B10" sqref="B10"/>
      <pageMargins left="0.75" right="0.75" top="1" bottom="1" header="0.5" footer="0.5"/>
      <pageSetup paperSize="9" orientation="portrait" horizontalDpi="300" verticalDpi="0" r:id="rId1"/>
      <headerFooter alignWithMargins="0"/>
    </customSheetView>
  </customSheetViews>
  <phoneticPr fontId="0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3">
    <pageSetUpPr fitToPage="1"/>
  </sheetPr>
  <dimension ref="A1:I116"/>
  <sheetViews>
    <sheetView workbookViewId="0">
      <pane xSplit="2" ySplit="1" topLeftCell="C56" activePane="bottomRight" state="frozenSplit"/>
      <selection pane="topRight" activeCell="B1" sqref="B1"/>
      <selection pane="bottomLeft" activeCell="A2" sqref="A2"/>
      <selection pane="bottomRight" activeCell="G74" sqref="G74"/>
    </sheetView>
  </sheetViews>
  <sheetFormatPr defaultColWidth="9.140625" defaultRowHeight="12.75" x14ac:dyDescent="0.2"/>
  <cols>
    <col min="1" max="1" width="30.7109375" bestFit="1" customWidth="1"/>
    <col min="2" max="2" width="60.7109375" style="1" customWidth="1"/>
    <col min="3" max="3" width="12.5703125" style="78" customWidth="1"/>
    <col min="4" max="4" width="26.5703125" style="300" customWidth="1"/>
    <col min="5" max="5" width="13.85546875" hidden="1" customWidth="1"/>
    <col min="6" max="6" width="16.7109375" style="297" customWidth="1"/>
  </cols>
  <sheetData>
    <row r="1" spans="1:9" x14ac:dyDescent="0.2">
      <c r="A1" t="s">
        <v>1203</v>
      </c>
      <c r="B1" s="68" t="s">
        <v>587</v>
      </c>
      <c r="C1" s="298" t="s">
        <v>2236</v>
      </c>
      <c r="D1" s="299"/>
      <c r="E1" t="s">
        <v>1118</v>
      </c>
      <c r="F1" s="297" t="s">
        <v>1306</v>
      </c>
      <c r="H1" t="s">
        <v>1307</v>
      </c>
      <c r="I1">
        <v>3</v>
      </c>
    </row>
    <row r="2" spans="1:9" x14ac:dyDescent="0.2">
      <c r="A2" t="s">
        <v>1204</v>
      </c>
      <c r="B2" s="268" t="s">
        <v>1234</v>
      </c>
      <c r="C2" s="79">
        <v>598.55640000000005</v>
      </c>
      <c r="D2" s="300">
        <f>IFERROR(VLOOKUP(A2,DIBA_ADHOC_PREZZI!$A$1:$AS$441,44,FALSE),0)</f>
        <v>16.551559999999998</v>
      </c>
      <c r="E2" s="4"/>
      <c r="F2" s="297">
        <f>IF(D2=0,C2,D2*$I$1)</f>
        <v>49.654679999999999</v>
      </c>
    </row>
    <row r="3" spans="1:9" x14ac:dyDescent="0.2">
      <c r="A3" t="s">
        <v>1205</v>
      </c>
      <c r="B3" s="268" t="s">
        <v>1235</v>
      </c>
      <c r="C3" s="79">
        <v>312.92975999999999</v>
      </c>
      <c r="D3" s="300">
        <f>IFERROR(VLOOKUP(A3,DIBA_ADHOC_PREZZI!$A$1:$AS$441,44,FALSE),0)</f>
        <v>152.93</v>
      </c>
      <c r="E3" s="4"/>
      <c r="F3" s="297">
        <f t="shared" ref="F3:F72" si="0">IF(D3=0,C3,D3*$I$1)</f>
        <v>458.79</v>
      </c>
    </row>
    <row r="4" spans="1:9" x14ac:dyDescent="0.2">
      <c r="A4" t="s">
        <v>1206</v>
      </c>
      <c r="B4" s="268" t="s">
        <v>1237</v>
      </c>
      <c r="C4" s="79">
        <v>307.36680000000001</v>
      </c>
      <c r="D4" s="300">
        <f>IFERROR(VLOOKUP(A4,DIBA_ADHOC_PREZZI!$A$1:$AS$441,44,FALSE),0)</f>
        <v>122.90156</v>
      </c>
      <c r="E4" s="4"/>
      <c r="F4" s="297">
        <f t="shared" si="0"/>
        <v>368.70468</v>
      </c>
    </row>
    <row r="5" spans="1:9" x14ac:dyDescent="0.2">
      <c r="A5" t="s">
        <v>1207</v>
      </c>
      <c r="B5" s="268" t="s">
        <v>1236</v>
      </c>
      <c r="C5" s="79">
        <v>454.8648</v>
      </c>
      <c r="D5" s="300">
        <f>IFERROR(VLOOKUP(A5,DIBA_ADHOC_PREZZI!$A$1:$AS$441,44,FALSE),0)</f>
        <v>268.61466999999999</v>
      </c>
      <c r="E5" s="4"/>
      <c r="F5" s="297">
        <f t="shared" si="0"/>
        <v>805.84401000000003</v>
      </c>
    </row>
    <row r="6" spans="1:9" x14ac:dyDescent="0.2">
      <c r="A6" t="s">
        <v>1222</v>
      </c>
      <c r="B6" s="268" t="s">
        <v>1238</v>
      </c>
      <c r="C6" s="79">
        <v>843.60120000000006</v>
      </c>
      <c r="D6" s="300">
        <f>IFERROR(VLOOKUP(A6,DIBA_ADHOC_PREZZI!$A$1:$AS$441,44,FALSE),0)</f>
        <v>510.86156</v>
      </c>
      <c r="E6" s="4"/>
      <c r="F6" s="297">
        <f t="shared" si="0"/>
        <v>1532.5846799999999</v>
      </c>
    </row>
    <row r="7" spans="1:9" x14ac:dyDescent="0.2">
      <c r="A7" t="s">
        <v>1208</v>
      </c>
      <c r="B7" s="268" t="s">
        <v>716</v>
      </c>
      <c r="C7" s="79">
        <v>400.92936000000003</v>
      </c>
      <c r="D7" s="300">
        <f>IFERROR(VLOOKUP(A7,DIBA_ADHOC_PREZZI!$A$1:$AS$441,44,FALSE),0)</f>
        <v>189.05</v>
      </c>
      <c r="E7" s="4"/>
      <c r="F7" s="297">
        <f t="shared" si="0"/>
        <v>567.15000000000009</v>
      </c>
    </row>
    <row r="8" spans="1:9" x14ac:dyDescent="0.2">
      <c r="A8" t="s">
        <v>1209</v>
      </c>
      <c r="B8" s="16" t="s">
        <v>714</v>
      </c>
      <c r="C8" s="79">
        <v>485.89320000000004</v>
      </c>
      <c r="D8" s="300">
        <f>IFERROR(VLOOKUP(A8,DIBA_ADHOC_PREZZI!$A$1:$AS$441,44,FALSE),0)</f>
        <v>235.45156</v>
      </c>
      <c r="E8" s="4"/>
      <c r="F8" s="297">
        <f t="shared" si="0"/>
        <v>706.35468000000003</v>
      </c>
    </row>
    <row r="9" spans="1:9" x14ac:dyDescent="0.2">
      <c r="A9" t="s">
        <v>1210</v>
      </c>
      <c r="B9" s="16" t="s">
        <v>355</v>
      </c>
      <c r="C9" s="79">
        <v>246.28656000000001</v>
      </c>
      <c r="D9" s="300">
        <f>IFERROR(VLOOKUP(A9,DIBA_ADHOC_PREZZI!$A$1:$AS$441,44,FALSE),0)</f>
        <v>79.435370000000006</v>
      </c>
      <c r="E9" s="4"/>
      <c r="F9" s="297">
        <f t="shared" si="0"/>
        <v>238.30611000000002</v>
      </c>
    </row>
    <row r="10" spans="1:9" x14ac:dyDescent="0.2">
      <c r="A10" t="s">
        <v>1211</v>
      </c>
      <c r="B10" s="16" t="s">
        <v>712</v>
      </c>
      <c r="C10" s="79">
        <v>756.23808000000008</v>
      </c>
      <c r="D10" s="300">
        <f>IFERROR(VLOOKUP(A10,DIBA_ADHOC_PREZZI!$A$1:$AS$441,44,FALSE),0)</f>
        <v>368.02791000000002</v>
      </c>
      <c r="E10" s="4"/>
      <c r="F10" s="297">
        <f t="shared" si="0"/>
        <v>1104.0837300000001</v>
      </c>
    </row>
    <row r="11" spans="1:9" x14ac:dyDescent="0.2">
      <c r="A11" t="s">
        <v>1212</v>
      </c>
      <c r="B11" s="16" t="s">
        <v>715</v>
      </c>
      <c r="C11" s="79">
        <v>754.49400000000003</v>
      </c>
      <c r="D11" s="300">
        <f>IFERROR(VLOOKUP(A11,DIBA_ADHOC_PREZZI!$A$1:$AS$441,44,FALSE),0)</f>
        <v>364.80155999999999</v>
      </c>
      <c r="E11" s="4"/>
      <c r="F11" s="297">
        <f t="shared" si="0"/>
        <v>1094.4046800000001</v>
      </c>
    </row>
    <row r="12" spans="1:9" x14ac:dyDescent="0.2">
      <c r="A12" t="s">
        <v>1213</v>
      </c>
      <c r="B12" s="16" t="s">
        <v>713</v>
      </c>
      <c r="C12" s="79">
        <v>304.97375999999997</v>
      </c>
      <c r="D12" s="300">
        <f>IFERROR(VLOOKUP(A12,DIBA_ADHOC_PREZZI!$A$1:$AS$441,44,FALSE),0)</f>
        <v>114.62156</v>
      </c>
      <c r="E12" s="4"/>
      <c r="F12" s="297">
        <f t="shared" si="0"/>
        <v>343.86468000000002</v>
      </c>
    </row>
    <row r="13" spans="1:9" x14ac:dyDescent="0.2">
      <c r="A13" t="s">
        <v>1214</v>
      </c>
      <c r="B13" s="16" t="s">
        <v>717</v>
      </c>
      <c r="C13" s="79">
        <v>1209.1181999999997</v>
      </c>
      <c r="D13" s="300">
        <f>IFERROR(VLOOKUP(A13,DIBA_ADHOC_PREZZI!$A$1:$AS$441,44,FALSE),0)</f>
        <v>435.36655999999999</v>
      </c>
      <c r="E13" s="4"/>
      <c r="F13" s="297">
        <f t="shared" si="0"/>
        <v>1306.09968</v>
      </c>
    </row>
    <row r="14" spans="1:9" x14ac:dyDescent="0.2">
      <c r="A14" t="s">
        <v>1215</v>
      </c>
      <c r="B14" s="16" t="s">
        <v>718</v>
      </c>
      <c r="C14" s="79">
        <v>1865.1822</v>
      </c>
      <c r="D14" s="300">
        <f>IFERROR(VLOOKUP(A14,DIBA_ADHOC_PREZZI!$A$1:$AS$441,44,FALSE),0)</f>
        <v>709.20155999999997</v>
      </c>
      <c r="E14" s="4"/>
      <c r="F14" s="297">
        <f t="shared" si="0"/>
        <v>2127.6046799999999</v>
      </c>
    </row>
    <row r="15" spans="1:9" x14ac:dyDescent="0.2">
      <c r="A15" t="s">
        <v>1216</v>
      </c>
      <c r="B15" s="268" t="s">
        <v>1218</v>
      </c>
      <c r="C15" s="79">
        <v>435.38040000000001</v>
      </c>
      <c r="D15" s="300">
        <f>IFERROR(VLOOKUP(A15,DIBA_ADHOC_PREZZI!$A$1:$AS$441,44,FALSE),0)</f>
        <v>0</v>
      </c>
      <c r="E15" s="4"/>
      <c r="F15" s="297">
        <f t="shared" si="0"/>
        <v>435.38040000000001</v>
      </c>
    </row>
    <row r="16" spans="1:9" x14ac:dyDescent="0.2">
      <c r="A16" t="s">
        <v>1217</v>
      </c>
      <c r="B16" s="268" t="s">
        <v>1219</v>
      </c>
      <c r="C16" s="79">
        <v>312.18720000000002</v>
      </c>
      <c r="D16" s="300">
        <f>IFERROR(VLOOKUP(A16,DIBA_ADHOC_PREZZI!$A$1:$AS$441,44,FALSE),0)</f>
        <v>196.78808000000001</v>
      </c>
      <c r="E16" s="4"/>
      <c r="F16" s="297">
        <f t="shared" si="0"/>
        <v>590.36424</v>
      </c>
    </row>
    <row r="17" spans="1:6" x14ac:dyDescent="0.2">
      <c r="A17" t="s">
        <v>1220</v>
      </c>
      <c r="B17" s="16" t="s">
        <v>991</v>
      </c>
      <c r="C17" s="79">
        <v>48.977760000000004</v>
      </c>
      <c r="D17" s="300">
        <f>IFERROR(VLOOKUP(A17,DIBA_ADHOC_PREZZI!$A$1:$AS$441,44,FALSE),0)</f>
        <v>19.235199999999999</v>
      </c>
      <c r="E17" s="4"/>
      <c r="F17" s="297">
        <f t="shared" si="0"/>
        <v>57.705599999999997</v>
      </c>
    </row>
    <row r="18" spans="1:6" x14ac:dyDescent="0.2">
      <c r="A18" t="s">
        <v>1221</v>
      </c>
      <c r="B18" s="16" t="s">
        <v>992</v>
      </c>
      <c r="C18" s="79">
        <v>61.389119999999998</v>
      </c>
      <c r="D18" s="300">
        <f>IFERROR(VLOOKUP(A18,DIBA_ADHOC_PREZZI!$A$1:$AS$441,44,FALSE),0)</f>
        <v>44.618369999999999</v>
      </c>
      <c r="E18" s="4"/>
      <c r="F18" s="297">
        <f t="shared" si="0"/>
        <v>133.85511</v>
      </c>
    </row>
    <row r="19" spans="1:6" x14ac:dyDescent="0.2">
      <c r="A19" s="44" t="s">
        <v>1261</v>
      </c>
      <c r="B19" s="268" t="s">
        <v>1262</v>
      </c>
      <c r="C19" s="79">
        <v>600</v>
      </c>
      <c r="D19" s="300">
        <f>IFERROR(VLOOKUP(A19,DIBA_ADHOC_PREZZI!$A$1:$AS$441,44,FALSE),0)</f>
        <v>407.04045000000002</v>
      </c>
      <c r="E19" s="4"/>
      <c r="F19" s="297">
        <f t="shared" si="0"/>
        <v>1221.1213500000001</v>
      </c>
    </row>
    <row r="20" spans="1:6" x14ac:dyDescent="0.2">
      <c r="A20" t="s">
        <v>1223</v>
      </c>
      <c r="B20" s="44" t="s">
        <v>2291</v>
      </c>
      <c r="C20" s="79">
        <v>795</v>
      </c>
      <c r="D20" s="300">
        <f>IFERROR(VLOOKUP(A20,DIBA_ADHOC_PREZZI!$A$1:$AS$441,44,FALSE),0)</f>
        <v>621.95617000000004</v>
      </c>
      <c r="E20" s="4"/>
      <c r="F20" s="297">
        <f t="shared" si="0"/>
        <v>1865.8685100000002</v>
      </c>
    </row>
    <row r="21" spans="1:6" x14ac:dyDescent="0.2">
      <c r="A21" t="s">
        <v>1224</v>
      </c>
      <c r="B21" s="44" t="s">
        <v>2292</v>
      </c>
      <c r="C21" s="79">
        <v>2050</v>
      </c>
      <c r="D21" s="300">
        <f>IFERROR(VLOOKUP(A21,DIBA_ADHOC_PREZZI!$A$1:$AS$441,44,FALSE),0)</f>
        <v>910.37297000000001</v>
      </c>
      <c r="E21" s="4"/>
      <c r="F21" s="297">
        <f t="shared" si="0"/>
        <v>2731.1189100000001</v>
      </c>
    </row>
    <row r="22" spans="1:6" x14ac:dyDescent="0.2">
      <c r="A22" t="s">
        <v>1225</v>
      </c>
      <c r="B22" s="44" t="s">
        <v>2293</v>
      </c>
      <c r="C22" s="79">
        <v>4730</v>
      </c>
      <c r="D22" s="300">
        <f>IFERROR(VLOOKUP(A22,DIBA_ADHOC_PREZZI!$A$1:$AS$441,44,FALSE),0)</f>
        <v>835.81617000000006</v>
      </c>
      <c r="E22" s="4"/>
      <c r="F22" s="297">
        <f t="shared" si="0"/>
        <v>2507.4485100000002</v>
      </c>
    </row>
    <row r="23" spans="1:6" x14ac:dyDescent="0.2">
      <c r="A23" t="s">
        <v>1226</v>
      </c>
      <c r="B23" s="44" t="s">
        <v>2294</v>
      </c>
      <c r="C23" s="79">
        <v>5790</v>
      </c>
      <c r="D23" s="300">
        <f>IFERROR(VLOOKUP(A23,DIBA_ADHOC_PREZZI!$A$1:$AS$441,44,FALSE),0)</f>
        <v>1085.8161700000001</v>
      </c>
      <c r="E23" s="4"/>
      <c r="F23" s="297">
        <f t="shared" si="0"/>
        <v>3257.4485100000002</v>
      </c>
    </row>
    <row r="24" spans="1:6" x14ac:dyDescent="0.2">
      <c r="A24" s="44" t="s">
        <v>2281</v>
      </c>
      <c r="B24" s="44" t="s">
        <v>2295</v>
      </c>
      <c r="C24" s="312">
        <v>3457</v>
      </c>
      <c r="D24" s="300">
        <f>IFERROR(VLOOKUP(A24,DIBA_ADHOC_PREZZI!$A$1:$AS$441,44,FALSE),0)</f>
        <v>0</v>
      </c>
      <c r="E24" s="4"/>
      <c r="F24" s="313">
        <f t="shared" si="0"/>
        <v>3457</v>
      </c>
    </row>
    <row r="25" spans="1:6" x14ac:dyDescent="0.2">
      <c r="A25" s="44" t="s">
        <v>1288</v>
      </c>
      <c r="B25" s="44" t="s">
        <v>1289</v>
      </c>
      <c r="C25" s="79">
        <v>3000</v>
      </c>
      <c r="D25" s="300">
        <f>IFERROR(VLOOKUP(A25,DIBA_ADHOC_PREZZI!$A$1:$AS$441,44,FALSE),0)</f>
        <v>0</v>
      </c>
      <c r="E25" s="4"/>
      <c r="F25" s="297">
        <f>IF(D25=0,C25,D25*$I$1)</f>
        <v>3000</v>
      </c>
    </row>
    <row r="26" spans="1:6" x14ac:dyDescent="0.2">
      <c r="A26" t="s">
        <v>1302</v>
      </c>
      <c r="B26" s="268" t="s">
        <v>1117</v>
      </c>
      <c r="C26" s="79">
        <v>8166.1135199999999</v>
      </c>
      <c r="D26" s="300">
        <f>IFERROR(VLOOKUP(A26,DIBA_ADHOC_PREZZI!$A$1:$AS$441,44,FALSE),0)</f>
        <v>0</v>
      </c>
      <c r="E26" s="4"/>
      <c r="F26" s="297">
        <f t="shared" si="0"/>
        <v>8166.1135199999999</v>
      </c>
    </row>
    <row r="27" spans="1:6" x14ac:dyDescent="0.2">
      <c r="A27" s="314" t="s">
        <v>2296</v>
      </c>
      <c r="B27" s="317" t="s">
        <v>2297</v>
      </c>
      <c r="C27" s="312">
        <v>8166.1135199999999</v>
      </c>
      <c r="D27" s="315"/>
      <c r="E27" s="316"/>
      <c r="F27" s="313">
        <f t="shared" si="0"/>
        <v>8166.1135199999999</v>
      </c>
    </row>
    <row r="28" spans="1:6" x14ac:dyDescent="0.2">
      <c r="A28" s="314" t="s">
        <v>2299</v>
      </c>
      <c r="B28" s="317" t="s">
        <v>2300</v>
      </c>
      <c r="C28" s="312">
        <v>1166.1135200000001</v>
      </c>
      <c r="D28" s="315"/>
      <c r="E28" s="316"/>
      <c r="F28" s="313">
        <f t="shared" si="0"/>
        <v>1166.1135200000001</v>
      </c>
    </row>
    <row r="29" spans="1:6" x14ac:dyDescent="0.2">
      <c r="A29" s="44" t="s">
        <v>1301</v>
      </c>
      <c r="B29" s="268" t="s">
        <v>1264</v>
      </c>
      <c r="C29" s="79">
        <v>725.10548632163909</v>
      </c>
      <c r="D29" s="300">
        <f>IFERROR(VLOOKUP(A29,DIBA_ADHOC_PREZZI!$A$1:$AS$441,44,FALSE),0)</f>
        <v>78.400000000000006</v>
      </c>
      <c r="E29" s="4"/>
      <c r="F29" s="297">
        <f t="shared" si="0"/>
        <v>235.20000000000002</v>
      </c>
    </row>
    <row r="30" spans="1:6" x14ac:dyDescent="0.2">
      <c r="A30" t="s">
        <v>1280</v>
      </c>
      <c r="B30" s="44" t="s">
        <v>1229</v>
      </c>
      <c r="C30" s="79">
        <v>2204.88</v>
      </c>
      <c r="D30" s="300">
        <f>IFERROR(VLOOKUP(A30,DIBA_ADHOC_PREZZI!$A$1:$AS$441,44,FALSE),0)</f>
        <v>1723.6322700000001</v>
      </c>
      <c r="E30" s="4"/>
      <c r="F30" s="297">
        <f t="shared" si="0"/>
        <v>5170.8968100000002</v>
      </c>
    </row>
    <row r="31" spans="1:6" x14ac:dyDescent="0.2">
      <c r="A31" s="44" t="s">
        <v>1284</v>
      </c>
      <c r="B31" s="44" t="s">
        <v>1230</v>
      </c>
      <c r="C31" s="79">
        <v>3506.37</v>
      </c>
      <c r="D31" s="300">
        <f>IFERROR(VLOOKUP(A31,DIBA_ADHOC_PREZZI!$A$1:$AS$441,44,FALSE),0)</f>
        <v>2598.22543</v>
      </c>
      <c r="E31" s="4"/>
      <c r="F31" s="297">
        <f t="shared" si="0"/>
        <v>7794.6762899999994</v>
      </c>
    </row>
    <row r="32" spans="1:6" ht="12.6" customHeight="1" x14ac:dyDescent="0.2">
      <c r="A32" s="44" t="s">
        <v>1278</v>
      </c>
      <c r="B32" s="44" t="s">
        <v>1227</v>
      </c>
      <c r="C32" s="79">
        <v>511.59</v>
      </c>
      <c r="D32" s="300">
        <f>IFERROR(VLOOKUP(A32,DIBA_ADHOC_PREZZI!$A$1:$AS$441,44,FALSE),0)</f>
        <v>1081.85104</v>
      </c>
      <c r="E32" s="4"/>
      <c r="F32" s="297">
        <f t="shared" si="0"/>
        <v>3245.55312</v>
      </c>
    </row>
    <row r="33" spans="1:6" x14ac:dyDescent="0.2">
      <c r="A33" s="44" t="s">
        <v>1285</v>
      </c>
      <c r="B33" s="44" t="s">
        <v>1228</v>
      </c>
      <c r="C33" s="79">
        <v>511.59</v>
      </c>
      <c r="D33" s="300">
        <f>IFERROR(VLOOKUP(A33,DIBA_ADHOC_PREZZI!$A$1:$AS$441,44,FALSE),0)</f>
        <v>1390.33104</v>
      </c>
      <c r="E33" s="4"/>
      <c r="F33" s="297">
        <f t="shared" si="0"/>
        <v>4170.9931200000001</v>
      </c>
    </row>
    <row r="34" spans="1:6" ht="12.6" customHeight="1" x14ac:dyDescent="0.2">
      <c r="A34" s="314" t="s">
        <v>2369</v>
      </c>
      <c r="B34" s="314" t="s">
        <v>2370</v>
      </c>
      <c r="C34" s="312">
        <v>2500</v>
      </c>
      <c r="D34" s="315">
        <f>IFERROR(VLOOKUP(A34,DIBA_ADHOC_PREZZI!$A$1:$AS$441,44,FALSE),0)</f>
        <v>0</v>
      </c>
      <c r="E34" s="316"/>
      <c r="F34" s="313">
        <f>IF(D34=0,C34,D34*$I$1)</f>
        <v>2500</v>
      </c>
    </row>
    <row r="35" spans="1:6" x14ac:dyDescent="0.2">
      <c r="A35" s="314" t="s">
        <v>2368</v>
      </c>
      <c r="B35" s="314" t="s">
        <v>2371</v>
      </c>
      <c r="C35" s="312">
        <v>3000</v>
      </c>
      <c r="D35" s="315">
        <f>IFERROR(VLOOKUP(A35,DIBA_ADHOC_PREZZI!$A$1:$AS$441,44,FALSE),0)</f>
        <v>0</v>
      </c>
      <c r="E35" s="316"/>
      <c r="F35" s="313">
        <f>IF(D35=0,C35,D35*$I$1)</f>
        <v>3000</v>
      </c>
    </row>
    <row r="36" spans="1:6" x14ac:dyDescent="0.2">
      <c r="A36" s="44" t="s">
        <v>1231</v>
      </c>
      <c r="B36" s="44" t="s">
        <v>1159</v>
      </c>
      <c r="C36" s="79">
        <v>2575.7628000000004</v>
      </c>
      <c r="D36" s="300">
        <f>IFERROR(VLOOKUP(A36,DIBA_ADHOC_PREZZI!$A$1:$AS$441,44,FALSE),0)</f>
        <v>1706.74189</v>
      </c>
      <c r="E36" s="4"/>
      <c r="F36" s="297">
        <f t="shared" si="0"/>
        <v>5120.2256699999998</v>
      </c>
    </row>
    <row r="37" spans="1:6" x14ac:dyDescent="0.2">
      <c r="A37" s="44" t="s">
        <v>1232</v>
      </c>
      <c r="B37" s="44" t="s">
        <v>1160</v>
      </c>
      <c r="C37" s="79">
        <v>3576.7628</v>
      </c>
      <c r="D37" s="300">
        <f>IFERROR(VLOOKUP(A37,DIBA_ADHOC_PREZZI!$A$1:$AS$441,44,FALSE),0)</f>
        <v>2880.38022</v>
      </c>
      <c r="E37" s="4"/>
      <c r="F37" s="297">
        <f t="shared" si="0"/>
        <v>8641.1406600000009</v>
      </c>
    </row>
    <row r="38" spans="1:6" x14ac:dyDescent="0.2">
      <c r="A38" s="44" t="s">
        <v>1233</v>
      </c>
      <c r="B38" s="44" t="s">
        <v>1161</v>
      </c>
      <c r="C38" s="79">
        <v>10311.537600000001</v>
      </c>
      <c r="D38" s="300">
        <f>IFERROR(VLOOKUP(A38,DIBA_ADHOC_PREZZI!$A$1:$AS$441,44,FALSE),0)</f>
        <v>3076.0178599999999</v>
      </c>
      <c r="E38" s="4"/>
      <c r="F38" s="297">
        <f t="shared" si="0"/>
        <v>9228.0535799999998</v>
      </c>
    </row>
    <row r="39" spans="1:6" x14ac:dyDescent="0.2">
      <c r="A39" s="44" t="s">
        <v>1300</v>
      </c>
      <c r="B39" s="268" t="s">
        <v>1272</v>
      </c>
      <c r="C39" s="79">
        <v>2.5499999999999998</v>
      </c>
      <c r="D39" s="300">
        <f>IFERROR(VLOOKUP(A39,DIBA_ADHOC_PREZZI!$A$1:$AS$441,44,FALSE),0)</f>
        <v>2.8748</v>
      </c>
      <c r="E39" s="4"/>
      <c r="F39" s="297">
        <f t="shared" si="0"/>
        <v>8.6243999999999996</v>
      </c>
    </row>
    <row r="40" spans="1:6" x14ac:dyDescent="0.2">
      <c r="A40" t="s">
        <v>1217</v>
      </c>
      <c r="B40" s="268" t="s">
        <v>1273</v>
      </c>
      <c r="C40" s="79">
        <v>312</v>
      </c>
      <c r="D40" s="300">
        <f>IFERROR(VLOOKUP(A40,DIBA_ADHOC_PREZZI!$A$1:$AS$441,44,FALSE),0)</f>
        <v>196.78808000000001</v>
      </c>
      <c r="E40" s="4"/>
      <c r="F40" s="297">
        <f t="shared" si="0"/>
        <v>590.36424</v>
      </c>
    </row>
    <row r="41" spans="1:6" x14ac:dyDescent="0.2">
      <c r="A41" s="44" t="s">
        <v>1298</v>
      </c>
      <c r="B41" s="44" t="s">
        <v>1269</v>
      </c>
      <c r="C41" s="79">
        <v>28.572000000000003</v>
      </c>
      <c r="D41" s="300">
        <f>IFERROR(VLOOKUP(A41,DIBA_ADHOC_PREZZI!$A$1:$AS$441,44,FALSE),0)</f>
        <v>80.5</v>
      </c>
      <c r="E41" s="4"/>
      <c r="F41" s="297">
        <f t="shared" si="0"/>
        <v>241.5</v>
      </c>
    </row>
    <row r="42" spans="1:6" x14ac:dyDescent="0.2">
      <c r="A42" s="44" t="s">
        <v>1299</v>
      </c>
      <c r="B42" s="44" t="s">
        <v>1270</v>
      </c>
      <c r="C42" s="79">
        <v>28.572000000000003</v>
      </c>
      <c r="D42" s="300">
        <f>IFERROR(VLOOKUP(A42,DIBA_ADHOC_PREZZI!$A$1:$AS$441,44,FALSE),0)</f>
        <v>56.4</v>
      </c>
      <c r="E42" s="4"/>
      <c r="F42" s="297">
        <f t="shared" si="0"/>
        <v>169.2</v>
      </c>
    </row>
    <row r="43" spans="1:6" x14ac:dyDescent="0.2">
      <c r="A43" s="44" t="s">
        <v>1297</v>
      </c>
      <c r="B43" s="44" t="s">
        <v>1271</v>
      </c>
      <c r="C43" s="79">
        <v>2.5499999999999998</v>
      </c>
      <c r="D43" s="300">
        <f>IFERROR(VLOOKUP(A43,DIBA_ADHOC_PREZZI!$A$1:$AS$441,44,FALSE),0)</f>
        <v>2.8748</v>
      </c>
      <c r="E43" s="4"/>
      <c r="F43" s="297">
        <f t="shared" si="0"/>
        <v>8.6243999999999996</v>
      </c>
    </row>
    <row r="44" spans="1:6" x14ac:dyDescent="0.2">
      <c r="A44" s="44" t="s">
        <v>1290</v>
      </c>
      <c r="B44" s="1" t="s">
        <v>646</v>
      </c>
      <c r="C44" s="79">
        <v>76.2</v>
      </c>
      <c r="D44" s="300">
        <f>IFERROR(VLOOKUP(A44,DIBA_ADHOC_PREZZI!$A$1:$AS$441,44,FALSE),0)</f>
        <v>35.847999999999999</v>
      </c>
      <c r="E44" s="4"/>
      <c r="F44" s="297">
        <f t="shared" si="0"/>
        <v>107.544</v>
      </c>
    </row>
    <row r="45" spans="1:6" x14ac:dyDescent="0.2">
      <c r="A45" s="44" t="s">
        <v>1243</v>
      </c>
      <c r="B45" s="1" t="s">
        <v>647</v>
      </c>
      <c r="C45" s="79">
        <v>128.9025</v>
      </c>
      <c r="D45" s="300">
        <f>IFERROR(VLOOKUP(A45,DIBA_ADHOC_PREZZI!$A$1:$AS$441,44,FALSE),0)</f>
        <v>42.016120000000001</v>
      </c>
      <c r="E45" s="4"/>
      <c r="F45" s="297">
        <f t="shared" si="0"/>
        <v>126.04836</v>
      </c>
    </row>
    <row r="46" spans="1:6" x14ac:dyDescent="0.2">
      <c r="A46" t="s">
        <v>1242</v>
      </c>
      <c r="B46" s="44" t="s">
        <v>648</v>
      </c>
      <c r="C46" s="79">
        <v>169.965</v>
      </c>
      <c r="D46" s="300">
        <f>IFERROR(VLOOKUP(A46,DIBA_ADHOC_PREZZI!$A$1:$AS$441,44,FALSE),0)</f>
        <v>70.694239999999994</v>
      </c>
      <c r="E46" s="4"/>
      <c r="F46" s="297">
        <f t="shared" si="0"/>
        <v>212.08271999999999</v>
      </c>
    </row>
    <row r="47" spans="1:6" x14ac:dyDescent="0.2">
      <c r="A47" s="44" t="s">
        <v>1244</v>
      </c>
      <c r="B47" s="1" t="s">
        <v>649</v>
      </c>
      <c r="C47" s="79">
        <v>196.42500000000001</v>
      </c>
      <c r="D47" s="300">
        <f>IFERROR(VLOOKUP(A47,DIBA_ADHOC_PREZZI!$A$1:$AS$441,44,FALSE),0)</f>
        <v>104.455</v>
      </c>
      <c r="E47" s="4"/>
      <c r="F47" s="297">
        <f t="shared" si="0"/>
        <v>313.36500000000001</v>
      </c>
    </row>
    <row r="48" spans="1:6" x14ac:dyDescent="0.2">
      <c r="A48" s="44" t="s">
        <v>1245</v>
      </c>
      <c r="B48" s="44" t="s">
        <v>1239</v>
      </c>
      <c r="C48" s="79">
        <v>659.04</v>
      </c>
      <c r="D48" s="300">
        <f>IFERROR(VLOOKUP(A48,DIBA_ADHOC_PREZZI!$A$1:$AS$441,44,FALSE),0)</f>
        <v>110.08</v>
      </c>
      <c r="E48" s="4"/>
      <c r="F48" s="297">
        <f t="shared" si="0"/>
        <v>330.24</v>
      </c>
    </row>
    <row r="49" spans="1:6" x14ac:dyDescent="0.2">
      <c r="A49" s="44" t="s">
        <v>1246</v>
      </c>
      <c r="B49" s="44" t="s">
        <v>1240</v>
      </c>
      <c r="C49" s="79">
        <v>931.59</v>
      </c>
      <c r="D49" s="300">
        <f>IFERROR(VLOOKUP(A49,DIBA_ADHOC_PREZZI!$A$1:$AS$441,44,FALSE),0)</f>
        <v>168.57042000000001</v>
      </c>
      <c r="E49" s="4"/>
      <c r="F49" s="297">
        <f t="shared" si="0"/>
        <v>505.71126000000004</v>
      </c>
    </row>
    <row r="50" spans="1:6" x14ac:dyDescent="0.2">
      <c r="A50" s="44" t="s">
        <v>1247</v>
      </c>
      <c r="B50" s="44" t="s">
        <v>1241</v>
      </c>
      <c r="C50" s="79">
        <v>1285.83</v>
      </c>
      <c r="D50" s="300">
        <f>IFERROR(VLOOKUP(A50,DIBA_ADHOC_PREZZI!$A$1:$AS$441,44,FALSE),0)</f>
        <v>216.14500000000001</v>
      </c>
      <c r="E50" s="4"/>
      <c r="F50" s="297">
        <f t="shared" si="0"/>
        <v>648.43500000000006</v>
      </c>
    </row>
    <row r="51" spans="1:6" x14ac:dyDescent="0.2">
      <c r="A51" s="44" t="s">
        <v>1248</v>
      </c>
      <c r="B51" s="1" t="s">
        <v>994</v>
      </c>
      <c r="C51" s="79">
        <v>434.12309999999997</v>
      </c>
      <c r="D51" s="300">
        <f>IFERROR(VLOOKUP(A51,DIBA_ADHOC_PREZZI!$A$1:$AS$441,44,FALSE),0)</f>
        <v>113.12817</v>
      </c>
      <c r="E51" s="4"/>
    </row>
    <row r="52" spans="1:6" x14ac:dyDescent="0.2">
      <c r="A52" s="44" t="s">
        <v>1249</v>
      </c>
      <c r="B52" s="1" t="s">
        <v>995</v>
      </c>
      <c r="C52" s="79">
        <v>492.32429999999994</v>
      </c>
      <c r="D52" s="300">
        <f>IFERROR(VLOOKUP(A52,DIBA_ADHOC_PREZZI!$A$1:$AS$441,44,FALSE),0)</f>
        <v>134.37</v>
      </c>
      <c r="E52" s="4"/>
    </row>
    <row r="53" spans="1:6" x14ac:dyDescent="0.2">
      <c r="A53" s="44" t="s">
        <v>1291</v>
      </c>
      <c r="B53" s="1" t="s">
        <v>651</v>
      </c>
      <c r="C53" s="79">
        <v>879.62850000000003</v>
      </c>
      <c r="D53" s="300">
        <f>IFERROR(VLOOKUP(A53,DIBA_ADHOC_PREZZI!$A$1:$AS$441,44,FALSE),0)</f>
        <v>258.89431999999999</v>
      </c>
      <c r="E53" s="4"/>
      <c r="F53" s="297">
        <v>0</v>
      </c>
    </row>
    <row r="54" spans="1:6" x14ac:dyDescent="0.2">
      <c r="A54" s="314" t="s">
        <v>2341</v>
      </c>
      <c r="B54" s="314" t="s">
        <v>2340</v>
      </c>
      <c r="C54" s="312">
        <v>879.62850000000003</v>
      </c>
      <c r="D54" s="315"/>
      <c r="E54" s="316"/>
      <c r="F54" s="313">
        <v>0</v>
      </c>
    </row>
    <row r="55" spans="1:6" x14ac:dyDescent="0.2">
      <c r="A55" s="44" t="s">
        <v>1296</v>
      </c>
      <c r="B55" t="s">
        <v>655</v>
      </c>
      <c r="C55" s="293">
        <v>25</v>
      </c>
      <c r="D55" s="300">
        <f>IFERROR(VLOOKUP(A55,DIBA_ADHOC_PREZZI!$A$1:$AS$441,44,FALSE),0)</f>
        <v>0</v>
      </c>
      <c r="E55" s="4"/>
    </row>
    <row r="56" spans="1:6" x14ac:dyDescent="0.2">
      <c r="A56" s="44" t="s">
        <v>1250</v>
      </c>
      <c r="B56" s="1" t="s">
        <v>650</v>
      </c>
      <c r="C56" s="79">
        <v>801.0630000000001</v>
      </c>
      <c r="D56" s="300">
        <f>IFERROR(VLOOKUP(A56,DIBA_ADHOC_PREZZI!$A$1:$AS$441,44,FALSE),0)</f>
        <v>241.94864999999999</v>
      </c>
      <c r="E56" s="4"/>
    </row>
    <row r="57" spans="1:6" x14ac:dyDescent="0.2">
      <c r="A57" s="44" t="s">
        <v>1251</v>
      </c>
      <c r="B57" s="1" t="s">
        <v>558</v>
      </c>
      <c r="C57" s="79">
        <v>120.85941537337251</v>
      </c>
      <c r="D57" s="300">
        <f>IFERROR(VLOOKUP(A57,DIBA_ADHOC_PREZZI!$A$1:$AS$441,44,FALSE),0)</f>
        <v>46.014780000000002</v>
      </c>
      <c r="E57" s="4"/>
      <c r="F57" s="297">
        <f t="shared" si="0"/>
        <v>138.04434000000001</v>
      </c>
    </row>
    <row r="58" spans="1:6" x14ac:dyDescent="0.2">
      <c r="A58" s="44" t="s">
        <v>1252</v>
      </c>
      <c r="B58" s="1" t="s">
        <v>563</v>
      </c>
      <c r="C58" s="79">
        <v>120.85941537337251</v>
      </c>
      <c r="D58" s="300">
        <f>IFERROR(VLOOKUP(A58,DIBA_ADHOC_PREZZI!$A$1:$AS$441,44,FALSE),0)</f>
        <v>51.454329999999999</v>
      </c>
      <c r="E58" s="4"/>
      <c r="F58" s="297">
        <f t="shared" si="0"/>
        <v>154.36299</v>
      </c>
    </row>
    <row r="59" spans="1:6" x14ac:dyDescent="0.2">
      <c r="A59" s="44" t="s">
        <v>1253</v>
      </c>
      <c r="B59" s="1" t="s">
        <v>564</v>
      </c>
      <c r="C59" s="79">
        <v>134.59941537337252</v>
      </c>
      <c r="D59" s="300">
        <f>IFERROR(VLOOKUP(A59,DIBA_ADHOC_PREZZI!$A$1:$AS$441,44,FALSE),0)</f>
        <v>56.218139999999998</v>
      </c>
      <c r="E59" s="4"/>
      <c r="F59" s="297">
        <f t="shared" si="0"/>
        <v>168.65441999999999</v>
      </c>
    </row>
    <row r="60" spans="1:6" x14ac:dyDescent="0.2">
      <c r="A60" s="44" t="s">
        <v>1254</v>
      </c>
      <c r="B60" s="1" t="s">
        <v>549</v>
      </c>
      <c r="C60" s="79">
        <v>317.13583074674506</v>
      </c>
      <c r="D60" s="300">
        <f>IFERROR(VLOOKUP(A60,DIBA_ADHOC_PREZZI!$A$1:$AS$441,44,FALSE),0)</f>
        <v>69.598780000000005</v>
      </c>
      <c r="E60" s="4"/>
      <c r="F60" s="297">
        <f t="shared" si="0"/>
        <v>208.79634000000001</v>
      </c>
    </row>
    <row r="61" spans="1:6" x14ac:dyDescent="0.2">
      <c r="A61" s="44" t="s">
        <v>1255</v>
      </c>
      <c r="B61" s="1" t="s">
        <v>550</v>
      </c>
      <c r="C61" s="79">
        <v>416.58583074674505</v>
      </c>
      <c r="D61" s="300">
        <f>IFERROR(VLOOKUP(A61,DIBA_ADHOC_PREZZI!$A$1:$AS$441,44,FALSE),0)</f>
        <v>149.59370000000001</v>
      </c>
      <c r="E61" s="4"/>
      <c r="F61" s="297">
        <f t="shared" si="0"/>
        <v>448.78110000000004</v>
      </c>
    </row>
    <row r="62" spans="1:6" x14ac:dyDescent="0.2">
      <c r="A62" s="44" t="s">
        <v>1256</v>
      </c>
      <c r="B62" s="1" t="s">
        <v>554</v>
      </c>
      <c r="C62" s="79">
        <v>407.25583074674512</v>
      </c>
      <c r="D62" s="300">
        <f>IFERROR(VLOOKUP(A62,DIBA_ADHOC_PREZZI!$A$1:$AS$441,44,FALSE),0)</f>
        <v>220.42320000000001</v>
      </c>
      <c r="E62" s="4"/>
      <c r="F62" s="297">
        <f t="shared" si="0"/>
        <v>661.26960000000008</v>
      </c>
    </row>
    <row r="63" spans="1:6" x14ac:dyDescent="0.2">
      <c r="A63" s="44" t="s">
        <v>1257</v>
      </c>
      <c r="B63" s="1" t="s">
        <v>555</v>
      </c>
      <c r="C63" s="79">
        <v>514.60783074674498</v>
      </c>
      <c r="D63" s="300">
        <f>IFERROR(VLOOKUP(A63,DIBA_ADHOC_PREZZI!$A$1:$AS$441,44,FALSE),0)</f>
        <v>0</v>
      </c>
      <c r="E63" s="4"/>
      <c r="F63" s="297">
        <f t="shared" si="0"/>
        <v>514.60783074674498</v>
      </c>
    </row>
    <row r="64" spans="1:6" x14ac:dyDescent="0.2">
      <c r="A64" s="44" t="s">
        <v>1266</v>
      </c>
      <c r="B64" s="1" t="s">
        <v>556</v>
      </c>
      <c r="C64" s="79">
        <v>757.10941185888328</v>
      </c>
      <c r="D64" s="300">
        <f>IFERROR(VLOOKUP(A64,DIBA_ADHOC_PREZZI!$A$1:$AS$441,44,FALSE),0)</f>
        <v>0</v>
      </c>
      <c r="E64" s="4"/>
      <c r="F64" s="297">
        <f t="shared" si="0"/>
        <v>757.10941185888328</v>
      </c>
    </row>
    <row r="65" spans="1:7" x14ac:dyDescent="0.2">
      <c r="A65" s="44" t="s">
        <v>1267</v>
      </c>
      <c r="B65" s="1" t="s">
        <v>557</v>
      </c>
      <c r="C65" s="79">
        <v>776.18941185888332</v>
      </c>
      <c r="D65" s="300">
        <f>IFERROR(VLOOKUP(A65,DIBA_ADHOC_PREZZI!$A$1:$AS$441,44,FALSE),0)</f>
        <v>0</v>
      </c>
      <c r="E65" s="4"/>
      <c r="F65" s="297">
        <f t="shared" si="0"/>
        <v>776.18941185888332</v>
      </c>
    </row>
    <row r="66" spans="1:7" x14ac:dyDescent="0.2">
      <c r="B66" s="1" t="s">
        <v>918</v>
      </c>
      <c r="C66" s="79">
        <v>363</v>
      </c>
      <c r="D66" s="300">
        <f>IFERROR(VLOOKUP(A66,DIBA_ADHOC_PREZZI!$A$1:$AS$441,44,FALSE),0)</f>
        <v>0</v>
      </c>
      <c r="E66" s="4"/>
      <c r="F66" s="297">
        <f t="shared" si="0"/>
        <v>363</v>
      </c>
    </row>
    <row r="67" spans="1:7" x14ac:dyDescent="0.2">
      <c r="B67" s="1" t="s">
        <v>918</v>
      </c>
      <c r="C67" s="79">
        <v>363</v>
      </c>
      <c r="D67" s="300">
        <f>IFERROR(VLOOKUP(A67,DIBA_ADHOC_PREZZI!$A$1:$AS$441,44,FALSE),0)</f>
        <v>0</v>
      </c>
      <c r="E67" s="4"/>
      <c r="F67" s="297">
        <f t="shared" si="0"/>
        <v>363</v>
      </c>
    </row>
    <row r="68" spans="1:7" x14ac:dyDescent="0.2">
      <c r="A68" s="44" t="s">
        <v>1132</v>
      </c>
      <c r="B68" s="268" t="s">
        <v>1163</v>
      </c>
      <c r="C68" s="78">
        <v>11</v>
      </c>
      <c r="D68" s="300">
        <f>IFERROR(VLOOKUP(A68,DIBA_ADHOC_PREZZI!$A$1:$AS$441,44,FALSE),0)</f>
        <v>7.8261000000000003</v>
      </c>
      <c r="F68" s="297">
        <f t="shared" si="0"/>
        <v>23.478300000000001</v>
      </c>
    </row>
    <row r="69" spans="1:7" x14ac:dyDescent="0.2">
      <c r="A69" s="44" t="s">
        <v>1132</v>
      </c>
      <c r="B69" s="268" t="s">
        <v>1164</v>
      </c>
      <c r="C69" s="78">
        <v>13</v>
      </c>
      <c r="D69" s="300">
        <f>IFERROR(VLOOKUP(A69,DIBA_ADHOC_PREZZI!$A$1:$AS$441,44,FALSE),0)</f>
        <v>7.8261000000000003</v>
      </c>
      <c r="F69" s="297">
        <f t="shared" si="0"/>
        <v>23.478300000000001</v>
      </c>
    </row>
    <row r="70" spans="1:7" x14ac:dyDescent="0.2">
      <c r="A70" s="44" t="s">
        <v>1196</v>
      </c>
      <c r="B70" s="268" t="s">
        <v>1165</v>
      </c>
      <c r="C70" s="78">
        <v>15</v>
      </c>
      <c r="D70" s="300">
        <f>IFERROR(VLOOKUP(A70,DIBA_ADHOC_PREZZI!$A$1:$AS$441,44,FALSE),0)</f>
        <v>25.52637</v>
      </c>
      <c r="F70" s="297">
        <f t="shared" si="0"/>
        <v>76.57911</v>
      </c>
    </row>
    <row r="71" spans="1:7" x14ac:dyDescent="0.2">
      <c r="B71" s="1" t="s">
        <v>659</v>
      </c>
      <c r="C71" s="79">
        <v>0</v>
      </c>
      <c r="D71" s="300">
        <f>IFERROR(VLOOKUP(A71,DIBA_ADHOC_PREZZI!$A$1:$AS$441,44,FALSE),0)</f>
        <v>0</v>
      </c>
      <c r="E71" s="4"/>
      <c r="F71" s="297">
        <f t="shared" si="0"/>
        <v>0</v>
      </c>
    </row>
    <row r="72" spans="1:7" x14ac:dyDescent="0.2">
      <c r="A72" s="44" t="s">
        <v>1141</v>
      </c>
      <c r="B72" s="44" t="s">
        <v>1259</v>
      </c>
      <c r="C72" s="79"/>
      <c r="D72" s="300">
        <f>IFERROR(VLOOKUP(A72,DIBA_ADHOC_PREZZI!$A$1:$AS$441,44,FALSE),0)</f>
        <v>137.06232</v>
      </c>
      <c r="E72" s="4"/>
      <c r="F72" s="297">
        <f t="shared" si="0"/>
        <v>411.18696</v>
      </c>
    </row>
    <row r="73" spans="1:7" x14ac:dyDescent="0.2">
      <c r="A73" s="44" t="s">
        <v>1294</v>
      </c>
      <c r="B73" s="44" t="s">
        <v>1260</v>
      </c>
      <c r="C73" s="79"/>
      <c r="D73" s="300">
        <f>IFERROR(VLOOKUP(A73,DIBA_ADHOC_PREZZI!$A$1:$AS$441,44,FALSE),0)</f>
        <v>160.15</v>
      </c>
      <c r="E73" s="4"/>
      <c r="F73" s="297">
        <f t="shared" ref="F73:F111" si="1">IF(D73=0,C73,D73*$I$1)</f>
        <v>480.45000000000005</v>
      </c>
    </row>
    <row r="74" spans="1:7" x14ac:dyDescent="0.2">
      <c r="A74" s="44" t="s">
        <v>1139</v>
      </c>
      <c r="B74" s="44" t="s">
        <v>1258</v>
      </c>
      <c r="C74" s="79">
        <v>910</v>
      </c>
      <c r="D74" s="300">
        <f>IFERROR(VLOOKUP(A74,DIBA_ADHOC_PREZZI!$A$1:$AS$441,44,FALSE),0)</f>
        <v>259.35829999999999</v>
      </c>
      <c r="E74" s="4"/>
      <c r="F74" s="297">
        <v>880</v>
      </c>
      <c r="G74" s="44" t="s">
        <v>2535</v>
      </c>
    </row>
    <row r="75" spans="1:7" x14ac:dyDescent="0.2">
      <c r="A75" s="44" t="s">
        <v>1141</v>
      </c>
      <c r="B75" s="44" t="s">
        <v>2449</v>
      </c>
      <c r="C75" s="592">
        <v>778</v>
      </c>
      <c r="D75" s="300">
        <f>IFERROR(VLOOKUP(A75,DIBA_ADHOC_PREZZI!$A$1:$AS$441,44,FALSE),0)</f>
        <v>137.06232</v>
      </c>
      <c r="E75" s="4"/>
      <c r="F75" s="297">
        <v>430</v>
      </c>
      <c r="G75" s="44" t="s">
        <v>2535</v>
      </c>
    </row>
    <row r="76" spans="1:7" x14ac:dyDescent="0.2">
      <c r="A76" s="44"/>
      <c r="B76" s="44" t="s">
        <v>2450</v>
      </c>
      <c r="C76" s="592">
        <v>778</v>
      </c>
      <c r="D76" s="300">
        <f>IFERROR(VLOOKUP(A76,DIBA_ADHOC_PREZZI!$A$1:$AS$441,44,FALSE),0)</f>
        <v>0</v>
      </c>
      <c r="E76" s="4"/>
      <c r="F76" s="297">
        <v>760</v>
      </c>
      <c r="G76" s="44" t="s">
        <v>2535</v>
      </c>
    </row>
    <row r="77" spans="1:7" x14ac:dyDescent="0.2">
      <c r="A77" s="44"/>
      <c r="B77" s="44" t="s">
        <v>2451</v>
      </c>
      <c r="C77" s="592">
        <v>778</v>
      </c>
      <c r="D77" s="300">
        <f>IFERROR(VLOOKUP(A77,DIBA_ADHOC_PREZZI!$A$1:$AS$441,44,FALSE),0)</f>
        <v>0</v>
      </c>
      <c r="E77" s="4"/>
      <c r="F77" s="297">
        <v>760</v>
      </c>
      <c r="G77" s="44" t="s">
        <v>2535</v>
      </c>
    </row>
    <row r="78" spans="1:7" x14ac:dyDescent="0.2">
      <c r="A78" s="44"/>
      <c r="B78" s="44" t="s">
        <v>2452</v>
      </c>
      <c r="C78" s="592">
        <v>778</v>
      </c>
      <c r="D78" s="300">
        <f>IFERROR(VLOOKUP(A78,DIBA_ADHOC_PREZZI!$A$1:$AS$441,44,FALSE),0)</f>
        <v>0</v>
      </c>
      <c r="E78" s="4"/>
      <c r="F78" s="297">
        <v>880</v>
      </c>
      <c r="G78" s="44" t="s">
        <v>2535</v>
      </c>
    </row>
    <row r="79" spans="1:7" x14ac:dyDescent="0.2">
      <c r="A79" s="44"/>
      <c r="B79" s="44" t="s">
        <v>2445</v>
      </c>
      <c r="C79" s="293"/>
      <c r="D79" s="300">
        <f>IFERROR(VLOOKUP(A79,DIBA_ADHOC_PREZZI!$A$1:$AS$441,44,FALSE),0)</f>
        <v>0</v>
      </c>
      <c r="E79" s="4"/>
      <c r="F79" s="297">
        <f t="shared" si="1"/>
        <v>0</v>
      </c>
      <c r="G79" s="44"/>
    </row>
    <row r="80" spans="1:7" x14ac:dyDescent="0.2">
      <c r="A80" s="44"/>
      <c r="B80" s="44" t="s">
        <v>2446</v>
      </c>
      <c r="C80" s="293"/>
      <c r="D80" s="300">
        <f>IFERROR(VLOOKUP(A80,DIBA_ADHOC_PREZZI!$A$1:$AS$441,44,FALSE),0)</f>
        <v>0</v>
      </c>
      <c r="E80" s="4"/>
      <c r="F80" s="297">
        <f t="shared" si="1"/>
        <v>0</v>
      </c>
      <c r="G80" s="44"/>
    </row>
    <row r="81" spans="1:6" x14ac:dyDescent="0.2">
      <c r="A81" s="44" t="s">
        <v>1201</v>
      </c>
      <c r="B81" s="1" t="s">
        <v>656</v>
      </c>
      <c r="C81" s="79">
        <v>1007.2379153733725</v>
      </c>
      <c r="D81" s="300">
        <f>IFERROR(VLOOKUP(A81,DIBA_ADHOC_PREZZI!$A$1:$AS$441,44,FALSE),0)</f>
        <v>420.5</v>
      </c>
      <c r="E81" s="4"/>
      <c r="F81" s="297">
        <f t="shared" si="1"/>
        <v>1261.5</v>
      </c>
    </row>
    <row r="82" spans="1:6" x14ac:dyDescent="0.2">
      <c r="A82" s="44" t="s">
        <v>1295</v>
      </c>
      <c r="B82" s="214" t="s">
        <v>657</v>
      </c>
      <c r="C82" s="79">
        <v>37.749719822132242</v>
      </c>
      <c r="D82" s="300">
        <f>IFERROR(VLOOKUP(A82,DIBA_ADHOC_PREZZI!$A$1:$AS$441,44,FALSE),0)</f>
        <v>27.387920000000001</v>
      </c>
      <c r="E82" s="4"/>
      <c r="F82" s="297">
        <f t="shared" si="1"/>
        <v>82.163759999999996</v>
      </c>
    </row>
    <row r="83" spans="1:6" x14ac:dyDescent="0.2">
      <c r="A83" s="44" t="s">
        <v>1263</v>
      </c>
      <c r="B83" s="214" t="s">
        <v>644</v>
      </c>
      <c r="C83" s="79">
        <v>390.00158035811126</v>
      </c>
      <c r="D83" s="300">
        <f>IFERROR(VLOOKUP(A83,DIBA_ADHOC_PREZZI!$A$1:$AS$441,44,FALSE),0)</f>
        <v>147.22957</v>
      </c>
      <c r="E83" s="4"/>
      <c r="F83" s="297">
        <f t="shared" si="1"/>
        <v>441.68871000000001</v>
      </c>
    </row>
    <row r="84" spans="1:6" x14ac:dyDescent="0.2">
      <c r="A84" s="44" t="s">
        <v>1303</v>
      </c>
      <c r="B84" s="16" t="s">
        <v>658</v>
      </c>
      <c r="C84" s="79">
        <v>240</v>
      </c>
      <c r="D84" s="300">
        <f>IFERROR(VLOOKUP(A84,DIBA_ADHOC_PREZZI!$A$1:$AS$441,44,FALSE),0)</f>
        <v>79.767129999999995</v>
      </c>
      <c r="E84" s="4"/>
      <c r="F84" s="297">
        <f t="shared" si="1"/>
        <v>239.30138999999997</v>
      </c>
    </row>
    <row r="85" spans="1:6" x14ac:dyDescent="0.2">
      <c r="A85" s="44" t="s">
        <v>1304</v>
      </c>
      <c r="B85" s="1" t="s">
        <v>675</v>
      </c>
      <c r="C85" s="79">
        <v>480</v>
      </c>
      <c r="D85" s="300">
        <f>IFERROR(VLOOKUP(A85,DIBA_ADHOC_PREZZI!$A$1:$AS$441,44,FALSE),0)</f>
        <v>150</v>
      </c>
      <c r="E85" s="4"/>
      <c r="F85" s="297">
        <f t="shared" si="1"/>
        <v>450</v>
      </c>
    </row>
    <row r="86" spans="1:6" ht="13.5" thickBot="1" x14ac:dyDescent="0.25">
      <c r="A86" s="44" t="s">
        <v>1305</v>
      </c>
      <c r="B86" s="16" t="s">
        <v>1037</v>
      </c>
      <c r="C86" s="79">
        <v>171.97352999999998</v>
      </c>
      <c r="D86" s="300">
        <f>IFERROR(VLOOKUP(A86,DIBA_ADHOC_PREZZI!$A$1:$AS$441,44,FALSE),0)</f>
        <v>76.687650000000005</v>
      </c>
      <c r="E86" s="4"/>
      <c r="F86" s="297">
        <f t="shared" si="1"/>
        <v>230.06295</v>
      </c>
    </row>
    <row r="87" spans="1:6" x14ac:dyDescent="0.2">
      <c r="B87" s="58" t="s">
        <v>695</v>
      </c>
      <c r="C87" s="184">
        <v>0</v>
      </c>
      <c r="D87" s="300">
        <f>IFERROR(VLOOKUP(A87,DIBA_ADHOC_PREZZI!$A$1:$AS$441,44,FALSE),0)</f>
        <v>0</v>
      </c>
      <c r="E87" s="4"/>
      <c r="F87" s="297">
        <f t="shared" si="1"/>
        <v>0</v>
      </c>
    </row>
    <row r="88" spans="1:6" x14ac:dyDescent="0.2">
      <c r="B88" s="58" t="s">
        <v>696</v>
      </c>
      <c r="C88" s="185">
        <v>0</v>
      </c>
      <c r="D88" s="300">
        <f>IFERROR(VLOOKUP(A88,DIBA_ADHOC_PREZZI!$A$1:$AS$441,44,FALSE),0)</f>
        <v>0</v>
      </c>
      <c r="E88" s="4"/>
      <c r="F88" s="297">
        <f t="shared" si="1"/>
        <v>0</v>
      </c>
    </row>
    <row r="89" spans="1:6" x14ac:dyDescent="0.2">
      <c r="B89" s="58" t="s">
        <v>697</v>
      </c>
      <c r="C89" s="185">
        <v>0</v>
      </c>
      <c r="D89" s="300">
        <f>IFERROR(VLOOKUP(A89,DIBA_ADHOC_PREZZI!$A$1:$AS$441,44,FALSE),0)</f>
        <v>0</v>
      </c>
      <c r="E89" s="4"/>
      <c r="F89" s="297">
        <f t="shared" si="1"/>
        <v>0</v>
      </c>
    </row>
    <row r="90" spans="1:6" x14ac:dyDescent="0.2">
      <c r="B90" s="58" t="s">
        <v>661</v>
      </c>
      <c r="C90" s="185">
        <v>0</v>
      </c>
      <c r="D90" s="300">
        <f>IFERROR(VLOOKUP(A90,DIBA_ADHOC_PREZZI!$A$1:$AS$441,44,FALSE),0)</f>
        <v>0</v>
      </c>
      <c r="E90" s="4"/>
      <c r="F90" s="297">
        <f t="shared" si="1"/>
        <v>0</v>
      </c>
    </row>
    <row r="91" spans="1:6" x14ac:dyDescent="0.2">
      <c r="B91" s="58" t="s">
        <v>693</v>
      </c>
      <c r="C91" s="185">
        <v>0</v>
      </c>
      <c r="D91" s="300">
        <f>IFERROR(VLOOKUP(A91,DIBA_ADHOC_PREZZI!$A$1:$AS$441,44,FALSE),0)</f>
        <v>0</v>
      </c>
      <c r="E91" s="4"/>
      <c r="F91" s="297">
        <f t="shared" si="1"/>
        <v>0</v>
      </c>
    </row>
    <row r="92" spans="1:6" x14ac:dyDescent="0.2">
      <c r="B92" s="58" t="s">
        <v>698</v>
      </c>
      <c r="C92" s="185">
        <v>0</v>
      </c>
      <c r="D92" s="300">
        <f>IFERROR(VLOOKUP(A92,DIBA_ADHOC_PREZZI!$A$1:$AS$441,44,FALSE),0)</f>
        <v>0</v>
      </c>
      <c r="E92" s="4"/>
      <c r="F92" s="297">
        <f t="shared" si="1"/>
        <v>0</v>
      </c>
    </row>
    <row r="93" spans="1:6" x14ac:dyDescent="0.2">
      <c r="B93" s="58" t="s">
        <v>699</v>
      </c>
      <c r="C93" s="185">
        <v>0</v>
      </c>
      <c r="D93" s="300">
        <f>IFERROR(VLOOKUP(A93,DIBA_ADHOC_PREZZI!$A$1:$AS$441,44,FALSE),0)</f>
        <v>0</v>
      </c>
      <c r="E93" s="4"/>
      <c r="F93" s="297">
        <f t="shared" si="1"/>
        <v>0</v>
      </c>
    </row>
    <row r="94" spans="1:6" x14ac:dyDescent="0.2">
      <c r="B94" s="58" t="s">
        <v>516</v>
      </c>
      <c r="C94" s="185">
        <v>0</v>
      </c>
      <c r="D94" s="300">
        <f>IFERROR(VLOOKUP(A94,DIBA_ADHOC_PREZZI!$A$1:$AS$441,44,FALSE),0)</f>
        <v>0</v>
      </c>
      <c r="E94" s="4"/>
      <c r="F94" s="297">
        <f t="shared" si="1"/>
        <v>0</v>
      </c>
    </row>
    <row r="95" spans="1:6" x14ac:dyDescent="0.2">
      <c r="B95" s="58" t="s">
        <v>694</v>
      </c>
      <c r="C95" s="185">
        <v>0</v>
      </c>
      <c r="D95" s="300">
        <f>IFERROR(VLOOKUP(A95,DIBA_ADHOC_PREZZI!$A$1:$AS$441,44,FALSE),0)</f>
        <v>0</v>
      </c>
      <c r="E95" s="4"/>
      <c r="F95" s="297">
        <f t="shared" si="1"/>
        <v>0</v>
      </c>
    </row>
    <row r="96" spans="1:6" x14ac:dyDescent="0.2">
      <c r="B96" s="58" t="s">
        <v>654</v>
      </c>
      <c r="C96" s="185">
        <v>0</v>
      </c>
      <c r="D96" s="300">
        <f>IFERROR(VLOOKUP(A96,DIBA_ADHOC_PREZZI!$A$1:$AS$441,44,FALSE),0)</f>
        <v>0</v>
      </c>
      <c r="E96" s="4"/>
      <c r="F96" s="297">
        <f t="shared" si="1"/>
        <v>0</v>
      </c>
    </row>
    <row r="97" spans="1:8" ht="13.5" thickBot="1" x14ac:dyDescent="0.25">
      <c r="B97" s="269" t="s">
        <v>1286</v>
      </c>
      <c r="C97" s="186">
        <v>0</v>
      </c>
      <c r="D97" s="300">
        <f>IFERROR(VLOOKUP(A97,DIBA_ADHOC_PREZZI!$A$1:$AS$441,44,FALSE),0)</f>
        <v>0</v>
      </c>
      <c r="E97" s="4"/>
      <c r="F97" s="297">
        <f t="shared" si="1"/>
        <v>0</v>
      </c>
    </row>
    <row r="98" spans="1:8" ht="13.5" thickTop="1" x14ac:dyDescent="0.2">
      <c r="B98" s="269" t="s">
        <v>1268</v>
      </c>
      <c r="C98" s="79">
        <v>2.5499999999999998</v>
      </c>
      <c r="D98" s="300">
        <f>IFERROR(VLOOKUP(A98,DIBA_ADHOC_PREZZI!$A$1:$AS$441,44,FALSE),0)</f>
        <v>0</v>
      </c>
      <c r="E98" s="4"/>
      <c r="F98" s="297">
        <f t="shared" si="1"/>
        <v>2.5499999999999998</v>
      </c>
    </row>
    <row r="99" spans="1:8" x14ac:dyDescent="0.2">
      <c r="B99" s="1" t="s">
        <v>919</v>
      </c>
      <c r="C99" s="79">
        <v>60</v>
      </c>
      <c r="D99" s="300">
        <f>IFERROR(VLOOKUP(A99,DIBA_ADHOC_PREZZI!$A$1:$AS$441,44,FALSE),0)</f>
        <v>0</v>
      </c>
      <c r="E99" s="4"/>
      <c r="F99" s="297">
        <f t="shared" si="1"/>
        <v>60</v>
      </c>
      <c r="H99">
        <v>54</v>
      </c>
    </row>
    <row r="100" spans="1:8" x14ac:dyDescent="0.2">
      <c r="B100" s="58" t="s">
        <v>552</v>
      </c>
      <c r="C100" s="79">
        <v>130</v>
      </c>
      <c r="D100" s="300">
        <f>IFERROR(VLOOKUP(A100,DIBA_ADHOC_PREZZI!$A$1:$AS$441,44,FALSE),0)</f>
        <v>0</v>
      </c>
      <c r="E100" s="191"/>
      <c r="F100" s="297">
        <f t="shared" si="1"/>
        <v>130</v>
      </c>
      <c r="H100" s="79">
        <v>88.29</v>
      </c>
    </row>
    <row r="101" spans="1:8" x14ac:dyDescent="0.2">
      <c r="B101" s="58" t="s">
        <v>553</v>
      </c>
      <c r="C101" s="79">
        <v>100</v>
      </c>
      <c r="D101" s="300">
        <f>IFERROR(VLOOKUP(A101,DIBA_ADHOC_PREZZI!$A$1:$AS$441,44,FALSE),0)</f>
        <v>0</v>
      </c>
      <c r="E101" s="191"/>
      <c r="F101" s="297">
        <f t="shared" si="1"/>
        <v>100</v>
      </c>
      <c r="H101" s="79">
        <v>69.900000000000006</v>
      </c>
    </row>
    <row r="102" spans="1:8" x14ac:dyDescent="0.2">
      <c r="B102" s="269" t="s">
        <v>1024</v>
      </c>
      <c r="C102" s="79">
        <v>15</v>
      </c>
      <c r="D102" s="300">
        <f>IFERROR(VLOOKUP(A102,DIBA_ADHOC_PREZZI!$A$1:$AS$441,44,FALSE),0)</f>
        <v>0</v>
      </c>
      <c r="E102" s="191"/>
      <c r="F102" s="297">
        <f t="shared" si="1"/>
        <v>15</v>
      </c>
      <c r="H102" s="79">
        <v>11</v>
      </c>
    </row>
    <row r="103" spans="1:8" x14ac:dyDescent="0.2">
      <c r="A103" s="314" t="s">
        <v>2241</v>
      </c>
      <c r="B103" s="317" t="s">
        <v>2242</v>
      </c>
      <c r="C103" s="312">
        <f>C3*1.5</f>
        <v>469.39463999999998</v>
      </c>
      <c r="D103" s="315">
        <f>IFERROR(VLOOKUP(A103,DIBA_ADHOC_PREZZI!$A$1:$AS$441,44,FALSE),0)</f>
        <v>0</v>
      </c>
      <c r="E103" s="318"/>
      <c r="F103" s="313">
        <f t="shared" si="1"/>
        <v>469.39463999999998</v>
      </c>
    </row>
    <row r="104" spans="1:8" x14ac:dyDescent="0.2">
      <c r="A104" s="314" t="s">
        <v>2243</v>
      </c>
      <c r="B104" s="334" t="s">
        <v>2244</v>
      </c>
      <c r="C104" s="312">
        <f>C3*1.2</f>
        <v>375.51571199999995</v>
      </c>
      <c r="D104" s="315">
        <f>IFERROR(VLOOKUP(A104,DIBA_ADHOC_PREZZI!$A$1:$AS$441,44,FALSE),0)</f>
        <v>0</v>
      </c>
      <c r="E104" s="318"/>
      <c r="F104" s="313">
        <f t="shared" si="1"/>
        <v>375.51571199999995</v>
      </c>
    </row>
    <row r="105" spans="1:8" x14ac:dyDescent="0.2">
      <c r="A105" s="314" t="s">
        <v>2245</v>
      </c>
      <c r="B105" s="317" t="s">
        <v>2246</v>
      </c>
      <c r="C105" s="312">
        <f>C4*1.4</f>
        <v>430.31351999999998</v>
      </c>
      <c r="D105" s="315">
        <f>IFERROR(VLOOKUP(A105,DIBA_ADHOC_PREZZI!$A$1:$AS$441,44,FALSE),0)</f>
        <v>0</v>
      </c>
      <c r="E105" s="318"/>
      <c r="F105" s="313">
        <f t="shared" si="1"/>
        <v>430.31351999999998</v>
      </c>
    </row>
    <row r="106" spans="1:8" x14ac:dyDescent="0.2">
      <c r="A106" s="314" t="s">
        <v>2247</v>
      </c>
      <c r="B106" s="334" t="s">
        <v>2248</v>
      </c>
      <c r="C106" s="312">
        <f>C10*1.2</f>
        <v>907.48569600000008</v>
      </c>
      <c r="D106" s="315">
        <f>IFERROR(VLOOKUP(A106,DIBA_ADHOC_PREZZI!$A$1:$AS$441,44,FALSE),0)</f>
        <v>0</v>
      </c>
      <c r="E106" s="318"/>
      <c r="F106" s="313">
        <f t="shared" si="1"/>
        <v>907.48569600000008</v>
      </c>
    </row>
    <row r="107" spans="1:8" x14ac:dyDescent="0.2">
      <c r="A107" s="314" t="s">
        <v>2249</v>
      </c>
      <c r="B107" s="317" t="s">
        <v>2250</v>
      </c>
      <c r="C107" s="312">
        <f>C104*2</f>
        <v>751.0314239999999</v>
      </c>
      <c r="D107" s="315">
        <f>IFERROR(VLOOKUP(A107,DIBA_ADHOC_PREZZI!$A$1:$AS$441,44,FALSE),0)</f>
        <v>0</v>
      </c>
      <c r="E107" s="318"/>
      <c r="F107" s="313">
        <f t="shared" si="1"/>
        <v>751.0314239999999</v>
      </c>
    </row>
    <row r="108" spans="1:8" x14ac:dyDescent="0.2">
      <c r="A108" s="314" t="s">
        <v>2251</v>
      </c>
      <c r="B108" s="334" t="s">
        <v>2252</v>
      </c>
      <c r="C108" s="312">
        <f>C7*1.2</f>
        <v>481.11523199999999</v>
      </c>
      <c r="D108" s="315">
        <f>IFERROR(VLOOKUP(A108,DIBA_ADHOC_PREZZI!$A$1:$AS$441,44,FALSE),0)</f>
        <v>0</v>
      </c>
      <c r="E108" s="318"/>
      <c r="F108" s="313">
        <f t="shared" si="1"/>
        <v>481.11523199999999</v>
      </c>
    </row>
    <row r="109" spans="1:8" x14ac:dyDescent="0.2">
      <c r="A109" s="314" t="s">
        <v>2253</v>
      </c>
      <c r="B109" s="317" t="s">
        <v>2254</v>
      </c>
      <c r="C109" s="312">
        <f>C8*1.2</f>
        <v>583.07184000000007</v>
      </c>
      <c r="D109" s="315">
        <f>IFERROR(VLOOKUP(A109,DIBA_ADHOC_PREZZI!$A$1:$AS$441,44,FALSE),0)</f>
        <v>0</v>
      </c>
      <c r="E109" s="318"/>
      <c r="F109" s="313">
        <f t="shared" si="1"/>
        <v>583.07184000000007</v>
      </c>
    </row>
    <row r="110" spans="1:8" x14ac:dyDescent="0.2">
      <c r="A110" s="314" t="s">
        <v>2255</v>
      </c>
      <c r="B110" s="317" t="s">
        <v>2256</v>
      </c>
      <c r="C110" s="312">
        <f>C9*1.2</f>
        <v>295.54387200000002</v>
      </c>
      <c r="D110" s="315">
        <f>IFERROR(VLOOKUP(A110,DIBA_ADHOC_PREZZI!$A$1:$AS$441,44,FALSE),0)</f>
        <v>0</v>
      </c>
      <c r="E110" s="318"/>
      <c r="F110" s="313">
        <f t="shared" si="1"/>
        <v>295.54387200000002</v>
      </c>
    </row>
    <row r="111" spans="1:8" x14ac:dyDescent="0.2">
      <c r="A111" s="314" t="s">
        <v>2283</v>
      </c>
      <c r="B111" s="314" t="s">
        <v>2287</v>
      </c>
      <c r="C111" s="312">
        <v>2922.2972337000001</v>
      </c>
      <c r="D111" s="315">
        <f>IFERROR(VLOOKUP(A111,DIBA_ADHOC_PREZZI!$A$1:$AS$441,44,FALSE),0)</f>
        <v>0</v>
      </c>
      <c r="E111" s="316"/>
      <c r="F111" s="313">
        <f t="shared" si="1"/>
        <v>2922.2972337000001</v>
      </c>
    </row>
    <row r="112" spans="1:8" x14ac:dyDescent="0.2">
      <c r="A112" s="314" t="s">
        <v>2284</v>
      </c>
      <c r="B112" s="314" t="s">
        <v>2288</v>
      </c>
      <c r="C112" s="312">
        <v>2682.9699057000003</v>
      </c>
      <c r="D112" s="315">
        <f>IFERROR(VLOOKUP(A112,DIBA_ADHOC_PREZZI!$A$1:$AS$441,44,FALSE),0)</f>
        <v>0</v>
      </c>
      <c r="E112" s="316"/>
      <c r="F112" s="313">
        <f>IF(D112=0,C112,D112*$I$1)</f>
        <v>2682.9699057000003</v>
      </c>
    </row>
    <row r="113" spans="1:6" x14ac:dyDescent="0.2">
      <c r="A113" s="314" t="s">
        <v>2285</v>
      </c>
      <c r="B113" s="314" t="s">
        <v>2289</v>
      </c>
      <c r="C113" s="312">
        <v>3485.4699057000003</v>
      </c>
      <c r="D113" s="315">
        <f>IFERROR(VLOOKUP(A113,DIBA_ADHOC_PREZZI!$A$1:$AS$441,44,FALSE),0)</f>
        <v>0</v>
      </c>
      <c r="E113" s="316"/>
      <c r="F113" s="313">
        <f>IF(D113=0,C113,D113*$I$1)</f>
        <v>3485.4699057000003</v>
      </c>
    </row>
    <row r="114" spans="1:6" x14ac:dyDescent="0.2">
      <c r="A114" s="314" t="s">
        <v>2286</v>
      </c>
      <c r="B114" s="314" t="s">
        <v>2290</v>
      </c>
      <c r="C114" s="312">
        <v>3698.9900000000002</v>
      </c>
      <c r="D114" s="315">
        <f>IFERROR(VLOOKUP(A114,DIBA_ADHOC_PREZZI!$A$1:$AS$441,44,FALSE),0)</f>
        <v>0</v>
      </c>
      <c r="E114" s="316"/>
      <c r="F114" s="313">
        <f>IF(D114=0,C114,D114*$I$1)</f>
        <v>3698.9900000000002</v>
      </c>
    </row>
    <row r="115" spans="1:6" x14ac:dyDescent="0.2">
      <c r="A115" s="314" t="s">
        <v>2282</v>
      </c>
      <c r="B115" s="314" t="s">
        <v>1289</v>
      </c>
      <c r="C115" s="312">
        <v>3210</v>
      </c>
      <c r="D115" s="315">
        <f>IFERROR(VLOOKUP(A115,DIBA_ADHOC_PREZZI!$A$1:$AS$441,44,FALSE),0)</f>
        <v>0</v>
      </c>
      <c r="E115" s="316"/>
      <c r="F115" s="313">
        <f>IF(D115=0,C115,D115*$I$1)</f>
        <v>3210</v>
      </c>
    </row>
    <row r="116" spans="1:6" x14ac:dyDescent="0.2">
      <c r="A116" s="314" t="s">
        <v>2397</v>
      </c>
      <c r="B116" s="314" t="s">
        <v>2398</v>
      </c>
      <c r="C116" s="312">
        <v>500</v>
      </c>
      <c r="D116" s="315">
        <f>IFERROR(VLOOKUP(A116,DIBA_ADHOC_PREZZI!$A$1:$AS$441,44,FALSE),0)</f>
        <v>0</v>
      </c>
      <c r="F116" s="313">
        <f>IF(D116=0,C116,D116*$I$1)</f>
        <v>500</v>
      </c>
    </row>
  </sheetData>
  <sheetProtection password="C71F" sheet="1" objects="1" scenarios="1"/>
  <autoFilter ref="A1:F102" xr:uid="{00000000-0009-0000-0000-000007000000}"/>
  <customSheetViews>
    <customSheetView guid="{FFF8F457-6B9E-424E-8E8A-94E56AA6D66B}" showRuler="0">
      <pane xSplit="1" ySplit="1" topLeftCell="B32" activePane="bottomRight" state="frozenSplit"/>
      <selection pane="bottomRight" activeCell="A47" sqref="A47"/>
      <pageMargins left="0.75" right="0.75" top="1" bottom="1" header="0.5" footer="0.5"/>
      <headerFooter alignWithMargins="0"/>
    </customSheetView>
    <customSheetView guid="{2F6DA050-2C78-4FEE-82E7-63FC04D1B289}" showRuler="0">
      <pane xSplit="1" ySplit="1" topLeftCell="B32" activePane="bottomRight" state="frozenSplit"/>
      <selection pane="bottomRight" activeCell="A47" sqref="A47"/>
      <pageMargins left="0.75" right="0.75" top="1" bottom="1" header="0.5" footer="0.5"/>
      <headerFooter alignWithMargins="0"/>
    </customSheetView>
  </customSheetViews>
  <phoneticPr fontId="0" type="noConversion"/>
  <printOptions gridLines="1"/>
  <pageMargins left="0.74803149606299213" right="0.74803149606299213" top="0.98425196850393704" bottom="0.98425196850393704" header="0.51181102362204722" footer="0.51181102362204722"/>
  <pageSetup paperSize="9" scale="49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8">
    <pageSetUpPr fitToPage="1"/>
  </sheetPr>
  <dimension ref="A1:X88"/>
  <sheetViews>
    <sheetView zoomScaleNormal="100" workbookViewId="0"/>
  </sheetViews>
  <sheetFormatPr defaultRowHeight="12.75" x14ac:dyDescent="0.2"/>
  <cols>
    <col min="1" max="1" width="11.28515625" bestFit="1" customWidth="1"/>
    <col min="2" max="2" width="22.7109375" bestFit="1" customWidth="1"/>
    <col min="3" max="3" width="29.85546875" style="8" customWidth="1"/>
    <col min="4" max="4" width="13.7109375" style="5" bestFit="1" customWidth="1"/>
    <col min="5" max="5" width="9.28515625" bestFit="1" customWidth="1"/>
    <col min="6" max="6" width="15.140625" bestFit="1" customWidth="1"/>
    <col min="7" max="7" width="15.140625" customWidth="1"/>
    <col min="8" max="8" width="14.140625" bestFit="1" customWidth="1"/>
    <col min="9" max="9" width="15.140625" bestFit="1" customWidth="1"/>
  </cols>
  <sheetData>
    <row r="1" spans="1:9" ht="51.75" thickBot="1" x14ac:dyDescent="0.25">
      <c r="G1" s="8" t="s">
        <v>949</v>
      </c>
      <c r="I1" s="8" t="s">
        <v>964</v>
      </c>
    </row>
    <row r="2" spans="1:9" ht="16.5" thickBot="1" x14ac:dyDescent="0.3">
      <c r="A2" s="34"/>
      <c r="B2" s="34"/>
      <c r="C2" s="34" t="s">
        <v>966</v>
      </c>
      <c r="D2" s="35"/>
      <c r="E2" s="34"/>
      <c r="F2" s="36"/>
      <c r="G2" s="22">
        <v>1367.8197534508358</v>
      </c>
      <c r="H2" s="30"/>
      <c r="I2" s="22">
        <v>882.93065738892312</v>
      </c>
    </row>
    <row r="3" spans="1:9" ht="15.75" x14ac:dyDescent="0.25">
      <c r="A3" s="37"/>
      <c r="B3" s="37"/>
      <c r="C3" s="37"/>
      <c r="D3" s="38"/>
      <c r="E3" s="37"/>
      <c r="F3" s="37"/>
      <c r="G3" s="39"/>
      <c r="I3" s="39"/>
    </row>
    <row r="4" spans="1:9" x14ac:dyDescent="0.2">
      <c r="A4" s="31"/>
      <c r="B4" s="31"/>
      <c r="C4" s="31" t="s">
        <v>936</v>
      </c>
      <c r="D4" s="32"/>
      <c r="E4" s="31"/>
      <c r="F4" s="31"/>
      <c r="G4" s="31"/>
      <c r="H4" s="31"/>
      <c r="I4" s="31"/>
    </row>
    <row r="5" spans="1:9" x14ac:dyDescent="0.2">
      <c r="A5" t="s">
        <v>562</v>
      </c>
      <c r="C5" s="62" t="s">
        <v>642</v>
      </c>
      <c r="D5" s="17" t="e">
        <f>VLOOKUP(C5,prezzi,2,)</f>
        <v>#N/A</v>
      </c>
      <c r="E5">
        <v>1</v>
      </c>
      <c r="F5" s="4" t="e">
        <f t="shared" ref="F5:F12" si="0">D5*E5</f>
        <v>#N/A</v>
      </c>
      <c r="G5">
        <v>1</v>
      </c>
      <c r="H5" s="4" t="e">
        <f>G5*D5</f>
        <v>#N/A</v>
      </c>
    </row>
    <row r="6" spans="1:9" x14ac:dyDescent="0.2">
      <c r="A6" t="s">
        <v>562</v>
      </c>
      <c r="C6" s="61" t="s">
        <v>676</v>
      </c>
      <c r="D6" s="17" t="e">
        <f>VLOOKUP(C6,prezzi,2,)</f>
        <v>#N/A</v>
      </c>
      <c r="E6">
        <v>1</v>
      </c>
      <c r="F6" s="4" t="e">
        <f t="shared" si="0"/>
        <v>#N/A</v>
      </c>
      <c r="G6">
        <v>1</v>
      </c>
      <c r="H6" s="4" t="e">
        <f t="shared" ref="H6:H15" si="1">G6*D6</f>
        <v>#N/A</v>
      </c>
    </row>
    <row r="7" spans="1:9" x14ac:dyDescent="0.2">
      <c r="A7" t="s">
        <v>562</v>
      </c>
      <c r="C7" s="1" t="s">
        <v>692</v>
      </c>
      <c r="D7" s="17" t="e">
        <f>VLOOKUP(C7,prezzi,2,)</f>
        <v>#N/A</v>
      </c>
      <c r="E7">
        <v>1</v>
      </c>
      <c r="F7" s="4" t="e">
        <f>D7*E7</f>
        <v>#N/A</v>
      </c>
      <c r="G7">
        <v>1</v>
      </c>
      <c r="H7" s="4" t="e">
        <f t="shared" si="1"/>
        <v>#N/A</v>
      </c>
    </row>
    <row r="8" spans="1:9" x14ac:dyDescent="0.2">
      <c r="A8" t="s">
        <v>562</v>
      </c>
      <c r="C8" s="8" t="s">
        <v>963</v>
      </c>
      <c r="D8" s="5">
        <v>1.2</v>
      </c>
      <c r="E8">
        <v>20</v>
      </c>
      <c r="F8" s="4">
        <f>D8*E8</f>
        <v>24</v>
      </c>
      <c r="G8">
        <v>1</v>
      </c>
      <c r="H8" s="4">
        <f t="shared" si="1"/>
        <v>1.2</v>
      </c>
    </row>
    <row r="9" spans="1:9" ht="25.5" x14ac:dyDescent="0.2">
      <c r="A9" t="s">
        <v>562</v>
      </c>
      <c r="C9" s="7" t="s">
        <v>942</v>
      </c>
      <c r="D9" s="17">
        <f>124.19</f>
        <v>124.19</v>
      </c>
      <c r="E9">
        <v>1</v>
      </c>
      <c r="F9" s="4">
        <f t="shared" si="0"/>
        <v>124.19</v>
      </c>
      <c r="G9">
        <v>0</v>
      </c>
      <c r="H9" s="4">
        <f t="shared" si="1"/>
        <v>0</v>
      </c>
    </row>
    <row r="10" spans="1:9" x14ac:dyDescent="0.2">
      <c r="A10" t="s">
        <v>562</v>
      </c>
      <c r="C10" s="7" t="s">
        <v>943</v>
      </c>
      <c r="D10" s="17">
        <v>25.82</v>
      </c>
      <c r="E10">
        <v>1</v>
      </c>
      <c r="F10" s="4">
        <f t="shared" si="0"/>
        <v>25.82</v>
      </c>
      <c r="G10">
        <v>0</v>
      </c>
      <c r="H10" s="4">
        <f t="shared" si="1"/>
        <v>0</v>
      </c>
    </row>
    <row r="11" spans="1:9" x14ac:dyDescent="0.2">
      <c r="A11" t="s">
        <v>562</v>
      </c>
      <c r="C11" s="7" t="s">
        <v>944</v>
      </c>
      <c r="D11" s="17">
        <v>4.5999999999999996</v>
      </c>
      <c r="E11">
        <v>1</v>
      </c>
      <c r="F11" s="4">
        <f t="shared" si="0"/>
        <v>4.5999999999999996</v>
      </c>
      <c r="G11">
        <v>0</v>
      </c>
      <c r="H11" s="4">
        <f t="shared" si="1"/>
        <v>0</v>
      </c>
    </row>
    <row r="12" spans="1:9" x14ac:dyDescent="0.2">
      <c r="A12" t="s">
        <v>562</v>
      </c>
      <c r="C12" s="7" t="s">
        <v>945</v>
      </c>
      <c r="D12" s="17">
        <v>8.09</v>
      </c>
      <c r="E12">
        <v>1</v>
      </c>
      <c r="F12" s="4">
        <f t="shared" si="0"/>
        <v>8.09</v>
      </c>
      <c r="G12">
        <v>0</v>
      </c>
      <c r="H12" s="4">
        <f t="shared" si="1"/>
        <v>0</v>
      </c>
    </row>
    <row r="13" spans="1:9" x14ac:dyDescent="0.2">
      <c r="A13" t="s">
        <v>562</v>
      </c>
      <c r="C13" s="7" t="s">
        <v>946</v>
      </c>
      <c r="D13" s="17">
        <v>76.739999999999995</v>
      </c>
      <c r="E13">
        <v>6</v>
      </c>
      <c r="F13" s="4">
        <f>D13*E13/5</f>
        <v>92.087999999999994</v>
      </c>
      <c r="G13">
        <v>0</v>
      </c>
      <c r="H13" s="4">
        <f t="shared" si="1"/>
        <v>0</v>
      </c>
    </row>
    <row r="14" spans="1:9" x14ac:dyDescent="0.2">
      <c r="A14" t="s">
        <v>562</v>
      </c>
      <c r="C14" s="7" t="s">
        <v>947</v>
      </c>
      <c r="D14" s="17">
        <v>103.95</v>
      </c>
      <c r="E14">
        <v>6</v>
      </c>
      <c r="F14" s="4">
        <f>D14*E14/5</f>
        <v>124.74000000000001</v>
      </c>
      <c r="G14">
        <v>0</v>
      </c>
      <c r="H14" s="4">
        <f t="shared" si="1"/>
        <v>0</v>
      </c>
    </row>
    <row r="15" spans="1:9" ht="13.5" thickBot="1" x14ac:dyDescent="0.25">
      <c r="A15" t="s">
        <v>562</v>
      </c>
      <c r="C15" s="7" t="s">
        <v>948</v>
      </c>
      <c r="D15" s="17">
        <v>30.63</v>
      </c>
      <c r="E15">
        <f>SUM(E13:E14)</f>
        <v>12</v>
      </c>
      <c r="F15" s="4">
        <f>D15*E15/5</f>
        <v>73.512</v>
      </c>
      <c r="G15">
        <v>0</v>
      </c>
      <c r="H15" s="4">
        <f t="shared" si="1"/>
        <v>0</v>
      </c>
    </row>
    <row r="16" spans="1:9" ht="16.5" thickBot="1" x14ac:dyDescent="0.3">
      <c r="A16" s="23"/>
      <c r="B16" s="23"/>
      <c r="C16" s="24"/>
      <c r="D16" s="25"/>
      <c r="E16" s="29" t="s">
        <v>967</v>
      </c>
      <c r="F16" s="26" t="e">
        <f>SUM(F5:F15)</f>
        <v>#N/A</v>
      </c>
      <c r="G16" s="27" t="e">
        <f>$G$2+F16</f>
        <v>#N/A</v>
      </c>
      <c r="H16" s="27" t="e">
        <f>SUM(H5:H15)</f>
        <v>#N/A</v>
      </c>
      <c r="I16" s="27" t="e">
        <f>H16+$I$2</f>
        <v>#N/A</v>
      </c>
    </row>
    <row r="17" spans="1:9" x14ac:dyDescent="0.2">
      <c r="A17" s="31"/>
      <c r="B17" s="31"/>
      <c r="C17" s="31" t="s">
        <v>935</v>
      </c>
      <c r="D17" s="32"/>
      <c r="E17" s="31"/>
      <c r="F17" s="31"/>
      <c r="G17" s="31"/>
      <c r="H17" s="31"/>
      <c r="I17" s="31"/>
    </row>
    <row r="18" spans="1:9" ht="25.5" x14ac:dyDescent="0.2">
      <c r="A18" t="s">
        <v>922</v>
      </c>
      <c r="C18" s="7" t="s">
        <v>1036</v>
      </c>
      <c r="D18" s="17" t="e">
        <f>VLOOKUP(C18,prezzi,2,)</f>
        <v>#N/A</v>
      </c>
      <c r="E18">
        <v>1</v>
      </c>
      <c r="F18" s="4" t="e">
        <f>D18*E18</f>
        <v>#N/A</v>
      </c>
      <c r="G18">
        <v>1</v>
      </c>
      <c r="H18" s="4" t="e">
        <f>D18*G18</f>
        <v>#N/A</v>
      </c>
    </row>
    <row r="19" spans="1:9" x14ac:dyDescent="0.2">
      <c r="A19" t="s">
        <v>922</v>
      </c>
      <c r="C19" s="8" t="s">
        <v>923</v>
      </c>
      <c r="D19" s="5">
        <v>23.76</v>
      </c>
      <c r="E19">
        <v>2</v>
      </c>
      <c r="F19" s="4">
        <f t="shared" ref="F19:F26" si="2">D19*E19</f>
        <v>47.52</v>
      </c>
      <c r="G19">
        <v>2</v>
      </c>
      <c r="H19" s="4">
        <f t="shared" ref="H19:H26" si="3">D19*G19</f>
        <v>47.52</v>
      </c>
    </row>
    <row r="20" spans="1:9" x14ac:dyDescent="0.2">
      <c r="A20" t="s">
        <v>922</v>
      </c>
      <c r="C20" s="8" t="s">
        <v>927</v>
      </c>
      <c r="D20" s="5">
        <v>110.16</v>
      </c>
      <c r="E20">
        <v>1</v>
      </c>
      <c r="F20" s="4">
        <f t="shared" si="2"/>
        <v>110.16</v>
      </c>
      <c r="G20">
        <v>1</v>
      </c>
      <c r="H20" s="4">
        <f t="shared" si="3"/>
        <v>110.16</v>
      </c>
    </row>
    <row r="21" spans="1:9" x14ac:dyDescent="0.2">
      <c r="A21" t="s">
        <v>922</v>
      </c>
      <c r="C21" s="8" t="s">
        <v>924</v>
      </c>
      <c r="D21" s="5">
        <v>151.91999999999999</v>
      </c>
      <c r="E21">
        <v>2</v>
      </c>
      <c r="F21" s="4">
        <f t="shared" si="2"/>
        <v>303.83999999999997</v>
      </c>
      <c r="G21">
        <v>1</v>
      </c>
      <c r="H21" s="4">
        <f t="shared" si="3"/>
        <v>151.91999999999999</v>
      </c>
    </row>
    <row r="22" spans="1:9" x14ac:dyDescent="0.2">
      <c r="A22" t="s">
        <v>922</v>
      </c>
      <c r="C22" s="8" t="s">
        <v>925</v>
      </c>
      <c r="D22" s="5">
        <v>9.36</v>
      </c>
      <c r="E22">
        <f>E21*2</f>
        <v>4</v>
      </c>
      <c r="F22" s="4">
        <f t="shared" si="2"/>
        <v>37.44</v>
      </c>
      <c r="G22">
        <v>2</v>
      </c>
      <c r="H22" s="4">
        <f t="shared" si="3"/>
        <v>18.72</v>
      </c>
    </row>
    <row r="23" spans="1:9" ht="11.25" customHeight="1" x14ac:dyDescent="0.2">
      <c r="A23" t="s">
        <v>922</v>
      </c>
      <c r="C23" s="8" t="s">
        <v>926</v>
      </c>
      <c r="D23" s="5">
        <v>80</v>
      </c>
      <c r="E23">
        <v>0</v>
      </c>
      <c r="F23" s="4">
        <f t="shared" si="2"/>
        <v>0</v>
      </c>
      <c r="G23">
        <v>0</v>
      </c>
      <c r="H23" s="4">
        <f t="shared" si="3"/>
        <v>0</v>
      </c>
    </row>
    <row r="24" spans="1:9" x14ac:dyDescent="0.2">
      <c r="A24" t="s">
        <v>922</v>
      </c>
      <c r="C24" s="8" t="s">
        <v>925</v>
      </c>
      <c r="D24" s="5">
        <v>9.36</v>
      </c>
      <c r="E24">
        <f>E23</f>
        <v>0</v>
      </c>
      <c r="F24" s="4">
        <f t="shared" si="2"/>
        <v>0</v>
      </c>
      <c r="G24">
        <v>0</v>
      </c>
      <c r="H24" s="4">
        <f t="shared" si="3"/>
        <v>0</v>
      </c>
    </row>
    <row r="25" spans="1:9" x14ac:dyDescent="0.2">
      <c r="A25" t="s">
        <v>922</v>
      </c>
      <c r="C25" s="8" t="s">
        <v>939</v>
      </c>
      <c r="D25" s="5">
        <v>84</v>
      </c>
      <c r="E25">
        <v>1</v>
      </c>
      <c r="F25" s="4">
        <f t="shared" si="2"/>
        <v>84</v>
      </c>
      <c r="G25">
        <v>1</v>
      </c>
      <c r="H25" s="4">
        <f t="shared" si="3"/>
        <v>84</v>
      </c>
    </row>
    <row r="26" spans="1:9" ht="13.5" thickBot="1" x14ac:dyDescent="0.25">
      <c r="A26" t="s">
        <v>922</v>
      </c>
      <c r="C26" s="8" t="s">
        <v>932</v>
      </c>
      <c r="D26" s="5">
        <v>1.2</v>
      </c>
      <c r="E26">
        <v>20</v>
      </c>
      <c r="F26" s="4">
        <f t="shared" si="2"/>
        <v>24</v>
      </c>
      <c r="G26">
        <v>20</v>
      </c>
      <c r="H26" s="4">
        <f t="shared" si="3"/>
        <v>24</v>
      </c>
    </row>
    <row r="27" spans="1:9" ht="16.5" thickBot="1" x14ac:dyDescent="0.3">
      <c r="A27" s="23"/>
      <c r="B27" s="23"/>
      <c r="C27" s="24"/>
      <c r="D27" s="25"/>
      <c r="E27" s="29" t="s">
        <v>967</v>
      </c>
      <c r="F27" s="27" t="e">
        <f>SUM(F18:F26)</f>
        <v>#N/A</v>
      </c>
      <c r="G27" s="27" t="e">
        <f>$G$2+F27</f>
        <v>#N/A</v>
      </c>
      <c r="H27" s="27" t="e">
        <f>SUM(H18:H26)</f>
        <v>#N/A</v>
      </c>
      <c r="I27" s="27" t="e">
        <f>H27+$I$2</f>
        <v>#N/A</v>
      </c>
    </row>
    <row r="28" spans="1:9" x14ac:dyDescent="0.2">
      <c r="A28" s="31"/>
      <c r="B28" s="31"/>
      <c r="C28" s="31" t="s">
        <v>937</v>
      </c>
      <c r="D28" s="32"/>
      <c r="E28" s="31"/>
      <c r="F28" s="31"/>
      <c r="G28" s="31"/>
      <c r="H28" s="31"/>
      <c r="I28" s="31"/>
    </row>
    <row r="29" spans="1:9" x14ac:dyDescent="0.2">
      <c r="A29" t="s">
        <v>922</v>
      </c>
      <c r="C29" s="8" t="s">
        <v>928</v>
      </c>
      <c r="D29" s="5">
        <v>731.5</v>
      </c>
      <c r="E29">
        <v>1</v>
      </c>
      <c r="F29" s="4">
        <f t="shared" ref="F29:F38" si="4">D29*E29</f>
        <v>731.5</v>
      </c>
      <c r="G29">
        <v>1</v>
      </c>
      <c r="H29" s="21">
        <f t="shared" ref="H29:H38" si="5">D29*G29</f>
        <v>731.5</v>
      </c>
    </row>
    <row r="30" spans="1:9" x14ac:dyDescent="0.2">
      <c r="A30" t="s">
        <v>922</v>
      </c>
      <c r="C30" s="8" t="s">
        <v>929</v>
      </c>
      <c r="D30" s="5">
        <v>33</v>
      </c>
      <c r="E30">
        <v>1</v>
      </c>
      <c r="F30" s="4">
        <f t="shared" si="4"/>
        <v>33</v>
      </c>
      <c r="G30">
        <v>1</v>
      </c>
      <c r="H30" s="21">
        <f t="shared" si="5"/>
        <v>33</v>
      </c>
    </row>
    <row r="31" spans="1:9" x14ac:dyDescent="0.2">
      <c r="A31" t="s">
        <v>922</v>
      </c>
      <c r="C31" s="8" t="s">
        <v>939</v>
      </c>
      <c r="D31" s="5">
        <v>84</v>
      </c>
      <c r="E31">
        <v>1</v>
      </c>
      <c r="F31" s="4">
        <f t="shared" si="4"/>
        <v>84</v>
      </c>
      <c r="G31">
        <v>1</v>
      </c>
      <c r="H31" s="21">
        <f t="shared" si="5"/>
        <v>84</v>
      </c>
    </row>
    <row r="32" spans="1:9" ht="25.5" x14ac:dyDescent="0.2">
      <c r="A32" t="s">
        <v>922</v>
      </c>
      <c r="C32" s="8" t="s">
        <v>930</v>
      </c>
      <c r="D32" s="5">
        <v>525.28</v>
      </c>
      <c r="E32">
        <v>1</v>
      </c>
      <c r="F32" s="4">
        <f t="shared" si="4"/>
        <v>525.28</v>
      </c>
      <c r="G32">
        <v>1</v>
      </c>
      <c r="H32" s="21">
        <f t="shared" si="5"/>
        <v>525.28</v>
      </c>
    </row>
    <row r="33" spans="1:9" ht="25.5" x14ac:dyDescent="0.2">
      <c r="A33" t="s">
        <v>922</v>
      </c>
      <c r="C33" s="8" t="s">
        <v>931</v>
      </c>
      <c r="D33" s="5">
        <v>188.8</v>
      </c>
      <c r="E33">
        <v>1</v>
      </c>
      <c r="F33" s="4">
        <f t="shared" si="4"/>
        <v>188.8</v>
      </c>
      <c r="G33">
        <v>1</v>
      </c>
      <c r="H33" s="21">
        <f t="shared" si="5"/>
        <v>188.8</v>
      </c>
    </row>
    <row r="34" spans="1:9" x14ac:dyDescent="0.2">
      <c r="A34" t="s">
        <v>922</v>
      </c>
      <c r="C34" s="8" t="s">
        <v>924</v>
      </c>
      <c r="D34" s="5">
        <v>151.91999999999999</v>
      </c>
      <c r="E34">
        <v>2</v>
      </c>
      <c r="F34" s="4">
        <f t="shared" si="4"/>
        <v>303.83999999999997</v>
      </c>
      <c r="G34">
        <v>1</v>
      </c>
      <c r="H34" s="21">
        <f t="shared" si="5"/>
        <v>151.91999999999999</v>
      </c>
    </row>
    <row r="35" spans="1:9" x14ac:dyDescent="0.2">
      <c r="A35" t="s">
        <v>922</v>
      </c>
      <c r="C35" s="8" t="s">
        <v>925</v>
      </c>
      <c r="D35" s="5">
        <v>9.36</v>
      </c>
      <c r="E35">
        <f>E34*2</f>
        <v>4</v>
      </c>
      <c r="F35" s="4">
        <f t="shared" si="4"/>
        <v>37.44</v>
      </c>
      <c r="G35">
        <v>2</v>
      </c>
      <c r="H35" s="21">
        <f t="shared" si="5"/>
        <v>18.72</v>
      </c>
    </row>
    <row r="36" spans="1:9" x14ac:dyDescent="0.2">
      <c r="A36" t="s">
        <v>922</v>
      </c>
      <c r="C36" s="8" t="s">
        <v>926</v>
      </c>
      <c r="D36" s="5">
        <v>80</v>
      </c>
      <c r="E36">
        <v>0</v>
      </c>
      <c r="F36" s="4">
        <f t="shared" si="4"/>
        <v>0</v>
      </c>
      <c r="H36" s="21">
        <f t="shared" si="5"/>
        <v>0</v>
      </c>
    </row>
    <row r="37" spans="1:9" x14ac:dyDescent="0.2">
      <c r="A37" t="s">
        <v>922</v>
      </c>
      <c r="C37" s="8" t="s">
        <v>925</v>
      </c>
      <c r="D37" s="5">
        <v>9.36</v>
      </c>
      <c r="E37">
        <f>E36</f>
        <v>0</v>
      </c>
      <c r="F37" s="4">
        <f t="shared" si="4"/>
        <v>0</v>
      </c>
      <c r="H37" s="21">
        <f t="shared" si="5"/>
        <v>0</v>
      </c>
    </row>
    <row r="38" spans="1:9" ht="13.5" thickBot="1" x14ac:dyDescent="0.25">
      <c r="A38" t="s">
        <v>922</v>
      </c>
      <c r="C38" s="8" t="s">
        <v>933</v>
      </c>
      <c r="D38" s="5">
        <v>1.2</v>
      </c>
      <c r="E38">
        <v>20</v>
      </c>
      <c r="F38" s="4">
        <f t="shared" si="4"/>
        <v>24</v>
      </c>
      <c r="G38">
        <v>20</v>
      </c>
      <c r="H38" s="21">
        <f t="shared" si="5"/>
        <v>24</v>
      </c>
    </row>
    <row r="39" spans="1:9" ht="16.5" thickBot="1" x14ac:dyDescent="0.3">
      <c r="A39" s="23"/>
      <c r="B39" s="23"/>
      <c r="C39" s="24"/>
      <c r="D39" s="25"/>
      <c r="E39" s="29" t="s">
        <v>967</v>
      </c>
      <c r="F39" s="27">
        <f>SUM(F29:F38)</f>
        <v>1927.86</v>
      </c>
      <c r="G39" s="27">
        <f>$G$2+F39</f>
        <v>3295.679753450836</v>
      </c>
      <c r="H39" s="27">
        <f>SUM(H29:H38)</f>
        <v>1757.22</v>
      </c>
      <c r="I39" s="27">
        <f>H39+$I$2</f>
        <v>2640.1506573889233</v>
      </c>
    </row>
    <row r="40" spans="1:9" x14ac:dyDescent="0.2">
      <c r="A40" s="31"/>
      <c r="B40" s="31"/>
      <c r="C40" s="31" t="s">
        <v>938</v>
      </c>
      <c r="D40" s="32"/>
      <c r="E40" s="31"/>
      <c r="F40" s="31"/>
      <c r="G40" s="31"/>
      <c r="H40" s="31"/>
      <c r="I40" s="31"/>
    </row>
    <row r="41" spans="1:9" ht="25.5" x14ac:dyDescent="0.2">
      <c r="A41" t="s">
        <v>940</v>
      </c>
      <c r="C41" s="8" t="s">
        <v>934</v>
      </c>
      <c r="D41" s="5">
        <v>1170</v>
      </c>
      <c r="E41">
        <v>1</v>
      </c>
      <c r="F41" s="4">
        <f t="shared" ref="F41:F47" si="6">D41*E41</f>
        <v>1170</v>
      </c>
      <c r="G41">
        <v>1</v>
      </c>
      <c r="H41" s="21">
        <f t="shared" ref="H41:H47" si="7">D41*G41</f>
        <v>1170</v>
      </c>
    </row>
    <row r="42" spans="1:9" x14ac:dyDescent="0.2">
      <c r="C42" s="8" t="s">
        <v>1039</v>
      </c>
      <c r="D42" s="5">
        <v>300</v>
      </c>
      <c r="E42">
        <v>1</v>
      </c>
      <c r="F42" s="4">
        <f t="shared" si="6"/>
        <v>300</v>
      </c>
      <c r="G42">
        <v>1</v>
      </c>
      <c r="H42" s="21">
        <f t="shared" si="7"/>
        <v>300</v>
      </c>
    </row>
    <row r="43" spans="1:9" x14ac:dyDescent="0.2">
      <c r="A43" t="s">
        <v>940</v>
      </c>
      <c r="C43" s="8" t="s">
        <v>939</v>
      </c>
      <c r="D43" s="5">
        <v>84</v>
      </c>
      <c r="E43">
        <v>1</v>
      </c>
      <c r="F43" s="4">
        <f t="shared" si="6"/>
        <v>84</v>
      </c>
      <c r="G43">
        <v>1</v>
      </c>
      <c r="H43" s="21">
        <f t="shared" si="7"/>
        <v>84</v>
      </c>
    </row>
    <row r="44" spans="1:9" x14ac:dyDescent="0.2">
      <c r="A44" t="s">
        <v>940</v>
      </c>
      <c r="C44" s="8" t="s">
        <v>933</v>
      </c>
      <c r="D44" s="5">
        <v>1.2</v>
      </c>
      <c r="E44">
        <v>20</v>
      </c>
      <c r="F44" s="4">
        <f t="shared" si="6"/>
        <v>24</v>
      </c>
      <c r="G44">
        <v>20</v>
      </c>
      <c r="H44" s="21">
        <f t="shared" si="7"/>
        <v>24</v>
      </c>
    </row>
    <row r="45" spans="1:9" x14ac:dyDescent="0.2">
      <c r="A45" t="s">
        <v>940</v>
      </c>
      <c r="C45" s="8" t="s">
        <v>941</v>
      </c>
      <c r="D45" s="5">
        <v>200</v>
      </c>
      <c r="E45">
        <v>1</v>
      </c>
      <c r="F45" s="4">
        <f t="shared" si="6"/>
        <v>200</v>
      </c>
      <c r="G45">
        <v>1</v>
      </c>
      <c r="H45" s="21">
        <f t="shared" si="7"/>
        <v>200</v>
      </c>
    </row>
    <row r="46" spans="1:9" x14ac:dyDescent="0.2">
      <c r="A46" t="s">
        <v>940</v>
      </c>
      <c r="C46" s="8" t="s">
        <v>956</v>
      </c>
      <c r="D46" s="5">
        <v>72</v>
      </c>
      <c r="E46">
        <v>2</v>
      </c>
      <c r="F46" s="4">
        <f t="shared" si="6"/>
        <v>144</v>
      </c>
      <c r="G46">
        <v>1</v>
      </c>
      <c r="H46" s="21">
        <f t="shared" si="7"/>
        <v>72</v>
      </c>
    </row>
    <row r="47" spans="1:9" ht="13.5" thickBot="1" x14ac:dyDescent="0.25">
      <c r="A47" t="s">
        <v>940</v>
      </c>
      <c r="C47" s="8" t="s">
        <v>957</v>
      </c>
      <c r="D47" s="5">
        <f>105/2</f>
        <v>52.5</v>
      </c>
      <c r="E47">
        <v>2</v>
      </c>
      <c r="F47" s="4">
        <f t="shared" si="6"/>
        <v>105</v>
      </c>
      <c r="G47">
        <v>1</v>
      </c>
      <c r="H47" s="21">
        <f t="shared" si="7"/>
        <v>52.5</v>
      </c>
    </row>
    <row r="48" spans="1:9" ht="16.5" thickBot="1" x14ac:dyDescent="0.3">
      <c r="A48" s="23"/>
      <c r="B48" s="23"/>
      <c r="C48" s="24"/>
      <c r="D48" s="25"/>
      <c r="E48" s="29" t="s">
        <v>967</v>
      </c>
      <c r="F48" s="28">
        <f>SUM(F41:F47)</f>
        <v>2027</v>
      </c>
      <c r="G48" s="27">
        <f>$G$2+F48</f>
        <v>3394.8197534508358</v>
      </c>
      <c r="H48" s="27">
        <f>SUM(H41:H47)</f>
        <v>1902.5</v>
      </c>
      <c r="I48" s="27">
        <f>H48+$I$2</f>
        <v>2785.430657388923</v>
      </c>
    </row>
    <row r="49" spans="1:24" ht="15.75" x14ac:dyDescent="0.25">
      <c r="A49" s="31"/>
      <c r="B49" s="31"/>
      <c r="C49" s="31" t="s">
        <v>951</v>
      </c>
      <c r="D49" s="32"/>
      <c r="E49" s="31"/>
      <c r="F49" s="33"/>
      <c r="G49" s="31"/>
      <c r="H49" s="31"/>
      <c r="I49" s="31"/>
    </row>
    <row r="50" spans="1:24" x14ac:dyDescent="0.2">
      <c r="A50" t="s">
        <v>950</v>
      </c>
      <c r="C50" s="8" t="s">
        <v>939</v>
      </c>
      <c r="D50" s="5">
        <v>84</v>
      </c>
      <c r="E50">
        <v>1</v>
      </c>
      <c r="F50" s="4">
        <f t="shared" ref="F50:F61" si="8">D50*E50</f>
        <v>84</v>
      </c>
      <c r="G50">
        <v>1</v>
      </c>
      <c r="H50" s="21">
        <f t="shared" ref="H50:H61" si="9">D50*G50</f>
        <v>84</v>
      </c>
    </row>
    <row r="51" spans="1:24" ht="25.5" x14ac:dyDescent="0.2">
      <c r="A51" t="s">
        <v>950</v>
      </c>
      <c r="C51" s="8" t="s">
        <v>954</v>
      </c>
      <c r="D51" s="5">
        <f>577*0.95</f>
        <v>548.15</v>
      </c>
      <c r="E51">
        <v>1</v>
      </c>
      <c r="F51" s="4">
        <f t="shared" si="8"/>
        <v>548.15</v>
      </c>
      <c r="G51">
        <v>1</v>
      </c>
      <c r="H51" s="21">
        <f t="shared" si="9"/>
        <v>548.15</v>
      </c>
    </row>
    <row r="52" spans="1:24" x14ac:dyDescent="0.2">
      <c r="A52" t="s">
        <v>950</v>
      </c>
      <c r="C52" s="8" t="s">
        <v>952</v>
      </c>
      <c r="D52" s="5">
        <v>175</v>
      </c>
      <c r="E52">
        <v>1</v>
      </c>
      <c r="F52" s="4">
        <f t="shared" si="8"/>
        <v>175</v>
      </c>
      <c r="G52">
        <v>1</v>
      </c>
      <c r="H52" s="21">
        <f t="shared" si="9"/>
        <v>175</v>
      </c>
    </row>
    <row r="53" spans="1:24" x14ac:dyDescent="0.2">
      <c r="A53" t="s">
        <v>950</v>
      </c>
      <c r="C53" s="8" t="s">
        <v>953</v>
      </c>
      <c r="D53" s="5">
        <f>170*0.95</f>
        <v>161.5</v>
      </c>
      <c r="E53">
        <v>1</v>
      </c>
      <c r="F53" s="4">
        <f t="shared" si="8"/>
        <v>161.5</v>
      </c>
      <c r="G53">
        <v>1</v>
      </c>
      <c r="H53" s="21">
        <f t="shared" si="9"/>
        <v>161.5</v>
      </c>
    </row>
    <row r="54" spans="1:24" ht="25.5" x14ac:dyDescent="0.2">
      <c r="A54" t="s">
        <v>950</v>
      </c>
      <c r="C54" s="8" t="s">
        <v>955</v>
      </c>
      <c r="D54" s="5">
        <f>119*0.95</f>
        <v>113.05</v>
      </c>
      <c r="E54">
        <v>1</v>
      </c>
      <c r="F54" s="4">
        <f t="shared" si="8"/>
        <v>113.05</v>
      </c>
      <c r="G54">
        <v>1</v>
      </c>
      <c r="H54" s="21">
        <f t="shared" si="9"/>
        <v>113.05</v>
      </c>
    </row>
    <row r="55" spans="1:24" x14ac:dyDescent="0.2">
      <c r="A55" t="s">
        <v>950</v>
      </c>
      <c r="C55" s="8" t="s">
        <v>958</v>
      </c>
      <c r="D55" s="5">
        <f>70*0.95</f>
        <v>66.5</v>
      </c>
      <c r="E55">
        <v>2</v>
      </c>
      <c r="F55" s="4">
        <f t="shared" si="8"/>
        <v>133</v>
      </c>
      <c r="G55">
        <v>1</v>
      </c>
      <c r="H55" s="21">
        <f t="shared" si="9"/>
        <v>66.5</v>
      </c>
    </row>
    <row r="56" spans="1:24" x14ac:dyDescent="0.2">
      <c r="A56" t="s">
        <v>950</v>
      </c>
      <c r="C56" s="8" t="s">
        <v>959</v>
      </c>
      <c r="D56" s="5">
        <f>88*0.95</f>
        <v>83.6</v>
      </c>
      <c r="E56">
        <v>2</v>
      </c>
      <c r="F56" s="4">
        <f t="shared" si="8"/>
        <v>167.2</v>
      </c>
      <c r="G56">
        <v>1</v>
      </c>
      <c r="H56" s="21">
        <f t="shared" si="9"/>
        <v>83.6</v>
      </c>
    </row>
    <row r="57" spans="1:24" x14ac:dyDescent="0.2">
      <c r="A57" t="s">
        <v>950</v>
      </c>
      <c r="C57" s="8" t="s">
        <v>960</v>
      </c>
      <c r="D57" s="5">
        <f>43*0.85</f>
        <v>36.549999999999997</v>
      </c>
      <c r="E57">
        <v>1</v>
      </c>
      <c r="F57" s="4">
        <f t="shared" si="8"/>
        <v>36.549999999999997</v>
      </c>
      <c r="G57">
        <v>1</v>
      </c>
      <c r="H57" s="21">
        <f t="shared" si="9"/>
        <v>36.549999999999997</v>
      </c>
    </row>
    <row r="58" spans="1:24" x14ac:dyDescent="0.2">
      <c r="A58" t="s">
        <v>950</v>
      </c>
      <c r="C58" s="8" t="s">
        <v>932</v>
      </c>
      <c r="D58" s="5">
        <v>1.2</v>
      </c>
      <c r="E58">
        <v>20</v>
      </c>
      <c r="F58" s="4">
        <f t="shared" si="8"/>
        <v>24</v>
      </c>
      <c r="G58">
        <v>20</v>
      </c>
      <c r="H58" s="21">
        <f t="shared" si="9"/>
        <v>24</v>
      </c>
    </row>
    <row r="59" spans="1:24" x14ac:dyDescent="0.2">
      <c r="A59" t="s">
        <v>950</v>
      </c>
      <c r="C59" s="8" t="s">
        <v>961</v>
      </c>
      <c r="D59" s="5">
        <v>190</v>
      </c>
      <c r="E59">
        <v>1</v>
      </c>
      <c r="F59" s="4">
        <f t="shared" si="8"/>
        <v>190</v>
      </c>
      <c r="G59">
        <v>1</v>
      </c>
      <c r="H59" s="21">
        <f t="shared" si="9"/>
        <v>190</v>
      </c>
    </row>
    <row r="60" spans="1:24" x14ac:dyDescent="0.2">
      <c r="A60" t="s">
        <v>950</v>
      </c>
      <c r="C60" s="8" t="s">
        <v>962</v>
      </c>
      <c r="D60" s="5">
        <v>60</v>
      </c>
      <c r="E60">
        <v>1</v>
      </c>
      <c r="F60" s="4">
        <f t="shared" si="8"/>
        <v>60</v>
      </c>
      <c r="G60">
        <v>1</v>
      </c>
      <c r="H60" s="21">
        <f t="shared" si="9"/>
        <v>60</v>
      </c>
    </row>
    <row r="61" spans="1:24" ht="13.5" thickBot="1" x14ac:dyDescent="0.25">
      <c r="A61" t="s">
        <v>950</v>
      </c>
      <c r="C61" s="8" t="s">
        <v>965</v>
      </c>
      <c r="D61" s="5">
        <v>40</v>
      </c>
      <c r="E61">
        <v>1</v>
      </c>
      <c r="F61" s="4">
        <f t="shared" si="8"/>
        <v>40</v>
      </c>
      <c r="G61">
        <v>1</v>
      </c>
      <c r="H61" s="21">
        <f t="shared" si="9"/>
        <v>40</v>
      </c>
    </row>
    <row r="62" spans="1:24" ht="16.5" thickBot="1" x14ac:dyDescent="0.3">
      <c r="A62" s="23"/>
      <c r="B62" s="23"/>
      <c r="C62" s="24"/>
      <c r="D62" s="25"/>
      <c r="E62" s="29" t="s">
        <v>967</v>
      </c>
      <c r="F62" s="27">
        <f>SUM(F50:F61)</f>
        <v>1732.45</v>
      </c>
      <c r="G62" s="27">
        <f>$G$2+F62</f>
        <v>3100.2697534508361</v>
      </c>
      <c r="H62" s="27">
        <f>SUM(H50:H61)</f>
        <v>1582.35</v>
      </c>
      <c r="I62" s="27">
        <f>H62+$I$2</f>
        <v>2465.2806573889229</v>
      </c>
    </row>
    <row r="63" spans="1:24" ht="15.75" x14ac:dyDescent="0.25">
      <c r="A63" s="31"/>
      <c r="B63" s="31"/>
      <c r="C63" s="31" t="s">
        <v>1014</v>
      </c>
      <c r="D63" s="32"/>
      <c r="E63" s="31"/>
      <c r="F63" s="33"/>
      <c r="G63" s="31"/>
      <c r="H63" s="31"/>
      <c r="I63" s="31"/>
    </row>
    <row r="64" spans="1:24" s="44" customFormat="1" ht="25.5" x14ac:dyDescent="0.2">
      <c r="A64" s="1" t="s">
        <v>996</v>
      </c>
      <c r="B64" s="1" t="s">
        <v>997</v>
      </c>
      <c r="C64" s="45" t="s">
        <v>998</v>
      </c>
      <c r="D64" s="46">
        <v>88</v>
      </c>
      <c r="E64" s="47">
        <v>1</v>
      </c>
      <c r="F64" s="4">
        <f>D64*E64</f>
        <v>88</v>
      </c>
      <c r="G64" s="44">
        <v>1</v>
      </c>
      <c r="H64" s="21">
        <f>D64*G64</f>
        <v>88</v>
      </c>
      <c r="K64" s="48"/>
      <c r="L64" s="49"/>
      <c r="M64" s="46"/>
      <c r="O64" s="50"/>
      <c r="P64" s="50"/>
      <c r="Q64" s="50"/>
      <c r="R64" s="50"/>
      <c r="S64" s="50"/>
      <c r="T64" s="21"/>
      <c r="U64" s="21"/>
      <c r="V64" s="21"/>
      <c r="W64" s="21"/>
      <c r="X64" s="21"/>
    </row>
    <row r="65" spans="1:24" s="44" customFormat="1" x14ac:dyDescent="0.2">
      <c r="A65" s="1" t="s">
        <v>996</v>
      </c>
      <c r="B65" s="1" t="s">
        <v>1000</v>
      </c>
      <c r="C65" s="45" t="s">
        <v>999</v>
      </c>
      <c r="D65" s="46">
        <v>410</v>
      </c>
      <c r="E65" s="47">
        <v>1</v>
      </c>
      <c r="F65" s="4">
        <f t="shared" ref="F65:F73" si="10">D65*E65</f>
        <v>410</v>
      </c>
      <c r="G65" s="44">
        <v>1</v>
      </c>
      <c r="H65" s="21">
        <f t="shared" ref="H65:H73" si="11">D65*G65</f>
        <v>410</v>
      </c>
      <c r="K65" s="48"/>
      <c r="L65" s="49"/>
      <c r="M65" s="46"/>
      <c r="O65" s="50"/>
      <c r="P65" s="50"/>
      <c r="Q65" s="50"/>
      <c r="R65" s="50"/>
      <c r="S65" s="50"/>
      <c r="T65" s="21"/>
      <c r="U65" s="21"/>
      <c r="V65" s="21"/>
      <c r="W65" s="21"/>
      <c r="X65" s="21"/>
    </row>
    <row r="66" spans="1:24" s="44" customFormat="1" x14ac:dyDescent="0.2">
      <c r="A66" s="1" t="s">
        <v>996</v>
      </c>
      <c r="B66" s="1" t="s">
        <v>1001</v>
      </c>
      <c r="C66" s="45" t="s">
        <v>1002</v>
      </c>
      <c r="D66" s="46">
        <v>101</v>
      </c>
      <c r="E66" s="47">
        <v>1</v>
      </c>
      <c r="F66" s="4">
        <f t="shared" si="10"/>
        <v>101</v>
      </c>
      <c r="G66" s="44">
        <v>1</v>
      </c>
      <c r="H66" s="21">
        <f t="shared" si="11"/>
        <v>101</v>
      </c>
      <c r="K66" s="48"/>
      <c r="L66" s="49"/>
      <c r="M66" s="46"/>
      <c r="O66" s="50"/>
      <c r="P66" s="50"/>
      <c r="Q66" s="50"/>
      <c r="R66" s="50"/>
      <c r="S66" s="50"/>
      <c r="T66" s="21"/>
      <c r="U66" s="21"/>
      <c r="V66" s="21"/>
      <c r="W66" s="21"/>
      <c r="X66" s="21"/>
    </row>
    <row r="67" spans="1:24" s="44" customFormat="1" ht="25.5" x14ac:dyDescent="0.2">
      <c r="A67" s="1" t="s">
        <v>996</v>
      </c>
      <c r="B67" s="1" t="s">
        <v>1003</v>
      </c>
      <c r="C67" s="45" t="s">
        <v>1004</v>
      </c>
      <c r="D67" s="46">
        <v>188</v>
      </c>
      <c r="E67" s="47">
        <v>1</v>
      </c>
      <c r="F67" s="4">
        <f t="shared" si="10"/>
        <v>188</v>
      </c>
      <c r="G67" s="44">
        <v>1</v>
      </c>
      <c r="H67" s="21">
        <f t="shared" si="11"/>
        <v>188</v>
      </c>
      <c r="K67" s="48"/>
      <c r="L67" s="49"/>
      <c r="M67" s="46"/>
      <c r="O67" s="50"/>
      <c r="P67" s="50"/>
      <c r="Q67" s="50"/>
      <c r="R67" s="50"/>
      <c r="S67" s="50"/>
      <c r="T67" s="21"/>
      <c r="U67" s="21"/>
      <c r="V67" s="21"/>
      <c r="W67" s="21"/>
      <c r="X67" s="21"/>
    </row>
    <row r="68" spans="1:24" s="44" customFormat="1" x14ac:dyDescent="0.2">
      <c r="A68" s="1" t="s">
        <v>1007</v>
      </c>
      <c r="B68" s="1" t="s">
        <v>1005</v>
      </c>
      <c r="C68" s="45" t="s">
        <v>1008</v>
      </c>
      <c r="D68" s="46">
        <v>118.75</v>
      </c>
      <c r="E68" s="47">
        <v>1</v>
      </c>
      <c r="F68" s="4">
        <f t="shared" si="10"/>
        <v>118.75</v>
      </c>
      <c r="G68" s="44">
        <v>1</v>
      </c>
      <c r="H68" s="21">
        <f t="shared" si="11"/>
        <v>118.75</v>
      </c>
      <c r="K68" s="48"/>
      <c r="L68" s="49"/>
      <c r="M68" s="46"/>
      <c r="O68" s="50"/>
      <c r="P68" s="50"/>
      <c r="Q68" s="50"/>
      <c r="R68" s="50"/>
      <c r="S68" s="50"/>
      <c r="T68" s="21"/>
      <c r="U68" s="21"/>
      <c r="V68" s="21"/>
      <c r="W68" s="21"/>
      <c r="X68" s="21"/>
    </row>
    <row r="69" spans="1:24" s="44" customFormat="1" x14ac:dyDescent="0.2">
      <c r="A69" s="1" t="s">
        <v>1007</v>
      </c>
      <c r="B69" s="1" t="s">
        <v>1009</v>
      </c>
      <c r="C69" s="45" t="s">
        <v>1010</v>
      </c>
      <c r="D69" s="46">
        <v>29.64</v>
      </c>
      <c r="E69" s="47">
        <v>4</v>
      </c>
      <c r="F69" s="4">
        <f t="shared" si="10"/>
        <v>118.56</v>
      </c>
      <c r="G69" s="44">
        <v>2</v>
      </c>
      <c r="H69" s="21">
        <f t="shared" si="11"/>
        <v>59.28</v>
      </c>
      <c r="K69" s="48"/>
      <c r="L69" s="49"/>
      <c r="M69" s="46"/>
      <c r="O69" s="50"/>
      <c r="P69" s="50"/>
      <c r="Q69" s="50"/>
      <c r="R69" s="50"/>
      <c r="S69" s="50"/>
      <c r="T69" s="21"/>
      <c r="U69" s="21"/>
      <c r="V69" s="21"/>
      <c r="W69" s="21"/>
      <c r="X69" s="21"/>
    </row>
    <row r="70" spans="1:24" s="44" customFormat="1" x14ac:dyDescent="0.2">
      <c r="A70" s="1" t="s">
        <v>1007</v>
      </c>
      <c r="B70" s="1" t="s">
        <v>1009</v>
      </c>
      <c r="C70" s="45" t="s">
        <v>1011</v>
      </c>
      <c r="D70" s="46">
        <v>33.44</v>
      </c>
      <c r="E70" s="47">
        <v>4</v>
      </c>
      <c r="F70" s="4">
        <f t="shared" si="10"/>
        <v>133.76</v>
      </c>
      <c r="G70" s="44">
        <v>2</v>
      </c>
      <c r="H70" s="21">
        <f t="shared" si="11"/>
        <v>66.88</v>
      </c>
      <c r="K70" s="48"/>
      <c r="L70" s="49"/>
      <c r="M70" s="46"/>
      <c r="O70" s="50"/>
      <c r="P70" s="50"/>
      <c r="Q70" s="50"/>
      <c r="R70" s="50"/>
      <c r="S70" s="50"/>
      <c r="T70" s="21"/>
      <c r="U70" s="21"/>
      <c r="V70" s="21"/>
      <c r="W70" s="21"/>
      <c r="X70" s="21"/>
    </row>
    <row r="71" spans="1:24" s="44" customFormat="1" x14ac:dyDescent="0.2">
      <c r="A71" s="1" t="s">
        <v>1007</v>
      </c>
      <c r="B71" s="1" t="s">
        <v>1015</v>
      </c>
      <c r="C71" s="45" t="s">
        <v>1016</v>
      </c>
      <c r="D71" s="46">
        <v>7.1</v>
      </c>
      <c r="E71" s="47">
        <v>1</v>
      </c>
      <c r="F71" s="4">
        <f t="shared" si="10"/>
        <v>7.1</v>
      </c>
      <c r="G71" s="44">
        <v>1</v>
      </c>
      <c r="H71" s="21">
        <f t="shared" si="11"/>
        <v>7.1</v>
      </c>
      <c r="K71" s="48"/>
      <c r="L71" s="49"/>
      <c r="M71" s="46"/>
      <c r="O71" s="50"/>
      <c r="P71" s="50"/>
      <c r="Q71" s="50"/>
      <c r="R71" s="50"/>
      <c r="S71" s="50"/>
      <c r="T71" s="21"/>
      <c r="U71" s="21"/>
      <c r="V71" s="21"/>
      <c r="W71" s="21"/>
      <c r="X71" s="21"/>
    </row>
    <row r="72" spans="1:24" x14ac:dyDescent="0.2">
      <c r="A72" t="s">
        <v>1038</v>
      </c>
      <c r="C72" s="7" t="s">
        <v>691</v>
      </c>
      <c r="D72" s="17" t="e">
        <f>VLOOKUP(C72,prezzi,2,)</f>
        <v>#N/A</v>
      </c>
      <c r="E72">
        <v>1</v>
      </c>
      <c r="F72" s="4" t="e">
        <f>D72*E72</f>
        <v>#N/A</v>
      </c>
      <c r="G72">
        <v>1</v>
      </c>
      <c r="H72" s="21" t="e">
        <f t="shared" si="11"/>
        <v>#N/A</v>
      </c>
    </row>
    <row r="73" spans="1:24" s="44" customFormat="1" ht="39" thickBot="1" x14ac:dyDescent="0.25">
      <c r="A73" s="1" t="s">
        <v>1006</v>
      </c>
      <c r="B73" s="51" t="s">
        <v>1012</v>
      </c>
      <c r="C73" s="45" t="s">
        <v>1013</v>
      </c>
      <c r="D73" s="52">
        <v>1174.95</v>
      </c>
      <c r="E73" s="47">
        <v>1</v>
      </c>
      <c r="F73" s="4">
        <f t="shared" si="10"/>
        <v>1174.95</v>
      </c>
      <c r="G73" s="44">
        <v>1</v>
      </c>
      <c r="H73" s="21">
        <f t="shared" si="11"/>
        <v>1174.95</v>
      </c>
      <c r="I73" s="48"/>
      <c r="J73" s="49"/>
      <c r="K73" s="46"/>
      <c r="L73" s="49"/>
      <c r="M73" s="46"/>
      <c r="O73" s="50"/>
      <c r="P73" s="50"/>
      <c r="Q73" s="50"/>
      <c r="R73" s="50"/>
      <c r="S73" s="50"/>
      <c r="T73" s="21"/>
      <c r="U73" s="21"/>
      <c r="V73" s="21"/>
      <c r="W73" s="21"/>
      <c r="X73" s="21"/>
    </row>
    <row r="74" spans="1:24" ht="16.5" thickBot="1" x14ac:dyDescent="0.3">
      <c r="A74" s="23"/>
      <c r="B74" s="23"/>
      <c r="C74" s="24"/>
      <c r="D74" s="25"/>
      <c r="E74" s="29" t="s">
        <v>967</v>
      </c>
      <c r="F74" s="27" t="e">
        <f>SUM(F64:F73)</f>
        <v>#N/A</v>
      </c>
      <c r="G74" s="27" t="e">
        <f>G2+F74</f>
        <v>#N/A</v>
      </c>
      <c r="H74" s="27" t="e">
        <f>SUM(H64:H73)</f>
        <v>#N/A</v>
      </c>
      <c r="I74" s="27" t="e">
        <f>I2+H74</f>
        <v>#N/A</v>
      </c>
    </row>
    <row r="75" spans="1:24" x14ac:dyDescent="0.2">
      <c r="A75" s="8"/>
      <c r="B75" s="8"/>
      <c r="C75" s="5"/>
      <c r="D75"/>
    </row>
    <row r="76" spans="1:24" x14ac:dyDescent="0.2">
      <c r="A76" s="8"/>
      <c r="B76" s="8"/>
      <c r="C76" s="5"/>
      <c r="D76"/>
    </row>
    <row r="77" spans="1:24" x14ac:dyDescent="0.2">
      <c r="A77" s="8"/>
      <c r="B77" s="8"/>
      <c r="C77" s="5"/>
      <c r="D77"/>
    </row>
    <row r="78" spans="1:24" x14ac:dyDescent="0.2">
      <c r="A78" s="8"/>
      <c r="B78" s="8"/>
      <c r="C78" s="5"/>
      <c r="D78"/>
    </row>
    <row r="79" spans="1:24" x14ac:dyDescent="0.2">
      <c r="A79" s="8"/>
      <c r="B79" s="8"/>
      <c r="C79" s="5"/>
      <c r="D79"/>
    </row>
    <row r="80" spans="1:24" x14ac:dyDescent="0.2">
      <c r="A80" s="8"/>
      <c r="B80" s="8"/>
      <c r="C80" s="5"/>
      <c r="D80"/>
    </row>
    <row r="81" spans="1:4" x14ac:dyDescent="0.2">
      <c r="A81" s="8"/>
      <c r="B81" s="8"/>
      <c r="C81" s="5"/>
      <c r="D81"/>
    </row>
    <row r="82" spans="1:4" x14ac:dyDescent="0.2">
      <c r="A82" s="8"/>
      <c r="B82" s="8"/>
      <c r="C82" s="5"/>
      <c r="D82"/>
    </row>
    <row r="83" spans="1:4" x14ac:dyDescent="0.2">
      <c r="A83" s="8"/>
      <c r="B83" s="8"/>
      <c r="C83" s="5"/>
      <c r="D83"/>
    </row>
    <row r="84" spans="1:4" x14ac:dyDescent="0.2">
      <c r="A84" s="8"/>
      <c r="B84" s="8"/>
      <c r="C84" s="5"/>
      <c r="D84"/>
    </row>
    <row r="85" spans="1:4" x14ac:dyDescent="0.2">
      <c r="A85" s="8"/>
      <c r="B85" s="8"/>
      <c r="C85" s="5"/>
      <c r="D85"/>
    </row>
    <row r="86" spans="1:4" x14ac:dyDescent="0.2">
      <c r="A86" s="8"/>
      <c r="B86" s="8"/>
      <c r="C86" s="5"/>
      <c r="D86"/>
    </row>
    <row r="87" spans="1:4" x14ac:dyDescent="0.2">
      <c r="A87" s="8"/>
      <c r="B87" s="8"/>
      <c r="C87" s="5"/>
      <c r="D87"/>
    </row>
    <row r="88" spans="1:4" x14ac:dyDescent="0.2">
      <c r="A88" s="8"/>
      <c r="B88" s="8"/>
      <c r="C88" s="5"/>
      <c r="D88"/>
    </row>
  </sheetData>
  <customSheetViews>
    <customSheetView guid="{FFF8F457-6B9E-424E-8E8A-94E56AA6D66B}" fitToPage="1" showRuler="0" topLeftCell="C1">
      <selection activeCell="D12" sqref="D12"/>
      <pageMargins left="0.39370078740157483" right="0.31496062992125984" top="0.55118110236220474" bottom="0.70866141732283472" header="0.31496062992125984" footer="0.43307086614173229"/>
      <printOptions horizontalCentered="1"/>
      <pageSetup paperSize="9" scale="67" orientation="portrait" horizontalDpi="300" r:id="rId1"/>
      <headerFooter alignWithMargins="0"/>
    </customSheetView>
  </customSheetViews>
  <phoneticPr fontId="0" type="noConversion"/>
  <conditionalFormatting sqref="O64:S71 O73:S73">
    <cfRule type="cellIs" dxfId="0" priority="1" stopIfTrue="1" operator="greaterThan">
      <formula>2</formula>
    </cfRule>
  </conditionalFormatting>
  <printOptions horizontalCentered="1"/>
  <pageMargins left="0.39370078740157483" right="0.31496062992125984" top="0.55118110236220474" bottom="0.70866141732283472" header="0.31496062992125984" footer="0.43307086614173229"/>
  <pageSetup paperSize="9" scale="67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B23"/>
  <sheetViews>
    <sheetView workbookViewId="0">
      <selection activeCell="A12" sqref="A12"/>
    </sheetView>
  </sheetViews>
  <sheetFormatPr defaultRowHeight="12.75" x14ac:dyDescent="0.2"/>
  <cols>
    <col min="1" max="1" width="18.85546875" bestFit="1" customWidth="1"/>
    <col min="2" max="2" width="47.42578125" bestFit="1" customWidth="1"/>
  </cols>
  <sheetData>
    <row r="1" spans="1:2" x14ac:dyDescent="0.2">
      <c r="A1" t="s">
        <v>1202</v>
      </c>
      <c r="B1" t="s">
        <v>1123</v>
      </c>
    </row>
    <row r="2" spans="1:2" x14ac:dyDescent="0.2">
      <c r="A2" t="s">
        <v>1201</v>
      </c>
      <c r="B2" t="s">
        <v>1119</v>
      </c>
    </row>
    <row r="3" spans="1:2" x14ac:dyDescent="0.2">
      <c r="A3" t="s">
        <v>1200</v>
      </c>
      <c r="B3" t="s">
        <v>1120</v>
      </c>
    </row>
    <row r="4" spans="1:2" x14ac:dyDescent="0.2">
      <c r="A4" t="s">
        <v>1121</v>
      </c>
      <c r="B4" t="s">
        <v>1124</v>
      </c>
    </row>
    <row r="5" spans="1:2" x14ac:dyDescent="0.2">
      <c r="A5" t="s">
        <v>1122</v>
      </c>
      <c r="B5" t="s">
        <v>1125</v>
      </c>
    </row>
    <row r="6" spans="1:2" x14ac:dyDescent="0.2">
      <c r="A6" t="s">
        <v>1199</v>
      </c>
      <c r="B6" t="s">
        <v>1126</v>
      </c>
    </row>
    <row r="7" spans="1:2" x14ac:dyDescent="0.2">
      <c r="A7" t="s">
        <v>1193</v>
      </c>
      <c r="B7" t="s">
        <v>1127</v>
      </c>
    </row>
    <row r="8" spans="1:2" x14ac:dyDescent="0.2">
      <c r="A8" t="s">
        <v>1194</v>
      </c>
      <c r="B8" s="44" t="s">
        <v>1128</v>
      </c>
    </row>
    <row r="9" spans="1:2" x14ac:dyDescent="0.2">
      <c r="A9" t="s">
        <v>1195</v>
      </c>
      <c r="B9" s="44" t="s">
        <v>1129</v>
      </c>
    </row>
    <row r="10" spans="1:2" x14ac:dyDescent="0.2">
      <c r="A10" s="44" t="s">
        <v>1274</v>
      </c>
      <c r="B10" s="44" t="s">
        <v>1277</v>
      </c>
    </row>
    <row r="11" spans="1:2" x14ac:dyDescent="0.2">
      <c r="A11" s="44" t="s">
        <v>1275</v>
      </c>
      <c r="B11" s="44" t="s">
        <v>1276</v>
      </c>
    </row>
    <row r="12" spans="1:2" x14ac:dyDescent="0.2">
      <c r="A12" s="44" t="s">
        <v>1280</v>
      </c>
      <c r="B12" s="44" t="s">
        <v>1279</v>
      </c>
    </row>
    <row r="13" spans="1:2" x14ac:dyDescent="0.2">
      <c r="A13" s="44" t="s">
        <v>1284</v>
      </c>
      <c r="B13" s="44" t="s">
        <v>1281</v>
      </c>
    </row>
    <row r="14" spans="1:2" x14ac:dyDescent="0.2">
      <c r="A14" s="44" t="s">
        <v>1278</v>
      </c>
      <c r="B14" s="44" t="s">
        <v>1282</v>
      </c>
    </row>
    <row r="15" spans="1:2" x14ac:dyDescent="0.2">
      <c r="A15" s="44" t="s">
        <v>1285</v>
      </c>
      <c r="B15" s="44" t="s">
        <v>1283</v>
      </c>
    </row>
    <row r="16" spans="1:2" x14ac:dyDescent="0.2">
      <c r="A16" t="s">
        <v>1196</v>
      </c>
      <c r="B16" t="s">
        <v>1130</v>
      </c>
    </row>
    <row r="17" spans="1:2" x14ac:dyDescent="0.2">
      <c r="A17" t="s">
        <v>1131</v>
      </c>
      <c r="B17" t="s">
        <v>1133</v>
      </c>
    </row>
    <row r="18" spans="1:2" x14ac:dyDescent="0.2">
      <c r="A18" t="s">
        <v>1132</v>
      </c>
      <c r="B18" t="s">
        <v>1134</v>
      </c>
    </row>
    <row r="19" spans="1:2" x14ac:dyDescent="0.2">
      <c r="A19" t="s">
        <v>1137</v>
      </c>
      <c r="B19" t="s">
        <v>1138</v>
      </c>
    </row>
    <row r="20" spans="1:2" x14ac:dyDescent="0.2">
      <c r="A20" t="s">
        <v>1135</v>
      </c>
      <c r="B20" t="s">
        <v>1136</v>
      </c>
    </row>
    <row r="21" spans="1:2" x14ac:dyDescent="0.2">
      <c r="A21" t="s">
        <v>1197</v>
      </c>
      <c r="B21" t="s">
        <v>1198</v>
      </c>
    </row>
    <row r="22" spans="1:2" x14ac:dyDescent="0.2">
      <c r="A22" t="s">
        <v>1139</v>
      </c>
      <c r="B22" t="s">
        <v>1140</v>
      </c>
    </row>
    <row r="23" spans="1:2" x14ac:dyDescent="0.2">
      <c r="A23" t="s">
        <v>1141</v>
      </c>
      <c r="B23" t="s">
        <v>1142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3"/>
  <dimension ref="A1:G102"/>
  <sheetViews>
    <sheetView topLeftCell="A7" workbookViewId="0">
      <selection activeCell="E101" sqref="E101"/>
    </sheetView>
  </sheetViews>
  <sheetFormatPr defaultColWidth="8.85546875" defaultRowHeight="12.75" x14ac:dyDescent="0.2"/>
  <cols>
    <col min="1" max="1" width="8.85546875" style="270"/>
    <col min="2" max="2" width="10.28515625" style="270" bestFit="1" customWidth="1"/>
    <col min="3" max="3" width="17.5703125" style="270" bestFit="1" customWidth="1"/>
    <col min="4" max="4" width="21" style="270" bestFit="1" customWidth="1"/>
    <col min="5" max="5" width="17.28515625" style="270" bestFit="1" customWidth="1"/>
    <col min="6" max="6" width="16.85546875" style="270" bestFit="1" customWidth="1"/>
    <col min="7" max="7" width="21" style="270" bestFit="1" customWidth="1"/>
    <col min="8" max="16384" width="8.85546875" style="270"/>
  </cols>
  <sheetData>
    <row r="1" spans="1:2" x14ac:dyDescent="0.2">
      <c r="A1" s="270" t="s">
        <v>872</v>
      </c>
      <c r="B1" s="270">
        <v>-1</v>
      </c>
    </row>
    <row r="2" spans="1:2" x14ac:dyDescent="0.2">
      <c r="A2" s="270" t="s">
        <v>1143</v>
      </c>
      <c r="B2" s="270">
        <v>500</v>
      </c>
    </row>
    <row r="3" spans="1:2" x14ac:dyDescent="0.2">
      <c r="A3" s="270" t="s">
        <v>1144</v>
      </c>
      <c r="B3" s="270">
        <v>10</v>
      </c>
    </row>
    <row r="5" spans="1:2" x14ac:dyDescent="0.2">
      <c r="A5" s="270">
        <v>0</v>
      </c>
      <c r="B5" s="270">
        <v>0</v>
      </c>
    </row>
    <row r="6" spans="1:2" x14ac:dyDescent="0.2">
      <c r="A6" s="270">
        <v>1</v>
      </c>
      <c r="B6" s="270">
        <v>1</v>
      </c>
    </row>
    <row r="7" spans="1:2" x14ac:dyDescent="0.2">
      <c r="A7" s="270">
        <v>2</v>
      </c>
      <c r="B7" s="270">
        <v>1.5</v>
      </c>
    </row>
    <row r="8" spans="1:2" x14ac:dyDescent="0.2">
      <c r="A8" s="270">
        <v>3</v>
      </c>
      <c r="B8" s="271">
        <v>1.7</v>
      </c>
    </row>
    <row r="9" spans="1:2" x14ac:dyDescent="0.2">
      <c r="A9" s="270">
        <v>4</v>
      </c>
      <c r="B9" s="270">
        <v>1.8</v>
      </c>
    </row>
    <row r="36" spans="1:4" x14ac:dyDescent="0.2">
      <c r="C36" s="270" t="s">
        <v>1147</v>
      </c>
      <c r="D36" s="270" t="s">
        <v>1153</v>
      </c>
    </row>
    <row r="37" spans="1:4" x14ac:dyDescent="0.2">
      <c r="A37" s="270">
        <v>3739</v>
      </c>
      <c r="B37" s="270" t="s">
        <v>1148</v>
      </c>
      <c r="C37" s="270">
        <v>120</v>
      </c>
      <c r="D37" s="270">
        <v>16</v>
      </c>
    </row>
    <row r="38" spans="1:4" x14ac:dyDescent="0.2">
      <c r="A38" s="270">
        <v>3802</v>
      </c>
      <c r="B38" s="270" t="s">
        <v>1149</v>
      </c>
      <c r="C38" s="270">
        <v>600</v>
      </c>
      <c r="D38" s="270">
        <v>40</v>
      </c>
    </row>
    <row r="39" spans="1:4" x14ac:dyDescent="0.2">
      <c r="A39" s="270">
        <v>3445</v>
      </c>
      <c r="B39" s="270" t="s">
        <v>1150</v>
      </c>
      <c r="C39" s="270">
        <f>2120*0.7</f>
        <v>1484</v>
      </c>
      <c r="D39" s="270">
        <v>80</v>
      </c>
    </row>
    <row r="54" spans="1:7" x14ac:dyDescent="0.2">
      <c r="C54" s="270" t="s">
        <v>1145</v>
      </c>
      <c r="D54" s="270" t="s">
        <v>1146</v>
      </c>
      <c r="E54" s="270" t="s">
        <v>1151</v>
      </c>
      <c r="F54" s="270" t="s">
        <v>1152</v>
      </c>
      <c r="G54" s="270" t="s">
        <v>1154</v>
      </c>
    </row>
    <row r="56" spans="1:7" x14ac:dyDescent="0.2">
      <c r="A56" s="270">
        <v>3739</v>
      </c>
      <c r="B56" s="270" t="s">
        <v>1148</v>
      </c>
      <c r="C56" s="270">
        <v>1</v>
      </c>
      <c r="D56" s="270">
        <v>1</v>
      </c>
      <c r="E56" s="270">
        <f>CEILING(D56/C56,1)</f>
        <v>1</v>
      </c>
      <c r="F56" s="270">
        <f>(E56+1)*C56</f>
        <v>2</v>
      </c>
      <c r="G56" s="270">
        <v>28</v>
      </c>
    </row>
    <row r="57" spans="1:7" x14ac:dyDescent="0.2">
      <c r="A57" s="270">
        <v>3802</v>
      </c>
      <c r="B57" s="270" t="s">
        <v>1149</v>
      </c>
      <c r="C57" s="270">
        <v>2</v>
      </c>
      <c r="D57" s="270">
        <v>12</v>
      </c>
      <c r="E57" s="270">
        <f>CEILING(D57/C57,1)</f>
        <v>6</v>
      </c>
      <c r="F57" s="270">
        <f>(E57+1)*C57</f>
        <v>14</v>
      </c>
      <c r="G57" s="270">
        <v>50</v>
      </c>
    </row>
    <row r="58" spans="1:7" x14ac:dyDescent="0.2">
      <c r="A58" s="270">
        <v>3445</v>
      </c>
      <c r="B58" s="270" t="s">
        <v>1150</v>
      </c>
      <c r="C58" s="270">
        <v>6</v>
      </c>
      <c r="D58" s="270">
        <v>18</v>
      </c>
      <c r="E58" s="270">
        <f>CEILING(D58/C58,1)</f>
        <v>3</v>
      </c>
      <c r="F58" s="270">
        <f>(E58+1)*C58</f>
        <v>24</v>
      </c>
      <c r="G58" s="270">
        <v>60</v>
      </c>
    </row>
    <row r="74" spans="1:5" x14ac:dyDescent="0.2">
      <c r="C74" s="270" t="s">
        <v>1145</v>
      </c>
      <c r="D74" s="270" t="s">
        <v>1156</v>
      </c>
      <c r="E74" s="270" t="s">
        <v>1155</v>
      </c>
    </row>
    <row r="75" spans="1:5" x14ac:dyDescent="0.2">
      <c r="C75" s="270">
        <v>0</v>
      </c>
      <c r="E75" s="270">
        <v>0</v>
      </c>
    </row>
    <row r="76" spans="1:5" x14ac:dyDescent="0.2">
      <c r="A76" s="270">
        <v>3739</v>
      </c>
      <c r="B76" s="270" t="s">
        <v>1148</v>
      </c>
      <c r="C76" s="270">
        <v>1</v>
      </c>
      <c r="D76" s="270">
        <v>1</v>
      </c>
      <c r="E76" s="270">
        <v>8</v>
      </c>
    </row>
    <row r="77" spans="1:5" x14ac:dyDescent="0.2">
      <c r="A77" s="270">
        <v>3802</v>
      </c>
      <c r="B77" s="270" t="s">
        <v>1149</v>
      </c>
      <c r="C77" s="270">
        <v>2</v>
      </c>
      <c r="D77" s="270">
        <v>11</v>
      </c>
      <c r="E77" s="270">
        <v>24</v>
      </c>
    </row>
    <row r="78" spans="1:5" x14ac:dyDescent="0.2">
      <c r="A78" s="270">
        <v>3445</v>
      </c>
      <c r="B78" s="270" t="s">
        <v>1150</v>
      </c>
      <c r="C78" s="270">
        <v>6</v>
      </c>
      <c r="D78" s="270">
        <v>20</v>
      </c>
      <c r="E78" s="270">
        <v>40</v>
      </c>
    </row>
    <row r="99" spans="2:6" x14ac:dyDescent="0.2">
      <c r="D99" s="270" t="s">
        <v>1147</v>
      </c>
      <c r="E99" s="270" t="s">
        <v>1174</v>
      </c>
      <c r="F99" s="270" t="s">
        <v>1175</v>
      </c>
    </row>
    <row r="100" spans="2:6" x14ac:dyDescent="0.2">
      <c r="B100" s="270">
        <v>3739</v>
      </c>
      <c r="C100" s="270" t="s">
        <v>1148</v>
      </c>
      <c r="D100" s="270">
        <v>120</v>
      </c>
      <c r="E100" s="270">
        <v>38</v>
      </c>
      <c r="F100" s="270">
        <v>38</v>
      </c>
    </row>
    <row r="101" spans="2:6" x14ac:dyDescent="0.2">
      <c r="B101" s="270">
        <v>3802</v>
      </c>
      <c r="C101" s="270" t="s">
        <v>1149</v>
      </c>
      <c r="D101" s="270">
        <v>600</v>
      </c>
      <c r="E101" s="270">
        <v>129</v>
      </c>
      <c r="F101" s="270">
        <v>150</v>
      </c>
    </row>
    <row r="102" spans="2:6" x14ac:dyDescent="0.2">
      <c r="B102" s="270">
        <v>3445</v>
      </c>
      <c r="C102" s="270" t="s">
        <v>1150</v>
      </c>
      <c r="D102" s="270">
        <f>2120*0.7</f>
        <v>1484</v>
      </c>
      <c r="E102" s="270">
        <v>230</v>
      </c>
      <c r="F102" s="270">
        <v>300</v>
      </c>
    </row>
  </sheetData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4" filterMode="1"/>
  <dimension ref="A1:AT448"/>
  <sheetViews>
    <sheetView topLeftCell="A269" workbookViewId="0">
      <selection activeCell="AV462" sqref="AV462"/>
    </sheetView>
  </sheetViews>
  <sheetFormatPr defaultRowHeight="12.75" x14ac:dyDescent="0.2"/>
  <cols>
    <col min="1" max="1" width="22.85546875" bestFit="1" customWidth="1"/>
    <col min="2" max="2" width="45.42578125" bestFit="1" customWidth="1"/>
    <col min="3" max="3" width="30.42578125" hidden="1" customWidth="1"/>
    <col min="4" max="10" width="9.140625" hidden="1" customWidth="1"/>
    <col min="12" max="15" width="9.140625" hidden="1" customWidth="1"/>
    <col min="17" max="37" width="9.140625" hidden="1" customWidth="1"/>
    <col min="39" max="40" width="9.140625" hidden="1" customWidth="1"/>
    <col min="43" max="44" width="9.140625" hidden="1" customWidth="1"/>
    <col min="46" max="46" width="0" hidden="1" customWidth="1"/>
  </cols>
  <sheetData>
    <row r="1" spans="1:46" x14ac:dyDescent="0.2">
      <c r="A1" t="s">
        <v>1308</v>
      </c>
      <c r="B1" t="s">
        <v>1309</v>
      </c>
      <c r="C1" t="s">
        <v>1310</v>
      </c>
      <c r="D1" t="s">
        <v>1311</v>
      </c>
      <c r="E1" t="s">
        <v>1312</v>
      </c>
      <c r="F1" t="s">
        <v>1313</v>
      </c>
      <c r="G1" t="s">
        <v>1314</v>
      </c>
      <c r="H1" t="s">
        <v>1315</v>
      </c>
      <c r="I1" t="s">
        <v>1316</v>
      </c>
      <c r="J1" t="s">
        <v>1317</v>
      </c>
      <c r="K1" t="s">
        <v>1318</v>
      </c>
      <c r="L1" t="s">
        <v>1319</v>
      </c>
      <c r="M1" t="s">
        <v>1320</v>
      </c>
      <c r="N1" t="s">
        <v>1321</v>
      </c>
      <c r="O1" t="s">
        <v>1322</v>
      </c>
      <c r="P1" t="s">
        <v>1323</v>
      </c>
      <c r="Q1" t="s">
        <v>1324</v>
      </c>
      <c r="R1" t="s">
        <v>1325</v>
      </c>
      <c r="S1" t="s">
        <v>1326</v>
      </c>
      <c r="T1" t="s">
        <v>1327</v>
      </c>
      <c r="U1" t="s">
        <v>1328</v>
      </c>
      <c r="V1" t="s">
        <v>1329</v>
      </c>
      <c r="W1" t="s">
        <v>1330</v>
      </c>
      <c r="X1" t="s">
        <v>1331</v>
      </c>
      <c r="Y1" t="s">
        <v>1332</v>
      </c>
      <c r="Z1" t="s">
        <v>1333</v>
      </c>
      <c r="AA1" t="s">
        <v>1334</v>
      </c>
      <c r="AB1" t="s">
        <v>1335</v>
      </c>
      <c r="AC1" t="s">
        <v>1336</v>
      </c>
      <c r="AD1" t="s">
        <v>1337</v>
      </c>
      <c r="AE1" t="s">
        <v>1338</v>
      </c>
      <c r="AF1" t="s">
        <v>1339</v>
      </c>
      <c r="AG1" t="s">
        <v>1340</v>
      </c>
      <c r="AH1" t="s">
        <v>1341</v>
      </c>
      <c r="AI1" t="s">
        <v>1342</v>
      </c>
      <c r="AJ1" t="s">
        <v>1343</v>
      </c>
      <c r="AK1" t="s">
        <v>1344</v>
      </c>
      <c r="AL1" t="s">
        <v>1345</v>
      </c>
      <c r="AM1" t="s">
        <v>1346</v>
      </c>
      <c r="AN1" t="s">
        <v>1347</v>
      </c>
      <c r="AO1" t="s">
        <v>920</v>
      </c>
      <c r="AP1" t="s">
        <v>1348</v>
      </c>
      <c r="AQ1" t="s">
        <v>1349</v>
      </c>
      <c r="AR1" t="s">
        <v>1350</v>
      </c>
      <c r="AS1" t="s">
        <v>1351</v>
      </c>
      <c r="AT1" t="s">
        <v>1352</v>
      </c>
    </row>
    <row r="2" spans="1:46" x14ac:dyDescent="0.2">
      <c r="A2" t="s">
        <v>1353</v>
      </c>
      <c r="B2" t="s">
        <v>1354</v>
      </c>
      <c r="C2" t="s">
        <v>1353</v>
      </c>
      <c r="D2" t="s">
        <v>1355</v>
      </c>
      <c r="E2" t="s">
        <v>1356</v>
      </c>
      <c r="F2" t="s">
        <v>1357</v>
      </c>
      <c r="G2" t="s">
        <v>1355</v>
      </c>
      <c r="H2" t="s">
        <v>1358</v>
      </c>
      <c r="I2" t="s">
        <v>1355</v>
      </c>
      <c r="J2">
        <v>0</v>
      </c>
      <c r="K2">
        <v>0</v>
      </c>
      <c r="L2" t="s">
        <v>1355</v>
      </c>
      <c r="M2" t="s">
        <v>1355</v>
      </c>
      <c r="N2" t="s">
        <v>1355</v>
      </c>
      <c r="O2" t="s">
        <v>1359</v>
      </c>
      <c r="P2">
        <v>1</v>
      </c>
      <c r="Q2">
        <v>1</v>
      </c>
      <c r="R2">
        <v>0</v>
      </c>
      <c r="S2" t="s">
        <v>1355</v>
      </c>
      <c r="T2">
        <v>0</v>
      </c>
      <c r="U2">
        <v>0</v>
      </c>
      <c r="V2">
        <v>0</v>
      </c>
      <c r="W2" t="s">
        <v>1355</v>
      </c>
      <c r="X2" t="s">
        <v>1355</v>
      </c>
      <c r="Y2" t="s">
        <v>1355</v>
      </c>
      <c r="Z2">
        <v>0</v>
      </c>
      <c r="AA2">
        <v>0</v>
      </c>
      <c r="AB2">
        <v>0</v>
      </c>
      <c r="AC2" t="s">
        <v>1360</v>
      </c>
      <c r="AD2" t="s">
        <v>1360</v>
      </c>
      <c r="AE2" t="s">
        <v>1360</v>
      </c>
      <c r="AF2" t="s">
        <v>1358</v>
      </c>
      <c r="AG2">
        <v>0</v>
      </c>
      <c r="AH2" t="s">
        <v>1361</v>
      </c>
      <c r="AI2">
        <v>1</v>
      </c>
      <c r="AJ2">
        <v>1</v>
      </c>
      <c r="AK2">
        <v>0</v>
      </c>
      <c r="AL2">
        <v>1</v>
      </c>
      <c r="AM2" t="s">
        <v>1362</v>
      </c>
      <c r="AN2" t="s">
        <v>1357</v>
      </c>
      <c r="AO2">
        <v>25859.136490000001</v>
      </c>
      <c r="AP2">
        <v>0</v>
      </c>
      <c r="AQ2">
        <v>1787.28</v>
      </c>
      <c r="AR2">
        <v>27269.872370000001</v>
      </c>
      <c r="AS2">
        <v>25859.136490000001</v>
      </c>
      <c r="AT2">
        <v>1</v>
      </c>
    </row>
    <row r="3" spans="1:46" x14ac:dyDescent="0.2">
      <c r="A3" t="s">
        <v>1204</v>
      </c>
      <c r="B3" t="s">
        <v>1363</v>
      </c>
      <c r="C3" t="s">
        <v>1204</v>
      </c>
      <c r="D3" t="s">
        <v>1355</v>
      </c>
      <c r="E3" t="s">
        <v>1356</v>
      </c>
      <c r="F3" t="s">
        <v>1357</v>
      </c>
      <c r="G3" t="s">
        <v>1355</v>
      </c>
      <c r="H3" t="s">
        <v>1358</v>
      </c>
      <c r="I3" t="s">
        <v>1353</v>
      </c>
      <c r="J3">
        <v>1</v>
      </c>
      <c r="K3">
        <v>10</v>
      </c>
      <c r="L3" t="s">
        <v>1204</v>
      </c>
      <c r="M3" t="s">
        <v>1204</v>
      </c>
      <c r="N3" t="s">
        <v>1355</v>
      </c>
      <c r="O3" t="s">
        <v>1359</v>
      </c>
      <c r="P3">
        <v>1</v>
      </c>
      <c r="Q3">
        <v>1</v>
      </c>
      <c r="R3">
        <v>0</v>
      </c>
      <c r="S3" t="s">
        <v>1355</v>
      </c>
      <c r="T3">
        <v>0</v>
      </c>
      <c r="U3">
        <v>0</v>
      </c>
      <c r="V3">
        <v>0</v>
      </c>
      <c r="W3" t="s">
        <v>1355</v>
      </c>
      <c r="X3" t="s">
        <v>1355</v>
      </c>
      <c r="Y3" t="s">
        <v>1355</v>
      </c>
      <c r="Z3">
        <v>0</v>
      </c>
      <c r="AA3">
        <v>0</v>
      </c>
      <c r="AB3">
        <v>0</v>
      </c>
      <c r="AC3" s="294">
        <v>36161</v>
      </c>
      <c r="AD3" s="294">
        <v>73050</v>
      </c>
      <c r="AE3" s="294">
        <v>41844</v>
      </c>
      <c r="AF3" t="s">
        <v>1358</v>
      </c>
      <c r="AG3">
        <v>0</v>
      </c>
      <c r="AH3" t="s">
        <v>1364</v>
      </c>
      <c r="AI3">
        <v>1</v>
      </c>
      <c r="AJ3">
        <v>1</v>
      </c>
      <c r="AK3">
        <v>0</v>
      </c>
      <c r="AL3">
        <v>1</v>
      </c>
      <c r="AM3" t="s">
        <v>1362</v>
      </c>
      <c r="AN3" t="s">
        <v>1357</v>
      </c>
      <c r="AO3">
        <v>16.552</v>
      </c>
      <c r="AP3">
        <v>1</v>
      </c>
      <c r="AQ3">
        <v>0</v>
      </c>
      <c r="AR3">
        <v>16.551559999999998</v>
      </c>
      <c r="AS3">
        <v>16.552</v>
      </c>
      <c r="AT3">
        <v>1</v>
      </c>
    </row>
    <row r="4" spans="1:46" hidden="1" x14ac:dyDescent="0.2">
      <c r="A4" t="s">
        <v>1365</v>
      </c>
      <c r="B4" t="s">
        <v>1366</v>
      </c>
      <c r="C4" t="s">
        <v>1365</v>
      </c>
      <c r="D4" t="s">
        <v>1355</v>
      </c>
      <c r="E4" t="s">
        <v>1356</v>
      </c>
      <c r="F4" t="s">
        <v>1357</v>
      </c>
      <c r="G4" t="s">
        <v>1355</v>
      </c>
      <c r="H4" t="s">
        <v>1367</v>
      </c>
      <c r="I4" t="s">
        <v>1204</v>
      </c>
      <c r="J4">
        <v>1</v>
      </c>
      <c r="K4">
        <v>10</v>
      </c>
      <c r="L4" t="s">
        <v>1365</v>
      </c>
      <c r="M4" t="s">
        <v>1365</v>
      </c>
      <c r="N4" t="s">
        <v>1355</v>
      </c>
      <c r="O4" t="s">
        <v>1359</v>
      </c>
      <c r="P4">
        <v>1</v>
      </c>
      <c r="Q4">
        <v>1</v>
      </c>
      <c r="R4">
        <v>0</v>
      </c>
      <c r="S4" t="s">
        <v>1355</v>
      </c>
      <c r="T4">
        <v>0</v>
      </c>
      <c r="U4">
        <v>0</v>
      </c>
      <c r="V4">
        <v>0</v>
      </c>
      <c r="W4" t="s">
        <v>1355</v>
      </c>
      <c r="X4" t="s">
        <v>1355</v>
      </c>
      <c r="Y4" t="s">
        <v>1355</v>
      </c>
      <c r="Z4">
        <v>0</v>
      </c>
      <c r="AA4">
        <v>0</v>
      </c>
      <c r="AB4">
        <v>0</v>
      </c>
      <c r="AC4" s="294">
        <v>41834</v>
      </c>
      <c r="AD4" s="294">
        <v>73050</v>
      </c>
      <c r="AE4" s="294">
        <v>41834</v>
      </c>
      <c r="AF4" t="s">
        <v>1367</v>
      </c>
      <c r="AG4">
        <v>0</v>
      </c>
      <c r="AH4" t="s">
        <v>1368</v>
      </c>
      <c r="AI4">
        <v>1</v>
      </c>
      <c r="AJ4">
        <v>1</v>
      </c>
      <c r="AK4">
        <v>0</v>
      </c>
      <c r="AL4">
        <v>1</v>
      </c>
      <c r="AM4" t="s">
        <v>1355</v>
      </c>
      <c r="AN4" t="s">
        <v>1357</v>
      </c>
      <c r="AO4">
        <v>0</v>
      </c>
      <c r="AP4">
        <v>2</v>
      </c>
      <c r="AQ4">
        <v>0</v>
      </c>
      <c r="AR4">
        <v>0</v>
      </c>
      <c r="AS4">
        <v>0</v>
      </c>
      <c r="AT4">
        <v>1</v>
      </c>
    </row>
    <row r="5" spans="1:46" hidden="1" x14ac:dyDescent="0.2">
      <c r="A5" t="s">
        <v>1369</v>
      </c>
      <c r="B5" t="s">
        <v>1370</v>
      </c>
      <c r="C5" t="s">
        <v>1369</v>
      </c>
      <c r="D5" t="s">
        <v>1355</v>
      </c>
      <c r="E5" t="s">
        <v>1356</v>
      </c>
      <c r="F5" t="s">
        <v>1357</v>
      </c>
      <c r="G5" t="s">
        <v>1355</v>
      </c>
      <c r="H5" t="s">
        <v>1367</v>
      </c>
      <c r="I5" t="s">
        <v>1204</v>
      </c>
      <c r="J5">
        <v>2</v>
      </c>
      <c r="K5">
        <v>20</v>
      </c>
      <c r="L5" t="s">
        <v>1369</v>
      </c>
      <c r="M5" t="s">
        <v>1369</v>
      </c>
      <c r="N5" t="s">
        <v>1355</v>
      </c>
      <c r="O5" t="s">
        <v>1359</v>
      </c>
      <c r="P5">
        <v>1</v>
      </c>
      <c r="Q5">
        <v>1</v>
      </c>
      <c r="R5">
        <v>0</v>
      </c>
      <c r="S5" t="s">
        <v>1355</v>
      </c>
      <c r="T5">
        <v>0</v>
      </c>
      <c r="U5">
        <v>0</v>
      </c>
      <c r="V5">
        <v>0</v>
      </c>
      <c r="W5" t="s">
        <v>1355</v>
      </c>
      <c r="X5" t="s">
        <v>1355</v>
      </c>
      <c r="Y5" t="s">
        <v>1355</v>
      </c>
      <c r="Z5">
        <v>0</v>
      </c>
      <c r="AA5">
        <v>0</v>
      </c>
      <c r="AB5">
        <v>0</v>
      </c>
      <c r="AC5" s="294">
        <v>41834</v>
      </c>
      <c r="AD5" s="294">
        <v>73050</v>
      </c>
      <c r="AE5" s="294">
        <v>41834</v>
      </c>
      <c r="AF5" t="s">
        <v>1367</v>
      </c>
      <c r="AG5">
        <v>0</v>
      </c>
      <c r="AH5" t="s">
        <v>1371</v>
      </c>
      <c r="AI5">
        <v>1</v>
      </c>
      <c r="AJ5">
        <v>1</v>
      </c>
      <c r="AK5">
        <v>0</v>
      </c>
      <c r="AL5">
        <v>1</v>
      </c>
      <c r="AM5" t="s">
        <v>1355</v>
      </c>
      <c r="AN5" t="s">
        <v>1357</v>
      </c>
      <c r="AO5">
        <v>16.552</v>
      </c>
      <c r="AP5">
        <v>2</v>
      </c>
      <c r="AQ5">
        <v>0</v>
      </c>
      <c r="AR5">
        <v>16.551559999999998</v>
      </c>
      <c r="AS5">
        <v>16.552</v>
      </c>
      <c r="AT5">
        <v>1</v>
      </c>
    </row>
    <row r="6" spans="1:46" x14ac:dyDescent="0.2">
      <c r="A6" t="s">
        <v>1205</v>
      </c>
      <c r="B6" t="s">
        <v>1372</v>
      </c>
      <c r="C6" t="s">
        <v>1205</v>
      </c>
      <c r="D6" t="s">
        <v>1355</v>
      </c>
      <c r="E6" t="s">
        <v>1356</v>
      </c>
      <c r="F6" t="s">
        <v>1357</v>
      </c>
      <c r="G6" t="s">
        <v>1355</v>
      </c>
      <c r="H6" t="s">
        <v>1358</v>
      </c>
      <c r="I6" t="s">
        <v>1353</v>
      </c>
      <c r="J6">
        <v>2</v>
      </c>
      <c r="K6">
        <v>20</v>
      </c>
      <c r="L6" t="s">
        <v>1205</v>
      </c>
      <c r="M6" t="s">
        <v>1205</v>
      </c>
      <c r="N6" t="s">
        <v>1355</v>
      </c>
      <c r="O6" t="s">
        <v>1359</v>
      </c>
      <c r="P6">
        <v>1</v>
      </c>
      <c r="Q6">
        <v>1</v>
      </c>
      <c r="R6">
        <v>0</v>
      </c>
      <c r="S6" t="s">
        <v>1355</v>
      </c>
      <c r="T6">
        <v>0</v>
      </c>
      <c r="U6">
        <v>0</v>
      </c>
      <c r="V6">
        <v>0</v>
      </c>
      <c r="W6" t="s">
        <v>1355</v>
      </c>
      <c r="X6" t="s">
        <v>1355</v>
      </c>
      <c r="Y6" t="s">
        <v>1355</v>
      </c>
      <c r="Z6">
        <v>0</v>
      </c>
      <c r="AA6">
        <v>0</v>
      </c>
      <c r="AB6">
        <v>0</v>
      </c>
      <c r="AC6" s="294">
        <v>36161</v>
      </c>
      <c r="AD6" s="294">
        <v>73050</v>
      </c>
      <c r="AE6" s="294">
        <v>41844</v>
      </c>
      <c r="AF6" t="s">
        <v>1358</v>
      </c>
      <c r="AG6">
        <v>0</v>
      </c>
      <c r="AH6" t="s">
        <v>1373</v>
      </c>
      <c r="AI6">
        <v>1</v>
      </c>
      <c r="AJ6">
        <v>1</v>
      </c>
      <c r="AK6">
        <v>0</v>
      </c>
      <c r="AL6">
        <v>1</v>
      </c>
      <c r="AM6" t="s">
        <v>1362</v>
      </c>
      <c r="AN6" t="s">
        <v>1357</v>
      </c>
      <c r="AO6">
        <v>152.93</v>
      </c>
      <c r="AP6">
        <v>1</v>
      </c>
      <c r="AQ6">
        <v>0</v>
      </c>
      <c r="AR6">
        <v>152.93</v>
      </c>
      <c r="AS6">
        <v>152.93</v>
      </c>
      <c r="AT6">
        <v>1</v>
      </c>
    </row>
    <row r="7" spans="1:46" hidden="1" x14ac:dyDescent="0.2">
      <c r="A7" t="s">
        <v>1374</v>
      </c>
      <c r="B7" t="s">
        <v>1375</v>
      </c>
      <c r="C7" t="s">
        <v>1374</v>
      </c>
      <c r="D7" t="s">
        <v>1355</v>
      </c>
      <c r="E7" t="s">
        <v>1356</v>
      </c>
      <c r="F7" t="s">
        <v>1357</v>
      </c>
      <c r="G7" t="s">
        <v>1355</v>
      </c>
      <c r="H7" t="s">
        <v>1367</v>
      </c>
      <c r="I7" t="s">
        <v>1205</v>
      </c>
      <c r="J7">
        <v>1</v>
      </c>
      <c r="K7">
        <v>10</v>
      </c>
      <c r="L7" t="s">
        <v>1374</v>
      </c>
      <c r="M7" t="s">
        <v>1374</v>
      </c>
      <c r="N7" t="s">
        <v>1355</v>
      </c>
      <c r="O7" t="s">
        <v>1359</v>
      </c>
      <c r="P7">
        <v>1</v>
      </c>
      <c r="Q7">
        <v>1</v>
      </c>
      <c r="R7">
        <v>0</v>
      </c>
      <c r="S7" t="s">
        <v>1355</v>
      </c>
      <c r="T7">
        <v>0</v>
      </c>
      <c r="U7">
        <v>0</v>
      </c>
      <c r="V7">
        <v>0</v>
      </c>
      <c r="W7" t="s">
        <v>1355</v>
      </c>
      <c r="X7" t="s">
        <v>1355</v>
      </c>
      <c r="Y7" t="s">
        <v>1355</v>
      </c>
      <c r="Z7">
        <v>0</v>
      </c>
      <c r="AA7">
        <v>0</v>
      </c>
      <c r="AB7">
        <v>0</v>
      </c>
      <c r="AC7" s="294">
        <v>41834</v>
      </c>
      <c r="AD7" s="294">
        <v>73050</v>
      </c>
      <c r="AE7" s="294">
        <v>41834</v>
      </c>
      <c r="AF7" t="s">
        <v>1367</v>
      </c>
      <c r="AG7">
        <v>0</v>
      </c>
      <c r="AH7" t="s">
        <v>1376</v>
      </c>
      <c r="AI7">
        <v>1</v>
      </c>
      <c r="AJ7">
        <v>1</v>
      </c>
      <c r="AK7">
        <v>0</v>
      </c>
      <c r="AL7">
        <v>1</v>
      </c>
      <c r="AM7" t="s">
        <v>1355</v>
      </c>
      <c r="AN7" t="s">
        <v>1357</v>
      </c>
      <c r="AO7">
        <v>113.13</v>
      </c>
      <c r="AP7">
        <v>2</v>
      </c>
      <c r="AQ7">
        <v>0</v>
      </c>
      <c r="AR7">
        <v>113.13</v>
      </c>
      <c r="AS7">
        <v>113.13</v>
      </c>
      <c r="AT7">
        <v>1</v>
      </c>
    </row>
    <row r="8" spans="1:46" hidden="1" x14ac:dyDescent="0.2">
      <c r="A8" t="s">
        <v>1377</v>
      </c>
      <c r="B8" t="s">
        <v>1378</v>
      </c>
      <c r="C8" t="s">
        <v>1377</v>
      </c>
      <c r="D8" t="s">
        <v>1355</v>
      </c>
      <c r="E8" t="s">
        <v>1356</v>
      </c>
      <c r="F8" t="s">
        <v>1357</v>
      </c>
      <c r="G8" t="s">
        <v>1355</v>
      </c>
      <c r="H8" t="s">
        <v>1367</v>
      </c>
      <c r="I8" t="s">
        <v>1205</v>
      </c>
      <c r="J8">
        <v>2</v>
      </c>
      <c r="K8">
        <v>20</v>
      </c>
      <c r="L8" t="s">
        <v>1377</v>
      </c>
      <c r="M8" t="s">
        <v>1377</v>
      </c>
      <c r="N8" t="s">
        <v>1355</v>
      </c>
      <c r="O8" t="s">
        <v>1359</v>
      </c>
      <c r="P8">
        <v>1</v>
      </c>
      <c r="Q8">
        <v>1</v>
      </c>
      <c r="R8">
        <v>0</v>
      </c>
      <c r="S8" t="s">
        <v>1355</v>
      </c>
      <c r="T8">
        <v>0</v>
      </c>
      <c r="U8">
        <v>0</v>
      </c>
      <c r="V8">
        <v>0</v>
      </c>
      <c r="W8" t="s">
        <v>1355</v>
      </c>
      <c r="X8" t="s">
        <v>1355</v>
      </c>
      <c r="Y8" t="s">
        <v>1355</v>
      </c>
      <c r="Z8">
        <v>0</v>
      </c>
      <c r="AA8">
        <v>0</v>
      </c>
      <c r="AB8">
        <v>0</v>
      </c>
      <c r="AC8" s="294">
        <v>41834</v>
      </c>
      <c r="AD8" s="294">
        <v>73050</v>
      </c>
      <c r="AE8" s="294">
        <v>41834</v>
      </c>
      <c r="AF8" t="s">
        <v>1367</v>
      </c>
      <c r="AG8">
        <v>0</v>
      </c>
      <c r="AH8" t="s">
        <v>1379</v>
      </c>
      <c r="AI8">
        <v>1</v>
      </c>
      <c r="AJ8">
        <v>1</v>
      </c>
      <c r="AK8">
        <v>0</v>
      </c>
      <c r="AL8">
        <v>1</v>
      </c>
      <c r="AM8" t="s">
        <v>1355</v>
      </c>
      <c r="AN8" t="s">
        <v>1357</v>
      </c>
      <c r="AO8">
        <v>39.799999999999997</v>
      </c>
      <c r="AP8">
        <v>2</v>
      </c>
      <c r="AQ8">
        <v>0</v>
      </c>
      <c r="AR8">
        <v>39.799999999999997</v>
      </c>
      <c r="AS8">
        <v>39.799999999999997</v>
      </c>
      <c r="AT8">
        <v>1</v>
      </c>
    </row>
    <row r="9" spans="1:46" x14ac:dyDescent="0.2">
      <c r="A9" t="s">
        <v>1206</v>
      </c>
      <c r="B9" t="s">
        <v>1380</v>
      </c>
      <c r="C9" t="s">
        <v>1206</v>
      </c>
      <c r="D9" t="s">
        <v>1355</v>
      </c>
      <c r="E9" t="s">
        <v>1356</v>
      </c>
      <c r="F9" t="s">
        <v>1357</v>
      </c>
      <c r="G9" t="s">
        <v>1355</v>
      </c>
      <c r="H9" t="s">
        <v>1358</v>
      </c>
      <c r="I9" t="s">
        <v>1353</v>
      </c>
      <c r="J9">
        <v>3</v>
      </c>
      <c r="K9">
        <v>30</v>
      </c>
      <c r="L9" t="s">
        <v>1206</v>
      </c>
      <c r="M9" t="s">
        <v>1206</v>
      </c>
      <c r="N9" t="s">
        <v>1355</v>
      </c>
      <c r="O9" t="s">
        <v>1359</v>
      </c>
      <c r="P9">
        <v>1</v>
      </c>
      <c r="Q9">
        <v>1</v>
      </c>
      <c r="R9">
        <v>0</v>
      </c>
      <c r="S9" t="s">
        <v>1355</v>
      </c>
      <c r="T9">
        <v>0</v>
      </c>
      <c r="U9">
        <v>0</v>
      </c>
      <c r="V9">
        <v>0</v>
      </c>
      <c r="W9" t="s">
        <v>1355</v>
      </c>
      <c r="X9" t="s">
        <v>1355</v>
      </c>
      <c r="Y9" t="s">
        <v>1355</v>
      </c>
      <c r="Z9">
        <v>0</v>
      </c>
      <c r="AA9">
        <v>0</v>
      </c>
      <c r="AB9">
        <v>0</v>
      </c>
      <c r="AC9" s="294">
        <v>36161</v>
      </c>
      <c r="AD9" s="294">
        <v>73050</v>
      </c>
      <c r="AE9" s="294">
        <v>41844</v>
      </c>
      <c r="AF9" t="s">
        <v>1358</v>
      </c>
      <c r="AG9">
        <v>0</v>
      </c>
      <c r="AH9" t="s">
        <v>1381</v>
      </c>
      <c r="AI9">
        <v>1</v>
      </c>
      <c r="AJ9">
        <v>1</v>
      </c>
      <c r="AK9">
        <v>0</v>
      </c>
      <c r="AL9">
        <v>1</v>
      </c>
      <c r="AM9" t="s">
        <v>1362</v>
      </c>
      <c r="AN9" t="s">
        <v>1357</v>
      </c>
      <c r="AO9">
        <v>122.902</v>
      </c>
      <c r="AP9">
        <v>1</v>
      </c>
      <c r="AQ9">
        <v>0</v>
      </c>
      <c r="AR9">
        <v>122.90156</v>
      </c>
      <c r="AS9">
        <v>122.902</v>
      </c>
      <c r="AT9">
        <v>1</v>
      </c>
    </row>
    <row r="10" spans="1:46" hidden="1" x14ac:dyDescent="0.2">
      <c r="A10" t="s">
        <v>1382</v>
      </c>
      <c r="B10" t="s">
        <v>1383</v>
      </c>
      <c r="C10" t="s">
        <v>1382</v>
      </c>
      <c r="D10" t="s">
        <v>1355</v>
      </c>
      <c r="E10" t="s">
        <v>1356</v>
      </c>
      <c r="F10" t="s">
        <v>1357</v>
      </c>
      <c r="G10" t="s">
        <v>1355</v>
      </c>
      <c r="H10" t="s">
        <v>1367</v>
      </c>
      <c r="I10" t="s">
        <v>1206</v>
      </c>
      <c r="J10">
        <v>1</v>
      </c>
      <c r="K10">
        <v>10</v>
      </c>
      <c r="L10" t="s">
        <v>1382</v>
      </c>
      <c r="M10" t="s">
        <v>1382</v>
      </c>
      <c r="N10" t="s">
        <v>1355</v>
      </c>
      <c r="O10" t="s">
        <v>1359</v>
      </c>
      <c r="P10">
        <v>1</v>
      </c>
      <c r="Q10">
        <v>1</v>
      </c>
      <c r="R10">
        <v>0</v>
      </c>
      <c r="S10" t="s">
        <v>1355</v>
      </c>
      <c r="T10">
        <v>0</v>
      </c>
      <c r="U10">
        <v>0</v>
      </c>
      <c r="V10">
        <v>0</v>
      </c>
      <c r="W10" t="s">
        <v>1355</v>
      </c>
      <c r="X10" t="s">
        <v>1355</v>
      </c>
      <c r="Y10" t="s">
        <v>1355</v>
      </c>
      <c r="Z10">
        <v>0</v>
      </c>
      <c r="AA10">
        <v>0</v>
      </c>
      <c r="AB10">
        <v>0</v>
      </c>
      <c r="AC10" s="294">
        <v>41834</v>
      </c>
      <c r="AD10" s="294">
        <v>73050</v>
      </c>
      <c r="AE10" s="294">
        <v>41834</v>
      </c>
      <c r="AF10" t="s">
        <v>1367</v>
      </c>
      <c r="AG10">
        <v>0</v>
      </c>
      <c r="AH10" t="s">
        <v>1384</v>
      </c>
      <c r="AI10">
        <v>1</v>
      </c>
      <c r="AJ10">
        <v>1</v>
      </c>
      <c r="AK10">
        <v>0</v>
      </c>
      <c r="AL10">
        <v>1</v>
      </c>
      <c r="AM10" t="s">
        <v>1355</v>
      </c>
      <c r="AN10" t="s">
        <v>1357</v>
      </c>
      <c r="AO10">
        <v>106.35</v>
      </c>
      <c r="AP10">
        <v>2</v>
      </c>
      <c r="AQ10">
        <v>0</v>
      </c>
      <c r="AR10">
        <v>106.35</v>
      </c>
      <c r="AS10">
        <v>106.35</v>
      </c>
      <c r="AT10">
        <v>1</v>
      </c>
    </row>
    <row r="11" spans="1:46" hidden="1" x14ac:dyDescent="0.2">
      <c r="A11" t="s">
        <v>1369</v>
      </c>
      <c r="B11" t="s">
        <v>1370</v>
      </c>
      <c r="C11" t="s">
        <v>1369</v>
      </c>
      <c r="D11" t="s">
        <v>1355</v>
      </c>
      <c r="E11" t="s">
        <v>1356</v>
      </c>
      <c r="F11" t="s">
        <v>1357</v>
      </c>
      <c r="G11" t="s">
        <v>1355</v>
      </c>
      <c r="H11" t="s">
        <v>1367</v>
      </c>
      <c r="I11" t="s">
        <v>1206</v>
      </c>
      <c r="J11">
        <v>2</v>
      </c>
      <c r="K11">
        <v>20</v>
      </c>
      <c r="L11" t="s">
        <v>1369</v>
      </c>
      <c r="M11" t="s">
        <v>1369</v>
      </c>
      <c r="N11" t="s">
        <v>1355</v>
      </c>
      <c r="O11" t="s">
        <v>1359</v>
      </c>
      <c r="P11">
        <v>1</v>
      </c>
      <c r="Q11">
        <v>1</v>
      </c>
      <c r="R11">
        <v>0</v>
      </c>
      <c r="S11" t="s">
        <v>1355</v>
      </c>
      <c r="T11">
        <v>0</v>
      </c>
      <c r="U11">
        <v>0</v>
      </c>
      <c r="V11">
        <v>0</v>
      </c>
      <c r="W11" t="s">
        <v>1355</v>
      </c>
      <c r="X11" t="s">
        <v>1355</v>
      </c>
      <c r="Y11" t="s">
        <v>1355</v>
      </c>
      <c r="Z11">
        <v>0</v>
      </c>
      <c r="AA11">
        <v>0</v>
      </c>
      <c r="AB11">
        <v>0</v>
      </c>
      <c r="AC11" s="294">
        <v>41834</v>
      </c>
      <c r="AD11" s="294">
        <v>73050</v>
      </c>
      <c r="AE11" s="294">
        <v>41834</v>
      </c>
      <c r="AF11" t="s">
        <v>1367</v>
      </c>
      <c r="AG11">
        <v>0</v>
      </c>
      <c r="AH11" t="s">
        <v>1385</v>
      </c>
      <c r="AI11">
        <v>1</v>
      </c>
      <c r="AJ11">
        <v>1</v>
      </c>
      <c r="AK11">
        <v>0</v>
      </c>
      <c r="AL11">
        <v>1</v>
      </c>
      <c r="AM11" t="s">
        <v>1355</v>
      </c>
      <c r="AN11" t="s">
        <v>1357</v>
      </c>
      <c r="AO11">
        <v>16.552</v>
      </c>
      <c r="AP11">
        <v>2</v>
      </c>
      <c r="AQ11">
        <v>0</v>
      </c>
      <c r="AR11">
        <v>16.551559999999998</v>
      </c>
      <c r="AS11">
        <v>16.552</v>
      </c>
      <c r="AT11">
        <v>1</v>
      </c>
    </row>
    <row r="12" spans="1:46" x14ac:dyDescent="0.2">
      <c r="A12" t="s">
        <v>1207</v>
      </c>
      <c r="B12" t="s">
        <v>1386</v>
      </c>
      <c r="C12" t="s">
        <v>1207</v>
      </c>
      <c r="D12" t="s">
        <v>1355</v>
      </c>
      <c r="E12" t="s">
        <v>1356</v>
      </c>
      <c r="F12" t="s">
        <v>1357</v>
      </c>
      <c r="G12" t="s">
        <v>1355</v>
      </c>
      <c r="H12" t="s">
        <v>1358</v>
      </c>
      <c r="I12" t="s">
        <v>1353</v>
      </c>
      <c r="J12">
        <v>4</v>
      </c>
      <c r="K12">
        <v>40</v>
      </c>
      <c r="L12" t="s">
        <v>1207</v>
      </c>
      <c r="M12" t="s">
        <v>1207</v>
      </c>
      <c r="N12" t="s">
        <v>1355</v>
      </c>
      <c r="O12" t="s">
        <v>1359</v>
      </c>
      <c r="P12">
        <v>1</v>
      </c>
      <c r="Q12">
        <v>1</v>
      </c>
      <c r="R12">
        <v>0</v>
      </c>
      <c r="S12" t="s">
        <v>1355</v>
      </c>
      <c r="T12">
        <v>0</v>
      </c>
      <c r="U12">
        <v>0</v>
      </c>
      <c r="V12">
        <v>0</v>
      </c>
      <c r="W12" t="s">
        <v>1355</v>
      </c>
      <c r="X12" t="s">
        <v>1355</v>
      </c>
      <c r="Y12" t="s">
        <v>1355</v>
      </c>
      <c r="Z12">
        <v>0</v>
      </c>
      <c r="AA12">
        <v>0</v>
      </c>
      <c r="AB12">
        <v>0</v>
      </c>
      <c r="AC12" s="294">
        <v>36161</v>
      </c>
      <c r="AD12" s="294">
        <v>73050</v>
      </c>
      <c r="AE12" s="294">
        <v>41844</v>
      </c>
      <c r="AF12" t="s">
        <v>1358</v>
      </c>
      <c r="AG12">
        <v>0</v>
      </c>
      <c r="AH12" t="s">
        <v>1387</v>
      </c>
      <c r="AI12">
        <v>1</v>
      </c>
      <c r="AJ12">
        <v>1</v>
      </c>
      <c r="AK12">
        <v>0</v>
      </c>
      <c r="AL12">
        <v>1</v>
      </c>
      <c r="AM12" t="s">
        <v>1362</v>
      </c>
      <c r="AN12" t="s">
        <v>1357</v>
      </c>
      <c r="AO12">
        <v>269.52600000000001</v>
      </c>
      <c r="AP12">
        <v>1</v>
      </c>
      <c r="AQ12">
        <v>0</v>
      </c>
      <c r="AR12">
        <v>268.61466999999999</v>
      </c>
      <c r="AS12">
        <v>269.52600000000001</v>
      </c>
      <c r="AT12">
        <v>1</v>
      </c>
    </row>
    <row r="13" spans="1:46" hidden="1" x14ac:dyDescent="0.2">
      <c r="A13" t="s">
        <v>1388</v>
      </c>
      <c r="B13" t="s">
        <v>1389</v>
      </c>
      <c r="C13" t="s">
        <v>1388</v>
      </c>
      <c r="D13" t="s">
        <v>1355</v>
      </c>
      <c r="E13" t="s">
        <v>1356</v>
      </c>
      <c r="F13" t="s">
        <v>1357</v>
      </c>
      <c r="G13" t="s">
        <v>1355</v>
      </c>
      <c r="H13" t="s">
        <v>1367</v>
      </c>
      <c r="I13" t="s">
        <v>1207</v>
      </c>
      <c r="J13">
        <v>1</v>
      </c>
      <c r="K13">
        <v>10</v>
      </c>
      <c r="L13" t="s">
        <v>1388</v>
      </c>
      <c r="M13" t="s">
        <v>1388</v>
      </c>
      <c r="N13" t="s">
        <v>1355</v>
      </c>
      <c r="O13" t="s">
        <v>1359</v>
      </c>
      <c r="P13">
        <v>1</v>
      </c>
      <c r="Q13">
        <v>1</v>
      </c>
      <c r="R13">
        <v>0</v>
      </c>
      <c r="S13" t="s">
        <v>1355</v>
      </c>
      <c r="T13">
        <v>0</v>
      </c>
      <c r="U13">
        <v>0</v>
      </c>
      <c r="V13">
        <v>0</v>
      </c>
      <c r="W13" t="s">
        <v>1355</v>
      </c>
      <c r="X13" t="s">
        <v>1355</v>
      </c>
      <c r="Y13" t="s">
        <v>1355</v>
      </c>
      <c r="Z13">
        <v>0</v>
      </c>
      <c r="AA13">
        <v>0</v>
      </c>
      <c r="AB13">
        <v>0</v>
      </c>
      <c r="AC13" s="294">
        <v>41834</v>
      </c>
      <c r="AD13" s="294">
        <v>73050</v>
      </c>
      <c r="AE13" s="294">
        <v>41834</v>
      </c>
      <c r="AF13" t="s">
        <v>1367</v>
      </c>
      <c r="AG13">
        <v>0</v>
      </c>
      <c r="AH13" t="s">
        <v>1390</v>
      </c>
      <c r="AI13">
        <v>1</v>
      </c>
      <c r="AJ13">
        <v>1</v>
      </c>
      <c r="AK13">
        <v>0</v>
      </c>
      <c r="AL13">
        <v>1</v>
      </c>
      <c r="AM13" t="s">
        <v>1355</v>
      </c>
      <c r="AN13" t="s">
        <v>1357</v>
      </c>
      <c r="AO13">
        <v>200</v>
      </c>
      <c r="AP13">
        <v>2</v>
      </c>
      <c r="AQ13">
        <v>0</v>
      </c>
      <c r="AR13">
        <v>199.08824000000001</v>
      </c>
      <c r="AS13">
        <v>200</v>
      </c>
      <c r="AT13">
        <v>1</v>
      </c>
    </row>
    <row r="14" spans="1:46" hidden="1" x14ac:dyDescent="0.2">
      <c r="A14" t="s">
        <v>1391</v>
      </c>
      <c r="B14" t="s">
        <v>1392</v>
      </c>
      <c r="C14" t="s">
        <v>1391</v>
      </c>
      <c r="D14" t="s">
        <v>1355</v>
      </c>
      <c r="E14" t="s">
        <v>1356</v>
      </c>
      <c r="F14" t="s">
        <v>1357</v>
      </c>
      <c r="G14" t="s">
        <v>1355</v>
      </c>
      <c r="H14" t="s">
        <v>1367</v>
      </c>
      <c r="I14" t="s">
        <v>1207</v>
      </c>
      <c r="J14">
        <v>2</v>
      </c>
      <c r="K14">
        <v>20</v>
      </c>
      <c r="L14" t="s">
        <v>1391</v>
      </c>
      <c r="M14" t="s">
        <v>1391</v>
      </c>
      <c r="N14" t="s">
        <v>1355</v>
      </c>
      <c r="O14" t="s">
        <v>1359</v>
      </c>
      <c r="P14">
        <v>1</v>
      </c>
      <c r="Q14">
        <v>1</v>
      </c>
      <c r="R14">
        <v>0</v>
      </c>
      <c r="S14" t="s">
        <v>1355</v>
      </c>
      <c r="T14">
        <v>0</v>
      </c>
      <c r="U14">
        <v>0</v>
      </c>
      <c r="V14">
        <v>0</v>
      </c>
      <c r="W14" t="s">
        <v>1355</v>
      </c>
      <c r="X14" t="s">
        <v>1355</v>
      </c>
      <c r="Y14" t="s">
        <v>1355</v>
      </c>
      <c r="Z14">
        <v>0</v>
      </c>
      <c r="AA14">
        <v>0</v>
      </c>
      <c r="AB14">
        <v>0</v>
      </c>
      <c r="AC14" s="294">
        <v>41834</v>
      </c>
      <c r="AD14" s="294">
        <v>73050</v>
      </c>
      <c r="AE14" s="294">
        <v>41834</v>
      </c>
      <c r="AF14" t="s">
        <v>1367</v>
      </c>
      <c r="AG14">
        <v>0</v>
      </c>
      <c r="AH14" t="s">
        <v>1393</v>
      </c>
      <c r="AI14">
        <v>1</v>
      </c>
      <c r="AJ14">
        <v>1</v>
      </c>
      <c r="AK14">
        <v>0</v>
      </c>
      <c r="AL14">
        <v>1</v>
      </c>
      <c r="AM14" t="s">
        <v>1355</v>
      </c>
      <c r="AN14" t="s">
        <v>1357</v>
      </c>
      <c r="AO14">
        <v>69.525999999999996</v>
      </c>
      <c r="AP14">
        <v>2</v>
      </c>
      <c r="AQ14">
        <v>0</v>
      </c>
      <c r="AR14">
        <v>69.526430000000005</v>
      </c>
      <c r="AS14">
        <v>69.525999999999996</v>
      </c>
      <c r="AT14">
        <v>1</v>
      </c>
    </row>
    <row r="15" spans="1:46" x14ac:dyDescent="0.2">
      <c r="A15" t="s">
        <v>1222</v>
      </c>
      <c r="B15" t="s">
        <v>1394</v>
      </c>
      <c r="C15" t="s">
        <v>1222</v>
      </c>
      <c r="D15" t="s">
        <v>1355</v>
      </c>
      <c r="E15" t="s">
        <v>1356</v>
      </c>
      <c r="F15" t="s">
        <v>1357</v>
      </c>
      <c r="G15" t="s">
        <v>1355</v>
      </c>
      <c r="H15" t="s">
        <v>1358</v>
      </c>
      <c r="I15" t="s">
        <v>1353</v>
      </c>
      <c r="J15">
        <v>5</v>
      </c>
      <c r="K15">
        <v>50</v>
      </c>
      <c r="L15" t="s">
        <v>1222</v>
      </c>
      <c r="M15" t="s">
        <v>1222</v>
      </c>
      <c r="N15" t="s">
        <v>1355</v>
      </c>
      <c r="O15" t="s">
        <v>1359</v>
      </c>
      <c r="P15">
        <v>1</v>
      </c>
      <c r="Q15">
        <v>1</v>
      </c>
      <c r="R15">
        <v>0</v>
      </c>
      <c r="S15" t="s">
        <v>1355</v>
      </c>
      <c r="T15">
        <v>0</v>
      </c>
      <c r="U15">
        <v>0</v>
      </c>
      <c r="V15">
        <v>0</v>
      </c>
      <c r="W15" t="s">
        <v>1355</v>
      </c>
      <c r="X15" t="s">
        <v>1355</v>
      </c>
      <c r="Y15" t="s">
        <v>1355</v>
      </c>
      <c r="Z15">
        <v>0</v>
      </c>
      <c r="AA15">
        <v>0</v>
      </c>
      <c r="AB15">
        <v>0</v>
      </c>
      <c r="AC15" s="294">
        <v>36161</v>
      </c>
      <c r="AD15" s="294">
        <v>73050</v>
      </c>
      <c r="AE15" s="294">
        <v>41844</v>
      </c>
      <c r="AF15" t="s">
        <v>1358</v>
      </c>
      <c r="AG15">
        <v>0</v>
      </c>
      <c r="AH15" t="s">
        <v>1395</v>
      </c>
      <c r="AI15">
        <v>1</v>
      </c>
      <c r="AJ15">
        <v>1</v>
      </c>
      <c r="AK15">
        <v>0</v>
      </c>
      <c r="AL15">
        <v>1</v>
      </c>
      <c r="AM15" t="s">
        <v>1362</v>
      </c>
      <c r="AN15" t="s">
        <v>1357</v>
      </c>
      <c r="AO15">
        <v>510.86200000000002</v>
      </c>
      <c r="AP15">
        <v>1</v>
      </c>
      <c r="AQ15">
        <v>0</v>
      </c>
      <c r="AR15">
        <v>510.86156</v>
      </c>
      <c r="AS15">
        <v>510.86200000000002</v>
      </c>
      <c r="AT15">
        <v>1</v>
      </c>
    </row>
    <row r="16" spans="1:46" hidden="1" x14ac:dyDescent="0.2">
      <c r="A16" t="s">
        <v>1396</v>
      </c>
      <c r="B16" t="s">
        <v>1383</v>
      </c>
      <c r="C16" t="s">
        <v>1396</v>
      </c>
      <c r="D16" t="s">
        <v>1355</v>
      </c>
      <c r="E16" t="s">
        <v>1356</v>
      </c>
      <c r="F16" t="s">
        <v>1357</v>
      </c>
      <c r="G16" t="s">
        <v>1355</v>
      </c>
      <c r="H16" t="s">
        <v>1367</v>
      </c>
      <c r="I16" t="s">
        <v>1222</v>
      </c>
      <c r="J16">
        <v>1</v>
      </c>
      <c r="K16">
        <v>10</v>
      </c>
      <c r="L16" t="s">
        <v>1396</v>
      </c>
      <c r="M16" t="s">
        <v>1396</v>
      </c>
      <c r="N16" t="s">
        <v>1355</v>
      </c>
      <c r="O16" t="s">
        <v>1359</v>
      </c>
      <c r="P16">
        <v>1</v>
      </c>
      <c r="Q16">
        <v>1</v>
      </c>
      <c r="R16">
        <v>0</v>
      </c>
      <c r="S16" t="s">
        <v>1355</v>
      </c>
      <c r="T16">
        <v>0</v>
      </c>
      <c r="U16">
        <v>0</v>
      </c>
      <c r="V16">
        <v>0</v>
      </c>
      <c r="W16" t="s">
        <v>1355</v>
      </c>
      <c r="X16" t="s">
        <v>1355</v>
      </c>
      <c r="Y16" t="s">
        <v>1355</v>
      </c>
      <c r="Z16">
        <v>0</v>
      </c>
      <c r="AA16">
        <v>0</v>
      </c>
      <c r="AB16">
        <v>0</v>
      </c>
      <c r="AC16" s="294">
        <v>41841</v>
      </c>
      <c r="AD16" s="294">
        <v>73050</v>
      </c>
      <c r="AE16" s="294">
        <v>41841</v>
      </c>
      <c r="AF16" t="s">
        <v>1367</v>
      </c>
      <c r="AG16">
        <v>0</v>
      </c>
      <c r="AH16" t="s">
        <v>1397</v>
      </c>
      <c r="AI16">
        <v>1</v>
      </c>
      <c r="AJ16">
        <v>1</v>
      </c>
      <c r="AK16">
        <v>0</v>
      </c>
      <c r="AL16">
        <v>1</v>
      </c>
      <c r="AM16" t="s">
        <v>1355</v>
      </c>
      <c r="AN16" t="s">
        <v>1357</v>
      </c>
      <c r="AO16">
        <v>494.31</v>
      </c>
      <c r="AP16">
        <v>2</v>
      </c>
      <c r="AQ16">
        <v>0</v>
      </c>
      <c r="AR16">
        <v>494.31</v>
      </c>
      <c r="AS16">
        <v>494.31</v>
      </c>
      <c r="AT16">
        <v>1</v>
      </c>
    </row>
    <row r="17" spans="1:46" hidden="1" x14ac:dyDescent="0.2">
      <c r="A17" t="s">
        <v>1369</v>
      </c>
      <c r="B17" t="s">
        <v>1370</v>
      </c>
      <c r="C17" t="s">
        <v>1369</v>
      </c>
      <c r="D17" t="s">
        <v>1355</v>
      </c>
      <c r="E17" t="s">
        <v>1356</v>
      </c>
      <c r="F17" t="s">
        <v>1357</v>
      </c>
      <c r="G17" t="s">
        <v>1355</v>
      </c>
      <c r="H17" t="s">
        <v>1367</v>
      </c>
      <c r="I17" t="s">
        <v>1222</v>
      </c>
      <c r="J17">
        <v>2</v>
      </c>
      <c r="K17">
        <v>20</v>
      </c>
      <c r="L17" t="s">
        <v>1369</v>
      </c>
      <c r="M17" t="s">
        <v>1369</v>
      </c>
      <c r="N17" t="s">
        <v>1355</v>
      </c>
      <c r="O17" t="s">
        <v>1359</v>
      </c>
      <c r="P17">
        <v>1</v>
      </c>
      <c r="Q17">
        <v>1</v>
      </c>
      <c r="R17">
        <v>0</v>
      </c>
      <c r="S17" t="s">
        <v>1355</v>
      </c>
      <c r="T17">
        <v>0</v>
      </c>
      <c r="U17">
        <v>0</v>
      </c>
      <c r="V17">
        <v>0</v>
      </c>
      <c r="W17" t="s">
        <v>1355</v>
      </c>
      <c r="X17" t="s">
        <v>1355</v>
      </c>
      <c r="Y17" t="s">
        <v>1355</v>
      </c>
      <c r="Z17">
        <v>0</v>
      </c>
      <c r="AA17">
        <v>0</v>
      </c>
      <c r="AB17">
        <v>0</v>
      </c>
      <c r="AC17" s="294">
        <v>41841</v>
      </c>
      <c r="AD17" s="294">
        <v>73050</v>
      </c>
      <c r="AE17" s="294">
        <v>41841</v>
      </c>
      <c r="AF17" t="s">
        <v>1367</v>
      </c>
      <c r="AG17">
        <v>0</v>
      </c>
      <c r="AH17" t="s">
        <v>1398</v>
      </c>
      <c r="AI17">
        <v>1</v>
      </c>
      <c r="AJ17">
        <v>1</v>
      </c>
      <c r="AK17">
        <v>0</v>
      </c>
      <c r="AL17">
        <v>1</v>
      </c>
      <c r="AM17" t="s">
        <v>1355</v>
      </c>
      <c r="AN17" t="s">
        <v>1357</v>
      </c>
      <c r="AO17">
        <v>16.552</v>
      </c>
      <c r="AP17">
        <v>2</v>
      </c>
      <c r="AQ17">
        <v>0</v>
      </c>
      <c r="AR17">
        <v>16.551559999999998</v>
      </c>
      <c r="AS17">
        <v>16.552</v>
      </c>
      <c r="AT17">
        <v>1</v>
      </c>
    </row>
    <row r="18" spans="1:46" x14ac:dyDescent="0.2">
      <c r="A18" t="s">
        <v>1208</v>
      </c>
      <c r="B18" t="s">
        <v>1399</v>
      </c>
      <c r="C18" t="s">
        <v>1208</v>
      </c>
      <c r="D18" t="s">
        <v>1355</v>
      </c>
      <c r="E18" t="s">
        <v>1356</v>
      </c>
      <c r="F18" t="s">
        <v>1357</v>
      </c>
      <c r="G18" t="s">
        <v>1355</v>
      </c>
      <c r="H18" t="s">
        <v>1358</v>
      </c>
      <c r="I18" t="s">
        <v>1353</v>
      </c>
      <c r="J18">
        <v>6</v>
      </c>
      <c r="K18">
        <v>60</v>
      </c>
      <c r="L18" t="s">
        <v>1208</v>
      </c>
      <c r="M18" t="s">
        <v>1208</v>
      </c>
      <c r="N18" t="s">
        <v>1355</v>
      </c>
      <c r="O18" t="s">
        <v>1359</v>
      </c>
      <c r="P18">
        <v>1</v>
      </c>
      <c r="Q18">
        <v>1</v>
      </c>
      <c r="R18">
        <v>0</v>
      </c>
      <c r="S18" t="s">
        <v>1355</v>
      </c>
      <c r="T18">
        <v>0</v>
      </c>
      <c r="U18">
        <v>0</v>
      </c>
      <c r="V18">
        <v>0</v>
      </c>
      <c r="W18" t="s">
        <v>1355</v>
      </c>
      <c r="X18" t="s">
        <v>1355</v>
      </c>
      <c r="Y18" t="s">
        <v>1355</v>
      </c>
      <c r="Z18">
        <v>0</v>
      </c>
      <c r="AA18">
        <v>0</v>
      </c>
      <c r="AB18">
        <v>0</v>
      </c>
      <c r="AC18" s="294">
        <v>36161</v>
      </c>
      <c r="AD18" s="294">
        <v>73050</v>
      </c>
      <c r="AE18" s="294">
        <v>41844</v>
      </c>
      <c r="AF18" t="s">
        <v>1358</v>
      </c>
      <c r="AG18">
        <v>0</v>
      </c>
      <c r="AH18" t="s">
        <v>1400</v>
      </c>
      <c r="AI18">
        <v>1</v>
      </c>
      <c r="AJ18">
        <v>1</v>
      </c>
      <c r="AK18">
        <v>0</v>
      </c>
      <c r="AL18">
        <v>1</v>
      </c>
      <c r="AM18" t="s">
        <v>1362</v>
      </c>
      <c r="AN18" t="s">
        <v>1357</v>
      </c>
      <c r="AO18">
        <v>189.05</v>
      </c>
      <c r="AP18">
        <v>1</v>
      </c>
      <c r="AQ18">
        <v>0</v>
      </c>
      <c r="AR18">
        <v>189.05</v>
      </c>
      <c r="AS18">
        <v>189.05</v>
      </c>
      <c r="AT18">
        <v>1</v>
      </c>
    </row>
    <row r="19" spans="1:46" hidden="1" x14ac:dyDescent="0.2">
      <c r="A19" t="s">
        <v>1401</v>
      </c>
      <c r="B19" t="s">
        <v>1402</v>
      </c>
      <c r="C19" t="s">
        <v>1401</v>
      </c>
      <c r="D19" t="s">
        <v>1355</v>
      </c>
      <c r="E19" t="s">
        <v>1356</v>
      </c>
      <c r="F19" t="s">
        <v>1357</v>
      </c>
      <c r="G19" t="s">
        <v>1355</v>
      </c>
      <c r="H19" t="s">
        <v>1367</v>
      </c>
      <c r="I19" t="s">
        <v>1208</v>
      </c>
      <c r="J19">
        <v>1</v>
      </c>
      <c r="K19">
        <v>10</v>
      </c>
      <c r="L19" t="s">
        <v>1401</v>
      </c>
      <c r="M19" t="s">
        <v>1401</v>
      </c>
      <c r="N19" t="s">
        <v>1355</v>
      </c>
      <c r="O19" t="s">
        <v>1359</v>
      </c>
      <c r="P19">
        <v>1</v>
      </c>
      <c r="Q19">
        <v>1</v>
      </c>
      <c r="R19">
        <v>0</v>
      </c>
      <c r="S19" t="s">
        <v>1355</v>
      </c>
      <c r="T19">
        <v>0</v>
      </c>
      <c r="U19">
        <v>0</v>
      </c>
      <c r="V19">
        <v>0</v>
      </c>
      <c r="W19" t="s">
        <v>1355</v>
      </c>
      <c r="X19" t="s">
        <v>1355</v>
      </c>
      <c r="Y19" t="s">
        <v>1355</v>
      </c>
      <c r="Z19">
        <v>0</v>
      </c>
      <c r="AA19">
        <v>0</v>
      </c>
      <c r="AB19">
        <v>0</v>
      </c>
      <c r="AC19" s="294">
        <v>41834</v>
      </c>
      <c r="AD19" s="294">
        <v>73050</v>
      </c>
      <c r="AE19" s="294">
        <v>41834</v>
      </c>
      <c r="AF19" t="s">
        <v>1367</v>
      </c>
      <c r="AG19">
        <v>0</v>
      </c>
      <c r="AH19" t="s">
        <v>1403</v>
      </c>
      <c r="AI19">
        <v>1</v>
      </c>
      <c r="AJ19">
        <v>1</v>
      </c>
      <c r="AK19">
        <v>0</v>
      </c>
      <c r="AL19">
        <v>1</v>
      </c>
      <c r="AM19" t="s">
        <v>1355</v>
      </c>
      <c r="AN19" t="s">
        <v>1357</v>
      </c>
      <c r="AO19">
        <v>149.25</v>
      </c>
      <c r="AP19">
        <v>2</v>
      </c>
      <c r="AQ19">
        <v>0</v>
      </c>
      <c r="AR19">
        <v>149.25</v>
      </c>
      <c r="AS19">
        <v>149.25</v>
      </c>
      <c r="AT19">
        <v>1</v>
      </c>
    </row>
    <row r="20" spans="1:46" hidden="1" x14ac:dyDescent="0.2">
      <c r="A20" t="s">
        <v>1377</v>
      </c>
      <c r="B20" t="s">
        <v>1378</v>
      </c>
      <c r="C20" t="s">
        <v>1377</v>
      </c>
      <c r="D20" t="s">
        <v>1355</v>
      </c>
      <c r="E20" t="s">
        <v>1356</v>
      </c>
      <c r="F20" t="s">
        <v>1357</v>
      </c>
      <c r="G20" t="s">
        <v>1355</v>
      </c>
      <c r="H20" t="s">
        <v>1367</v>
      </c>
      <c r="I20" t="s">
        <v>1208</v>
      </c>
      <c r="J20">
        <v>2</v>
      </c>
      <c r="K20">
        <v>20</v>
      </c>
      <c r="L20" t="s">
        <v>1377</v>
      </c>
      <c r="M20" t="s">
        <v>1377</v>
      </c>
      <c r="N20" t="s">
        <v>1355</v>
      </c>
      <c r="O20" t="s">
        <v>1359</v>
      </c>
      <c r="P20">
        <v>1</v>
      </c>
      <c r="Q20">
        <v>1</v>
      </c>
      <c r="R20">
        <v>0</v>
      </c>
      <c r="S20" t="s">
        <v>1355</v>
      </c>
      <c r="T20">
        <v>0</v>
      </c>
      <c r="U20">
        <v>0</v>
      </c>
      <c r="V20">
        <v>0</v>
      </c>
      <c r="W20" t="s">
        <v>1355</v>
      </c>
      <c r="X20" t="s">
        <v>1355</v>
      </c>
      <c r="Y20" t="s">
        <v>1355</v>
      </c>
      <c r="Z20">
        <v>0</v>
      </c>
      <c r="AA20">
        <v>0</v>
      </c>
      <c r="AB20">
        <v>0</v>
      </c>
      <c r="AC20" s="294">
        <v>41834</v>
      </c>
      <c r="AD20" s="294">
        <v>73050</v>
      </c>
      <c r="AE20" s="294">
        <v>41834</v>
      </c>
      <c r="AF20" t="s">
        <v>1367</v>
      </c>
      <c r="AG20">
        <v>0</v>
      </c>
      <c r="AH20" t="s">
        <v>1404</v>
      </c>
      <c r="AI20">
        <v>1</v>
      </c>
      <c r="AJ20">
        <v>1</v>
      </c>
      <c r="AK20">
        <v>0</v>
      </c>
      <c r="AL20">
        <v>1</v>
      </c>
      <c r="AM20" t="s">
        <v>1355</v>
      </c>
      <c r="AN20" t="s">
        <v>1357</v>
      </c>
      <c r="AO20">
        <v>39.799999999999997</v>
      </c>
      <c r="AP20">
        <v>2</v>
      </c>
      <c r="AQ20">
        <v>0</v>
      </c>
      <c r="AR20">
        <v>39.799999999999997</v>
      </c>
      <c r="AS20">
        <v>39.799999999999997</v>
      </c>
      <c r="AT20">
        <v>1</v>
      </c>
    </row>
    <row r="21" spans="1:46" x14ac:dyDescent="0.2">
      <c r="A21" t="s">
        <v>1209</v>
      </c>
      <c r="B21" t="s">
        <v>1405</v>
      </c>
      <c r="C21" t="s">
        <v>1209</v>
      </c>
      <c r="D21" t="s">
        <v>1355</v>
      </c>
      <c r="E21" t="s">
        <v>1356</v>
      </c>
      <c r="F21" t="s">
        <v>1357</v>
      </c>
      <c r="G21" t="s">
        <v>1355</v>
      </c>
      <c r="H21" t="s">
        <v>1358</v>
      </c>
      <c r="I21" t="s">
        <v>1353</v>
      </c>
      <c r="J21">
        <v>7</v>
      </c>
      <c r="K21">
        <v>70</v>
      </c>
      <c r="L21" t="s">
        <v>1209</v>
      </c>
      <c r="M21" t="s">
        <v>1209</v>
      </c>
      <c r="N21" t="s">
        <v>1355</v>
      </c>
      <c r="O21" t="s">
        <v>1359</v>
      </c>
      <c r="P21">
        <v>1</v>
      </c>
      <c r="Q21">
        <v>1</v>
      </c>
      <c r="R21">
        <v>0</v>
      </c>
      <c r="S21" t="s">
        <v>1355</v>
      </c>
      <c r="T21">
        <v>0</v>
      </c>
      <c r="U21">
        <v>0</v>
      </c>
      <c r="V21">
        <v>0</v>
      </c>
      <c r="W21" t="s">
        <v>1355</v>
      </c>
      <c r="X21" t="s">
        <v>1355</v>
      </c>
      <c r="Y21" t="s">
        <v>1355</v>
      </c>
      <c r="Z21">
        <v>0</v>
      </c>
      <c r="AA21">
        <v>0</v>
      </c>
      <c r="AB21">
        <v>0</v>
      </c>
      <c r="AC21" s="294">
        <v>36161</v>
      </c>
      <c r="AD21" s="294">
        <v>73050</v>
      </c>
      <c r="AE21" s="294">
        <v>41844</v>
      </c>
      <c r="AF21" t="s">
        <v>1358</v>
      </c>
      <c r="AG21">
        <v>0</v>
      </c>
      <c r="AH21" t="s">
        <v>1406</v>
      </c>
      <c r="AI21">
        <v>1</v>
      </c>
      <c r="AJ21">
        <v>1</v>
      </c>
      <c r="AK21">
        <v>0</v>
      </c>
      <c r="AL21">
        <v>1</v>
      </c>
      <c r="AM21" t="s">
        <v>1362</v>
      </c>
      <c r="AN21" t="s">
        <v>1357</v>
      </c>
      <c r="AO21">
        <v>235.452</v>
      </c>
      <c r="AP21">
        <v>1</v>
      </c>
      <c r="AQ21">
        <v>0</v>
      </c>
      <c r="AR21">
        <v>235.45156</v>
      </c>
      <c r="AS21">
        <v>235.452</v>
      </c>
      <c r="AT21">
        <v>1</v>
      </c>
    </row>
    <row r="22" spans="1:46" hidden="1" x14ac:dyDescent="0.2">
      <c r="A22" t="s">
        <v>1407</v>
      </c>
      <c r="B22" t="s">
        <v>1408</v>
      </c>
      <c r="C22" t="s">
        <v>1407</v>
      </c>
      <c r="D22" t="s">
        <v>1355</v>
      </c>
      <c r="E22" t="s">
        <v>1356</v>
      </c>
      <c r="F22" t="s">
        <v>1357</v>
      </c>
      <c r="G22" t="s">
        <v>1355</v>
      </c>
      <c r="H22" t="s">
        <v>1367</v>
      </c>
      <c r="I22" t="s">
        <v>1209</v>
      </c>
      <c r="J22">
        <v>1</v>
      </c>
      <c r="K22">
        <v>10</v>
      </c>
      <c r="L22" t="s">
        <v>1407</v>
      </c>
      <c r="M22" t="s">
        <v>1407</v>
      </c>
      <c r="N22" t="s">
        <v>1355</v>
      </c>
      <c r="O22" t="s">
        <v>1359</v>
      </c>
      <c r="P22">
        <v>1</v>
      </c>
      <c r="Q22">
        <v>1</v>
      </c>
      <c r="R22">
        <v>0</v>
      </c>
      <c r="S22" t="s">
        <v>1355</v>
      </c>
      <c r="T22">
        <v>0</v>
      </c>
      <c r="U22">
        <v>0</v>
      </c>
      <c r="V22">
        <v>0</v>
      </c>
      <c r="W22" t="s">
        <v>1355</v>
      </c>
      <c r="X22" t="s">
        <v>1355</v>
      </c>
      <c r="Y22" t="s">
        <v>1355</v>
      </c>
      <c r="Z22">
        <v>0</v>
      </c>
      <c r="AA22">
        <v>0</v>
      </c>
      <c r="AB22">
        <v>0</v>
      </c>
      <c r="AC22" s="294">
        <v>41834</v>
      </c>
      <c r="AD22" s="294">
        <v>73050</v>
      </c>
      <c r="AE22" s="294">
        <v>41834</v>
      </c>
      <c r="AF22" t="s">
        <v>1367</v>
      </c>
      <c r="AG22">
        <v>0</v>
      </c>
      <c r="AH22" t="s">
        <v>1409</v>
      </c>
      <c r="AI22">
        <v>1</v>
      </c>
      <c r="AJ22">
        <v>1</v>
      </c>
      <c r="AK22">
        <v>0</v>
      </c>
      <c r="AL22">
        <v>1</v>
      </c>
      <c r="AM22" t="s">
        <v>1355</v>
      </c>
      <c r="AN22" t="s">
        <v>1357</v>
      </c>
      <c r="AO22">
        <v>218.9</v>
      </c>
      <c r="AP22">
        <v>2</v>
      </c>
      <c r="AQ22">
        <v>0</v>
      </c>
      <c r="AR22">
        <v>218.9</v>
      </c>
      <c r="AS22">
        <v>218.9</v>
      </c>
      <c r="AT22">
        <v>1</v>
      </c>
    </row>
    <row r="23" spans="1:46" hidden="1" x14ac:dyDescent="0.2">
      <c r="A23" t="s">
        <v>1369</v>
      </c>
      <c r="B23" t="s">
        <v>1370</v>
      </c>
      <c r="C23" t="s">
        <v>1369</v>
      </c>
      <c r="D23" t="s">
        <v>1355</v>
      </c>
      <c r="E23" t="s">
        <v>1356</v>
      </c>
      <c r="F23" t="s">
        <v>1357</v>
      </c>
      <c r="G23" t="s">
        <v>1355</v>
      </c>
      <c r="H23" t="s">
        <v>1367</v>
      </c>
      <c r="I23" t="s">
        <v>1209</v>
      </c>
      <c r="J23">
        <v>2</v>
      </c>
      <c r="K23">
        <v>20</v>
      </c>
      <c r="L23" t="s">
        <v>1369</v>
      </c>
      <c r="M23" t="s">
        <v>1369</v>
      </c>
      <c r="N23" t="s">
        <v>1355</v>
      </c>
      <c r="O23" t="s">
        <v>1359</v>
      </c>
      <c r="P23">
        <v>1</v>
      </c>
      <c r="Q23">
        <v>1</v>
      </c>
      <c r="R23">
        <v>0</v>
      </c>
      <c r="S23" t="s">
        <v>1355</v>
      </c>
      <c r="T23">
        <v>0</v>
      </c>
      <c r="U23">
        <v>0</v>
      </c>
      <c r="V23">
        <v>0</v>
      </c>
      <c r="W23" t="s">
        <v>1355</v>
      </c>
      <c r="X23" t="s">
        <v>1355</v>
      </c>
      <c r="Y23" t="s">
        <v>1355</v>
      </c>
      <c r="Z23">
        <v>0</v>
      </c>
      <c r="AA23">
        <v>0</v>
      </c>
      <c r="AB23">
        <v>0</v>
      </c>
      <c r="AC23" s="294">
        <v>41834</v>
      </c>
      <c r="AD23" s="294">
        <v>73050</v>
      </c>
      <c r="AE23" s="294">
        <v>41834</v>
      </c>
      <c r="AF23" t="s">
        <v>1367</v>
      </c>
      <c r="AG23">
        <v>0</v>
      </c>
      <c r="AH23" t="s">
        <v>1410</v>
      </c>
      <c r="AI23">
        <v>1</v>
      </c>
      <c r="AJ23">
        <v>1</v>
      </c>
      <c r="AK23">
        <v>0</v>
      </c>
      <c r="AL23">
        <v>1</v>
      </c>
      <c r="AM23" t="s">
        <v>1355</v>
      </c>
      <c r="AN23" t="s">
        <v>1357</v>
      </c>
      <c r="AO23">
        <v>16.552</v>
      </c>
      <c r="AP23">
        <v>2</v>
      </c>
      <c r="AQ23">
        <v>0</v>
      </c>
      <c r="AR23">
        <v>16.551559999999998</v>
      </c>
      <c r="AS23">
        <v>16.552</v>
      </c>
      <c r="AT23">
        <v>1</v>
      </c>
    </row>
    <row r="24" spans="1:46" x14ac:dyDescent="0.2">
      <c r="A24" t="s">
        <v>1210</v>
      </c>
      <c r="B24" t="s">
        <v>1411</v>
      </c>
      <c r="C24" t="s">
        <v>1210</v>
      </c>
      <c r="D24" t="s">
        <v>1355</v>
      </c>
      <c r="E24" t="s">
        <v>1356</v>
      </c>
      <c r="F24" t="s">
        <v>1357</v>
      </c>
      <c r="G24" t="s">
        <v>1355</v>
      </c>
      <c r="H24" t="s">
        <v>1358</v>
      </c>
      <c r="I24" t="s">
        <v>1353</v>
      </c>
      <c r="J24">
        <v>8</v>
      </c>
      <c r="K24">
        <v>80</v>
      </c>
      <c r="L24" t="s">
        <v>1210</v>
      </c>
      <c r="M24" t="s">
        <v>1210</v>
      </c>
      <c r="N24" t="s">
        <v>1355</v>
      </c>
      <c r="O24" t="s">
        <v>1359</v>
      </c>
      <c r="P24">
        <v>1</v>
      </c>
      <c r="Q24">
        <v>1</v>
      </c>
      <c r="R24">
        <v>0</v>
      </c>
      <c r="S24" t="s">
        <v>1355</v>
      </c>
      <c r="T24">
        <v>0</v>
      </c>
      <c r="U24">
        <v>0</v>
      </c>
      <c r="V24">
        <v>0</v>
      </c>
      <c r="W24" t="s">
        <v>1355</v>
      </c>
      <c r="X24" t="s">
        <v>1355</v>
      </c>
      <c r="Y24" t="s">
        <v>1355</v>
      </c>
      <c r="Z24">
        <v>0</v>
      </c>
      <c r="AA24">
        <v>0</v>
      </c>
      <c r="AB24">
        <v>0</v>
      </c>
      <c r="AC24" s="294">
        <v>36161</v>
      </c>
      <c r="AD24" s="294">
        <v>73050</v>
      </c>
      <c r="AE24" s="294">
        <v>41844</v>
      </c>
      <c r="AF24" t="s">
        <v>1358</v>
      </c>
      <c r="AG24">
        <v>0</v>
      </c>
      <c r="AH24" t="s">
        <v>1412</v>
      </c>
      <c r="AI24">
        <v>1</v>
      </c>
      <c r="AJ24">
        <v>1</v>
      </c>
      <c r="AK24">
        <v>0</v>
      </c>
      <c r="AL24">
        <v>1</v>
      </c>
      <c r="AM24" t="s">
        <v>1362</v>
      </c>
      <c r="AN24" t="s">
        <v>1357</v>
      </c>
      <c r="AO24">
        <v>79.435580000000002</v>
      </c>
      <c r="AP24">
        <v>1</v>
      </c>
      <c r="AQ24">
        <v>0</v>
      </c>
      <c r="AR24">
        <v>79.435370000000006</v>
      </c>
      <c r="AS24">
        <v>79.435580000000002</v>
      </c>
      <c r="AT24">
        <v>1</v>
      </c>
    </row>
    <row r="25" spans="1:46" hidden="1" x14ac:dyDescent="0.2">
      <c r="A25" t="s">
        <v>1413</v>
      </c>
      <c r="B25" t="s">
        <v>1414</v>
      </c>
      <c r="C25" t="s">
        <v>1413</v>
      </c>
      <c r="D25" t="s">
        <v>1355</v>
      </c>
      <c r="E25" t="s">
        <v>1356</v>
      </c>
      <c r="F25" t="s">
        <v>1357</v>
      </c>
      <c r="G25" t="s">
        <v>1355</v>
      </c>
      <c r="H25" t="s">
        <v>1367</v>
      </c>
      <c r="I25" t="s">
        <v>1210</v>
      </c>
      <c r="J25">
        <v>1</v>
      </c>
      <c r="K25">
        <v>10</v>
      </c>
      <c r="L25" t="s">
        <v>1413</v>
      </c>
      <c r="M25" t="s">
        <v>1413</v>
      </c>
      <c r="N25" t="s">
        <v>1355</v>
      </c>
      <c r="O25" t="s">
        <v>1359</v>
      </c>
      <c r="P25">
        <v>1</v>
      </c>
      <c r="Q25">
        <v>1</v>
      </c>
      <c r="R25">
        <v>0</v>
      </c>
      <c r="S25" t="s">
        <v>1355</v>
      </c>
      <c r="T25">
        <v>0</v>
      </c>
      <c r="U25">
        <v>0</v>
      </c>
      <c r="V25">
        <v>0</v>
      </c>
      <c r="W25" t="s">
        <v>1355</v>
      </c>
      <c r="X25" t="s">
        <v>1355</v>
      </c>
      <c r="Y25" t="s">
        <v>1355</v>
      </c>
      <c r="Z25">
        <v>0</v>
      </c>
      <c r="AA25">
        <v>0</v>
      </c>
      <c r="AB25">
        <v>0</v>
      </c>
      <c r="AC25" s="294">
        <v>41834</v>
      </c>
      <c r="AD25" s="294">
        <v>73050</v>
      </c>
      <c r="AE25" s="294">
        <v>41834</v>
      </c>
      <c r="AF25" t="s">
        <v>1367</v>
      </c>
      <c r="AG25">
        <v>0</v>
      </c>
      <c r="AH25" t="s">
        <v>1415</v>
      </c>
      <c r="AI25">
        <v>1</v>
      </c>
      <c r="AJ25">
        <v>1</v>
      </c>
      <c r="AK25">
        <v>0</v>
      </c>
      <c r="AL25">
        <v>1</v>
      </c>
      <c r="AM25" t="s">
        <v>1355</v>
      </c>
      <c r="AN25" t="s">
        <v>1357</v>
      </c>
      <c r="AO25">
        <v>75.003330000000005</v>
      </c>
      <c r="AP25">
        <v>2</v>
      </c>
      <c r="AQ25">
        <v>0</v>
      </c>
      <c r="AR25">
        <v>75.003</v>
      </c>
      <c r="AS25">
        <v>75.003330000000005</v>
      </c>
      <c r="AT25">
        <v>1</v>
      </c>
    </row>
    <row r="26" spans="1:46" hidden="1" x14ac:dyDescent="0.2">
      <c r="A26" t="s">
        <v>1416</v>
      </c>
      <c r="B26" t="s">
        <v>1417</v>
      </c>
      <c r="C26" t="s">
        <v>1416</v>
      </c>
      <c r="D26" t="s">
        <v>1355</v>
      </c>
      <c r="E26" t="s">
        <v>1356</v>
      </c>
      <c r="F26" t="s">
        <v>1357</v>
      </c>
      <c r="G26" t="s">
        <v>1355</v>
      </c>
      <c r="H26" t="s">
        <v>1367</v>
      </c>
      <c r="I26" t="s">
        <v>1210</v>
      </c>
      <c r="J26">
        <v>2</v>
      </c>
      <c r="K26">
        <v>20</v>
      </c>
      <c r="L26" t="s">
        <v>1416</v>
      </c>
      <c r="M26" t="s">
        <v>1416</v>
      </c>
      <c r="N26" t="s">
        <v>1355</v>
      </c>
      <c r="O26" t="s">
        <v>1359</v>
      </c>
      <c r="P26">
        <v>1</v>
      </c>
      <c r="Q26">
        <v>1</v>
      </c>
      <c r="R26">
        <v>0</v>
      </c>
      <c r="S26" t="s">
        <v>1355</v>
      </c>
      <c r="T26">
        <v>0</v>
      </c>
      <c r="U26">
        <v>0</v>
      </c>
      <c r="V26">
        <v>0</v>
      </c>
      <c r="W26" t="s">
        <v>1355</v>
      </c>
      <c r="X26" t="s">
        <v>1355</v>
      </c>
      <c r="Y26" t="s">
        <v>1355</v>
      </c>
      <c r="Z26">
        <v>0</v>
      </c>
      <c r="AA26">
        <v>0</v>
      </c>
      <c r="AB26">
        <v>0</v>
      </c>
      <c r="AC26" s="294">
        <v>41834</v>
      </c>
      <c r="AD26" s="294">
        <v>73050</v>
      </c>
      <c r="AE26" s="294">
        <v>41834</v>
      </c>
      <c r="AF26" t="s">
        <v>1367</v>
      </c>
      <c r="AG26">
        <v>0</v>
      </c>
      <c r="AH26" t="s">
        <v>1418</v>
      </c>
      <c r="AI26">
        <v>1</v>
      </c>
      <c r="AJ26">
        <v>1</v>
      </c>
      <c r="AK26">
        <v>0</v>
      </c>
      <c r="AL26">
        <v>1</v>
      </c>
      <c r="AM26" t="s">
        <v>1355</v>
      </c>
      <c r="AN26" t="s">
        <v>1357</v>
      </c>
      <c r="AO26">
        <v>4.4322499999999998</v>
      </c>
      <c r="AP26">
        <v>2</v>
      </c>
      <c r="AQ26">
        <v>0</v>
      </c>
      <c r="AR26">
        <v>4.4323699999999997</v>
      </c>
      <c r="AS26">
        <v>4.4322499999999998</v>
      </c>
      <c r="AT26">
        <v>1</v>
      </c>
    </row>
    <row r="27" spans="1:46" x14ac:dyDescent="0.2">
      <c r="A27" t="s">
        <v>1211</v>
      </c>
      <c r="B27" t="s">
        <v>1419</v>
      </c>
      <c r="C27" t="s">
        <v>1211</v>
      </c>
      <c r="D27" t="s">
        <v>1355</v>
      </c>
      <c r="E27" t="s">
        <v>1356</v>
      </c>
      <c r="F27" t="s">
        <v>1357</v>
      </c>
      <c r="G27" t="s">
        <v>1355</v>
      </c>
      <c r="H27" t="s">
        <v>1358</v>
      </c>
      <c r="I27" t="s">
        <v>1353</v>
      </c>
      <c r="J27">
        <v>9</v>
      </c>
      <c r="K27">
        <v>90</v>
      </c>
      <c r="L27" t="s">
        <v>1211</v>
      </c>
      <c r="M27" t="s">
        <v>1211</v>
      </c>
      <c r="N27" t="s">
        <v>1355</v>
      </c>
      <c r="O27" t="s">
        <v>1359</v>
      </c>
      <c r="P27">
        <v>1</v>
      </c>
      <c r="Q27">
        <v>1</v>
      </c>
      <c r="R27">
        <v>0</v>
      </c>
      <c r="S27" t="s">
        <v>1355</v>
      </c>
      <c r="T27">
        <v>0</v>
      </c>
      <c r="U27">
        <v>0</v>
      </c>
      <c r="V27">
        <v>0</v>
      </c>
      <c r="W27" t="s">
        <v>1355</v>
      </c>
      <c r="X27" t="s">
        <v>1355</v>
      </c>
      <c r="Y27" t="s">
        <v>1355</v>
      </c>
      <c r="Z27">
        <v>0</v>
      </c>
      <c r="AA27">
        <v>0</v>
      </c>
      <c r="AB27">
        <v>0</v>
      </c>
      <c r="AC27" s="294">
        <v>36161</v>
      </c>
      <c r="AD27" s="294">
        <v>73050</v>
      </c>
      <c r="AE27" s="294">
        <v>41844</v>
      </c>
      <c r="AF27" t="s">
        <v>1358</v>
      </c>
      <c r="AG27">
        <v>0</v>
      </c>
      <c r="AH27" t="s">
        <v>1420</v>
      </c>
      <c r="AI27">
        <v>1</v>
      </c>
      <c r="AJ27">
        <v>1</v>
      </c>
      <c r="AK27">
        <v>0</v>
      </c>
      <c r="AL27">
        <v>1</v>
      </c>
      <c r="AM27" t="s">
        <v>1362</v>
      </c>
      <c r="AN27" t="s">
        <v>1357</v>
      </c>
      <c r="AO27">
        <v>368.03267</v>
      </c>
      <c r="AP27">
        <v>1</v>
      </c>
      <c r="AQ27">
        <v>0</v>
      </c>
      <c r="AR27">
        <v>368.02791000000002</v>
      </c>
      <c r="AS27">
        <v>368.03267</v>
      </c>
      <c r="AT27">
        <v>1</v>
      </c>
    </row>
    <row r="28" spans="1:46" hidden="1" x14ac:dyDescent="0.2">
      <c r="A28" t="s">
        <v>1421</v>
      </c>
      <c r="B28" t="s">
        <v>1422</v>
      </c>
      <c r="C28" t="s">
        <v>1421</v>
      </c>
      <c r="D28" t="s">
        <v>1355</v>
      </c>
      <c r="E28" t="s">
        <v>1356</v>
      </c>
      <c r="F28" t="s">
        <v>1357</v>
      </c>
      <c r="G28" t="s">
        <v>1355</v>
      </c>
      <c r="H28" t="s">
        <v>1367</v>
      </c>
      <c r="I28" t="s">
        <v>1211</v>
      </c>
      <c r="J28">
        <v>1</v>
      </c>
      <c r="K28">
        <v>10</v>
      </c>
      <c r="L28" t="s">
        <v>1421</v>
      </c>
      <c r="M28" t="s">
        <v>1421</v>
      </c>
      <c r="N28" t="s">
        <v>1355</v>
      </c>
      <c r="O28" t="s">
        <v>1359</v>
      </c>
      <c r="P28">
        <v>1</v>
      </c>
      <c r="Q28">
        <v>1</v>
      </c>
      <c r="R28">
        <v>0</v>
      </c>
      <c r="S28" t="s">
        <v>1355</v>
      </c>
      <c r="T28">
        <v>0</v>
      </c>
      <c r="U28">
        <v>0</v>
      </c>
      <c r="V28">
        <v>0</v>
      </c>
      <c r="W28" t="s">
        <v>1355</v>
      </c>
      <c r="X28" t="s">
        <v>1355</v>
      </c>
      <c r="Y28" t="s">
        <v>1355</v>
      </c>
      <c r="Z28">
        <v>0</v>
      </c>
      <c r="AA28">
        <v>0</v>
      </c>
      <c r="AB28">
        <v>0</v>
      </c>
      <c r="AC28" s="294">
        <v>41834</v>
      </c>
      <c r="AD28" s="294">
        <v>73050</v>
      </c>
      <c r="AE28" s="294">
        <v>41834</v>
      </c>
      <c r="AF28" t="s">
        <v>1367</v>
      </c>
      <c r="AG28">
        <v>0</v>
      </c>
      <c r="AH28" t="s">
        <v>1423</v>
      </c>
      <c r="AI28">
        <v>1</v>
      </c>
      <c r="AJ28">
        <v>1</v>
      </c>
      <c r="AK28">
        <v>0</v>
      </c>
      <c r="AL28">
        <v>1</v>
      </c>
      <c r="AM28" t="s">
        <v>1355</v>
      </c>
      <c r="AN28" t="s">
        <v>1357</v>
      </c>
      <c r="AO28">
        <v>298.50666999999999</v>
      </c>
      <c r="AP28">
        <v>2</v>
      </c>
      <c r="AQ28">
        <v>0</v>
      </c>
      <c r="AR28">
        <v>298.50148000000002</v>
      </c>
      <c r="AS28">
        <v>298.50666999999999</v>
      </c>
      <c r="AT28">
        <v>1</v>
      </c>
    </row>
    <row r="29" spans="1:46" hidden="1" x14ac:dyDescent="0.2">
      <c r="A29" t="s">
        <v>1391</v>
      </c>
      <c r="B29" t="s">
        <v>1392</v>
      </c>
      <c r="C29" t="s">
        <v>1391</v>
      </c>
      <c r="D29" t="s">
        <v>1355</v>
      </c>
      <c r="E29" t="s">
        <v>1356</v>
      </c>
      <c r="F29" t="s">
        <v>1357</v>
      </c>
      <c r="G29" t="s">
        <v>1355</v>
      </c>
      <c r="H29" t="s">
        <v>1367</v>
      </c>
      <c r="I29" t="s">
        <v>1211</v>
      </c>
      <c r="J29">
        <v>2</v>
      </c>
      <c r="K29">
        <v>20</v>
      </c>
      <c r="L29" t="s">
        <v>1391</v>
      </c>
      <c r="M29" t="s">
        <v>1391</v>
      </c>
      <c r="N29" t="s">
        <v>1355</v>
      </c>
      <c r="O29" t="s">
        <v>1359</v>
      </c>
      <c r="P29">
        <v>1</v>
      </c>
      <c r="Q29">
        <v>1</v>
      </c>
      <c r="R29">
        <v>0</v>
      </c>
      <c r="S29" t="s">
        <v>1355</v>
      </c>
      <c r="T29">
        <v>0</v>
      </c>
      <c r="U29">
        <v>0</v>
      </c>
      <c r="V29">
        <v>0</v>
      </c>
      <c r="W29" t="s">
        <v>1355</v>
      </c>
      <c r="X29" t="s">
        <v>1355</v>
      </c>
      <c r="Y29" t="s">
        <v>1355</v>
      </c>
      <c r="Z29">
        <v>0</v>
      </c>
      <c r="AA29">
        <v>0</v>
      </c>
      <c r="AB29">
        <v>0</v>
      </c>
      <c r="AC29" s="294">
        <v>41834</v>
      </c>
      <c r="AD29" s="294">
        <v>73050</v>
      </c>
      <c r="AE29" s="294">
        <v>41834</v>
      </c>
      <c r="AF29" t="s">
        <v>1367</v>
      </c>
      <c r="AG29">
        <v>0</v>
      </c>
      <c r="AH29" t="s">
        <v>1424</v>
      </c>
      <c r="AI29">
        <v>1</v>
      </c>
      <c r="AJ29">
        <v>1</v>
      </c>
      <c r="AK29">
        <v>0</v>
      </c>
      <c r="AL29">
        <v>1</v>
      </c>
      <c r="AM29" t="s">
        <v>1355</v>
      </c>
      <c r="AN29" t="s">
        <v>1357</v>
      </c>
      <c r="AO29">
        <v>69.525999999999996</v>
      </c>
      <c r="AP29">
        <v>2</v>
      </c>
      <c r="AQ29">
        <v>0</v>
      </c>
      <c r="AR29">
        <v>69.526430000000005</v>
      </c>
      <c r="AS29">
        <v>69.525999999999996</v>
      </c>
      <c r="AT29">
        <v>1</v>
      </c>
    </row>
    <row r="30" spans="1:46" x14ac:dyDescent="0.2">
      <c r="A30" t="s">
        <v>1212</v>
      </c>
      <c r="B30" t="s">
        <v>1425</v>
      </c>
      <c r="C30" t="s">
        <v>1212</v>
      </c>
      <c r="D30" t="s">
        <v>1355</v>
      </c>
      <c r="E30" t="s">
        <v>1356</v>
      </c>
      <c r="F30" t="s">
        <v>1357</v>
      </c>
      <c r="G30" t="s">
        <v>1355</v>
      </c>
      <c r="H30" t="s">
        <v>1358</v>
      </c>
      <c r="I30" t="s">
        <v>1353</v>
      </c>
      <c r="J30">
        <v>10</v>
      </c>
      <c r="K30">
        <v>100</v>
      </c>
      <c r="L30" t="s">
        <v>1212</v>
      </c>
      <c r="M30" t="s">
        <v>1212</v>
      </c>
      <c r="N30" t="s">
        <v>1355</v>
      </c>
      <c r="O30" t="s">
        <v>1359</v>
      </c>
      <c r="P30">
        <v>1</v>
      </c>
      <c r="Q30">
        <v>1</v>
      </c>
      <c r="R30">
        <v>0</v>
      </c>
      <c r="S30" t="s">
        <v>1355</v>
      </c>
      <c r="T30">
        <v>0</v>
      </c>
      <c r="U30">
        <v>0</v>
      </c>
      <c r="V30">
        <v>0</v>
      </c>
      <c r="W30" t="s">
        <v>1355</v>
      </c>
      <c r="X30" t="s">
        <v>1355</v>
      </c>
      <c r="Y30" t="s">
        <v>1355</v>
      </c>
      <c r="Z30">
        <v>0</v>
      </c>
      <c r="AA30">
        <v>0</v>
      </c>
      <c r="AB30">
        <v>0</v>
      </c>
      <c r="AC30" s="294">
        <v>36161</v>
      </c>
      <c r="AD30" s="294">
        <v>73050</v>
      </c>
      <c r="AE30" s="294">
        <v>41844</v>
      </c>
      <c r="AF30" t="s">
        <v>1358</v>
      </c>
      <c r="AG30">
        <v>0</v>
      </c>
      <c r="AH30" t="s">
        <v>1426</v>
      </c>
      <c r="AI30">
        <v>1</v>
      </c>
      <c r="AJ30">
        <v>1</v>
      </c>
      <c r="AK30">
        <v>0</v>
      </c>
      <c r="AL30">
        <v>1</v>
      </c>
      <c r="AM30" t="s">
        <v>1362</v>
      </c>
      <c r="AN30" t="s">
        <v>1357</v>
      </c>
      <c r="AO30">
        <v>364.80200000000002</v>
      </c>
      <c r="AP30">
        <v>1</v>
      </c>
      <c r="AQ30">
        <v>0</v>
      </c>
      <c r="AR30">
        <v>364.80155999999999</v>
      </c>
      <c r="AS30">
        <v>364.80200000000002</v>
      </c>
      <c r="AT30">
        <v>1</v>
      </c>
    </row>
    <row r="31" spans="1:46" hidden="1" x14ac:dyDescent="0.2">
      <c r="A31" t="s">
        <v>1427</v>
      </c>
      <c r="B31" t="s">
        <v>1428</v>
      </c>
      <c r="C31" t="s">
        <v>1427</v>
      </c>
      <c r="D31" t="s">
        <v>1355</v>
      </c>
      <c r="E31" t="s">
        <v>1356</v>
      </c>
      <c r="F31" t="s">
        <v>1357</v>
      </c>
      <c r="G31" t="s">
        <v>1355</v>
      </c>
      <c r="H31" t="s">
        <v>1367</v>
      </c>
      <c r="I31" t="s">
        <v>1212</v>
      </c>
      <c r="J31">
        <v>1</v>
      </c>
      <c r="K31">
        <v>10</v>
      </c>
      <c r="L31" t="s">
        <v>1427</v>
      </c>
      <c r="M31" t="s">
        <v>1427</v>
      </c>
      <c r="N31" t="s">
        <v>1355</v>
      </c>
      <c r="O31" t="s">
        <v>1359</v>
      </c>
      <c r="P31">
        <v>1</v>
      </c>
      <c r="Q31">
        <v>1</v>
      </c>
      <c r="R31">
        <v>0</v>
      </c>
      <c r="S31" t="s">
        <v>1355</v>
      </c>
      <c r="T31">
        <v>0</v>
      </c>
      <c r="U31">
        <v>0</v>
      </c>
      <c r="V31">
        <v>0</v>
      </c>
      <c r="W31" t="s">
        <v>1355</v>
      </c>
      <c r="X31" t="s">
        <v>1355</v>
      </c>
      <c r="Y31" t="s">
        <v>1355</v>
      </c>
      <c r="Z31">
        <v>0</v>
      </c>
      <c r="AA31">
        <v>0</v>
      </c>
      <c r="AB31">
        <v>0</v>
      </c>
      <c r="AC31" s="294">
        <v>41834</v>
      </c>
      <c r="AD31" s="294">
        <v>73050</v>
      </c>
      <c r="AE31" s="294">
        <v>41834</v>
      </c>
      <c r="AF31" t="s">
        <v>1367</v>
      </c>
      <c r="AG31">
        <v>0</v>
      </c>
      <c r="AH31" t="s">
        <v>1429</v>
      </c>
      <c r="AI31">
        <v>1</v>
      </c>
      <c r="AJ31">
        <v>1</v>
      </c>
      <c r="AK31">
        <v>0</v>
      </c>
      <c r="AL31">
        <v>1</v>
      </c>
      <c r="AM31" t="s">
        <v>1355</v>
      </c>
      <c r="AN31" t="s">
        <v>1357</v>
      </c>
      <c r="AO31">
        <v>348.25</v>
      </c>
      <c r="AP31">
        <v>2</v>
      </c>
      <c r="AQ31">
        <v>0</v>
      </c>
      <c r="AR31">
        <v>348.25</v>
      </c>
      <c r="AS31">
        <v>348.25</v>
      </c>
      <c r="AT31">
        <v>1</v>
      </c>
    </row>
    <row r="32" spans="1:46" hidden="1" x14ac:dyDescent="0.2">
      <c r="A32" t="s">
        <v>1369</v>
      </c>
      <c r="B32" t="s">
        <v>1370</v>
      </c>
      <c r="C32" t="s">
        <v>1369</v>
      </c>
      <c r="D32" t="s">
        <v>1355</v>
      </c>
      <c r="E32" t="s">
        <v>1356</v>
      </c>
      <c r="F32" t="s">
        <v>1357</v>
      </c>
      <c r="G32" t="s">
        <v>1355</v>
      </c>
      <c r="H32" t="s">
        <v>1367</v>
      </c>
      <c r="I32" t="s">
        <v>1212</v>
      </c>
      <c r="J32">
        <v>2</v>
      </c>
      <c r="K32">
        <v>20</v>
      </c>
      <c r="L32" t="s">
        <v>1369</v>
      </c>
      <c r="M32" t="s">
        <v>1369</v>
      </c>
      <c r="N32" t="s">
        <v>1355</v>
      </c>
      <c r="O32" t="s">
        <v>1359</v>
      </c>
      <c r="P32">
        <v>1</v>
      </c>
      <c r="Q32">
        <v>1</v>
      </c>
      <c r="R32">
        <v>0</v>
      </c>
      <c r="S32" t="s">
        <v>1355</v>
      </c>
      <c r="T32">
        <v>0</v>
      </c>
      <c r="U32">
        <v>0</v>
      </c>
      <c r="V32">
        <v>0</v>
      </c>
      <c r="W32" t="s">
        <v>1355</v>
      </c>
      <c r="X32" t="s">
        <v>1355</v>
      </c>
      <c r="Y32" t="s">
        <v>1355</v>
      </c>
      <c r="Z32">
        <v>0</v>
      </c>
      <c r="AA32">
        <v>0</v>
      </c>
      <c r="AB32">
        <v>0</v>
      </c>
      <c r="AC32" s="294">
        <v>41834</v>
      </c>
      <c r="AD32" s="294">
        <v>73050</v>
      </c>
      <c r="AE32" s="294">
        <v>41834</v>
      </c>
      <c r="AF32" t="s">
        <v>1367</v>
      </c>
      <c r="AG32">
        <v>0</v>
      </c>
      <c r="AH32" t="s">
        <v>1430</v>
      </c>
      <c r="AI32">
        <v>1</v>
      </c>
      <c r="AJ32">
        <v>1</v>
      </c>
      <c r="AK32">
        <v>0</v>
      </c>
      <c r="AL32">
        <v>1</v>
      </c>
      <c r="AM32" t="s">
        <v>1355</v>
      </c>
      <c r="AN32" t="s">
        <v>1357</v>
      </c>
      <c r="AO32">
        <v>16.552</v>
      </c>
      <c r="AP32">
        <v>2</v>
      </c>
      <c r="AQ32">
        <v>0</v>
      </c>
      <c r="AR32">
        <v>16.551559999999998</v>
      </c>
      <c r="AS32">
        <v>16.552</v>
      </c>
      <c r="AT32">
        <v>1</v>
      </c>
    </row>
    <row r="33" spans="1:46" x14ac:dyDescent="0.2">
      <c r="A33" t="s">
        <v>1213</v>
      </c>
      <c r="B33" t="s">
        <v>1431</v>
      </c>
      <c r="C33" t="s">
        <v>1213</v>
      </c>
      <c r="D33" t="s">
        <v>1355</v>
      </c>
      <c r="E33" t="s">
        <v>1356</v>
      </c>
      <c r="F33" t="s">
        <v>1357</v>
      </c>
      <c r="G33" t="s">
        <v>1355</v>
      </c>
      <c r="H33" t="s">
        <v>1358</v>
      </c>
      <c r="I33" t="s">
        <v>1353</v>
      </c>
      <c r="J33">
        <v>11</v>
      </c>
      <c r="K33">
        <v>110</v>
      </c>
      <c r="L33" t="s">
        <v>1213</v>
      </c>
      <c r="M33" t="s">
        <v>1213</v>
      </c>
      <c r="N33" t="s">
        <v>1355</v>
      </c>
      <c r="O33" t="s">
        <v>1359</v>
      </c>
      <c r="P33">
        <v>1</v>
      </c>
      <c r="Q33">
        <v>1</v>
      </c>
      <c r="R33">
        <v>0</v>
      </c>
      <c r="S33" t="s">
        <v>1355</v>
      </c>
      <c r="T33">
        <v>0</v>
      </c>
      <c r="U33">
        <v>0</v>
      </c>
      <c r="V33">
        <v>0</v>
      </c>
      <c r="W33" t="s">
        <v>1355</v>
      </c>
      <c r="X33" t="s">
        <v>1355</v>
      </c>
      <c r="Y33" t="s">
        <v>1355</v>
      </c>
      <c r="Z33">
        <v>0</v>
      </c>
      <c r="AA33">
        <v>0</v>
      </c>
      <c r="AB33">
        <v>0</v>
      </c>
      <c r="AC33" s="294">
        <v>36161</v>
      </c>
      <c r="AD33" s="294">
        <v>73050</v>
      </c>
      <c r="AE33" s="294">
        <v>41844</v>
      </c>
      <c r="AF33" t="s">
        <v>1358</v>
      </c>
      <c r="AG33">
        <v>0</v>
      </c>
      <c r="AH33" t="s">
        <v>1432</v>
      </c>
      <c r="AI33">
        <v>1</v>
      </c>
      <c r="AJ33">
        <v>1</v>
      </c>
      <c r="AK33">
        <v>0</v>
      </c>
      <c r="AL33">
        <v>1</v>
      </c>
      <c r="AM33" t="s">
        <v>1362</v>
      </c>
      <c r="AN33" t="s">
        <v>1357</v>
      </c>
      <c r="AO33">
        <v>114.622</v>
      </c>
      <c r="AP33">
        <v>1</v>
      </c>
      <c r="AQ33">
        <v>0</v>
      </c>
      <c r="AR33">
        <v>114.62156</v>
      </c>
      <c r="AS33">
        <v>114.622</v>
      </c>
      <c r="AT33">
        <v>1</v>
      </c>
    </row>
    <row r="34" spans="1:46" hidden="1" x14ac:dyDescent="0.2">
      <c r="A34" t="s">
        <v>1433</v>
      </c>
      <c r="B34" t="s">
        <v>1434</v>
      </c>
      <c r="C34" t="s">
        <v>1433</v>
      </c>
      <c r="D34" t="s">
        <v>1355</v>
      </c>
      <c r="E34" t="s">
        <v>1356</v>
      </c>
      <c r="F34" t="s">
        <v>1357</v>
      </c>
      <c r="G34" t="s">
        <v>1355</v>
      </c>
      <c r="H34" t="s">
        <v>1367</v>
      </c>
      <c r="I34" t="s">
        <v>1213</v>
      </c>
      <c r="J34">
        <v>1</v>
      </c>
      <c r="K34">
        <v>10</v>
      </c>
      <c r="L34" t="s">
        <v>1433</v>
      </c>
      <c r="M34" t="s">
        <v>1433</v>
      </c>
      <c r="N34" t="s">
        <v>1355</v>
      </c>
      <c r="O34" t="s">
        <v>1359</v>
      </c>
      <c r="P34">
        <v>1</v>
      </c>
      <c r="Q34">
        <v>1</v>
      </c>
      <c r="R34">
        <v>0</v>
      </c>
      <c r="S34" t="s">
        <v>1355</v>
      </c>
      <c r="T34">
        <v>0</v>
      </c>
      <c r="U34">
        <v>0</v>
      </c>
      <c r="V34">
        <v>0</v>
      </c>
      <c r="W34" t="s">
        <v>1355</v>
      </c>
      <c r="X34" t="s">
        <v>1355</v>
      </c>
      <c r="Y34" t="s">
        <v>1355</v>
      </c>
      <c r="Z34">
        <v>0</v>
      </c>
      <c r="AA34">
        <v>0</v>
      </c>
      <c r="AB34">
        <v>0</v>
      </c>
      <c r="AC34" s="294">
        <v>41841</v>
      </c>
      <c r="AD34" s="294">
        <v>73050</v>
      </c>
      <c r="AE34" s="294">
        <v>41841</v>
      </c>
      <c r="AF34" t="s">
        <v>1367</v>
      </c>
      <c r="AG34">
        <v>0</v>
      </c>
      <c r="AH34" t="s">
        <v>1435</v>
      </c>
      <c r="AI34">
        <v>1</v>
      </c>
      <c r="AJ34">
        <v>1</v>
      </c>
      <c r="AK34">
        <v>0</v>
      </c>
      <c r="AL34">
        <v>1</v>
      </c>
      <c r="AM34" t="s">
        <v>1355</v>
      </c>
      <c r="AN34" t="s">
        <v>1357</v>
      </c>
      <c r="AO34">
        <v>98.07</v>
      </c>
      <c r="AP34">
        <v>2</v>
      </c>
      <c r="AQ34">
        <v>0</v>
      </c>
      <c r="AR34">
        <v>98.07</v>
      </c>
      <c r="AS34">
        <v>98.07</v>
      </c>
      <c r="AT34">
        <v>1</v>
      </c>
    </row>
    <row r="35" spans="1:46" hidden="1" x14ac:dyDescent="0.2">
      <c r="A35" t="s">
        <v>1369</v>
      </c>
      <c r="B35" t="s">
        <v>1370</v>
      </c>
      <c r="C35" t="s">
        <v>1369</v>
      </c>
      <c r="D35" t="s">
        <v>1355</v>
      </c>
      <c r="E35" t="s">
        <v>1356</v>
      </c>
      <c r="F35" t="s">
        <v>1357</v>
      </c>
      <c r="G35" t="s">
        <v>1355</v>
      </c>
      <c r="H35" t="s">
        <v>1367</v>
      </c>
      <c r="I35" t="s">
        <v>1213</v>
      </c>
      <c r="J35">
        <v>2</v>
      </c>
      <c r="K35">
        <v>20</v>
      </c>
      <c r="L35" t="s">
        <v>1369</v>
      </c>
      <c r="M35" t="s">
        <v>1369</v>
      </c>
      <c r="N35" t="s">
        <v>1355</v>
      </c>
      <c r="O35" t="s">
        <v>1359</v>
      </c>
      <c r="P35">
        <v>1</v>
      </c>
      <c r="Q35">
        <v>1</v>
      </c>
      <c r="R35">
        <v>0</v>
      </c>
      <c r="S35" t="s">
        <v>1355</v>
      </c>
      <c r="T35">
        <v>0</v>
      </c>
      <c r="U35">
        <v>0</v>
      </c>
      <c r="V35">
        <v>0</v>
      </c>
      <c r="W35" t="s">
        <v>1355</v>
      </c>
      <c r="X35" t="s">
        <v>1355</v>
      </c>
      <c r="Y35" t="s">
        <v>1355</v>
      </c>
      <c r="Z35">
        <v>0</v>
      </c>
      <c r="AA35">
        <v>0</v>
      </c>
      <c r="AB35">
        <v>0</v>
      </c>
      <c r="AC35" s="294">
        <v>41841</v>
      </c>
      <c r="AD35" s="294">
        <v>73050</v>
      </c>
      <c r="AE35" s="294">
        <v>41841</v>
      </c>
      <c r="AF35" t="s">
        <v>1367</v>
      </c>
      <c r="AG35">
        <v>0</v>
      </c>
      <c r="AH35" t="s">
        <v>1436</v>
      </c>
      <c r="AI35">
        <v>1</v>
      </c>
      <c r="AJ35">
        <v>1</v>
      </c>
      <c r="AK35">
        <v>0</v>
      </c>
      <c r="AL35">
        <v>1</v>
      </c>
      <c r="AM35" t="s">
        <v>1355</v>
      </c>
      <c r="AN35" t="s">
        <v>1357</v>
      </c>
      <c r="AO35">
        <v>16.552</v>
      </c>
      <c r="AP35">
        <v>2</v>
      </c>
      <c r="AQ35">
        <v>0</v>
      </c>
      <c r="AR35">
        <v>16.551559999999998</v>
      </c>
      <c r="AS35">
        <v>16.552</v>
      </c>
      <c r="AT35">
        <v>1</v>
      </c>
    </row>
    <row r="36" spans="1:46" x14ac:dyDescent="0.2">
      <c r="A36" t="s">
        <v>1214</v>
      </c>
      <c r="B36" t="s">
        <v>1437</v>
      </c>
      <c r="C36" t="s">
        <v>1214</v>
      </c>
      <c r="D36" t="s">
        <v>1355</v>
      </c>
      <c r="E36" t="s">
        <v>1356</v>
      </c>
      <c r="F36" t="s">
        <v>1357</v>
      </c>
      <c r="G36" t="s">
        <v>1355</v>
      </c>
      <c r="H36" t="s">
        <v>1358</v>
      </c>
      <c r="I36" t="s">
        <v>1353</v>
      </c>
      <c r="J36">
        <v>12</v>
      </c>
      <c r="K36">
        <v>120</v>
      </c>
      <c r="L36" t="s">
        <v>1214</v>
      </c>
      <c r="M36" t="s">
        <v>1214</v>
      </c>
      <c r="N36" t="s">
        <v>1355</v>
      </c>
      <c r="O36" t="s">
        <v>1359</v>
      </c>
      <c r="P36">
        <v>1</v>
      </c>
      <c r="Q36">
        <v>1</v>
      </c>
      <c r="R36">
        <v>0</v>
      </c>
      <c r="S36" t="s">
        <v>1355</v>
      </c>
      <c r="T36">
        <v>0</v>
      </c>
      <c r="U36">
        <v>0</v>
      </c>
      <c r="V36">
        <v>0</v>
      </c>
      <c r="W36" t="s">
        <v>1355</v>
      </c>
      <c r="X36" t="s">
        <v>1355</v>
      </c>
      <c r="Y36" t="s">
        <v>1355</v>
      </c>
      <c r="Z36">
        <v>0</v>
      </c>
      <c r="AA36">
        <v>0</v>
      </c>
      <c r="AB36">
        <v>0</v>
      </c>
      <c r="AC36" s="294">
        <v>36161</v>
      </c>
      <c r="AD36" s="294">
        <v>73050</v>
      </c>
      <c r="AE36" s="294">
        <v>41844</v>
      </c>
      <c r="AF36" t="s">
        <v>1358</v>
      </c>
      <c r="AG36">
        <v>0</v>
      </c>
      <c r="AH36" t="s">
        <v>1438</v>
      </c>
      <c r="AI36">
        <v>1</v>
      </c>
      <c r="AJ36">
        <v>1</v>
      </c>
      <c r="AK36">
        <v>0</v>
      </c>
      <c r="AL36">
        <v>1</v>
      </c>
      <c r="AM36" t="s">
        <v>1362</v>
      </c>
      <c r="AN36" t="s">
        <v>1357</v>
      </c>
      <c r="AO36">
        <v>457.41199999999998</v>
      </c>
      <c r="AP36">
        <v>1</v>
      </c>
      <c r="AQ36">
        <v>0</v>
      </c>
      <c r="AR36">
        <v>435.36655999999999</v>
      </c>
      <c r="AS36">
        <v>457.41199999999998</v>
      </c>
      <c r="AT36">
        <v>1</v>
      </c>
    </row>
    <row r="37" spans="1:46" hidden="1" x14ac:dyDescent="0.2">
      <c r="A37" t="s">
        <v>1439</v>
      </c>
      <c r="B37" t="s">
        <v>1440</v>
      </c>
      <c r="C37" t="s">
        <v>1439</v>
      </c>
      <c r="D37" t="s">
        <v>1355</v>
      </c>
      <c r="E37" t="s">
        <v>1356</v>
      </c>
      <c r="F37" t="s">
        <v>1357</v>
      </c>
      <c r="G37" t="s">
        <v>1355</v>
      </c>
      <c r="H37" t="s">
        <v>1367</v>
      </c>
      <c r="I37" t="s">
        <v>1214</v>
      </c>
      <c r="J37">
        <v>1</v>
      </c>
      <c r="K37">
        <v>10</v>
      </c>
      <c r="L37" t="s">
        <v>1439</v>
      </c>
      <c r="M37" t="s">
        <v>1439</v>
      </c>
      <c r="N37" t="s">
        <v>1355</v>
      </c>
      <c r="O37" t="s">
        <v>1359</v>
      </c>
      <c r="P37">
        <v>1</v>
      </c>
      <c r="Q37">
        <v>1</v>
      </c>
      <c r="R37">
        <v>0</v>
      </c>
      <c r="S37" t="s">
        <v>1355</v>
      </c>
      <c r="T37">
        <v>0</v>
      </c>
      <c r="U37">
        <v>0</v>
      </c>
      <c r="V37">
        <v>0</v>
      </c>
      <c r="W37" t="s">
        <v>1355</v>
      </c>
      <c r="X37" t="s">
        <v>1355</v>
      </c>
      <c r="Y37" t="s">
        <v>1355</v>
      </c>
      <c r="Z37">
        <v>0</v>
      </c>
      <c r="AA37">
        <v>0</v>
      </c>
      <c r="AB37">
        <v>0</v>
      </c>
      <c r="AC37" s="294">
        <v>41834</v>
      </c>
      <c r="AD37" s="294">
        <v>73050</v>
      </c>
      <c r="AE37" s="294">
        <v>41834</v>
      </c>
      <c r="AF37" t="s">
        <v>1367</v>
      </c>
      <c r="AG37">
        <v>0</v>
      </c>
      <c r="AH37" t="s">
        <v>1441</v>
      </c>
      <c r="AI37">
        <v>1</v>
      </c>
      <c r="AJ37">
        <v>1</v>
      </c>
      <c r="AK37">
        <v>0</v>
      </c>
      <c r="AL37">
        <v>1</v>
      </c>
      <c r="AM37" t="s">
        <v>1355</v>
      </c>
      <c r="AN37" t="s">
        <v>1357</v>
      </c>
      <c r="AO37">
        <v>440.86</v>
      </c>
      <c r="AP37">
        <v>2</v>
      </c>
      <c r="AQ37">
        <v>0</v>
      </c>
      <c r="AR37">
        <v>418.815</v>
      </c>
      <c r="AS37">
        <v>440.86</v>
      </c>
      <c r="AT37">
        <v>1</v>
      </c>
    </row>
    <row r="38" spans="1:46" hidden="1" x14ac:dyDescent="0.2">
      <c r="A38" t="s">
        <v>1369</v>
      </c>
      <c r="B38" t="s">
        <v>1370</v>
      </c>
      <c r="C38" t="s">
        <v>1369</v>
      </c>
      <c r="D38" t="s">
        <v>1355</v>
      </c>
      <c r="E38" t="s">
        <v>1356</v>
      </c>
      <c r="F38" t="s">
        <v>1357</v>
      </c>
      <c r="G38" t="s">
        <v>1355</v>
      </c>
      <c r="H38" t="s">
        <v>1367</v>
      </c>
      <c r="I38" t="s">
        <v>1214</v>
      </c>
      <c r="J38">
        <v>2</v>
      </c>
      <c r="K38">
        <v>20</v>
      </c>
      <c r="L38" t="s">
        <v>1369</v>
      </c>
      <c r="M38" t="s">
        <v>1369</v>
      </c>
      <c r="N38" t="s">
        <v>1355</v>
      </c>
      <c r="O38" t="s">
        <v>1359</v>
      </c>
      <c r="P38">
        <v>1</v>
      </c>
      <c r="Q38">
        <v>1</v>
      </c>
      <c r="R38">
        <v>0</v>
      </c>
      <c r="S38" t="s">
        <v>1355</v>
      </c>
      <c r="T38">
        <v>0</v>
      </c>
      <c r="U38">
        <v>0</v>
      </c>
      <c r="V38">
        <v>0</v>
      </c>
      <c r="W38" t="s">
        <v>1355</v>
      </c>
      <c r="X38" t="s">
        <v>1355</v>
      </c>
      <c r="Y38" t="s">
        <v>1355</v>
      </c>
      <c r="Z38">
        <v>0</v>
      </c>
      <c r="AA38">
        <v>0</v>
      </c>
      <c r="AB38">
        <v>0</v>
      </c>
      <c r="AC38" s="294">
        <v>41834</v>
      </c>
      <c r="AD38" s="294">
        <v>73050</v>
      </c>
      <c r="AE38" s="294">
        <v>41834</v>
      </c>
      <c r="AF38" t="s">
        <v>1367</v>
      </c>
      <c r="AG38">
        <v>0</v>
      </c>
      <c r="AH38" t="s">
        <v>1442</v>
      </c>
      <c r="AI38">
        <v>1</v>
      </c>
      <c r="AJ38">
        <v>1</v>
      </c>
      <c r="AK38">
        <v>0</v>
      </c>
      <c r="AL38">
        <v>1</v>
      </c>
      <c r="AM38" t="s">
        <v>1355</v>
      </c>
      <c r="AN38" t="s">
        <v>1357</v>
      </c>
      <c r="AO38">
        <v>16.552</v>
      </c>
      <c r="AP38">
        <v>2</v>
      </c>
      <c r="AQ38">
        <v>0</v>
      </c>
      <c r="AR38">
        <v>16.551559999999998</v>
      </c>
      <c r="AS38">
        <v>16.552</v>
      </c>
      <c r="AT38">
        <v>1</v>
      </c>
    </row>
    <row r="39" spans="1:46" x14ac:dyDescent="0.2">
      <c r="A39" t="s">
        <v>1215</v>
      </c>
      <c r="B39" t="s">
        <v>1443</v>
      </c>
      <c r="C39" t="s">
        <v>1215</v>
      </c>
      <c r="D39" t="s">
        <v>1355</v>
      </c>
      <c r="E39" t="s">
        <v>1356</v>
      </c>
      <c r="F39" t="s">
        <v>1357</v>
      </c>
      <c r="G39" t="s">
        <v>1355</v>
      </c>
      <c r="H39" t="s">
        <v>1358</v>
      </c>
      <c r="I39" t="s">
        <v>1353</v>
      </c>
      <c r="J39">
        <v>13</v>
      </c>
      <c r="K39">
        <v>130</v>
      </c>
      <c r="L39" t="s">
        <v>1215</v>
      </c>
      <c r="M39" t="s">
        <v>1215</v>
      </c>
      <c r="N39" t="s">
        <v>1355</v>
      </c>
      <c r="O39" t="s">
        <v>1359</v>
      </c>
      <c r="P39">
        <v>1</v>
      </c>
      <c r="Q39">
        <v>1</v>
      </c>
      <c r="R39">
        <v>0</v>
      </c>
      <c r="S39" t="s">
        <v>1355</v>
      </c>
      <c r="T39">
        <v>0</v>
      </c>
      <c r="U39">
        <v>0</v>
      </c>
      <c r="V39">
        <v>0</v>
      </c>
      <c r="W39" t="s">
        <v>1355</v>
      </c>
      <c r="X39" t="s">
        <v>1355</v>
      </c>
      <c r="Y39" t="s">
        <v>1355</v>
      </c>
      <c r="Z39">
        <v>0</v>
      </c>
      <c r="AA39">
        <v>0</v>
      </c>
      <c r="AB39">
        <v>0</v>
      </c>
      <c r="AC39" s="294">
        <v>36161</v>
      </c>
      <c r="AD39" s="294">
        <v>73050</v>
      </c>
      <c r="AE39" s="294">
        <v>41844</v>
      </c>
      <c r="AF39" t="s">
        <v>1358</v>
      </c>
      <c r="AG39">
        <v>0</v>
      </c>
      <c r="AH39" t="s">
        <v>1444</v>
      </c>
      <c r="AI39">
        <v>1</v>
      </c>
      <c r="AJ39">
        <v>1</v>
      </c>
      <c r="AK39">
        <v>0</v>
      </c>
      <c r="AL39">
        <v>1</v>
      </c>
      <c r="AM39" t="s">
        <v>1362</v>
      </c>
      <c r="AN39" t="s">
        <v>1357</v>
      </c>
      <c r="AO39">
        <v>709.202</v>
      </c>
      <c r="AP39">
        <v>1</v>
      </c>
      <c r="AQ39">
        <v>0</v>
      </c>
      <c r="AR39">
        <v>709.20155999999997</v>
      </c>
      <c r="AS39">
        <v>709.202</v>
      </c>
      <c r="AT39">
        <v>1</v>
      </c>
    </row>
    <row r="40" spans="1:46" hidden="1" x14ac:dyDescent="0.2">
      <c r="A40" t="s">
        <v>1445</v>
      </c>
      <c r="B40" t="s">
        <v>1446</v>
      </c>
      <c r="C40" t="s">
        <v>1445</v>
      </c>
      <c r="D40" t="s">
        <v>1355</v>
      </c>
      <c r="E40" t="s">
        <v>1356</v>
      </c>
      <c r="F40" t="s">
        <v>1357</v>
      </c>
      <c r="G40" t="s">
        <v>1355</v>
      </c>
      <c r="H40" t="s">
        <v>1367</v>
      </c>
      <c r="I40" t="s">
        <v>1215</v>
      </c>
      <c r="J40">
        <v>1</v>
      </c>
      <c r="K40">
        <v>10</v>
      </c>
      <c r="L40" t="s">
        <v>1445</v>
      </c>
      <c r="M40" t="s">
        <v>1445</v>
      </c>
      <c r="N40" t="s">
        <v>1355</v>
      </c>
      <c r="O40" t="s">
        <v>1359</v>
      </c>
      <c r="P40">
        <v>1</v>
      </c>
      <c r="Q40">
        <v>1</v>
      </c>
      <c r="R40">
        <v>0</v>
      </c>
      <c r="S40" t="s">
        <v>1355</v>
      </c>
      <c r="T40">
        <v>0</v>
      </c>
      <c r="U40">
        <v>0</v>
      </c>
      <c r="V40">
        <v>0</v>
      </c>
      <c r="W40" t="s">
        <v>1355</v>
      </c>
      <c r="X40" t="s">
        <v>1355</v>
      </c>
      <c r="Y40" t="s">
        <v>1355</v>
      </c>
      <c r="Z40">
        <v>0</v>
      </c>
      <c r="AA40">
        <v>0</v>
      </c>
      <c r="AB40">
        <v>0</v>
      </c>
      <c r="AC40" s="294">
        <v>41834</v>
      </c>
      <c r="AD40" s="294">
        <v>73050</v>
      </c>
      <c r="AE40" s="294">
        <v>41834</v>
      </c>
      <c r="AF40" t="s">
        <v>1367</v>
      </c>
      <c r="AG40">
        <v>0</v>
      </c>
      <c r="AH40" t="s">
        <v>1447</v>
      </c>
      <c r="AI40">
        <v>1</v>
      </c>
      <c r="AJ40">
        <v>1</v>
      </c>
      <c r="AK40">
        <v>0</v>
      </c>
      <c r="AL40">
        <v>1</v>
      </c>
      <c r="AM40" t="s">
        <v>1355</v>
      </c>
      <c r="AN40" t="s">
        <v>1357</v>
      </c>
      <c r="AO40">
        <v>692.65</v>
      </c>
      <c r="AP40">
        <v>2</v>
      </c>
      <c r="AQ40">
        <v>0</v>
      </c>
      <c r="AR40">
        <v>692.65</v>
      </c>
      <c r="AS40">
        <v>692.65</v>
      </c>
      <c r="AT40">
        <v>1</v>
      </c>
    </row>
    <row r="41" spans="1:46" hidden="1" x14ac:dyDescent="0.2">
      <c r="A41" t="s">
        <v>1369</v>
      </c>
      <c r="B41" t="s">
        <v>1370</v>
      </c>
      <c r="C41" t="s">
        <v>1369</v>
      </c>
      <c r="D41" t="s">
        <v>1355</v>
      </c>
      <c r="E41" t="s">
        <v>1356</v>
      </c>
      <c r="F41" t="s">
        <v>1357</v>
      </c>
      <c r="G41" t="s">
        <v>1355</v>
      </c>
      <c r="H41" t="s">
        <v>1367</v>
      </c>
      <c r="I41" t="s">
        <v>1215</v>
      </c>
      <c r="J41">
        <v>2</v>
      </c>
      <c r="K41">
        <v>20</v>
      </c>
      <c r="L41" t="s">
        <v>1369</v>
      </c>
      <c r="M41" t="s">
        <v>1369</v>
      </c>
      <c r="N41" t="s">
        <v>1355</v>
      </c>
      <c r="O41" t="s">
        <v>1359</v>
      </c>
      <c r="P41">
        <v>1</v>
      </c>
      <c r="Q41">
        <v>1</v>
      </c>
      <c r="R41">
        <v>0</v>
      </c>
      <c r="S41" t="s">
        <v>1355</v>
      </c>
      <c r="T41">
        <v>0</v>
      </c>
      <c r="U41">
        <v>0</v>
      </c>
      <c r="V41">
        <v>0</v>
      </c>
      <c r="W41" t="s">
        <v>1355</v>
      </c>
      <c r="X41" t="s">
        <v>1355</v>
      </c>
      <c r="Y41" t="s">
        <v>1355</v>
      </c>
      <c r="Z41">
        <v>0</v>
      </c>
      <c r="AA41">
        <v>0</v>
      </c>
      <c r="AB41">
        <v>0</v>
      </c>
      <c r="AC41" s="294">
        <v>41834</v>
      </c>
      <c r="AD41" s="294">
        <v>73050</v>
      </c>
      <c r="AE41" s="294">
        <v>41834</v>
      </c>
      <c r="AF41" t="s">
        <v>1367</v>
      </c>
      <c r="AG41">
        <v>0</v>
      </c>
      <c r="AH41" t="s">
        <v>1448</v>
      </c>
      <c r="AI41">
        <v>1</v>
      </c>
      <c r="AJ41">
        <v>1</v>
      </c>
      <c r="AK41">
        <v>0</v>
      </c>
      <c r="AL41">
        <v>1</v>
      </c>
      <c r="AM41" t="s">
        <v>1355</v>
      </c>
      <c r="AN41" t="s">
        <v>1357</v>
      </c>
      <c r="AO41">
        <v>16.552</v>
      </c>
      <c r="AP41">
        <v>2</v>
      </c>
      <c r="AQ41">
        <v>0</v>
      </c>
      <c r="AR41">
        <v>16.551559999999998</v>
      </c>
      <c r="AS41">
        <v>16.552</v>
      </c>
      <c r="AT41">
        <v>1</v>
      </c>
    </row>
    <row r="42" spans="1:46" s="295" customFormat="1" x14ac:dyDescent="0.2">
      <c r="A42" s="295" t="s">
        <v>1216</v>
      </c>
      <c r="B42" s="295" t="s">
        <v>1449</v>
      </c>
      <c r="C42" t="s">
        <v>1216</v>
      </c>
      <c r="D42" t="s">
        <v>1355</v>
      </c>
      <c r="E42" t="s">
        <v>1356</v>
      </c>
      <c r="F42" t="s">
        <v>1357</v>
      </c>
      <c r="G42" t="s">
        <v>1355</v>
      </c>
      <c r="H42" t="s">
        <v>1358</v>
      </c>
      <c r="I42" t="s">
        <v>1353</v>
      </c>
      <c r="J42">
        <v>14</v>
      </c>
      <c r="K42" s="295">
        <v>140</v>
      </c>
      <c r="L42" t="s">
        <v>1216</v>
      </c>
      <c r="M42" t="s">
        <v>1216</v>
      </c>
      <c r="N42" t="s">
        <v>1355</v>
      </c>
      <c r="O42" t="s">
        <v>1359</v>
      </c>
      <c r="P42" s="295">
        <v>1</v>
      </c>
      <c r="Q42">
        <v>1</v>
      </c>
      <c r="R42">
        <v>0</v>
      </c>
      <c r="S42" t="s">
        <v>1355</v>
      </c>
      <c r="T42">
        <v>0</v>
      </c>
      <c r="U42">
        <v>0</v>
      </c>
      <c r="V42">
        <v>0</v>
      </c>
      <c r="W42" t="s">
        <v>1355</v>
      </c>
      <c r="X42" t="s">
        <v>1355</v>
      </c>
      <c r="Y42" t="s">
        <v>1355</v>
      </c>
      <c r="Z42">
        <v>0</v>
      </c>
      <c r="AA42">
        <v>0</v>
      </c>
      <c r="AB42">
        <v>0</v>
      </c>
      <c r="AC42" s="294">
        <v>36161</v>
      </c>
      <c r="AD42" s="294">
        <v>73050</v>
      </c>
      <c r="AE42" s="294">
        <v>41844</v>
      </c>
      <c r="AF42" t="s">
        <v>1358</v>
      </c>
      <c r="AG42">
        <v>0</v>
      </c>
      <c r="AH42" t="s">
        <v>1450</v>
      </c>
      <c r="AI42">
        <v>1</v>
      </c>
      <c r="AJ42">
        <v>1</v>
      </c>
      <c r="AK42">
        <v>0</v>
      </c>
      <c r="AL42" s="295">
        <v>1</v>
      </c>
      <c r="AM42" t="s">
        <v>1451</v>
      </c>
      <c r="AN42" t="s">
        <v>1357</v>
      </c>
      <c r="AO42" s="295">
        <v>0</v>
      </c>
      <c r="AP42" s="295">
        <v>1</v>
      </c>
      <c r="AQ42">
        <v>0</v>
      </c>
      <c r="AR42">
        <v>0</v>
      </c>
      <c r="AS42" s="295">
        <v>0</v>
      </c>
      <c r="AT42">
        <v>1</v>
      </c>
    </row>
    <row r="43" spans="1:46" x14ac:dyDescent="0.2">
      <c r="A43" t="s">
        <v>1217</v>
      </c>
      <c r="B43" t="s">
        <v>1452</v>
      </c>
      <c r="C43" t="s">
        <v>1217</v>
      </c>
      <c r="D43" t="s">
        <v>1355</v>
      </c>
      <c r="E43" t="s">
        <v>1356</v>
      </c>
      <c r="F43" t="s">
        <v>1357</v>
      </c>
      <c r="G43" t="s">
        <v>1355</v>
      </c>
      <c r="H43" t="s">
        <v>1358</v>
      </c>
      <c r="I43" t="s">
        <v>1353</v>
      </c>
      <c r="J43">
        <v>15</v>
      </c>
      <c r="K43">
        <v>150</v>
      </c>
      <c r="L43" t="s">
        <v>1217</v>
      </c>
      <c r="M43" t="s">
        <v>1217</v>
      </c>
      <c r="N43" t="s">
        <v>1355</v>
      </c>
      <c r="O43" t="s">
        <v>1359</v>
      </c>
      <c r="P43">
        <v>1</v>
      </c>
      <c r="Q43">
        <v>1</v>
      </c>
      <c r="R43">
        <v>0</v>
      </c>
      <c r="S43" t="s">
        <v>1355</v>
      </c>
      <c r="T43">
        <v>0</v>
      </c>
      <c r="U43">
        <v>0</v>
      </c>
      <c r="V43">
        <v>0</v>
      </c>
      <c r="W43" t="s">
        <v>1355</v>
      </c>
      <c r="X43" t="s">
        <v>1355</v>
      </c>
      <c r="Y43" t="s">
        <v>1355</v>
      </c>
      <c r="Z43">
        <v>0</v>
      </c>
      <c r="AA43">
        <v>0</v>
      </c>
      <c r="AB43">
        <v>0</v>
      </c>
      <c r="AC43" s="294">
        <v>36161</v>
      </c>
      <c r="AD43" s="294">
        <v>73050</v>
      </c>
      <c r="AE43" s="294">
        <v>41844</v>
      </c>
      <c r="AF43" t="s">
        <v>1358</v>
      </c>
      <c r="AG43">
        <v>0</v>
      </c>
      <c r="AH43" t="s">
        <v>1453</v>
      </c>
      <c r="AI43">
        <v>1</v>
      </c>
      <c r="AJ43">
        <v>1</v>
      </c>
      <c r="AK43">
        <v>0</v>
      </c>
      <c r="AL43">
        <v>1</v>
      </c>
      <c r="AM43" t="s">
        <v>1362</v>
      </c>
      <c r="AN43" t="s">
        <v>1357</v>
      </c>
      <c r="AO43">
        <v>196.78800000000001</v>
      </c>
      <c r="AP43">
        <v>1</v>
      </c>
      <c r="AQ43">
        <v>0</v>
      </c>
      <c r="AR43">
        <v>196.78808000000001</v>
      </c>
      <c r="AS43">
        <v>196.78800000000001</v>
      </c>
      <c r="AT43">
        <v>1</v>
      </c>
    </row>
    <row r="44" spans="1:46" hidden="1" x14ac:dyDescent="0.2">
      <c r="A44" t="s">
        <v>1454</v>
      </c>
      <c r="B44" t="s">
        <v>1455</v>
      </c>
      <c r="C44" t="s">
        <v>1454</v>
      </c>
      <c r="D44" t="s">
        <v>1355</v>
      </c>
      <c r="E44" t="s">
        <v>1356</v>
      </c>
      <c r="F44" t="s">
        <v>1357</v>
      </c>
      <c r="G44" t="s">
        <v>1355</v>
      </c>
      <c r="H44" t="s">
        <v>1367</v>
      </c>
      <c r="I44" t="s">
        <v>1217</v>
      </c>
      <c r="J44">
        <v>1</v>
      </c>
      <c r="K44">
        <v>10</v>
      </c>
      <c r="L44" t="s">
        <v>1454</v>
      </c>
      <c r="M44" t="s">
        <v>1454</v>
      </c>
      <c r="N44" t="s">
        <v>1355</v>
      </c>
      <c r="O44" t="s">
        <v>1359</v>
      </c>
      <c r="P44">
        <v>1</v>
      </c>
      <c r="Q44">
        <v>1</v>
      </c>
      <c r="R44">
        <v>0</v>
      </c>
      <c r="S44" t="s">
        <v>1355</v>
      </c>
      <c r="T44">
        <v>0</v>
      </c>
      <c r="U44">
        <v>0</v>
      </c>
      <c r="V44">
        <v>0</v>
      </c>
      <c r="W44" t="s">
        <v>1355</v>
      </c>
      <c r="X44" t="s">
        <v>1355</v>
      </c>
      <c r="Y44" t="s">
        <v>1355</v>
      </c>
      <c r="Z44">
        <v>0</v>
      </c>
      <c r="AA44">
        <v>0</v>
      </c>
      <c r="AB44">
        <v>0</v>
      </c>
      <c r="AC44" s="294">
        <v>41834</v>
      </c>
      <c r="AD44" s="294">
        <v>73050</v>
      </c>
      <c r="AE44" s="294">
        <v>41834</v>
      </c>
      <c r="AF44" t="s">
        <v>1367</v>
      </c>
      <c r="AG44">
        <v>0</v>
      </c>
      <c r="AH44" t="s">
        <v>1456</v>
      </c>
      <c r="AI44">
        <v>1</v>
      </c>
      <c r="AJ44">
        <v>1</v>
      </c>
      <c r="AK44">
        <v>0</v>
      </c>
      <c r="AL44">
        <v>1</v>
      </c>
      <c r="AM44" t="s">
        <v>1355</v>
      </c>
      <c r="AN44" t="s">
        <v>1357</v>
      </c>
      <c r="AO44">
        <v>148.02799999999999</v>
      </c>
      <c r="AP44">
        <v>2</v>
      </c>
      <c r="AQ44">
        <v>0</v>
      </c>
      <c r="AR44">
        <v>148.02829</v>
      </c>
      <c r="AS44">
        <v>148.02799999999999</v>
      </c>
      <c r="AT44">
        <v>1</v>
      </c>
    </row>
    <row r="45" spans="1:46" hidden="1" x14ac:dyDescent="0.2">
      <c r="A45" t="s">
        <v>1457</v>
      </c>
      <c r="B45" t="s">
        <v>1458</v>
      </c>
      <c r="C45" t="s">
        <v>1457</v>
      </c>
      <c r="D45" t="s">
        <v>1355</v>
      </c>
      <c r="E45" t="s">
        <v>1356</v>
      </c>
      <c r="F45" t="s">
        <v>1357</v>
      </c>
      <c r="G45" t="s">
        <v>1355</v>
      </c>
      <c r="H45" t="s">
        <v>1367</v>
      </c>
      <c r="I45" t="s">
        <v>1217</v>
      </c>
      <c r="J45">
        <v>2</v>
      </c>
      <c r="K45">
        <v>20</v>
      </c>
      <c r="L45" t="s">
        <v>1457</v>
      </c>
      <c r="M45" t="s">
        <v>1457</v>
      </c>
      <c r="N45" t="s">
        <v>1355</v>
      </c>
      <c r="O45" t="s">
        <v>1359</v>
      </c>
      <c r="P45">
        <v>1</v>
      </c>
      <c r="Q45">
        <v>1</v>
      </c>
      <c r="R45">
        <v>0</v>
      </c>
      <c r="S45" t="s">
        <v>1355</v>
      </c>
      <c r="T45">
        <v>0</v>
      </c>
      <c r="U45">
        <v>0</v>
      </c>
      <c r="V45">
        <v>0</v>
      </c>
      <c r="W45" t="s">
        <v>1355</v>
      </c>
      <c r="X45" t="s">
        <v>1355</v>
      </c>
      <c r="Y45" t="s">
        <v>1355</v>
      </c>
      <c r="Z45">
        <v>0</v>
      </c>
      <c r="AA45">
        <v>0</v>
      </c>
      <c r="AB45">
        <v>0</v>
      </c>
      <c r="AC45" s="294">
        <v>41834</v>
      </c>
      <c r="AD45" s="294">
        <v>73050</v>
      </c>
      <c r="AE45" s="294">
        <v>41834</v>
      </c>
      <c r="AF45" t="s">
        <v>1367</v>
      </c>
      <c r="AG45">
        <v>0</v>
      </c>
      <c r="AH45" t="s">
        <v>1459</v>
      </c>
      <c r="AI45">
        <v>1</v>
      </c>
      <c r="AJ45">
        <v>1</v>
      </c>
      <c r="AK45">
        <v>0</v>
      </c>
      <c r="AL45">
        <v>1</v>
      </c>
      <c r="AM45" t="s">
        <v>1355</v>
      </c>
      <c r="AN45" t="s">
        <v>1357</v>
      </c>
      <c r="AO45">
        <v>24.208500000000001</v>
      </c>
      <c r="AP45">
        <v>2</v>
      </c>
      <c r="AQ45">
        <v>0</v>
      </c>
      <c r="AR45">
        <v>24.208300000000001</v>
      </c>
      <c r="AS45">
        <v>24.208500000000001</v>
      </c>
      <c r="AT45">
        <v>1</v>
      </c>
    </row>
    <row r="46" spans="1:46" hidden="1" x14ac:dyDescent="0.2">
      <c r="A46" t="s">
        <v>1460</v>
      </c>
      <c r="B46" t="s">
        <v>1461</v>
      </c>
      <c r="C46" t="s">
        <v>1460</v>
      </c>
      <c r="D46" t="s">
        <v>1355</v>
      </c>
      <c r="E46" t="s">
        <v>1356</v>
      </c>
      <c r="F46" t="s">
        <v>1357</v>
      </c>
      <c r="G46" t="s">
        <v>1355</v>
      </c>
      <c r="H46" t="s">
        <v>1367</v>
      </c>
      <c r="I46" t="s">
        <v>1217</v>
      </c>
      <c r="J46">
        <v>3</v>
      </c>
      <c r="K46">
        <v>30</v>
      </c>
      <c r="L46" t="s">
        <v>1460</v>
      </c>
      <c r="M46" t="s">
        <v>1460</v>
      </c>
      <c r="N46" t="s">
        <v>1355</v>
      </c>
      <c r="O46" t="s">
        <v>1359</v>
      </c>
      <c r="P46">
        <v>1</v>
      </c>
      <c r="Q46">
        <v>1</v>
      </c>
      <c r="R46">
        <v>0</v>
      </c>
      <c r="S46" t="s">
        <v>1355</v>
      </c>
      <c r="T46">
        <v>0</v>
      </c>
      <c r="U46">
        <v>0</v>
      </c>
      <c r="V46">
        <v>0</v>
      </c>
      <c r="W46" t="s">
        <v>1355</v>
      </c>
      <c r="X46" t="s">
        <v>1355</v>
      </c>
      <c r="Y46" t="s">
        <v>1355</v>
      </c>
      <c r="Z46">
        <v>0</v>
      </c>
      <c r="AA46">
        <v>0</v>
      </c>
      <c r="AB46">
        <v>0</v>
      </c>
      <c r="AC46" s="294">
        <v>41834</v>
      </c>
      <c r="AD46" s="294">
        <v>73050</v>
      </c>
      <c r="AE46" s="294">
        <v>41834</v>
      </c>
      <c r="AF46" t="s">
        <v>1367</v>
      </c>
      <c r="AG46">
        <v>0</v>
      </c>
      <c r="AH46" t="s">
        <v>1462</v>
      </c>
      <c r="AI46">
        <v>1</v>
      </c>
      <c r="AJ46">
        <v>1</v>
      </c>
      <c r="AK46">
        <v>0</v>
      </c>
      <c r="AL46">
        <v>1</v>
      </c>
      <c r="AM46" t="s">
        <v>1355</v>
      </c>
      <c r="AN46" t="s">
        <v>1357</v>
      </c>
      <c r="AO46">
        <v>20.447500000000002</v>
      </c>
      <c r="AP46">
        <v>2</v>
      </c>
      <c r="AQ46">
        <v>0</v>
      </c>
      <c r="AR46">
        <v>20.447420000000001</v>
      </c>
      <c r="AS46">
        <v>20.447500000000002</v>
      </c>
      <c r="AT46">
        <v>1</v>
      </c>
    </row>
    <row r="47" spans="1:46" hidden="1" x14ac:dyDescent="0.2">
      <c r="A47" t="s">
        <v>1463</v>
      </c>
      <c r="B47" t="s">
        <v>1417</v>
      </c>
      <c r="C47" t="s">
        <v>1463</v>
      </c>
      <c r="D47" t="s">
        <v>1355</v>
      </c>
      <c r="E47" t="s">
        <v>1356</v>
      </c>
      <c r="F47" t="s">
        <v>1357</v>
      </c>
      <c r="G47" t="s">
        <v>1355</v>
      </c>
      <c r="H47" t="s">
        <v>1367</v>
      </c>
      <c r="I47" t="s">
        <v>1217</v>
      </c>
      <c r="J47">
        <v>4</v>
      </c>
      <c r="K47">
        <v>40</v>
      </c>
      <c r="L47" t="s">
        <v>1463</v>
      </c>
      <c r="M47" t="s">
        <v>1463</v>
      </c>
      <c r="N47" t="s">
        <v>1355</v>
      </c>
      <c r="O47" t="s">
        <v>1359</v>
      </c>
      <c r="P47">
        <v>1</v>
      </c>
      <c r="Q47">
        <v>1</v>
      </c>
      <c r="R47">
        <v>0</v>
      </c>
      <c r="S47" t="s">
        <v>1355</v>
      </c>
      <c r="T47">
        <v>0</v>
      </c>
      <c r="U47">
        <v>0</v>
      </c>
      <c r="V47">
        <v>0</v>
      </c>
      <c r="W47" t="s">
        <v>1355</v>
      </c>
      <c r="X47" t="s">
        <v>1355</v>
      </c>
      <c r="Y47" t="s">
        <v>1355</v>
      </c>
      <c r="Z47">
        <v>0</v>
      </c>
      <c r="AA47">
        <v>0</v>
      </c>
      <c r="AB47">
        <v>0</v>
      </c>
      <c r="AC47" s="294">
        <v>41834</v>
      </c>
      <c r="AD47" s="294">
        <v>73050</v>
      </c>
      <c r="AE47" s="294">
        <v>41834</v>
      </c>
      <c r="AF47" t="s">
        <v>1367</v>
      </c>
      <c r="AG47">
        <v>0</v>
      </c>
      <c r="AH47" t="s">
        <v>1464</v>
      </c>
      <c r="AI47">
        <v>1</v>
      </c>
      <c r="AJ47">
        <v>1</v>
      </c>
      <c r="AK47">
        <v>0</v>
      </c>
      <c r="AL47">
        <v>1</v>
      </c>
      <c r="AM47" t="s">
        <v>1355</v>
      </c>
      <c r="AN47" t="s">
        <v>1357</v>
      </c>
      <c r="AO47">
        <v>4.1040000000000001</v>
      </c>
      <c r="AP47">
        <v>2</v>
      </c>
      <c r="AQ47">
        <v>0</v>
      </c>
      <c r="AR47">
        <v>4.1040700000000001</v>
      </c>
      <c r="AS47">
        <v>4.1040000000000001</v>
      </c>
      <c r="AT47">
        <v>1</v>
      </c>
    </row>
    <row r="48" spans="1:46" x14ac:dyDescent="0.2">
      <c r="A48" t="s">
        <v>1220</v>
      </c>
      <c r="B48" t="s">
        <v>1465</v>
      </c>
      <c r="C48" t="s">
        <v>1220</v>
      </c>
      <c r="D48" t="s">
        <v>1355</v>
      </c>
      <c r="E48" t="s">
        <v>1356</v>
      </c>
      <c r="F48" t="s">
        <v>1357</v>
      </c>
      <c r="G48" t="s">
        <v>1355</v>
      </c>
      <c r="H48" t="s">
        <v>1358</v>
      </c>
      <c r="I48" t="s">
        <v>1353</v>
      </c>
      <c r="J48">
        <v>16</v>
      </c>
      <c r="K48">
        <v>160</v>
      </c>
      <c r="L48" t="s">
        <v>1220</v>
      </c>
      <c r="M48" t="s">
        <v>1220</v>
      </c>
      <c r="N48" t="s">
        <v>1355</v>
      </c>
      <c r="O48" t="s">
        <v>1359</v>
      </c>
      <c r="P48">
        <v>1</v>
      </c>
      <c r="Q48">
        <v>1</v>
      </c>
      <c r="R48">
        <v>0</v>
      </c>
      <c r="S48" t="s">
        <v>1355</v>
      </c>
      <c r="T48">
        <v>0</v>
      </c>
      <c r="U48">
        <v>0</v>
      </c>
      <c r="V48">
        <v>0</v>
      </c>
      <c r="W48" t="s">
        <v>1355</v>
      </c>
      <c r="X48" t="s">
        <v>1355</v>
      </c>
      <c r="Y48" t="s">
        <v>1355</v>
      </c>
      <c r="Z48">
        <v>0</v>
      </c>
      <c r="AA48">
        <v>0</v>
      </c>
      <c r="AB48">
        <v>0</v>
      </c>
      <c r="AC48" s="294">
        <v>36161</v>
      </c>
      <c r="AD48" s="294">
        <v>73050</v>
      </c>
      <c r="AE48" s="294">
        <v>41844</v>
      </c>
      <c r="AF48" t="s">
        <v>1358</v>
      </c>
      <c r="AG48">
        <v>0</v>
      </c>
      <c r="AH48" t="s">
        <v>1466</v>
      </c>
      <c r="AI48">
        <v>1</v>
      </c>
      <c r="AJ48">
        <v>1</v>
      </c>
      <c r="AK48">
        <v>0</v>
      </c>
      <c r="AL48">
        <v>1</v>
      </c>
      <c r="AM48" t="s">
        <v>1362</v>
      </c>
      <c r="AN48" t="s">
        <v>1357</v>
      </c>
      <c r="AO48">
        <v>19.235250000000001</v>
      </c>
      <c r="AP48">
        <v>1</v>
      </c>
      <c r="AQ48">
        <v>0</v>
      </c>
      <c r="AR48">
        <v>19.235199999999999</v>
      </c>
      <c r="AS48">
        <v>19.235250000000001</v>
      </c>
      <c r="AT48">
        <v>1</v>
      </c>
    </row>
    <row r="49" spans="1:46" hidden="1" x14ac:dyDescent="0.2">
      <c r="A49" t="s">
        <v>1467</v>
      </c>
      <c r="B49" t="s">
        <v>1468</v>
      </c>
      <c r="C49" t="s">
        <v>1467</v>
      </c>
      <c r="D49" t="s">
        <v>1355</v>
      </c>
      <c r="E49" t="s">
        <v>1356</v>
      </c>
      <c r="F49" t="s">
        <v>1357</v>
      </c>
      <c r="G49" t="s">
        <v>1355</v>
      </c>
      <c r="H49" t="s">
        <v>1367</v>
      </c>
      <c r="I49" t="s">
        <v>1220</v>
      </c>
      <c r="J49">
        <v>1</v>
      </c>
      <c r="K49">
        <v>10</v>
      </c>
      <c r="L49" t="s">
        <v>1467</v>
      </c>
      <c r="M49" t="s">
        <v>1467</v>
      </c>
      <c r="N49" t="s">
        <v>1355</v>
      </c>
      <c r="O49" t="s">
        <v>1359</v>
      </c>
      <c r="P49">
        <v>1</v>
      </c>
      <c r="Q49">
        <v>1</v>
      </c>
      <c r="R49">
        <v>0</v>
      </c>
      <c r="S49" t="s">
        <v>1355</v>
      </c>
      <c r="T49">
        <v>0</v>
      </c>
      <c r="U49">
        <v>0</v>
      </c>
      <c r="V49">
        <v>0</v>
      </c>
      <c r="W49" t="s">
        <v>1355</v>
      </c>
      <c r="X49" t="s">
        <v>1355</v>
      </c>
      <c r="Y49" t="s">
        <v>1355</v>
      </c>
      <c r="Z49">
        <v>0</v>
      </c>
      <c r="AA49">
        <v>0</v>
      </c>
      <c r="AB49">
        <v>0</v>
      </c>
      <c r="AC49" s="294">
        <v>41834</v>
      </c>
      <c r="AD49" s="294">
        <v>73050</v>
      </c>
      <c r="AE49" s="294">
        <v>41834</v>
      </c>
      <c r="AF49" t="s">
        <v>1367</v>
      </c>
      <c r="AG49">
        <v>0</v>
      </c>
      <c r="AH49" t="s">
        <v>1469</v>
      </c>
      <c r="AI49">
        <v>1</v>
      </c>
      <c r="AJ49">
        <v>1</v>
      </c>
      <c r="AK49">
        <v>0</v>
      </c>
      <c r="AL49">
        <v>1</v>
      </c>
      <c r="AM49" t="s">
        <v>1355</v>
      </c>
      <c r="AN49" t="s">
        <v>1357</v>
      </c>
      <c r="AO49">
        <v>14.803000000000001</v>
      </c>
      <c r="AP49">
        <v>2</v>
      </c>
      <c r="AQ49">
        <v>0</v>
      </c>
      <c r="AR49">
        <v>14.80283</v>
      </c>
      <c r="AS49">
        <v>14.803000000000001</v>
      </c>
      <c r="AT49">
        <v>1</v>
      </c>
    </row>
    <row r="50" spans="1:46" hidden="1" x14ac:dyDescent="0.2">
      <c r="A50" t="s">
        <v>1416</v>
      </c>
      <c r="B50" t="s">
        <v>1417</v>
      </c>
      <c r="C50" t="s">
        <v>1416</v>
      </c>
      <c r="D50" t="s">
        <v>1355</v>
      </c>
      <c r="E50" t="s">
        <v>1356</v>
      </c>
      <c r="F50" t="s">
        <v>1357</v>
      </c>
      <c r="G50" t="s">
        <v>1355</v>
      </c>
      <c r="H50" t="s">
        <v>1367</v>
      </c>
      <c r="I50" t="s">
        <v>1220</v>
      </c>
      <c r="J50">
        <v>2</v>
      </c>
      <c r="K50">
        <v>20</v>
      </c>
      <c r="L50" t="s">
        <v>1416</v>
      </c>
      <c r="M50" t="s">
        <v>1416</v>
      </c>
      <c r="N50" t="s">
        <v>1355</v>
      </c>
      <c r="O50" t="s">
        <v>1359</v>
      </c>
      <c r="P50">
        <v>1</v>
      </c>
      <c r="Q50">
        <v>1</v>
      </c>
      <c r="R50">
        <v>0</v>
      </c>
      <c r="S50" t="s">
        <v>1355</v>
      </c>
      <c r="T50">
        <v>0</v>
      </c>
      <c r="U50">
        <v>0</v>
      </c>
      <c r="V50">
        <v>0</v>
      </c>
      <c r="W50" t="s">
        <v>1355</v>
      </c>
      <c r="X50" t="s">
        <v>1355</v>
      </c>
      <c r="Y50" t="s">
        <v>1355</v>
      </c>
      <c r="Z50">
        <v>0</v>
      </c>
      <c r="AA50">
        <v>0</v>
      </c>
      <c r="AB50">
        <v>0</v>
      </c>
      <c r="AC50" s="294">
        <v>41834</v>
      </c>
      <c r="AD50" s="294">
        <v>73050</v>
      </c>
      <c r="AE50" s="294">
        <v>41834</v>
      </c>
      <c r="AF50" t="s">
        <v>1367</v>
      </c>
      <c r="AG50">
        <v>0</v>
      </c>
      <c r="AH50" t="s">
        <v>1470</v>
      </c>
      <c r="AI50">
        <v>1</v>
      </c>
      <c r="AJ50">
        <v>1</v>
      </c>
      <c r="AK50">
        <v>0</v>
      </c>
      <c r="AL50">
        <v>1</v>
      </c>
      <c r="AM50" t="s">
        <v>1355</v>
      </c>
      <c r="AN50" t="s">
        <v>1357</v>
      </c>
      <c r="AO50">
        <v>4.4322499999999998</v>
      </c>
      <c r="AP50">
        <v>2</v>
      </c>
      <c r="AQ50">
        <v>0</v>
      </c>
      <c r="AR50">
        <v>4.4323699999999997</v>
      </c>
      <c r="AS50">
        <v>4.4322499999999998</v>
      </c>
      <c r="AT50">
        <v>1</v>
      </c>
    </row>
    <row r="51" spans="1:46" x14ac:dyDescent="0.2">
      <c r="A51" t="s">
        <v>1221</v>
      </c>
      <c r="B51" t="s">
        <v>1471</v>
      </c>
      <c r="C51" t="s">
        <v>1221</v>
      </c>
      <c r="D51" t="s">
        <v>1355</v>
      </c>
      <c r="E51" t="s">
        <v>1356</v>
      </c>
      <c r="F51" t="s">
        <v>1357</v>
      </c>
      <c r="G51" t="s">
        <v>1355</v>
      </c>
      <c r="H51" t="s">
        <v>1358</v>
      </c>
      <c r="I51" t="s">
        <v>1353</v>
      </c>
      <c r="J51">
        <v>17</v>
      </c>
      <c r="K51">
        <v>170</v>
      </c>
      <c r="L51" t="s">
        <v>1221</v>
      </c>
      <c r="M51" t="s">
        <v>1221</v>
      </c>
      <c r="N51" t="s">
        <v>1355</v>
      </c>
      <c r="O51" t="s">
        <v>1359</v>
      </c>
      <c r="P51">
        <v>1</v>
      </c>
      <c r="Q51">
        <v>1</v>
      </c>
      <c r="R51">
        <v>0</v>
      </c>
      <c r="S51" t="s">
        <v>1355</v>
      </c>
      <c r="T51">
        <v>0</v>
      </c>
      <c r="U51">
        <v>0</v>
      </c>
      <c r="V51">
        <v>0</v>
      </c>
      <c r="W51" t="s">
        <v>1355</v>
      </c>
      <c r="X51" t="s">
        <v>1355</v>
      </c>
      <c r="Y51" t="s">
        <v>1355</v>
      </c>
      <c r="Z51">
        <v>0</v>
      </c>
      <c r="AA51">
        <v>0</v>
      </c>
      <c r="AB51">
        <v>0</v>
      </c>
      <c r="AC51" s="294">
        <v>36161</v>
      </c>
      <c r="AD51" s="294">
        <v>73050</v>
      </c>
      <c r="AE51" s="294">
        <v>41844</v>
      </c>
      <c r="AF51" t="s">
        <v>1358</v>
      </c>
      <c r="AG51">
        <v>0</v>
      </c>
      <c r="AH51" t="s">
        <v>1472</v>
      </c>
      <c r="AI51">
        <v>1</v>
      </c>
      <c r="AJ51">
        <v>1</v>
      </c>
      <c r="AK51">
        <v>0</v>
      </c>
      <c r="AL51">
        <v>1</v>
      </c>
      <c r="AM51" t="s">
        <v>1362</v>
      </c>
      <c r="AN51" t="s">
        <v>1357</v>
      </c>
      <c r="AO51">
        <v>38.174250000000001</v>
      </c>
      <c r="AP51">
        <v>1</v>
      </c>
      <c r="AQ51">
        <v>0</v>
      </c>
      <c r="AR51">
        <v>44.618369999999999</v>
      </c>
      <c r="AS51">
        <v>38.174250000000001</v>
      </c>
      <c r="AT51">
        <v>1</v>
      </c>
    </row>
    <row r="52" spans="1:46" hidden="1" x14ac:dyDescent="0.2">
      <c r="A52" t="s">
        <v>1473</v>
      </c>
      <c r="B52" t="s">
        <v>1474</v>
      </c>
      <c r="C52" t="s">
        <v>1473</v>
      </c>
      <c r="D52" t="s">
        <v>1355</v>
      </c>
      <c r="E52" t="s">
        <v>1356</v>
      </c>
      <c r="F52" t="s">
        <v>1357</v>
      </c>
      <c r="G52" t="s">
        <v>1355</v>
      </c>
      <c r="H52" t="s">
        <v>1367</v>
      </c>
      <c r="I52" t="s">
        <v>1221</v>
      </c>
      <c r="J52">
        <v>1</v>
      </c>
      <c r="K52">
        <v>10</v>
      </c>
      <c r="L52" t="s">
        <v>1473</v>
      </c>
      <c r="M52" t="s">
        <v>1473</v>
      </c>
      <c r="N52" t="s">
        <v>1355</v>
      </c>
      <c r="O52" t="s">
        <v>1359</v>
      </c>
      <c r="P52">
        <v>1</v>
      </c>
      <c r="Q52">
        <v>1</v>
      </c>
      <c r="R52">
        <v>0</v>
      </c>
      <c r="S52" t="s">
        <v>1355</v>
      </c>
      <c r="T52">
        <v>0</v>
      </c>
      <c r="U52">
        <v>0</v>
      </c>
      <c r="V52">
        <v>0</v>
      </c>
      <c r="W52" t="s">
        <v>1355</v>
      </c>
      <c r="X52" t="s">
        <v>1355</v>
      </c>
      <c r="Y52" t="s">
        <v>1355</v>
      </c>
      <c r="Z52">
        <v>0</v>
      </c>
      <c r="AA52">
        <v>0</v>
      </c>
      <c r="AB52">
        <v>0</v>
      </c>
      <c r="AC52" s="294">
        <v>41834</v>
      </c>
      <c r="AD52" s="294">
        <v>73050</v>
      </c>
      <c r="AE52" s="294">
        <v>41834</v>
      </c>
      <c r="AF52" t="s">
        <v>1367</v>
      </c>
      <c r="AG52">
        <v>0</v>
      </c>
      <c r="AH52" t="s">
        <v>1475</v>
      </c>
      <c r="AI52">
        <v>1</v>
      </c>
      <c r="AJ52">
        <v>1</v>
      </c>
      <c r="AK52">
        <v>0</v>
      </c>
      <c r="AL52">
        <v>1</v>
      </c>
      <c r="AM52" t="s">
        <v>1355</v>
      </c>
      <c r="AN52" t="s">
        <v>1357</v>
      </c>
      <c r="AO52">
        <v>33.741999999999997</v>
      </c>
      <c r="AP52">
        <v>2</v>
      </c>
      <c r="AQ52">
        <v>0</v>
      </c>
      <c r="AR52">
        <v>40.186</v>
      </c>
      <c r="AS52">
        <v>33.741999999999997</v>
      </c>
      <c r="AT52">
        <v>1</v>
      </c>
    </row>
    <row r="53" spans="1:46" hidden="1" x14ac:dyDescent="0.2">
      <c r="A53" t="s">
        <v>1416</v>
      </c>
      <c r="B53" t="s">
        <v>1417</v>
      </c>
      <c r="C53" t="s">
        <v>1416</v>
      </c>
      <c r="D53" t="s">
        <v>1355</v>
      </c>
      <c r="E53" t="s">
        <v>1356</v>
      </c>
      <c r="F53" t="s">
        <v>1357</v>
      </c>
      <c r="G53" t="s">
        <v>1355</v>
      </c>
      <c r="H53" t="s">
        <v>1367</v>
      </c>
      <c r="I53" t="s">
        <v>1221</v>
      </c>
      <c r="J53">
        <v>2</v>
      </c>
      <c r="K53">
        <v>20</v>
      </c>
      <c r="L53" t="s">
        <v>1416</v>
      </c>
      <c r="M53" t="s">
        <v>1416</v>
      </c>
      <c r="N53" t="s">
        <v>1355</v>
      </c>
      <c r="O53" t="s">
        <v>1359</v>
      </c>
      <c r="P53">
        <v>1</v>
      </c>
      <c r="Q53">
        <v>1</v>
      </c>
      <c r="R53">
        <v>0</v>
      </c>
      <c r="S53" t="s">
        <v>1355</v>
      </c>
      <c r="T53">
        <v>0</v>
      </c>
      <c r="U53">
        <v>0</v>
      </c>
      <c r="V53">
        <v>0</v>
      </c>
      <c r="W53" t="s">
        <v>1355</v>
      </c>
      <c r="X53" t="s">
        <v>1355</v>
      </c>
      <c r="Y53" t="s">
        <v>1355</v>
      </c>
      <c r="Z53">
        <v>0</v>
      </c>
      <c r="AA53">
        <v>0</v>
      </c>
      <c r="AB53">
        <v>0</v>
      </c>
      <c r="AC53" s="294">
        <v>41834</v>
      </c>
      <c r="AD53" s="294">
        <v>73050</v>
      </c>
      <c r="AE53" s="294">
        <v>41834</v>
      </c>
      <c r="AF53" t="s">
        <v>1367</v>
      </c>
      <c r="AG53">
        <v>0</v>
      </c>
      <c r="AH53" t="s">
        <v>1476</v>
      </c>
      <c r="AI53">
        <v>1</v>
      </c>
      <c r="AJ53">
        <v>1</v>
      </c>
      <c r="AK53">
        <v>0</v>
      </c>
      <c r="AL53">
        <v>1</v>
      </c>
      <c r="AM53" t="s">
        <v>1355</v>
      </c>
      <c r="AN53" t="s">
        <v>1357</v>
      </c>
      <c r="AO53">
        <v>4.4322499999999998</v>
      </c>
      <c r="AP53">
        <v>2</v>
      </c>
      <c r="AQ53">
        <v>0</v>
      </c>
      <c r="AR53">
        <v>4.4323699999999997</v>
      </c>
      <c r="AS53">
        <v>4.4322499999999998</v>
      </c>
      <c r="AT53">
        <v>1</v>
      </c>
    </row>
    <row r="54" spans="1:46" x14ac:dyDescent="0.2">
      <c r="A54" t="s">
        <v>1261</v>
      </c>
      <c r="B54" t="s">
        <v>1477</v>
      </c>
      <c r="C54" t="s">
        <v>1261</v>
      </c>
      <c r="D54" t="s">
        <v>1355</v>
      </c>
      <c r="E54" t="s">
        <v>1356</v>
      </c>
      <c r="F54" t="s">
        <v>1357</v>
      </c>
      <c r="G54" t="s">
        <v>1355</v>
      </c>
      <c r="H54" t="s">
        <v>1358</v>
      </c>
      <c r="I54" t="s">
        <v>1353</v>
      </c>
      <c r="J54">
        <v>18</v>
      </c>
      <c r="K54">
        <v>180</v>
      </c>
      <c r="L54" t="s">
        <v>1261</v>
      </c>
      <c r="M54" t="s">
        <v>1261</v>
      </c>
      <c r="N54" t="s">
        <v>1355</v>
      </c>
      <c r="O54" t="s">
        <v>1359</v>
      </c>
      <c r="P54">
        <v>1</v>
      </c>
      <c r="Q54">
        <v>1</v>
      </c>
      <c r="R54">
        <v>0</v>
      </c>
      <c r="S54" t="s">
        <v>1355</v>
      </c>
      <c r="T54">
        <v>0</v>
      </c>
      <c r="U54">
        <v>0</v>
      </c>
      <c r="V54">
        <v>0</v>
      </c>
      <c r="W54" t="s">
        <v>1355</v>
      </c>
      <c r="X54" t="s">
        <v>1355</v>
      </c>
      <c r="Y54" t="s">
        <v>1355</v>
      </c>
      <c r="Z54">
        <v>0</v>
      </c>
      <c r="AA54">
        <v>0</v>
      </c>
      <c r="AB54">
        <v>0</v>
      </c>
      <c r="AC54" s="294">
        <v>36161</v>
      </c>
      <c r="AD54" s="294">
        <v>73050</v>
      </c>
      <c r="AE54" s="294">
        <v>41844</v>
      </c>
      <c r="AF54" t="s">
        <v>1358</v>
      </c>
      <c r="AG54">
        <v>0</v>
      </c>
      <c r="AH54" t="s">
        <v>1478</v>
      </c>
      <c r="AI54">
        <v>1</v>
      </c>
      <c r="AJ54">
        <v>1</v>
      </c>
      <c r="AK54">
        <v>0</v>
      </c>
      <c r="AL54">
        <v>1</v>
      </c>
      <c r="AM54" t="s">
        <v>1362</v>
      </c>
      <c r="AN54" t="s">
        <v>1357</v>
      </c>
      <c r="AO54">
        <v>407.04025000000001</v>
      </c>
      <c r="AP54">
        <v>1</v>
      </c>
      <c r="AQ54">
        <v>0</v>
      </c>
      <c r="AR54">
        <v>407.04045000000002</v>
      </c>
      <c r="AS54">
        <v>407.04025000000001</v>
      </c>
      <c r="AT54">
        <v>1</v>
      </c>
    </row>
    <row r="55" spans="1:46" hidden="1" x14ac:dyDescent="0.2">
      <c r="A55" t="s">
        <v>1479</v>
      </c>
      <c r="B55" t="s">
        <v>1480</v>
      </c>
      <c r="C55" t="s">
        <v>1479</v>
      </c>
      <c r="D55" t="s">
        <v>1355</v>
      </c>
      <c r="E55" t="s">
        <v>1356</v>
      </c>
      <c r="F55" t="s">
        <v>1357</v>
      </c>
      <c r="G55" t="s">
        <v>1355</v>
      </c>
      <c r="H55" t="s">
        <v>1367</v>
      </c>
      <c r="I55" t="s">
        <v>1261</v>
      </c>
      <c r="J55">
        <v>1</v>
      </c>
      <c r="K55">
        <v>10</v>
      </c>
      <c r="L55" t="s">
        <v>1479</v>
      </c>
      <c r="M55" t="s">
        <v>1479</v>
      </c>
      <c r="N55" t="s">
        <v>1355</v>
      </c>
      <c r="O55" t="s">
        <v>1359</v>
      </c>
      <c r="P55">
        <v>1</v>
      </c>
      <c r="Q55">
        <v>1</v>
      </c>
      <c r="R55">
        <v>0</v>
      </c>
      <c r="S55" t="s">
        <v>1355</v>
      </c>
      <c r="T55">
        <v>0</v>
      </c>
      <c r="U55">
        <v>0</v>
      </c>
      <c r="V55">
        <v>0</v>
      </c>
      <c r="W55" t="s">
        <v>1355</v>
      </c>
      <c r="X55" t="s">
        <v>1355</v>
      </c>
      <c r="Y55" t="s">
        <v>1355</v>
      </c>
      <c r="Z55">
        <v>0</v>
      </c>
      <c r="AA55">
        <v>0</v>
      </c>
      <c r="AB55">
        <v>0</v>
      </c>
      <c r="AC55" s="294">
        <v>41834</v>
      </c>
      <c r="AD55" s="294">
        <v>73050</v>
      </c>
      <c r="AE55" s="294">
        <v>41834</v>
      </c>
      <c r="AF55" t="s">
        <v>1367</v>
      </c>
      <c r="AG55">
        <v>0</v>
      </c>
      <c r="AH55" t="s">
        <v>1481</v>
      </c>
      <c r="AI55">
        <v>1</v>
      </c>
      <c r="AJ55">
        <v>1</v>
      </c>
      <c r="AK55">
        <v>0</v>
      </c>
      <c r="AL55">
        <v>1</v>
      </c>
      <c r="AM55" t="s">
        <v>1355</v>
      </c>
      <c r="AN55" t="s">
        <v>1357</v>
      </c>
      <c r="AO55">
        <v>205.82</v>
      </c>
      <c r="AP55">
        <v>2</v>
      </c>
      <c r="AQ55">
        <v>0</v>
      </c>
      <c r="AR55">
        <v>205.82</v>
      </c>
      <c r="AS55">
        <v>205.82</v>
      </c>
      <c r="AT55">
        <v>1</v>
      </c>
    </row>
    <row r="56" spans="1:46" hidden="1" x14ac:dyDescent="0.2">
      <c r="A56" t="s">
        <v>1416</v>
      </c>
      <c r="B56" t="s">
        <v>1417</v>
      </c>
      <c r="C56" t="s">
        <v>1416</v>
      </c>
      <c r="D56" t="s">
        <v>1355</v>
      </c>
      <c r="E56" t="s">
        <v>1356</v>
      </c>
      <c r="F56" t="s">
        <v>1357</v>
      </c>
      <c r="G56" t="s">
        <v>1355</v>
      </c>
      <c r="H56" t="s">
        <v>1367</v>
      </c>
      <c r="I56" t="s">
        <v>1261</v>
      </c>
      <c r="J56">
        <v>2</v>
      </c>
      <c r="K56">
        <v>20</v>
      </c>
      <c r="L56" t="s">
        <v>1416</v>
      </c>
      <c r="M56" t="s">
        <v>1416</v>
      </c>
      <c r="N56" t="s">
        <v>1355</v>
      </c>
      <c r="O56" t="s">
        <v>1359</v>
      </c>
      <c r="P56">
        <v>1</v>
      </c>
      <c r="Q56">
        <v>1</v>
      </c>
      <c r="R56">
        <v>0</v>
      </c>
      <c r="S56" t="s">
        <v>1355</v>
      </c>
      <c r="T56">
        <v>0</v>
      </c>
      <c r="U56">
        <v>0</v>
      </c>
      <c r="V56">
        <v>0</v>
      </c>
      <c r="W56" t="s">
        <v>1355</v>
      </c>
      <c r="X56" t="s">
        <v>1355</v>
      </c>
      <c r="Y56" t="s">
        <v>1355</v>
      </c>
      <c r="Z56">
        <v>0</v>
      </c>
      <c r="AA56">
        <v>0</v>
      </c>
      <c r="AB56">
        <v>0</v>
      </c>
      <c r="AC56" s="294">
        <v>41834</v>
      </c>
      <c r="AD56" s="294">
        <v>73050</v>
      </c>
      <c r="AE56" s="294">
        <v>41834</v>
      </c>
      <c r="AF56" t="s">
        <v>1367</v>
      </c>
      <c r="AG56">
        <v>0</v>
      </c>
      <c r="AH56" t="s">
        <v>1482</v>
      </c>
      <c r="AI56">
        <v>1</v>
      </c>
      <c r="AJ56">
        <v>1</v>
      </c>
      <c r="AK56">
        <v>0</v>
      </c>
      <c r="AL56">
        <v>1</v>
      </c>
      <c r="AM56" t="s">
        <v>1355</v>
      </c>
      <c r="AN56" t="s">
        <v>1357</v>
      </c>
      <c r="AO56">
        <v>4.4322499999999998</v>
      </c>
      <c r="AP56">
        <v>2</v>
      </c>
      <c r="AQ56">
        <v>0</v>
      </c>
      <c r="AR56">
        <v>4.4323699999999997</v>
      </c>
      <c r="AS56">
        <v>4.4322499999999998</v>
      </c>
      <c r="AT56">
        <v>1</v>
      </c>
    </row>
    <row r="57" spans="1:46" hidden="1" x14ac:dyDescent="0.2">
      <c r="A57" t="s">
        <v>1217</v>
      </c>
      <c r="B57" t="s">
        <v>1452</v>
      </c>
      <c r="C57" t="s">
        <v>1217</v>
      </c>
      <c r="D57" t="s">
        <v>1355</v>
      </c>
      <c r="E57" t="s">
        <v>1356</v>
      </c>
      <c r="F57" t="s">
        <v>1357</v>
      </c>
      <c r="G57" t="s">
        <v>1355</v>
      </c>
      <c r="H57" t="s">
        <v>1358</v>
      </c>
      <c r="I57" t="s">
        <v>1261</v>
      </c>
      <c r="J57">
        <v>3</v>
      </c>
      <c r="K57">
        <v>30</v>
      </c>
      <c r="L57" t="s">
        <v>1217</v>
      </c>
      <c r="M57" t="s">
        <v>1217</v>
      </c>
      <c r="N57" t="s">
        <v>1355</v>
      </c>
      <c r="O57" t="s">
        <v>1359</v>
      </c>
      <c r="P57">
        <v>1</v>
      </c>
      <c r="Q57">
        <v>1</v>
      </c>
      <c r="R57">
        <v>0</v>
      </c>
      <c r="S57" t="s">
        <v>1355</v>
      </c>
      <c r="T57">
        <v>0</v>
      </c>
      <c r="U57">
        <v>0</v>
      </c>
      <c r="V57">
        <v>0</v>
      </c>
      <c r="W57" t="s">
        <v>1355</v>
      </c>
      <c r="X57" t="s">
        <v>1355</v>
      </c>
      <c r="Y57" t="s">
        <v>1355</v>
      </c>
      <c r="Z57">
        <v>0</v>
      </c>
      <c r="AA57">
        <v>0</v>
      </c>
      <c r="AB57">
        <v>0</v>
      </c>
      <c r="AC57" s="294">
        <v>41834</v>
      </c>
      <c r="AD57" s="294">
        <v>73050</v>
      </c>
      <c r="AE57" s="294">
        <v>41834</v>
      </c>
      <c r="AF57" t="s">
        <v>1358</v>
      </c>
      <c r="AG57">
        <v>0</v>
      </c>
      <c r="AH57" t="s">
        <v>1483</v>
      </c>
      <c r="AI57">
        <v>1</v>
      </c>
      <c r="AJ57">
        <v>1</v>
      </c>
      <c r="AK57">
        <v>0</v>
      </c>
      <c r="AL57">
        <v>1</v>
      </c>
      <c r="AM57" t="s">
        <v>1362</v>
      </c>
      <c r="AN57" t="s">
        <v>1357</v>
      </c>
      <c r="AO57">
        <v>196.78800000000001</v>
      </c>
      <c r="AP57">
        <v>2</v>
      </c>
      <c r="AQ57">
        <v>0</v>
      </c>
      <c r="AR57">
        <v>196.78808000000001</v>
      </c>
      <c r="AS57">
        <v>196.78800000000001</v>
      </c>
      <c r="AT57">
        <v>1</v>
      </c>
    </row>
    <row r="58" spans="1:46" hidden="1" x14ac:dyDescent="0.2">
      <c r="A58" t="s">
        <v>1454</v>
      </c>
      <c r="B58" t="s">
        <v>1455</v>
      </c>
      <c r="C58" t="s">
        <v>1454</v>
      </c>
      <c r="D58" t="s">
        <v>1355</v>
      </c>
      <c r="E58" t="s">
        <v>1356</v>
      </c>
      <c r="F58" t="s">
        <v>1357</v>
      </c>
      <c r="G58" t="s">
        <v>1355</v>
      </c>
      <c r="H58" t="s">
        <v>1367</v>
      </c>
      <c r="I58" t="s">
        <v>1217</v>
      </c>
      <c r="J58">
        <v>1</v>
      </c>
      <c r="K58">
        <v>10</v>
      </c>
      <c r="L58" t="s">
        <v>1454</v>
      </c>
      <c r="M58" t="s">
        <v>1454</v>
      </c>
      <c r="N58" t="s">
        <v>1355</v>
      </c>
      <c r="O58" t="s">
        <v>1359</v>
      </c>
      <c r="P58">
        <v>1</v>
      </c>
      <c r="Q58">
        <v>1</v>
      </c>
      <c r="R58">
        <v>0</v>
      </c>
      <c r="S58" t="s">
        <v>1355</v>
      </c>
      <c r="T58">
        <v>0</v>
      </c>
      <c r="U58">
        <v>0</v>
      </c>
      <c r="V58">
        <v>0</v>
      </c>
      <c r="W58" t="s">
        <v>1355</v>
      </c>
      <c r="X58" t="s">
        <v>1355</v>
      </c>
      <c r="Y58" t="s">
        <v>1355</v>
      </c>
      <c r="Z58">
        <v>0</v>
      </c>
      <c r="AA58">
        <v>0</v>
      </c>
      <c r="AB58">
        <v>0</v>
      </c>
      <c r="AC58" s="294">
        <v>41834</v>
      </c>
      <c r="AD58" s="294">
        <v>73050</v>
      </c>
      <c r="AE58" s="294">
        <v>41834</v>
      </c>
      <c r="AF58" t="s">
        <v>1367</v>
      </c>
      <c r="AG58">
        <v>0</v>
      </c>
      <c r="AH58" t="s">
        <v>1484</v>
      </c>
      <c r="AI58">
        <v>1</v>
      </c>
      <c r="AJ58">
        <v>1</v>
      </c>
      <c r="AK58">
        <v>0</v>
      </c>
      <c r="AL58">
        <v>1</v>
      </c>
      <c r="AM58" t="s">
        <v>1355</v>
      </c>
      <c r="AN58" t="s">
        <v>1357</v>
      </c>
      <c r="AO58">
        <v>148.02799999999999</v>
      </c>
      <c r="AP58">
        <v>3</v>
      </c>
      <c r="AQ58">
        <v>0</v>
      </c>
      <c r="AR58">
        <v>148.02829</v>
      </c>
      <c r="AS58">
        <v>148.02799999999999</v>
      </c>
      <c r="AT58">
        <v>1</v>
      </c>
    </row>
    <row r="59" spans="1:46" hidden="1" x14ac:dyDescent="0.2">
      <c r="A59" t="s">
        <v>1457</v>
      </c>
      <c r="B59" t="s">
        <v>1458</v>
      </c>
      <c r="C59" t="s">
        <v>1457</v>
      </c>
      <c r="D59" t="s">
        <v>1355</v>
      </c>
      <c r="E59" t="s">
        <v>1356</v>
      </c>
      <c r="F59" t="s">
        <v>1357</v>
      </c>
      <c r="G59" t="s">
        <v>1355</v>
      </c>
      <c r="H59" t="s">
        <v>1367</v>
      </c>
      <c r="I59" t="s">
        <v>1217</v>
      </c>
      <c r="J59">
        <v>2</v>
      </c>
      <c r="K59">
        <v>20</v>
      </c>
      <c r="L59" t="s">
        <v>1457</v>
      </c>
      <c r="M59" t="s">
        <v>1457</v>
      </c>
      <c r="N59" t="s">
        <v>1355</v>
      </c>
      <c r="O59" t="s">
        <v>1359</v>
      </c>
      <c r="P59">
        <v>1</v>
      </c>
      <c r="Q59">
        <v>1</v>
      </c>
      <c r="R59">
        <v>0</v>
      </c>
      <c r="S59" t="s">
        <v>1355</v>
      </c>
      <c r="T59">
        <v>0</v>
      </c>
      <c r="U59">
        <v>0</v>
      </c>
      <c r="V59">
        <v>0</v>
      </c>
      <c r="W59" t="s">
        <v>1355</v>
      </c>
      <c r="X59" t="s">
        <v>1355</v>
      </c>
      <c r="Y59" t="s">
        <v>1355</v>
      </c>
      <c r="Z59">
        <v>0</v>
      </c>
      <c r="AA59">
        <v>0</v>
      </c>
      <c r="AB59">
        <v>0</v>
      </c>
      <c r="AC59" s="294">
        <v>41834</v>
      </c>
      <c r="AD59" s="294">
        <v>73050</v>
      </c>
      <c r="AE59" s="294">
        <v>41834</v>
      </c>
      <c r="AF59" t="s">
        <v>1367</v>
      </c>
      <c r="AG59">
        <v>0</v>
      </c>
      <c r="AH59" t="s">
        <v>1485</v>
      </c>
      <c r="AI59">
        <v>1</v>
      </c>
      <c r="AJ59">
        <v>1</v>
      </c>
      <c r="AK59">
        <v>0</v>
      </c>
      <c r="AL59">
        <v>1</v>
      </c>
      <c r="AM59" t="s">
        <v>1355</v>
      </c>
      <c r="AN59" t="s">
        <v>1357</v>
      </c>
      <c r="AO59">
        <v>24.208500000000001</v>
      </c>
      <c r="AP59">
        <v>3</v>
      </c>
      <c r="AQ59">
        <v>0</v>
      </c>
      <c r="AR59">
        <v>24.208300000000001</v>
      </c>
      <c r="AS59">
        <v>24.208500000000001</v>
      </c>
      <c r="AT59">
        <v>1</v>
      </c>
    </row>
    <row r="60" spans="1:46" hidden="1" x14ac:dyDescent="0.2">
      <c r="A60" t="s">
        <v>1460</v>
      </c>
      <c r="B60" t="s">
        <v>1461</v>
      </c>
      <c r="C60" t="s">
        <v>1460</v>
      </c>
      <c r="D60" t="s">
        <v>1355</v>
      </c>
      <c r="E60" t="s">
        <v>1356</v>
      </c>
      <c r="F60" t="s">
        <v>1357</v>
      </c>
      <c r="G60" t="s">
        <v>1355</v>
      </c>
      <c r="H60" t="s">
        <v>1367</v>
      </c>
      <c r="I60" t="s">
        <v>1217</v>
      </c>
      <c r="J60">
        <v>3</v>
      </c>
      <c r="K60">
        <v>30</v>
      </c>
      <c r="L60" t="s">
        <v>1460</v>
      </c>
      <c r="M60" t="s">
        <v>1460</v>
      </c>
      <c r="N60" t="s">
        <v>1355</v>
      </c>
      <c r="O60" t="s">
        <v>1359</v>
      </c>
      <c r="P60">
        <v>1</v>
      </c>
      <c r="Q60">
        <v>1</v>
      </c>
      <c r="R60">
        <v>0</v>
      </c>
      <c r="S60" t="s">
        <v>1355</v>
      </c>
      <c r="T60">
        <v>0</v>
      </c>
      <c r="U60">
        <v>0</v>
      </c>
      <c r="V60">
        <v>0</v>
      </c>
      <c r="W60" t="s">
        <v>1355</v>
      </c>
      <c r="X60" t="s">
        <v>1355</v>
      </c>
      <c r="Y60" t="s">
        <v>1355</v>
      </c>
      <c r="Z60">
        <v>0</v>
      </c>
      <c r="AA60">
        <v>0</v>
      </c>
      <c r="AB60">
        <v>0</v>
      </c>
      <c r="AC60" s="294">
        <v>41834</v>
      </c>
      <c r="AD60" s="294">
        <v>73050</v>
      </c>
      <c r="AE60" s="294">
        <v>41834</v>
      </c>
      <c r="AF60" t="s">
        <v>1367</v>
      </c>
      <c r="AG60">
        <v>0</v>
      </c>
      <c r="AH60" t="s">
        <v>1486</v>
      </c>
      <c r="AI60">
        <v>1</v>
      </c>
      <c r="AJ60">
        <v>1</v>
      </c>
      <c r="AK60">
        <v>0</v>
      </c>
      <c r="AL60">
        <v>1</v>
      </c>
      <c r="AM60" t="s">
        <v>1355</v>
      </c>
      <c r="AN60" t="s">
        <v>1357</v>
      </c>
      <c r="AO60">
        <v>20.447500000000002</v>
      </c>
      <c r="AP60">
        <v>3</v>
      </c>
      <c r="AQ60">
        <v>0</v>
      </c>
      <c r="AR60">
        <v>20.447420000000001</v>
      </c>
      <c r="AS60">
        <v>20.447500000000002</v>
      </c>
      <c r="AT60">
        <v>1</v>
      </c>
    </row>
    <row r="61" spans="1:46" hidden="1" x14ac:dyDescent="0.2">
      <c r="A61" t="s">
        <v>1463</v>
      </c>
      <c r="B61" t="s">
        <v>1417</v>
      </c>
      <c r="C61" t="s">
        <v>1463</v>
      </c>
      <c r="D61" t="s">
        <v>1355</v>
      </c>
      <c r="E61" t="s">
        <v>1356</v>
      </c>
      <c r="F61" t="s">
        <v>1357</v>
      </c>
      <c r="G61" t="s">
        <v>1355</v>
      </c>
      <c r="H61" t="s">
        <v>1367</v>
      </c>
      <c r="I61" t="s">
        <v>1217</v>
      </c>
      <c r="J61">
        <v>4</v>
      </c>
      <c r="K61">
        <v>40</v>
      </c>
      <c r="L61" t="s">
        <v>1463</v>
      </c>
      <c r="M61" t="s">
        <v>1463</v>
      </c>
      <c r="N61" t="s">
        <v>1355</v>
      </c>
      <c r="O61" t="s">
        <v>1359</v>
      </c>
      <c r="P61">
        <v>1</v>
      </c>
      <c r="Q61">
        <v>1</v>
      </c>
      <c r="R61">
        <v>0</v>
      </c>
      <c r="S61" t="s">
        <v>1355</v>
      </c>
      <c r="T61">
        <v>0</v>
      </c>
      <c r="U61">
        <v>0</v>
      </c>
      <c r="V61">
        <v>0</v>
      </c>
      <c r="W61" t="s">
        <v>1355</v>
      </c>
      <c r="X61" t="s">
        <v>1355</v>
      </c>
      <c r="Y61" t="s">
        <v>1355</v>
      </c>
      <c r="Z61">
        <v>0</v>
      </c>
      <c r="AA61">
        <v>0</v>
      </c>
      <c r="AB61">
        <v>0</v>
      </c>
      <c r="AC61" s="294">
        <v>41834</v>
      </c>
      <c r="AD61" s="294">
        <v>73050</v>
      </c>
      <c r="AE61" s="294">
        <v>41834</v>
      </c>
      <c r="AF61" t="s">
        <v>1367</v>
      </c>
      <c r="AG61">
        <v>0</v>
      </c>
      <c r="AH61" t="s">
        <v>1487</v>
      </c>
      <c r="AI61">
        <v>1</v>
      </c>
      <c r="AJ61">
        <v>1</v>
      </c>
      <c r="AK61">
        <v>0</v>
      </c>
      <c r="AL61">
        <v>1</v>
      </c>
      <c r="AM61" t="s">
        <v>1355</v>
      </c>
      <c r="AN61" t="s">
        <v>1357</v>
      </c>
      <c r="AO61">
        <v>4.1040000000000001</v>
      </c>
      <c r="AP61">
        <v>3</v>
      </c>
      <c r="AQ61">
        <v>0</v>
      </c>
      <c r="AR61">
        <v>4.1040700000000001</v>
      </c>
      <c r="AS61">
        <v>4.1040000000000001</v>
      </c>
      <c r="AT61">
        <v>1</v>
      </c>
    </row>
    <row r="62" spans="1:46" x14ac:dyDescent="0.2">
      <c r="A62" t="s">
        <v>1223</v>
      </c>
      <c r="B62" t="s">
        <v>1488</v>
      </c>
      <c r="C62" t="s">
        <v>1223</v>
      </c>
      <c r="D62" t="s">
        <v>1355</v>
      </c>
      <c r="E62" t="s">
        <v>1356</v>
      </c>
      <c r="F62" t="s">
        <v>1357</v>
      </c>
      <c r="G62" t="s">
        <v>1355</v>
      </c>
      <c r="H62" t="s">
        <v>1358</v>
      </c>
      <c r="I62" t="s">
        <v>1353</v>
      </c>
      <c r="J62">
        <v>19</v>
      </c>
      <c r="K62">
        <v>190</v>
      </c>
      <c r="L62" t="s">
        <v>1223</v>
      </c>
      <c r="M62" t="s">
        <v>1223</v>
      </c>
      <c r="N62" t="s">
        <v>1355</v>
      </c>
      <c r="O62" t="s">
        <v>1359</v>
      </c>
      <c r="P62">
        <v>1</v>
      </c>
      <c r="Q62">
        <v>1</v>
      </c>
      <c r="R62">
        <v>0</v>
      </c>
      <c r="S62" t="s">
        <v>1355</v>
      </c>
      <c r="T62">
        <v>0</v>
      </c>
      <c r="U62">
        <v>0</v>
      </c>
      <c r="V62">
        <v>0</v>
      </c>
      <c r="W62" t="s">
        <v>1355</v>
      </c>
      <c r="X62" t="s">
        <v>1355</v>
      </c>
      <c r="Y62" t="s">
        <v>1355</v>
      </c>
      <c r="Z62">
        <v>0</v>
      </c>
      <c r="AA62">
        <v>0</v>
      </c>
      <c r="AB62">
        <v>0</v>
      </c>
      <c r="AC62" s="294">
        <v>36161</v>
      </c>
      <c r="AD62" s="294">
        <v>73050</v>
      </c>
      <c r="AE62" s="294">
        <v>41844</v>
      </c>
      <c r="AF62" t="s">
        <v>1358</v>
      </c>
      <c r="AG62">
        <v>0</v>
      </c>
      <c r="AH62" t="s">
        <v>1489</v>
      </c>
      <c r="AI62">
        <v>1</v>
      </c>
      <c r="AJ62">
        <v>1</v>
      </c>
      <c r="AK62">
        <v>0</v>
      </c>
      <c r="AL62">
        <v>1</v>
      </c>
      <c r="AM62" t="s">
        <v>1362</v>
      </c>
      <c r="AN62" t="s">
        <v>1357</v>
      </c>
      <c r="AO62">
        <v>622.40319999999997</v>
      </c>
      <c r="AP62">
        <v>1</v>
      </c>
      <c r="AQ62">
        <v>0</v>
      </c>
      <c r="AR62">
        <v>621.95617000000004</v>
      </c>
      <c r="AS62">
        <v>622.40319999999997</v>
      </c>
      <c r="AT62">
        <v>1</v>
      </c>
    </row>
    <row r="63" spans="1:46" hidden="1" x14ac:dyDescent="0.2">
      <c r="A63" t="s">
        <v>1490</v>
      </c>
      <c r="B63" t="s">
        <v>1491</v>
      </c>
      <c r="C63" t="s">
        <v>1490</v>
      </c>
      <c r="D63" t="s">
        <v>1355</v>
      </c>
      <c r="E63" t="s">
        <v>1356</v>
      </c>
      <c r="F63" t="s">
        <v>1357</v>
      </c>
      <c r="G63" t="s">
        <v>1355</v>
      </c>
      <c r="H63" t="s">
        <v>1367</v>
      </c>
      <c r="I63" t="s">
        <v>1223</v>
      </c>
      <c r="J63">
        <v>1</v>
      </c>
      <c r="K63">
        <v>10</v>
      </c>
      <c r="L63" t="s">
        <v>1490</v>
      </c>
      <c r="M63" t="s">
        <v>1490</v>
      </c>
      <c r="N63" t="s">
        <v>1355</v>
      </c>
      <c r="O63" t="s">
        <v>1359</v>
      </c>
      <c r="P63">
        <v>1</v>
      </c>
      <c r="Q63">
        <v>1</v>
      </c>
      <c r="R63">
        <v>0</v>
      </c>
      <c r="S63" t="s">
        <v>1355</v>
      </c>
      <c r="T63">
        <v>0</v>
      </c>
      <c r="U63">
        <v>0</v>
      </c>
      <c r="V63">
        <v>0</v>
      </c>
      <c r="W63" t="s">
        <v>1355</v>
      </c>
      <c r="X63" t="s">
        <v>1355</v>
      </c>
      <c r="Y63" t="s">
        <v>1355</v>
      </c>
      <c r="Z63">
        <v>0</v>
      </c>
      <c r="AA63">
        <v>0</v>
      </c>
      <c r="AB63">
        <v>0</v>
      </c>
      <c r="AC63" s="294">
        <v>41834</v>
      </c>
      <c r="AD63" s="294">
        <v>73050</v>
      </c>
      <c r="AE63" s="294">
        <v>41834</v>
      </c>
      <c r="AF63" t="s">
        <v>1367</v>
      </c>
      <c r="AG63">
        <v>0</v>
      </c>
      <c r="AH63" t="s">
        <v>1492</v>
      </c>
      <c r="AI63">
        <v>1</v>
      </c>
      <c r="AJ63">
        <v>1</v>
      </c>
      <c r="AK63">
        <v>0</v>
      </c>
      <c r="AL63">
        <v>1</v>
      </c>
      <c r="AM63" t="s">
        <v>1355</v>
      </c>
      <c r="AN63" t="s">
        <v>1357</v>
      </c>
      <c r="AO63">
        <v>400</v>
      </c>
      <c r="AP63">
        <v>2</v>
      </c>
      <c r="AQ63">
        <v>0</v>
      </c>
      <c r="AR63">
        <v>400</v>
      </c>
      <c r="AS63">
        <v>400</v>
      </c>
      <c r="AT63">
        <v>1</v>
      </c>
    </row>
    <row r="64" spans="1:46" hidden="1" x14ac:dyDescent="0.2">
      <c r="A64" t="s">
        <v>1493</v>
      </c>
      <c r="B64" t="s">
        <v>1494</v>
      </c>
      <c r="C64" t="s">
        <v>1493</v>
      </c>
      <c r="D64" t="s">
        <v>1355</v>
      </c>
      <c r="E64" t="s">
        <v>1356</v>
      </c>
      <c r="F64" t="s">
        <v>1357</v>
      </c>
      <c r="G64" t="s">
        <v>1355</v>
      </c>
      <c r="H64" t="s">
        <v>1367</v>
      </c>
      <c r="I64" t="s">
        <v>1223</v>
      </c>
      <c r="J64">
        <v>2</v>
      </c>
      <c r="K64">
        <v>20</v>
      </c>
      <c r="L64" t="s">
        <v>1493</v>
      </c>
      <c r="M64" t="s">
        <v>1493</v>
      </c>
      <c r="N64" t="s">
        <v>1355</v>
      </c>
      <c r="O64" t="s">
        <v>1359</v>
      </c>
      <c r="P64">
        <v>1</v>
      </c>
      <c r="Q64">
        <v>1</v>
      </c>
      <c r="R64">
        <v>0</v>
      </c>
      <c r="S64" t="s">
        <v>1355</v>
      </c>
      <c r="T64">
        <v>0</v>
      </c>
      <c r="U64">
        <v>0</v>
      </c>
      <c r="V64">
        <v>0</v>
      </c>
      <c r="W64" t="s">
        <v>1355</v>
      </c>
      <c r="X64" t="s">
        <v>1355</v>
      </c>
      <c r="Y64" t="s">
        <v>1355</v>
      </c>
      <c r="Z64">
        <v>0</v>
      </c>
      <c r="AA64">
        <v>0</v>
      </c>
      <c r="AB64">
        <v>0</v>
      </c>
      <c r="AC64" s="294">
        <v>41834</v>
      </c>
      <c r="AD64" s="294">
        <v>73050</v>
      </c>
      <c r="AE64" s="294">
        <v>41841</v>
      </c>
      <c r="AF64" t="s">
        <v>1367</v>
      </c>
      <c r="AG64">
        <v>0</v>
      </c>
      <c r="AH64" t="s">
        <v>1495</v>
      </c>
      <c r="AI64">
        <v>1</v>
      </c>
      <c r="AJ64">
        <v>1</v>
      </c>
      <c r="AK64">
        <v>0</v>
      </c>
      <c r="AL64">
        <v>1</v>
      </c>
      <c r="AM64" t="s">
        <v>1355</v>
      </c>
      <c r="AN64" t="s">
        <v>1357</v>
      </c>
      <c r="AO64">
        <v>122.14</v>
      </c>
      <c r="AP64">
        <v>2</v>
      </c>
      <c r="AQ64">
        <v>0</v>
      </c>
      <c r="AR64">
        <v>122.14</v>
      </c>
      <c r="AS64">
        <v>122.14</v>
      </c>
      <c r="AT64">
        <v>1</v>
      </c>
    </row>
    <row r="65" spans="1:46" hidden="1" x14ac:dyDescent="0.2">
      <c r="A65" t="s">
        <v>1496</v>
      </c>
      <c r="B65" t="s">
        <v>1497</v>
      </c>
      <c r="C65" t="s">
        <v>1496</v>
      </c>
      <c r="D65" t="s">
        <v>1355</v>
      </c>
      <c r="E65" t="s">
        <v>1356</v>
      </c>
      <c r="F65" t="s">
        <v>1357</v>
      </c>
      <c r="G65" t="s">
        <v>1355</v>
      </c>
      <c r="H65" t="s">
        <v>1367</v>
      </c>
      <c r="I65" t="s">
        <v>1223</v>
      </c>
      <c r="J65">
        <v>3</v>
      </c>
      <c r="K65">
        <v>30</v>
      </c>
      <c r="L65" t="s">
        <v>1496</v>
      </c>
      <c r="M65" t="s">
        <v>1496</v>
      </c>
      <c r="N65" t="s">
        <v>1355</v>
      </c>
      <c r="O65" t="s">
        <v>1359</v>
      </c>
      <c r="P65">
        <v>1</v>
      </c>
      <c r="Q65">
        <v>1</v>
      </c>
      <c r="R65">
        <v>0</v>
      </c>
      <c r="S65" t="s">
        <v>1355</v>
      </c>
      <c r="T65">
        <v>0</v>
      </c>
      <c r="U65">
        <v>0</v>
      </c>
      <c r="V65">
        <v>0</v>
      </c>
      <c r="W65" t="s">
        <v>1355</v>
      </c>
      <c r="X65" t="s">
        <v>1355</v>
      </c>
      <c r="Y65" t="s">
        <v>1355</v>
      </c>
      <c r="Z65">
        <v>0</v>
      </c>
      <c r="AA65">
        <v>0</v>
      </c>
      <c r="AB65">
        <v>0</v>
      </c>
      <c r="AC65" s="294">
        <v>41834</v>
      </c>
      <c r="AD65" s="294">
        <v>73050</v>
      </c>
      <c r="AE65" s="294">
        <v>41841</v>
      </c>
      <c r="AF65" t="s">
        <v>1367</v>
      </c>
      <c r="AG65">
        <v>0</v>
      </c>
      <c r="AH65" t="s">
        <v>1498</v>
      </c>
      <c r="AI65">
        <v>1</v>
      </c>
      <c r="AJ65">
        <v>1</v>
      </c>
      <c r="AK65">
        <v>0</v>
      </c>
      <c r="AL65">
        <v>1</v>
      </c>
      <c r="AM65" t="s">
        <v>1355</v>
      </c>
      <c r="AN65" t="s">
        <v>1357</v>
      </c>
      <c r="AO65">
        <v>3.3439999999999999</v>
      </c>
      <c r="AP65">
        <v>2</v>
      </c>
      <c r="AQ65">
        <v>0</v>
      </c>
      <c r="AR65">
        <v>3.3439999999999999</v>
      </c>
      <c r="AS65">
        <v>3.3439999999999999</v>
      </c>
      <c r="AT65">
        <v>1</v>
      </c>
    </row>
    <row r="66" spans="1:46" hidden="1" x14ac:dyDescent="0.2">
      <c r="A66" t="s">
        <v>1499</v>
      </c>
      <c r="B66" t="s">
        <v>1500</v>
      </c>
      <c r="C66" t="s">
        <v>1499</v>
      </c>
      <c r="D66" t="s">
        <v>1355</v>
      </c>
      <c r="E66" t="s">
        <v>1356</v>
      </c>
      <c r="F66" t="s">
        <v>1357</v>
      </c>
      <c r="G66" t="s">
        <v>1355</v>
      </c>
      <c r="H66" t="s">
        <v>1367</v>
      </c>
      <c r="I66" t="s">
        <v>1223</v>
      </c>
      <c r="J66">
        <v>4</v>
      </c>
      <c r="K66">
        <v>40</v>
      </c>
      <c r="L66" t="s">
        <v>1499</v>
      </c>
      <c r="M66" t="s">
        <v>1499</v>
      </c>
      <c r="N66" t="s">
        <v>1355</v>
      </c>
      <c r="O66" t="s">
        <v>1359</v>
      </c>
      <c r="P66">
        <v>1</v>
      </c>
      <c r="Q66">
        <v>1</v>
      </c>
      <c r="R66">
        <v>0</v>
      </c>
      <c r="S66" t="s">
        <v>1355</v>
      </c>
      <c r="T66">
        <v>0</v>
      </c>
      <c r="U66">
        <v>0</v>
      </c>
      <c r="V66">
        <v>0</v>
      </c>
      <c r="W66" t="s">
        <v>1355</v>
      </c>
      <c r="X66" t="s">
        <v>1355</v>
      </c>
      <c r="Y66" t="s">
        <v>1355</v>
      </c>
      <c r="Z66">
        <v>0</v>
      </c>
      <c r="AA66">
        <v>0</v>
      </c>
      <c r="AB66">
        <v>0</v>
      </c>
      <c r="AC66" s="294">
        <v>41834</v>
      </c>
      <c r="AD66" s="294">
        <v>73050</v>
      </c>
      <c r="AE66" s="294">
        <v>41841</v>
      </c>
      <c r="AF66" t="s">
        <v>1367</v>
      </c>
      <c r="AG66">
        <v>0</v>
      </c>
      <c r="AH66" t="s">
        <v>1501</v>
      </c>
      <c r="AI66">
        <v>1</v>
      </c>
      <c r="AJ66">
        <v>1</v>
      </c>
      <c r="AK66">
        <v>0</v>
      </c>
      <c r="AL66">
        <v>1</v>
      </c>
      <c r="AM66" t="s">
        <v>1355</v>
      </c>
      <c r="AN66" t="s">
        <v>1357</v>
      </c>
      <c r="AO66">
        <v>0.77759999999999996</v>
      </c>
      <c r="AP66">
        <v>2</v>
      </c>
      <c r="AQ66">
        <v>0</v>
      </c>
      <c r="AR66">
        <v>0.77095999999999998</v>
      </c>
      <c r="AS66">
        <v>0.77759999999999996</v>
      </c>
      <c r="AT66">
        <v>1</v>
      </c>
    </row>
    <row r="67" spans="1:46" hidden="1" x14ac:dyDescent="0.2">
      <c r="A67" t="s">
        <v>1502</v>
      </c>
      <c r="B67" t="s">
        <v>1503</v>
      </c>
      <c r="C67" t="s">
        <v>1502</v>
      </c>
      <c r="D67" t="s">
        <v>1355</v>
      </c>
      <c r="E67" t="s">
        <v>1356</v>
      </c>
      <c r="F67" t="s">
        <v>1357</v>
      </c>
      <c r="G67" t="s">
        <v>1355</v>
      </c>
      <c r="H67" t="s">
        <v>1367</v>
      </c>
      <c r="I67" t="s">
        <v>1223</v>
      </c>
      <c r="J67">
        <v>14</v>
      </c>
      <c r="K67">
        <v>50</v>
      </c>
      <c r="L67" t="s">
        <v>1502</v>
      </c>
      <c r="M67" t="s">
        <v>1502</v>
      </c>
      <c r="N67" t="s">
        <v>1355</v>
      </c>
      <c r="O67" t="s">
        <v>1359</v>
      </c>
      <c r="P67">
        <v>3</v>
      </c>
      <c r="Q67">
        <v>3</v>
      </c>
      <c r="R67">
        <v>0</v>
      </c>
      <c r="S67" t="s">
        <v>1355</v>
      </c>
      <c r="T67">
        <v>0</v>
      </c>
      <c r="U67">
        <v>0</v>
      </c>
      <c r="V67">
        <v>0</v>
      </c>
      <c r="W67" t="s">
        <v>1355</v>
      </c>
      <c r="X67" t="s">
        <v>1355</v>
      </c>
      <c r="Y67" t="s">
        <v>1355</v>
      </c>
      <c r="Z67">
        <v>0</v>
      </c>
      <c r="AA67">
        <v>0</v>
      </c>
      <c r="AB67">
        <v>0</v>
      </c>
      <c r="AC67" s="294">
        <v>41842</v>
      </c>
      <c r="AD67" s="294">
        <v>73050</v>
      </c>
      <c r="AE67" s="294">
        <v>41842</v>
      </c>
      <c r="AF67" t="s">
        <v>1367</v>
      </c>
      <c r="AG67">
        <v>0</v>
      </c>
      <c r="AH67" t="s">
        <v>1504</v>
      </c>
      <c r="AI67">
        <v>3</v>
      </c>
      <c r="AJ67">
        <v>3</v>
      </c>
      <c r="AK67">
        <v>0</v>
      </c>
      <c r="AL67">
        <v>3</v>
      </c>
      <c r="AM67" t="s">
        <v>1355</v>
      </c>
      <c r="AN67" t="s">
        <v>1357</v>
      </c>
      <c r="AO67">
        <v>4.9356</v>
      </c>
      <c r="AP67">
        <v>2</v>
      </c>
      <c r="AQ67">
        <v>0</v>
      </c>
      <c r="AR67">
        <v>4.8986700000000001</v>
      </c>
      <c r="AS67">
        <v>4.9356</v>
      </c>
      <c r="AT67">
        <v>1</v>
      </c>
    </row>
    <row r="68" spans="1:46" hidden="1" x14ac:dyDescent="0.2">
      <c r="A68" t="s">
        <v>1505</v>
      </c>
      <c r="B68" t="s">
        <v>1506</v>
      </c>
      <c r="C68" t="s">
        <v>1505</v>
      </c>
      <c r="D68" t="s">
        <v>1355</v>
      </c>
      <c r="E68" t="s">
        <v>1356</v>
      </c>
      <c r="F68" t="s">
        <v>1357</v>
      </c>
      <c r="G68" t="s">
        <v>1355</v>
      </c>
      <c r="H68" t="s">
        <v>1367</v>
      </c>
      <c r="I68" t="s">
        <v>1223</v>
      </c>
      <c r="J68">
        <v>6</v>
      </c>
      <c r="K68">
        <v>60</v>
      </c>
      <c r="L68" t="s">
        <v>1505</v>
      </c>
      <c r="M68" t="s">
        <v>1505</v>
      </c>
      <c r="N68" t="s">
        <v>1355</v>
      </c>
      <c r="O68" t="s">
        <v>1359</v>
      </c>
      <c r="P68">
        <v>1</v>
      </c>
      <c r="Q68">
        <v>1</v>
      </c>
      <c r="R68">
        <v>0</v>
      </c>
      <c r="S68" t="s">
        <v>1355</v>
      </c>
      <c r="T68">
        <v>0</v>
      </c>
      <c r="U68">
        <v>0</v>
      </c>
      <c r="V68">
        <v>0</v>
      </c>
      <c r="W68" t="s">
        <v>1355</v>
      </c>
      <c r="X68" t="s">
        <v>1355</v>
      </c>
      <c r="Y68" t="s">
        <v>1355</v>
      </c>
      <c r="Z68">
        <v>0</v>
      </c>
      <c r="AA68">
        <v>0</v>
      </c>
      <c r="AB68">
        <v>0</v>
      </c>
      <c r="AC68" s="294">
        <v>41834</v>
      </c>
      <c r="AD68" s="294">
        <v>73050</v>
      </c>
      <c r="AE68" s="294">
        <v>41841</v>
      </c>
      <c r="AF68" t="s">
        <v>1367</v>
      </c>
      <c r="AG68">
        <v>0</v>
      </c>
      <c r="AH68" t="s">
        <v>1507</v>
      </c>
      <c r="AI68">
        <v>1</v>
      </c>
      <c r="AJ68">
        <v>1</v>
      </c>
      <c r="AK68">
        <v>0</v>
      </c>
      <c r="AL68">
        <v>1</v>
      </c>
      <c r="AM68" t="s">
        <v>1355</v>
      </c>
      <c r="AN68" t="s">
        <v>1357</v>
      </c>
      <c r="AO68">
        <v>2.9340000000000002</v>
      </c>
      <c r="AP68">
        <v>2</v>
      </c>
      <c r="AQ68">
        <v>0</v>
      </c>
      <c r="AR68">
        <v>2.9064199999999998</v>
      </c>
      <c r="AS68">
        <v>2.9340000000000002</v>
      </c>
      <c r="AT68">
        <v>1</v>
      </c>
    </row>
    <row r="69" spans="1:46" hidden="1" x14ac:dyDescent="0.2">
      <c r="A69" t="s">
        <v>1508</v>
      </c>
      <c r="B69" t="s">
        <v>1509</v>
      </c>
      <c r="C69" t="s">
        <v>1508</v>
      </c>
      <c r="D69" t="s">
        <v>1355</v>
      </c>
      <c r="E69" t="s">
        <v>1356</v>
      </c>
      <c r="F69" t="s">
        <v>1357</v>
      </c>
      <c r="G69" t="s">
        <v>1355</v>
      </c>
      <c r="H69" t="s">
        <v>1367</v>
      </c>
      <c r="I69" t="s">
        <v>1223</v>
      </c>
      <c r="J69">
        <v>7</v>
      </c>
      <c r="K69">
        <v>70</v>
      </c>
      <c r="L69" t="s">
        <v>1508</v>
      </c>
      <c r="M69" t="s">
        <v>1508</v>
      </c>
      <c r="N69" t="s">
        <v>1355</v>
      </c>
      <c r="O69" t="s">
        <v>1359</v>
      </c>
      <c r="P69">
        <v>1</v>
      </c>
      <c r="Q69">
        <v>1</v>
      </c>
      <c r="R69">
        <v>0</v>
      </c>
      <c r="S69" t="s">
        <v>1355</v>
      </c>
      <c r="T69">
        <v>0</v>
      </c>
      <c r="U69">
        <v>0</v>
      </c>
      <c r="V69">
        <v>0</v>
      </c>
      <c r="W69" t="s">
        <v>1355</v>
      </c>
      <c r="X69" t="s">
        <v>1355</v>
      </c>
      <c r="Y69" t="s">
        <v>1355</v>
      </c>
      <c r="Z69">
        <v>0</v>
      </c>
      <c r="AA69">
        <v>0</v>
      </c>
      <c r="AB69">
        <v>0</v>
      </c>
      <c r="AC69" s="294">
        <v>41834</v>
      </c>
      <c r="AD69" s="294">
        <v>73050</v>
      </c>
      <c r="AE69" s="294">
        <v>41841</v>
      </c>
      <c r="AF69" t="s">
        <v>1367</v>
      </c>
      <c r="AG69">
        <v>0</v>
      </c>
      <c r="AH69" t="s">
        <v>1510</v>
      </c>
      <c r="AI69">
        <v>1</v>
      </c>
      <c r="AJ69">
        <v>1</v>
      </c>
      <c r="AK69">
        <v>0</v>
      </c>
      <c r="AL69">
        <v>1</v>
      </c>
      <c r="AM69" t="s">
        <v>1355</v>
      </c>
      <c r="AN69" t="s">
        <v>1357</v>
      </c>
      <c r="AO69">
        <v>7.6970000000000001</v>
      </c>
      <c r="AP69">
        <v>2</v>
      </c>
      <c r="AQ69">
        <v>0</v>
      </c>
      <c r="AR69">
        <v>7.6149699999999996</v>
      </c>
      <c r="AS69">
        <v>7.6970000000000001</v>
      </c>
      <c r="AT69">
        <v>1</v>
      </c>
    </row>
    <row r="70" spans="1:46" hidden="1" x14ac:dyDescent="0.2">
      <c r="A70" t="s">
        <v>1511</v>
      </c>
      <c r="B70" t="s">
        <v>1512</v>
      </c>
      <c r="C70" t="s">
        <v>1511</v>
      </c>
      <c r="D70" t="s">
        <v>1355</v>
      </c>
      <c r="E70" t="s">
        <v>1356</v>
      </c>
      <c r="F70" t="s">
        <v>1357</v>
      </c>
      <c r="G70" t="s">
        <v>1355</v>
      </c>
      <c r="H70" t="s">
        <v>1367</v>
      </c>
      <c r="I70" t="s">
        <v>1223</v>
      </c>
      <c r="J70">
        <v>8</v>
      </c>
      <c r="K70">
        <v>80</v>
      </c>
      <c r="L70" t="s">
        <v>1511</v>
      </c>
      <c r="M70" t="s">
        <v>1511</v>
      </c>
      <c r="N70" t="s">
        <v>1355</v>
      </c>
      <c r="O70" t="s">
        <v>1359</v>
      </c>
      <c r="P70">
        <v>5</v>
      </c>
      <c r="Q70">
        <v>5</v>
      </c>
      <c r="R70">
        <v>0</v>
      </c>
      <c r="S70" t="s">
        <v>1355</v>
      </c>
      <c r="T70">
        <v>0</v>
      </c>
      <c r="U70">
        <v>0</v>
      </c>
      <c r="V70">
        <v>0</v>
      </c>
      <c r="W70" t="s">
        <v>1355</v>
      </c>
      <c r="X70" t="s">
        <v>1355</v>
      </c>
      <c r="Y70" t="s">
        <v>1355</v>
      </c>
      <c r="Z70">
        <v>0</v>
      </c>
      <c r="AA70">
        <v>0</v>
      </c>
      <c r="AB70">
        <v>0</v>
      </c>
      <c r="AC70" s="294">
        <v>41834</v>
      </c>
      <c r="AD70" s="294">
        <v>73050</v>
      </c>
      <c r="AE70" s="294">
        <v>41841</v>
      </c>
      <c r="AF70" t="s">
        <v>1367</v>
      </c>
      <c r="AG70">
        <v>0</v>
      </c>
      <c r="AH70" t="s">
        <v>1513</v>
      </c>
      <c r="AI70">
        <v>5</v>
      </c>
      <c r="AJ70">
        <v>5</v>
      </c>
      <c r="AK70">
        <v>0</v>
      </c>
      <c r="AL70">
        <v>5</v>
      </c>
      <c r="AM70" t="s">
        <v>1355</v>
      </c>
      <c r="AN70" t="s">
        <v>1357</v>
      </c>
      <c r="AO70">
        <v>3.5935000000000001</v>
      </c>
      <c r="AP70">
        <v>2</v>
      </c>
      <c r="AQ70">
        <v>0</v>
      </c>
      <c r="AR70">
        <v>3.5935000000000001</v>
      </c>
      <c r="AS70">
        <v>3.5935000000000001</v>
      </c>
      <c r="AT70">
        <v>1</v>
      </c>
    </row>
    <row r="71" spans="1:46" hidden="1" x14ac:dyDescent="0.2">
      <c r="A71" t="s">
        <v>1514</v>
      </c>
      <c r="B71" t="s">
        <v>1515</v>
      </c>
      <c r="C71" t="s">
        <v>1514</v>
      </c>
      <c r="D71" t="s">
        <v>1355</v>
      </c>
      <c r="E71" t="s">
        <v>1356</v>
      </c>
      <c r="F71" t="s">
        <v>1357</v>
      </c>
      <c r="G71" t="s">
        <v>1355</v>
      </c>
      <c r="H71" t="s">
        <v>1367</v>
      </c>
      <c r="I71" t="s">
        <v>1223</v>
      </c>
      <c r="J71">
        <v>9</v>
      </c>
      <c r="K71">
        <v>90</v>
      </c>
      <c r="L71" t="s">
        <v>1514</v>
      </c>
      <c r="M71" t="s">
        <v>1514</v>
      </c>
      <c r="N71" t="s">
        <v>1355</v>
      </c>
      <c r="O71" t="s">
        <v>1359</v>
      </c>
      <c r="P71">
        <v>2</v>
      </c>
      <c r="Q71">
        <v>2</v>
      </c>
      <c r="R71">
        <v>0</v>
      </c>
      <c r="S71" t="s">
        <v>1355</v>
      </c>
      <c r="T71">
        <v>0</v>
      </c>
      <c r="U71">
        <v>0</v>
      </c>
      <c r="V71">
        <v>0</v>
      </c>
      <c r="W71" t="s">
        <v>1355</v>
      </c>
      <c r="X71" t="s">
        <v>1355</v>
      </c>
      <c r="Y71" t="s">
        <v>1355</v>
      </c>
      <c r="Z71">
        <v>0</v>
      </c>
      <c r="AA71">
        <v>0</v>
      </c>
      <c r="AB71">
        <v>0</v>
      </c>
      <c r="AC71" s="294">
        <v>41834</v>
      </c>
      <c r="AD71" s="294">
        <v>73050</v>
      </c>
      <c r="AE71" s="294">
        <v>41841</v>
      </c>
      <c r="AF71" t="s">
        <v>1367</v>
      </c>
      <c r="AG71">
        <v>0</v>
      </c>
      <c r="AH71" t="s">
        <v>1516</v>
      </c>
      <c r="AI71">
        <v>2</v>
      </c>
      <c r="AJ71">
        <v>2</v>
      </c>
      <c r="AK71">
        <v>0</v>
      </c>
      <c r="AL71">
        <v>2</v>
      </c>
      <c r="AM71" t="s">
        <v>1355</v>
      </c>
      <c r="AN71" t="s">
        <v>1357</v>
      </c>
      <c r="AO71">
        <v>4.3606600000000002</v>
      </c>
      <c r="AP71">
        <v>2</v>
      </c>
      <c r="AQ71">
        <v>0</v>
      </c>
      <c r="AR71">
        <v>4.36076</v>
      </c>
      <c r="AS71">
        <v>4.3606600000000002</v>
      </c>
      <c r="AT71">
        <v>1</v>
      </c>
    </row>
    <row r="72" spans="1:46" hidden="1" x14ac:dyDescent="0.2">
      <c r="A72" t="s">
        <v>1517</v>
      </c>
      <c r="B72" t="s">
        <v>686</v>
      </c>
      <c r="C72" t="s">
        <v>1517</v>
      </c>
      <c r="D72" t="s">
        <v>1355</v>
      </c>
      <c r="E72" t="s">
        <v>1356</v>
      </c>
      <c r="F72" t="s">
        <v>1357</v>
      </c>
      <c r="G72" t="s">
        <v>1355</v>
      </c>
      <c r="H72" t="s">
        <v>1367</v>
      </c>
      <c r="I72" t="s">
        <v>1223</v>
      </c>
      <c r="J72">
        <v>10</v>
      </c>
      <c r="K72">
        <v>100</v>
      </c>
      <c r="L72" t="s">
        <v>1517</v>
      </c>
      <c r="M72" t="s">
        <v>1517</v>
      </c>
      <c r="N72" t="s">
        <v>1355</v>
      </c>
      <c r="O72" t="s">
        <v>1359</v>
      </c>
      <c r="P72">
        <v>1</v>
      </c>
      <c r="Q72">
        <v>1</v>
      </c>
      <c r="R72">
        <v>0</v>
      </c>
      <c r="S72" t="s">
        <v>1355</v>
      </c>
      <c r="T72">
        <v>0</v>
      </c>
      <c r="U72">
        <v>0</v>
      </c>
      <c r="V72">
        <v>0</v>
      </c>
      <c r="W72" t="s">
        <v>1355</v>
      </c>
      <c r="X72" t="s">
        <v>1355</v>
      </c>
      <c r="Y72" t="s">
        <v>1355</v>
      </c>
      <c r="Z72">
        <v>0</v>
      </c>
      <c r="AA72">
        <v>0</v>
      </c>
      <c r="AB72">
        <v>0</v>
      </c>
      <c r="AC72" s="294">
        <v>41834</v>
      </c>
      <c r="AD72" s="294">
        <v>73050</v>
      </c>
      <c r="AE72" s="294">
        <v>41841</v>
      </c>
      <c r="AF72" t="s">
        <v>1367</v>
      </c>
      <c r="AG72">
        <v>0</v>
      </c>
      <c r="AH72" t="s">
        <v>1518</v>
      </c>
      <c r="AI72">
        <v>1</v>
      </c>
      <c r="AJ72">
        <v>1</v>
      </c>
      <c r="AK72">
        <v>0</v>
      </c>
      <c r="AL72">
        <v>1</v>
      </c>
      <c r="AM72" t="s">
        <v>1355</v>
      </c>
      <c r="AN72" t="s">
        <v>1357</v>
      </c>
      <c r="AO72">
        <v>11.583</v>
      </c>
      <c r="AP72">
        <v>2</v>
      </c>
      <c r="AQ72">
        <v>0</v>
      </c>
      <c r="AR72">
        <v>11.28937</v>
      </c>
      <c r="AS72">
        <v>11.583</v>
      </c>
      <c r="AT72">
        <v>1</v>
      </c>
    </row>
    <row r="73" spans="1:46" hidden="1" x14ac:dyDescent="0.2">
      <c r="A73" t="s">
        <v>1519</v>
      </c>
      <c r="B73" t="s">
        <v>1520</v>
      </c>
      <c r="C73" t="s">
        <v>1519</v>
      </c>
      <c r="D73" t="s">
        <v>1355</v>
      </c>
      <c r="E73" t="s">
        <v>1356</v>
      </c>
      <c r="F73" t="s">
        <v>1357</v>
      </c>
      <c r="G73" t="s">
        <v>1355</v>
      </c>
      <c r="H73" t="s">
        <v>1367</v>
      </c>
      <c r="I73" t="s">
        <v>1223</v>
      </c>
      <c r="J73">
        <v>11</v>
      </c>
      <c r="K73">
        <v>110</v>
      </c>
      <c r="L73" t="s">
        <v>1519</v>
      </c>
      <c r="M73" t="s">
        <v>1519</v>
      </c>
      <c r="N73" t="s">
        <v>1355</v>
      </c>
      <c r="O73" t="s">
        <v>1359</v>
      </c>
      <c r="P73">
        <v>1</v>
      </c>
      <c r="Q73">
        <v>1</v>
      </c>
      <c r="R73">
        <v>0</v>
      </c>
      <c r="S73" t="s">
        <v>1355</v>
      </c>
      <c r="T73">
        <v>0</v>
      </c>
      <c r="U73">
        <v>0</v>
      </c>
      <c r="V73">
        <v>0</v>
      </c>
      <c r="W73" t="s">
        <v>1355</v>
      </c>
      <c r="X73" t="s">
        <v>1355</v>
      </c>
      <c r="Y73" t="s">
        <v>1355</v>
      </c>
      <c r="Z73">
        <v>0</v>
      </c>
      <c r="AA73">
        <v>0</v>
      </c>
      <c r="AB73">
        <v>0</v>
      </c>
      <c r="AC73" s="294">
        <v>41834</v>
      </c>
      <c r="AD73" s="294">
        <v>73050</v>
      </c>
      <c r="AE73" s="294">
        <v>41841</v>
      </c>
      <c r="AF73" t="s">
        <v>1367</v>
      </c>
      <c r="AG73">
        <v>0</v>
      </c>
      <c r="AH73" t="s">
        <v>1521</v>
      </c>
      <c r="AI73">
        <v>1</v>
      </c>
      <c r="AJ73">
        <v>1</v>
      </c>
      <c r="AK73">
        <v>0</v>
      </c>
      <c r="AL73">
        <v>1</v>
      </c>
      <c r="AM73" t="s">
        <v>1355</v>
      </c>
      <c r="AN73" t="s">
        <v>1357</v>
      </c>
      <c r="AO73">
        <v>11.583500000000001</v>
      </c>
      <c r="AP73">
        <v>2</v>
      </c>
      <c r="AQ73">
        <v>0</v>
      </c>
      <c r="AR73">
        <v>11.5832</v>
      </c>
      <c r="AS73">
        <v>11.583500000000001</v>
      </c>
      <c r="AT73">
        <v>1</v>
      </c>
    </row>
    <row r="74" spans="1:46" hidden="1" x14ac:dyDescent="0.2">
      <c r="A74" t="s">
        <v>1522</v>
      </c>
      <c r="B74" t="s">
        <v>1523</v>
      </c>
      <c r="C74" t="s">
        <v>1522</v>
      </c>
      <c r="D74" t="s">
        <v>1355</v>
      </c>
      <c r="E74" t="s">
        <v>1356</v>
      </c>
      <c r="F74" t="s">
        <v>1357</v>
      </c>
      <c r="G74" t="s">
        <v>1355</v>
      </c>
      <c r="H74" t="s">
        <v>1367</v>
      </c>
      <c r="I74" t="s">
        <v>1223</v>
      </c>
      <c r="J74">
        <v>12</v>
      </c>
      <c r="K74">
        <v>120</v>
      </c>
      <c r="L74" t="s">
        <v>1522</v>
      </c>
      <c r="M74" t="s">
        <v>1522</v>
      </c>
      <c r="N74" t="s">
        <v>1355</v>
      </c>
      <c r="O74" t="s">
        <v>1359</v>
      </c>
      <c r="P74">
        <v>1</v>
      </c>
      <c r="Q74">
        <v>1</v>
      </c>
      <c r="R74">
        <v>0</v>
      </c>
      <c r="S74" t="s">
        <v>1355</v>
      </c>
      <c r="T74">
        <v>0</v>
      </c>
      <c r="U74">
        <v>0</v>
      </c>
      <c r="V74">
        <v>0</v>
      </c>
      <c r="W74" t="s">
        <v>1355</v>
      </c>
      <c r="X74" t="s">
        <v>1355</v>
      </c>
      <c r="Y74" t="s">
        <v>1355</v>
      </c>
      <c r="Z74">
        <v>0</v>
      </c>
      <c r="AA74">
        <v>0</v>
      </c>
      <c r="AB74">
        <v>0</v>
      </c>
      <c r="AC74" s="294">
        <v>41834</v>
      </c>
      <c r="AD74" s="294">
        <v>73050</v>
      </c>
      <c r="AE74" s="294">
        <v>41841</v>
      </c>
      <c r="AF74" t="s">
        <v>1367</v>
      </c>
      <c r="AG74">
        <v>0</v>
      </c>
      <c r="AH74" t="s">
        <v>1524</v>
      </c>
      <c r="AI74">
        <v>1</v>
      </c>
      <c r="AJ74">
        <v>1</v>
      </c>
      <c r="AK74">
        <v>0</v>
      </c>
      <c r="AL74">
        <v>1</v>
      </c>
      <c r="AM74" t="s">
        <v>1355</v>
      </c>
      <c r="AN74" t="s">
        <v>1357</v>
      </c>
      <c r="AO74">
        <v>15.61767</v>
      </c>
      <c r="AP74">
        <v>2</v>
      </c>
      <c r="AQ74">
        <v>0</v>
      </c>
      <c r="AR74">
        <v>15.617649999999999</v>
      </c>
      <c r="AS74">
        <v>15.61767</v>
      </c>
      <c r="AT74">
        <v>1</v>
      </c>
    </row>
    <row r="75" spans="1:46" hidden="1" x14ac:dyDescent="0.2">
      <c r="A75" t="s">
        <v>1525</v>
      </c>
      <c r="B75" t="s">
        <v>1526</v>
      </c>
      <c r="C75" t="s">
        <v>1525</v>
      </c>
      <c r="D75" t="s">
        <v>1355</v>
      </c>
      <c r="E75" t="s">
        <v>1356</v>
      </c>
      <c r="F75" t="s">
        <v>1357</v>
      </c>
      <c r="G75" t="s">
        <v>1355</v>
      </c>
      <c r="H75" t="s">
        <v>1367</v>
      </c>
      <c r="I75" t="s">
        <v>1223</v>
      </c>
      <c r="J75">
        <v>13</v>
      </c>
      <c r="K75">
        <v>130</v>
      </c>
      <c r="L75" t="s">
        <v>1525</v>
      </c>
      <c r="M75" t="s">
        <v>1525</v>
      </c>
      <c r="N75" t="s">
        <v>1355</v>
      </c>
      <c r="O75" t="s">
        <v>1359</v>
      </c>
      <c r="P75">
        <v>1</v>
      </c>
      <c r="Q75">
        <v>1</v>
      </c>
      <c r="R75">
        <v>0</v>
      </c>
      <c r="S75" t="s">
        <v>1355</v>
      </c>
      <c r="T75">
        <v>0</v>
      </c>
      <c r="U75">
        <v>0</v>
      </c>
      <c r="V75">
        <v>0</v>
      </c>
      <c r="W75" t="s">
        <v>1355</v>
      </c>
      <c r="X75" t="s">
        <v>1355</v>
      </c>
      <c r="Y75" t="s">
        <v>1355</v>
      </c>
      <c r="Z75">
        <v>0</v>
      </c>
      <c r="AA75">
        <v>0</v>
      </c>
      <c r="AB75">
        <v>0</v>
      </c>
      <c r="AC75" s="294">
        <v>41834</v>
      </c>
      <c r="AD75" s="294">
        <v>73050</v>
      </c>
      <c r="AE75" s="294">
        <v>41841</v>
      </c>
      <c r="AF75" t="s">
        <v>1367</v>
      </c>
      <c r="AG75">
        <v>0</v>
      </c>
      <c r="AH75" t="s">
        <v>1527</v>
      </c>
      <c r="AI75">
        <v>1</v>
      </c>
      <c r="AJ75">
        <v>1</v>
      </c>
      <c r="AK75">
        <v>0</v>
      </c>
      <c r="AL75">
        <v>1</v>
      </c>
      <c r="AM75" t="s">
        <v>1355</v>
      </c>
      <c r="AN75" t="s">
        <v>1357</v>
      </c>
      <c r="AO75">
        <v>33.836669999999998</v>
      </c>
      <c r="AP75">
        <v>2</v>
      </c>
      <c r="AQ75">
        <v>0</v>
      </c>
      <c r="AR75">
        <v>33.836669999999998</v>
      </c>
      <c r="AS75">
        <v>33.836669999999998</v>
      </c>
      <c r="AT75">
        <v>1</v>
      </c>
    </row>
    <row r="76" spans="1:46" x14ac:dyDescent="0.2">
      <c r="A76" t="s">
        <v>1224</v>
      </c>
      <c r="B76" t="s">
        <v>1528</v>
      </c>
      <c r="C76" t="s">
        <v>1224</v>
      </c>
      <c r="D76" t="s">
        <v>1355</v>
      </c>
      <c r="E76" t="s">
        <v>1356</v>
      </c>
      <c r="F76" t="s">
        <v>1357</v>
      </c>
      <c r="G76" t="s">
        <v>1355</v>
      </c>
      <c r="H76" t="s">
        <v>1358</v>
      </c>
      <c r="I76" t="s">
        <v>1353</v>
      </c>
      <c r="J76">
        <v>20</v>
      </c>
      <c r="K76">
        <v>200</v>
      </c>
      <c r="L76" t="s">
        <v>1224</v>
      </c>
      <c r="M76" t="s">
        <v>1224</v>
      </c>
      <c r="N76" t="s">
        <v>1355</v>
      </c>
      <c r="O76" t="s">
        <v>1359</v>
      </c>
      <c r="P76">
        <v>1</v>
      </c>
      <c r="Q76">
        <v>1</v>
      </c>
      <c r="R76">
        <v>0</v>
      </c>
      <c r="S76" t="s">
        <v>1355</v>
      </c>
      <c r="T76">
        <v>0</v>
      </c>
      <c r="U76">
        <v>0</v>
      </c>
      <c r="V76">
        <v>0</v>
      </c>
      <c r="W76" t="s">
        <v>1355</v>
      </c>
      <c r="X76" t="s">
        <v>1355</v>
      </c>
      <c r="Y76" t="s">
        <v>1355</v>
      </c>
      <c r="Z76">
        <v>0</v>
      </c>
      <c r="AA76">
        <v>0</v>
      </c>
      <c r="AB76">
        <v>0</v>
      </c>
      <c r="AC76" s="294">
        <v>36161</v>
      </c>
      <c r="AD76" s="294">
        <v>73050</v>
      </c>
      <c r="AE76" s="294">
        <v>41844</v>
      </c>
      <c r="AF76" t="s">
        <v>1358</v>
      </c>
      <c r="AG76">
        <v>0</v>
      </c>
      <c r="AH76" t="s">
        <v>1529</v>
      </c>
      <c r="AI76">
        <v>1</v>
      </c>
      <c r="AJ76">
        <v>1</v>
      </c>
      <c r="AK76">
        <v>0</v>
      </c>
      <c r="AL76">
        <v>1</v>
      </c>
      <c r="AM76" t="s">
        <v>1362</v>
      </c>
      <c r="AN76" t="s">
        <v>1357</v>
      </c>
      <c r="AO76">
        <v>910.81970000000001</v>
      </c>
      <c r="AP76">
        <v>1</v>
      </c>
      <c r="AQ76">
        <v>0</v>
      </c>
      <c r="AR76">
        <v>910.37297000000001</v>
      </c>
      <c r="AS76">
        <v>910.81970000000001</v>
      </c>
      <c r="AT76">
        <v>1</v>
      </c>
    </row>
    <row r="77" spans="1:46" hidden="1" x14ac:dyDescent="0.2">
      <c r="A77" t="s">
        <v>1530</v>
      </c>
      <c r="B77" t="s">
        <v>1531</v>
      </c>
      <c r="C77" t="s">
        <v>1530</v>
      </c>
      <c r="D77" t="s">
        <v>1355</v>
      </c>
      <c r="E77" t="s">
        <v>1356</v>
      </c>
      <c r="F77" t="s">
        <v>1357</v>
      </c>
      <c r="G77" t="s">
        <v>1355</v>
      </c>
      <c r="H77" t="s">
        <v>1367</v>
      </c>
      <c r="I77" t="s">
        <v>1224</v>
      </c>
      <c r="J77">
        <v>1</v>
      </c>
      <c r="K77">
        <v>10</v>
      </c>
      <c r="L77" t="s">
        <v>1530</v>
      </c>
      <c r="M77" t="s">
        <v>1530</v>
      </c>
      <c r="N77" t="s">
        <v>1355</v>
      </c>
      <c r="O77" t="s">
        <v>1359</v>
      </c>
      <c r="P77">
        <v>1</v>
      </c>
      <c r="Q77">
        <v>1</v>
      </c>
      <c r="R77">
        <v>0</v>
      </c>
      <c r="S77" t="s">
        <v>1355</v>
      </c>
      <c r="T77">
        <v>0</v>
      </c>
      <c r="U77">
        <v>0</v>
      </c>
      <c r="V77">
        <v>0</v>
      </c>
      <c r="W77" t="s">
        <v>1355</v>
      </c>
      <c r="X77" t="s">
        <v>1355</v>
      </c>
      <c r="Y77" t="s">
        <v>1355</v>
      </c>
      <c r="Z77">
        <v>0</v>
      </c>
      <c r="AA77">
        <v>0</v>
      </c>
      <c r="AB77">
        <v>0</v>
      </c>
      <c r="AC77" s="294">
        <v>41834</v>
      </c>
      <c r="AD77" s="294">
        <v>73050</v>
      </c>
      <c r="AE77" s="294">
        <v>41834</v>
      </c>
      <c r="AF77" t="s">
        <v>1367</v>
      </c>
      <c r="AG77">
        <v>0</v>
      </c>
      <c r="AH77" t="s">
        <v>1532</v>
      </c>
      <c r="AI77">
        <v>1</v>
      </c>
      <c r="AJ77">
        <v>1</v>
      </c>
      <c r="AK77">
        <v>0</v>
      </c>
      <c r="AL77">
        <v>1</v>
      </c>
      <c r="AM77" t="s">
        <v>1355</v>
      </c>
      <c r="AN77" t="s">
        <v>1357</v>
      </c>
      <c r="AO77">
        <v>700</v>
      </c>
      <c r="AP77">
        <v>2</v>
      </c>
      <c r="AQ77">
        <v>0</v>
      </c>
      <c r="AR77">
        <v>700</v>
      </c>
      <c r="AS77">
        <v>700</v>
      </c>
      <c r="AT77">
        <v>1</v>
      </c>
    </row>
    <row r="78" spans="1:46" hidden="1" x14ac:dyDescent="0.2">
      <c r="A78" t="s">
        <v>1493</v>
      </c>
      <c r="B78" t="s">
        <v>1494</v>
      </c>
      <c r="C78" t="s">
        <v>1493</v>
      </c>
      <c r="D78" t="s">
        <v>1355</v>
      </c>
      <c r="E78" t="s">
        <v>1356</v>
      </c>
      <c r="F78" t="s">
        <v>1357</v>
      </c>
      <c r="G78" t="s">
        <v>1355</v>
      </c>
      <c r="H78" t="s">
        <v>1367</v>
      </c>
      <c r="I78" t="s">
        <v>1224</v>
      </c>
      <c r="J78">
        <v>2</v>
      </c>
      <c r="K78">
        <v>20</v>
      </c>
      <c r="L78" t="s">
        <v>1493</v>
      </c>
      <c r="M78" t="s">
        <v>1493</v>
      </c>
      <c r="N78" t="s">
        <v>1355</v>
      </c>
      <c r="O78" t="s">
        <v>1359</v>
      </c>
      <c r="P78">
        <v>1</v>
      </c>
      <c r="Q78">
        <v>1</v>
      </c>
      <c r="R78">
        <v>0</v>
      </c>
      <c r="S78" t="s">
        <v>1355</v>
      </c>
      <c r="T78">
        <v>0</v>
      </c>
      <c r="U78">
        <v>0</v>
      </c>
      <c r="V78">
        <v>0</v>
      </c>
      <c r="W78" t="s">
        <v>1355</v>
      </c>
      <c r="X78" t="s">
        <v>1355</v>
      </c>
      <c r="Y78" t="s">
        <v>1355</v>
      </c>
      <c r="Z78">
        <v>0</v>
      </c>
      <c r="AA78">
        <v>0</v>
      </c>
      <c r="AB78">
        <v>0</v>
      </c>
      <c r="AC78" s="294">
        <v>41834</v>
      </c>
      <c r="AD78" s="294">
        <v>73050</v>
      </c>
      <c r="AE78" s="294">
        <v>41841</v>
      </c>
      <c r="AF78" t="s">
        <v>1367</v>
      </c>
      <c r="AG78">
        <v>0</v>
      </c>
      <c r="AH78" t="s">
        <v>1533</v>
      </c>
      <c r="AI78">
        <v>1</v>
      </c>
      <c r="AJ78">
        <v>1</v>
      </c>
      <c r="AK78">
        <v>0</v>
      </c>
      <c r="AL78">
        <v>1</v>
      </c>
      <c r="AM78" t="s">
        <v>1355</v>
      </c>
      <c r="AN78" t="s">
        <v>1357</v>
      </c>
      <c r="AO78">
        <v>122.14</v>
      </c>
      <c r="AP78">
        <v>2</v>
      </c>
      <c r="AQ78">
        <v>0</v>
      </c>
      <c r="AR78">
        <v>122.14</v>
      </c>
      <c r="AS78">
        <v>122.14</v>
      </c>
      <c r="AT78">
        <v>1</v>
      </c>
    </row>
    <row r="79" spans="1:46" hidden="1" x14ac:dyDescent="0.2">
      <c r="A79" t="s">
        <v>1496</v>
      </c>
      <c r="B79" t="s">
        <v>1497</v>
      </c>
      <c r="C79" t="s">
        <v>1496</v>
      </c>
      <c r="D79" t="s">
        <v>1355</v>
      </c>
      <c r="E79" t="s">
        <v>1356</v>
      </c>
      <c r="F79" t="s">
        <v>1357</v>
      </c>
      <c r="G79" t="s">
        <v>1355</v>
      </c>
      <c r="H79" t="s">
        <v>1367</v>
      </c>
      <c r="I79" t="s">
        <v>1224</v>
      </c>
      <c r="J79">
        <v>3</v>
      </c>
      <c r="K79">
        <v>30</v>
      </c>
      <c r="L79" t="s">
        <v>1496</v>
      </c>
      <c r="M79" t="s">
        <v>1496</v>
      </c>
      <c r="N79" t="s">
        <v>1355</v>
      </c>
      <c r="O79" t="s">
        <v>1359</v>
      </c>
      <c r="P79">
        <v>1</v>
      </c>
      <c r="Q79">
        <v>1</v>
      </c>
      <c r="R79">
        <v>0</v>
      </c>
      <c r="S79" t="s">
        <v>1355</v>
      </c>
      <c r="T79">
        <v>0</v>
      </c>
      <c r="U79">
        <v>0</v>
      </c>
      <c r="V79">
        <v>0</v>
      </c>
      <c r="W79" t="s">
        <v>1355</v>
      </c>
      <c r="X79" t="s">
        <v>1355</v>
      </c>
      <c r="Y79" t="s">
        <v>1355</v>
      </c>
      <c r="Z79">
        <v>0</v>
      </c>
      <c r="AA79">
        <v>0</v>
      </c>
      <c r="AB79">
        <v>0</v>
      </c>
      <c r="AC79" s="294">
        <v>41834</v>
      </c>
      <c r="AD79" s="294">
        <v>73050</v>
      </c>
      <c r="AE79" s="294">
        <v>41841</v>
      </c>
      <c r="AF79" t="s">
        <v>1367</v>
      </c>
      <c r="AG79">
        <v>0</v>
      </c>
      <c r="AH79" t="s">
        <v>1534</v>
      </c>
      <c r="AI79">
        <v>1</v>
      </c>
      <c r="AJ79">
        <v>1</v>
      </c>
      <c r="AK79">
        <v>0</v>
      </c>
      <c r="AL79">
        <v>1</v>
      </c>
      <c r="AM79" t="s">
        <v>1355</v>
      </c>
      <c r="AN79" t="s">
        <v>1357</v>
      </c>
      <c r="AO79">
        <v>3.3439999999999999</v>
      </c>
      <c r="AP79">
        <v>2</v>
      </c>
      <c r="AQ79">
        <v>0</v>
      </c>
      <c r="AR79">
        <v>3.3439999999999999</v>
      </c>
      <c r="AS79">
        <v>3.3439999999999999</v>
      </c>
      <c r="AT79">
        <v>1</v>
      </c>
    </row>
    <row r="80" spans="1:46" hidden="1" x14ac:dyDescent="0.2">
      <c r="A80" t="s">
        <v>1499</v>
      </c>
      <c r="B80" t="s">
        <v>1500</v>
      </c>
      <c r="C80" t="s">
        <v>1499</v>
      </c>
      <c r="D80" t="s">
        <v>1355</v>
      </c>
      <c r="E80" t="s">
        <v>1356</v>
      </c>
      <c r="F80" t="s">
        <v>1357</v>
      </c>
      <c r="G80" t="s">
        <v>1355</v>
      </c>
      <c r="H80" t="s">
        <v>1367</v>
      </c>
      <c r="I80" t="s">
        <v>1224</v>
      </c>
      <c r="J80">
        <v>4</v>
      </c>
      <c r="K80">
        <v>40</v>
      </c>
      <c r="L80" t="s">
        <v>1499</v>
      </c>
      <c r="M80" t="s">
        <v>1499</v>
      </c>
      <c r="N80" t="s">
        <v>1355</v>
      </c>
      <c r="O80" t="s">
        <v>1359</v>
      </c>
      <c r="P80">
        <v>1</v>
      </c>
      <c r="Q80">
        <v>1</v>
      </c>
      <c r="R80">
        <v>0</v>
      </c>
      <c r="S80" t="s">
        <v>1355</v>
      </c>
      <c r="T80">
        <v>0</v>
      </c>
      <c r="U80">
        <v>0</v>
      </c>
      <c r="V80">
        <v>0</v>
      </c>
      <c r="W80" t="s">
        <v>1355</v>
      </c>
      <c r="X80" t="s">
        <v>1355</v>
      </c>
      <c r="Y80" t="s">
        <v>1355</v>
      </c>
      <c r="Z80">
        <v>0</v>
      </c>
      <c r="AA80">
        <v>0</v>
      </c>
      <c r="AB80">
        <v>0</v>
      </c>
      <c r="AC80" s="294">
        <v>41834</v>
      </c>
      <c r="AD80" s="294">
        <v>73050</v>
      </c>
      <c r="AE80" s="294">
        <v>41841</v>
      </c>
      <c r="AF80" t="s">
        <v>1367</v>
      </c>
      <c r="AG80">
        <v>0</v>
      </c>
      <c r="AH80" t="s">
        <v>1535</v>
      </c>
      <c r="AI80">
        <v>1</v>
      </c>
      <c r="AJ80">
        <v>1</v>
      </c>
      <c r="AK80">
        <v>0</v>
      </c>
      <c r="AL80">
        <v>1</v>
      </c>
      <c r="AM80" t="s">
        <v>1355</v>
      </c>
      <c r="AN80" t="s">
        <v>1357</v>
      </c>
      <c r="AO80">
        <v>0.77759999999999996</v>
      </c>
      <c r="AP80">
        <v>2</v>
      </c>
      <c r="AQ80">
        <v>0</v>
      </c>
      <c r="AR80">
        <v>0.77095999999999998</v>
      </c>
      <c r="AS80">
        <v>0.77759999999999996</v>
      </c>
      <c r="AT80">
        <v>1</v>
      </c>
    </row>
    <row r="81" spans="1:46" hidden="1" x14ac:dyDescent="0.2">
      <c r="A81" t="s">
        <v>1502</v>
      </c>
      <c r="B81" t="s">
        <v>1503</v>
      </c>
      <c r="C81" t="s">
        <v>1502</v>
      </c>
      <c r="D81" t="s">
        <v>1355</v>
      </c>
      <c r="E81" t="s">
        <v>1356</v>
      </c>
      <c r="F81" t="s">
        <v>1357</v>
      </c>
      <c r="G81" t="s">
        <v>1355</v>
      </c>
      <c r="H81" t="s">
        <v>1367</v>
      </c>
      <c r="I81" t="s">
        <v>1224</v>
      </c>
      <c r="J81">
        <v>13</v>
      </c>
      <c r="K81">
        <v>50</v>
      </c>
      <c r="L81" t="s">
        <v>1502</v>
      </c>
      <c r="M81" t="s">
        <v>1502</v>
      </c>
      <c r="N81" t="s">
        <v>1355</v>
      </c>
      <c r="O81" t="s">
        <v>1359</v>
      </c>
      <c r="P81">
        <v>3</v>
      </c>
      <c r="Q81">
        <v>3</v>
      </c>
      <c r="R81">
        <v>0</v>
      </c>
      <c r="S81" t="s">
        <v>1355</v>
      </c>
      <c r="T81">
        <v>0</v>
      </c>
      <c r="U81">
        <v>0</v>
      </c>
      <c r="V81">
        <v>0</v>
      </c>
      <c r="W81" t="s">
        <v>1355</v>
      </c>
      <c r="X81" t="s">
        <v>1355</v>
      </c>
      <c r="Y81" t="s">
        <v>1355</v>
      </c>
      <c r="Z81">
        <v>0</v>
      </c>
      <c r="AA81">
        <v>0</v>
      </c>
      <c r="AB81">
        <v>0</v>
      </c>
      <c r="AC81" s="294">
        <v>41842</v>
      </c>
      <c r="AD81" s="294">
        <v>73050</v>
      </c>
      <c r="AE81" s="294">
        <v>41842</v>
      </c>
      <c r="AF81" t="s">
        <v>1367</v>
      </c>
      <c r="AG81">
        <v>0</v>
      </c>
      <c r="AH81" t="s">
        <v>1536</v>
      </c>
      <c r="AI81">
        <v>3</v>
      </c>
      <c r="AJ81">
        <v>3</v>
      </c>
      <c r="AK81">
        <v>0</v>
      </c>
      <c r="AL81">
        <v>3</v>
      </c>
      <c r="AM81" t="s">
        <v>1355</v>
      </c>
      <c r="AN81" t="s">
        <v>1357</v>
      </c>
      <c r="AO81">
        <v>4.9356</v>
      </c>
      <c r="AP81">
        <v>2</v>
      </c>
      <c r="AQ81">
        <v>0</v>
      </c>
      <c r="AR81">
        <v>4.8986700000000001</v>
      </c>
      <c r="AS81">
        <v>4.9356</v>
      </c>
      <c r="AT81">
        <v>1</v>
      </c>
    </row>
    <row r="82" spans="1:46" hidden="1" x14ac:dyDescent="0.2">
      <c r="A82" t="s">
        <v>1505</v>
      </c>
      <c r="B82" t="s">
        <v>1506</v>
      </c>
      <c r="C82" t="s">
        <v>1505</v>
      </c>
      <c r="D82" t="s">
        <v>1355</v>
      </c>
      <c r="E82" t="s">
        <v>1356</v>
      </c>
      <c r="F82" t="s">
        <v>1357</v>
      </c>
      <c r="G82" t="s">
        <v>1355</v>
      </c>
      <c r="H82" t="s">
        <v>1367</v>
      </c>
      <c r="I82" t="s">
        <v>1224</v>
      </c>
      <c r="J82">
        <v>6</v>
      </c>
      <c r="K82">
        <v>60</v>
      </c>
      <c r="L82" t="s">
        <v>1505</v>
      </c>
      <c r="M82" t="s">
        <v>1505</v>
      </c>
      <c r="N82" t="s">
        <v>1355</v>
      </c>
      <c r="O82" t="s">
        <v>1359</v>
      </c>
      <c r="P82">
        <v>1</v>
      </c>
      <c r="Q82">
        <v>1</v>
      </c>
      <c r="R82">
        <v>0</v>
      </c>
      <c r="S82" t="s">
        <v>1355</v>
      </c>
      <c r="T82">
        <v>0</v>
      </c>
      <c r="U82">
        <v>0</v>
      </c>
      <c r="V82">
        <v>0</v>
      </c>
      <c r="W82" t="s">
        <v>1355</v>
      </c>
      <c r="X82" t="s">
        <v>1355</v>
      </c>
      <c r="Y82" t="s">
        <v>1355</v>
      </c>
      <c r="Z82">
        <v>0</v>
      </c>
      <c r="AA82">
        <v>0</v>
      </c>
      <c r="AB82">
        <v>0</v>
      </c>
      <c r="AC82" s="294">
        <v>41834</v>
      </c>
      <c r="AD82" s="294">
        <v>73050</v>
      </c>
      <c r="AE82" s="294">
        <v>41841</v>
      </c>
      <c r="AF82" t="s">
        <v>1367</v>
      </c>
      <c r="AG82">
        <v>0</v>
      </c>
      <c r="AH82" t="s">
        <v>1537</v>
      </c>
      <c r="AI82">
        <v>1</v>
      </c>
      <c r="AJ82">
        <v>1</v>
      </c>
      <c r="AK82">
        <v>0</v>
      </c>
      <c r="AL82">
        <v>1</v>
      </c>
      <c r="AM82" t="s">
        <v>1355</v>
      </c>
      <c r="AN82" t="s">
        <v>1357</v>
      </c>
      <c r="AO82">
        <v>2.9340000000000002</v>
      </c>
      <c r="AP82">
        <v>2</v>
      </c>
      <c r="AQ82">
        <v>0</v>
      </c>
      <c r="AR82">
        <v>2.9064199999999998</v>
      </c>
      <c r="AS82">
        <v>2.9340000000000002</v>
      </c>
      <c r="AT82">
        <v>1</v>
      </c>
    </row>
    <row r="83" spans="1:46" hidden="1" x14ac:dyDescent="0.2">
      <c r="A83" t="s">
        <v>1508</v>
      </c>
      <c r="B83" t="s">
        <v>1509</v>
      </c>
      <c r="C83" t="s">
        <v>1508</v>
      </c>
      <c r="D83" t="s">
        <v>1355</v>
      </c>
      <c r="E83" t="s">
        <v>1356</v>
      </c>
      <c r="F83" t="s">
        <v>1357</v>
      </c>
      <c r="G83" t="s">
        <v>1355</v>
      </c>
      <c r="H83" t="s">
        <v>1367</v>
      </c>
      <c r="I83" t="s">
        <v>1224</v>
      </c>
      <c r="J83">
        <v>7</v>
      </c>
      <c r="K83">
        <v>70</v>
      </c>
      <c r="L83" t="s">
        <v>1508</v>
      </c>
      <c r="M83" t="s">
        <v>1508</v>
      </c>
      <c r="N83" t="s">
        <v>1355</v>
      </c>
      <c r="O83" t="s">
        <v>1359</v>
      </c>
      <c r="P83">
        <v>1</v>
      </c>
      <c r="Q83">
        <v>1</v>
      </c>
      <c r="R83">
        <v>0</v>
      </c>
      <c r="S83" t="s">
        <v>1355</v>
      </c>
      <c r="T83">
        <v>0</v>
      </c>
      <c r="U83">
        <v>0</v>
      </c>
      <c r="V83">
        <v>0</v>
      </c>
      <c r="W83" t="s">
        <v>1355</v>
      </c>
      <c r="X83" t="s">
        <v>1355</v>
      </c>
      <c r="Y83" t="s">
        <v>1355</v>
      </c>
      <c r="Z83">
        <v>0</v>
      </c>
      <c r="AA83">
        <v>0</v>
      </c>
      <c r="AB83">
        <v>0</v>
      </c>
      <c r="AC83" s="294">
        <v>41834</v>
      </c>
      <c r="AD83" s="294">
        <v>73050</v>
      </c>
      <c r="AE83" s="294">
        <v>41841</v>
      </c>
      <c r="AF83" t="s">
        <v>1367</v>
      </c>
      <c r="AG83">
        <v>0</v>
      </c>
      <c r="AH83" t="s">
        <v>1538</v>
      </c>
      <c r="AI83">
        <v>1</v>
      </c>
      <c r="AJ83">
        <v>1</v>
      </c>
      <c r="AK83">
        <v>0</v>
      </c>
      <c r="AL83">
        <v>1</v>
      </c>
      <c r="AM83" t="s">
        <v>1355</v>
      </c>
      <c r="AN83" t="s">
        <v>1357</v>
      </c>
      <c r="AO83">
        <v>7.6970000000000001</v>
      </c>
      <c r="AP83">
        <v>2</v>
      </c>
      <c r="AQ83">
        <v>0</v>
      </c>
      <c r="AR83">
        <v>7.6149699999999996</v>
      </c>
      <c r="AS83">
        <v>7.6970000000000001</v>
      </c>
      <c r="AT83">
        <v>1</v>
      </c>
    </row>
    <row r="84" spans="1:46" hidden="1" x14ac:dyDescent="0.2">
      <c r="A84" t="s">
        <v>1511</v>
      </c>
      <c r="B84" t="s">
        <v>1512</v>
      </c>
      <c r="C84" t="s">
        <v>1511</v>
      </c>
      <c r="D84" t="s">
        <v>1355</v>
      </c>
      <c r="E84" t="s">
        <v>1356</v>
      </c>
      <c r="F84" t="s">
        <v>1357</v>
      </c>
      <c r="G84" t="s">
        <v>1355</v>
      </c>
      <c r="H84" t="s">
        <v>1367</v>
      </c>
      <c r="I84" t="s">
        <v>1224</v>
      </c>
      <c r="J84">
        <v>8</v>
      </c>
      <c r="K84">
        <v>80</v>
      </c>
      <c r="L84" t="s">
        <v>1511</v>
      </c>
      <c r="M84" t="s">
        <v>1511</v>
      </c>
      <c r="N84" t="s">
        <v>1355</v>
      </c>
      <c r="O84" t="s">
        <v>1359</v>
      </c>
      <c r="P84">
        <v>5</v>
      </c>
      <c r="Q84">
        <v>5</v>
      </c>
      <c r="R84">
        <v>0</v>
      </c>
      <c r="S84" t="s">
        <v>1355</v>
      </c>
      <c r="T84">
        <v>0</v>
      </c>
      <c r="U84">
        <v>0</v>
      </c>
      <c r="V84">
        <v>0</v>
      </c>
      <c r="W84" t="s">
        <v>1355</v>
      </c>
      <c r="X84" t="s">
        <v>1355</v>
      </c>
      <c r="Y84" t="s">
        <v>1355</v>
      </c>
      <c r="Z84">
        <v>0</v>
      </c>
      <c r="AA84">
        <v>0</v>
      </c>
      <c r="AB84">
        <v>0</v>
      </c>
      <c r="AC84" s="294">
        <v>41834</v>
      </c>
      <c r="AD84" s="294">
        <v>73050</v>
      </c>
      <c r="AE84" s="294">
        <v>41841</v>
      </c>
      <c r="AF84" t="s">
        <v>1367</v>
      </c>
      <c r="AG84">
        <v>0</v>
      </c>
      <c r="AH84" t="s">
        <v>1539</v>
      </c>
      <c r="AI84">
        <v>5</v>
      </c>
      <c r="AJ84">
        <v>5</v>
      </c>
      <c r="AK84">
        <v>0</v>
      </c>
      <c r="AL84">
        <v>5</v>
      </c>
      <c r="AM84" t="s">
        <v>1355</v>
      </c>
      <c r="AN84" t="s">
        <v>1357</v>
      </c>
      <c r="AO84">
        <v>3.5935000000000001</v>
      </c>
      <c r="AP84">
        <v>2</v>
      </c>
      <c r="AQ84">
        <v>0</v>
      </c>
      <c r="AR84">
        <v>3.5935000000000001</v>
      </c>
      <c r="AS84">
        <v>3.5935000000000001</v>
      </c>
      <c r="AT84">
        <v>1</v>
      </c>
    </row>
    <row r="85" spans="1:46" hidden="1" x14ac:dyDescent="0.2">
      <c r="A85" t="s">
        <v>1514</v>
      </c>
      <c r="B85" t="s">
        <v>1515</v>
      </c>
      <c r="C85" t="s">
        <v>1514</v>
      </c>
      <c r="D85" t="s">
        <v>1355</v>
      </c>
      <c r="E85" t="s">
        <v>1356</v>
      </c>
      <c r="F85" t="s">
        <v>1357</v>
      </c>
      <c r="G85" t="s">
        <v>1355</v>
      </c>
      <c r="H85" t="s">
        <v>1367</v>
      </c>
      <c r="I85" t="s">
        <v>1224</v>
      </c>
      <c r="J85">
        <v>9</v>
      </c>
      <c r="K85">
        <v>90</v>
      </c>
      <c r="L85" t="s">
        <v>1514</v>
      </c>
      <c r="M85" t="s">
        <v>1514</v>
      </c>
      <c r="N85" t="s">
        <v>1355</v>
      </c>
      <c r="O85" t="s">
        <v>1359</v>
      </c>
      <c r="P85">
        <v>2</v>
      </c>
      <c r="Q85">
        <v>2</v>
      </c>
      <c r="R85">
        <v>0</v>
      </c>
      <c r="S85" t="s">
        <v>1355</v>
      </c>
      <c r="T85">
        <v>0</v>
      </c>
      <c r="U85">
        <v>0</v>
      </c>
      <c r="V85">
        <v>0</v>
      </c>
      <c r="W85" t="s">
        <v>1355</v>
      </c>
      <c r="X85" t="s">
        <v>1355</v>
      </c>
      <c r="Y85" t="s">
        <v>1355</v>
      </c>
      <c r="Z85">
        <v>0</v>
      </c>
      <c r="AA85">
        <v>0</v>
      </c>
      <c r="AB85">
        <v>0</v>
      </c>
      <c r="AC85" s="294">
        <v>41834</v>
      </c>
      <c r="AD85" s="294">
        <v>73050</v>
      </c>
      <c r="AE85" s="294">
        <v>41841</v>
      </c>
      <c r="AF85" t="s">
        <v>1367</v>
      </c>
      <c r="AG85">
        <v>0</v>
      </c>
      <c r="AH85" t="s">
        <v>1540</v>
      </c>
      <c r="AI85">
        <v>2</v>
      </c>
      <c r="AJ85">
        <v>2</v>
      </c>
      <c r="AK85">
        <v>0</v>
      </c>
      <c r="AL85">
        <v>2</v>
      </c>
      <c r="AM85" t="s">
        <v>1355</v>
      </c>
      <c r="AN85" t="s">
        <v>1357</v>
      </c>
      <c r="AO85">
        <v>4.3606600000000002</v>
      </c>
      <c r="AP85">
        <v>2</v>
      </c>
      <c r="AQ85">
        <v>0</v>
      </c>
      <c r="AR85">
        <v>4.36076</v>
      </c>
      <c r="AS85">
        <v>4.3606600000000002</v>
      </c>
      <c r="AT85">
        <v>1</v>
      </c>
    </row>
    <row r="86" spans="1:46" hidden="1" x14ac:dyDescent="0.2">
      <c r="A86" t="s">
        <v>1517</v>
      </c>
      <c r="B86" t="s">
        <v>686</v>
      </c>
      <c r="C86" t="s">
        <v>1517</v>
      </c>
      <c r="D86" t="s">
        <v>1355</v>
      </c>
      <c r="E86" t="s">
        <v>1356</v>
      </c>
      <c r="F86" t="s">
        <v>1357</v>
      </c>
      <c r="G86" t="s">
        <v>1355</v>
      </c>
      <c r="H86" t="s">
        <v>1367</v>
      </c>
      <c r="I86" t="s">
        <v>1224</v>
      </c>
      <c r="J86">
        <v>10</v>
      </c>
      <c r="K86">
        <v>100</v>
      </c>
      <c r="L86" t="s">
        <v>1517</v>
      </c>
      <c r="M86" t="s">
        <v>1517</v>
      </c>
      <c r="N86" t="s">
        <v>1355</v>
      </c>
      <c r="O86" t="s">
        <v>1359</v>
      </c>
      <c r="P86">
        <v>1</v>
      </c>
      <c r="Q86">
        <v>1</v>
      </c>
      <c r="R86">
        <v>0</v>
      </c>
      <c r="S86" t="s">
        <v>1355</v>
      </c>
      <c r="T86">
        <v>0</v>
      </c>
      <c r="U86">
        <v>0</v>
      </c>
      <c r="V86">
        <v>0</v>
      </c>
      <c r="W86" t="s">
        <v>1355</v>
      </c>
      <c r="X86" t="s">
        <v>1355</v>
      </c>
      <c r="Y86" t="s">
        <v>1355</v>
      </c>
      <c r="Z86">
        <v>0</v>
      </c>
      <c r="AA86">
        <v>0</v>
      </c>
      <c r="AB86">
        <v>0</v>
      </c>
      <c r="AC86" s="294">
        <v>41834</v>
      </c>
      <c r="AD86" s="294">
        <v>73050</v>
      </c>
      <c r="AE86" s="294">
        <v>41841</v>
      </c>
      <c r="AF86" t="s">
        <v>1367</v>
      </c>
      <c r="AG86">
        <v>0</v>
      </c>
      <c r="AH86" t="s">
        <v>1541</v>
      </c>
      <c r="AI86">
        <v>1</v>
      </c>
      <c r="AJ86">
        <v>1</v>
      </c>
      <c r="AK86">
        <v>0</v>
      </c>
      <c r="AL86">
        <v>1</v>
      </c>
      <c r="AM86" t="s">
        <v>1355</v>
      </c>
      <c r="AN86" t="s">
        <v>1357</v>
      </c>
      <c r="AO86">
        <v>11.583</v>
      </c>
      <c r="AP86">
        <v>2</v>
      </c>
      <c r="AQ86">
        <v>0</v>
      </c>
      <c r="AR86">
        <v>11.28937</v>
      </c>
      <c r="AS86">
        <v>11.583</v>
      </c>
      <c r="AT86">
        <v>1</v>
      </c>
    </row>
    <row r="87" spans="1:46" hidden="1" x14ac:dyDescent="0.2">
      <c r="A87" t="s">
        <v>1522</v>
      </c>
      <c r="B87" t="s">
        <v>1523</v>
      </c>
      <c r="C87" t="s">
        <v>1522</v>
      </c>
      <c r="D87" t="s">
        <v>1355</v>
      </c>
      <c r="E87" t="s">
        <v>1356</v>
      </c>
      <c r="F87" t="s">
        <v>1357</v>
      </c>
      <c r="G87" t="s">
        <v>1355</v>
      </c>
      <c r="H87" t="s">
        <v>1367</v>
      </c>
      <c r="I87" t="s">
        <v>1224</v>
      </c>
      <c r="J87">
        <v>11</v>
      </c>
      <c r="K87">
        <v>110</v>
      </c>
      <c r="L87" t="s">
        <v>1522</v>
      </c>
      <c r="M87" t="s">
        <v>1522</v>
      </c>
      <c r="N87" t="s">
        <v>1355</v>
      </c>
      <c r="O87" t="s">
        <v>1359</v>
      </c>
      <c r="P87">
        <v>1</v>
      </c>
      <c r="Q87">
        <v>1</v>
      </c>
      <c r="R87">
        <v>0</v>
      </c>
      <c r="S87" t="s">
        <v>1355</v>
      </c>
      <c r="T87">
        <v>0</v>
      </c>
      <c r="U87">
        <v>0</v>
      </c>
      <c r="V87">
        <v>0</v>
      </c>
      <c r="W87" t="s">
        <v>1355</v>
      </c>
      <c r="X87" t="s">
        <v>1355</v>
      </c>
      <c r="Y87" t="s">
        <v>1355</v>
      </c>
      <c r="Z87">
        <v>0</v>
      </c>
      <c r="AA87">
        <v>0</v>
      </c>
      <c r="AB87">
        <v>0</v>
      </c>
      <c r="AC87" s="294">
        <v>41834</v>
      </c>
      <c r="AD87" s="294">
        <v>73050</v>
      </c>
      <c r="AE87" s="294">
        <v>41841</v>
      </c>
      <c r="AF87" t="s">
        <v>1367</v>
      </c>
      <c r="AG87">
        <v>0</v>
      </c>
      <c r="AH87" t="s">
        <v>1542</v>
      </c>
      <c r="AI87">
        <v>1</v>
      </c>
      <c r="AJ87">
        <v>1</v>
      </c>
      <c r="AK87">
        <v>0</v>
      </c>
      <c r="AL87">
        <v>1</v>
      </c>
      <c r="AM87" t="s">
        <v>1355</v>
      </c>
      <c r="AN87" t="s">
        <v>1357</v>
      </c>
      <c r="AO87">
        <v>15.61767</v>
      </c>
      <c r="AP87">
        <v>2</v>
      </c>
      <c r="AQ87">
        <v>0</v>
      </c>
      <c r="AR87">
        <v>15.617649999999999</v>
      </c>
      <c r="AS87">
        <v>15.61767</v>
      </c>
      <c r="AT87">
        <v>1</v>
      </c>
    </row>
    <row r="88" spans="1:46" hidden="1" x14ac:dyDescent="0.2">
      <c r="A88" t="s">
        <v>1525</v>
      </c>
      <c r="B88" t="s">
        <v>1526</v>
      </c>
      <c r="C88" t="s">
        <v>1525</v>
      </c>
      <c r="D88" t="s">
        <v>1355</v>
      </c>
      <c r="E88" t="s">
        <v>1356</v>
      </c>
      <c r="F88" t="s">
        <v>1357</v>
      </c>
      <c r="G88" t="s">
        <v>1355</v>
      </c>
      <c r="H88" t="s">
        <v>1367</v>
      </c>
      <c r="I88" t="s">
        <v>1224</v>
      </c>
      <c r="J88">
        <v>12</v>
      </c>
      <c r="K88">
        <v>120</v>
      </c>
      <c r="L88" t="s">
        <v>1525</v>
      </c>
      <c r="M88" t="s">
        <v>1525</v>
      </c>
      <c r="N88" t="s">
        <v>1355</v>
      </c>
      <c r="O88" t="s">
        <v>1359</v>
      </c>
      <c r="P88">
        <v>1</v>
      </c>
      <c r="Q88">
        <v>1</v>
      </c>
      <c r="R88">
        <v>0</v>
      </c>
      <c r="S88" t="s">
        <v>1355</v>
      </c>
      <c r="T88">
        <v>0</v>
      </c>
      <c r="U88">
        <v>0</v>
      </c>
      <c r="V88">
        <v>0</v>
      </c>
      <c r="W88" t="s">
        <v>1355</v>
      </c>
      <c r="X88" t="s">
        <v>1355</v>
      </c>
      <c r="Y88" t="s">
        <v>1355</v>
      </c>
      <c r="Z88">
        <v>0</v>
      </c>
      <c r="AA88">
        <v>0</v>
      </c>
      <c r="AB88">
        <v>0</v>
      </c>
      <c r="AC88" s="294">
        <v>41834</v>
      </c>
      <c r="AD88" s="294">
        <v>73050</v>
      </c>
      <c r="AE88" s="294">
        <v>41841</v>
      </c>
      <c r="AF88" t="s">
        <v>1367</v>
      </c>
      <c r="AG88">
        <v>0</v>
      </c>
      <c r="AH88" t="s">
        <v>1543</v>
      </c>
      <c r="AI88">
        <v>1</v>
      </c>
      <c r="AJ88">
        <v>1</v>
      </c>
      <c r="AK88">
        <v>0</v>
      </c>
      <c r="AL88">
        <v>1</v>
      </c>
      <c r="AM88" t="s">
        <v>1355</v>
      </c>
      <c r="AN88" t="s">
        <v>1357</v>
      </c>
      <c r="AO88">
        <v>33.836669999999998</v>
      </c>
      <c r="AP88">
        <v>2</v>
      </c>
      <c r="AQ88">
        <v>0</v>
      </c>
      <c r="AR88">
        <v>33.836669999999998</v>
      </c>
      <c r="AS88">
        <v>33.836669999999998</v>
      </c>
      <c r="AT88">
        <v>1</v>
      </c>
    </row>
    <row r="89" spans="1:46" x14ac:dyDescent="0.2">
      <c r="A89" t="s">
        <v>1225</v>
      </c>
      <c r="B89" t="s">
        <v>1544</v>
      </c>
      <c r="C89" t="s">
        <v>1225</v>
      </c>
      <c r="D89" t="s">
        <v>1355</v>
      </c>
      <c r="E89" t="s">
        <v>1356</v>
      </c>
      <c r="F89" t="s">
        <v>1357</v>
      </c>
      <c r="G89" t="s">
        <v>1355</v>
      </c>
      <c r="H89" t="s">
        <v>1358</v>
      </c>
      <c r="I89" t="s">
        <v>1353</v>
      </c>
      <c r="J89">
        <v>21</v>
      </c>
      <c r="K89">
        <v>210</v>
      </c>
      <c r="L89" t="s">
        <v>1225</v>
      </c>
      <c r="M89" t="s">
        <v>1225</v>
      </c>
      <c r="N89" t="s">
        <v>1355</v>
      </c>
      <c r="O89" t="s">
        <v>1359</v>
      </c>
      <c r="P89">
        <v>1</v>
      </c>
      <c r="Q89">
        <v>1</v>
      </c>
      <c r="R89">
        <v>0</v>
      </c>
      <c r="S89" t="s">
        <v>1355</v>
      </c>
      <c r="T89">
        <v>0</v>
      </c>
      <c r="U89">
        <v>0</v>
      </c>
      <c r="V89">
        <v>0</v>
      </c>
      <c r="W89" t="s">
        <v>1355</v>
      </c>
      <c r="X89" t="s">
        <v>1355</v>
      </c>
      <c r="Y89" t="s">
        <v>1355</v>
      </c>
      <c r="Z89">
        <v>0</v>
      </c>
      <c r="AA89">
        <v>0</v>
      </c>
      <c r="AB89">
        <v>0</v>
      </c>
      <c r="AC89" s="294">
        <v>36161</v>
      </c>
      <c r="AD89" s="294">
        <v>73050</v>
      </c>
      <c r="AE89" s="294">
        <v>41844</v>
      </c>
      <c r="AF89" t="s">
        <v>1358</v>
      </c>
      <c r="AG89">
        <v>0</v>
      </c>
      <c r="AH89" t="s">
        <v>1545</v>
      </c>
      <c r="AI89">
        <v>1</v>
      </c>
      <c r="AJ89">
        <v>1</v>
      </c>
      <c r="AK89">
        <v>0</v>
      </c>
      <c r="AL89">
        <v>1</v>
      </c>
      <c r="AM89" t="s">
        <v>1362</v>
      </c>
      <c r="AN89" t="s">
        <v>1357</v>
      </c>
      <c r="AO89">
        <v>286.26319999999998</v>
      </c>
      <c r="AP89">
        <v>1</v>
      </c>
      <c r="AQ89">
        <v>0</v>
      </c>
      <c r="AR89">
        <v>835.81617000000006</v>
      </c>
      <c r="AS89">
        <v>286.26319999999998</v>
      </c>
      <c r="AT89">
        <v>1</v>
      </c>
    </row>
    <row r="90" spans="1:46" hidden="1" x14ac:dyDescent="0.2">
      <c r="A90" t="s">
        <v>1546</v>
      </c>
      <c r="B90" t="s">
        <v>1547</v>
      </c>
      <c r="C90" t="s">
        <v>1546</v>
      </c>
      <c r="D90" t="s">
        <v>1355</v>
      </c>
      <c r="E90" t="s">
        <v>1356</v>
      </c>
      <c r="F90" t="s">
        <v>1357</v>
      </c>
      <c r="G90" t="s">
        <v>1355</v>
      </c>
      <c r="H90" t="s">
        <v>1367</v>
      </c>
      <c r="I90" t="s">
        <v>1225</v>
      </c>
      <c r="J90">
        <v>1</v>
      </c>
      <c r="K90">
        <v>10</v>
      </c>
      <c r="L90" t="s">
        <v>1546</v>
      </c>
      <c r="M90" t="s">
        <v>1546</v>
      </c>
      <c r="N90" t="s">
        <v>1355</v>
      </c>
      <c r="O90" t="s">
        <v>1359</v>
      </c>
      <c r="P90">
        <v>1</v>
      </c>
      <c r="Q90">
        <v>1</v>
      </c>
      <c r="R90">
        <v>0</v>
      </c>
      <c r="S90" t="s">
        <v>1355</v>
      </c>
      <c r="T90">
        <v>0</v>
      </c>
      <c r="U90">
        <v>0</v>
      </c>
      <c r="V90">
        <v>0</v>
      </c>
      <c r="W90" t="s">
        <v>1355</v>
      </c>
      <c r="X90" t="s">
        <v>1355</v>
      </c>
      <c r="Y90" t="s">
        <v>1355</v>
      </c>
      <c r="Z90">
        <v>0</v>
      </c>
      <c r="AA90">
        <v>0</v>
      </c>
      <c r="AB90">
        <v>0</v>
      </c>
      <c r="AC90" s="294">
        <v>41834</v>
      </c>
      <c r="AD90" s="294">
        <v>73050</v>
      </c>
      <c r="AE90" s="294">
        <v>41834</v>
      </c>
      <c r="AF90" t="s">
        <v>1367</v>
      </c>
      <c r="AG90">
        <v>0</v>
      </c>
      <c r="AH90" t="s">
        <v>1548</v>
      </c>
      <c r="AI90">
        <v>1</v>
      </c>
      <c r="AJ90">
        <v>1</v>
      </c>
      <c r="AK90">
        <v>0</v>
      </c>
      <c r="AL90">
        <v>1</v>
      </c>
      <c r="AM90" t="s">
        <v>1355</v>
      </c>
      <c r="AN90" t="s">
        <v>1357</v>
      </c>
      <c r="AO90">
        <v>0</v>
      </c>
      <c r="AP90">
        <v>2</v>
      </c>
      <c r="AQ90">
        <v>0</v>
      </c>
      <c r="AR90">
        <v>550</v>
      </c>
      <c r="AS90">
        <v>0</v>
      </c>
      <c r="AT90">
        <v>1</v>
      </c>
    </row>
    <row r="91" spans="1:46" hidden="1" x14ac:dyDescent="0.2">
      <c r="A91" t="s">
        <v>1549</v>
      </c>
      <c r="B91" t="s">
        <v>1550</v>
      </c>
      <c r="C91" t="s">
        <v>1549</v>
      </c>
      <c r="D91" t="s">
        <v>1355</v>
      </c>
      <c r="E91" t="s">
        <v>1356</v>
      </c>
      <c r="F91" t="s">
        <v>1357</v>
      </c>
      <c r="G91" t="s">
        <v>1355</v>
      </c>
      <c r="H91" t="s">
        <v>1367</v>
      </c>
      <c r="I91" t="s">
        <v>1225</v>
      </c>
      <c r="J91">
        <v>2</v>
      </c>
      <c r="K91">
        <v>20</v>
      </c>
      <c r="L91" t="s">
        <v>1549</v>
      </c>
      <c r="M91" t="s">
        <v>1549</v>
      </c>
      <c r="N91" t="s">
        <v>1355</v>
      </c>
      <c r="O91" t="s">
        <v>1359</v>
      </c>
      <c r="P91">
        <v>1</v>
      </c>
      <c r="Q91">
        <v>1</v>
      </c>
      <c r="R91">
        <v>0</v>
      </c>
      <c r="S91" t="s">
        <v>1355</v>
      </c>
      <c r="T91">
        <v>0</v>
      </c>
      <c r="U91">
        <v>0</v>
      </c>
      <c r="V91">
        <v>0</v>
      </c>
      <c r="W91" t="s">
        <v>1355</v>
      </c>
      <c r="X91" t="s">
        <v>1355</v>
      </c>
      <c r="Y91" t="s">
        <v>1355</v>
      </c>
      <c r="Z91">
        <v>0</v>
      </c>
      <c r="AA91">
        <v>0</v>
      </c>
      <c r="AB91">
        <v>0</v>
      </c>
      <c r="AC91" s="294">
        <v>41834</v>
      </c>
      <c r="AD91" s="294">
        <v>73050</v>
      </c>
      <c r="AE91" s="294">
        <v>41842</v>
      </c>
      <c r="AF91" t="s">
        <v>1367</v>
      </c>
      <c r="AG91">
        <v>0</v>
      </c>
      <c r="AH91" t="s">
        <v>1551</v>
      </c>
      <c r="AI91">
        <v>1</v>
      </c>
      <c r="AJ91">
        <v>1</v>
      </c>
      <c r="AK91">
        <v>0</v>
      </c>
      <c r="AL91">
        <v>1</v>
      </c>
      <c r="AM91" t="s">
        <v>1355</v>
      </c>
      <c r="AN91" t="s">
        <v>1357</v>
      </c>
      <c r="AO91">
        <v>186</v>
      </c>
      <c r="AP91">
        <v>2</v>
      </c>
      <c r="AQ91">
        <v>0</v>
      </c>
      <c r="AR91">
        <v>186</v>
      </c>
      <c r="AS91">
        <v>186</v>
      </c>
      <c r="AT91">
        <v>1</v>
      </c>
    </row>
    <row r="92" spans="1:46" hidden="1" x14ac:dyDescent="0.2">
      <c r="A92" t="s">
        <v>1499</v>
      </c>
      <c r="B92" t="s">
        <v>1500</v>
      </c>
      <c r="C92" t="s">
        <v>1499</v>
      </c>
      <c r="D92" t="s">
        <v>1355</v>
      </c>
      <c r="E92" t="s">
        <v>1356</v>
      </c>
      <c r="F92" t="s">
        <v>1357</v>
      </c>
      <c r="G92" t="s">
        <v>1355</v>
      </c>
      <c r="H92" t="s">
        <v>1367</v>
      </c>
      <c r="I92" t="s">
        <v>1225</v>
      </c>
      <c r="J92">
        <v>3</v>
      </c>
      <c r="K92">
        <v>30</v>
      </c>
      <c r="L92" t="s">
        <v>1499</v>
      </c>
      <c r="M92" t="s">
        <v>1499</v>
      </c>
      <c r="N92" t="s">
        <v>1355</v>
      </c>
      <c r="O92" t="s">
        <v>1359</v>
      </c>
      <c r="P92">
        <v>1</v>
      </c>
      <c r="Q92">
        <v>1</v>
      </c>
      <c r="R92">
        <v>0</v>
      </c>
      <c r="S92" t="s">
        <v>1355</v>
      </c>
      <c r="T92">
        <v>0</v>
      </c>
      <c r="U92">
        <v>0</v>
      </c>
      <c r="V92">
        <v>0</v>
      </c>
      <c r="W92" t="s">
        <v>1355</v>
      </c>
      <c r="X92" t="s">
        <v>1355</v>
      </c>
      <c r="Y92" t="s">
        <v>1355</v>
      </c>
      <c r="Z92">
        <v>0</v>
      </c>
      <c r="AA92">
        <v>0</v>
      </c>
      <c r="AB92">
        <v>0</v>
      </c>
      <c r="AC92" s="294">
        <v>41834</v>
      </c>
      <c r="AD92" s="294">
        <v>73050</v>
      </c>
      <c r="AE92" s="294">
        <v>41842</v>
      </c>
      <c r="AF92" t="s">
        <v>1367</v>
      </c>
      <c r="AG92">
        <v>0</v>
      </c>
      <c r="AH92" t="s">
        <v>1552</v>
      </c>
      <c r="AI92">
        <v>1</v>
      </c>
      <c r="AJ92">
        <v>1</v>
      </c>
      <c r="AK92">
        <v>0</v>
      </c>
      <c r="AL92">
        <v>1</v>
      </c>
      <c r="AM92" t="s">
        <v>1355</v>
      </c>
      <c r="AN92" t="s">
        <v>1357</v>
      </c>
      <c r="AO92">
        <v>0.77759999999999996</v>
      </c>
      <c r="AP92">
        <v>2</v>
      </c>
      <c r="AQ92">
        <v>0</v>
      </c>
      <c r="AR92">
        <v>0.77095999999999998</v>
      </c>
      <c r="AS92">
        <v>0.77759999999999996</v>
      </c>
      <c r="AT92">
        <v>1</v>
      </c>
    </row>
    <row r="93" spans="1:46" hidden="1" x14ac:dyDescent="0.2">
      <c r="A93" t="s">
        <v>1502</v>
      </c>
      <c r="B93" t="s">
        <v>1503</v>
      </c>
      <c r="C93" t="s">
        <v>1502</v>
      </c>
      <c r="D93" t="s">
        <v>1355</v>
      </c>
      <c r="E93" t="s">
        <v>1356</v>
      </c>
      <c r="F93" t="s">
        <v>1357</v>
      </c>
      <c r="G93" t="s">
        <v>1355</v>
      </c>
      <c r="H93" t="s">
        <v>1367</v>
      </c>
      <c r="I93" t="s">
        <v>1225</v>
      </c>
      <c r="J93">
        <v>4</v>
      </c>
      <c r="K93">
        <v>40</v>
      </c>
      <c r="L93" t="s">
        <v>1502</v>
      </c>
      <c r="M93" t="s">
        <v>1502</v>
      </c>
      <c r="N93" t="s">
        <v>1355</v>
      </c>
      <c r="O93" t="s">
        <v>1359</v>
      </c>
      <c r="P93">
        <v>3</v>
      </c>
      <c r="Q93">
        <v>3</v>
      </c>
      <c r="R93">
        <v>0</v>
      </c>
      <c r="S93" t="s">
        <v>1355</v>
      </c>
      <c r="T93">
        <v>0</v>
      </c>
      <c r="U93">
        <v>0</v>
      </c>
      <c r="V93">
        <v>0</v>
      </c>
      <c r="W93" t="s">
        <v>1355</v>
      </c>
      <c r="X93" t="s">
        <v>1355</v>
      </c>
      <c r="Y93" t="s">
        <v>1355</v>
      </c>
      <c r="Z93">
        <v>0</v>
      </c>
      <c r="AA93">
        <v>0</v>
      </c>
      <c r="AB93">
        <v>0</v>
      </c>
      <c r="AC93" s="294">
        <v>41834</v>
      </c>
      <c r="AD93" s="294">
        <v>73050</v>
      </c>
      <c r="AE93" s="294">
        <v>41842</v>
      </c>
      <c r="AF93" t="s">
        <v>1367</v>
      </c>
      <c r="AG93">
        <v>0</v>
      </c>
      <c r="AH93" t="s">
        <v>1553</v>
      </c>
      <c r="AI93">
        <v>3</v>
      </c>
      <c r="AJ93">
        <v>3</v>
      </c>
      <c r="AK93">
        <v>0</v>
      </c>
      <c r="AL93">
        <v>3</v>
      </c>
      <c r="AM93" t="s">
        <v>1355</v>
      </c>
      <c r="AN93" t="s">
        <v>1357</v>
      </c>
      <c r="AO93">
        <v>4.9356</v>
      </c>
      <c r="AP93">
        <v>2</v>
      </c>
      <c r="AQ93">
        <v>0</v>
      </c>
      <c r="AR93">
        <v>4.8986700000000001</v>
      </c>
      <c r="AS93">
        <v>4.9356</v>
      </c>
      <c r="AT93">
        <v>1</v>
      </c>
    </row>
    <row r="94" spans="1:46" hidden="1" x14ac:dyDescent="0.2">
      <c r="A94" t="s">
        <v>1505</v>
      </c>
      <c r="B94" t="s">
        <v>1506</v>
      </c>
      <c r="C94" t="s">
        <v>1505</v>
      </c>
      <c r="D94" t="s">
        <v>1355</v>
      </c>
      <c r="E94" t="s">
        <v>1356</v>
      </c>
      <c r="F94" t="s">
        <v>1357</v>
      </c>
      <c r="G94" t="s">
        <v>1355</v>
      </c>
      <c r="H94" t="s">
        <v>1367</v>
      </c>
      <c r="I94" t="s">
        <v>1225</v>
      </c>
      <c r="J94">
        <v>5</v>
      </c>
      <c r="K94">
        <v>50</v>
      </c>
      <c r="L94" t="s">
        <v>1505</v>
      </c>
      <c r="M94" t="s">
        <v>1505</v>
      </c>
      <c r="N94" t="s">
        <v>1355</v>
      </c>
      <c r="O94" t="s">
        <v>1359</v>
      </c>
      <c r="P94">
        <v>1</v>
      </c>
      <c r="Q94">
        <v>1</v>
      </c>
      <c r="R94">
        <v>0</v>
      </c>
      <c r="S94" t="s">
        <v>1355</v>
      </c>
      <c r="T94">
        <v>0</v>
      </c>
      <c r="U94">
        <v>0</v>
      </c>
      <c r="V94">
        <v>0</v>
      </c>
      <c r="W94" t="s">
        <v>1355</v>
      </c>
      <c r="X94" t="s">
        <v>1355</v>
      </c>
      <c r="Y94" t="s">
        <v>1355</v>
      </c>
      <c r="Z94">
        <v>0</v>
      </c>
      <c r="AA94">
        <v>0</v>
      </c>
      <c r="AB94">
        <v>0</v>
      </c>
      <c r="AC94" s="294">
        <v>41834</v>
      </c>
      <c r="AD94" s="294">
        <v>73050</v>
      </c>
      <c r="AE94" s="294">
        <v>41842</v>
      </c>
      <c r="AF94" t="s">
        <v>1367</v>
      </c>
      <c r="AG94">
        <v>0</v>
      </c>
      <c r="AH94" t="s">
        <v>1554</v>
      </c>
      <c r="AI94">
        <v>1</v>
      </c>
      <c r="AJ94">
        <v>1</v>
      </c>
      <c r="AK94">
        <v>0</v>
      </c>
      <c r="AL94">
        <v>1</v>
      </c>
      <c r="AM94" t="s">
        <v>1355</v>
      </c>
      <c r="AN94" t="s">
        <v>1357</v>
      </c>
      <c r="AO94">
        <v>2.9340000000000002</v>
      </c>
      <c r="AP94">
        <v>2</v>
      </c>
      <c r="AQ94">
        <v>0</v>
      </c>
      <c r="AR94">
        <v>2.9064199999999998</v>
      </c>
      <c r="AS94">
        <v>2.9340000000000002</v>
      </c>
      <c r="AT94">
        <v>1</v>
      </c>
    </row>
    <row r="95" spans="1:46" hidden="1" x14ac:dyDescent="0.2">
      <c r="A95" t="s">
        <v>1508</v>
      </c>
      <c r="B95" t="s">
        <v>1509</v>
      </c>
      <c r="C95" t="s">
        <v>1508</v>
      </c>
      <c r="D95" t="s">
        <v>1355</v>
      </c>
      <c r="E95" t="s">
        <v>1356</v>
      </c>
      <c r="F95" t="s">
        <v>1357</v>
      </c>
      <c r="G95" t="s">
        <v>1355</v>
      </c>
      <c r="H95" t="s">
        <v>1367</v>
      </c>
      <c r="I95" t="s">
        <v>1225</v>
      </c>
      <c r="J95">
        <v>6</v>
      </c>
      <c r="K95">
        <v>60</v>
      </c>
      <c r="L95" t="s">
        <v>1508</v>
      </c>
      <c r="M95" t="s">
        <v>1508</v>
      </c>
      <c r="N95" t="s">
        <v>1355</v>
      </c>
      <c r="O95" t="s">
        <v>1359</v>
      </c>
      <c r="P95">
        <v>1</v>
      </c>
      <c r="Q95">
        <v>1</v>
      </c>
      <c r="R95">
        <v>0</v>
      </c>
      <c r="S95" t="s">
        <v>1355</v>
      </c>
      <c r="T95">
        <v>0</v>
      </c>
      <c r="U95">
        <v>0</v>
      </c>
      <c r="V95">
        <v>0</v>
      </c>
      <c r="W95" t="s">
        <v>1355</v>
      </c>
      <c r="X95" t="s">
        <v>1355</v>
      </c>
      <c r="Y95" t="s">
        <v>1355</v>
      </c>
      <c r="Z95">
        <v>0</v>
      </c>
      <c r="AA95">
        <v>0</v>
      </c>
      <c r="AB95">
        <v>0</v>
      </c>
      <c r="AC95" s="294">
        <v>41834</v>
      </c>
      <c r="AD95" s="294">
        <v>73050</v>
      </c>
      <c r="AE95" s="294">
        <v>41842</v>
      </c>
      <c r="AF95" t="s">
        <v>1367</v>
      </c>
      <c r="AG95">
        <v>0</v>
      </c>
      <c r="AH95" t="s">
        <v>1555</v>
      </c>
      <c r="AI95">
        <v>1</v>
      </c>
      <c r="AJ95">
        <v>1</v>
      </c>
      <c r="AK95">
        <v>0</v>
      </c>
      <c r="AL95">
        <v>1</v>
      </c>
      <c r="AM95" t="s">
        <v>1355</v>
      </c>
      <c r="AN95" t="s">
        <v>1357</v>
      </c>
      <c r="AO95">
        <v>7.6970000000000001</v>
      </c>
      <c r="AP95">
        <v>2</v>
      </c>
      <c r="AQ95">
        <v>0</v>
      </c>
      <c r="AR95">
        <v>7.6149699999999996</v>
      </c>
      <c r="AS95">
        <v>7.6970000000000001</v>
      </c>
      <c r="AT95">
        <v>1</v>
      </c>
    </row>
    <row r="96" spans="1:46" hidden="1" x14ac:dyDescent="0.2">
      <c r="A96" t="s">
        <v>1511</v>
      </c>
      <c r="B96" t="s">
        <v>1512</v>
      </c>
      <c r="C96" t="s">
        <v>1511</v>
      </c>
      <c r="D96" t="s">
        <v>1355</v>
      </c>
      <c r="E96" t="s">
        <v>1356</v>
      </c>
      <c r="F96" t="s">
        <v>1357</v>
      </c>
      <c r="G96" t="s">
        <v>1355</v>
      </c>
      <c r="H96" t="s">
        <v>1367</v>
      </c>
      <c r="I96" t="s">
        <v>1225</v>
      </c>
      <c r="J96">
        <v>7</v>
      </c>
      <c r="K96">
        <v>70</v>
      </c>
      <c r="L96" t="s">
        <v>1511</v>
      </c>
      <c r="M96" t="s">
        <v>1511</v>
      </c>
      <c r="N96" t="s">
        <v>1355</v>
      </c>
      <c r="O96" t="s">
        <v>1359</v>
      </c>
      <c r="P96">
        <v>5</v>
      </c>
      <c r="Q96">
        <v>5</v>
      </c>
      <c r="R96">
        <v>0</v>
      </c>
      <c r="S96" t="s">
        <v>1355</v>
      </c>
      <c r="T96">
        <v>0</v>
      </c>
      <c r="U96">
        <v>0</v>
      </c>
      <c r="V96">
        <v>0</v>
      </c>
      <c r="W96" t="s">
        <v>1355</v>
      </c>
      <c r="X96" t="s">
        <v>1355</v>
      </c>
      <c r="Y96" t="s">
        <v>1355</v>
      </c>
      <c r="Z96">
        <v>0</v>
      </c>
      <c r="AA96">
        <v>0</v>
      </c>
      <c r="AB96">
        <v>0</v>
      </c>
      <c r="AC96" s="294">
        <v>41834</v>
      </c>
      <c r="AD96" s="294">
        <v>73050</v>
      </c>
      <c r="AE96" s="294">
        <v>41842</v>
      </c>
      <c r="AF96" t="s">
        <v>1367</v>
      </c>
      <c r="AG96">
        <v>0</v>
      </c>
      <c r="AH96" t="s">
        <v>1556</v>
      </c>
      <c r="AI96">
        <v>5</v>
      </c>
      <c r="AJ96">
        <v>5</v>
      </c>
      <c r="AK96">
        <v>0</v>
      </c>
      <c r="AL96">
        <v>5</v>
      </c>
      <c r="AM96" t="s">
        <v>1355</v>
      </c>
      <c r="AN96" t="s">
        <v>1357</v>
      </c>
      <c r="AO96">
        <v>3.5935000000000001</v>
      </c>
      <c r="AP96">
        <v>2</v>
      </c>
      <c r="AQ96">
        <v>0</v>
      </c>
      <c r="AR96">
        <v>3.5935000000000001</v>
      </c>
      <c r="AS96">
        <v>3.5935000000000001</v>
      </c>
      <c r="AT96">
        <v>1</v>
      </c>
    </row>
    <row r="97" spans="1:46" hidden="1" x14ac:dyDescent="0.2">
      <c r="A97" t="s">
        <v>1514</v>
      </c>
      <c r="B97" t="s">
        <v>1515</v>
      </c>
      <c r="C97" t="s">
        <v>1514</v>
      </c>
      <c r="D97" t="s">
        <v>1355</v>
      </c>
      <c r="E97" t="s">
        <v>1356</v>
      </c>
      <c r="F97" t="s">
        <v>1357</v>
      </c>
      <c r="G97" t="s">
        <v>1355</v>
      </c>
      <c r="H97" t="s">
        <v>1367</v>
      </c>
      <c r="I97" t="s">
        <v>1225</v>
      </c>
      <c r="J97">
        <v>8</v>
      </c>
      <c r="K97">
        <v>80</v>
      </c>
      <c r="L97" t="s">
        <v>1514</v>
      </c>
      <c r="M97" t="s">
        <v>1514</v>
      </c>
      <c r="N97" t="s">
        <v>1355</v>
      </c>
      <c r="O97" t="s">
        <v>1359</v>
      </c>
      <c r="P97">
        <v>2</v>
      </c>
      <c r="Q97">
        <v>2</v>
      </c>
      <c r="R97">
        <v>0</v>
      </c>
      <c r="S97" t="s">
        <v>1355</v>
      </c>
      <c r="T97">
        <v>0</v>
      </c>
      <c r="U97">
        <v>0</v>
      </c>
      <c r="V97">
        <v>0</v>
      </c>
      <c r="W97" t="s">
        <v>1355</v>
      </c>
      <c r="X97" t="s">
        <v>1355</v>
      </c>
      <c r="Y97" t="s">
        <v>1355</v>
      </c>
      <c r="Z97">
        <v>0</v>
      </c>
      <c r="AA97">
        <v>0</v>
      </c>
      <c r="AB97">
        <v>0</v>
      </c>
      <c r="AC97" s="294">
        <v>41834</v>
      </c>
      <c r="AD97" s="294">
        <v>73050</v>
      </c>
      <c r="AE97" s="294">
        <v>41842</v>
      </c>
      <c r="AF97" t="s">
        <v>1367</v>
      </c>
      <c r="AG97">
        <v>0</v>
      </c>
      <c r="AH97" t="s">
        <v>1557</v>
      </c>
      <c r="AI97">
        <v>2</v>
      </c>
      <c r="AJ97">
        <v>2</v>
      </c>
      <c r="AK97">
        <v>0</v>
      </c>
      <c r="AL97">
        <v>2</v>
      </c>
      <c r="AM97" t="s">
        <v>1355</v>
      </c>
      <c r="AN97" t="s">
        <v>1357</v>
      </c>
      <c r="AO97">
        <v>4.3606600000000002</v>
      </c>
      <c r="AP97">
        <v>2</v>
      </c>
      <c r="AQ97">
        <v>0</v>
      </c>
      <c r="AR97">
        <v>4.36076</v>
      </c>
      <c r="AS97">
        <v>4.3606600000000002</v>
      </c>
      <c r="AT97">
        <v>1</v>
      </c>
    </row>
    <row r="98" spans="1:46" hidden="1" x14ac:dyDescent="0.2">
      <c r="A98" t="s">
        <v>1517</v>
      </c>
      <c r="B98" t="s">
        <v>686</v>
      </c>
      <c r="C98" t="s">
        <v>1517</v>
      </c>
      <c r="D98" t="s">
        <v>1355</v>
      </c>
      <c r="E98" t="s">
        <v>1356</v>
      </c>
      <c r="F98" t="s">
        <v>1357</v>
      </c>
      <c r="G98" t="s">
        <v>1355</v>
      </c>
      <c r="H98" t="s">
        <v>1367</v>
      </c>
      <c r="I98" t="s">
        <v>1225</v>
      </c>
      <c r="J98">
        <v>9</v>
      </c>
      <c r="K98">
        <v>90</v>
      </c>
      <c r="L98" t="s">
        <v>1517</v>
      </c>
      <c r="M98" t="s">
        <v>1517</v>
      </c>
      <c r="N98" t="s">
        <v>1355</v>
      </c>
      <c r="O98" t="s">
        <v>1359</v>
      </c>
      <c r="P98">
        <v>1</v>
      </c>
      <c r="Q98">
        <v>1</v>
      </c>
      <c r="R98">
        <v>0</v>
      </c>
      <c r="S98" t="s">
        <v>1355</v>
      </c>
      <c r="T98">
        <v>0</v>
      </c>
      <c r="U98">
        <v>0</v>
      </c>
      <c r="V98">
        <v>0</v>
      </c>
      <c r="W98" t="s">
        <v>1355</v>
      </c>
      <c r="X98" t="s">
        <v>1355</v>
      </c>
      <c r="Y98" t="s">
        <v>1355</v>
      </c>
      <c r="Z98">
        <v>0</v>
      </c>
      <c r="AA98">
        <v>0</v>
      </c>
      <c r="AB98">
        <v>0</v>
      </c>
      <c r="AC98" s="294">
        <v>41834</v>
      </c>
      <c r="AD98" s="294">
        <v>73050</v>
      </c>
      <c r="AE98" s="294">
        <v>41842</v>
      </c>
      <c r="AF98" t="s">
        <v>1367</v>
      </c>
      <c r="AG98">
        <v>0</v>
      </c>
      <c r="AH98" t="s">
        <v>1558</v>
      </c>
      <c r="AI98">
        <v>1</v>
      </c>
      <c r="AJ98">
        <v>1</v>
      </c>
      <c r="AK98">
        <v>0</v>
      </c>
      <c r="AL98">
        <v>1</v>
      </c>
      <c r="AM98" t="s">
        <v>1355</v>
      </c>
      <c r="AN98" t="s">
        <v>1357</v>
      </c>
      <c r="AO98">
        <v>11.583</v>
      </c>
      <c r="AP98">
        <v>2</v>
      </c>
      <c r="AQ98">
        <v>0</v>
      </c>
      <c r="AR98">
        <v>11.28937</v>
      </c>
      <c r="AS98">
        <v>11.583</v>
      </c>
      <c r="AT98">
        <v>1</v>
      </c>
    </row>
    <row r="99" spans="1:46" hidden="1" x14ac:dyDescent="0.2">
      <c r="A99" t="s">
        <v>1519</v>
      </c>
      <c r="B99" t="s">
        <v>1520</v>
      </c>
      <c r="C99" t="s">
        <v>1519</v>
      </c>
      <c r="D99" t="s">
        <v>1355</v>
      </c>
      <c r="E99" t="s">
        <v>1356</v>
      </c>
      <c r="F99" t="s">
        <v>1357</v>
      </c>
      <c r="G99" t="s">
        <v>1355</v>
      </c>
      <c r="H99" t="s">
        <v>1367</v>
      </c>
      <c r="I99" t="s">
        <v>1225</v>
      </c>
      <c r="J99">
        <v>10</v>
      </c>
      <c r="K99">
        <v>100</v>
      </c>
      <c r="L99" t="s">
        <v>1519</v>
      </c>
      <c r="M99" t="s">
        <v>1519</v>
      </c>
      <c r="N99" t="s">
        <v>1355</v>
      </c>
      <c r="O99" t="s">
        <v>1359</v>
      </c>
      <c r="P99">
        <v>1</v>
      </c>
      <c r="Q99">
        <v>1</v>
      </c>
      <c r="R99">
        <v>0</v>
      </c>
      <c r="S99" t="s">
        <v>1355</v>
      </c>
      <c r="T99">
        <v>0</v>
      </c>
      <c r="U99">
        <v>0</v>
      </c>
      <c r="V99">
        <v>0</v>
      </c>
      <c r="W99" t="s">
        <v>1355</v>
      </c>
      <c r="X99" t="s">
        <v>1355</v>
      </c>
      <c r="Y99" t="s">
        <v>1355</v>
      </c>
      <c r="Z99">
        <v>0</v>
      </c>
      <c r="AA99">
        <v>0</v>
      </c>
      <c r="AB99">
        <v>0</v>
      </c>
      <c r="AC99" s="294">
        <v>41834</v>
      </c>
      <c r="AD99" s="294">
        <v>73050</v>
      </c>
      <c r="AE99" s="294">
        <v>41842</v>
      </c>
      <c r="AF99" t="s">
        <v>1367</v>
      </c>
      <c r="AG99">
        <v>0</v>
      </c>
      <c r="AH99" t="s">
        <v>1559</v>
      </c>
      <c r="AI99">
        <v>1</v>
      </c>
      <c r="AJ99">
        <v>1</v>
      </c>
      <c r="AK99">
        <v>0</v>
      </c>
      <c r="AL99">
        <v>1</v>
      </c>
      <c r="AM99" t="s">
        <v>1355</v>
      </c>
      <c r="AN99" t="s">
        <v>1357</v>
      </c>
      <c r="AO99">
        <v>11.583500000000001</v>
      </c>
      <c r="AP99">
        <v>2</v>
      </c>
      <c r="AQ99">
        <v>0</v>
      </c>
      <c r="AR99">
        <v>11.5832</v>
      </c>
      <c r="AS99">
        <v>11.583500000000001</v>
      </c>
      <c r="AT99">
        <v>1</v>
      </c>
    </row>
    <row r="100" spans="1:46" hidden="1" x14ac:dyDescent="0.2">
      <c r="A100" t="s">
        <v>1522</v>
      </c>
      <c r="B100" t="s">
        <v>1523</v>
      </c>
      <c r="C100" t="s">
        <v>1522</v>
      </c>
      <c r="D100" t="s">
        <v>1355</v>
      </c>
      <c r="E100" t="s">
        <v>1356</v>
      </c>
      <c r="F100" t="s">
        <v>1357</v>
      </c>
      <c r="G100" t="s">
        <v>1355</v>
      </c>
      <c r="H100" t="s">
        <v>1367</v>
      </c>
      <c r="I100" t="s">
        <v>1225</v>
      </c>
      <c r="J100">
        <v>11</v>
      </c>
      <c r="K100">
        <v>110</v>
      </c>
      <c r="L100" t="s">
        <v>1522</v>
      </c>
      <c r="M100" t="s">
        <v>1522</v>
      </c>
      <c r="N100" t="s">
        <v>1355</v>
      </c>
      <c r="O100" t="s">
        <v>1359</v>
      </c>
      <c r="P100">
        <v>1</v>
      </c>
      <c r="Q100">
        <v>1</v>
      </c>
      <c r="R100">
        <v>0</v>
      </c>
      <c r="S100" t="s">
        <v>1355</v>
      </c>
      <c r="T100">
        <v>0</v>
      </c>
      <c r="U100">
        <v>0</v>
      </c>
      <c r="V100">
        <v>0</v>
      </c>
      <c r="W100" t="s">
        <v>1355</v>
      </c>
      <c r="X100" t="s">
        <v>1355</v>
      </c>
      <c r="Y100" t="s">
        <v>1355</v>
      </c>
      <c r="Z100">
        <v>0</v>
      </c>
      <c r="AA100">
        <v>0</v>
      </c>
      <c r="AB100">
        <v>0</v>
      </c>
      <c r="AC100" s="294">
        <v>41834</v>
      </c>
      <c r="AD100" s="294">
        <v>73050</v>
      </c>
      <c r="AE100" s="294">
        <v>41842</v>
      </c>
      <c r="AF100" t="s">
        <v>1367</v>
      </c>
      <c r="AG100">
        <v>0</v>
      </c>
      <c r="AH100" t="s">
        <v>1560</v>
      </c>
      <c r="AI100">
        <v>1</v>
      </c>
      <c r="AJ100">
        <v>1</v>
      </c>
      <c r="AK100">
        <v>0</v>
      </c>
      <c r="AL100">
        <v>1</v>
      </c>
      <c r="AM100" t="s">
        <v>1355</v>
      </c>
      <c r="AN100" t="s">
        <v>1357</v>
      </c>
      <c r="AO100">
        <v>15.61767</v>
      </c>
      <c r="AP100">
        <v>2</v>
      </c>
      <c r="AQ100">
        <v>0</v>
      </c>
      <c r="AR100">
        <v>15.617649999999999</v>
      </c>
      <c r="AS100">
        <v>15.61767</v>
      </c>
      <c r="AT100">
        <v>1</v>
      </c>
    </row>
    <row r="101" spans="1:46" hidden="1" x14ac:dyDescent="0.2">
      <c r="A101" t="s">
        <v>1525</v>
      </c>
      <c r="B101" t="s">
        <v>1526</v>
      </c>
      <c r="C101" t="s">
        <v>1525</v>
      </c>
      <c r="D101" t="s">
        <v>1355</v>
      </c>
      <c r="E101" t="s">
        <v>1356</v>
      </c>
      <c r="F101" t="s">
        <v>1357</v>
      </c>
      <c r="G101" t="s">
        <v>1355</v>
      </c>
      <c r="H101" t="s">
        <v>1367</v>
      </c>
      <c r="I101" t="s">
        <v>1225</v>
      </c>
      <c r="J101">
        <v>12</v>
      </c>
      <c r="K101">
        <v>120</v>
      </c>
      <c r="L101" t="s">
        <v>1525</v>
      </c>
      <c r="M101" t="s">
        <v>1525</v>
      </c>
      <c r="N101" t="s">
        <v>1355</v>
      </c>
      <c r="O101" t="s">
        <v>1359</v>
      </c>
      <c r="P101">
        <v>1</v>
      </c>
      <c r="Q101">
        <v>1</v>
      </c>
      <c r="R101">
        <v>0</v>
      </c>
      <c r="S101" t="s">
        <v>1355</v>
      </c>
      <c r="T101">
        <v>0</v>
      </c>
      <c r="U101">
        <v>0</v>
      </c>
      <c r="V101">
        <v>0</v>
      </c>
      <c r="W101" t="s">
        <v>1355</v>
      </c>
      <c r="X101" t="s">
        <v>1355</v>
      </c>
      <c r="Y101" t="s">
        <v>1355</v>
      </c>
      <c r="Z101">
        <v>0</v>
      </c>
      <c r="AA101">
        <v>0</v>
      </c>
      <c r="AB101">
        <v>0</v>
      </c>
      <c r="AC101" s="294">
        <v>41834</v>
      </c>
      <c r="AD101" s="294">
        <v>73050</v>
      </c>
      <c r="AE101" s="294">
        <v>41842</v>
      </c>
      <c r="AF101" t="s">
        <v>1367</v>
      </c>
      <c r="AG101">
        <v>0</v>
      </c>
      <c r="AH101" t="s">
        <v>1561</v>
      </c>
      <c r="AI101">
        <v>1</v>
      </c>
      <c r="AJ101">
        <v>1</v>
      </c>
      <c r="AK101">
        <v>0</v>
      </c>
      <c r="AL101">
        <v>1</v>
      </c>
      <c r="AM101" t="s">
        <v>1355</v>
      </c>
      <c r="AN101" t="s">
        <v>1357</v>
      </c>
      <c r="AO101">
        <v>33.836669999999998</v>
      </c>
      <c r="AP101">
        <v>2</v>
      </c>
      <c r="AQ101">
        <v>0</v>
      </c>
      <c r="AR101">
        <v>33.836669999999998</v>
      </c>
      <c r="AS101">
        <v>33.836669999999998</v>
      </c>
      <c r="AT101">
        <v>1</v>
      </c>
    </row>
    <row r="102" spans="1:46" hidden="1" x14ac:dyDescent="0.2">
      <c r="A102" t="s">
        <v>1496</v>
      </c>
      <c r="B102" t="s">
        <v>1497</v>
      </c>
      <c r="C102" t="s">
        <v>1496</v>
      </c>
      <c r="D102" t="s">
        <v>1355</v>
      </c>
      <c r="E102" t="s">
        <v>1356</v>
      </c>
      <c r="F102" t="s">
        <v>1357</v>
      </c>
      <c r="G102" t="s">
        <v>1355</v>
      </c>
      <c r="H102" t="s">
        <v>1367</v>
      </c>
      <c r="I102" t="s">
        <v>1225</v>
      </c>
      <c r="J102">
        <v>13</v>
      </c>
      <c r="K102">
        <v>130</v>
      </c>
      <c r="L102" t="s">
        <v>1496</v>
      </c>
      <c r="M102" t="s">
        <v>1496</v>
      </c>
      <c r="N102" t="s">
        <v>1355</v>
      </c>
      <c r="O102" t="s">
        <v>1359</v>
      </c>
      <c r="P102">
        <v>1</v>
      </c>
      <c r="Q102">
        <v>1</v>
      </c>
      <c r="R102">
        <v>0</v>
      </c>
      <c r="S102" t="s">
        <v>1355</v>
      </c>
      <c r="T102">
        <v>0</v>
      </c>
      <c r="U102">
        <v>0</v>
      </c>
      <c r="V102">
        <v>0</v>
      </c>
      <c r="W102" t="s">
        <v>1355</v>
      </c>
      <c r="X102" t="s">
        <v>1355</v>
      </c>
      <c r="Y102" t="s">
        <v>1355</v>
      </c>
      <c r="Z102">
        <v>0</v>
      </c>
      <c r="AA102">
        <v>0</v>
      </c>
      <c r="AB102">
        <v>0</v>
      </c>
      <c r="AC102" s="294">
        <v>41834</v>
      </c>
      <c r="AD102" s="294">
        <v>73050</v>
      </c>
      <c r="AE102" s="294">
        <v>41842</v>
      </c>
      <c r="AF102" t="s">
        <v>1367</v>
      </c>
      <c r="AG102">
        <v>0</v>
      </c>
      <c r="AH102" t="s">
        <v>1562</v>
      </c>
      <c r="AI102">
        <v>1</v>
      </c>
      <c r="AJ102">
        <v>1</v>
      </c>
      <c r="AK102">
        <v>0</v>
      </c>
      <c r="AL102">
        <v>1</v>
      </c>
      <c r="AM102" t="s">
        <v>1355</v>
      </c>
      <c r="AN102" t="s">
        <v>1357</v>
      </c>
      <c r="AO102">
        <v>3.3439999999999999</v>
      </c>
      <c r="AP102">
        <v>2</v>
      </c>
      <c r="AQ102">
        <v>0</v>
      </c>
      <c r="AR102">
        <v>3.3439999999999999</v>
      </c>
      <c r="AS102">
        <v>3.3439999999999999</v>
      </c>
      <c r="AT102">
        <v>1</v>
      </c>
    </row>
    <row r="103" spans="1:46" x14ac:dyDescent="0.2">
      <c r="A103" t="s">
        <v>1226</v>
      </c>
      <c r="B103" t="s">
        <v>1563</v>
      </c>
      <c r="C103" t="s">
        <v>1226</v>
      </c>
      <c r="D103" t="s">
        <v>1355</v>
      </c>
      <c r="E103" t="s">
        <v>1356</v>
      </c>
      <c r="F103" t="s">
        <v>1357</v>
      </c>
      <c r="G103" t="s">
        <v>1355</v>
      </c>
      <c r="H103" t="s">
        <v>1358</v>
      </c>
      <c r="I103" t="s">
        <v>1353</v>
      </c>
      <c r="J103">
        <v>22</v>
      </c>
      <c r="K103">
        <v>220</v>
      </c>
      <c r="L103" t="s">
        <v>1226</v>
      </c>
      <c r="M103" t="s">
        <v>1226</v>
      </c>
      <c r="N103" t="s">
        <v>1355</v>
      </c>
      <c r="O103" t="s">
        <v>1359</v>
      </c>
      <c r="P103">
        <v>1</v>
      </c>
      <c r="Q103">
        <v>1</v>
      </c>
      <c r="R103">
        <v>0</v>
      </c>
      <c r="S103" t="s">
        <v>1355</v>
      </c>
      <c r="T103">
        <v>0</v>
      </c>
      <c r="U103">
        <v>0</v>
      </c>
      <c r="V103">
        <v>0</v>
      </c>
      <c r="W103" t="s">
        <v>1355</v>
      </c>
      <c r="X103" t="s">
        <v>1355</v>
      </c>
      <c r="Y103" t="s">
        <v>1355</v>
      </c>
      <c r="Z103">
        <v>0</v>
      </c>
      <c r="AA103">
        <v>0</v>
      </c>
      <c r="AB103">
        <v>0</v>
      </c>
      <c r="AC103" s="294">
        <v>36161</v>
      </c>
      <c r="AD103" s="294">
        <v>73050</v>
      </c>
      <c r="AE103" s="294">
        <v>41844</v>
      </c>
      <c r="AF103" t="s">
        <v>1358</v>
      </c>
      <c r="AG103">
        <v>0</v>
      </c>
      <c r="AH103" t="s">
        <v>1564</v>
      </c>
      <c r="AI103">
        <v>1</v>
      </c>
      <c r="AJ103">
        <v>1</v>
      </c>
      <c r="AK103">
        <v>0</v>
      </c>
      <c r="AL103">
        <v>1</v>
      </c>
      <c r="AM103" t="s">
        <v>1362</v>
      </c>
      <c r="AN103" t="s">
        <v>1357</v>
      </c>
      <c r="AO103">
        <v>286.26319999999998</v>
      </c>
      <c r="AP103">
        <v>1</v>
      </c>
      <c r="AQ103">
        <v>0</v>
      </c>
      <c r="AR103">
        <v>1085.8161700000001</v>
      </c>
      <c r="AS103">
        <v>286.26319999999998</v>
      </c>
      <c r="AT103">
        <v>1</v>
      </c>
    </row>
    <row r="104" spans="1:46" hidden="1" x14ac:dyDescent="0.2">
      <c r="A104" t="s">
        <v>1565</v>
      </c>
      <c r="B104" t="s">
        <v>1566</v>
      </c>
      <c r="C104" t="s">
        <v>1565</v>
      </c>
      <c r="D104" t="s">
        <v>1355</v>
      </c>
      <c r="E104" t="s">
        <v>1356</v>
      </c>
      <c r="F104" t="s">
        <v>1357</v>
      </c>
      <c r="G104" t="s">
        <v>1355</v>
      </c>
      <c r="H104" t="s">
        <v>1367</v>
      </c>
      <c r="I104" t="s">
        <v>1226</v>
      </c>
      <c r="J104">
        <v>1</v>
      </c>
      <c r="K104">
        <v>10</v>
      </c>
      <c r="L104" t="s">
        <v>1565</v>
      </c>
      <c r="M104" t="s">
        <v>1565</v>
      </c>
      <c r="N104" t="s">
        <v>1355</v>
      </c>
      <c r="O104" t="s">
        <v>1359</v>
      </c>
      <c r="P104">
        <v>1</v>
      </c>
      <c r="Q104">
        <v>1</v>
      </c>
      <c r="R104">
        <v>0</v>
      </c>
      <c r="S104" t="s">
        <v>1355</v>
      </c>
      <c r="T104">
        <v>0</v>
      </c>
      <c r="U104">
        <v>0</v>
      </c>
      <c r="V104">
        <v>0</v>
      </c>
      <c r="W104" t="s">
        <v>1355</v>
      </c>
      <c r="X104" t="s">
        <v>1355</v>
      </c>
      <c r="Y104" t="s">
        <v>1355</v>
      </c>
      <c r="Z104">
        <v>0</v>
      </c>
      <c r="AA104">
        <v>0</v>
      </c>
      <c r="AB104">
        <v>0</v>
      </c>
      <c r="AC104" s="294">
        <v>41834</v>
      </c>
      <c r="AD104" s="294">
        <v>73050</v>
      </c>
      <c r="AE104" s="294">
        <v>41834</v>
      </c>
      <c r="AF104" t="s">
        <v>1367</v>
      </c>
      <c r="AG104">
        <v>0</v>
      </c>
      <c r="AH104" t="s">
        <v>1567</v>
      </c>
      <c r="AI104">
        <v>1</v>
      </c>
      <c r="AJ104">
        <v>1</v>
      </c>
      <c r="AK104">
        <v>0</v>
      </c>
      <c r="AL104">
        <v>1</v>
      </c>
      <c r="AM104" t="s">
        <v>1355</v>
      </c>
      <c r="AN104" t="s">
        <v>1357</v>
      </c>
      <c r="AO104">
        <v>0</v>
      </c>
      <c r="AP104">
        <v>2</v>
      </c>
      <c r="AQ104">
        <v>0</v>
      </c>
      <c r="AR104">
        <v>800</v>
      </c>
      <c r="AS104">
        <v>0</v>
      </c>
      <c r="AT104">
        <v>1</v>
      </c>
    </row>
    <row r="105" spans="1:46" hidden="1" x14ac:dyDescent="0.2">
      <c r="A105" t="s">
        <v>1549</v>
      </c>
      <c r="B105" t="s">
        <v>1550</v>
      </c>
      <c r="C105" t="s">
        <v>1549</v>
      </c>
      <c r="D105" t="s">
        <v>1355</v>
      </c>
      <c r="E105" t="s">
        <v>1356</v>
      </c>
      <c r="F105" t="s">
        <v>1357</v>
      </c>
      <c r="G105" t="s">
        <v>1355</v>
      </c>
      <c r="H105" t="s">
        <v>1367</v>
      </c>
      <c r="I105" t="s">
        <v>1226</v>
      </c>
      <c r="J105">
        <v>2</v>
      </c>
      <c r="K105">
        <v>20</v>
      </c>
      <c r="L105" t="s">
        <v>1549</v>
      </c>
      <c r="M105" t="s">
        <v>1549</v>
      </c>
      <c r="N105" t="s">
        <v>1355</v>
      </c>
      <c r="O105" t="s">
        <v>1359</v>
      </c>
      <c r="P105">
        <v>1</v>
      </c>
      <c r="Q105">
        <v>1</v>
      </c>
      <c r="R105">
        <v>0</v>
      </c>
      <c r="S105" t="s">
        <v>1355</v>
      </c>
      <c r="T105">
        <v>0</v>
      </c>
      <c r="U105">
        <v>0</v>
      </c>
      <c r="V105">
        <v>0</v>
      </c>
      <c r="W105" t="s">
        <v>1355</v>
      </c>
      <c r="X105" t="s">
        <v>1355</v>
      </c>
      <c r="Y105" t="s">
        <v>1355</v>
      </c>
      <c r="Z105">
        <v>0</v>
      </c>
      <c r="AA105">
        <v>0</v>
      </c>
      <c r="AB105">
        <v>0</v>
      </c>
      <c r="AC105" s="294">
        <v>41834</v>
      </c>
      <c r="AD105" s="294">
        <v>73050</v>
      </c>
      <c r="AE105" s="294">
        <v>41842</v>
      </c>
      <c r="AF105" t="s">
        <v>1367</v>
      </c>
      <c r="AG105">
        <v>0</v>
      </c>
      <c r="AH105" t="s">
        <v>1568</v>
      </c>
      <c r="AI105">
        <v>1</v>
      </c>
      <c r="AJ105">
        <v>1</v>
      </c>
      <c r="AK105">
        <v>0</v>
      </c>
      <c r="AL105">
        <v>1</v>
      </c>
      <c r="AM105" t="s">
        <v>1355</v>
      </c>
      <c r="AN105" t="s">
        <v>1357</v>
      </c>
      <c r="AO105">
        <v>186</v>
      </c>
      <c r="AP105">
        <v>2</v>
      </c>
      <c r="AQ105">
        <v>0</v>
      </c>
      <c r="AR105">
        <v>186</v>
      </c>
      <c r="AS105">
        <v>186</v>
      </c>
      <c r="AT105">
        <v>1</v>
      </c>
    </row>
    <row r="106" spans="1:46" hidden="1" x14ac:dyDescent="0.2">
      <c r="A106" t="s">
        <v>1499</v>
      </c>
      <c r="B106" t="s">
        <v>1500</v>
      </c>
      <c r="C106" t="s">
        <v>1499</v>
      </c>
      <c r="D106" t="s">
        <v>1355</v>
      </c>
      <c r="E106" t="s">
        <v>1356</v>
      </c>
      <c r="F106" t="s">
        <v>1357</v>
      </c>
      <c r="G106" t="s">
        <v>1355</v>
      </c>
      <c r="H106" t="s">
        <v>1367</v>
      </c>
      <c r="I106" t="s">
        <v>1226</v>
      </c>
      <c r="J106">
        <v>3</v>
      </c>
      <c r="K106">
        <v>30</v>
      </c>
      <c r="L106" t="s">
        <v>1499</v>
      </c>
      <c r="M106" t="s">
        <v>1499</v>
      </c>
      <c r="N106" t="s">
        <v>1355</v>
      </c>
      <c r="O106" t="s">
        <v>1359</v>
      </c>
      <c r="P106">
        <v>1</v>
      </c>
      <c r="Q106">
        <v>1</v>
      </c>
      <c r="R106">
        <v>0</v>
      </c>
      <c r="S106" t="s">
        <v>1355</v>
      </c>
      <c r="T106">
        <v>0</v>
      </c>
      <c r="U106">
        <v>0</v>
      </c>
      <c r="V106">
        <v>0</v>
      </c>
      <c r="W106" t="s">
        <v>1355</v>
      </c>
      <c r="X106" t="s">
        <v>1355</v>
      </c>
      <c r="Y106" t="s">
        <v>1355</v>
      </c>
      <c r="Z106">
        <v>0</v>
      </c>
      <c r="AA106">
        <v>0</v>
      </c>
      <c r="AB106">
        <v>0</v>
      </c>
      <c r="AC106" s="294">
        <v>41834</v>
      </c>
      <c r="AD106" s="294">
        <v>73050</v>
      </c>
      <c r="AE106" s="294">
        <v>41842</v>
      </c>
      <c r="AF106" t="s">
        <v>1367</v>
      </c>
      <c r="AG106">
        <v>0</v>
      </c>
      <c r="AH106" t="s">
        <v>1569</v>
      </c>
      <c r="AI106">
        <v>1</v>
      </c>
      <c r="AJ106">
        <v>1</v>
      </c>
      <c r="AK106">
        <v>0</v>
      </c>
      <c r="AL106">
        <v>1</v>
      </c>
      <c r="AM106" t="s">
        <v>1355</v>
      </c>
      <c r="AN106" t="s">
        <v>1357</v>
      </c>
      <c r="AO106">
        <v>0.77759999999999996</v>
      </c>
      <c r="AP106">
        <v>2</v>
      </c>
      <c r="AQ106">
        <v>0</v>
      </c>
      <c r="AR106">
        <v>0.77095999999999998</v>
      </c>
      <c r="AS106">
        <v>0.77759999999999996</v>
      </c>
      <c r="AT106">
        <v>1</v>
      </c>
    </row>
    <row r="107" spans="1:46" hidden="1" x14ac:dyDescent="0.2">
      <c r="A107" t="s">
        <v>1502</v>
      </c>
      <c r="B107" t="s">
        <v>1503</v>
      </c>
      <c r="C107" t="s">
        <v>1502</v>
      </c>
      <c r="D107" t="s">
        <v>1355</v>
      </c>
      <c r="E107" t="s">
        <v>1356</v>
      </c>
      <c r="F107" t="s">
        <v>1357</v>
      </c>
      <c r="G107" t="s">
        <v>1355</v>
      </c>
      <c r="H107" t="s">
        <v>1367</v>
      </c>
      <c r="I107" t="s">
        <v>1226</v>
      </c>
      <c r="J107">
        <v>4</v>
      </c>
      <c r="K107">
        <v>40</v>
      </c>
      <c r="L107" t="s">
        <v>1502</v>
      </c>
      <c r="M107" t="s">
        <v>1502</v>
      </c>
      <c r="N107" t="s">
        <v>1355</v>
      </c>
      <c r="O107" t="s">
        <v>1359</v>
      </c>
      <c r="P107">
        <v>3</v>
      </c>
      <c r="Q107">
        <v>3</v>
      </c>
      <c r="R107">
        <v>0</v>
      </c>
      <c r="S107" t="s">
        <v>1355</v>
      </c>
      <c r="T107">
        <v>0</v>
      </c>
      <c r="U107">
        <v>0</v>
      </c>
      <c r="V107">
        <v>0</v>
      </c>
      <c r="W107" t="s">
        <v>1355</v>
      </c>
      <c r="X107" t="s">
        <v>1355</v>
      </c>
      <c r="Y107" t="s">
        <v>1355</v>
      </c>
      <c r="Z107">
        <v>0</v>
      </c>
      <c r="AA107">
        <v>0</v>
      </c>
      <c r="AB107">
        <v>0</v>
      </c>
      <c r="AC107" s="294">
        <v>41834</v>
      </c>
      <c r="AD107" s="294">
        <v>73050</v>
      </c>
      <c r="AE107" s="294">
        <v>41842</v>
      </c>
      <c r="AF107" t="s">
        <v>1367</v>
      </c>
      <c r="AG107">
        <v>0</v>
      </c>
      <c r="AH107" t="s">
        <v>1570</v>
      </c>
      <c r="AI107">
        <v>3</v>
      </c>
      <c r="AJ107">
        <v>3</v>
      </c>
      <c r="AK107">
        <v>0</v>
      </c>
      <c r="AL107">
        <v>3</v>
      </c>
      <c r="AM107" t="s">
        <v>1355</v>
      </c>
      <c r="AN107" t="s">
        <v>1357</v>
      </c>
      <c r="AO107">
        <v>4.9356</v>
      </c>
      <c r="AP107">
        <v>2</v>
      </c>
      <c r="AQ107">
        <v>0</v>
      </c>
      <c r="AR107">
        <v>4.8986700000000001</v>
      </c>
      <c r="AS107">
        <v>4.9356</v>
      </c>
      <c r="AT107">
        <v>1</v>
      </c>
    </row>
    <row r="108" spans="1:46" hidden="1" x14ac:dyDescent="0.2">
      <c r="A108" t="s">
        <v>1505</v>
      </c>
      <c r="B108" t="s">
        <v>1506</v>
      </c>
      <c r="C108" t="s">
        <v>1505</v>
      </c>
      <c r="D108" t="s">
        <v>1355</v>
      </c>
      <c r="E108" t="s">
        <v>1356</v>
      </c>
      <c r="F108" t="s">
        <v>1357</v>
      </c>
      <c r="G108" t="s">
        <v>1355</v>
      </c>
      <c r="H108" t="s">
        <v>1367</v>
      </c>
      <c r="I108" t="s">
        <v>1226</v>
      </c>
      <c r="J108">
        <v>5</v>
      </c>
      <c r="K108">
        <v>50</v>
      </c>
      <c r="L108" t="s">
        <v>1505</v>
      </c>
      <c r="M108" t="s">
        <v>1505</v>
      </c>
      <c r="N108" t="s">
        <v>1355</v>
      </c>
      <c r="O108" t="s">
        <v>1359</v>
      </c>
      <c r="P108">
        <v>1</v>
      </c>
      <c r="Q108">
        <v>1</v>
      </c>
      <c r="R108">
        <v>0</v>
      </c>
      <c r="S108" t="s">
        <v>1355</v>
      </c>
      <c r="T108">
        <v>0</v>
      </c>
      <c r="U108">
        <v>0</v>
      </c>
      <c r="V108">
        <v>0</v>
      </c>
      <c r="W108" t="s">
        <v>1355</v>
      </c>
      <c r="X108" t="s">
        <v>1355</v>
      </c>
      <c r="Y108" t="s">
        <v>1355</v>
      </c>
      <c r="Z108">
        <v>0</v>
      </c>
      <c r="AA108">
        <v>0</v>
      </c>
      <c r="AB108">
        <v>0</v>
      </c>
      <c r="AC108" s="294">
        <v>41834</v>
      </c>
      <c r="AD108" s="294">
        <v>73050</v>
      </c>
      <c r="AE108" s="294">
        <v>41842</v>
      </c>
      <c r="AF108" t="s">
        <v>1367</v>
      </c>
      <c r="AG108">
        <v>0</v>
      </c>
      <c r="AH108" t="s">
        <v>1571</v>
      </c>
      <c r="AI108">
        <v>1</v>
      </c>
      <c r="AJ108">
        <v>1</v>
      </c>
      <c r="AK108">
        <v>0</v>
      </c>
      <c r="AL108">
        <v>1</v>
      </c>
      <c r="AM108" t="s">
        <v>1355</v>
      </c>
      <c r="AN108" t="s">
        <v>1357</v>
      </c>
      <c r="AO108">
        <v>2.9340000000000002</v>
      </c>
      <c r="AP108">
        <v>2</v>
      </c>
      <c r="AQ108">
        <v>0</v>
      </c>
      <c r="AR108">
        <v>2.9064199999999998</v>
      </c>
      <c r="AS108">
        <v>2.9340000000000002</v>
      </c>
      <c r="AT108">
        <v>1</v>
      </c>
    </row>
    <row r="109" spans="1:46" hidden="1" x14ac:dyDescent="0.2">
      <c r="A109" t="s">
        <v>1508</v>
      </c>
      <c r="B109" t="s">
        <v>1509</v>
      </c>
      <c r="C109" t="s">
        <v>1508</v>
      </c>
      <c r="D109" t="s">
        <v>1355</v>
      </c>
      <c r="E109" t="s">
        <v>1356</v>
      </c>
      <c r="F109" t="s">
        <v>1357</v>
      </c>
      <c r="G109" t="s">
        <v>1355</v>
      </c>
      <c r="H109" t="s">
        <v>1367</v>
      </c>
      <c r="I109" t="s">
        <v>1226</v>
      </c>
      <c r="J109">
        <v>6</v>
      </c>
      <c r="K109">
        <v>60</v>
      </c>
      <c r="L109" t="s">
        <v>1508</v>
      </c>
      <c r="M109" t="s">
        <v>1508</v>
      </c>
      <c r="N109" t="s">
        <v>1355</v>
      </c>
      <c r="O109" t="s">
        <v>1359</v>
      </c>
      <c r="P109">
        <v>1</v>
      </c>
      <c r="Q109">
        <v>1</v>
      </c>
      <c r="R109">
        <v>0</v>
      </c>
      <c r="S109" t="s">
        <v>1355</v>
      </c>
      <c r="T109">
        <v>0</v>
      </c>
      <c r="U109">
        <v>0</v>
      </c>
      <c r="V109">
        <v>0</v>
      </c>
      <c r="W109" t="s">
        <v>1355</v>
      </c>
      <c r="X109" t="s">
        <v>1355</v>
      </c>
      <c r="Y109" t="s">
        <v>1355</v>
      </c>
      <c r="Z109">
        <v>0</v>
      </c>
      <c r="AA109">
        <v>0</v>
      </c>
      <c r="AB109">
        <v>0</v>
      </c>
      <c r="AC109" s="294">
        <v>41834</v>
      </c>
      <c r="AD109" s="294">
        <v>73050</v>
      </c>
      <c r="AE109" s="294">
        <v>41842</v>
      </c>
      <c r="AF109" t="s">
        <v>1367</v>
      </c>
      <c r="AG109">
        <v>0</v>
      </c>
      <c r="AH109" t="s">
        <v>1572</v>
      </c>
      <c r="AI109">
        <v>1</v>
      </c>
      <c r="AJ109">
        <v>1</v>
      </c>
      <c r="AK109">
        <v>0</v>
      </c>
      <c r="AL109">
        <v>1</v>
      </c>
      <c r="AM109" t="s">
        <v>1355</v>
      </c>
      <c r="AN109" t="s">
        <v>1357</v>
      </c>
      <c r="AO109">
        <v>7.6970000000000001</v>
      </c>
      <c r="AP109">
        <v>2</v>
      </c>
      <c r="AQ109">
        <v>0</v>
      </c>
      <c r="AR109">
        <v>7.6149699999999996</v>
      </c>
      <c r="AS109">
        <v>7.6970000000000001</v>
      </c>
      <c r="AT109">
        <v>1</v>
      </c>
    </row>
    <row r="110" spans="1:46" hidden="1" x14ac:dyDescent="0.2">
      <c r="A110" t="s">
        <v>1511</v>
      </c>
      <c r="B110" t="s">
        <v>1512</v>
      </c>
      <c r="C110" t="s">
        <v>1511</v>
      </c>
      <c r="D110" t="s">
        <v>1355</v>
      </c>
      <c r="E110" t="s">
        <v>1356</v>
      </c>
      <c r="F110" t="s">
        <v>1357</v>
      </c>
      <c r="G110" t="s">
        <v>1355</v>
      </c>
      <c r="H110" t="s">
        <v>1367</v>
      </c>
      <c r="I110" t="s">
        <v>1226</v>
      </c>
      <c r="J110">
        <v>7</v>
      </c>
      <c r="K110">
        <v>70</v>
      </c>
      <c r="L110" t="s">
        <v>1511</v>
      </c>
      <c r="M110" t="s">
        <v>1511</v>
      </c>
      <c r="N110" t="s">
        <v>1355</v>
      </c>
      <c r="O110" t="s">
        <v>1359</v>
      </c>
      <c r="P110">
        <v>5</v>
      </c>
      <c r="Q110">
        <v>5</v>
      </c>
      <c r="R110">
        <v>0</v>
      </c>
      <c r="S110" t="s">
        <v>1355</v>
      </c>
      <c r="T110">
        <v>0</v>
      </c>
      <c r="U110">
        <v>0</v>
      </c>
      <c r="V110">
        <v>0</v>
      </c>
      <c r="W110" t="s">
        <v>1355</v>
      </c>
      <c r="X110" t="s">
        <v>1355</v>
      </c>
      <c r="Y110" t="s">
        <v>1355</v>
      </c>
      <c r="Z110">
        <v>0</v>
      </c>
      <c r="AA110">
        <v>0</v>
      </c>
      <c r="AB110">
        <v>0</v>
      </c>
      <c r="AC110" s="294">
        <v>41834</v>
      </c>
      <c r="AD110" s="294">
        <v>73050</v>
      </c>
      <c r="AE110" s="294">
        <v>41842</v>
      </c>
      <c r="AF110" t="s">
        <v>1367</v>
      </c>
      <c r="AG110">
        <v>0</v>
      </c>
      <c r="AH110" t="s">
        <v>1573</v>
      </c>
      <c r="AI110">
        <v>5</v>
      </c>
      <c r="AJ110">
        <v>5</v>
      </c>
      <c r="AK110">
        <v>0</v>
      </c>
      <c r="AL110">
        <v>5</v>
      </c>
      <c r="AM110" t="s">
        <v>1355</v>
      </c>
      <c r="AN110" t="s">
        <v>1357</v>
      </c>
      <c r="AO110">
        <v>3.5935000000000001</v>
      </c>
      <c r="AP110">
        <v>2</v>
      </c>
      <c r="AQ110">
        <v>0</v>
      </c>
      <c r="AR110">
        <v>3.5935000000000001</v>
      </c>
      <c r="AS110">
        <v>3.5935000000000001</v>
      </c>
      <c r="AT110">
        <v>1</v>
      </c>
    </row>
    <row r="111" spans="1:46" hidden="1" x14ac:dyDescent="0.2">
      <c r="A111" t="s">
        <v>1514</v>
      </c>
      <c r="B111" t="s">
        <v>1515</v>
      </c>
      <c r="C111" t="s">
        <v>1514</v>
      </c>
      <c r="D111" t="s">
        <v>1355</v>
      </c>
      <c r="E111" t="s">
        <v>1356</v>
      </c>
      <c r="F111" t="s">
        <v>1357</v>
      </c>
      <c r="G111" t="s">
        <v>1355</v>
      </c>
      <c r="H111" t="s">
        <v>1367</v>
      </c>
      <c r="I111" t="s">
        <v>1226</v>
      </c>
      <c r="J111">
        <v>8</v>
      </c>
      <c r="K111">
        <v>80</v>
      </c>
      <c r="L111" t="s">
        <v>1514</v>
      </c>
      <c r="M111" t="s">
        <v>1514</v>
      </c>
      <c r="N111" t="s">
        <v>1355</v>
      </c>
      <c r="O111" t="s">
        <v>1359</v>
      </c>
      <c r="P111">
        <v>2</v>
      </c>
      <c r="Q111">
        <v>2</v>
      </c>
      <c r="R111">
        <v>0</v>
      </c>
      <c r="S111" t="s">
        <v>1355</v>
      </c>
      <c r="T111">
        <v>0</v>
      </c>
      <c r="U111">
        <v>0</v>
      </c>
      <c r="V111">
        <v>0</v>
      </c>
      <c r="W111" t="s">
        <v>1355</v>
      </c>
      <c r="X111" t="s">
        <v>1355</v>
      </c>
      <c r="Y111" t="s">
        <v>1355</v>
      </c>
      <c r="Z111">
        <v>0</v>
      </c>
      <c r="AA111">
        <v>0</v>
      </c>
      <c r="AB111">
        <v>0</v>
      </c>
      <c r="AC111" s="294">
        <v>41834</v>
      </c>
      <c r="AD111" s="294">
        <v>73050</v>
      </c>
      <c r="AE111" s="294">
        <v>41842</v>
      </c>
      <c r="AF111" t="s">
        <v>1367</v>
      </c>
      <c r="AG111">
        <v>0</v>
      </c>
      <c r="AH111" t="s">
        <v>1574</v>
      </c>
      <c r="AI111">
        <v>2</v>
      </c>
      <c r="AJ111">
        <v>2</v>
      </c>
      <c r="AK111">
        <v>0</v>
      </c>
      <c r="AL111">
        <v>2</v>
      </c>
      <c r="AM111" t="s">
        <v>1355</v>
      </c>
      <c r="AN111" t="s">
        <v>1357</v>
      </c>
      <c r="AO111">
        <v>4.3606600000000002</v>
      </c>
      <c r="AP111">
        <v>2</v>
      </c>
      <c r="AQ111">
        <v>0</v>
      </c>
      <c r="AR111">
        <v>4.36076</v>
      </c>
      <c r="AS111">
        <v>4.3606600000000002</v>
      </c>
      <c r="AT111">
        <v>1</v>
      </c>
    </row>
    <row r="112" spans="1:46" hidden="1" x14ac:dyDescent="0.2">
      <c r="A112" t="s">
        <v>1517</v>
      </c>
      <c r="B112" t="s">
        <v>686</v>
      </c>
      <c r="C112" t="s">
        <v>1517</v>
      </c>
      <c r="D112" t="s">
        <v>1355</v>
      </c>
      <c r="E112" t="s">
        <v>1356</v>
      </c>
      <c r="F112" t="s">
        <v>1357</v>
      </c>
      <c r="G112" t="s">
        <v>1355</v>
      </c>
      <c r="H112" t="s">
        <v>1367</v>
      </c>
      <c r="I112" t="s">
        <v>1226</v>
      </c>
      <c r="J112">
        <v>9</v>
      </c>
      <c r="K112">
        <v>90</v>
      </c>
      <c r="L112" t="s">
        <v>1517</v>
      </c>
      <c r="M112" t="s">
        <v>1517</v>
      </c>
      <c r="N112" t="s">
        <v>1355</v>
      </c>
      <c r="O112" t="s">
        <v>1359</v>
      </c>
      <c r="P112">
        <v>1</v>
      </c>
      <c r="Q112">
        <v>1</v>
      </c>
      <c r="R112">
        <v>0</v>
      </c>
      <c r="S112" t="s">
        <v>1355</v>
      </c>
      <c r="T112">
        <v>0</v>
      </c>
      <c r="U112">
        <v>0</v>
      </c>
      <c r="V112">
        <v>0</v>
      </c>
      <c r="W112" t="s">
        <v>1355</v>
      </c>
      <c r="X112" t="s">
        <v>1355</v>
      </c>
      <c r="Y112" t="s">
        <v>1355</v>
      </c>
      <c r="Z112">
        <v>0</v>
      </c>
      <c r="AA112">
        <v>0</v>
      </c>
      <c r="AB112">
        <v>0</v>
      </c>
      <c r="AC112" s="294">
        <v>41834</v>
      </c>
      <c r="AD112" s="294">
        <v>73050</v>
      </c>
      <c r="AE112" s="294">
        <v>41842</v>
      </c>
      <c r="AF112" t="s">
        <v>1367</v>
      </c>
      <c r="AG112">
        <v>0</v>
      </c>
      <c r="AH112" t="s">
        <v>1575</v>
      </c>
      <c r="AI112">
        <v>1</v>
      </c>
      <c r="AJ112">
        <v>1</v>
      </c>
      <c r="AK112">
        <v>0</v>
      </c>
      <c r="AL112">
        <v>1</v>
      </c>
      <c r="AM112" t="s">
        <v>1355</v>
      </c>
      <c r="AN112" t="s">
        <v>1357</v>
      </c>
      <c r="AO112">
        <v>11.583</v>
      </c>
      <c r="AP112">
        <v>2</v>
      </c>
      <c r="AQ112">
        <v>0</v>
      </c>
      <c r="AR112">
        <v>11.28937</v>
      </c>
      <c r="AS112">
        <v>11.583</v>
      </c>
      <c r="AT112">
        <v>1</v>
      </c>
    </row>
    <row r="113" spans="1:46" hidden="1" x14ac:dyDescent="0.2">
      <c r="A113" t="s">
        <v>1519</v>
      </c>
      <c r="B113" t="s">
        <v>1520</v>
      </c>
      <c r="C113" t="s">
        <v>1519</v>
      </c>
      <c r="D113" t="s">
        <v>1355</v>
      </c>
      <c r="E113" t="s">
        <v>1356</v>
      </c>
      <c r="F113" t="s">
        <v>1357</v>
      </c>
      <c r="G113" t="s">
        <v>1355</v>
      </c>
      <c r="H113" t="s">
        <v>1367</v>
      </c>
      <c r="I113" t="s">
        <v>1226</v>
      </c>
      <c r="J113">
        <v>10</v>
      </c>
      <c r="K113">
        <v>100</v>
      </c>
      <c r="L113" t="s">
        <v>1519</v>
      </c>
      <c r="M113" t="s">
        <v>1519</v>
      </c>
      <c r="N113" t="s">
        <v>1355</v>
      </c>
      <c r="O113" t="s">
        <v>1359</v>
      </c>
      <c r="P113">
        <v>1</v>
      </c>
      <c r="Q113">
        <v>1</v>
      </c>
      <c r="R113">
        <v>0</v>
      </c>
      <c r="S113" t="s">
        <v>1355</v>
      </c>
      <c r="T113">
        <v>0</v>
      </c>
      <c r="U113">
        <v>0</v>
      </c>
      <c r="V113">
        <v>0</v>
      </c>
      <c r="W113" t="s">
        <v>1355</v>
      </c>
      <c r="X113" t="s">
        <v>1355</v>
      </c>
      <c r="Y113" t="s">
        <v>1355</v>
      </c>
      <c r="Z113">
        <v>0</v>
      </c>
      <c r="AA113">
        <v>0</v>
      </c>
      <c r="AB113">
        <v>0</v>
      </c>
      <c r="AC113" s="294">
        <v>41834</v>
      </c>
      <c r="AD113" s="294">
        <v>73050</v>
      </c>
      <c r="AE113" s="294">
        <v>41842</v>
      </c>
      <c r="AF113" t="s">
        <v>1367</v>
      </c>
      <c r="AG113">
        <v>0</v>
      </c>
      <c r="AH113" t="s">
        <v>1576</v>
      </c>
      <c r="AI113">
        <v>1</v>
      </c>
      <c r="AJ113">
        <v>1</v>
      </c>
      <c r="AK113">
        <v>0</v>
      </c>
      <c r="AL113">
        <v>1</v>
      </c>
      <c r="AM113" t="s">
        <v>1355</v>
      </c>
      <c r="AN113" t="s">
        <v>1357</v>
      </c>
      <c r="AO113">
        <v>11.583500000000001</v>
      </c>
      <c r="AP113">
        <v>2</v>
      </c>
      <c r="AQ113">
        <v>0</v>
      </c>
      <c r="AR113">
        <v>11.5832</v>
      </c>
      <c r="AS113">
        <v>11.583500000000001</v>
      </c>
      <c r="AT113">
        <v>1</v>
      </c>
    </row>
    <row r="114" spans="1:46" hidden="1" x14ac:dyDescent="0.2">
      <c r="A114" t="s">
        <v>1522</v>
      </c>
      <c r="B114" t="s">
        <v>1523</v>
      </c>
      <c r="C114" t="s">
        <v>1522</v>
      </c>
      <c r="D114" t="s">
        <v>1355</v>
      </c>
      <c r="E114" t="s">
        <v>1356</v>
      </c>
      <c r="F114" t="s">
        <v>1357</v>
      </c>
      <c r="G114" t="s">
        <v>1355</v>
      </c>
      <c r="H114" t="s">
        <v>1367</v>
      </c>
      <c r="I114" t="s">
        <v>1226</v>
      </c>
      <c r="J114">
        <v>11</v>
      </c>
      <c r="K114">
        <v>110</v>
      </c>
      <c r="L114" t="s">
        <v>1522</v>
      </c>
      <c r="M114" t="s">
        <v>1522</v>
      </c>
      <c r="N114" t="s">
        <v>1355</v>
      </c>
      <c r="O114" t="s">
        <v>1359</v>
      </c>
      <c r="P114">
        <v>1</v>
      </c>
      <c r="Q114">
        <v>1</v>
      </c>
      <c r="R114">
        <v>0</v>
      </c>
      <c r="S114" t="s">
        <v>1355</v>
      </c>
      <c r="T114">
        <v>0</v>
      </c>
      <c r="U114">
        <v>0</v>
      </c>
      <c r="V114">
        <v>0</v>
      </c>
      <c r="W114" t="s">
        <v>1355</v>
      </c>
      <c r="X114" t="s">
        <v>1355</v>
      </c>
      <c r="Y114" t="s">
        <v>1355</v>
      </c>
      <c r="Z114">
        <v>0</v>
      </c>
      <c r="AA114">
        <v>0</v>
      </c>
      <c r="AB114">
        <v>0</v>
      </c>
      <c r="AC114" s="294">
        <v>41834</v>
      </c>
      <c r="AD114" s="294">
        <v>73050</v>
      </c>
      <c r="AE114" s="294">
        <v>41842</v>
      </c>
      <c r="AF114" t="s">
        <v>1367</v>
      </c>
      <c r="AG114">
        <v>0</v>
      </c>
      <c r="AH114" t="s">
        <v>1577</v>
      </c>
      <c r="AI114">
        <v>1</v>
      </c>
      <c r="AJ114">
        <v>1</v>
      </c>
      <c r="AK114">
        <v>0</v>
      </c>
      <c r="AL114">
        <v>1</v>
      </c>
      <c r="AM114" t="s">
        <v>1355</v>
      </c>
      <c r="AN114" t="s">
        <v>1357</v>
      </c>
      <c r="AO114">
        <v>15.61767</v>
      </c>
      <c r="AP114">
        <v>2</v>
      </c>
      <c r="AQ114">
        <v>0</v>
      </c>
      <c r="AR114">
        <v>15.617649999999999</v>
      </c>
      <c r="AS114">
        <v>15.61767</v>
      </c>
      <c r="AT114">
        <v>1</v>
      </c>
    </row>
    <row r="115" spans="1:46" hidden="1" x14ac:dyDescent="0.2">
      <c r="A115" t="s">
        <v>1525</v>
      </c>
      <c r="B115" t="s">
        <v>1526</v>
      </c>
      <c r="C115" t="s">
        <v>1525</v>
      </c>
      <c r="D115" t="s">
        <v>1355</v>
      </c>
      <c r="E115" t="s">
        <v>1356</v>
      </c>
      <c r="F115" t="s">
        <v>1357</v>
      </c>
      <c r="G115" t="s">
        <v>1355</v>
      </c>
      <c r="H115" t="s">
        <v>1367</v>
      </c>
      <c r="I115" t="s">
        <v>1226</v>
      </c>
      <c r="J115">
        <v>12</v>
      </c>
      <c r="K115">
        <v>120</v>
      </c>
      <c r="L115" t="s">
        <v>1525</v>
      </c>
      <c r="M115" t="s">
        <v>1525</v>
      </c>
      <c r="N115" t="s">
        <v>1355</v>
      </c>
      <c r="O115" t="s">
        <v>1359</v>
      </c>
      <c r="P115">
        <v>1</v>
      </c>
      <c r="Q115">
        <v>1</v>
      </c>
      <c r="R115">
        <v>0</v>
      </c>
      <c r="S115" t="s">
        <v>1355</v>
      </c>
      <c r="T115">
        <v>0</v>
      </c>
      <c r="U115">
        <v>0</v>
      </c>
      <c r="V115">
        <v>0</v>
      </c>
      <c r="W115" t="s">
        <v>1355</v>
      </c>
      <c r="X115" t="s">
        <v>1355</v>
      </c>
      <c r="Y115" t="s">
        <v>1355</v>
      </c>
      <c r="Z115">
        <v>0</v>
      </c>
      <c r="AA115">
        <v>0</v>
      </c>
      <c r="AB115">
        <v>0</v>
      </c>
      <c r="AC115" s="294">
        <v>41834</v>
      </c>
      <c r="AD115" s="294">
        <v>73050</v>
      </c>
      <c r="AE115" s="294">
        <v>41842</v>
      </c>
      <c r="AF115" t="s">
        <v>1367</v>
      </c>
      <c r="AG115">
        <v>0</v>
      </c>
      <c r="AH115" t="s">
        <v>1578</v>
      </c>
      <c r="AI115">
        <v>1</v>
      </c>
      <c r="AJ115">
        <v>1</v>
      </c>
      <c r="AK115">
        <v>0</v>
      </c>
      <c r="AL115">
        <v>1</v>
      </c>
      <c r="AM115" t="s">
        <v>1355</v>
      </c>
      <c r="AN115" t="s">
        <v>1357</v>
      </c>
      <c r="AO115">
        <v>33.836669999999998</v>
      </c>
      <c r="AP115">
        <v>2</v>
      </c>
      <c r="AQ115">
        <v>0</v>
      </c>
      <c r="AR115">
        <v>33.836669999999998</v>
      </c>
      <c r="AS115">
        <v>33.836669999999998</v>
      </c>
      <c r="AT115">
        <v>1</v>
      </c>
    </row>
    <row r="116" spans="1:46" hidden="1" x14ac:dyDescent="0.2">
      <c r="A116" t="s">
        <v>1496</v>
      </c>
      <c r="B116" t="s">
        <v>1497</v>
      </c>
      <c r="C116" t="s">
        <v>1496</v>
      </c>
      <c r="D116" t="s">
        <v>1355</v>
      </c>
      <c r="E116" t="s">
        <v>1356</v>
      </c>
      <c r="F116" t="s">
        <v>1357</v>
      </c>
      <c r="G116" t="s">
        <v>1355</v>
      </c>
      <c r="H116" t="s">
        <v>1367</v>
      </c>
      <c r="I116" t="s">
        <v>1226</v>
      </c>
      <c r="J116">
        <v>13</v>
      </c>
      <c r="K116">
        <v>130</v>
      </c>
      <c r="L116" t="s">
        <v>1496</v>
      </c>
      <c r="M116" t="s">
        <v>1496</v>
      </c>
      <c r="N116" t="s">
        <v>1355</v>
      </c>
      <c r="O116" t="s">
        <v>1359</v>
      </c>
      <c r="P116">
        <v>1</v>
      </c>
      <c r="Q116">
        <v>1</v>
      </c>
      <c r="R116">
        <v>0</v>
      </c>
      <c r="S116" t="s">
        <v>1355</v>
      </c>
      <c r="T116">
        <v>0</v>
      </c>
      <c r="U116">
        <v>0</v>
      </c>
      <c r="V116">
        <v>0</v>
      </c>
      <c r="W116" t="s">
        <v>1355</v>
      </c>
      <c r="X116" t="s">
        <v>1355</v>
      </c>
      <c r="Y116" t="s">
        <v>1355</v>
      </c>
      <c r="Z116">
        <v>0</v>
      </c>
      <c r="AA116">
        <v>0</v>
      </c>
      <c r="AB116">
        <v>0</v>
      </c>
      <c r="AC116" s="294">
        <v>41834</v>
      </c>
      <c r="AD116" s="294">
        <v>73050</v>
      </c>
      <c r="AE116" s="294">
        <v>41842</v>
      </c>
      <c r="AF116" t="s">
        <v>1367</v>
      </c>
      <c r="AG116">
        <v>0</v>
      </c>
      <c r="AH116" t="s">
        <v>1579</v>
      </c>
      <c r="AI116">
        <v>1</v>
      </c>
      <c r="AJ116">
        <v>1</v>
      </c>
      <c r="AK116">
        <v>0</v>
      </c>
      <c r="AL116">
        <v>1</v>
      </c>
      <c r="AM116" t="s">
        <v>1355</v>
      </c>
      <c r="AN116" t="s">
        <v>1357</v>
      </c>
      <c r="AO116">
        <v>3.3439999999999999</v>
      </c>
      <c r="AP116">
        <v>2</v>
      </c>
      <c r="AQ116">
        <v>0</v>
      </c>
      <c r="AR116">
        <v>3.3439999999999999</v>
      </c>
      <c r="AS116">
        <v>3.3439999999999999</v>
      </c>
      <c r="AT116">
        <v>1</v>
      </c>
    </row>
    <row r="117" spans="1:46" x14ac:dyDescent="0.2">
      <c r="A117" s="44" t="s">
        <v>1580</v>
      </c>
      <c r="B117" t="s">
        <v>1581</v>
      </c>
      <c r="C117" t="s">
        <v>1580</v>
      </c>
      <c r="D117" t="s">
        <v>1355</v>
      </c>
      <c r="E117" t="s">
        <v>1356</v>
      </c>
      <c r="F117" t="s">
        <v>1357</v>
      </c>
      <c r="G117" t="s">
        <v>1355</v>
      </c>
      <c r="H117" t="s">
        <v>1358</v>
      </c>
      <c r="I117" t="s">
        <v>1353</v>
      </c>
      <c r="J117">
        <v>23</v>
      </c>
      <c r="K117">
        <v>230</v>
      </c>
      <c r="L117" t="s">
        <v>1580</v>
      </c>
      <c r="M117" t="s">
        <v>1580</v>
      </c>
      <c r="N117" t="s">
        <v>1355</v>
      </c>
      <c r="O117" t="s">
        <v>1359</v>
      </c>
      <c r="P117">
        <v>1</v>
      </c>
      <c r="Q117">
        <v>1</v>
      </c>
      <c r="R117">
        <v>0</v>
      </c>
      <c r="S117" t="s">
        <v>1355</v>
      </c>
      <c r="T117">
        <v>0</v>
      </c>
      <c r="U117">
        <v>0</v>
      </c>
      <c r="V117">
        <v>0</v>
      </c>
      <c r="W117" t="s">
        <v>1355</v>
      </c>
      <c r="X117" t="s">
        <v>1355</v>
      </c>
      <c r="Y117" t="s">
        <v>1355</v>
      </c>
      <c r="Z117">
        <v>0</v>
      </c>
      <c r="AA117">
        <v>0</v>
      </c>
      <c r="AB117">
        <v>0</v>
      </c>
      <c r="AC117" s="294">
        <v>36161</v>
      </c>
      <c r="AD117" s="294">
        <v>73050</v>
      </c>
      <c r="AE117" s="294">
        <v>41844</v>
      </c>
      <c r="AF117" t="s">
        <v>1358</v>
      </c>
      <c r="AG117">
        <v>0</v>
      </c>
      <c r="AH117" t="s">
        <v>1582</v>
      </c>
      <c r="AI117">
        <v>1</v>
      </c>
      <c r="AJ117">
        <v>1</v>
      </c>
      <c r="AK117">
        <v>0</v>
      </c>
      <c r="AL117">
        <v>1</v>
      </c>
      <c r="AM117" t="s">
        <v>1362</v>
      </c>
      <c r="AN117" t="s">
        <v>1357</v>
      </c>
      <c r="AO117">
        <v>979.46500000000003</v>
      </c>
      <c r="AP117">
        <v>1</v>
      </c>
      <c r="AQ117">
        <v>0</v>
      </c>
      <c r="AR117">
        <v>979.46500000000003</v>
      </c>
      <c r="AS117">
        <v>979.46500000000003</v>
      </c>
      <c r="AT117">
        <v>1</v>
      </c>
    </row>
    <row r="118" spans="1:46" hidden="1" x14ac:dyDescent="0.2">
      <c r="A118" t="s">
        <v>1583</v>
      </c>
      <c r="B118" t="s">
        <v>1584</v>
      </c>
      <c r="C118" t="s">
        <v>1583</v>
      </c>
      <c r="D118" t="s">
        <v>1355</v>
      </c>
      <c r="E118" t="s">
        <v>1356</v>
      </c>
      <c r="F118" t="s">
        <v>1357</v>
      </c>
      <c r="G118" t="s">
        <v>1355</v>
      </c>
      <c r="H118" t="s">
        <v>1367</v>
      </c>
      <c r="I118" t="s">
        <v>1580</v>
      </c>
      <c r="J118">
        <v>1</v>
      </c>
      <c r="K118">
        <v>10</v>
      </c>
      <c r="L118" t="s">
        <v>1583</v>
      </c>
      <c r="M118" t="s">
        <v>1583</v>
      </c>
      <c r="N118" t="s">
        <v>1355</v>
      </c>
      <c r="O118" t="s">
        <v>1359</v>
      </c>
      <c r="P118">
        <v>1</v>
      </c>
      <c r="Q118">
        <v>1</v>
      </c>
      <c r="R118">
        <v>0</v>
      </c>
      <c r="S118" t="s">
        <v>1355</v>
      </c>
      <c r="T118">
        <v>0</v>
      </c>
      <c r="U118">
        <v>0</v>
      </c>
      <c r="V118">
        <v>0</v>
      </c>
      <c r="W118" t="s">
        <v>1355</v>
      </c>
      <c r="X118" t="s">
        <v>1355</v>
      </c>
      <c r="Y118" t="s">
        <v>1355</v>
      </c>
      <c r="Z118">
        <v>0</v>
      </c>
      <c r="AA118">
        <v>0</v>
      </c>
      <c r="AB118">
        <v>0</v>
      </c>
      <c r="AC118" s="294">
        <v>41842</v>
      </c>
      <c r="AD118" s="294">
        <v>73050</v>
      </c>
      <c r="AE118" s="294">
        <v>41842</v>
      </c>
      <c r="AF118" t="s">
        <v>1367</v>
      </c>
      <c r="AG118">
        <v>0</v>
      </c>
      <c r="AH118" t="s">
        <v>1585</v>
      </c>
      <c r="AI118">
        <v>1</v>
      </c>
      <c r="AJ118">
        <v>1</v>
      </c>
      <c r="AK118">
        <v>0</v>
      </c>
      <c r="AL118">
        <v>1</v>
      </c>
      <c r="AM118" t="s">
        <v>1355</v>
      </c>
      <c r="AN118" t="s">
        <v>1357</v>
      </c>
      <c r="AO118">
        <v>979.46500000000003</v>
      </c>
      <c r="AP118">
        <v>2</v>
      </c>
      <c r="AQ118">
        <v>0</v>
      </c>
      <c r="AR118">
        <v>979.46500000000003</v>
      </c>
      <c r="AS118">
        <v>979.46500000000003</v>
      </c>
      <c r="AT118">
        <v>1</v>
      </c>
    </row>
    <row r="119" spans="1:46" s="295" customFormat="1" x14ac:dyDescent="0.2">
      <c r="A119" s="295" t="s">
        <v>1302</v>
      </c>
      <c r="B119" s="295" t="s">
        <v>1586</v>
      </c>
      <c r="C119" t="s">
        <v>1302</v>
      </c>
      <c r="D119" t="s">
        <v>1355</v>
      </c>
      <c r="E119" t="s">
        <v>1356</v>
      </c>
      <c r="F119" t="s">
        <v>1357</v>
      </c>
      <c r="G119" t="s">
        <v>1355</v>
      </c>
      <c r="H119" t="s">
        <v>1367</v>
      </c>
      <c r="I119" t="s">
        <v>1353</v>
      </c>
      <c r="J119">
        <v>56</v>
      </c>
      <c r="K119" s="295">
        <v>231</v>
      </c>
      <c r="L119" t="s">
        <v>1302</v>
      </c>
      <c r="M119" t="s">
        <v>1302</v>
      </c>
      <c r="N119" t="s">
        <v>1355</v>
      </c>
      <c r="O119" t="s">
        <v>1359</v>
      </c>
      <c r="P119" s="295">
        <v>1</v>
      </c>
      <c r="Q119">
        <v>1</v>
      </c>
      <c r="R119">
        <v>0</v>
      </c>
      <c r="S119" t="s">
        <v>1355</v>
      </c>
      <c r="T119">
        <v>0</v>
      </c>
      <c r="U119">
        <v>0</v>
      </c>
      <c r="V119">
        <v>0</v>
      </c>
      <c r="W119" t="s">
        <v>1355</v>
      </c>
      <c r="X119" t="s">
        <v>1355</v>
      </c>
      <c r="Y119" t="s">
        <v>1355</v>
      </c>
      <c r="Z119">
        <v>0</v>
      </c>
      <c r="AA119">
        <v>0</v>
      </c>
      <c r="AB119">
        <v>0</v>
      </c>
      <c r="AC119" s="294">
        <v>41845</v>
      </c>
      <c r="AD119" s="294">
        <v>73050</v>
      </c>
      <c r="AE119" s="294">
        <v>41845</v>
      </c>
      <c r="AF119" t="s">
        <v>1367</v>
      </c>
      <c r="AG119">
        <v>0</v>
      </c>
      <c r="AH119" t="s">
        <v>1587</v>
      </c>
      <c r="AI119">
        <v>1</v>
      </c>
      <c r="AJ119">
        <v>1</v>
      </c>
      <c r="AK119">
        <v>0</v>
      </c>
      <c r="AL119" s="295">
        <v>1</v>
      </c>
      <c r="AM119" t="s">
        <v>1362</v>
      </c>
      <c r="AN119" t="s">
        <v>1357</v>
      </c>
      <c r="AO119" s="295">
        <v>0</v>
      </c>
      <c r="AP119" s="295">
        <v>1</v>
      </c>
      <c r="AQ119">
        <v>0</v>
      </c>
      <c r="AR119">
        <v>0</v>
      </c>
      <c r="AS119" s="295">
        <v>0</v>
      </c>
      <c r="AT119">
        <v>1</v>
      </c>
    </row>
    <row r="120" spans="1:46" x14ac:dyDescent="0.2">
      <c r="A120" t="s">
        <v>1301</v>
      </c>
      <c r="B120" t="s">
        <v>1588</v>
      </c>
      <c r="C120" s="295" t="s">
        <v>1301</v>
      </c>
      <c r="D120" s="295" t="s">
        <v>1355</v>
      </c>
      <c r="E120" s="295" t="s">
        <v>1356</v>
      </c>
      <c r="F120" s="295" t="s">
        <v>1357</v>
      </c>
      <c r="G120" s="295" t="s">
        <v>1355</v>
      </c>
      <c r="H120" s="295" t="s">
        <v>1358</v>
      </c>
      <c r="I120" s="295" t="s">
        <v>1353</v>
      </c>
      <c r="J120" s="295">
        <v>57</v>
      </c>
      <c r="K120">
        <v>232</v>
      </c>
      <c r="L120" s="295" t="s">
        <v>1301</v>
      </c>
      <c r="M120" s="295" t="s">
        <v>1301</v>
      </c>
      <c r="N120" s="295" t="s">
        <v>1355</v>
      </c>
      <c r="O120" s="295" t="s">
        <v>1359</v>
      </c>
      <c r="P120">
        <v>1</v>
      </c>
      <c r="Q120" s="295">
        <v>1</v>
      </c>
      <c r="R120" s="295">
        <v>0</v>
      </c>
      <c r="S120" s="295" t="s">
        <v>1355</v>
      </c>
      <c r="T120" s="295">
        <v>0</v>
      </c>
      <c r="U120" s="295">
        <v>0</v>
      </c>
      <c r="V120" s="295">
        <v>0</v>
      </c>
      <c r="W120" s="295" t="s">
        <v>1355</v>
      </c>
      <c r="X120" s="295" t="s">
        <v>1355</v>
      </c>
      <c r="Y120" s="295" t="s">
        <v>1355</v>
      </c>
      <c r="Z120" s="295">
        <v>0</v>
      </c>
      <c r="AA120" s="295">
        <v>0</v>
      </c>
      <c r="AB120" s="295">
        <v>0</v>
      </c>
      <c r="AC120" s="296">
        <v>41845</v>
      </c>
      <c r="AD120" s="296">
        <v>73050</v>
      </c>
      <c r="AE120" s="296">
        <v>41845</v>
      </c>
      <c r="AF120" s="295" t="s">
        <v>1358</v>
      </c>
      <c r="AG120" s="295">
        <v>0</v>
      </c>
      <c r="AH120" s="295" t="s">
        <v>1589</v>
      </c>
      <c r="AI120" s="295">
        <v>1</v>
      </c>
      <c r="AJ120" s="295">
        <v>1</v>
      </c>
      <c r="AK120" s="295">
        <v>0</v>
      </c>
      <c r="AL120">
        <v>1</v>
      </c>
      <c r="AM120" s="295" t="s">
        <v>1362</v>
      </c>
      <c r="AN120" s="295" t="s">
        <v>1357</v>
      </c>
      <c r="AO120">
        <v>78.400000000000006</v>
      </c>
      <c r="AP120">
        <v>1</v>
      </c>
      <c r="AQ120" s="295">
        <v>0</v>
      </c>
      <c r="AR120" s="295">
        <v>78.400000000000006</v>
      </c>
      <c r="AS120">
        <v>78.400000000000006</v>
      </c>
      <c r="AT120">
        <v>1</v>
      </c>
    </row>
    <row r="121" spans="1:46" hidden="1" x14ac:dyDescent="0.2">
      <c r="A121" t="s">
        <v>1590</v>
      </c>
      <c r="B121" t="s">
        <v>1591</v>
      </c>
      <c r="C121" t="s">
        <v>1590</v>
      </c>
      <c r="D121" t="s">
        <v>1355</v>
      </c>
      <c r="E121" t="s">
        <v>1356</v>
      </c>
      <c r="F121" t="s">
        <v>1357</v>
      </c>
      <c r="G121" t="s">
        <v>1355</v>
      </c>
      <c r="H121" t="s">
        <v>1367</v>
      </c>
      <c r="I121" t="s">
        <v>1301</v>
      </c>
      <c r="J121">
        <v>1</v>
      </c>
      <c r="K121">
        <v>10</v>
      </c>
      <c r="L121" t="s">
        <v>1590</v>
      </c>
      <c r="M121" t="s">
        <v>1590</v>
      </c>
      <c r="N121" t="s">
        <v>1355</v>
      </c>
      <c r="O121" t="s">
        <v>1359</v>
      </c>
      <c r="P121">
        <v>1</v>
      </c>
      <c r="Q121">
        <v>1</v>
      </c>
      <c r="R121">
        <v>0</v>
      </c>
      <c r="S121" t="s">
        <v>1355</v>
      </c>
      <c r="T121">
        <v>0</v>
      </c>
      <c r="U121">
        <v>0</v>
      </c>
      <c r="V121">
        <v>0</v>
      </c>
      <c r="W121" t="s">
        <v>1355</v>
      </c>
      <c r="X121" t="s">
        <v>1355</v>
      </c>
      <c r="Y121" t="s">
        <v>1355</v>
      </c>
      <c r="Z121">
        <v>0</v>
      </c>
      <c r="AA121">
        <v>0</v>
      </c>
      <c r="AB121">
        <v>0</v>
      </c>
      <c r="AC121" s="294">
        <v>41844</v>
      </c>
      <c r="AD121" s="294">
        <v>73050</v>
      </c>
      <c r="AE121" s="294">
        <v>41844</v>
      </c>
      <c r="AF121" t="s">
        <v>1367</v>
      </c>
      <c r="AG121">
        <v>0</v>
      </c>
      <c r="AH121" t="s">
        <v>1592</v>
      </c>
      <c r="AI121">
        <v>1</v>
      </c>
      <c r="AJ121">
        <v>1</v>
      </c>
      <c r="AK121">
        <v>0</v>
      </c>
      <c r="AL121">
        <v>1</v>
      </c>
      <c r="AM121" t="s">
        <v>1355</v>
      </c>
      <c r="AN121" t="s">
        <v>1357</v>
      </c>
      <c r="AO121">
        <v>78.400000000000006</v>
      </c>
      <c r="AP121">
        <v>2</v>
      </c>
      <c r="AQ121">
        <v>0</v>
      </c>
      <c r="AR121">
        <v>78.400000000000006</v>
      </c>
      <c r="AS121">
        <v>78.400000000000006</v>
      </c>
      <c r="AT121">
        <v>1</v>
      </c>
    </row>
    <row r="122" spans="1:46" x14ac:dyDescent="0.2">
      <c r="A122" t="s">
        <v>1280</v>
      </c>
      <c r="B122" t="s">
        <v>1593</v>
      </c>
      <c r="C122" t="s">
        <v>1280</v>
      </c>
      <c r="D122" t="s">
        <v>1355</v>
      </c>
      <c r="E122" t="s">
        <v>1356</v>
      </c>
      <c r="F122" t="s">
        <v>1357</v>
      </c>
      <c r="G122" t="s">
        <v>1355</v>
      </c>
      <c r="H122" t="s">
        <v>1358</v>
      </c>
      <c r="I122" t="s">
        <v>1353</v>
      </c>
      <c r="J122">
        <v>24</v>
      </c>
      <c r="K122">
        <v>240</v>
      </c>
      <c r="L122" t="s">
        <v>1280</v>
      </c>
      <c r="M122" t="s">
        <v>1280</v>
      </c>
      <c r="N122" t="s">
        <v>1355</v>
      </c>
      <c r="O122" t="s">
        <v>1359</v>
      </c>
      <c r="P122">
        <v>1</v>
      </c>
      <c r="Q122">
        <v>1</v>
      </c>
      <c r="R122">
        <v>0</v>
      </c>
      <c r="S122" t="s">
        <v>1355</v>
      </c>
      <c r="T122">
        <v>0</v>
      </c>
      <c r="U122">
        <v>0</v>
      </c>
      <c r="V122">
        <v>0</v>
      </c>
      <c r="W122" t="s">
        <v>1355</v>
      </c>
      <c r="X122" t="s">
        <v>1355</v>
      </c>
      <c r="Y122" t="s">
        <v>1355</v>
      </c>
      <c r="Z122">
        <v>0</v>
      </c>
      <c r="AA122">
        <v>0</v>
      </c>
      <c r="AB122">
        <v>0</v>
      </c>
      <c r="AC122" s="294">
        <v>36161</v>
      </c>
      <c r="AD122" s="294">
        <v>73050</v>
      </c>
      <c r="AE122" s="294">
        <v>41844</v>
      </c>
      <c r="AF122" t="s">
        <v>1358</v>
      </c>
      <c r="AG122">
        <v>0</v>
      </c>
      <c r="AH122" t="s">
        <v>1594</v>
      </c>
      <c r="AI122">
        <v>1</v>
      </c>
      <c r="AJ122">
        <v>1</v>
      </c>
      <c r="AK122">
        <v>0</v>
      </c>
      <c r="AL122">
        <v>1</v>
      </c>
      <c r="AM122" t="s">
        <v>1362</v>
      </c>
      <c r="AN122" t="s">
        <v>1357</v>
      </c>
      <c r="AO122">
        <v>1739.8029100000001</v>
      </c>
      <c r="AP122">
        <v>1</v>
      </c>
      <c r="AQ122">
        <v>487.44</v>
      </c>
      <c r="AR122">
        <v>1723.6322700000001</v>
      </c>
      <c r="AS122">
        <v>1739.8029100000001</v>
      </c>
      <c r="AT122">
        <v>1</v>
      </c>
    </row>
    <row r="123" spans="1:46" hidden="1" x14ac:dyDescent="0.2">
      <c r="A123" t="s">
        <v>1595</v>
      </c>
      <c r="B123" t="s">
        <v>1596</v>
      </c>
      <c r="C123" t="s">
        <v>1595</v>
      </c>
      <c r="D123" t="s">
        <v>1355</v>
      </c>
      <c r="E123" t="s">
        <v>1356</v>
      </c>
      <c r="F123" t="s">
        <v>1357</v>
      </c>
      <c r="G123" t="s">
        <v>1355</v>
      </c>
      <c r="H123" t="s">
        <v>1358</v>
      </c>
      <c r="I123" t="s">
        <v>1280</v>
      </c>
      <c r="J123">
        <v>1</v>
      </c>
      <c r="K123">
        <v>10</v>
      </c>
      <c r="L123" t="s">
        <v>1595</v>
      </c>
      <c r="M123" t="s">
        <v>1595</v>
      </c>
      <c r="N123" t="s">
        <v>1355</v>
      </c>
      <c r="O123" t="s">
        <v>1359</v>
      </c>
      <c r="P123">
        <v>1</v>
      </c>
      <c r="Q123">
        <v>1</v>
      </c>
      <c r="R123">
        <v>0</v>
      </c>
      <c r="S123" t="s">
        <v>1355</v>
      </c>
      <c r="T123">
        <v>0</v>
      </c>
      <c r="U123">
        <v>0</v>
      </c>
      <c r="V123">
        <v>0</v>
      </c>
      <c r="W123" t="s">
        <v>1355</v>
      </c>
      <c r="X123" t="s">
        <v>1355</v>
      </c>
      <c r="Y123" t="s">
        <v>1355</v>
      </c>
      <c r="Z123">
        <v>0</v>
      </c>
      <c r="AA123">
        <v>0</v>
      </c>
      <c r="AB123">
        <v>0</v>
      </c>
      <c r="AC123" s="294">
        <v>41841</v>
      </c>
      <c r="AD123" s="294">
        <v>73050</v>
      </c>
      <c r="AE123" s="294">
        <v>41841</v>
      </c>
      <c r="AF123" t="s">
        <v>1358</v>
      </c>
      <c r="AG123">
        <v>0</v>
      </c>
      <c r="AH123" t="s">
        <v>1597</v>
      </c>
      <c r="AI123">
        <v>1</v>
      </c>
      <c r="AJ123">
        <v>1</v>
      </c>
      <c r="AK123">
        <v>0</v>
      </c>
      <c r="AL123">
        <v>1</v>
      </c>
      <c r="AM123" t="s">
        <v>1362</v>
      </c>
      <c r="AN123" t="s">
        <v>1357</v>
      </c>
      <c r="AO123">
        <v>769.21666000000005</v>
      </c>
      <c r="AP123">
        <v>2</v>
      </c>
      <c r="AQ123">
        <v>0</v>
      </c>
      <c r="AR123">
        <v>753.06123000000002</v>
      </c>
      <c r="AS123">
        <v>769.21666000000005</v>
      </c>
      <c r="AT123">
        <v>1</v>
      </c>
    </row>
    <row r="124" spans="1:46" hidden="1" x14ac:dyDescent="0.2">
      <c r="A124" t="s">
        <v>1598</v>
      </c>
      <c r="B124" t="s">
        <v>1599</v>
      </c>
      <c r="C124" t="s">
        <v>1598</v>
      </c>
      <c r="D124" t="s">
        <v>1355</v>
      </c>
      <c r="E124" t="s">
        <v>1356</v>
      </c>
      <c r="F124" t="s">
        <v>1357</v>
      </c>
      <c r="G124" t="s">
        <v>1355</v>
      </c>
      <c r="H124" t="s">
        <v>1367</v>
      </c>
      <c r="I124" t="s">
        <v>1595</v>
      </c>
      <c r="J124">
        <v>1</v>
      </c>
      <c r="K124">
        <v>10</v>
      </c>
      <c r="L124" t="s">
        <v>1598</v>
      </c>
      <c r="M124" t="s">
        <v>1598</v>
      </c>
      <c r="N124" t="s">
        <v>1355</v>
      </c>
      <c r="O124" t="s">
        <v>1359</v>
      </c>
      <c r="P124">
        <v>1</v>
      </c>
      <c r="Q124">
        <v>1</v>
      </c>
      <c r="R124">
        <v>0</v>
      </c>
      <c r="S124" t="s">
        <v>1355</v>
      </c>
      <c r="T124">
        <v>0</v>
      </c>
      <c r="U124">
        <v>0</v>
      </c>
      <c r="V124">
        <v>0</v>
      </c>
      <c r="W124" t="s">
        <v>1355</v>
      </c>
      <c r="X124" t="s">
        <v>1355</v>
      </c>
      <c r="Y124" t="s">
        <v>1355</v>
      </c>
      <c r="Z124">
        <v>0</v>
      </c>
      <c r="AA124">
        <v>0</v>
      </c>
      <c r="AB124">
        <v>0</v>
      </c>
      <c r="AC124" s="294">
        <v>41836</v>
      </c>
      <c r="AD124" s="294">
        <v>73050</v>
      </c>
      <c r="AE124" s="294">
        <v>41836</v>
      </c>
      <c r="AF124" t="s">
        <v>1367</v>
      </c>
      <c r="AG124">
        <v>0</v>
      </c>
      <c r="AH124" t="s">
        <v>1600</v>
      </c>
      <c r="AI124">
        <v>1</v>
      </c>
      <c r="AJ124">
        <v>1</v>
      </c>
      <c r="AK124">
        <v>0</v>
      </c>
      <c r="AL124">
        <v>1</v>
      </c>
      <c r="AM124" t="s">
        <v>1355</v>
      </c>
      <c r="AN124" t="s">
        <v>1357</v>
      </c>
      <c r="AO124">
        <v>351.43666999999999</v>
      </c>
      <c r="AP124">
        <v>3</v>
      </c>
      <c r="AQ124">
        <v>0</v>
      </c>
      <c r="AR124">
        <v>351.44191000000001</v>
      </c>
      <c r="AS124">
        <v>351.43666999999999</v>
      </c>
      <c r="AT124">
        <v>1</v>
      </c>
    </row>
    <row r="125" spans="1:46" hidden="1" x14ac:dyDescent="0.2">
      <c r="A125" t="s">
        <v>1601</v>
      </c>
      <c r="B125" t="s">
        <v>1602</v>
      </c>
      <c r="C125" t="s">
        <v>1601</v>
      </c>
      <c r="D125" t="s">
        <v>1355</v>
      </c>
      <c r="E125" t="s">
        <v>1356</v>
      </c>
      <c r="F125" t="s">
        <v>1357</v>
      </c>
      <c r="G125" t="s">
        <v>1355</v>
      </c>
      <c r="H125" t="s">
        <v>1367</v>
      </c>
      <c r="I125" t="s">
        <v>1595</v>
      </c>
      <c r="J125">
        <v>2</v>
      </c>
      <c r="K125">
        <v>20</v>
      </c>
      <c r="L125" t="s">
        <v>1601</v>
      </c>
      <c r="M125" t="s">
        <v>1601</v>
      </c>
      <c r="N125" t="s">
        <v>1355</v>
      </c>
      <c r="O125" t="s">
        <v>1359</v>
      </c>
      <c r="P125">
        <v>1</v>
      </c>
      <c r="Q125">
        <v>1</v>
      </c>
      <c r="R125">
        <v>0</v>
      </c>
      <c r="S125" t="s">
        <v>1355</v>
      </c>
      <c r="T125">
        <v>0</v>
      </c>
      <c r="U125">
        <v>0</v>
      </c>
      <c r="V125">
        <v>0</v>
      </c>
      <c r="W125" t="s">
        <v>1355</v>
      </c>
      <c r="X125" t="s">
        <v>1355</v>
      </c>
      <c r="Y125" t="s">
        <v>1355</v>
      </c>
      <c r="Z125">
        <v>0</v>
      </c>
      <c r="AA125">
        <v>0</v>
      </c>
      <c r="AB125">
        <v>0</v>
      </c>
      <c r="AC125" s="294">
        <v>41836</v>
      </c>
      <c r="AD125" s="294">
        <v>73050</v>
      </c>
      <c r="AE125" s="294">
        <v>41836</v>
      </c>
      <c r="AF125" t="s">
        <v>1367</v>
      </c>
      <c r="AG125">
        <v>0</v>
      </c>
      <c r="AH125" t="s">
        <v>1603</v>
      </c>
      <c r="AI125">
        <v>1</v>
      </c>
      <c r="AJ125">
        <v>1</v>
      </c>
      <c r="AK125">
        <v>0</v>
      </c>
      <c r="AL125">
        <v>1</v>
      </c>
      <c r="AM125" t="s">
        <v>1355</v>
      </c>
      <c r="AN125" t="s">
        <v>1357</v>
      </c>
      <c r="AO125">
        <v>78.11</v>
      </c>
      <c r="AP125">
        <v>3</v>
      </c>
      <c r="AQ125">
        <v>0</v>
      </c>
      <c r="AR125">
        <v>78.110950000000003</v>
      </c>
      <c r="AS125">
        <v>78.11</v>
      </c>
      <c r="AT125">
        <v>1</v>
      </c>
    </row>
    <row r="126" spans="1:46" hidden="1" x14ac:dyDescent="0.2">
      <c r="A126" t="s">
        <v>1604</v>
      </c>
      <c r="B126" t="s">
        <v>1605</v>
      </c>
      <c r="C126" t="s">
        <v>1604</v>
      </c>
      <c r="D126" t="s">
        <v>1355</v>
      </c>
      <c r="E126" t="s">
        <v>1356</v>
      </c>
      <c r="F126" t="s">
        <v>1357</v>
      </c>
      <c r="G126" t="s">
        <v>1355</v>
      </c>
      <c r="H126" t="s">
        <v>1367</v>
      </c>
      <c r="I126" t="s">
        <v>1595</v>
      </c>
      <c r="J126">
        <v>3</v>
      </c>
      <c r="K126">
        <v>30</v>
      </c>
      <c r="L126" t="s">
        <v>1604</v>
      </c>
      <c r="M126" t="s">
        <v>1604</v>
      </c>
      <c r="N126" t="s">
        <v>1355</v>
      </c>
      <c r="O126" t="s">
        <v>1359</v>
      </c>
      <c r="P126">
        <v>1</v>
      </c>
      <c r="Q126">
        <v>1</v>
      </c>
      <c r="R126">
        <v>0</v>
      </c>
      <c r="S126" t="s">
        <v>1355</v>
      </c>
      <c r="T126">
        <v>0</v>
      </c>
      <c r="U126">
        <v>0</v>
      </c>
      <c r="V126">
        <v>0</v>
      </c>
      <c r="W126" t="s">
        <v>1355</v>
      </c>
      <c r="X126" t="s">
        <v>1355</v>
      </c>
      <c r="Y126" t="s">
        <v>1355</v>
      </c>
      <c r="Z126">
        <v>0</v>
      </c>
      <c r="AA126">
        <v>0</v>
      </c>
      <c r="AB126">
        <v>0</v>
      </c>
      <c r="AC126" s="294">
        <v>41836</v>
      </c>
      <c r="AD126" s="294">
        <v>73050</v>
      </c>
      <c r="AE126" s="294">
        <v>41836</v>
      </c>
      <c r="AF126" t="s">
        <v>1367</v>
      </c>
      <c r="AG126">
        <v>0</v>
      </c>
      <c r="AH126" t="s">
        <v>1606</v>
      </c>
      <c r="AI126">
        <v>1</v>
      </c>
      <c r="AJ126">
        <v>1</v>
      </c>
      <c r="AK126">
        <v>0</v>
      </c>
      <c r="AL126">
        <v>1</v>
      </c>
      <c r="AM126" t="s">
        <v>1355</v>
      </c>
      <c r="AN126" t="s">
        <v>1357</v>
      </c>
      <c r="AO126">
        <v>36.085000000000001</v>
      </c>
      <c r="AP126">
        <v>3</v>
      </c>
      <c r="AQ126">
        <v>0</v>
      </c>
      <c r="AR126">
        <v>36.086530000000003</v>
      </c>
      <c r="AS126">
        <v>36.085000000000001</v>
      </c>
      <c r="AT126">
        <v>1</v>
      </c>
    </row>
    <row r="127" spans="1:46" hidden="1" x14ac:dyDescent="0.2">
      <c r="A127" t="s">
        <v>1607</v>
      </c>
      <c r="B127" t="s">
        <v>1608</v>
      </c>
      <c r="C127" t="s">
        <v>1607</v>
      </c>
      <c r="D127" t="s">
        <v>1355</v>
      </c>
      <c r="E127" t="s">
        <v>1356</v>
      </c>
      <c r="F127" t="s">
        <v>1357</v>
      </c>
      <c r="G127" t="s">
        <v>1355</v>
      </c>
      <c r="H127" t="s">
        <v>1367</v>
      </c>
      <c r="I127" t="s">
        <v>1595</v>
      </c>
      <c r="J127">
        <v>4</v>
      </c>
      <c r="K127">
        <v>40</v>
      </c>
      <c r="L127" t="s">
        <v>1607</v>
      </c>
      <c r="M127" t="s">
        <v>1607</v>
      </c>
      <c r="N127" t="s">
        <v>1355</v>
      </c>
      <c r="O127" t="s">
        <v>1359</v>
      </c>
      <c r="P127">
        <v>2</v>
      </c>
      <c r="Q127">
        <v>2</v>
      </c>
      <c r="R127">
        <v>0</v>
      </c>
      <c r="S127" t="s">
        <v>1355</v>
      </c>
      <c r="T127">
        <v>0</v>
      </c>
      <c r="U127">
        <v>0</v>
      </c>
      <c r="V127">
        <v>0</v>
      </c>
      <c r="W127" t="s">
        <v>1355</v>
      </c>
      <c r="X127" t="s">
        <v>1355</v>
      </c>
      <c r="Y127" t="s">
        <v>1355</v>
      </c>
      <c r="Z127">
        <v>0</v>
      </c>
      <c r="AA127">
        <v>0</v>
      </c>
      <c r="AB127">
        <v>0</v>
      </c>
      <c r="AC127" s="294">
        <v>41836</v>
      </c>
      <c r="AD127" s="294">
        <v>73050</v>
      </c>
      <c r="AE127" s="294">
        <v>41836</v>
      </c>
      <c r="AF127" t="s">
        <v>1367</v>
      </c>
      <c r="AG127">
        <v>0</v>
      </c>
      <c r="AH127" t="s">
        <v>1609</v>
      </c>
      <c r="AI127">
        <v>2</v>
      </c>
      <c r="AJ127">
        <v>2</v>
      </c>
      <c r="AK127">
        <v>0</v>
      </c>
      <c r="AL127">
        <v>2</v>
      </c>
      <c r="AM127" t="s">
        <v>1355</v>
      </c>
      <c r="AN127" t="s">
        <v>1357</v>
      </c>
      <c r="AO127">
        <v>9.6349999999999998</v>
      </c>
      <c r="AP127">
        <v>3</v>
      </c>
      <c r="AQ127">
        <v>0</v>
      </c>
      <c r="AR127">
        <v>9.6366599999999991</v>
      </c>
      <c r="AS127">
        <v>9.6349999999999998</v>
      </c>
      <c r="AT127">
        <v>1</v>
      </c>
    </row>
    <row r="128" spans="1:46" hidden="1" x14ac:dyDescent="0.2">
      <c r="A128" t="s">
        <v>1610</v>
      </c>
      <c r="B128" t="s">
        <v>1611</v>
      </c>
      <c r="C128" t="s">
        <v>1610</v>
      </c>
      <c r="D128" t="s">
        <v>1355</v>
      </c>
      <c r="E128" t="s">
        <v>1356</v>
      </c>
      <c r="F128" t="s">
        <v>1357</v>
      </c>
      <c r="G128" t="s">
        <v>1355</v>
      </c>
      <c r="H128" t="s">
        <v>1367</v>
      </c>
      <c r="I128" t="s">
        <v>1595</v>
      </c>
      <c r="J128">
        <v>5</v>
      </c>
      <c r="K128">
        <v>50</v>
      </c>
      <c r="L128" t="s">
        <v>1610</v>
      </c>
      <c r="M128" t="s">
        <v>1610</v>
      </c>
      <c r="N128" t="s">
        <v>1355</v>
      </c>
      <c r="O128" t="s">
        <v>1359</v>
      </c>
      <c r="P128">
        <v>2</v>
      </c>
      <c r="Q128">
        <v>2</v>
      </c>
      <c r="R128">
        <v>0</v>
      </c>
      <c r="S128" t="s">
        <v>1355</v>
      </c>
      <c r="T128">
        <v>0</v>
      </c>
      <c r="U128">
        <v>0</v>
      </c>
      <c r="V128">
        <v>0</v>
      </c>
      <c r="W128" t="s">
        <v>1355</v>
      </c>
      <c r="X128" t="s">
        <v>1355</v>
      </c>
      <c r="Y128" t="s">
        <v>1355</v>
      </c>
      <c r="Z128">
        <v>0</v>
      </c>
      <c r="AA128">
        <v>0</v>
      </c>
      <c r="AB128">
        <v>0</v>
      </c>
      <c r="AC128" s="294">
        <v>41836</v>
      </c>
      <c r="AD128" s="294">
        <v>73050</v>
      </c>
      <c r="AE128" s="294">
        <v>41836</v>
      </c>
      <c r="AF128" t="s">
        <v>1367</v>
      </c>
      <c r="AG128">
        <v>0</v>
      </c>
      <c r="AH128" t="s">
        <v>1612</v>
      </c>
      <c r="AI128">
        <v>2</v>
      </c>
      <c r="AJ128">
        <v>2</v>
      </c>
      <c r="AK128">
        <v>0</v>
      </c>
      <c r="AL128">
        <v>2</v>
      </c>
      <c r="AM128" t="s">
        <v>1355</v>
      </c>
      <c r="AN128" t="s">
        <v>1357</v>
      </c>
      <c r="AO128">
        <v>19.296659999999999</v>
      </c>
      <c r="AP128">
        <v>3</v>
      </c>
      <c r="AQ128">
        <v>0</v>
      </c>
      <c r="AR128">
        <v>19.297260000000001</v>
      </c>
      <c r="AS128">
        <v>19.296659999999999</v>
      </c>
      <c r="AT128">
        <v>1</v>
      </c>
    </row>
    <row r="129" spans="1:46" hidden="1" x14ac:dyDescent="0.2">
      <c r="A129" t="s">
        <v>1613</v>
      </c>
      <c r="B129" t="s">
        <v>1614</v>
      </c>
      <c r="C129" t="s">
        <v>1613</v>
      </c>
      <c r="D129" t="s">
        <v>1355</v>
      </c>
      <c r="E129" t="s">
        <v>1356</v>
      </c>
      <c r="F129" t="s">
        <v>1357</v>
      </c>
      <c r="G129" t="s">
        <v>1355</v>
      </c>
      <c r="H129" t="s">
        <v>1367</v>
      </c>
      <c r="I129" t="s">
        <v>1595</v>
      </c>
      <c r="J129">
        <v>6</v>
      </c>
      <c r="K129">
        <v>60</v>
      </c>
      <c r="L129" t="s">
        <v>1613</v>
      </c>
      <c r="M129" t="s">
        <v>1613</v>
      </c>
      <c r="N129" t="s">
        <v>1355</v>
      </c>
      <c r="O129" t="s">
        <v>1359</v>
      </c>
      <c r="P129">
        <v>1</v>
      </c>
      <c r="Q129">
        <v>1</v>
      </c>
      <c r="R129">
        <v>0</v>
      </c>
      <c r="S129" t="s">
        <v>1355</v>
      </c>
      <c r="T129">
        <v>0</v>
      </c>
      <c r="U129">
        <v>0</v>
      </c>
      <c r="V129">
        <v>0</v>
      </c>
      <c r="W129" t="s">
        <v>1355</v>
      </c>
      <c r="X129" t="s">
        <v>1355</v>
      </c>
      <c r="Y129" t="s">
        <v>1355</v>
      </c>
      <c r="Z129">
        <v>0</v>
      </c>
      <c r="AA129">
        <v>0</v>
      </c>
      <c r="AB129">
        <v>0</v>
      </c>
      <c r="AC129" s="294">
        <v>41836</v>
      </c>
      <c r="AD129" s="294">
        <v>73050</v>
      </c>
      <c r="AE129" s="294">
        <v>41836</v>
      </c>
      <c r="AF129" t="s">
        <v>1367</v>
      </c>
      <c r="AG129">
        <v>0</v>
      </c>
      <c r="AH129" t="s">
        <v>1615</v>
      </c>
      <c r="AI129">
        <v>1</v>
      </c>
      <c r="AJ129">
        <v>1</v>
      </c>
      <c r="AK129">
        <v>0</v>
      </c>
      <c r="AL129">
        <v>1</v>
      </c>
      <c r="AM129" t="s">
        <v>1355</v>
      </c>
      <c r="AN129" t="s">
        <v>1357</v>
      </c>
      <c r="AO129">
        <v>65.83</v>
      </c>
      <c r="AP129">
        <v>3</v>
      </c>
      <c r="AQ129">
        <v>0</v>
      </c>
      <c r="AR129">
        <v>65.830340000000007</v>
      </c>
      <c r="AS129">
        <v>65.83</v>
      </c>
      <c r="AT129">
        <v>1</v>
      </c>
    </row>
    <row r="130" spans="1:46" hidden="1" x14ac:dyDescent="0.2">
      <c r="A130" t="s">
        <v>1616</v>
      </c>
      <c r="B130" t="s">
        <v>1617</v>
      </c>
      <c r="C130" t="s">
        <v>1616</v>
      </c>
      <c r="D130" t="s">
        <v>1355</v>
      </c>
      <c r="E130" t="s">
        <v>1356</v>
      </c>
      <c r="F130" t="s">
        <v>1357</v>
      </c>
      <c r="G130" t="s">
        <v>1355</v>
      </c>
      <c r="H130" t="s">
        <v>1367</v>
      </c>
      <c r="I130" t="s">
        <v>1595</v>
      </c>
      <c r="J130">
        <v>7</v>
      </c>
      <c r="K130">
        <v>70</v>
      </c>
      <c r="L130" t="s">
        <v>1616</v>
      </c>
      <c r="M130" t="s">
        <v>1616</v>
      </c>
      <c r="N130" t="s">
        <v>1355</v>
      </c>
      <c r="O130" t="s">
        <v>1359</v>
      </c>
      <c r="P130">
        <v>1</v>
      </c>
      <c r="Q130">
        <v>1</v>
      </c>
      <c r="R130">
        <v>0</v>
      </c>
      <c r="S130" t="s">
        <v>1355</v>
      </c>
      <c r="T130">
        <v>0</v>
      </c>
      <c r="U130">
        <v>0</v>
      </c>
      <c r="V130">
        <v>0</v>
      </c>
      <c r="W130" t="s">
        <v>1355</v>
      </c>
      <c r="X130" t="s">
        <v>1355</v>
      </c>
      <c r="Y130" t="s">
        <v>1355</v>
      </c>
      <c r="Z130">
        <v>0</v>
      </c>
      <c r="AA130">
        <v>0</v>
      </c>
      <c r="AB130">
        <v>0</v>
      </c>
      <c r="AC130" s="294">
        <v>41836</v>
      </c>
      <c r="AD130" s="294">
        <v>73050</v>
      </c>
      <c r="AE130" s="294">
        <v>41836</v>
      </c>
      <c r="AF130" t="s">
        <v>1367</v>
      </c>
      <c r="AG130">
        <v>0</v>
      </c>
      <c r="AH130" t="s">
        <v>1618</v>
      </c>
      <c r="AI130">
        <v>1</v>
      </c>
      <c r="AJ130">
        <v>1</v>
      </c>
      <c r="AK130">
        <v>0</v>
      </c>
      <c r="AL130">
        <v>1</v>
      </c>
      <c r="AM130" t="s">
        <v>1355</v>
      </c>
      <c r="AN130" t="s">
        <v>1357</v>
      </c>
      <c r="AO130">
        <v>5.88</v>
      </c>
      <c r="AP130">
        <v>3</v>
      </c>
      <c r="AQ130">
        <v>0</v>
      </c>
      <c r="AR130">
        <v>5.88</v>
      </c>
      <c r="AS130">
        <v>5.88</v>
      </c>
      <c r="AT130">
        <v>1</v>
      </c>
    </row>
    <row r="131" spans="1:46" hidden="1" x14ac:dyDescent="0.2">
      <c r="A131" t="s">
        <v>1619</v>
      </c>
      <c r="B131" t="s">
        <v>1620</v>
      </c>
      <c r="C131" t="s">
        <v>1619</v>
      </c>
      <c r="D131" t="s">
        <v>1355</v>
      </c>
      <c r="E131" t="s">
        <v>1356</v>
      </c>
      <c r="F131" t="s">
        <v>1357</v>
      </c>
      <c r="G131" t="s">
        <v>1355</v>
      </c>
      <c r="H131" t="s">
        <v>1367</v>
      </c>
      <c r="I131" t="s">
        <v>1595</v>
      </c>
      <c r="J131">
        <v>8</v>
      </c>
      <c r="K131">
        <v>80</v>
      </c>
      <c r="L131" t="s">
        <v>1619</v>
      </c>
      <c r="M131" t="s">
        <v>1619</v>
      </c>
      <c r="N131" t="s">
        <v>1355</v>
      </c>
      <c r="O131" t="s">
        <v>1359</v>
      </c>
      <c r="P131">
        <v>1</v>
      </c>
      <c r="Q131">
        <v>1</v>
      </c>
      <c r="R131">
        <v>0</v>
      </c>
      <c r="S131" t="s">
        <v>1355</v>
      </c>
      <c r="T131">
        <v>0</v>
      </c>
      <c r="U131">
        <v>0</v>
      </c>
      <c r="V131">
        <v>0</v>
      </c>
      <c r="W131" t="s">
        <v>1355</v>
      </c>
      <c r="X131" t="s">
        <v>1355</v>
      </c>
      <c r="Y131" t="s">
        <v>1355</v>
      </c>
      <c r="Z131">
        <v>0</v>
      </c>
      <c r="AA131">
        <v>0</v>
      </c>
      <c r="AB131">
        <v>0</v>
      </c>
      <c r="AC131" s="294">
        <v>41836</v>
      </c>
      <c r="AD131" s="294">
        <v>73050</v>
      </c>
      <c r="AE131" s="294">
        <v>41836</v>
      </c>
      <c r="AF131" t="s">
        <v>1367</v>
      </c>
      <c r="AG131">
        <v>0</v>
      </c>
      <c r="AH131" t="s">
        <v>1621</v>
      </c>
      <c r="AI131">
        <v>1</v>
      </c>
      <c r="AJ131">
        <v>1</v>
      </c>
      <c r="AK131">
        <v>0</v>
      </c>
      <c r="AL131">
        <v>1</v>
      </c>
      <c r="AM131" t="s">
        <v>1355</v>
      </c>
      <c r="AN131" t="s">
        <v>1357</v>
      </c>
      <c r="AO131">
        <v>82.99333</v>
      </c>
      <c r="AP131">
        <v>3</v>
      </c>
      <c r="AQ131">
        <v>0</v>
      </c>
      <c r="AR131">
        <v>83.137879999999996</v>
      </c>
      <c r="AS131">
        <v>82.99333</v>
      </c>
      <c r="AT131">
        <v>1</v>
      </c>
    </row>
    <row r="132" spans="1:46" hidden="1" x14ac:dyDescent="0.2">
      <c r="A132" t="s">
        <v>1622</v>
      </c>
      <c r="B132" t="s">
        <v>1623</v>
      </c>
      <c r="C132" t="s">
        <v>1622</v>
      </c>
      <c r="D132" t="s">
        <v>1355</v>
      </c>
      <c r="E132" t="s">
        <v>1356</v>
      </c>
      <c r="F132" t="s">
        <v>1357</v>
      </c>
      <c r="G132" t="s">
        <v>1355</v>
      </c>
      <c r="H132" t="s">
        <v>1367</v>
      </c>
      <c r="I132" t="s">
        <v>1595</v>
      </c>
      <c r="J132">
        <v>9</v>
      </c>
      <c r="K132">
        <v>90</v>
      </c>
      <c r="L132" t="s">
        <v>1622</v>
      </c>
      <c r="M132" t="s">
        <v>1622</v>
      </c>
      <c r="N132" t="s">
        <v>1355</v>
      </c>
      <c r="O132" t="s">
        <v>1359</v>
      </c>
      <c r="P132">
        <v>1</v>
      </c>
      <c r="Q132">
        <v>1</v>
      </c>
      <c r="R132">
        <v>0</v>
      </c>
      <c r="S132" t="s">
        <v>1355</v>
      </c>
      <c r="T132">
        <v>0</v>
      </c>
      <c r="U132">
        <v>0</v>
      </c>
      <c r="V132">
        <v>0</v>
      </c>
      <c r="W132" t="s">
        <v>1355</v>
      </c>
      <c r="X132" t="s">
        <v>1355</v>
      </c>
      <c r="Y132" t="s">
        <v>1355</v>
      </c>
      <c r="Z132">
        <v>0</v>
      </c>
      <c r="AA132">
        <v>0</v>
      </c>
      <c r="AB132">
        <v>0</v>
      </c>
      <c r="AC132" s="294">
        <v>41836</v>
      </c>
      <c r="AD132" s="294">
        <v>73050</v>
      </c>
      <c r="AE132" s="294">
        <v>41836</v>
      </c>
      <c r="AF132" t="s">
        <v>1367</v>
      </c>
      <c r="AG132">
        <v>0</v>
      </c>
      <c r="AH132" t="s">
        <v>1624</v>
      </c>
      <c r="AI132">
        <v>1</v>
      </c>
      <c r="AJ132">
        <v>1</v>
      </c>
      <c r="AK132">
        <v>0</v>
      </c>
      <c r="AL132">
        <v>1</v>
      </c>
      <c r="AM132" t="s">
        <v>1355</v>
      </c>
      <c r="AN132" t="s">
        <v>1357</v>
      </c>
      <c r="AO132">
        <v>25.54</v>
      </c>
      <c r="AP132">
        <v>3</v>
      </c>
      <c r="AQ132">
        <v>0</v>
      </c>
      <c r="AR132">
        <v>24.985309999999998</v>
      </c>
      <c r="AS132">
        <v>25.54</v>
      </c>
      <c r="AT132">
        <v>1</v>
      </c>
    </row>
    <row r="133" spans="1:46" hidden="1" x14ac:dyDescent="0.2">
      <c r="A133" t="s">
        <v>1625</v>
      </c>
      <c r="B133" t="s">
        <v>1626</v>
      </c>
      <c r="C133" t="s">
        <v>1625</v>
      </c>
      <c r="D133" t="s">
        <v>1355</v>
      </c>
      <c r="E133" t="s">
        <v>1356</v>
      </c>
      <c r="F133" t="s">
        <v>1357</v>
      </c>
      <c r="G133" t="s">
        <v>1355</v>
      </c>
      <c r="H133" t="s">
        <v>1367</v>
      </c>
      <c r="I133" t="s">
        <v>1595</v>
      </c>
      <c r="J133">
        <v>10</v>
      </c>
      <c r="K133">
        <v>100</v>
      </c>
      <c r="L133" t="s">
        <v>1625</v>
      </c>
      <c r="M133" t="s">
        <v>1625</v>
      </c>
      <c r="N133" t="s">
        <v>1355</v>
      </c>
      <c r="O133" t="s">
        <v>1359</v>
      </c>
      <c r="P133">
        <v>1</v>
      </c>
      <c r="Q133">
        <v>1</v>
      </c>
      <c r="R133">
        <v>0</v>
      </c>
      <c r="S133" t="s">
        <v>1355</v>
      </c>
      <c r="T133">
        <v>0</v>
      </c>
      <c r="U133">
        <v>0</v>
      </c>
      <c r="V133">
        <v>0</v>
      </c>
      <c r="W133" t="s">
        <v>1355</v>
      </c>
      <c r="X133" t="s">
        <v>1355</v>
      </c>
      <c r="Y133" t="s">
        <v>1355</v>
      </c>
      <c r="Z133">
        <v>0</v>
      </c>
      <c r="AA133">
        <v>0</v>
      </c>
      <c r="AB133">
        <v>0</v>
      </c>
      <c r="AC133" s="294">
        <v>41836</v>
      </c>
      <c r="AD133" s="294">
        <v>73050</v>
      </c>
      <c r="AE133" s="294">
        <v>41836</v>
      </c>
      <c r="AF133" t="s">
        <v>1367</v>
      </c>
      <c r="AG133">
        <v>0</v>
      </c>
      <c r="AH133" t="s">
        <v>1627</v>
      </c>
      <c r="AI133">
        <v>1</v>
      </c>
      <c r="AJ133">
        <v>1</v>
      </c>
      <c r="AK133">
        <v>0</v>
      </c>
      <c r="AL133">
        <v>1</v>
      </c>
      <c r="AM133" t="s">
        <v>1355</v>
      </c>
      <c r="AN133" t="s">
        <v>1357</v>
      </c>
      <c r="AO133">
        <v>73.83</v>
      </c>
      <c r="AP133">
        <v>3</v>
      </c>
      <c r="AQ133">
        <v>0</v>
      </c>
      <c r="AR133">
        <v>62.305619999999998</v>
      </c>
      <c r="AS133">
        <v>73.83</v>
      </c>
      <c r="AT133">
        <v>1</v>
      </c>
    </row>
    <row r="134" spans="1:46" hidden="1" x14ac:dyDescent="0.2">
      <c r="A134" t="s">
        <v>1628</v>
      </c>
      <c r="B134" t="s">
        <v>1629</v>
      </c>
      <c r="C134" t="s">
        <v>1628</v>
      </c>
      <c r="D134" t="s">
        <v>1355</v>
      </c>
      <c r="E134" t="s">
        <v>1356</v>
      </c>
      <c r="F134" t="s">
        <v>1357</v>
      </c>
      <c r="G134" t="s">
        <v>1355</v>
      </c>
      <c r="H134" t="s">
        <v>1367</v>
      </c>
      <c r="I134" t="s">
        <v>1595</v>
      </c>
      <c r="J134">
        <v>11</v>
      </c>
      <c r="K134">
        <v>110</v>
      </c>
      <c r="L134" t="s">
        <v>1628</v>
      </c>
      <c r="M134" t="s">
        <v>1628</v>
      </c>
      <c r="N134" t="s">
        <v>1355</v>
      </c>
      <c r="O134" t="s">
        <v>1359</v>
      </c>
      <c r="P134">
        <v>1</v>
      </c>
      <c r="Q134">
        <v>1</v>
      </c>
      <c r="R134">
        <v>0</v>
      </c>
      <c r="S134" t="s">
        <v>1355</v>
      </c>
      <c r="T134">
        <v>0</v>
      </c>
      <c r="U134">
        <v>0</v>
      </c>
      <c r="V134">
        <v>0</v>
      </c>
      <c r="W134" t="s">
        <v>1355</v>
      </c>
      <c r="X134" t="s">
        <v>1355</v>
      </c>
      <c r="Y134" t="s">
        <v>1355</v>
      </c>
      <c r="Z134">
        <v>0</v>
      </c>
      <c r="AA134">
        <v>0</v>
      </c>
      <c r="AB134">
        <v>0</v>
      </c>
      <c r="AC134" s="294">
        <v>41836</v>
      </c>
      <c r="AD134" s="294">
        <v>73050</v>
      </c>
      <c r="AE134" s="294">
        <v>41836</v>
      </c>
      <c r="AF134" t="s">
        <v>1367</v>
      </c>
      <c r="AG134">
        <v>0</v>
      </c>
      <c r="AH134" t="s">
        <v>1630</v>
      </c>
      <c r="AI134">
        <v>1</v>
      </c>
      <c r="AJ134">
        <v>1</v>
      </c>
      <c r="AK134">
        <v>0</v>
      </c>
      <c r="AL134">
        <v>1</v>
      </c>
      <c r="AM134" t="s">
        <v>1355</v>
      </c>
      <c r="AN134" t="s">
        <v>1357</v>
      </c>
      <c r="AO134">
        <v>20.58</v>
      </c>
      <c r="AP134">
        <v>3</v>
      </c>
      <c r="AQ134">
        <v>0</v>
      </c>
      <c r="AR134">
        <v>16.348769999999998</v>
      </c>
      <c r="AS134">
        <v>20.58</v>
      </c>
      <c r="AT134">
        <v>1</v>
      </c>
    </row>
    <row r="135" spans="1:46" hidden="1" x14ac:dyDescent="0.2">
      <c r="A135" t="s">
        <v>1631</v>
      </c>
      <c r="B135" t="s">
        <v>1632</v>
      </c>
      <c r="C135" t="s">
        <v>1631</v>
      </c>
      <c r="D135" t="s">
        <v>1355</v>
      </c>
      <c r="E135" t="s">
        <v>1356</v>
      </c>
      <c r="F135" t="s">
        <v>1357</v>
      </c>
      <c r="G135" t="s">
        <v>1355</v>
      </c>
      <c r="H135" t="s">
        <v>1358</v>
      </c>
      <c r="I135" t="s">
        <v>1280</v>
      </c>
      <c r="J135">
        <v>2</v>
      </c>
      <c r="K135">
        <v>20</v>
      </c>
      <c r="L135" t="s">
        <v>1631</v>
      </c>
      <c r="M135" t="s">
        <v>1631</v>
      </c>
      <c r="N135" t="s">
        <v>1355</v>
      </c>
      <c r="O135" t="s">
        <v>1359</v>
      </c>
      <c r="P135">
        <v>1</v>
      </c>
      <c r="Q135">
        <v>1</v>
      </c>
      <c r="R135">
        <v>0</v>
      </c>
      <c r="S135" t="s">
        <v>1355</v>
      </c>
      <c r="T135">
        <v>0</v>
      </c>
      <c r="U135">
        <v>0</v>
      </c>
      <c r="V135">
        <v>0</v>
      </c>
      <c r="W135" t="s">
        <v>1355</v>
      </c>
      <c r="X135" t="s">
        <v>1355</v>
      </c>
      <c r="Y135" t="s">
        <v>1355</v>
      </c>
      <c r="Z135">
        <v>0</v>
      </c>
      <c r="AA135">
        <v>0</v>
      </c>
      <c r="AB135">
        <v>0</v>
      </c>
      <c r="AC135" s="294">
        <v>41841</v>
      </c>
      <c r="AD135" s="294">
        <v>73050</v>
      </c>
      <c r="AE135" s="294">
        <v>41841</v>
      </c>
      <c r="AF135" t="s">
        <v>1358</v>
      </c>
      <c r="AG135">
        <v>0</v>
      </c>
      <c r="AH135" t="s">
        <v>1633</v>
      </c>
      <c r="AI135">
        <v>1</v>
      </c>
      <c r="AJ135">
        <v>1</v>
      </c>
      <c r="AK135">
        <v>0</v>
      </c>
      <c r="AL135">
        <v>1</v>
      </c>
      <c r="AM135" t="s">
        <v>1362</v>
      </c>
      <c r="AN135" t="s">
        <v>1357</v>
      </c>
      <c r="AO135">
        <v>456.94900000000001</v>
      </c>
      <c r="AP135">
        <v>2</v>
      </c>
      <c r="AQ135">
        <v>0</v>
      </c>
      <c r="AR135">
        <v>457.13198999999997</v>
      </c>
      <c r="AS135">
        <v>456.94900000000001</v>
      </c>
      <c r="AT135">
        <v>1</v>
      </c>
    </row>
    <row r="136" spans="1:46" hidden="1" x14ac:dyDescent="0.2">
      <c r="A136" t="s">
        <v>1634</v>
      </c>
      <c r="B136" t="s">
        <v>1635</v>
      </c>
      <c r="C136" t="s">
        <v>1634</v>
      </c>
      <c r="D136" t="s">
        <v>1355</v>
      </c>
      <c r="E136" t="s">
        <v>1356</v>
      </c>
      <c r="F136" t="s">
        <v>1357</v>
      </c>
      <c r="G136" t="s">
        <v>1355</v>
      </c>
      <c r="H136" t="s">
        <v>1367</v>
      </c>
      <c r="I136" t="s">
        <v>1631</v>
      </c>
      <c r="J136">
        <v>1</v>
      </c>
      <c r="K136">
        <v>10</v>
      </c>
      <c r="L136" t="s">
        <v>1634</v>
      </c>
      <c r="M136" t="s">
        <v>1634</v>
      </c>
      <c r="N136" t="s">
        <v>1355</v>
      </c>
      <c r="O136" t="s">
        <v>1359</v>
      </c>
      <c r="P136">
        <v>2</v>
      </c>
      <c r="Q136">
        <v>2</v>
      </c>
      <c r="R136">
        <v>0</v>
      </c>
      <c r="S136" t="s">
        <v>1355</v>
      </c>
      <c r="T136">
        <v>0</v>
      </c>
      <c r="U136">
        <v>0</v>
      </c>
      <c r="V136">
        <v>0</v>
      </c>
      <c r="W136" t="s">
        <v>1355</v>
      </c>
      <c r="X136" t="s">
        <v>1355</v>
      </c>
      <c r="Y136" t="s">
        <v>1355</v>
      </c>
      <c r="Z136">
        <v>0</v>
      </c>
      <c r="AA136">
        <v>0</v>
      </c>
      <c r="AB136">
        <v>0</v>
      </c>
      <c r="AC136" s="294">
        <v>41836</v>
      </c>
      <c r="AD136" s="294">
        <v>73050</v>
      </c>
      <c r="AE136" s="294">
        <v>41836</v>
      </c>
      <c r="AF136" t="s">
        <v>1367</v>
      </c>
      <c r="AG136">
        <v>0</v>
      </c>
      <c r="AH136" t="s">
        <v>1636</v>
      </c>
      <c r="AI136">
        <v>2</v>
      </c>
      <c r="AJ136">
        <v>2</v>
      </c>
      <c r="AK136">
        <v>0</v>
      </c>
      <c r="AL136">
        <v>2</v>
      </c>
      <c r="AM136" t="s">
        <v>1355</v>
      </c>
      <c r="AN136" t="s">
        <v>1357</v>
      </c>
      <c r="AO136">
        <v>36.590000000000003</v>
      </c>
      <c r="AP136">
        <v>3</v>
      </c>
      <c r="AQ136">
        <v>0</v>
      </c>
      <c r="AR136">
        <v>36.148580000000003</v>
      </c>
      <c r="AS136">
        <v>36.590000000000003</v>
      </c>
      <c r="AT136">
        <v>1</v>
      </c>
    </row>
    <row r="137" spans="1:46" hidden="1" x14ac:dyDescent="0.2">
      <c r="A137" t="s">
        <v>1637</v>
      </c>
      <c r="B137" t="s">
        <v>1638</v>
      </c>
      <c r="C137" t="s">
        <v>1637</v>
      </c>
      <c r="D137" t="s">
        <v>1355</v>
      </c>
      <c r="E137" t="s">
        <v>1356</v>
      </c>
      <c r="F137" t="s">
        <v>1357</v>
      </c>
      <c r="G137" t="s">
        <v>1355</v>
      </c>
      <c r="H137" t="s">
        <v>1367</v>
      </c>
      <c r="I137" t="s">
        <v>1631</v>
      </c>
      <c r="J137">
        <v>2</v>
      </c>
      <c r="K137">
        <v>20</v>
      </c>
      <c r="L137" t="s">
        <v>1637</v>
      </c>
      <c r="M137" t="s">
        <v>1637</v>
      </c>
      <c r="N137" t="s">
        <v>1355</v>
      </c>
      <c r="O137" t="s">
        <v>1359</v>
      </c>
      <c r="P137">
        <v>1</v>
      </c>
      <c r="Q137">
        <v>1</v>
      </c>
      <c r="R137">
        <v>0</v>
      </c>
      <c r="S137" t="s">
        <v>1355</v>
      </c>
      <c r="T137">
        <v>0</v>
      </c>
      <c r="U137">
        <v>0</v>
      </c>
      <c r="V137">
        <v>0</v>
      </c>
      <c r="W137" t="s">
        <v>1355</v>
      </c>
      <c r="X137" t="s">
        <v>1355</v>
      </c>
      <c r="Y137" t="s">
        <v>1355</v>
      </c>
      <c r="Z137">
        <v>0</v>
      </c>
      <c r="AA137">
        <v>0</v>
      </c>
      <c r="AB137">
        <v>0</v>
      </c>
      <c r="AC137" s="294">
        <v>41836</v>
      </c>
      <c r="AD137" s="294">
        <v>73050</v>
      </c>
      <c r="AE137" s="294">
        <v>41836</v>
      </c>
      <c r="AF137" t="s">
        <v>1367</v>
      </c>
      <c r="AG137">
        <v>0</v>
      </c>
      <c r="AH137" t="s">
        <v>1639</v>
      </c>
      <c r="AI137">
        <v>1</v>
      </c>
      <c r="AJ137">
        <v>1</v>
      </c>
      <c r="AK137">
        <v>0</v>
      </c>
      <c r="AL137">
        <v>1</v>
      </c>
      <c r="AM137" t="s">
        <v>1355</v>
      </c>
      <c r="AN137" t="s">
        <v>1357</v>
      </c>
      <c r="AO137">
        <v>63.4</v>
      </c>
      <c r="AP137">
        <v>3</v>
      </c>
      <c r="AQ137">
        <v>0</v>
      </c>
      <c r="AR137">
        <v>63.4</v>
      </c>
      <c r="AS137">
        <v>63.4</v>
      </c>
      <c r="AT137">
        <v>1</v>
      </c>
    </row>
    <row r="138" spans="1:46" hidden="1" x14ac:dyDescent="0.2">
      <c r="A138" t="s">
        <v>1640</v>
      </c>
      <c r="B138" t="s">
        <v>1641</v>
      </c>
      <c r="C138" t="s">
        <v>1640</v>
      </c>
      <c r="D138" t="s">
        <v>1355</v>
      </c>
      <c r="E138" t="s">
        <v>1356</v>
      </c>
      <c r="F138" t="s">
        <v>1357</v>
      </c>
      <c r="G138" t="s">
        <v>1355</v>
      </c>
      <c r="H138" t="s">
        <v>1367</v>
      </c>
      <c r="I138" t="s">
        <v>1631</v>
      </c>
      <c r="J138">
        <v>3</v>
      </c>
      <c r="K138">
        <v>30</v>
      </c>
      <c r="L138" t="s">
        <v>1640</v>
      </c>
      <c r="M138" t="s">
        <v>1640</v>
      </c>
      <c r="N138" t="s">
        <v>1355</v>
      </c>
      <c r="O138" t="s">
        <v>1359</v>
      </c>
      <c r="P138">
        <v>3</v>
      </c>
      <c r="Q138">
        <v>3</v>
      </c>
      <c r="R138">
        <v>0</v>
      </c>
      <c r="S138" t="s">
        <v>1355</v>
      </c>
      <c r="T138">
        <v>0</v>
      </c>
      <c r="U138">
        <v>0</v>
      </c>
      <c r="V138">
        <v>0</v>
      </c>
      <c r="W138" t="s">
        <v>1355</v>
      </c>
      <c r="X138" t="s">
        <v>1355</v>
      </c>
      <c r="Y138" t="s">
        <v>1355</v>
      </c>
      <c r="Z138">
        <v>0</v>
      </c>
      <c r="AA138">
        <v>0</v>
      </c>
      <c r="AB138">
        <v>0</v>
      </c>
      <c r="AC138" s="294">
        <v>41836</v>
      </c>
      <c r="AD138" s="294">
        <v>73050</v>
      </c>
      <c r="AE138" s="294">
        <v>41836</v>
      </c>
      <c r="AF138" t="s">
        <v>1367</v>
      </c>
      <c r="AG138">
        <v>0</v>
      </c>
      <c r="AH138" t="s">
        <v>1642</v>
      </c>
      <c r="AI138">
        <v>3</v>
      </c>
      <c r="AJ138">
        <v>3</v>
      </c>
      <c r="AK138">
        <v>0</v>
      </c>
      <c r="AL138">
        <v>3</v>
      </c>
      <c r="AM138" t="s">
        <v>1355</v>
      </c>
      <c r="AN138" t="s">
        <v>1357</v>
      </c>
      <c r="AO138">
        <v>14.882999999999999</v>
      </c>
      <c r="AP138">
        <v>3</v>
      </c>
      <c r="AQ138">
        <v>0</v>
      </c>
      <c r="AR138">
        <v>14.882999999999999</v>
      </c>
      <c r="AS138">
        <v>14.882999999999999</v>
      </c>
      <c r="AT138">
        <v>1</v>
      </c>
    </row>
    <row r="139" spans="1:46" hidden="1" x14ac:dyDescent="0.2">
      <c r="A139" t="s">
        <v>1643</v>
      </c>
      <c r="B139" t="s">
        <v>1644</v>
      </c>
      <c r="C139" t="s">
        <v>1643</v>
      </c>
      <c r="D139" t="s">
        <v>1355</v>
      </c>
      <c r="E139" t="s">
        <v>1356</v>
      </c>
      <c r="F139" t="s">
        <v>1357</v>
      </c>
      <c r="G139" t="s">
        <v>1355</v>
      </c>
      <c r="H139" t="s">
        <v>1367</v>
      </c>
      <c r="I139" t="s">
        <v>1631</v>
      </c>
      <c r="J139">
        <v>4</v>
      </c>
      <c r="K139">
        <v>40</v>
      </c>
      <c r="L139" t="s">
        <v>1643</v>
      </c>
      <c r="M139" t="s">
        <v>1643</v>
      </c>
      <c r="N139" t="s">
        <v>1355</v>
      </c>
      <c r="O139" t="s">
        <v>1359</v>
      </c>
      <c r="P139">
        <v>1</v>
      </c>
      <c r="Q139">
        <v>1</v>
      </c>
      <c r="R139">
        <v>0</v>
      </c>
      <c r="S139" t="s">
        <v>1355</v>
      </c>
      <c r="T139">
        <v>0</v>
      </c>
      <c r="U139">
        <v>0</v>
      </c>
      <c r="V139">
        <v>0</v>
      </c>
      <c r="W139" t="s">
        <v>1355</v>
      </c>
      <c r="X139" t="s">
        <v>1355</v>
      </c>
      <c r="Y139" t="s">
        <v>1355</v>
      </c>
      <c r="Z139">
        <v>0</v>
      </c>
      <c r="AA139">
        <v>0</v>
      </c>
      <c r="AB139">
        <v>0</v>
      </c>
      <c r="AC139" s="294">
        <v>41836</v>
      </c>
      <c r="AD139" s="294">
        <v>73050</v>
      </c>
      <c r="AE139" s="294">
        <v>41836</v>
      </c>
      <c r="AF139" t="s">
        <v>1367</v>
      </c>
      <c r="AG139">
        <v>0</v>
      </c>
      <c r="AH139" t="s">
        <v>1645</v>
      </c>
      <c r="AI139">
        <v>1</v>
      </c>
      <c r="AJ139">
        <v>1</v>
      </c>
      <c r="AK139">
        <v>0</v>
      </c>
      <c r="AL139">
        <v>1</v>
      </c>
      <c r="AM139" t="s">
        <v>1355</v>
      </c>
      <c r="AN139" t="s">
        <v>1357</v>
      </c>
      <c r="AO139">
        <v>53.665999999999997</v>
      </c>
      <c r="AP139">
        <v>3</v>
      </c>
      <c r="AQ139">
        <v>0</v>
      </c>
      <c r="AR139">
        <v>53.665999999999997</v>
      </c>
      <c r="AS139">
        <v>53.665999999999997</v>
      </c>
      <c r="AT139">
        <v>1</v>
      </c>
    </row>
    <row r="140" spans="1:46" hidden="1" x14ac:dyDescent="0.2">
      <c r="A140" t="s">
        <v>1646</v>
      </c>
      <c r="B140" t="s">
        <v>1647</v>
      </c>
      <c r="C140" t="s">
        <v>1646</v>
      </c>
      <c r="D140" t="s">
        <v>1355</v>
      </c>
      <c r="E140" t="s">
        <v>1356</v>
      </c>
      <c r="F140" t="s">
        <v>1357</v>
      </c>
      <c r="G140" t="s">
        <v>1355</v>
      </c>
      <c r="H140" t="s">
        <v>1367</v>
      </c>
      <c r="I140" t="s">
        <v>1631</v>
      </c>
      <c r="J140">
        <v>5</v>
      </c>
      <c r="K140">
        <v>50</v>
      </c>
      <c r="L140" t="s">
        <v>1646</v>
      </c>
      <c r="M140" t="s">
        <v>1646</v>
      </c>
      <c r="N140" t="s">
        <v>1355</v>
      </c>
      <c r="O140" t="s">
        <v>1359</v>
      </c>
      <c r="P140">
        <v>1</v>
      </c>
      <c r="Q140">
        <v>1</v>
      </c>
      <c r="R140">
        <v>0</v>
      </c>
      <c r="S140" t="s">
        <v>1355</v>
      </c>
      <c r="T140">
        <v>0</v>
      </c>
      <c r="U140">
        <v>0</v>
      </c>
      <c r="V140">
        <v>0</v>
      </c>
      <c r="W140" t="s">
        <v>1355</v>
      </c>
      <c r="X140" t="s">
        <v>1355</v>
      </c>
      <c r="Y140" t="s">
        <v>1355</v>
      </c>
      <c r="Z140">
        <v>0</v>
      </c>
      <c r="AA140">
        <v>0</v>
      </c>
      <c r="AB140">
        <v>0</v>
      </c>
      <c r="AC140" s="294">
        <v>41836</v>
      </c>
      <c r="AD140" s="294">
        <v>73050</v>
      </c>
      <c r="AE140" s="294">
        <v>41836</v>
      </c>
      <c r="AF140" t="s">
        <v>1367</v>
      </c>
      <c r="AG140">
        <v>0</v>
      </c>
      <c r="AH140" t="s">
        <v>1648</v>
      </c>
      <c r="AI140">
        <v>1</v>
      </c>
      <c r="AJ140">
        <v>1</v>
      </c>
      <c r="AK140">
        <v>0</v>
      </c>
      <c r="AL140">
        <v>1</v>
      </c>
      <c r="AM140" t="s">
        <v>1355</v>
      </c>
      <c r="AN140" t="s">
        <v>1357</v>
      </c>
      <c r="AO140">
        <v>11.87</v>
      </c>
      <c r="AP140">
        <v>3</v>
      </c>
      <c r="AQ140">
        <v>0</v>
      </c>
      <c r="AR140">
        <v>12.785209999999999</v>
      </c>
      <c r="AS140">
        <v>11.87</v>
      </c>
      <c r="AT140">
        <v>1</v>
      </c>
    </row>
    <row r="141" spans="1:46" hidden="1" x14ac:dyDescent="0.2">
      <c r="A141" t="s">
        <v>1649</v>
      </c>
      <c r="B141" t="s">
        <v>1650</v>
      </c>
      <c r="C141" t="s">
        <v>1649</v>
      </c>
      <c r="D141" t="s">
        <v>1355</v>
      </c>
      <c r="E141" t="s">
        <v>1356</v>
      </c>
      <c r="F141" t="s">
        <v>1357</v>
      </c>
      <c r="G141" t="s">
        <v>1355</v>
      </c>
      <c r="H141" t="s">
        <v>1367</v>
      </c>
      <c r="I141" t="s">
        <v>1631</v>
      </c>
      <c r="J141">
        <v>6</v>
      </c>
      <c r="K141">
        <v>60</v>
      </c>
      <c r="L141" t="s">
        <v>1649</v>
      </c>
      <c r="M141" t="s">
        <v>1649</v>
      </c>
      <c r="N141" t="s">
        <v>1355</v>
      </c>
      <c r="O141" t="s">
        <v>1359</v>
      </c>
      <c r="P141">
        <v>1</v>
      </c>
      <c r="Q141">
        <v>1</v>
      </c>
      <c r="R141">
        <v>0</v>
      </c>
      <c r="S141" t="s">
        <v>1355</v>
      </c>
      <c r="T141">
        <v>0</v>
      </c>
      <c r="U141">
        <v>0</v>
      </c>
      <c r="V141">
        <v>0</v>
      </c>
      <c r="W141" t="s">
        <v>1355</v>
      </c>
      <c r="X141" t="s">
        <v>1355</v>
      </c>
      <c r="Y141" t="s">
        <v>1355</v>
      </c>
      <c r="Z141">
        <v>0</v>
      </c>
      <c r="AA141">
        <v>0</v>
      </c>
      <c r="AB141">
        <v>0</v>
      </c>
      <c r="AC141" s="294">
        <v>41836</v>
      </c>
      <c r="AD141" s="294">
        <v>73050</v>
      </c>
      <c r="AE141" s="294">
        <v>41836</v>
      </c>
      <c r="AF141" t="s">
        <v>1367</v>
      </c>
      <c r="AG141">
        <v>0</v>
      </c>
      <c r="AH141" t="s">
        <v>1651</v>
      </c>
      <c r="AI141">
        <v>1</v>
      </c>
      <c r="AJ141">
        <v>1</v>
      </c>
      <c r="AK141">
        <v>0</v>
      </c>
      <c r="AL141">
        <v>1</v>
      </c>
      <c r="AM141" t="s">
        <v>1355</v>
      </c>
      <c r="AN141" t="s">
        <v>1357</v>
      </c>
      <c r="AO141">
        <v>28.796669999999999</v>
      </c>
      <c r="AP141">
        <v>3</v>
      </c>
      <c r="AQ141">
        <v>0</v>
      </c>
      <c r="AR141">
        <v>28.506070000000001</v>
      </c>
      <c r="AS141">
        <v>28.796669999999999</v>
      </c>
      <c r="AT141">
        <v>1</v>
      </c>
    </row>
    <row r="142" spans="1:46" hidden="1" x14ac:dyDescent="0.2">
      <c r="A142" t="s">
        <v>1652</v>
      </c>
      <c r="B142" t="s">
        <v>1653</v>
      </c>
      <c r="C142" t="s">
        <v>1652</v>
      </c>
      <c r="D142" t="s">
        <v>1355</v>
      </c>
      <c r="E142" t="s">
        <v>1356</v>
      </c>
      <c r="F142" t="s">
        <v>1357</v>
      </c>
      <c r="G142" t="s">
        <v>1355</v>
      </c>
      <c r="H142" t="s">
        <v>1367</v>
      </c>
      <c r="I142" t="s">
        <v>1631</v>
      </c>
      <c r="J142">
        <v>7</v>
      </c>
      <c r="K142">
        <v>70</v>
      </c>
      <c r="L142" t="s">
        <v>1652</v>
      </c>
      <c r="M142" t="s">
        <v>1652</v>
      </c>
      <c r="N142" t="s">
        <v>1355</v>
      </c>
      <c r="O142" t="s">
        <v>1359</v>
      </c>
      <c r="P142">
        <v>1</v>
      </c>
      <c r="Q142">
        <v>1</v>
      </c>
      <c r="R142">
        <v>0</v>
      </c>
      <c r="S142" t="s">
        <v>1355</v>
      </c>
      <c r="T142">
        <v>0</v>
      </c>
      <c r="U142">
        <v>0</v>
      </c>
      <c r="V142">
        <v>0</v>
      </c>
      <c r="W142" t="s">
        <v>1355</v>
      </c>
      <c r="X142" t="s">
        <v>1355</v>
      </c>
      <c r="Y142" t="s">
        <v>1355</v>
      </c>
      <c r="Z142">
        <v>0</v>
      </c>
      <c r="AA142">
        <v>0</v>
      </c>
      <c r="AB142">
        <v>0</v>
      </c>
      <c r="AC142" s="294">
        <v>41836</v>
      </c>
      <c r="AD142" s="294">
        <v>73050</v>
      </c>
      <c r="AE142" s="294">
        <v>41836</v>
      </c>
      <c r="AF142" t="s">
        <v>1367</v>
      </c>
      <c r="AG142">
        <v>0</v>
      </c>
      <c r="AH142" t="s">
        <v>1654</v>
      </c>
      <c r="AI142">
        <v>1</v>
      </c>
      <c r="AJ142">
        <v>1</v>
      </c>
      <c r="AK142">
        <v>0</v>
      </c>
      <c r="AL142">
        <v>1</v>
      </c>
      <c r="AM142" t="s">
        <v>1355</v>
      </c>
      <c r="AN142" t="s">
        <v>1357</v>
      </c>
      <c r="AO142">
        <v>156.25</v>
      </c>
      <c r="AP142">
        <v>3</v>
      </c>
      <c r="AQ142">
        <v>0</v>
      </c>
      <c r="AR142">
        <v>156.25</v>
      </c>
      <c r="AS142">
        <v>156.25</v>
      </c>
      <c r="AT142">
        <v>1</v>
      </c>
    </row>
    <row r="143" spans="1:46" hidden="1" x14ac:dyDescent="0.2">
      <c r="A143" t="s">
        <v>1655</v>
      </c>
      <c r="B143" t="s">
        <v>1656</v>
      </c>
      <c r="C143" t="s">
        <v>1655</v>
      </c>
      <c r="D143" t="s">
        <v>1355</v>
      </c>
      <c r="E143" t="s">
        <v>1356</v>
      </c>
      <c r="F143" t="s">
        <v>1357</v>
      </c>
      <c r="G143" t="s">
        <v>1355</v>
      </c>
      <c r="H143" t="s">
        <v>1367</v>
      </c>
      <c r="I143" t="s">
        <v>1631</v>
      </c>
      <c r="J143">
        <v>8</v>
      </c>
      <c r="K143">
        <v>80</v>
      </c>
      <c r="L143" t="s">
        <v>1655</v>
      </c>
      <c r="M143" t="s">
        <v>1655</v>
      </c>
      <c r="N143" t="s">
        <v>1355</v>
      </c>
      <c r="O143" t="s">
        <v>1359</v>
      </c>
      <c r="P143">
        <v>1</v>
      </c>
      <c r="Q143">
        <v>1</v>
      </c>
      <c r="R143">
        <v>0</v>
      </c>
      <c r="S143" t="s">
        <v>1355</v>
      </c>
      <c r="T143">
        <v>0</v>
      </c>
      <c r="U143">
        <v>0</v>
      </c>
      <c r="V143">
        <v>0</v>
      </c>
      <c r="W143" t="s">
        <v>1355</v>
      </c>
      <c r="X143" t="s">
        <v>1355</v>
      </c>
      <c r="Y143" t="s">
        <v>1355</v>
      </c>
      <c r="Z143">
        <v>0</v>
      </c>
      <c r="AA143">
        <v>0</v>
      </c>
      <c r="AB143">
        <v>0</v>
      </c>
      <c r="AC143" s="294">
        <v>41836</v>
      </c>
      <c r="AD143" s="294">
        <v>73050</v>
      </c>
      <c r="AE143" s="294">
        <v>41836</v>
      </c>
      <c r="AF143" t="s">
        <v>1367</v>
      </c>
      <c r="AG143">
        <v>0</v>
      </c>
      <c r="AH143" t="s">
        <v>1657</v>
      </c>
      <c r="AI143">
        <v>1</v>
      </c>
      <c r="AJ143">
        <v>1</v>
      </c>
      <c r="AK143">
        <v>0</v>
      </c>
      <c r="AL143">
        <v>1</v>
      </c>
      <c r="AM143" t="s">
        <v>1355</v>
      </c>
      <c r="AN143" t="s">
        <v>1357</v>
      </c>
      <c r="AO143">
        <v>1.94333</v>
      </c>
      <c r="AP143">
        <v>3</v>
      </c>
      <c r="AQ143">
        <v>0</v>
      </c>
      <c r="AR143">
        <v>1.94313</v>
      </c>
      <c r="AS143">
        <v>1.94333</v>
      </c>
      <c r="AT143">
        <v>1</v>
      </c>
    </row>
    <row r="144" spans="1:46" hidden="1" x14ac:dyDescent="0.2">
      <c r="A144" t="s">
        <v>1658</v>
      </c>
      <c r="B144" t="s">
        <v>1659</v>
      </c>
      <c r="C144" t="s">
        <v>1658</v>
      </c>
      <c r="D144" t="s">
        <v>1355</v>
      </c>
      <c r="E144" t="s">
        <v>1356</v>
      </c>
      <c r="F144" t="s">
        <v>1357</v>
      </c>
      <c r="G144" t="s">
        <v>1355</v>
      </c>
      <c r="H144" t="s">
        <v>1367</v>
      </c>
      <c r="I144" t="s">
        <v>1631</v>
      </c>
      <c r="J144">
        <v>9</v>
      </c>
      <c r="K144">
        <v>90</v>
      </c>
      <c r="L144" t="s">
        <v>1658</v>
      </c>
      <c r="M144" t="s">
        <v>1658</v>
      </c>
      <c r="N144" t="s">
        <v>1355</v>
      </c>
      <c r="O144" t="s">
        <v>1359</v>
      </c>
      <c r="P144">
        <v>1</v>
      </c>
      <c r="Q144">
        <v>1</v>
      </c>
      <c r="R144">
        <v>0</v>
      </c>
      <c r="S144" t="s">
        <v>1355</v>
      </c>
      <c r="T144">
        <v>0</v>
      </c>
      <c r="U144">
        <v>0</v>
      </c>
      <c r="V144">
        <v>0</v>
      </c>
      <c r="W144" t="s">
        <v>1355</v>
      </c>
      <c r="X144" t="s">
        <v>1355</v>
      </c>
      <c r="Y144" t="s">
        <v>1355</v>
      </c>
      <c r="Z144">
        <v>0</v>
      </c>
      <c r="AA144">
        <v>0</v>
      </c>
      <c r="AB144">
        <v>0</v>
      </c>
      <c r="AC144" s="294">
        <v>41836</v>
      </c>
      <c r="AD144" s="294">
        <v>73050</v>
      </c>
      <c r="AE144" s="294">
        <v>41836</v>
      </c>
      <c r="AF144" t="s">
        <v>1367</v>
      </c>
      <c r="AG144">
        <v>0</v>
      </c>
      <c r="AH144" t="s">
        <v>1660</v>
      </c>
      <c r="AI144">
        <v>1</v>
      </c>
      <c r="AJ144">
        <v>1</v>
      </c>
      <c r="AK144">
        <v>0</v>
      </c>
      <c r="AL144">
        <v>1</v>
      </c>
      <c r="AM144" t="s">
        <v>1355</v>
      </c>
      <c r="AN144" t="s">
        <v>1357</v>
      </c>
      <c r="AO144">
        <v>89.55</v>
      </c>
      <c r="AP144">
        <v>3</v>
      </c>
      <c r="AQ144">
        <v>0</v>
      </c>
      <c r="AR144">
        <v>89.55</v>
      </c>
      <c r="AS144">
        <v>89.55</v>
      </c>
      <c r="AT144">
        <v>1</v>
      </c>
    </row>
    <row r="145" spans="1:46" hidden="1" x14ac:dyDescent="0.2">
      <c r="A145" t="s">
        <v>1661</v>
      </c>
      <c r="B145" t="s">
        <v>1662</v>
      </c>
      <c r="C145" t="s">
        <v>1661</v>
      </c>
      <c r="D145" t="s">
        <v>1355</v>
      </c>
      <c r="E145" t="s">
        <v>1356</v>
      </c>
      <c r="F145" t="s">
        <v>1357</v>
      </c>
      <c r="G145" t="s">
        <v>1355</v>
      </c>
      <c r="H145" t="s">
        <v>1358</v>
      </c>
      <c r="I145" t="s">
        <v>1280</v>
      </c>
      <c r="J145">
        <v>3</v>
      </c>
      <c r="K145">
        <v>30</v>
      </c>
      <c r="L145" t="s">
        <v>1661</v>
      </c>
      <c r="M145" t="s">
        <v>1661</v>
      </c>
      <c r="N145" t="s">
        <v>1355</v>
      </c>
      <c r="O145" t="s">
        <v>1359</v>
      </c>
      <c r="P145">
        <v>1</v>
      </c>
      <c r="Q145">
        <v>1</v>
      </c>
      <c r="R145">
        <v>0</v>
      </c>
      <c r="S145" t="s">
        <v>1355</v>
      </c>
      <c r="T145">
        <v>0</v>
      </c>
      <c r="U145">
        <v>0</v>
      </c>
      <c r="V145">
        <v>0</v>
      </c>
      <c r="W145" t="s">
        <v>1355</v>
      </c>
      <c r="X145" t="s">
        <v>1355</v>
      </c>
      <c r="Y145" t="s">
        <v>1355</v>
      </c>
      <c r="Z145">
        <v>0</v>
      </c>
      <c r="AA145">
        <v>0</v>
      </c>
      <c r="AB145">
        <v>0</v>
      </c>
      <c r="AC145" s="294">
        <v>41841</v>
      </c>
      <c r="AD145" s="294">
        <v>73050</v>
      </c>
      <c r="AE145" s="294">
        <v>41841</v>
      </c>
      <c r="AF145" t="s">
        <v>1358</v>
      </c>
      <c r="AG145">
        <v>0</v>
      </c>
      <c r="AH145" t="s">
        <v>1663</v>
      </c>
      <c r="AI145">
        <v>1</v>
      </c>
      <c r="AJ145">
        <v>1</v>
      </c>
      <c r="AK145">
        <v>0</v>
      </c>
      <c r="AL145">
        <v>1</v>
      </c>
      <c r="AM145" t="s">
        <v>1362</v>
      </c>
      <c r="AN145" t="s">
        <v>1357</v>
      </c>
      <c r="AO145">
        <v>26.19725</v>
      </c>
      <c r="AP145">
        <v>2</v>
      </c>
      <c r="AQ145">
        <v>0</v>
      </c>
      <c r="AR145">
        <v>25.99905</v>
      </c>
      <c r="AS145">
        <v>26.19725</v>
      </c>
      <c r="AT145">
        <v>1</v>
      </c>
    </row>
    <row r="146" spans="1:46" hidden="1" x14ac:dyDescent="0.2">
      <c r="A146" t="s">
        <v>1499</v>
      </c>
      <c r="B146" t="s">
        <v>1500</v>
      </c>
      <c r="C146" t="s">
        <v>1499</v>
      </c>
      <c r="D146" t="s">
        <v>1355</v>
      </c>
      <c r="E146" t="s">
        <v>1356</v>
      </c>
      <c r="F146" t="s">
        <v>1357</v>
      </c>
      <c r="G146" t="s">
        <v>1355</v>
      </c>
      <c r="H146" t="s">
        <v>1367</v>
      </c>
      <c r="I146" t="s">
        <v>1661</v>
      </c>
      <c r="J146">
        <v>1</v>
      </c>
      <c r="K146">
        <v>10</v>
      </c>
      <c r="L146" t="s">
        <v>1499</v>
      </c>
      <c r="M146" t="s">
        <v>1499</v>
      </c>
      <c r="N146" t="s">
        <v>1355</v>
      </c>
      <c r="O146" t="s">
        <v>1359</v>
      </c>
      <c r="P146">
        <v>3</v>
      </c>
      <c r="Q146">
        <v>3</v>
      </c>
      <c r="R146">
        <v>0</v>
      </c>
      <c r="S146" t="s">
        <v>1355</v>
      </c>
      <c r="T146">
        <v>0</v>
      </c>
      <c r="U146">
        <v>0</v>
      </c>
      <c r="V146">
        <v>0</v>
      </c>
      <c r="W146" t="s">
        <v>1355</v>
      </c>
      <c r="X146" t="s">
        <v>1355</v>
      </c>
      <c r="Y146" t="s">
        <v>1355</v>
      </c>
      <c r="Z146">
        <v>0</v>
      </c>
      <c r="AA146">
        <v>0</v>
      </c>
      <c r="AB146">
        <v>0</v>
      </c>
      <c r="AC146" s="294">
        <v>41836</v>
      </c>
      <c r="AD146" s="294">
        <v>73050</v>
      </c>
      <c r="AE146" s="294">
        <v>41836</v>
      </c>
      <c r="AF146" t="s">
        <v>1367</v>
      </c>
      <c r="AG146">
        <v>0</v>
      </c>
      <c r="AH146" t="s">
        <v>1664</v>
      </c>
      <c r="AI146">
        <v>3</v>
      </c>
      <c r="AJ146">
        <v>3</v>
      </c>
      <c r="AK146">
        <v>0</v>
      </c>
      <c r="AL146">
        <v>3</v>
      </c>
      <c r="AM146" t="s">
        <v>1355</v>
      </c>
      <c r="AN146" t="s">
        <v>1357</v>
      </c>
      <c r="AO146">
        <v>2.3328000000000002</v>
      </c>
      <c r="AP146">
        <v>3</v>
      </c>
      <c r="AQ146">
        <v>0</v>
      </c>
      <c r="AR146">
        <v>2.3128799999999998</v>
      </c>
      <c r="AS146">
        <v>2.3328000000000002</v>
      </c>
      <c r="AT146">
        <v>1</v>
      </c>
    </row>
    <row r="147" spans="1:46" hidden="1" x14ac:dyDescent="0.2">
      <c r="A147" t="s">
        <v>1665</v>
      </c>
      <c r="B147" t="s">
        <v>1666</v>
      </c>
      <c r="C147" t="s">
        <v>1665</v>
      </c>
      <c r="D147" t="s">
        <v>1355</v>
      </c>
      <c r="E147" t="s">
        <v>1356</v>
      </c>
      <c r="F147" t="s">
        <v>1357</v>
      </c>
      <c r="G147" t="s">
        <v>1355</v>
      </c>
      <c r="H147" t="s">
        <v>1367</v>
      </c>
      <c r="I147" t="s">
        <v>1661</v>
      </c>
      <c r="J147">
        <v>2</v>
      </c>
      <c r="K147">
        <v>20</v>
      </c>
      <c r="L147" t="s">
        <v>1665</v>
      </c>
      <c r="M147" t="s">
        <v>1665</v>
      </c>
      <c r="N147" t="s">
        <v>1355</v>
      </c>
      <c r="O147" t="s">
        <v>1359</v>
      </c>
      <c r="P147">
        <v>2</v>
      </c>
      <c r="Q147">
        <v>2</v>
      </c>
      <c r="R147">
        <v>0</v>
      </c>
      <c r="S147" t="s">
        <v>1355</v>
      </c>
      <c r="T147">
        <v>0</v>
      </c>
      <c r="U147">
        <v>0</v>
      </c>
      <c r="V147">
        <v>0</v>
      </c>
      <c r="W147" t="s">
        <v>1355</v>
      </c>
      <c r="X147" t="s">
        <v>1355</v>
      </c>
      <c r="Y147" t="s">
        <v>1355</v>
      </c>
      <c r="Z147">
        <v>0</v>
      </c>
      <c r="AA147">
        <v>0</v>
      </c>
      <c r="AB147">
        <v>0</v>
      </c>
      <c r="AC147" s="294">
        <v>41836</v>
      </c>
      <c r="AD147" s="294">
        <v>73050</v>
      </c>
      <c r="AE147" s="294">
        <v>41836</v>
      </c>
      <c r="AF147" t="s">
        <v>1367</v>
      </c>
      <c r="AG147">
        <v>0</v>
      </c>
      <c r="AH147" t="s">
        <v>1667</v>
      </c>
      <c r="AI147">
        <v>2</v>
      </c>
      <c r="AJ147">
        <v>2</v>
      </c>
      <c r="AK147">
        <v>0</v>
      </c>
      <c r="AL147">
        <v>2</v>
      </c>
      <c r="AM147" t="s">
        <v>1355</v>
      </c>
      <c r="AN147" t="s">
        <v>1357</v>
      </c>
      <c r="AO147">
        <v>5.58</v>
      </c>
      <c r="AP147">
        <v>3</v>
      </c>
      <c r="AQ147">
        <v>0</v>
      </c>
      <c r="AR147">
        <v>5.5378600000000002</v>
      </c>
      <c r="AS147">
        <v>5.58</v>
      </c>
      <c r="AT147">
        <v>1</v>
      </c>
    </row>
    <row r="148" spans="1:46" hidden="1" x14ac:dyDescent="0.2">
      <c r="A148" t="s">
        <v>1668</v>
      </c>
      <c r="B148" t="s">
        <v>1669</v>
      </c>
      <c r="C148" t="s">
        <v>1668</v>
      </c>
      <c r="D148" t="s">
        <v>1355</v>
      </c>
      <c r="E148" t="s">
        <v>1356</v>
      </c>
      <c r="F148" t="s">
        <v>1357</v>
      </c>
      <c r="G148" t="s">
        <v>1355</v>
      </c>
      <c r="H148" t="s">
        <v>1367</v>
      </c>
      <c r="I148" t="s">
        <v>1661</v>
      </c>
      <c r="J148">
        <v>3</v>
      </c>
      <c r="K148">
        <v>30</v>
      </c>
      <c r="L148" t="s">
        <v>1668</v>
      </c>
      <c r="M148" t="s">
        <v>1668</v>
      </c>
      <c r="N148" t="s">
        <v>1355</v>
      </c>
      <c r="O148" t="s">
        <v>1359</v>
      </c>
      <c r="P148">
        <v>1</v>
      </c>
      <c r="Q148">
        <v>1</v>
      </c>
      <c r="R148">
        <v>0</v>
      </c>
      <c r="S148" t="s">
        <v>1355</v>
      </c>
      <c r="T148">
        <v>0</v>
      </c>
      <c r="U148">
        <v>0</v>
      </c>
      <c r="V148">
        <v>0</v>
      </c>
      <c r="W148" t="s">
        <v>1355</v>
      </c>
      <c r="X148" t="s">
        <v>1355</v>
      </c>
      <c r="Y148" t="s">
        <v>1355</v>
      </c>
      <c r="Z148">
        <v>0</v>
      </c>
      <c r="AA148">
        <v>0</v>
      </c>
      <c r="AB148">
        <v>0</v>
      </c>
      <c r="AC148" s="294">
        <v>41836</v>
      </c>
      <c r="AD148" s="294">
        <v>73050</v>
      </c>
      <c r="AE148" s="294">
        <v>41836</v>
      </c>
      <c r="AF148" t="s">
        <v>1367</v>
      </c>
      <c r="AG148">
        <v>0</v>
      </c>
      <c r="AH148" t="s">
        <v>1670</v>
      </c>
      <c r="AI148">
        <v>1</v>
      </c>
      <c r="AJ148">
        <v>1</v>
      </c>
      <c r="AK148">
        <v>0</v>
      </c>
      <c r="AL148">
        <v>1</v>
      </c>
      <c r="AM148" t="s">
        <v>1355</v>
      </c>
      <c r="AN148" t="s">
        <v>1357</v>
      </c>
      <c r="AO148">
        <v>1.796</v>
      </c>
      <c r="AP148">
        <v>3</v>
      </c>
      <c r="AQ148">
        <v>0</v>
      </c>
      <c r="AR148">
        <v>1.796</v>
      </c>
      <c r="AS148">
        <v>1.796</v>
      </c>
      <c r="AT148">
        <v>1</v>
      </c>
    </row>
    <row r="149" spans="1:46" hidden="1" x14ac:dyDescent="0.2">
      <c r="A149" t="s">
        <v>1671</v>
      </c>
      <c r="B149" t="s">
        <v>1672</v>
      </c>
      <c r="C149" t="s">
        <v>1671</v>
      </c>
      <c r="D149" t="s">
        <v>1355</v>
      </c>
      <c r="E149" t="s">
        <v>1356</v>
      </c>
      <c r="F149" t="s">
        <v>1357</v>
      </c>
      <c r="G149" t="s">
        <v>1355</v>
      </c>
      <c r="H149" t="s">
        <v>1367</v>
      </c>
      <c r="I149" t="s">
        <v>1661</v>
      </c>
      <c r="J149">
        <v>4</v>
      </c>
      <c r="K149">
        <v>40</v>
      </c>
      <c r="L149" t="s">
        <v>1671</v>
      </c>
      <c r="M149" t="s">
        <v>1671</v>
      </c>
      <c r="N149" t="s">
        <v>1355</v>
      </c>
      <c r="O149" t="s">
        <v>1359</v>
      </c>
      <c r="P149">
        <v>1</v>
      </c>
      <c r="Q149">
        <v>1</v>
      </c>
      <c r="R149">
        <v>0</v>
      </c>
      <c r="S149" t="s">
        <v>1355</v>
      </c>
      <c r="T149">
        <v>0</v>
      </c>
      <c r="U149">
        <v>0</v>
      </c>
      <c r="V149">
        <v>0</v>
      </c>
      <c r="W149" t="s">
        <v>1355</v>
      </c>
      <c r="X149" t="s">
        <v>1355</v>
      </c>
      <c r="Y149" t="s">
        <v>1355</v>
      </c>
      <c r="Z149">
        <v>0</v>
      </c>
      <c r="AA149">
        <v>0</v>
      </c>
      <c r="AB149">
        <v>0</v>
      </c>
      <c r="AC149" s="294">
        <v>41836</v>
      </c>
      <c r="AD149" s="294">
        <v>73050</v>
      </c>
      <c r="AE149" s="294">
        <v>41836</v>
      </c>
      <c r="AF149" t="s">
        <v>1367</v>
      </c>
      <c r="AG149">
        <v>0</v>
      </c>
      <c r="AH149" t="s">
        <v>1673</v>
      </c>
      <c r="AI149">
        <v>1</v>
      </c>
      <c r="AJ149">
        <v>1</v>
      </c>
      <c r="AK149">
        <v>0</v>
      </c>
      <c r="AL149">
        <v>1</v>
      </c>
      <c r="AM149" t="s">
        <v>1355</v>
      </c>
      <c r="AN149" t="s">
        <v>1357</v>
      </c>
      <c r="AO149">
        <v>1.6452500000000001</v>
      </c>
      <c r="AP149">
        <v>3</v>
      </c>
      <c r="AQ149">
        <v>0</v>
      </c>
      <c r="AR149">
        <v>1.63103</v>
      </c>
      <c r="AS149">
        <v>1.6452500000000001</v>
      </c>
      <c r="AT149">
        <v>1</v>
      </c>
    </row>
    <row r="150" spans="1:46" hidden="1" x14ac:dyDescent="0.2">
      <c r="A150" t="s">
        <v>1674</v>
      </c>
      <c r="B150" t="s">
        <v>1675</v>
      </c>
      <c r="C150" t="s">
        <v>1674</v>
      </c>
      <c r="D150" t="s">
        <v>1355</v>
      </c>
      <c r="E150" t="s">
        <v>1356</v>
      </c>
      <c r="F150" t="s">
        <v>1357</v>
      </c>
      <c r="G150" t="s">
        <v>1355</v>
      </c>
      <c r="H150" t="s">
        <v>1367</v>
      </c>
      <c r="I150" t="s">
        <v>1661</v>
      </c>
      <c r="J150">
        <v>5</v>
      </c>
      <c r="K150">
        <v>50</v>
      </c>
      <c r="L150" t="s">
        <v>1674</v>
      </c>
      <c r="M150" t="s">
        <v>1674</v>
      </c>
      <c r="N150" t="s">
        <v>1355</v>
      </c>
      <c r="O150" t="s">
        <v>1359</v>
      </c>
      <c r="P150">
        <v>1</v>
      </c>
      <c r="Q150">
        <v>1</v>
      </c>
      <c r="R150">
        <v>0</v>
      </c>
      <c r="S150" t="s">
        <v>1355</v>
      </c>
      <c r="T150">
        <v>0</v>
      </c>
      <c r="U150">
        <v>0</v>
      </c>
      <c r="V150">
        <v>0</v>
      </c>
      <c r="W150" t="s">
        <v>1355</v>
      </c>
      <c r="X150" t="s">
        <v>1355</v>
      </c>
      <c r="Y150" t="s">
        <v>1355</v>
      </c>
      <c r="Z150">
        <v>0</v>
      </c>
      <c r="AA150">
        <v>0</v>
      </c>
      <c r="AB150">
        <v>0</v>
      </c>
      <c r="AC150" s="294">
        <v>41836</v>
      </c>
      <c r="AD150" s="294">
        <v>73050</v>
      </c>
      <c r="AE150" s="294">
        <v>41836</v>
      </c>
      <c r="AF150" t="s">
        <v>1367</v>
      </c>
      <c r="AG150">
        <v>0</v>
      </c>
      <c r="AH150" t="s">
        <v>1676</v>
      </c>
      <c r="AI150">
        <v>1</v>
      </c>
      <c r="AJ150">
        <v>1</v>
      </c>
      <c r="AK150">
        <v>0</v>
      </c>
      <c r="AL150">
        <v>1</v>
      </c>
      <c r="AM150" t="s">
        <v>1355</v>
      </c>
      <c r="AN150" t="s">
        <v>1357</v>
      </c>
      <c r="AO150">
        <v>2.5670000000000002</v>
      </c>
      <c r="AP150">
        <v>3</v>
      </c>
      <c r="AQ150">
        <v>0</v>
      </c>
      <c r="AR150">
        <v>2.5670000000000002</v>
      </c>
      <c r="AS150">
        <v>2.5670000000000002</v>
      </c>
      <c r="AT150">
        <v>1</v>
      </c>
    </row>
    <row r="151" spans="1:46" hidden="1" x14ac:dyDescent="0.2">
      <c r="A151" t="s">
        <v>1502</v>
      </c>
      <c r="B151" t="s">
        <v>1503</v>
      </c>
      <c r="C151" t="s">
        <v>1502</v>
      </c>
      <c r="D151" t="s">
        <v>1355</v>
      </c>
      <c r="E151" t="s">
        <v>1356</v>
      </c>
      <c r="F151" t="s">
        <v>1357</v>
      </c>
      <c r="G151" t="s">
        <v>1355</v>
      </c>
      <c r="H151" t="s">
        <v>1367</v>
      </c>
      <c r="I151" t="s">
        <v>1661</v>
      </c>
      <c r="J151">
        <v>6</v>
      </c>
      <c r="K151">
        <v>60</v>
      </c>
      <c r="L151" t="s">
        <v>1502</v>
      </c>
      <c r="M151" t="s">
        <v>1502</v>
      </c>
      <c r="N151" t="s">
        <v>1355</v>
      </c>
      <c r="O151" t="s">
        <v>1359</v>
      </c>
      <c r="P151">
        <v>1</v>
      </c>
      <c r="Q151">
        <v>1</v>
      </c>
      <c r="R151">
        <v>0</v>
      </c>
      <c r="S151" t="s">
        <v>1355</v>
      </c>
      <c r="T151">
        <v>0</v>
      </c>
      <c r="U151">
        <v>0</v>
      </c>
      <c r="V151">
        <v>0</v>
      </c>
      <c r="W151" t="s">
        <v>1355</v>
      </c>
      <c r="X151" t="s">
        <v>1355</v>
      </c>
      <c r="Y151" t="s">
        <v>1355</v>
      </c>
      <c r="Z151">
        <v>0</v>
      </c>
      <c r="AA151">
        <v>0</v>
      </c>
      <c r="AB151">
        <v>0</v>
      </c>
      <c r="AC151" s="294">
        <v>41836</v>
      </c>
      <c r="AD151" s="294">
        <v>73050</v>
      </c>
      <c r="AE151" s="294">
        <v>41836</v>
      </c>
      <c r="AF151" t="s">
        <v>1367</v>
      </c>
      <c r="AG151">
        <v>0</v>
      </c>
      <c r="AH151" t="s">
        <v>1677</v>
      </c>
      <c r="AI151">
        <v>1</v>
      </c>
      <c r="AJ151">
        <v>1</v>
      </c>
      <c r="AK151">
        <v>0</v>
      </c>
      <c r="AL151">
        <v>1</v>
      </c>
      <c r="AM151" t="s">
        <v>1355</v>
      </c>
      <c r="AN151" t="s">
        <v>1357</v>
      </c>
      <c r="AO151">
        <v>1.6452</v>
      </c>
      <c r="AP151">
        <v>3</v>
      </c>
      <c r="AQ151">
        <v>0</v>
      </c>
      <c r="AR151">
        <v>1.63289</v>
      </c>
      <c r="AS151">
        <v>1.6452</v>
      </c>
      <c r="AT151">
        <v>1</v>
      </c>
    </row>
    <row r="152" spans="1:46" hidden="1" x14ac:dyDescent="0.2">
      <c r="A152" t="s">
        <v>1505</v>
      </c>
      <c r="B152" t="s">
        <v>1506</v>
      </c>
      <c r="C152" t="s">
        <v>1505</v>
      </c>
      <c r="D152" t="s">
        <v>1355</v>
      </c>
      <c r="E152" t="s">
        <v>1356</v>
      </c>
      <c r="F152" t="s">
        <v>1357</v>
      </c>
      <c r="G152" t="s">
        <v>1355</v>
      </c>
      <c r="H152" t="s">
        <v>1367</v>
      </c>
      <c r="I152" t="s">
        <v>1661</v>
      </c>
      <c r="J152">
        <v>7</v>
      </c>
      <c r="K152">
        <v>70</v>
      </c>
      <c r="L152" t="s">
        <v>1505</v>
      </c>
      <c r="M152" t="s">
        <v>1505</v>
      </c>
      <c r="N152" t="s">
        <v>1355</v>
      </c>
      <c r="O152" t="s">
        <v>1359</v>
      </c>
      <c r="P152">
        <v>1</v>
      </c>
      <c r="Q152">
        <v>1</v>
      </c>
      <c r="R152">
        <v>0</v>
      </c>
      <c r="S152" t="s">
        <v>1355</v>
      </c>
      <c r="T152">
        <v>0</v>
      </c>
      <c r="U152">
        <v>0</v>
      </c>
      <c r="V152">
        <v>0</v>
      </c>
      <c r="W152" t="s">
        <v>1355</v>
      </c>
      <c r="X152" t="s">
        <v>1355</v>
      </c>
      <c r="Y152" t="s">
        <v>1355</v>
      </c>
      <c r="Z152">
        <v>0</v>
      </c>
      <c r="AA152">
        <v>0</v>
      </c>
      <c r="AB152">
        <v>0</v>
      </c>
      <c r="AC152" s="294">
        <v>41836</v>
      </c>
      <c r="AD152" s="294">
        <v>73050</v>
      </c>
      <c r="AE152" s="294">
        <v>41836</v>
      </c>
      <c r="AF152" t="s">
        <v>1367</v>
      </c>
      <c r="AG152">
        <v>0</v>
      </c>
      <c r="AH152" t="s">
        <v>1678</v>
      </c>
      <c r="AI152">
        <v>1</v>
      </c>
      <c r="AJ152">
        <v>1</v>
      </c>
      <c r="AK152">
        <v>0</v>
      </c>
      <c r="AL152">
        <v>1</v>
      </c>
      <c r="AM152" t="s">
        <v>1355</v>
      </c>
      <c r="AN152" t="s">
        <v>1357</v>
      </c>
      <c r="AO152">
        <v>2.9340000000000002</v>
      </c>
      <c r="AP152">
        <v>3</v>
      </c>
      <c r="AQ152">
        <v>0</v>
      </c>
      <c r="AR152">
        <v>2.9064199999999998</v>
      </c>
      <c r="AS152">
        <v>2.9340000000000002</v>
      </c>
      <c r="AT152">
        <v>1</v>
      </c>
    </row>
    <row r="153" spans="1:46" hidden="1" x14ac:dyDescent="0.2">
      <c r="A153" t="s">
        <v>1508</v>
      </c>
      <c r="B153" t="s">
        <v>1509</v>
      </c>
      <c r="C153" t="s">
        <v>1508</v>
      </c>
      <c r="D153" t="s">
        <v>1355</v>
      </c>
      <c r="E153" t="s">
        <v>1356</v>
      </c>
      <c r="F153" t="s">
        <v>1357</v>
      </c>
      <c r="G153" t="s">
        <v>1355</v>
      </c>
      <c r="H153" t="s">
        <v>1367</v>
      </c>
      <c r="I153" t="s">
        <v>1661</v>
      </c>
      <c r="J153">
        <v>8</v>
      </c>
      <c r="K153">
        <v>80</v>
      </c>
      <c r="L153" t="s">
        <v>1508</v>
      </c>
      <c r="M153" t="s">
        <v>1508</v>
      </c>
      <c r="N153" t="s">
        <v>1355</v>
      </c>
      <c r="O153" t="s">
        <v>1359</v>
      </c>
      <c r="P153">
        <v>1</v>
      </c>
      <c r="Q153">
        <v>1</v>
      </c>
      <c r="R153">
        <v>0</v>
      </c>
      <c r="S153" t="s">
        <v>1355</v>
      </c>
      <c r="T153">
        <v>0</v>
      </c>
      <c r="U153">
        <v>0</v>
      </c>
      <c r="V153">
        <v>0</v>
      </c>
      <c r="W153" t="s">
        <v>1355</v>
      </c>
      <c r="X153" t="s">
        <v>1355</v>
      </c>
      <c r="Y153" t="s">
        <v>1355</v>
      </c>
      <c r="Z153">
        <v>0</v>
      </c>
      <c r="AA153">
        <v>0</v>
      </c>
      <c r="AB153">
        <v>0</v>
      </c>
      <c r="AC153" s="294">
        <v>41836</v>
      </c>
      <c r="AD153" s="294">
        <v>73050</v>
      </c>
      <c r="AE153" s="294">
        <v>41836</v>
      </c>
      <c r="AF153" t="s">
        <v>1367</v>
      </c>
      <c r="AG153">
        <v>0</v>
      </c>
      <c r="AH153" t="s">
        <v>1679</v>
      </c>
      <c r="AI153">
        <v>1</v>
      </c>
      <c r="AJ153">
        <v>1</v>
      </c>
      <c r="AK153">
        <v>0</v>
      </c>
      <c r="AL153">
        <v>1</v>
      </c>
      <c r="AM153" t="s">
        <v>1355</v>
      </c>
      <c r="AN153" t="s">
        <v>1357</v>
      </c>
      <c r="AO153">
        <v>7.6970000000000001</v>
      </c>
      <c r="AP153">
        <v>3</v>
      </c>
      <c r="AQ153">
        <v>0</v>
      </c>
      <c r="AR153">
        <v>7.6149699999999996</v>
      </c>
      <c r="AS153">
        <v>7.6970000000000001</v>
      </c>
      <c r="AT153">
        <v>1</v>
      </c>
    </row>
    <row r="154" spans="1:46" x14ac:dyDescent="0.2">
      <c r="A154" t="s">
        <v>1284</v>
      </c>
      <c r="B154" t="s">
        <v>1680</v>
      </c>
      <c r="C154" t="s">
        <v>1284</v>
      </c>
      <c r="D154" t="s">
        <v>1355</v>
      </c>
      <c r="E154" t="s">
        <v>1356</v>
      </c>
      <c r="F154" t="s">
        <v>1357</v>
      </c>
      <c r="G154" t="s">
        <v>1355</v>
      </c>
      <c r="H154" t="s">
        <v>1358</v>
      </c>
      <c r="I154" t="s">
        <v>1353</v>
      </c>
      <c r="J154">
        <v>25</v>
      </c>
      <c r="K154">
        <v>250</v>
      </c>
      <c r="L154" t="s">
        <v>1284</v>
      </c>
      <c r="M154" t="s">
        <v>1284</v>
      </c>
      <c r="N154" t="s">
        <v>1355</v>
      </c>
      <c r="O154" t="s">
        <v>1359</v>
      </c>
      <c r="P154">
        <v>1</v>
      </c>
      <c r="Q154">
        <v>1</v>
      </c>
      <c r="R154">
        <v>0</v>
      </c>
      <c r="S154" t="s">
        <v>1355</v>
      </c>
      <c r="T154">
        <v>0</v>
      </c>
      <c r="U154">
        <v>0</v>
      </c>
      <c r="V154">
        <v>0</v>
      </c>
      <c r="W154" t="s">
        <v>1355</v>
      </c>
      <c r="X154" t="s">
        <v>1355</v>
      </c>
      <c r="Y154" t="s">
        <v>1355</v>
      </c>
      <c r="Z154">
        <v>0</v>
      </c>
      <c r="AA154">
        <v>0</v>
      </c>
      <c r="AB154">
        <v>0</v>
      </c>
      <c r="AC154" s="294">
        <v>36161</v>
      </c>
      <c r="AD154" s="294">
        <v>73050</v>
      </c>
      <c r="AE154" s="294">
        <v>41844</v>
      </c>
      <c r="AF154" t="s">
        <v>1358</v>
      </c>
      <c r="AG154">
        <v>0</v>
      </c>
      <c r="AH154" t="s">
        <v>1681</v>
      </c>
      <c r="AI154">
        <v>1</v>
      </c>
      <c r="AJ154">
        <v>1</v>
      </c>
      <c r="AK154">
        <v>0</v>
      </c>
      <c r="AL154">
        <v>1</v>
      </c>
      <c r="AM154" t="s">
        <v>1362</v>
      </c>
      <c r="AN154" t="s">
        <v>1357</v>
      </c>
      <c r="AO154">
        <v>2497.9962500000001</v>
      </c>
      <c r="AP154">
        <v>1</v>
      </c>
      <c r="AQ154">
        <v>487.44</v>
      </c>
      <c r="AR154">
        <v>2598.22543</v>
      </c>
      <c r="AS154">
        <v>2497.9962500000001</v>
      </c>
      <c r="AT154">
        <v>1</v>
      </c>
    </row>
    <row r="155" spans="1:46" hidden="1" x14ac:dyDescent="0.2">
      <c r="A155" t="s">
        <v>1682</v>
      </c>
      <c r="B155" t="s">
        <v>1683</v>
      </c>
      <c r="C155" t="s">
        <v>1682</v>
      </c>
      <c r="D155" t="s">
        <v>1355</v>
      </c>
      <c r="E155" t="s">
        <v>1356</v>
      </c>
      <c r="F155" t="s">
        <v>1357</v>
      </c>
      <c r="G155" t="s">
        <v>1355</v>
      </c>
      <c r="H155" t="s">
        <v>1358</v>
      </c>
      <c r="I155" t="s">
        <v>1284</v>
      </c>
      <c r="J155">
        <v>1</v>
      </c>
      <c r="K155">
        <v>10</v>
      </c>
      <c r="L155" t="s">
        <v>1682</v>
      </c>
      <c r="M155" t="s">
        <v>1682</v>
      </c>
      <c r="N155" t="s">
        <v>1355</v>
      </c>
      <c r="O155" t="s">
        <v>1359</v>
      </c>
      <c r="P155">
        <v>1</v>
      </c>
      <c r="Q155">
        <v>1</v>
      </c>
      <c r="R155">
        <v>0</v>
      </c>
      <c r="S155" t="s">
        <v>1355</v>
      </c>
      <c r="T155">
        <v>0</v>
      </c>
      <c r="U155">
        <v>0</v>
      </c>
      <c r="V155">
        <v>0</v>
      </c>
      <c r="W155" t="s">
        <v>1355</v>
      </c>
      <c r="X155" t="s">
        <v>1355</v>
      </c>
      <c r="Y155" t="s">
        <v>1355</v>
      </c>
      <c r="Z155">
        <v>0</v>
      </c>
      <c r="AA155">
        <v>0</v>
      </c>
      <c r="AB155">
        <v>0</v>
      </c>
      <c r="AC155" s="294">
        <v>41841</v>
      </c>
      <c r="AD155" s="294">
        <v>73050</v>
      </c>
      <c r="AE155" s="294">
        <v>41841</v>
      </c>
      <c r="AF155" t="s">
        <v>1358</v>
      </c>
      <c r="AG155">
        <v>0</v>
      </c>
      <c r="AH155" t="s">
        <v>1684</v>
      </c>
      <c r="AI155">
        <v>1</v>
      </c>
      <c r="AJ155">
        <v>1</v>
      </c>
      <c r="AK155">
        <v>0</v>
      </c>
      <c r="AL155">
        <v>1</v>
      </c>
      <c r="AM155" t="s">
        <v>1362</v>
      </c>
      <c r="AN155" t="s">
        <v>1357</v>
      </c>
      <c r="AO155">
        <v>1527.41</v>
      </c>
      <c r="AP155">
        <v>2</v>
      </c>
      <c r="AQ155">
        <v>0</v>
      </c>
      <c r="AR155">
        <v>1627.6543899999999</v>
      </c>
      <c r="AS155">
        <v>1527.41</v>
      </c>
      <c r="AT155">
        <v>1</v>
      </c>
    </row>
    <row r="156" spans="1:46" hidden="1" x14ac:dyDescent="0.2">
      <c r="A156" t="s">
        <v>1685</v>
      </c>
      <c r="B156" t="s">
        <v>1686</v>
      </c>
      <c r="C156" t="s">
        <v>1685</v>
      </c>
      <c r="D156" t="s">
        <v>1355</v>
      </c>
      <c r="E156" t="s">
        <v>1356</v>
      </c>
      <c r="F156" t="s">
        <v>1357</v>
      </c>
      <c r="G156" t="s">
        <v>1355</v>
      </c>
      <c r="H156" t="s">
        <v>1367</v>
      </c>
      <c r="I156" t="s">
        <v>1682</v>
      </c>
      <c r="J156">
        <v>1</v>
      </c>
      <c r="K156">
        <v>10</v>
      </c>
      <c r="L156" t="s">
        <v>1685</v>
      </c>
      <c r="M156" t="s">
        <v>1685</v>
      </c>
      <c r="N156" t="s">
        <v>1355</v>
      </c>
      <c r="O156" t="s">
        <v>1359</v>
      </c>
      <c r="P156">
        <v>1</v>
      </c>
      <c r="Q156">
        <v>1</v>
      </c>
      <c r="R156">
        <v>0</v>
      </c>
      <c r="S156" t="s">
        <v>1355</v>
      </c>
      <c r="T156">
        <v>0</v>
      </c>
      <c r="U156">
        <v>0</v>
      </c>
      <c r="V156">
        <v>0</v>
      </c>
      <c r="W156" t="s">
        <v>1355</v>
      </c>
      <c r="X156" t="s">
        <v>1355</v>
      </c>
      <c r="Y156" t="s">
        <v>1355</v>
      </c>
      <c r="Z156">
        <v>0</v>
      </c>
      <c r="AA156">
        <v>0</v>
      </c>
      <c r="AB156">
        <v>0</v>
      </c>
      <c r="AC156" s="294">
        <v>41836</v>
      </c>
      <c r="AD156" s="294">
        <v>73050</v>
      </c>
      <c r="AE156" s="294">
        <v>41836</v>
      </c>
      <c r="AF156" t="s">
        <v>1367</v>
      </c>
      <c r="AG156">
        <v>0</v>
      </c>
      <c r="AH156" t="s">
        <v>1687</v>
      </c>
      <c r="AI156">
        <v>1</v>
      </c>
      <c r="AJ156">
        <v>1</v>
      </c>
      <c r="AK156">
        <v>0</v>
      </c>
      <c r="AL156">
        <v>1</v>
      </c>
      <c r="AM156" t="s">
        <v>1355</v>
      </c>
      <c r="AN156" t="s">
        <v>1357</v>
      </c>
      <c r="AO156">
        <v>1201</v>
      </c>
      <c r="AP156">
        <v>3</v>
      </c>
      <c r="AQ156">
        <v>0</v>
      </c>
      <c r="AR156">
        <v>1317</v>
      </c>
      <c r="AS156">
        <v>1201</v>
      </c>
      <c r="AT156">
        <v>1</v>
      </c>
    </row>
    <row r="157" spans="1:46" hidden="1" x14ac:dyDescent="0.2">
      <c r="A157" t="s">
        <v>1688</v>
      </c>
      <c r="B157" t="s">
        <v>1689</v>
      </c>
      <c r="C157" t="s">
        <v>1688</v>
      </c>
      <c r="D157" t="s">
        <v>1355</v>
      </c>
      <c r="E157" t="s">
        <v>1356</v>
      </c>
      <c r="F157" t="s">
        <v>1357</v>
      </c>
      <c r="G157" t="s">
        <v>1355</v>
      </c>
      <c r="H157" t="s">
        <v>1367</v>
      </c>
      <c r="I157" t="s">
        <v>1682</v>
      </c>
      <c r="J157">
        <v>2</v>
      </c>
      <c r="K157">
        <v>20</v>
      </c>
      <c r="L157" t="s">
        <v>1688</v>
      </c>
      <c r="M157" t="s">
        <v>1688</v>
      </c>
      <c r="N157" t="s">
        <v>1355</v>
      </c>
      <c r="O157" t="s">
        <v>1359</v>
      </c>
      <c r="P157">
        <v>1</v>
      </c>
      <c r="Q157">
        <v>1</v>
      </c>
      <c r="R157">
        <v>0</v>
      </c>
      <c r="S157" t="s">
        <v>1355</v>
      </c>
      <c r="T157">
        <v>0</v>
      </c>
      <c r="U157">
        <v>0</v>
      </c>
      <c r="V157">
        <v>0</v>
      </c>
      <c r="W157" t="s">
        <v>1355</v>
      </c>
      <c r="X157" t="s">
        <v>1355</v>
      </c>
      <c r="Y157" t="s">
        <v>1355</v>
      </c>
      <c r="Z157">
        <v>0</v>
      </c>
      <c r="AA157">
        <v>0</v>
      </c>
      <c r="AB157">
        <v>0</v>
      </c>
      <c r="AC157" s="294">
        <v>41836</v>
      </c>
      <c r="AD157" s="294">
        <v>73050</v>
      </c>
      <c r="AE157" s="294">
        <v>41836</v>
      </c>
      <c r="AF157" t="s">
        <v>1367</v>
      </c>
      <c r="AG157">
        <v>0</v>
      </c>
      <c r="AH157" t="s">
        <v>1690</v>
      </c>
      <c r="AI157">
        <v>1</v>
      </c>
      <c r="AJ157">
        <v>1</v>
      </c>
      <c r="AK157">
        <v>0</v>
      </c>
      <c r="AL157">
        <v>1</v>
      </c>
      <c r="AM157" t="s">
        <v>1355</v>
      </c>
      <c r="AN157" t="s">
        <v>1357</v>
      </c>
      <c r="AO157">
        <v>55</v>
      </c>
      <c r="AP157">
        <v>3</v>
      </c>
      <c r="AQ157">
        <v>0</v>
      </c>
      <c r="AR157">
        <v>55</v>
      </c>
      <c r="AS157">
        <v>55</v>
      </c>
      <c r="AT157">
        <v>1</v>
      </c>
    </row>
    <row r="158" spans="1:46" hidden="1" x14ac:dyDescent="0.2">
      <c r="A158" t="s">
        <v>1691</v>
      </c>
      <c r="B158" t="s">
        <v>1692</v>
      </c>
      <c r="C158" t="s">
        <v>1691</v>
      </c>
      <c r="D158" t="s">
        <v>1355</v>
      </c>
      <c r="E158" t="s">
        <v>1356</v>
      </c>
      <c r="F158" t="s">
        <v>1357</v>
      </c>
      <c r="G158" t="s">
        <v>1355</v>
      </c>
      <c r="H158" t="s">
        <v>1367</v>
      </c>
      <c r="I158" t="s">
        <v>1682</v>
      </c>
      <c r="J158">
        <v>3</v>
      </c>
      <c r="K158">
        <v>30</v>
      </c>
      <c r="L158" t="s">
        <v>1691</v>
      </c>
      <c r="M158" t="s">
        <v>1691</v>
      </c>
      <c r="N158" t="s">
        <v>1355</v>
      </c>
      <c r="O158" t="s">
        <v>1359</v>
      </c>
      <c r="P158">
        <v>1</v>
      </c>
      <c r="Q158">
        <v>1</v>
      </c>
      <c r="R158">
        <v>0</v>
      </c>
      <c r="S158" t="s">
        <v>1355</v>
      </c>
      <c r="T158">
        <v>0</v>
      </c>
      <c r="U158">
        <v>0</v>
      </c>
      <c r="V158">
        <v>0</v>
      </c>
      <c r="W158" t="s">
        <v>1355</v>
      </c>
      <c r="X158" t="s">
        <v>1355</v>
      </c>
      <c r="Y158" t="s">
        <v>1355</v>
      </c>
      <c r="Z158">
        <v>0</v>
      </c>
      <c r="AA158">
        <v>0</v>
      </c>
      <c r="AB158">
        <v>0</v>
      </c>
      <c r="AC158" s="294">
        <v>41836</v>
      </c>
      <c r="AD158" s="294">
        <v>73050</v>
      </c>
      <c r="AE158" s="294">
        <v>41836</v>
      </c>
      <c r="AF158" t="s">
        <v>1367</v>
      </c>
      <c r="AG158">
        <v>0</v>
      </c>
      <c r="AH158" t="s">
        <v>1693</v>
      </c>
      <c r="AI158">
        <v>1</v>
      </c>
      <c r="AJ158">
        <v>1</v>
      </c>
      <c r="AK158">
        <v>0</v>
      </c>
      <c r="AL158">
        <v>1</v>
      </c>
      <c r="AM158" t="s">
        <v>1355</v>
      </c>
      <c r="AN158" t="s">
        <v>1357</v>
      </c>
      <c r="AO158">
        <v>0</v>
      </c>
      <c r="AP158">
        <v>3</v>
      </c>
      <c r="AQ158">
        <v>0</v>
      </c>
      <c r="AR158">
        <v>0</v>
      </c>
      <c r="AS158">
        <v>0</v>
      </c>
      <c r="AT158">
        <v>1</v>
      </c>
    </row>
    <row r="159" spans="1:46" hidden="1" x14ac:dyDescent="0.2">
      <c r="A159" t="s">
        <v>1694</v>
      </c>
      <c r="B159" t="s">
        <v>1695</v>
      </c>
      <c r="C159" t="s">
        <v>1694</v>
      </c>
      <c r="D159" t="s">
        <v>1355</v>
      </c>
      <c r="E159" t="s">
        <v>1356</v>
      </c>
      <c r="F159" t="s">
        <v>1357</v>
      </c>
      <c r="G159" t="s">
        <v>1355</v>
      </c>
      <c r="H159" t="s">
        <v>1367</v>
      </c>
      <c r="I159" t="s">
        <v>1682</v>
      </c>
      <c r="J159">
        <v>4</v>
      </c>
      <c r="K159">
        <v>40</v>
      </c>
      <c r="L159" t="s">
        <v>1694</v>
      </c>
      <c r="M159" t="s">
        <v>1694</v>
      </c>
      <c r="N159" t="s">
        <v>1355</v>
      </c>
      <c r="O159" t="s">
        <v>1359</v>
      </c>
      <c r="P159">
        <v>1</v>
      </c>
      <c r="Q159">
        <v>1</v>
      </c>
      <c r="R159">
        <v>0</v>
      </c>
      <c r="S159" t="s">
        <v>1355</v>
      </c>
      <c r="T159">
        <v>0</v>
      </c>
      <c r="U159">
        <v>0</v>
      </c>
      <c r="V159">
        <v>0</v>
      </c>
      <c r="W159" t="s">
        <v>1355</v>
      </c>
      <c r="X159" t="s">
        <v>1355</v>
      </c>
      <c r="Y159" t="s">
        <v>1355</v>
      </c>
      <c r="Z159">
        <v>0</v>
      </c>
      <c r="AA159">
        <v>0</v>
      </c>
      <c r="AB159">
        <v>0</v>
      </c>
      <c r="AC159" s="294">
        <v>41836</v>
      </c>
      <c r="AD159" s="294">
        <v>73050</v>
      </c>
      <c r="AE159" s="294">
        <v>41836</v>
      </c>
      <c r="AF159" t="s">
        <v>1367</v>
      </c>
      <c r="AG159">
        <v>0</v>
      </c>
      <c r="AH159" t="s">
        <v>1696</v>
      </c>
      <c r="AI159">
        <v>1</v>
      </c>
      <c r="AJ159">
        <v>1</v>
      </c>
      <c r="AK159">
        <v>0</v>
      </c>
      <c r="AL159">
        <v>1</v>
      </c>
      <c r="AM159" t="s">
        <v>1355</v>
      </c>
      <c r="AN159" t="s">
        <v>1357</v>
      </c>
      <c r="AO159">
        <v>63</v>
      </c>
      <c r="AP159">
        <v>3</v>
      </c>
      <c r="AQ159">
        <v>0</v>
      </c>
      <c r="AR159">
        <v>63</v>
      </c>
      <c r="AS159">
        <v>63</v>
      </c>
      <c r="AT159">
        <v>1</v>
      </c>
    </row>
    <row r="160" spans="1:46" hidden="1" x14ac:dyDescent="0.2">
      <c r="A160" t="s">
        <v>1697</v>
      </c>
      <c r="B160" t="s">
        <v>1698</v>
      </c>
      <c r="C160" t="s">
        <v>1697</v>
      </c>
      <c r="D160" t="s">
        <v>1355</v>
      </c>
      <c r="E160" t="s">
        <v>1356</v>
      </c>
      <c r="F160" t="s">
        <v>1357</v>
      </c>
      <c r="G160" t="s">
        <v>1355</v>
      </c>
      <c r="H160" t="s">
        <v>1367</v>
      </c>
      <c r="I160" t="s">
        <v>1682</v>
      </c>
      <c r="J160">
        <v>5</v>
      </c>
      <c r="K160">
        <v>50</v>
      </c>
      <c r="L160" t="s">
        <v>1697</v>
      </c>
      <c r="M160" t="s">
        <v>1697</v>
      </c>
      <c r="N160" t="s">
        <v>1355</v>
      </c>
      <c r="O160" t="s">
        <v>1359</v>
      </c>
      <c r="P160">
        <v>1</v>
      </c>
      <c r="Q160">
        <v>1</v>
      </c>
      <c r="R160">
        <v>0</v>
      </c>
      <c r="S160" t="s">
        <v>1355</v>
      </c>
      <c r="T160">
        <v>0</v>
      </c>
      <c r="U160">
        <v>0</v>
      </c>
      <c r="V160">
        <v>0</v>
      </c>
      <c r="W160" t="s">
        <v>1355</v>
      </c>
      <c r="X160" t="s">
        <v>1355</v>
      </c>
      <c r="Y160" t="s">
        <v>1355</v>
      </c>
      <c r="Z160">
        <v>0</v>
      </c>
      <c r="AA160">
        <v>0</v>
      </c>
      <c r="AB160">
        <v>0</v>
      </c>
      <c r="AC160" s="294">
        <v>41836</v>
      </c>
      <c r="AD160" s="294">
        <v>73050</v>
      </c>
      <c r="AE160" s="294">
        <v>41836</v>
      </c>
      <c r="AF160" t="s">
        <v>1367</v>
      </c>
      <c r="AG160">
        <v>0</v>
      </c>
      <c r="AH160" t="s">
        <v>1699</v>
      </c>
      <c r="AI160">
        <v>1</v>
      </c>
      <c r="AJ160">
        <v>1</v>
      </c>
      <c r="AK160">
        <v>0</v>
      </c>
      <c r="AL160">
        <v>1</v>
      </c>
      <c r="AM160" t="s">
        <v>1355</v>
      </c>
      <c r="AN160" t="s">
        <v>1357</v>
      </c>
      <c r="AO160">
        <v>0</v>
      </c>
      <c r="AP160">
        <v>3</v>
      </c>
      <c r="AQ160">
        <v>0</v>
      </c>
      <c r="AR160">
        <v>0</v>
      </c>
      <c r="AS160">
        <v>0</v>
      </c>
      <c r="AT160">
        <v>1</v>
      </c>
    </row>
    <row r="161" spans="1:46" hidden="1" x14ac:dyDescent="0.2">
      <c r="A161" t="s">
        <v>1700</v>
      </c>
      <c r="B161" t="s">
        <v>1701</v>
      </c>
      <c r="C161" t="s">
        <v>1700</v>
      </c>
      <c r="D161" t="s">
        <v>1355</v>
      </c>
      <c r="E161" t="s">
        <v>1356</v>
      </c>
      <c r="F161" t="s">
        <v>1357</v>
      </c>
      <c r="G161" t="s">
        <v>1355</v>
      </c>
      <c r="H161" t="s">
        <v>1367</v>
      </c>
      <c r="I161" t="s">
        <v>1682</v>
      </c>
      <c r="J161">
        <v>6</v>
      </c>
      <c r="K161">
        <v>60</v>
      </c>
      <c r="L161" t="s">
        <v>1700</v>
      </c>
      <c r="M161" t="s">
        <v>1700</v>
      </c>
      <c r="N161" t="s">
        <v>1355</v>
      </c>
      <c r="O161" t="s">
        <v>1359</v>
      </c>
      <c r="P161">
        <v>2</v>
      </c>
      <c r="Q161">
        <v>2</v>
      </c>
      <c r="R161">
        <v>0</v>
      </c>
      <c r="S161" t="s">
        <v>1355</v>
      </c>
      <c r="T161">
        <v>0</v>
      </c>
      <c r="U161">
        <v>0</v>
      </c>
      <c r="V161">
        <v>0</v>
      </c>
      <c r="W161" t="s">
        <v>1355</v>
      </c>
      <c r="X161" t="s">
        <v>1355</v>
      </c>
      <c r="Y161" t="s">
        <v>1355</v>
      </c>
      <c r="Z161">
        <v>0</v>
      </c>
      <c r="AA161">
        <v>0</v>
      </c>
      <c r="AB161">
        <v>0</v>
      </c>
      <c r="AC161" s="294">
        <v>41836</v>
      </c>
      <c r="AD161" s="294">
        <v>73050</v>
      </c>
      <c r="AE161" s="294">
        <v>41836</v>
      </c>
      <c r="AF161" t="s">
        <v>1367</v>
      </c>
      <c r="AG161">
        <v>0</v>
      </c>
      <c r="AH161" t="s">
        <v>1702</v>
      </c>
      <c r="AI161">
        <v>2</v>
      </c>
      <c r="AJ161">
        <v>2</v>
      </c>
      <c r="AK161">
        <v>0</v>
      </c>
      <c r="AL161">
        <v>2</v>
      </c>
      <c r="AM161" t="s">
        <v>1355</v>
      </c>
      <c r="AN161" t="s">
        <v>1357</v>
      </c>
      <c r="AO161">
        <v>62</v>
      </c>
      <c r="AP161">
        <v>3</v>
      </c>
      <c r="AQ161">
        <v>0</v>
      </c>
      <c r="AR161">
        <v>62</v>
      </c>
      <c r="AS161">
        <v>62</v>
      </c>
      <c r="AT161">
        <v>1</v>
      </c>
    </row>
    <row r="162" spans="1:46" hidden="1" x14ac:dyDescent="0.2">
      <c r="A162" t="s">
        <v>1703</v>
      </c>
      <c r="B162" t="s">
        <v>1704</v>
      </c>
      <c r="C162" t="s">
        <v>1703</v>
      </c>
      <c r="D162" t="s">
        <v>1355</v>
      </c>
      <c r="E162" t="s">
        <v>1356</v>
      </c>
      <c r="F162" t="s">
        <v>1357</v>
      </c>
      <c r="G162" t="s">
        <v>1355</v>
      </c>
      <c r="H162" t="s">
        <v>1367</v>
      </c>
      <c r="I162" t="s">
        <v>1682</v>
      </c>
      <c r="J162">
        <v>7</v>
      </c>
      <c r="K162">
        <v>70</v>
      </c>
      <c r="L162" t="s">
        <v>1703</v>
      </c>
      <c r="M162" t="s">
        <v>1703</v>
      </c>
      <c r="N162" t="s">
        <v>1355</v>
      </c>
      <c r="O162" t="s">
        <v>1359</v>
      </c>
      <c r="P162">
        <v>1</v>
      </c>
      <c r="Q162">
        <v>1</v>
      </c>
      <c r="R162">
        <v>0</v>
      </c>
      <c r="S162" t="s">
        <v>1355</v>
      </c>
      <c r="T162">
        <v>0</v>
      </c>
      <c r="U162">
        <v>0</v>
      </c>
      <c r="V162">
        <v>0</v>
      </c>
      <c r="W162" t="s">
        <v>1355</v>
      </c>
      <c r="X162" t="s">
        <v>1355</v>
      </c>
      <c r="Y162" t="s">
        <v>1355</v>
      </c>
      <c r="Z162">
        <v>0</v>
      </c>
      <c r="AA162">
        <v>0</v>
      </c>
      <c r="AB162">
        <v>0</v>
      </c>
      <c r="AC162" s="294">
        <v>41836</v>
      </c>
      <c r="AD162" s="294">
        <v>73050</v>
      </c>
      <c r="AE162" s="294">
        <v>41836</v>
      </c>
      <c r="AF162" t="s">
        <v>1367</v>
      </c>
      <c r="AG162">
        <v>0</v>
      </c>
      <c r="AH162" t="s">
        <v>1705</v>
      </c>
      <c r="AI162">
        <v>1</v>
      </c>
      <c r="AJ162">
        <v>1</v>
      </c>
      <c r="AK162">
        <v>0</v>
      </c>
      <c r="AL162">
        <v>1</v>
      </c>
      <c r="AM162" t="s">
        <v>1355</v>
      </c>
      <c r="AN162" t="s">
        <v>1357</v>
      </c>
      <c r="AO162">
        <v>26</v>
      </c>
      <c r="AP162">
        <v>3</v>
      </c>
      <c r="AQ162">
        <v>0</v>
      </c>
      <c r="AR162">
        <v>26</v>
      </c>
      <c r="AS162">
        <v>26</v>
      </c>
      <c r="AT162">
        <v>1</v>
      </c>
    </row>
    <row r="163" spans="1:46" hidden="1" x14ac:dyDescent="0.2">
      <c r="A163" t="s">
        <v>1706</v>
      </c>
      <c r="B163" t="s">
        <v>1707</v>
      </c>
      <c r="C163" t="s">
        <v>1706</v>
      </c>
      <c r="D163" t="s">
        <v>1355</v>
      </c>
      <c r="E163" t="s">
        <v>1356</v>
      </c>
      <c r="F163" t="s">
        <v>1357</v>
      </c>
      <c r="G163" t="s">
        <v>1355</v>
      </c>
      <c r="H163" t="s">
        <v>1367</v>
      </c>
      <c r="I163" t="s">
        <v>1682</v>
      </c>
      <c r="J163">
        <v>8</v>
      </c>
      <c r="K163">
        <v>80</v>
      </c>
      <c r="L163" t="s">
        <v>1706</v>
      </c>
      <c r="M163" t="s">
        <v>1706</v>
      </c>
      <c r="N163" t="s">
        <v>1355</v>
      </c>
      <c r="O163" t="s">
        <v>1359</v>
      </c>
      <c r="P163">
        <v>1</v>
      </c>
      <c r="Q163">
        <v>1</v>
      </c>
      <c r="R163">
        <v>0</v>
      </c>
      <c r="S163" t="s">
        <v>1355</v>
      </c>
      <c r="T163">
        <v>0</v>
      </c>
      <c r="U163">
        <v>0</v>
      </c>
      <c r="V163">
        <v>0</v>
      </c>
      <c r="W163" t="s">
        <v>1355</v>
      </c>
      <c r="X163" t="s">
        <v>1355</v>
      </c>
      <c r="Y163" t="s">
        <v>1355</v>
      </c>
      <c r="Z163">
        <v>0</v>
      </c>
      <c r="AA163">
        <v>0</v>
      </c>
      <c r="AB163">
        <v>0</v>
      </c>
      <c r="AC163" s="294">
        <v>41836</v>
      </c>
      <c r="AD163" s="294">
        <v>73050</v>
      </c>
      <c r="AE163" s="294">
        <v>41836</v>
      </c>
      <c r="AF163" t="s">
        <v>1367</v>
      </c>
      <c r="AG163">
        <v>0</v>
      </c>
      <c r="AH163" t="s">
        <v>1708</v>
      </c>
      <c r="AI163">
        <v>1</v>
      </c>
      <c r="AJ163">
        <v>1</v>
      </c>
      <c r="AK163">
        <v>0</v>
      </c>
      <c r="AL163">
        <v>1</v>
      </c>
      <c r="AM163" t="s">
        <v>1355</v>
      </c>
      <c r="AN163" t="s">
        <v>1357</v>
      </c>
      <c r="AO163">
        <v>26</v>
      </c>
      <c r="AP163">
        <v>3</v>
      </c>
      <c r="AQ163">
        <v>0</v>
      </c>
      <c r="AR163">
        <v>26</v>
      </c>
      <c r="AS163">
        <v>26</v>
      </c>
      <c r="AT163">
        <v>1</v>
      </c>
    </row>
    <row r="164" spans="1:46" hidden="1" x14ac:dyDescent="0.2">
      <c r="A164" t="s">
        <v>1628</v>
      </c>
      <c r="B164" t="s">
        <v>1629</v>
      </c>
      <c r="C164" t="s">
        <v>1628</v>
      </c>
      <c r="D164" t="s">
        <v>1355</v>
      </c>
      <c r="E164" t="s">
        <v>1356</v>
      </c>
      <c r="F164" t="s">
        <v>1357</v>
      </c>
      <c r="G164" t="s">
        <v>1355</v>
      </c>
      <c r="H164" t="s">
        <v>1367</v>
      </c>
      <c r="I164" t="s">
        <v>1682</v>
      </c>
      <c r="J164">
        <v>9</v>
      </c>
      <c r="K164">
        <v>90</v>
      </c>
      <c r="L164" t="s">
        <v>1628</v>
      </c>
      <c r="M164" t="s">
        <v>1628</v>
      </c>
      <c r="N164" t="s">
        <v>1355</v>
      </c>
      <c r="O164" t="s">
        <v>1359</v>
      </c>
      <c r="P164">
        <v>1</v>
      </c>
      <c r="Q164">
        <v>1</v>
      </c>
      <c r="R164">
        <v>0</v>
      </c>
      <c r="S164" t="s">
        <v>1355</v>
      </c>
      <c r="T164">
        <v>0</v>
      </c>
      <c r="U164">
        <v>0</v>
      </c>
      <c r="V164">
        <v>0</v>
      </c>
      <c r="W164" t="s">
        <v>1355</v>
      </c>
      <c r="X164" t="s">
        <v>1355</v>
      </c>
      <c r="Y164" t="s">
        <v>1355</v>
      </c>
      <c r="Z164">
        <v>0</v>
      </c>
      <c r="AA164">
        <v>0</v>
      </c>
      <c r="AB164">
        <v>0</v>
      </c>
      <c r="AC164" s="294">
        <v>41836</v>
      </c>
      <c r="AD164" s="294">
        <v>73050</v>
      </c>
      <c r="AE164" s="294">
        <v>41836</v>
      </c>
      <c r="AF164" t="s">
        <v>1367</v>
      </c>
      <c r="AG164">
        <v>0</v>
      </c>
      <c r="AH164" t="s">
        <v>1709</v>
      </c>
      <c r="AI164">
        <v>1</v>
      </c>
      <c r="AJ164">
        <v>1</v>
      </c>
      <c r="AK164">
        <v>0</v>
      </c>
      <c r="AL164">
        <v>1</v>
      </c>
      <c r="AM164" t="s">
        <v>1355</v>
      </c>
      <c r="AN164" t="s">
        <v>1357</v>
      </c>
      <c r="AO164">
        <v>20.58</v>
      </c>
      <c r="AP164">
        <v>3</v>
      </c>
      <c r="AQ164">
        <v>0</v>
      </c>
      <c r="AR164">
        <v>16.348769999999998</v>
      </c>
      <c r="AS164">
        <v>20.58</v>
      </c>
      <c r="AT164">
        <v>1</v>
      </c>
    </row>
    <row r="165" spans="1:46" hidden="1" x14ac:dyDescent="0.2">
      <c r="A165" t="s">
        <v>1625</v>
      </c>
      <c r="B165" t="s">
        <v>1626</v>
      </c>
      <c r="C165" t="s">
        <v>1625</v>
      </c>
      <c r="D165" t="s">
        <v>1355</v>
      </c>
      <c r="E165" t="s">
        <v>1356</v>
      </c>
      <c r="F165" t="s">
        <v>1357</v>
      </c>
      <c r="G165" t="s">
        <v>1355</v>
      </c>
      <c r="H165" t="s">
        <v>1367</v>
      </c>
      <c r="I165" t="s">
        <v>1682</v>
      </c>
      <c r="J165">
        <v>10</v>
      </c>
      <c r="K165">
        <v>100</v>
      </c>
      <c r="L165" t="s">
        <v>1625</v>
      </c>
      <c r="M165" t="s">
        <v>1625</v>
      </c>
      <c r="N165" t="s">
        <v>1355</v>
      </c>
      <c r="O165" t="s">
        <v>1359</v>
      </c>
      <c r="P165">
        <v>1</v>
      </c>
      <c r="Q165">
        <v>1</v>
      </c>
      <c r="R165">
        <v>0</v>
      </c>
      <c r="S165" t="s">
        <v>1355</v>
      </c>
      <c r="T165">
        <v>0</v>
      </c>
      <c r="U165">
        <v>0</v>
      </c>
      <c r="V165">
        <v>0</v>
      </c>
      <c r="W165" t="s">
        <v>1355</v>
      </c>
      <c r="X165" t="s">
        <v>1355</v>
      </c>
      <c r="Y165" t="s">
        <v>1355</v>
      </c>
      <c r="Z165">
        <v>0</v>
      </c>
      <c r="AA165">
        <v>0</v>
      </c>
      <c r="AB165">
        <v>0</v>
      </c>
      <c r="AC165" s="294">
        <v>41836</v>
      </c>
      <c r="AD165" s="294">
        <v>73050</v>
      </c>
      <c r="AE165" s="294">
        <v>41836</v>
      </c>
      <c r="AF165" t="s">
        <v>1367</v>
      </c>
      <c r="AG165">
        <v>0</v>
      </c>
      <c r="AH165" t="s">
        <v>1710</v>
      </c>
      <c r="AI165">
        <v>1</v>
      </c>
      <c r="AJ165">
        <v>1</v>
      </c>
      <c r="AK165">
        <v>0</v>
      </c>
      <c r="AL165">
        <v>1</v>
      </c>
      <c r="AM165" t="s">
        <v>1355</v>
      </c>
      <c r="AN165" t="s">
        <v>1357</v>
      </c>
      <c r="AO165">
        <v>73.83</v>
      </c>
      <c r="AP165">
        <v>3</v>
      </c>
      <c r="AQ165">
        <v>0</v>
      </c>
      <c r="AR165">
        <v>62.305619999999998</v>
      </c>
      <c r="AS165">
        <v>73.83</v>
      </c>
      <c r="AT165">
        <v>1</v>
      </c>
    </row>
    <row r="166" spans="1:46" hidden="1" x14ac:dyDescent="0.2">
      <c r="A166" t="s">
        <v>1631</v>
      </c>
      <c r="B166" t="s">
        <v>1632</v>
      </c>
      <c r="C166" t="s">
        <v>1631</v>
      </c>
      <c r="D166" t="s">
        <v>1355</v>
      </c>
      <c r="E166" t="s">
        <v>1356</v>
      </c>
      <c r="F166" t="s">
        <v>1357</v>
      </c>
      <c r="G166" t="s">
        <v>1355</v>
      </c>
      <c r="H166" t="s">
        <v>1358</v>
      </c>
      <c r="I166" t="s">
        <v>1284</v>
      </c>
      <c r="J166">
        <v>2</v>
      </c>
      <c r="K166">
        <v>20</v>
      </c>
      <c r="L166" t="s">
        <v>1631</v>
      </c>
      <c r="M166" t="s">
        <v>1631</v>
      </c>
      <c r="N166" t="s">
        <v>1355</v>
      </c>
      <c r="O166" t="s">
        <v>1359</v>
      </c>
      <c r="P166">
        <v>1</v>
      </c>
      <c r="Q166">
        <v>1</v>
      </c>
      <c r="R166">
        <v>0</v>
      </c>
      <c r="S166" t="s">
        <v>1355</v>
      </c>
      <c r="T166">
        <v>0</v>
      </c>
      <c r="U166">
        <v>0</v>
      </c>
      <c r="V166">
        <v>0</v>
      </c>
      <c r="W166" t="s">
        <v>1355</v>
      </c>
      <c r="X166" t="s">
        <v>1355</v>
      </c>
      <c r="Y166" t="s">
        <v>1355</v>
      </c>
      <c r="Z166">
        <v>0</v>
      </c>
      <c r="AA166">
        <v>0</v>
      </c>
      <c r="AB166">
        <v>0</v>
      </c>
      <c r="AC166" s="294">
        <v>41841</v>
      </c>
      <c r="AD166" s="294">
        <v>73050</v>
      </c>
      <c r="AE166" s="294">
        <v>41841</v>
      </c>
      <c r="AF166" t="s">
        <v>1358</v>
      </c>
      <c r="AG166">
        <v>0</v>
      </c>
      <c r="AH166" t="s">
        <v>1711</v>
      </c>
      <c r="AI166">
        <v>1</v>
      </c>
      <c r="AJ166">
        <v>1</v>
      </c>
      <c r="AK166">
        <v>0</v>
      </c>
      <c r="AL166">
        <v>1</v>
      </c>
      <c r="AM166" t="s">
        <v>1362</v>
      </c>
      <c r="AN166" t="s">
        <v>1357</v>
      </c>
      <c r="AO166">
        <v>456.94900000000001</v>
      </c>
      <c r="AP166">
        <v>2</v>
      </c>
      <c r="AQ166">
        <v>0</v>
      </c>
      <c r="AR166">
        <v>457.13198999999997</v>
      </c>
      <c r="AS166">
        <v>456.94900000000001</v>
      </c>
      <c r="AT166">
        <v>1</v>
      </c>
    </row>
    <row r="167" spans="1:46" hidden="1" x14ac:dyDescent="0.2">
      <c r="A167" t="s">
        <v>1634</v>
      </c>
      <c r="B167" t="s">
        <v>1635</v>
      </c>
      <c r="C167" t="s">
        <v>1634</v>
      </c>
      <c r="D167" t="s">
        <v>1355</v>
      </c>
      <c r="E167" t="s">
        <v>1356</v>
      </c>
      <c r="F167" t="s">
        <v>1357</v>
      </c>
      <c r="G167" t="s">
        <v>1355</v>
      </c>
      <c r="H167" t="s">
        <v>1367</v>
      </c>
      <c r="I167" t="s">
        <v>1631</v>
      </c>
      <c r="J167">
        <v>1</v>
      </c>
      <c r="K167">
        <v>10</v>
      </c>
      <c r="L167" t="s">
        <v>1634</v>
      </c>
      <c r="M167" t="s">
        <v>1634</v>
      </c>
      <c r="N167" t="s">
        <v>1355</v>
      </c>
      <c r="O167" t="s">
        <v>1359</v>
      </c>
      <c r="P167">
        <v>2</v>
      </c>
      <c r="Q167">
        <v>2</v>
      </c>
      <c r="R167">
        <v>0</v>
      </c>
      <c r="S167" t="s">
        <v>1355</v>
      </c>
      <c r="T167">
        <v>0</v>
      </c>
      <c r="U167">
        <v>0</v>
      </c>
      <c r="V167">
        <v>0</v>
      </c>
      <c r="W167" t="s">
        <v>1355</v>
      </c>
      <c r="X167" t="s">
        <v>1355</v>
      </c>
      <c r="Y167" t="s">
        <v>1355</v>
      </c>
      <c r="Z167">
        <v>0</v>
      </c>
      <c r="AA167">
        <v>0</v>
      </c>
      <c r="AB167">
        <v>0</v>
      </c>
      <c r="AC167" s="294">
        <v>41836</v>
      </c>
      <c r="AD167" s="294">
        <v>73050</v>
      </c>
      <c r="AE167" s="294">
        <v>41836</v>
      </c>
      <c r="AF167" t="s">
        <v>1367</v>
      </c>
      <c r="AG167">
        <v>0</v>
      </c>
      <c r="AH167" t="s">
        <v>1712</v>
      </c>
      <c r="AI167">
        <v>2</v>
      </c>
      <c r="AJ167">
        <v>2</v>
      </c>
      <c r="AK167">
        <v>0</v>
      </c>
      <c r="AL167">
        <v>2</v>
      </c>
      <c r="AM167" t="s">
        <v>1355</v>
      </c>
      <c r="AN167" t="s">
        <v>1357</v>
      </c>
      <c r="AO167">
        <v>36.590000000000003</v>
      </c>
      <c r="AP167">
        <v>3</v>
      </c>
      <c r="AQ167">
        <v>0</v>
      </c>
      <c r="AR167">
        <v>36.148580000000003</v>
      </c>
      <c r="AS167">
        <v>36.590000000000003</v>
      </c>
      <c r="AT167">
        <v>1</v>
      </c>
    </row>
    <row r="168" spans="1:46" hidden="1" x14ac:dyDescent="0.2">
      <c r="A168" t="s">
        <v>1637</v>
      </c>
      <c r="B168" t="s">
        <v>1638</v>
      </c>
      <c r="C168" t="s">
        <v>1637</v>
      </c>
      <c r="D168" t="s">
        <v>1355</v>
      </c>
      <c r="E168" t="s">
        <v>1356</v>
      </c>
      <c r="F168" t="s">
        <v>1357</v>
      </c>
      <c r="G168" t="s">
        <v>1355</v>
      </c>
      <c r="H168" t="s">
        <v>1367</v>
      </c>
      <c r="I168" t="s">
        <v>1631</v>
      </c>
      <c r="J168">
        <v>2</v>
      </c>
      <c r="K168">
        <v>20</v>
      </c>
      <c r="L168" t="s">
        <v>1637</v>
      </c>
      <c r="M168" t="s">
        <v>1637</v>
      </c>
      <c r="N168" t="s">
        <v>1355</v>
      </c>
      <c r="O168" t="s">
        <v>1359</v>
      </c>
      <c r="P168">
        <v>1</v>
      </c>
      <c r="Q168">
        <v>1</v>
      </c>
      <c r="R168">
        <v>0</v>
      </c>
      <c r="S168" t="s">
        <v>1355</v>
      </c>
      <c r="T168">
        <v>0</v>
      </c>
      <c r="U168">
        <v>0</v>
      </c>
      <c r="V168">
        <v>0</v>
      </c>
      <c r="W168" t="s">
        <v>1355</v>
      </c>
      <c r="X168" t="s">
        <v>1355</v>
      </c>
      <c r="Y168" t="s">
        <v>1355</v>
      </c>
      <c r="Z168">
        <v>0</v>
      </c>
      <c r="AA168">
        <v>0</v>
      </c>
      <c r="AB168">
        <v>0</v>
      </c>
      <c r="AC168" s="294">
        <v>41836</v>
      </c>
      <c r="AD168" s="294">
        <v>73050</v>
      </c>
      <c r="AE168" s="294">
        <v>41836</v>
      </c>
      <c r="AF168" t="s">
        <v>1367</v>
      </c>
      <c r="AG168">
        <v>0</v>
      </c>
      <c r="AH168" t="s">
        <v>1713</v>
      </c>
      <c r="AI168">
        <v>1</v>
      </c>
      <c r="AJ168">
        <v>1</v>
      </c>
      <c r="AK168">
        <v>0</v>
      </c>
      <c r="AL168">
        <v>1</v>
      </c>
      <c r="AM168" t="s">
        <v>1355</v>
      </c>
      <c r="AN168" t="s">
        <v>1357</v>
      </c>
      <c r="AO168">
        <v>63.4</v>
      </c>
      <c r="AP168">
        <v>3</v>
      </c>
      <c r="AQ168">
        <v>0</v>
      </c>
      <c r="AR168">
        <v>63.4</v>
      </c>
      <c r="AS168">
        <v>63.4</v>
      </c>
      <c r="AT168">
        <v>1</v>
      </c>
    </row>
    <row r="169" spans="1:46" hidden="1" x14ac:dyDescent="0.2">
      <c r="A169" t="s">
        <v>1640</v>
      </c>
      <c r="B169" t="s">
        <v>1641</v>
      </c>
      <c r="C169" t="s">
        <v>1640</v>
      </c>
      <c r="D169" t="s">
        <v>1355</v>
      </c>
      <c r="E169" t="s">
        <v>1356</v>
      </c>
      <c r="F169" t="s">
        <v>1357</v>
      </c>
      <c r="G169" t="s">
        <v>1355</v>
      </c>
      <c r="H169" t="s">
        <v>1367</v>
      </c>
      <c r="I169" t="s">
        <v>1631</v>
      </c>
      <c r="J169">
        <v>3</v>
      </c>
      <c r="K169">
        <v>30</v>
      </c>
      <c r="L169" t="s">
        <v>1640</v>
      </c>
      <c r="M169" t="s">
        <v>1640</v>
      </c>
      <c r="N169" t="s">
        <v>1355</v>
      </c>
      <c r="O169" t="s">
        <v>1359</v>
      </c>
      <c r="P169">
        <v>3</v>
      </c>
      <c r="Q169">
        <v>3</v>
      </c>
      <c r="R169">
        <v>0</v>
      </c>
      <c r="S169" t="s">
        <v>1355</v>
      </c>
      <c r="T169">
        <v>0</v>
      </c>
      <c r="U169">
        <v>0</v>
      </c>
      <c r="V169">
        <v>0</v>
      </c>
      <c r="W169" t="s">
        <v>1355</v>
      </c>
      <c r="X169" t="s">
        <v>1355</v>
      </c>
      <c r="Y169" t="s">
        <v>1355</v>
      </c>
      <c r="Z169">
        <v>0</v>
      </c>
      <c r="AA169">
        <v>0</v>
      </c>
      <c r="AB169">
        <v>0</v>
      </c>
      <c r="AC169" s="294">
        <v>41836</v>
      </c>
      <c r="AD169" s="294">
        <v>73050</v>
      </c>
      <c r="AE169" s="294">
        <v>41836</v>
      </c>
      <c r="AF169" t="s">
        <v>1367</v>
      </c>
      <c r="AG169">
        <v>0</v>
      </c>
      <c r="AH169" t="s">
        <v>1714</v>
      </c>
      <c r="AI169">
        <v>3</v>
      </c>
      <c r="AJ169">
        <v>3</v>
      </c>
      <c r="AK169">
        <v>0</v>
      </c>
      <c r="AL169">
        <v>3</v>
      </c>
      <c r="AM169" t="s">
        <v>1355</v>
      </c>
      <c r="AN169" t="s">
        <v>1357</v>
      </c>
      <c r="AO169">
        <v>14.882999999999999</v>
      </c>
      <c r="AP169">
        <v>3</v>
      </c>
      <c r="AQ169">
        <v>0</v>
      </c>
      <c r="AR169">
        <v>14.882999999999999</v>
      </c>
      <c r="AS169">
        <v>14.882999999999999</v>
      </c>
      <c r="AT169">
        <v>1</v>
      </c>
    </row>
    <row r="170" spans="1:46" hidden="1" x14ac:dyDescent="0.2">
      <c r="A170" t="s">
        <v>1643</v>
      </c>
      <c r="B170" t="s">
        <v>1644</v>
      </c>
      <c r="C170" t="s">
        <v>1643</v>
      </c>
      <c r="D170" t="s">
        <v>1355</v>
      </c>
      <c r="E170" t="s">
        <v>1356</v>
      </c>
      <c r="F170" t="s">
        <v>1357</v>
      </c>
      <c r="G170" t="s">
        <v>1355</v>
      </c>
      <c r="H170" t="s">
        <v>1367</v>
      </c>
      <c r="I170" t="s">
        <v>1631</v>
      </c>
      <c r="J170">
        <v>4</v>
      </c>
      <c r="K170">
        <v>40</v>
      </c>
      <c r="L170" t="s">
        <v>1643</v>
      </c>
      <c r="M170" t="s">
        <v>1643</v>
      </c>
      <c r="N170" t="s">
        <v>1355</v>
      </c>
      <c r="O170" t="s">
        <v>1359</v>
      </c>
      <c r="P170">
        <v>1</v>
      </c>
      <c r="Q170">
        <v>1</v>
      </c>
      <c r="R170">
        <v>0</v>
      </c>
      <c r="S170" t="s">
        <v>1355</v>
      </c>
      <c r="T170">
        <v>0</v>
      </c>
      <c r="U170">
        <v>0</v>
      </c>
      <c r="V170">
        <v>0</v>
      </c>
      <c r="W170" t="s">
        <v>1355</v>
      </c>
      <c r="X170" t="s">
        <v>1355</v>
      </c>
      <c r="Y170" t="s">
        <v>1355</v>
      </c>
      <c r="Z170">
        <v>0</v>
      </c>
      <c r="AA170">
        <v>0</v>
      </c>
      <c r="AB170">
        <v>0</v>
      </c>
      <c r="AC170" s="294">
        <v>41836</v>
      </c>
      <c r="AD170" s="294">
        <v>73050</v>
      </c>
      <c r="AE170" s="294">
        <v>41836</v>
      </c>
      <c r="AF170" t="s">
        <v>1367</v>
      </c>
      <c r="AG170">
        <v>0</v>
      </c>
      <c r="AH170" t="s">
        <v>1715</v>
      </c>
      <c r="AI170">
        <v>1</v>
      </c>
      <c r="AJ170">
        <v>1</v>
      </c>
      <c r="AK170">
        <v>0</v>
      </c>
      <c r="AL170">
        <v>1</v>
      </c>
      <c r="AM170" t="s">
        <v>1355</v>
      </c>
      <c r="AN170" t="s">
        <v>1357</v>
      </c>
      <c r="AO170">
        <v>53.665999999999997</v>
      </c>
      <c r="AP170">
        <v>3</v>
      </c>
      <c r="AQ170">
        <v>0</v>
      </c>
      <c r="AR170">
        <v>53.665999999999997</v>
      </c>
      <c r="AS170">
        <v>53.665999999999997</v>
      </c>
      <c r="AT170">
        <v>1</v>
      </c>
    </row>
    <row r="171" spans="1:46" hidden="1" x14ac:dyDescent="0.2">
      <c r="A171" t="s">
        <v>1646</v>
      </c>
      <c r="B171" t="s">
        <v>1647</v>
      </c>
      <c r="C171" t="s">
        <v>1646</v>
      </c>
      <c r="D171" t="s">
        <v>1355</v>
      </c>
      <c r="E171" t="s">
        <v>1356</v>
      </c>
      <c r="F171" t="s">
        <v>1357</v>
      </c>
      <c r="G171" t="s">
        <v>1355</v>
      </c>
      <c r="H171" t="s">
        <v>1367</v>
      </c>
      <c r="I171" t="s">
        <v>1631</v>
      </c>
      <c r="J171">
        <v>5</v>
      </c>
      <c r="K171">
        <v>50</v>
      </c>
      <c r="L171" t="s">
        <v>1646</v>
      </c>
      <c r="M171" t="s">
        <v>1646</v>
      </c>
      <c r="N171" t="s">
        <v>1355</v>
      </c>
      <c r="O171" t="s">
        <v>1359</v>
      </c>
      <c r="P171">
        <v>1</v>
      </c>
      <c r="Q171">
        <v>1</v>
      </c>
      <c r="R171">
        <v>0</v>
      </c>
      <c r="S171" t="s">
        <v>1355</v>
      </c>
      <c r="T171">
        <v>0</v>
      </c>
      <c r="U171">
        <v>0</v>
      </c>
      <c r="V171">
        <v>0</v>
      </c>
      <c r="W171" t="s">
        <v>1355</v>
      </c>
      <c r="X171" t="s">
        <v>1355</v>
      </c>
      <c r="Y171" t="s">
        <v>1355</v>
      </c>
      <c r="Z171">
        <v>0</v>
      </c>
      <c r="AA171">
        <v>0</v>
      </c>
      <c r="AB171">
        <v>0</v>
      </c>
      <c r="AC171" s="294">
        <v>41836</v>
      </c>
      <c r="AD171" s="294">
        <v>73050</v>
      </c>
      <c r="AE171" s="294">
        <v>41836</v>
      </c>
      <c r="AF171" t="s">
        <v>1367</v>
      </c>
      <c r="AG171">
        <v>0</v>
      </c>
      <c r="AH171" t="s">
        <v>1716</v>
      </c>
      <c r="AI171">
        <v>1</v>
      </c>
      <c r="AJ171">
        <v>1</v>
      </c>
      <c r="AK171">
        <v>0</v>
      </c>
      <c r="AL171">
        <v>1</v>
      </c>
      <c r="AM171" t="s">
        <v>1355</v>
      </c>
      <c r="AN171" t="s">
        <v>1357</v>
      </c>
      <c r="AO171">
        <v>11.87</v>
      </c>
      <c r="AP171">
        <v>3</v>
      </c>
      <c r="AQ171">
        <v>0</v>
      </c>
      <c r="AR171">
        <v>12.785209999999999</v>
      </c>
      <c r="AS171">
        <v>11.87</v>
      </c>
      <c r="AT171">
        <v>1</v>
      </c>
    </row>
    <row r="172" spans="1:46" hidden="1" x14ac:dyDescent="0.2">
      <c r="A172" t="s">
        <v>1649</v>
      </c>
      <c r="B172" t="s">
        <v>1650</v>
      </c>
      <c r="C172" t="s">
        <v>1649</v>
      </c>
      <c r="D172" t="s">
        <v>1355</v>
      </c>
      <c r="E172" t="s">
        <v>1356</v>
      </c>
      <c r="F172" t="s">
        <v>1357</v>
      </c>
      <c r="G172" t="s">
        <v>1355</v>
      </c>
      <c r="H172" t="s">
        <v>1367</v>
      </c>
      <c r="I172" t="s">
        <v>1631</v>
      </c>
      <c r="J172">
        <v>6</v>
      </c>
      <c r="K172">
        <v>60</v>
      </c>
      <c r="L172" t="s">
        <v>1649</v>
      </c>
      <c r="M172" t="s">
        <v>1649</v>
      </c>
      <c r="N172" t="s">
        <v>1355</v>
      </c>
      <c r="O172" t="s">
        <v>1359</v>
      </c>
      <c r="P172">
        <v>1</v>
      </c>
      <c r="Q172">
        <v>1</v>
      </c>
      <c r="R172">
        <v>0</v>
      </c>
      <c r="S172" t="s">
        <v>1355</v>
      </c>
      <c r="T172">
        <v>0</v>
      </c>
      <c r="U172">
        <v>0</v>
      </c>
      <c r="V172">
        <v>0</v>
      </c>
      <c r="W172" t="s">
        <v>1355</v>
      </c>
      <c r="X172" t="s">
        <v>1355</v>
      </c>
      <c r="Y172" t="s">
        <v>1355</v>
      </c>
      <c r="Z172">
        <v>0</v>
      </c>
      <c r="AA172">
        <v>0</v>
      </c>
      <c r="AB172">
        <v>0</v>
      </c>
      <c r="AC172" s="294">
        <v>41836</v>
      </c>
      <c r="AD172" s="294">
        <v>73050</v>
      </c>
      <c r="AE172" s="294">
        <v>41836</v>
      </c>
      <c r="AF172" t="s">
        <v>1367</v>
      </c>
      <c r="AG172">
        <v>0</v>
      </c>
      <c r="AH172" t="s">
        <v>1717</v>
      </c>
      <c r="AI172">
        <v>1</v>
      </c>
      <c r="AJ172">
        <v>1</v>
      </c>
      <c r="AK172">
        <v>0</v>
      </c>
      <c r="AL172">
        <v>1</v>
      </c>
      <c r="AM172" t="s">
        <v>1355</v>
      </c>
      <c r="AN172" t="s">
        <v>1357</v>
      </c>
      <c r="AO172">
        <v>28.796669999999999</v>
      </c>
      <c r="AP172">
        <v>3</v>
      </c>
      <c r="AQ172">
        <v>0</v>
      </c>
      <c r="AR172">
        <v>28.506070000000001</v>
      </c>
      <c r="AS172">
        <v>28.796669999999999</v>
      </c>
      <c r="AT172">
        <v>1</v>
      </c>
    </row>
    <row r="173" spans="1:46" hidden="1" x14ac:dyDescent="0.2">
      <c r="A173" t="s">
        <v>1652</v>
      </c>
      <c r="B173" t="s">
        <v>1653</v>
      </c>
      <c r="C173" t="s">
        <v>1652</v>
      </c>
      <c r="D173" t="s">
        <v>1355</v>
      </c>
      <c r="E173" t="s">
        <v>1356</v>
      </c>
      <c r="F173" t="s">
        <v>1357</v>
      </c>
      <c r="G173" t="s">
        <v>1355</v>
      </c>
      <c r="H173" t="s">
        <v>1367</v>
      </c>
      <c r="I173" t="s">
        <v>1631</v>
      </c>
      <c r="J173">
        <v>7</v>
      </c>
      <c r="K173">
        <v>70</v>
      </c>
      <c r="L173" t="s">
        <v>1652</v>
      </c>
      <c r="M173" t="s">
        <v>1652</v>
      </c>
      <c r="N173" t="s">
        <v>1355</v>
      </c>
      <c r="O173" t="s">
        <v>1359</v>
      </c>
      <c r="P173">
        <v>1</v>
      </c>
      <c r="Q173">
        <v>1</v>
      </c>
      <c r="R173">
        <v>0</v>
      </c>
      <c r="S173" t="s">
        <v>1355</v>
      </c>
      <c r="T173">
        <v>0</v>
      </c>
      <c r="U173">
        <v>0</v>
      </c>
      <c r="V173">
        <v>0</v>
      </c>
      <c r="W173" t="s">
        <v>1355</v>
      </c>
      <c r="X173" t="s">
        <v>1355</v>
      </c>
      <c r="Y173" t="s">
        <v>1355</v>
      </c>
      <c r="Z173">
        <v>0</v>
      </c>
      <c r="AA173">
        <v>0</v>
      </c>
      <c r="AB173">
        <v>0</v>
      </c>
      <c r="AC173" s="294">
        <v>41836</v>
      </c>
      <c r="AD173" s="294">
        <v>73050</v>
      </c>
      <c r="AE173" s="294">
        <v>41836</v>
      </c>
      <c r="AF173" t="s">
        <v>1367</v>
      </c>
      <c r="AG173">
        <v>0</v>
      </c>
      <c r="AH173" t="s">
        <v>1718</v>
      </c>
      <c r="AI173">
        <v>1</v>
      </c>
      <c r="AJ173">
        <v>1</v>
      </c>
      <c r="AK173">
        <v>0</v>
      </c>
      <c r="AL173">
        <v>1</v>
      </c>
      <c r="AM173" t="s">
        <v>1355</v>
      </c>
      <c r="AN173" t="s">
        <v>1357</v>
      </c>
      <c r="AO173">
        <v>156.25</v>
      </c>
      <c r="AP173">
        <v>3</v>
      </c>
      <c r="AQ173">
        <v>0</v>
      </c>
      <c r="AR173">
        <v>156.25</v>
      </c>
      <c r="AS173">
        <v>156.25</v>
      </c>
      <c r="AT173">
        <v>1</v>
      </c>
    </row>
    <row r="174" spans="1:46" hidden="1" x14ac:dyDescent="0.2">
      <c r="A174" t="s">
        <v>1655</v>
      </c>
      <c r="B174" t="s">
        <v>1656</v>
      </c>
      <c r="C174" t="s">
        <v>1655</v>
      </c>
      <c r="D174" t="s">
        <v>1355</v>
      </c>
      <c r="E174" t="s">
        <v>1356</v>
      </c>
      <c r="F174" t="s">
        <v>1357</v>
      </c>
      <c r="G174" t="s">
        <v>1355</v>
      </c>
      <c r="H174" t="s">
        <v>1367</v>
      </c>
      <c r="I174" t="s">
        <v>1631</v>
      </c>
      <c r="J174">
        <v>8</v>
      </c>
      <c r="K174">
        <v>80</v>
      </c>
      <c r="L174" t="s">
        <v>1655</v>
      </c>
      <c r="M174" t="s">
        <v>1655</v>
      </c>
      <c r="N174" t="s">
        <v>1355</v>
      </c>
      <c r="O174" t="s">
        <v>1359</v>
      </c>
      <c r="P174">
        <v>1</v>
      </c>
      <c r="Q174">
        <v>1</v>
      </c>
      <c r="R174">
        <v>0</v>
      </c>
      <c r="S174" t="s">
        <v>1355</v>
      </c>
      <c r="T174">
        <v>0</v>
      </c>
      <c r="U174">
        <v>0</v>
      </c>
      <c r="V174">
        <v>0</v>
      </c>
      <c r="W174" t="s">
        <v>1355</v>
      </c>
      <c r="X174" t="s">
        <v>1355</v>
      </c>
      <c r="Y174" t="s">
        <v>1355</v>
      </c>
      <c r="Z174">
        <v>0</v>
      </c>
      <c r="AA174">
        <v>0</v>
      </c>
      <c r="AB174">
        <v>0</v>
      </c>
      <c r="AC174" s="294">
        <v>41836</v>
      </c>
      <c r="AD174" s="294">
        <v>73050</v>
      </c>
      <c r="AE174" s="294">
        <v>41836</v>
      </c>
      <c r="AF174" t="s">
        <v>1367</v>
      </c>
      <c r="AG174">
        <v>0</v>
      </c>
      <c r="AH174" t="s">
        <v>1719</v>
      </c>
      <c r="AI174">
        <v>1</v>
      </c>
      <c r="AJ174">
        <v>1</v>
      </c>
      <c r="AK174">
        <v>0</v>
      </c>
      <c r="AL174">
        <v>1</v>
      </c>
      <c r="AM174" t="s">
        <v>1355</v>
      </c>
      <c r="AN174" t="s">
        <v>1357</v>
      </c>
      <c r="AO174">
        <v>1.94333</v>
      </c>
      <c r="AP174">
        <v>3</v>
      </c>
      <c r="AQ174">
        <v>0</v>
      </c>
      <c r="AR174">
        <v>1.94313</v>
      </c>
      <c r="AS174">
        <v>1.94333</v>
      </c>
      <c r="AT174">
        <v>1</v>
      </c>
    </row>
    <row r="175" spans="1:46" hidden="1" x14ac:dyDescent="0.2">
      <c r="A175" t="s">
        <v>1658</v>
      </c>
      <c r="B175" t="s">
        <v>1659</v>
      </c>
      <c r="C175" t="s">
        <v>1658</v>
      </c>
      <c r="D175" t="s">
        <v>1355</v>
      </c>
      <c r="E175" t="s">
        <v>1356</v>
      </c>
      <c r="F175" t="s">
        <v>1357</v>
      </c>
      <c r="G175" t="s">
        <v>1355</v>
      </c>
      <c r="H175" t="s">
        <v>1367</v>
      </c>
      <c r="I175" t="s">
        <v>1631</v>
      </c>
      <c r="J175">
        <v>9</v>
      </c>
      <c r="K175">
        <v>90</v>
      </c>
      <c r="L175" t="s">
        <v>1658</v>
      </c>
      <c r="M175" t="s">
        <v>1658</v>
      </c>
      <c r="N175" t="s">
        <v>1355</v>
      </c>
      <c r="O175" t="s">
        <v>1359</v>
      </c>
      <c r="P175">
        <v>1</v>
      </c>
      <c r="Q175">
        <v>1</v>
      </c>
      <c r="R175">
        <v>0</v>
      </c>
      <c r="S175" t="s">
        <v>1355</v>
      </c>
      <c r="T175">
        <v>0</v>
      </c>
      <c r="U175">
        <v>0</v>
      </c>
      <c r="V175">
        <v>0</v>
      </c>
      <c r="W175" t="s">
        <v>1355</v>
      </c>
      <c r="X175" t="s">
        <v>1355</v>
      </c>
      <c r="Y175" t="s">
        <v>1355</v>
      </c>
      <c r="Z175">
        <v>0</v>
      </c>
      <c r="AA175">
        <v>0</v>
      </c>
      <c r="AB175">
        <v>0</v>
      </c>
      <c r="AC175" s="294">
        <v>41836</v>
      </c>
      <c r="AD175" s="294">
        <v>73050</v>
      </c>
      <c r="AE175" s="294">
        <v>41836</v>
      </c>
      <c r="AF175" t="s">
        <v>1367</v>
      </c>
      <c r="AG175">
        <v>0</v>
      </c>
      <c r="AH175" t="s">
        <v>1720</v>
      </c>
      <c r="AI175">
        <v>1</v>
      </c>
      <c r="AJ175">
        <v>1</v>
      </c>
      <c r="AK175">
        <v>0</v>
      </c>
      <c r="AL175">
        <v>1</v>
      </c>
      <c r="AM175" t="s">
        <v>1355</v>
      </c>
      <c r="AN175" t="s">
        <v>1357</v>
      </c>
      <c r="AO175">
        <v>89.55</v>
      </c>
      <c r="AP175">
        <v>3</v>
      </c>
      <c r="AQ175">
        <v>0</v>
      </c>
      <c r="AR175">
        <v>89.55</v>
      </c>
      <c r="AS175">
        <v>89.55</v>
      </c>
      <c r="AT175">
        <v>1</v>
      </c>
    </row>
    <row r="176" spans="1:46" hidden="1" x14ac:dyDescent="0.2">
      <c r="A176" t="s">
        <v>1661</v>
      </c>
      <c r="B176" t="s">
        <v>1662</v>
      </c>
      <c r="C176" t="s">
        <v>1661</v>
      </c>
      <c r="D176" t="s">
        <v>1355</v>
      </c>
      <c r="E176" t="s">
        <v>1356</v>
      </c>
      <c r="F176" t="s">
        <v>1357</v>
      </c>
      <c r="G176" t="s">
        <v>1355</v>
      </c>
      <c r="H176" t="s">
        <v>1358</v>
      </c>
      <c r="I176" t="s">
        <v>1284</v>
      </c>
      <c r="J176">
        <v>3</v>
      </c>
      <c r="K176">
        <v>30</v>
      </c>
      <c r="L176" t="s">
        <v>1661</v>
      </c>
      <c r="M176" t="s">
        <v>1661</v>
      </c>
      <c r="N176" t="s">
        <v>1355</v>
      </c>
      <c r="O176" t="s">
        <v>1359</v>
      </c>
      <c r="P176">
        <v>1</v>
      </c>
      <c r="Q176">
        <v>1</v>
      </c>
      <c r="R176">
        <v>0</v>
      </c>
      <c r="S176" t="s">
        <v>1355</v>
      </c>
      <c r="T176">
        <v>0</v>
      </c>
      <c r="U176">
        <v>0</v>
      </c>
      <c r="V176">
        <v>0</v>
      </c>
      <c r="W176" t="s">
        <v>1355</v>
      </c>
      <c r="X176" t="s">
        <v>1355</v>
      </c>
      <c r="Y176" t="s">
        <v>1355</v>
      </c>
      <c r="Z176">
        <v>0</v>
      </c>
      <c r="AA176">
        <v>0</v>
      </c>
      <c r="AB176">
        <v>0</v>
      </c>
      <c r="AC176" s="294">
        <v>41841</v>
      </c>
      <c r="AD176" s="294">
        <v>73050</v>
      </c>
      <c r="AE176" s="294">
        <v>41841</v>
      </c>
      <c r="AF176" t="s">
        <v>1358</v>
      </c>
      <c r="AG176">
        <v>0</v>
      </c>
      <c r="AH176" t="s">
        <v>1721</v>
      </c>
      <c r="AI176">
        <v>1</v>
      </c>
      <c r="AJ176">
        <v>1</v>
      </c>
      <c r="AK176">
        <v>0</v>
      </c>
      <c r="AL176">
        <v>1</v>
      </c>
      <c r="AM176" t="s">
        <v>1362</v>
      </c>
      <c r="AN176" t="s">
        <v>1357</v>
      </c>
      <c r="AO176">
        <v>26.19725</v>
      </c>
      <c r="AP176">
        <v>2</v>
      </c>
      <c r="AQ176">
        <v>0</v>
      </c>
      <c r="AR176">
        <v>25.99905</v>
      </c>
      <c r="AS176">
        <v>26.19725</v>
      </c>
      <c r="AT176">
        <v>1</v>
      </c>
    </row>
    <row r="177" spans="1:46" hidden="1" x14ac:dyDescent="0.2">
      <c r="A177" t="s">
        <v>1499</v>
      </c>
      <c r="B177" t="s">
        <v>1500</v>
      </c>
      <c r="C177" t="s">
        <v>1499</v>
      </c>
      <c r="D177" t="s">
        <v>1355</v>
      </c>
      <c r="E177" t="s">
        <v>1356</v>
      </c>
      <c r="F177" t="s">
        <v>1357</v>
      </c>
      <c r="G177" t="s">
        <v>1355</v>
      </c>
      <c r="H177" t="s">
        <v>1367</v>
      </c>
      <c r="I177" t="s">
        <v>1661</v>
      </c>
      <c r="J177">
        <v>1</v>
      </c>
      <c r="K177">
        <v>10</v>
      </c>
      <c r="L177" t="s">
        <v>1499</v>
      </c>
      <c r="M177" t="s">
        <v>1499</v>
      </c>
      <c r="N177" t="s">
        <v>1355</v>
      </c>
      <c r="O177" t="s">
        <v>1359</v>
      </c>
      <c r="P177">
        <v>3</v>
      </c>
      <c r="Q177">
        <v>3</v>
      </c>
      <c r="R177">
        <v>0</v>
      </c>
      <c r="S177" t="s">
        <v>1355</v>
      </c>
      <c r="T177">
        <v>0</v>
      </c>
      <c r="U177">
        <v>0</v>
      </c>
      <c r="V177">
        <v>0</v>
      </c>
      <c r="W177" t="s">
        <v>1355</v>
      </c>
      <c r="X177" t="s">
        <v>1355</v>
      </c>
      <c r="Y177" t="s">
        <v>1355</v>
      </c>
      <c r="Z177">
        <v>0</v>
      </c>
      <c r="AA177">
        <v>0</v>
      </c>
      <c r="AB177">
        <v>0</v>
      </c>
      <c r="AC177" s="294">
        <v>41836</v>
      </c>
      <c r="AD177" s="294">
        <v>73050</v>
      </c>
      <c r="AE177" s="294">
        <v>41836</v>
      </c>
      <c r="AF177" t="s">
        <v>1367</v>
      </c>
      <c r="AG177">
        <v>0</v>
      </c>
      <c r="AH177" t="s">
        <v>1722</v>
      </c>
      <c r="AI177">
        <v>3</v>
      </c>
      <c r="AJ177">
        <v>3</v>
      </c>
      <c r="AK177">
        <v>0</v>
      </c>
      <c r="AL177">
        <v>3</v>
      </c>
      <c r="AM177" t="s">
        <v>1355</v>
      </c>
      <c r="AN177" t="s">
        <v>1357</v>
      </c>
      <c r="AO177">
        <v>2.3328000000000002</v>
      </c>
      <c r="AP177">
        <v>3</v>
      </c>
      <c r="AQ177">
        <v>0</v>
      </c>
      <c r="AR177">
        <v>2.3128799999999998</v>
      </c>
      <c r="AS177">
        <v>2.3328000000000002</v>
      </c>
      <c r="AT177">
        <v>1</v>
      </c>
    </row>
    <row r="178" spans="1:46" hidden="1" x14ac:dyDescent="0.2">
      <c r="A178" t="s">
        <v>1665</v>
      </c>
      <c r="B178" t="s">
        <v>1666</v>
      </c>
      <c r="C178" t="s">
        <v>1665</v>
      </c>
      <c r="D178" t="s">
        <v>1355</v>
      </c>
      <c r="E178" t="s">
        <v>1356</v>
      </c>
      <c r="F178" t="s">
        <v>1357</v>
      </c>
      <c r="G178" t="s">
        <v>1355</v>
      </c>
      <c r="H178" t="s">
        <v>1367</v>
      </c>
      <c r="I178" t="s">
        <v>1661</v>
      </c>
      <c r="J178">
        <v>2</v>
      </c>
      <c r="K178">
        <v>20</v>
      </c>
      <c r="L178" t="s">
        <v>1665</v>
      </c>
      <c r="M178" t="s">
        <v>1665</v>
      </c>
      <c r="N178" t="s">
        <v>1355</v>
      </c>
      <c r="O178" t="s">
        <v>1359</v>
      </c>
      <c r="P178">
        <v>2</v>
      </c>
      <c r="Q178">
        <v>2</v>
      </c>
      <c r="R178">
        <v>0</v>
      </c>
      <c r="S178" t="s">
        <v>1355</v>
      </c>
      <c r="T178">
        <v>0</v>
      </c>
      <c r="U178">
        <v>0</v>
      </c>
      <c r="V178">
        <v>0</v>
      </c>
      <c r="W178" t="s">
        <v>1355</v>
      </c>
      <c r="X178" t="s">
        <v>1355</v>
      </c>
      <c r="Y178" t="s">
        <v>1355</v>
      </c>
      <c r="Z178">
        <v>0</v>
      </c>
      <c r="AA178">
        <v>0</v>
      </c>
      <c r="AB178">
        <v>0</v>
      </c>
      <c r="AC178" s="294">
        <v>41836</v>
      </c>
      <c r="AD178" s="294">
        <v>73050</v>
      </c>
      <c r="AE178" s="294">
        <v>41836</v>
      </c>
      <c r="AF178" t="s">
        <v>1367</v>
      </c>
      <c r="AG178">
        <v>0</v>
      </c>
      <c r="AH178" t="s">
        <v>1723</v>
      </c>
      <c r="AI178">
        <v>2</v>
      </c>
      <c r="AJ178">
        <v>2</v>
      </c>
      <c r="AK178">
        <v>0</v>
      </c>
      <c r="AL178">
        <v>2</v>
      </c>
      <c r="AM178" t="s">
        <v>1355</v>
      </c>
      <c r="AN178" t="s">
        <v>1357</v>
      </c>
      <c r="AO178">
        <v>5.58</v>
      </c>
      <c r="AP178">
        <v>3</v>
      </c>
      <c r="AQ178">
        <v>0</v>
      </c>
      <c r="AR178">
        <v>5.5378600000000002</v>
      </c>
      <c r="AS178">
        <v>5.58</v>
      </c>
      <c r="AT178">
        <v>1</v>
      </c>
    </row>
    <row r="179" spans="1:46" hidden="1" x14ac:dyDescent="0.2">
      <c r="A179" t="s">
        <v>1668</v>
      </c>
      <c r="B179" t="s">
        <v>1669</v>
      </c>
      <c r="C179" t="s">
        <v>1668</v>
      </c>
      <c r="D179" t="s">
        <v>1355</v>
      </c>
      <c r="E179" t="s">
        <v>1356</v>
      </c>
      <c r="F179" t="s">
        <v>1357</v>
      </c>
      <c r="G179" t="s">
        <v>1355</v>
      </c>
      <c r="H179" t="s">
        <v>1367</v>
      </c>
      <c r="I179" t="s">
        <v>1661</v>
      </c>
      <c r="J179">
        <v>3</v>
      </c>
      <c r="K179">
        <v>30</v>
      </c>
      <c r="L179" t="s">
        <v>1668</v>
      </c>
      <c r="M179" t="s">
        <v>1668</v>
      </c>
      <c r="N179" t="s">
        <v>1355</v>
      </c>
      <c r="O179" t="s">
        <v>1359</v>
      </c>
      <c r="P179">
        <v>1</v>
      </c>
      <c r="Q179">
        <v>1</v>
      </c>
      <c r="R179">
        <v>0</v>
      </c>
      <c r="S179" t="s">
        <v>1355</v>
      </c>
      <c r="T179">
        <v>0</v>
      </c>
      <c r="U179">
        <v>0</v>
      </c>
      <c r="V179">
        <v>0</v>
      </c>
      <c r="W179" t="s">
        <v>1355</v>
      </c>
      <c r="X179" t="s">
        <v>1355</v>
      </c>
      <c r="Y179" t="s">
        <v>1355</v>
      </c>
      <c r="Z179">
        <v>0</v>
      </c>
      <c r="AA179">
        <v>0</v>
      </c>
      <c r="AB179">
        <v>0</v>
      </c>
      <c r="AC179" s="294">
        <v>41836</v>
      </c>
      <c r="AD179" s="294">
        <v>73050</v>
      </c>
      <c r="AE179" s="294">
        <v>41836</v>
      </c>
      <c r="AF179" t="s">
        <v>1367</v>
      </c>
      <c r="AG179">
        <v>0</v>
      </c>
      <c r="AH179" t="s">
        <v>1724</v>
      </c>
      <c r="AI179">
        <v>1</v>
      </c>
      <c r="AJ179">
        <v>1</v>
      </c>
      <c r="AK179">
        <v>0</v>
      </c>
      <c r="AL179">
        <v>1</v>
      </c>
      <c r="AM179" t="s">
        <v>1355</v>
      </c>
      <c r="AN179" t="s">
        <v>1357</v>
      </c>
      <c r="AO179">
        <v>1.796</v>
      </c>
      <c r="AP179">
        <v>3</v>
      </c>
      <c r="AQ179">
        <v>0</v>
      </c>
      <c r="AR179">
        <v>1.796</v>
      </c>
      <c r="AS179">
        <v>1.796</v>
      </c>
      <c r="AT179">
        <v>1</v>
      </c>
    </row>
    <row r="180" spans="1:46" hidden="1" x14ac:dyDescent="0.2">
      <c r="A180" t="s">
        <v>1671</v>
      </c>
      <c r="B180" t="s">
        <v>1672</v>
      </c>
      <c r="C180" t="s">
        <v>1671</v>
      </c>
      <c r="D180" t="s">
        <v>1355</v>
      </c>
      <c r="E180" t="s">
        <v>1356</v>
      </c>
      <c r="F180" t="s">
        <v>1357</v>
      </c>
      <c r="G180" t="s">
        <v>1355</v>
      </c>
      <c r="H180" t="s">
        <v>1367</v>
      </c>
      <c r="I180" t="s">
        <v>1661</v>
      </c>
      <c r="J180">
        <v>4</v>
      </c>
      <c r="K180">
        <v>40</v>
      </c>
      <c r="L180" t="s">
        <v>1671</v>
      </c>
      <c r="M180" t="s">
        <v>1671</v>
      </c>
      <c r="N180" t="s">
        <v>1355</v>
      </c>
      <c r="O180" t="s">
        <v>1359</v>
      </c>
      <c r="P180">
        <v>1</v>
      </c>
      <c r="Q180">
        <v>1</v>
      </c>
      <c r="R180">
        <v>0</v>
      </c>
      <c r="S180" t="s">
        <v>1355</v>
      </c>
      <c r="T180">
        <v>0</v>
      </c>
      <c r="U180">
        <v>0</v>
      </c>
      <c r="V180">
        <v>0</v>
      </c>
      <c r="W180" t="s">
        <v>1355</v>
      </c>
      <c r="X180" t="s">
        <v>1355</v>
      </c>
      <c r="Y180" t="s">
        <v>1355</v>
      </c>
      <c r="Z180">
        <v>0</v>
      </c>
      <c r="AA180">
        <v>0</v>
      </c>
      <c r="AB180">
        <v>0</v>
      </c>
      <c r="AC180" s="294">
        <v>41836</v>
      </c>
      <c r="AD180" s="294">
        <v>73050</v>
      </c>
      <c r="AE180" s="294">
        <v>41836</v>
      </c>
      <c r="AF180" t="s">
        <v>1367</v>
      </c>
      <c r="AG180">
        <v>0</v>
      </c>
      <c r="AH180" t="s">
        <v>1725</v>
      </c>
      <c r="AI180">
        <v>1</v>
      </c>
      <c r="AJ180">
        <v>1</v>
      </c>
      <c r="AK180">
        <v>0</v>
      </c>
      <c r="AL180">
        <v>1</v>
      </c>
      <c r="AM180" t="s">
        <v>1355</v>
      </c>
      <c r="AN180" t="s">
        <v>1357</v>
      </c>
      <c r="AO180">
        <v>1.6452500000000001</v>
      </c>
      <c r="AP180">
        <v>3</v>
      </c>
      <c r="AQ180">
        <v>0</v>
      </c>
      <c r="AR180">
        <v>1.63103</v>
      </c>
      <c r="AS180">
        <v>1.6452500000000001</v>
      </c>
      <c r="AT180">
        <v>1</v>
      </c>
    </row>
    <row r="181" spans="1:46" hidden="1" x14ac:dyDescent="0.2">
      <c r="A181" t="s">
        <v>1674</v>
      </c>
      <c r="B181" t="s">
        <v>1675</v>
      </c>
      <c r="C181" t="s">
        <v>1674</v>
      </c>
      <c r="D181" t="s">
        <v>1355</v>
      </c>
      <c r="E181" t="s">
        <v>1356</v>
      </c>
      <c r="F181" t="s">
        <v>1357</v>
      </c>
      <c r="G181" t="s">
        <v>1355</v>
      </c>
      <c r="H181" t="s">
        <v>1367</v>
      </c>
      <c r="I181" t="s">
        <v>1661</v>
      </c>
      <c r="J181">
        <v>5</v>
      </c>
      <c r="K181">
        <v>50</v>
      </c>
      <c r="L181" t="s">
        <v>1674</v>
      </c>
      <c r="M181" t="s">
        <v>1674</v>
      </c>
      <c r="N181" t="s">
        <v>1355</v>
      </c>
      <c r="O181" t="s">
        <v>1359</v>
      </c>
      <c r="P181">
        <v>1</v>
      </c>
      <c r="Q181">
        <v>1</v>
      </c>
      <c r="R181">
        <v>0</v>
      </c>
      <c r="S181" t="s">
        <v>1355</v>
      </c>
      <c r="T181">
        <v>0</v>
      </c>
      <c r="U181">
        <v>0</v>
      </c>
      <c r="V181">
        <v>0</v>
      </c>
      <c r="W181" t="s">
        <v>1355</v>
      </c>
      <c r="X181" t="s">
        <v>1355</v>
      </c>
      <c r="Y181" t="s">
        <v>1355</v>
      </c>
      <c r="Z181">
        <v>0</v>
      </c>
      <c r="AA181">
        <v>0</v>
      </c>
      <c r="AB181">
        <v>0</v>
      </c>
      <c r="AC181" s="294">
        <v>41836</v>
      </c>
      <c r="AD181" s="294">
        <v>73050</v>
      </c>
      <c r="AE181" s="294">
        <v>41836</v>
      </c>
      <c r="AF181" t="s">
        <v>1367</v>
      </c>
      <c r="AG181">
        <v>0</v>
      </c>
      <c r="AH181" t="s">
        <v>1726</v>
      </c>
      <c r="AI181">
        <v>1</v>
      </c>
      <c r="AJ181">
        <v>1</v>
      </c>
      <c r="AK181">
        <v>0</v>
      </c>
      <c r="AL181">
        <v>1</v>
      </c>
      <c r="AM181" t="s">
        <v>1355</v>
      </c>
      <c r="AN181" t="s">
        <v>1357</v>
      </c>
      <c r="AO181">
        <v>2.5670000000000002</v>
      </c>
      <c r="AP181">
        <v>3</v>
      </c>
      <c r="AQ181">
        <v>0</v>
      </c>
      <c r="AR181">
        <v>2.5670000000000002</v>
      </c>
      <c r="AS181">
        <v>2.5670000000000002</v>
      </c>
      <c r="AT181">
        <v>1</v>
      </c>
    </row>
    <row r="182" spans="1:46" hidden="1" x14ac:dyDescent="0.2">
      <c r="A182" t="s">
        <v>1502</v>
      </c>
      <c r="B182" t="s">
        <v>1503</v>
      </c>
      <c r="C182" t="s">
        <v>1502</v>
      </c>
      <c r="D182" t="s">
        <v>1355</v>
      </c>
      <c r="E182" t="s">
        <v>1356</v>
      </c>
      <c r="F182" t="s">
        <v>1357</v>
      </c>
      <c r="G182" t="s">
        <v>1355</v>
      </c>
      <c r="H182" t="s">
        <v>1367</v>
      </c>
      <c r="I182" t="s">
        <v>1661</v>
      </c>
      <c r="J182">
        <v>6</v>
      </c>
      <c r="K182">
        <v>60</v>
      </c>
      <c r="L182" t="s">
        <v>1502</v>
      </c>
      <c r="M182" t="s">
        <v>1502</v>
      </c>
      <c r="N182" t="s">
        <v>1355</v>
      </c>
      <c r="O182" t="s">
        <v>1359</v>
      </c>
      <c r="P182">
        <v>1</v>
      </c>
      <c r="Q182">
        <v>1</v>
      </c>
      <c r="R182">
        <v>0</v>
      </c>
      <c r="S182" t="s">
        <v>1355</v>
      </c>
      <c r="T182">
        <v>0</v>
      </c>
      <c r="U182">
        <v>0</v>
      </c>
      <c r="V182">
        <v>0</v>
      </c>
      <c r="W182" t="s">
        <v>1355</v>
      </c>
      <c r="X182" t="s">
        <v>1355</v>
      </c>
      <c r="Y182" t="s">
        <v>1355</v>
      </c>
      <c r="Z182">
        <v>0</v>
      </c>
      <c r="AA182">
        <v>0</v>
      </c>
      <c r="AB182">
        <v>0</v>
      </c>
      <c r="AC182" s="294">
        <v>41836</v>
      </c>
      <c r="AD182" s="294">
        <v>73050</v>
      </c>
      <c r="AE182" s="294">
        <v>41836</v>
      </c>
      <c r="AF182" t="s">
        <v>1367</v>
      </c>
      <c r="AG182">
        <v>0</v>
      </c>
      <c r="AH182" t="s">
        <v>1727</v>
      </c>
      <c r="AI182">
        <v>1</v>
      </c>
      <c r="AJ182">
        <v>1</v>
      </c>
      <c r="AK182">
        <v>0</v>
      </c>
      <c r="AL182">
        <v>1</v>
      </c>
      <c r="AM182" t="s">
        <v>1355</v>
      </c>
      <c r="AN182" t="s">
        <v>1357</v>
      </c>
      <c r="AO182">
        <v>1.6452</v>
      </c>
      <c r="AP182">
        <v>3</v>
      </c>
      <c r="AQ182">
        <v>0</v>
      </c>
      <c r="AR182">
        <v>1.63289</v>
      </c>
      <c r="AS182">
        <v>1.6452</v>
      </c>
      <c r="AT182">
        <v>1</v>
      </c>
    </row>
    <row r="183" spans="1:46" hidden="1" x14ac:dyDescent="0.2">
      <c r="A183" t="s">
        <v>1505</v>
      </c>
      <c r="B183" t="s">
        <v>1506</v>
      </c>
      <c r="C183" t="s">
        <v>1505</v>
      </c>
      <c r="D183" t="s">
        <v>1355</v>
      </c>
      <c r="E183" t="s">
        <v>1356</v>
      </c>
      <c r="F183" t="s">
        <v>1357</v>
      </c>
      <c r="G183" t="s">
        <v>1355</v>
      </c>
      <c r="H183" t="s">
        <v>1367</v>
      </c>
      <c r="I183" t="s">
        <v>1661</v>
      </c>
      <c r="J183">
        <v>7</v>
      </c>
      <c r="K183">
        <v>70</v>
      </c>
      <c r="L183" t="s">
        <v>1505</v>
      </c>
      <c r="M183" t="s">
        <v>1505</v>
      </c>
      <c r="N183" t="s">
        <v>1355</v>
      </c>
      <c r="O183" t="s">
        <v>1359</v>
      </c>
      <c r="P183">
        <v>1</v>
      </c>
      <c r="Q183">
        <v>1</v>
      </c>
      <c r="R183">
        <v>0</v>
      </c>
      <c r="S183" t="s">
        <v>1355</v>
      </c>
      <c r="T183">
        <v>0</v>
      </c>
      <c r="U183">
        <v>0</v>
      </c>
      <c r="V183">
        <v>0</v>
      </c>
      <c r="W183" t="s">
        <v>1355</v>
      </c>
      <c r="X183" t="s">
        <v>1355</v>
      </c>
      <c r="Y183" t="s">
        <v>1355</v>
      </c>
      <c r="Z183">
        <v>0</v>
      </c>
      <c r="AA183">
        <v>0</v>
      </c>
      <c r="AB183">
        <v>0</v>
      </c>
      <c r="AC183" s="294">
        <v>41836</v>
      </c>
      <c r="AD183" s="294">
        <v>73050</v>
      </c>
      <c r="AE183" s="294">
        <v>41836</v>
      </c>
      <c r="AF183" t="s">
        <v>1367</v>
      </c>
      <c r="AG183">
        <v>0</v>
      </c>
      <c r="AH183" t="s">
        <v>1728</v>
      </c>
      <c r="AI183">
        <v>1</v>
      </c>
      <c r="AJ183">
        <v>1</v>
      </c>
      <c r="AK183">
        <v>0</v>
      </c>
      <c r="AL183">
        <v>1</v>
      </c>
      <c r="AM183" t="s">
        <v>1355</v>
      </c>
      <c r="AN183" t="s">
        <v>1357</v>
      </c>
      <c r="AO183">
        <v>2.9340000000000002</v>
      </c>
      <c r="AP183">
        <v>3</v>
      </c>
      <c r="AQ183">
        <v>0</v>
      </c>
      <c r="AR183">
        <v>2.9064199999999998</v>
      </c>
      <c r="AS183">
        <v>2.9340000000000002</v>
      </c>
      <c r="AT183">
        <v>1</v>
      </c>
    </row>
    <row r="184" spans="1:46" hidden="1" x14ac:dyDescent="0.2">
      <c r="A184" t="s">
        <v>1508</v>
      </c>
      <c r="B184" t="s">
        <v>1509</v>
      </c>
      <c r="C184" t="s">
        <v>1508</v>
      </c>
      <c r="D184" t="s">
        <v>1355</v>
      </c>
      <c r="E184" t="s">
        <v>1356</v>
      </c>
      <c r="F184" t="s">
        <v>1357</v>
      </c>
      <c r="G184" t="s">
        <v>1355</v>
      </c>
      <c r="H184" t="s">
        <v>1367</v>
      </c>
      <c r="I184" t="s">
        <v>1661</v>
      </c>
      <c r="J184">
        <v>8</v>
      </c>
      <c r="K184">
        <v>80</v>
      </c>
      <c r="L184" t="s">
        <v>1508</v>
      </c>
      <c r="M184" t="s">
        <v>1508</v>
      </c>
      <c r="N184" t="s">
        <v>1355</v>
      </c>
      <c r="O184" t="s">
        <v>1359</v>
      </c>
      <c r="P184">
        <v>1</v>
      </c>
      <c r="Q184">
        <v>1</v>
      </c>
      <c r="R184">
        <v>0</v>
      </c>
      <c r="S184" t="s">
        <v>1355</v>
      </c>
      <c r="T184">
        <v>0</v>
      </c>
      <c r="U184">
        <v>0</v>
      </c>
      <c r="V184">
        <v>0</v>
      </c>
      <c r="W184" t="s">
        <v>1355</v>
      </c>
      <c r="X184" t="s">
        <v>1355</v>
      </c>
      <c r="Y184" t="s">
        <v>1355</v>
      </c>
      <c r="Z184">
        <v>0</v>
      </c>
      <c r="AA184">
        <v>0</v>
      </c>
      <c r="AB184">
        <v>0</v>
      </c>
      <c r="AC184" s="294">
        <v>41836</v>
      </c>
      <c r="AD184" s="294">
        <v>73050</v>
      </c>
      <c r="AE184" s="294">
        <v>41836</v>
      </c>
      <c r="AF184" t="s">
        <v>1367</v>
      </c>
      <c r="AG184">
        <v>0</v>
      </c>
      <c r="AH184" t="s">
        <v>1729</v>
      </c>
      <c r="AI184">
        <v>1</v>
      </c>
      <c r="AJ184">
        <v>1</v>
      </c>
      <c r="AK184">
        <v>0</v>
      </c>
      <c r="AL184">
        <v>1</v>
      </c>
      <c r="AM184" t="s">
        <v>1355</v>
      </c>
      <c r="AN184" t="s">
        <v>1357</v>
      </c>
      <c r="AO184">
        <v>7.6970000000000001</v>
      </c>
      <c r="AP184">
        <v>3</v>
      </c>
      <c r="AQ184">
        <v>0</v>
      </c>
      <c r="AR184">
        <v>7.6149699999999996</v>
      </c>
      <c r="AS184">
        <v>7.6970000000000001</v>
      </c>
      <c r="AT184">
        <v>1</v>
      </c>
    </row>
    <row r="185" spans="1:46" x14ac:dyDescent="0.2">
      <c r="A185" t="s">
        <v>1278</v>
      </c>
      <c r="B185" t="s">
        <v>1730</v>
      </c>
      <c r="C185" t="s">
        <v>1278</v>
      </c>
      <c r="D185" t="s">
        <v>1355</v>
      </c>
      <c r="E185" t="s">
        <v>1356</v>
      </c>
      <c r="F185" t="s">
        <v>1357</v>
      </c>
      <c r="G185" t="s">
        <v>1355</v>
      </c>
      <c r="H185" t="s">
        <v>1358</v>
      </c>
      <c r="I185" t="s">
        <v>1353</v>
      </c>
      <c r="J185">
        <v>26</v>
      </c>
      <c r="K185">
        <v>260</v>
      </c>
      <c r="L185" t="s">
        <v>1278</v>
      </c>
      <c r="M185" t="s">
        <v>1278</v>
      </c>
      <c r="N185" t="s">
        <v>1355</v>
      </c>
      <c r="O185" t="s">
        <v>1359</v>
      </c>
      <c r="P185">
        <v>1</v>
      </c>
      <c r="Q185">
        <v>1</v>
      </c>
      <c r="R185">
        <v>0</v>
      </c>
      <c r="S185" t="s">
        <v>1355</v>
      </c>
      <c r="T185">
        <v>0</v>
      </c>
      <c r="U185">
        <v>0</v>
      </c>
      <c r="V185">
        <v>0</v>
      </c>
      <c r="W185" t="s">
        <v>1355</v>
      </c>
      <c r="X185" t="s">
        <v>1355</v>
      </c>
      <c r="Y185" t="s">
        <v>1355</v>
      </c>
      <c r="Z185">
        <v>0</v>
      </c>
      <c r="AA185">
        <v>0</v>
      </c>
      <c r="AB185">
        <v>0</v>
      </c>
      <c r="AC185" s="294">
        <v>36161</v>
      </c>
      <c r="AD185" s="294">
        <v>73050</v>
      </c>
      <c r="AE185" s="294">
        <v>41844</v>
      </c>
      <c r="AF185" t="s">
        <v>1358</v>
      </c>
      <c r="AG185">
        <v>0</v>
      </c>
      <c r="AH185" t="s">
        <v>1731</v>
      </c>
      <c r="AI185">
        <v>1</v>
      </c>
      <c r="AJ185">
        <v>1</v>
      </c>
      <c r="AK185">
        <v>0</v>
      </c>
      <c r="AL185">
        <v>1</v>
      </c>
      <c r="AM185" t="s">
        <v>1362</v>
      </c>
      <c r="AN185" t="s">
        <v>1357</v>
      </c>
      <c r="AO185">
        <v>1081.86625</v>
      </c>
      <c r="AP185">
        <v>1</v>
      </c>
      <c r="AQ185">
        <v>406.2</v>
      </c>
      <c r="AR185">
        <v>1081.85104</v>
      </c>
      <c r="AS185">
        <v>1081.86625</v>
      </c>
      <c r="AT185">
        <v>1</v>
      </c>
    </row>
    <row r="186" spans="1:46" hidden="1" x14ac:dyDescent="0.2">
      <c r="A186" t="s">
        <v>1732</v>
      </c>
      <c r="B186" t="s">
        <v>1733</v>
      </c>
      <c r="C186" t="s">
        <v>1732</v>
      </c>
      <c r="D186" t="s">
        <v>1355</v>
      </c>
      <c r="E186" t="s">
        <v>1356</v>
      </c>
      <c r="F186" t="s">
        <v>1357</v>
      </c>
      <c r="G186" t="s">
        <v>1355</v>
      </c>
      <c r="H186" t="s">
        <v>1358</v>
      </c>
      <c r="I186" t="s">
        <v>1278</v>
      </c>
      <c r="J186">
        <v>1</v>
      </c>
      <c r="K186">
        <v>10</v>
      </c>
      <c r="L186" t="s">
        <v>1732</v>
      </c>
      <c r="M186" t="s">
        <v>1732</v>
      </c>
      <c r="N186" t="s">
        <v>1355</v>
      </c>
      <c r="O186" t="s">
        <v>1359</v>
      </c>
      <c r="P186">
        <v>1</v>
      </c>
      <c r="Q186">
        <v>1</v>
      </c>
      <c r="R186">
        <v>0</v>
      </c>
      <c r="S186" t="s">
        <v>1355</v>
      </c>
      <c r="T186">
        <v>0</v>
      </c>
      <c r="U186">
        <v>0</v>
      </c>
      <c r="V186">
        <v>0</v>
      </c>
      <c r="W186" t="s">
        <v>1355</v>
      </c>
      <c r="X186" t="s">
        <v>1355</v>
      </c>
      <c r="Y186" t="s">
        <v>1355</v>
      </c>
      <c r="Z186">
        <v>0</v>
      </c>
      <c r="AA186">
        <v>0</v>
      </c>
      <c r="AB186">
        <v>0</v>
      </c>
      <c r="AC186" s="294">
        <v>41841</v>
      </c>
      <c r="AD186" s="294">
        <v>73050</v>
      </c>
      <c r="AE186" s="294">
        <v>41841</v>
      </c>
      <c r="AF186" t="s">
        <v>1358</v>
      </c>
      <c r="AG186">
        <v>0</v>
      </c>
      <c r="AH186" t="s">
        <v>1734</v>
      </c>
      <c r="AI186">
        <v>1</v>
      </c>
      <c r="AJ186">
        <v>1</v>
      </c>
      <c r="AK186">
        <v>0</v>
      </c>
      <c r="AL186">
        <v>1</v>
      </c>
      <c r="AM186" t="s">
        <v>1362</v>
      </c>
      <c r="AN186" t="s">
        <v>1357</v>
      </c>
      <c r="AO186">
        <v>192.52</v>
      </c>
      <c r="AP186">
        <v>2</v>
      </c>
      <c r="AQ186">
        <v>0</v>
      </c>
      <c r="AR186">
        <v>192.52</v>
      </c>
      <c r="AS186">
        <v>192.52</v>
      </c>
      <c r="AT186">
        <v>1</v>
      </c>
    </row>
    <row r="187" spans="1:46" hidden="1" x14ac:dyDescent="0.2">
      <c r="A187" t="s">
        <v>1735</v>
      </c>
      <c r="B187" t="s">
        <v>1736</v>
      </c>
      <c r="C187" t="s">
        <v>1735</v>
      </c>
      <c r="D187" t="s">
        <v>1355</v>
      </c>
      <c r="E187" t="s">
        <v>1356</v>
      </c>
      <c r="F187" t="s">
        <v>1357</v>
      </c>
      <c r="G187" t="s">
        <v>1355</v>
      </c>
      <c r="H187" t="s">
        <v>1367</v>
      </c>
      <c r="I187" t="s">
        <v>1732</v>
      </c>
      <c r="J187">
        <v>1</v>
      </c>
      <c r="K187">
        <v>10</v>
      </c>
      <c r="L187" t="s">
        <v>1735</v>
      </c>
      <c r="M187" t="s">
        <v>1735</v>
      </c>
      <c r="N187" t="s">
        <v>1355</v>
      </c>
      <c r="O187" t="s">
        <v>1359</v>
      </c>
      <c r="P187">
        <v>1</v>
      </c>
      <c r="Q187">
        <v>1</v>
      </c>
      <c r="R187">
        <v>0</v>
      </c>
      <c r="S187" t="s">
        <v>1355</v>
      </c>
      <c r="T187">
        <v>0</v>
      </c>
      <c r="U187">
        <v>0</v>
      </c>
      <c r="V187">
        <v>0</v>
      </c>
      <c r="W187" t="s">
        <v>1355</v>
      </c>
      <c r="X187" t="s">
        <v>1355</v>
      </c>
      <c r="Y187" t="s">
        <v>1355</v>
      </c>
      <c r="Z187">
        <v>0</v>
      </c>
      <c r="AA187">
        <v>0</v>
      </c>
      <c r="AB187">
        <v>0</v>
      </c>
      <c r="AC187" s="294">
        <v>41836</v>
      </c>
      <c r="AD187" s="294">
        <v>73050</v>
      </c>
      <c r="AE187" s="294">
        <v>41836</v>
      </c>
      <c r="AF187" t="s">
        <v>1367</v>
      </c>
      <c r="AG187">
        <v>0</v>
      </c>
      <c r="AH187" t="s">
        <v>1737</v>
      </c>
      <c r="AI187">
        <v>1</v>
      </c>
      <c r="AJ187">
        <v>1</v>
      </c>
      <c r="AK187">
        <v>0</v>
      </c>
      <c r="AL187">
        <v>1</v>
      </c>
      <c r="AM187" t="s">
        <v>1355</v>
      </c>
      <c r="AN187" t="s">
        <v>1357</v>
      </c>
      <c r="AO187">
        <v>192.52</v>
      </c>
      <c r="AP187">
        <v>3</v>
      </c>
      <c r="AQ187">
        <v>0</v>
      </c>
      <c r="AR187">
        <v>192.52</v>
      </c>
      <c r="AS187">
        <v>192.52</v>
      </c>
      <c r="AT187">
        <v>1</v>
      </c>
    </row>
    <row r="188" spans="1:46" hidden="1" x14ac:dyDescent="0.2">
      <c r="A188" t="s">
        <v>1631</v>
      </c>
      <c r="B188" t="s">
        <v>1632</v>
      </c>
      <c r="C188" t="s">
        <v>1631</v>
      </c>
      <c r="D188" t="s">
        <v>1355</v>
      </c>
      <c r="E188" t="s">
        <v>1356</v>
      </c>
      <c r="F188" t="s">
        <v>1357</v>
      </c>
      <c r="G188" t="s">
        <v>1355</v>
      </c>
      <c r="H188" t="s">
        <v>1358</v>
      </c>
      <c r="I188" t="s">
        <v>1278</v>
      </c>
      <c r="J188">
        <v>2</v>
      </c>
      <c r="K188">
        <v>20</v>
      </c>
      <c r="L188" t="s">
        <v>1631</v>
      </c>
      <c r="M188" t="s">
        <v>1631</v>
      </c>
      <c r="N188" t="s">
        <v>1355</v>
      </c>
      <c r="O188" t="s">
        <v>1359</v>
      </c>
      <c r="P188">
        <v>1</v>
      </c>
      <c r="Q188">
        <v>1</v>
      </c>
      <c r="R188">
        <v>0</v>
      </c>
      <c r="S188" t="s">
        <v>1355</v>
      </c>
      <c r="T188">
        <v>0</v>
      </c>
      <c r="U188">
        <v>0</v>
      </c>
      <c r="V188">
        <v>0</v>
      </c>
      <c r="W188" t="s">
        <v>1355</v>
      </c>
      <c r="X188" t="s">
        <v>1355</v>
      </c>
      <c r="Y188" t="s">
        <v>1355</v>
      </c>
      <c r="Z188">
        <v>0</v>
      </c>
      <c r="AA188">
        <v>0</v>
      </c>
      <c r="AB188">
        <v>0</v>
      </c>
      <c r="AC188" s="294">
        <v>41841</v>
      </c>
      <c r="AD188" s="294">
        <v>73050</v>
      </c>
      <c r="AE188" s="294">
        <v>41841</v>
      </c>
      <c r="AF188" t="s">
        <v>1358</v>
      </c>
      <c r="AG188">
        <v>0</v>
      </c>
      <c r="AH188" t="s">
        <v>1738</v>
      </c>
      <c r="AI188">
        <v>1</v>
      </c>
      <c r="AJ188">
        <v>1</v>
      </c>
      <c r="AK188">
        <v>0</v>
      </c>
      <c r="AL188">
        <v>1</v>
      </c>
      <c r="AM188" t="s">
        <v>1362</v>
      </c>
      <c r="AN188" t="s">
        <v>1357</v>
      </c>
      <c r="AO188">
        <v>456.94900000000001</v>
      </c>
      <c r="AP188">
        <v>2</v>
      </c>
      <c r="AQ188">
        <v>0</v>
      </c>
      <c r="AR188">
        <v>457.13198999999997</v>
      </c>
      <c r="AS188">
        <v>456.94900000000001</v>
      </c>
      <c r="AT188">
        <v>1</v>
      </c>
    </row>
    <row r="189" spans="1:46" hidden="1" x14ac:dyDescent="0.2">
      <c r="A189" t="s">
        <v>1634</v>
      </c>
      <c r="B189" t="s">
        <v>1635</v>
      </c>
      <c r="C189" t="s">
        <v>1634</v>
      </c>
      <c r="D189" t="s">
        <v>1355</v>
      </c>
      <c r="E189" t="s">
        <v>1356</v>
      </c>
      <c r="F189" t="s">
        <v>1357</v>
      </c>
      <c r="G189" t="s">
        <v>1355</v>
      </c>
      <c r="H189" t="s">
        <v>1367</v>
      </c>
      <c r="I189" t="s">
        <v>1631</v>
      </c>
      <c r="J189">
        <v>1</v>
      </c>
      <c r="K189">
        <v>10</v>
      </c>
      <c r="L189" t="s">
        <v>1634</v>
      </c>
      <c r="M189" t="s">
        <v>1634</v>
      </c>
      <c r="N189" t="s">
        <v>1355</v>
      </c>
      <c r="O189" t="s">
        <v>1359</v>
      </c>
      <c r="P189">
        <v>2</v>
      </c>
      <c r="Q189">
        <v>2</v>
      </c>
      <c r="R189">
        <v>0</v>
      </c>
      <c r="S189" t="s">
        <v>1355</v>
      </c>
      <c r="T189">
        <v>0</v>
      </c>
      <c r="U189">
        <v>0</v>
      </c>
      <c r="V189">
        <v>0</v>
      </c>
      <c r="W189" t="s">
        <v>1355</v>
      </c>
      <c r="X189" t="s">
        <v>1355</v>
      </c>
      <c r="Y189" t="s">
        <v>1355</v>
      </c>
      <c r="Z189">
        <v>0</v>
      </c>
      <c r="AA189">
        <v>0</v>
      </c>
      <c r="AB189">
        <v>0</v>
      </c>
      <c r="AC189" s="294">
        <v>41836</v>
      </c>
      <c r="AD189" s="294">
        <v>73050</v>
      </c>
      <c r="AE189" s="294">
        <v>41836</v>
      </c>
      <c r="AF189" t="s">
        <v>1367</v>
      </c>
      <c r="AG189">
        <v>0</v>
      </c>
      <c r="AH189" t="s">
        <v>1739</v>
      </c>
      <c r="AI189">
        <v>2</v>
      </c>
      <c r="AJ189">
        <v>2</v>
      </c>
      <c r="AK189">
        <v>0</v>
      </c>
      <c r="AL189">
        <v>2</v>
      </c>
      <c r="AM189" t="s">
        <v>1355</v>
      </c>
      <c r="AN189" t="s">
        <v>1357</v>
      </c>
      <c r="AO189">
        <v>36.590000000000003</v>
      </c>
      <c r="AP189">
        <v>3</v>
      </c>
      <c r="AQ189">
        <v>0</v>
      </c>
      <c r="AR189">
        <v>36.148580000000003</v>
      </c>
      <c r="AS189">
        <v>36.590000000000003</v>
      </c>
      <c r="AT189">
        <v>1</v>
      </c>
    </row>
    <row r="190" spans="1:46" hidden="1" x14ac:dyDescent="0.2">
      <c r="A190" t="s">
        <v>1637</v>
      </c>
      <c r="B190" t="s">
        <v>1638</v>
      </c>
      <c r="C190" t="s">
        <v>1637</v>
      </c>
      <c r="D190" t="s">
        <v>1355</v>
      </c>
      <c r="E190" t="s">
        <v>1356</v>
      </c>
      <c r="F190" t="s">
        <v>1357</v>
      </c>
      <c r="G190" t="s">
        <v>1355</v>
      </c>
      <c r="H190" t="s">
        <v>1367</v>
      </c>
      <c r="I190" t="s">
        <v>1631</v>
      </c>
      <c r="J190">
        <v>2</v>
      </c>
      <c r="K190">
        <v>20</v>
      </c>
      <c r="L190" t="s">
        <v>1637</v>
      </c>
      <c r="M190" t="s">
        <v>1637</v>
      </c>
      <c r="N190" t="s">
        <v>1355</v>
      </c>
      <c r="O190" t="s">
        <v>1359</v>
      </c>
      <c r="P190">
        <v>1</v>
      </c>
      <c r="Q190">
        <v>1</v>
      </c>
      <c r="R190">
        <v>0</v>
      </c>
      <c r="S190" t="s">
        <v>1355</v>
      </c>
      <c r="T190">
        <v>0</v>
      </c>
      <c r="U190">
        <v>0</v>
      </c>
      <c r="V190">
        <v>0</v>
      </c>
      <c r="W190" t="s">
        <v>1355</v>
      </c>
      <c r="X190" t="s">
        <v>1355</v>
      </c>
      <c r="Y190" t="s">
        <v>1355</v>
      </c>
      <c r="Z190">
        <v>0</v>
      </c>
      <c r="AA190">
        <v>0</v>
      </c>
      <c r="AB190">
        <v>0</v>
      </c>
      <c r="AC190" s="294">
        <v>41836</v>
      </c>
      <c r="AD190" s="294">
        <v>73050</v>
      </c>
      <c r="AE190" s="294">
        <v>41836</v>
      </c>
      <c r="AF190" t="s">
        <v>1367</v>
      </c>
      <c r="AG190">
        <v>0</v>
      </c>
      <c r="AH190" t="s">
        <v>1740</v>
      </c>
      <c r="AI190">
        <v>1</v>
      </c>
      <c r="AJ190">
        <v>1</v>
      </c>
      <c r="AK190">
        <v>0</v>
      </c>
      <c r="AL190">
        <v>1</v>
      </c>
      <c r="AM190" t="s">
        <v>1355</v>
      </c>
      <c r="AN190" t="s">
        <v>1357</v>
      </c>
      <c r="AO190">
        <v>63.4</v>
      </c>
      <c r="AP190">
        <v>3</v>
      </c>
      <c r="AQ190">
        <v>0</v>
      </c>
      <c r="AR190">
        <v>63.4</v>
      </c>
      <c r="AS190">
        <v>63.4</v>
      </c>
      <c r="AT190">
        <v>1</v>
      </c>
    </row>
    <row r="191" spans="1:46" hidden="1" x14ac:dyDescent="0.2">
      <c r="A191" t="s">
        <v>1640</v>
      </c>
      <c r="B191" t="s">
        <v>1641</v>
      </c>
      <c r="C191" t="s">
        <v>1640</v>
      </c>
      <c r="D191" t="s">
        <v>1355</v>
      </c>
      <c r="E191" t="s">
        <v>1356</v>
      </c>
      <c r="F191" t="s">
        <v>1357</v>
      </c>
      <c r="G191" t="s">
        <v>1355</v>
      </c>
      <c r="H191" t="s">
        <v>1367</v>
      </c>
      <c r="I191" t="s">
        <v>1631</v>
      </c>
      <c r="J191">
        <v>3</v>
      </c>
      <c r="K191">
        <v>30</v>
      </c>
      <c r="L191" t="s">
        <v>1640</v>
      </c>
      <c r="M191" t="s">
        <v>1640</v>
      </c>
      <c r="N191" t="s">
        <v>1355</v>
      </c>
      <c r="O191" t="s">
        <v>1359</v>
      </c>
      <c r="P191">
        <v>3</v>
      </c>
      <c r="Q191">
        <v>3</v>
      </c>
      <c r="R191">
        <v>0</v>
      </c>
      <c r="S191" t="s">
        <v>1355</v>
      </c>
      <c r="T191">
        <v>0</v>
      </c>
      <c r="U191">
        <v>0</v>
      </c>
      <c r="V191">
        <v>0</v>
      </c>
      <c r="W191" t="s">
        <v>1355</v>
      </c>
      <c r="X191" t="s">
        <v>1355</v>
      </c>
      <c r="Y191" t="s">
        <v>1355</v>
      </c>
      <c r="Z191">
        <v>0</v>
      </c>
      <c r="AA191">
        <v>0</v>
      </c>
      <c r="AB191">
        <v>0</v>
      </c>
      <c r="AC191" s="294">
        <v>41836</v>
      </c>
      <c r="AD191" s="294">
        <v>73050</v>
      </c>
      <c r="AE191" s="294">
        <v>41836</v>
      </c>
      <c r="AF191" t="s">
        <v>1367</v>
      </c>
      <c r="AG191">
        <v>0</v>
      </c>
      <c r="AH191" t="s">
        <v>1741</v>
      </c>
      <c r="AI191">
        <v>3</v>
      </c>
      <c r="AJ191">
        <v>3</v>
      </c>
      <c r="AK191">
        <v>0</v>
      </c>
      <c r="AL191">
        <v>3</v>
      </c>
      <c r="AM191" t="s">
        <v>1355</v>
      </c>
      <c r="AN191" t="s">
        <v>1357</v>
      </c>
      <c r="AO191">
        <v>14.882999999999999</v>
      </c>
      <c r="AP191">
        <v>3</v>
      </c>
      <c r="AQ191">
        <v>0</v>
      </c>
      <c r="AR191">
        <v>14.882999999999999</v>
      </c>
      <c r="AS191">
        <v>14.882999999999999</v>
      </c>
      <c r="AT191">
        <v>1</v>
      </c>
    </row>
    <row r="192" spans="1:46" hidden="1" x14ac:dyDescent="0.2">
      <c r="A192" t="s">
        <v>1643</v>
      </c>
      <c r="B192" t="s">
        <v>1644</v>
      </c>
      <c r="C192" t="s">
        <v>1643</v>
      </c>
      <c r="D192" t="s">
        <v>1355</v>
      </c>
      <c r="E192" t="s">
        <v>1356</v>
      </c>
      <c r="F192" t="s">
        <v>1357</v>
      </c>
      <c r="G192" t="s">
        <v>1355</v>
      </c>
      <c r="H192" t="s">
        <v>1367</v>
      </c>
      <c r="I192" t="s">
        <v>1631</v>
      </c>
      <c r="J192">
        <v>4</v>
      </c>
      <c r="K192">
        <v>40</v>
      </c>
      <c r="L192" t="s">
        <v>1643</v>
      </c>
      <c r="M192" t="s">
        <v>1643</v>
      </c>
      <c r="N192" t="s">
        <v>1355</v>
      </c>
      <c r="O192" t="s">
        <v>1359</v>
      </c>
      <c r="P192">
        <v>1</v>
      </c>
      <c r="Q192">
        <v>1</v>
      </c>
      <c r="R192">
        <v>0</v>
      </c>
      <c r="S192" t="s">
        <v>1355</v>
      </c>
      <c r="T192">
        <v>0</v>
      </c>
      <c r="U192">
        <v>0</v>
      </c>
      <c r="V192">
        <v>0</v>
      </c>
      <c r="W192" t="s">
        <v>1355</v>
      </c>
      <c r="X192" t="s">
        <v>1355</v>
      </c>
      <c r="Y192" t="s">
        <v>1355</v>
      </c>
      <c r="Z192">
        <v>0</v>
      </c>
      <c r="AA192">
        <v>0</v>
      </c>
      <c r="AB192">
        <v>0</v>
      </c>
      <c r="AC192" s="294">
        <v>41836</v>
      </c>
      <c r="AD192" s="294">
        <v>73050</v>
      </c>
      <c r="AE192" s="294">
        <v>41836</v>
      </c>
      <c r="AF192" t="s">
        <v>1367</v>
      </c>
      <c r="AG192">
        <v>0</v>
      </c>
      <c r="AH192" t="s">
        <v>1742</v>
      </c>
      <c r="AI192">
        <v>1</v>
      </c>
      <c r="AJ192">
        <v>1</v>
      </c>
      <c r="AK192">
        <v>0</v>
      </c>
      <c r="AL192">
        <v>1</v>
      </c>
      <c r="AM192" t="s">
        <v>1355</v>
      </c>
      <c r="AN192" t="s">
        <v>1357</v>
      </c>
      <c r="AO192">
        <v>53.665999999999997</v>
      </c>
      <c r="AP192">
        <v>3</v>
      </c>
      <c r="AQ192">
        <v>0</v>
      </c>
      <c r="AR192">
        <v>53.665999999999997</v>
      </c>
      <c r="AS192">
        <v>53.665999999999997</v>
      </c>
      <c r="AT192">
        <v>1</v>
      </c>
    </row>
    <row r="193" spans="1:46" hidden="1" x14ac:dyDescent="0.2">
      <c r="A193" t="s">
        <v>1646</v>
      </c>
      <c r="B193" t="s">
        <v>1647</v>
      </c>
      <c r="C193" t="s">
        <v>1646</v>
      </c>
      <c r="D193" t="s">
        <v>1355</v>
      </c>
      <c r="E193" t="s">
        <v>1356</v>
      </c>
      <c r="F193" t="s">
        <v>1357</v>
      </c>
      <c r="G193" t="s">
        <v>1355</v>
      </c>
      <c r="H193" t="s">
        <v>1367</v>
      </c>
      <c r="I193" t="s">
        <v>1631</v>
      </c>
      <c r="J193">
        <v>5</v>
      </c>
      <c r="K193">
        <v>50</v>
      </c>
      <c r="L193" t="s">
        <v>1646</v>
      </c>
      <c r="M193" t="s">
        <v>1646</v>
      </c>
      <c r="N193" t="s">
        <v>1355</v>
      </c>
      <c r="O193" t="s">
        <v>1359</v>
      </c>
      <c r="P193">
        <v>1</v>
      </c>
      <c r="Q193">
        <v>1</v>
      </c>
      <c r="R193">
        <v>0</v>
      </c>
      <c r="S193" t="s">
        <v>1355</v>
      </c>
      <c r="T193">
        <v>0</v>
      </c>
      <c r="U193">
        <v>0</v>
      </c>
      <c r="V193">
        <v>0</v>
      </c>
      <c r="W193" t="s">
        <v>1355</v>
      </c>
      <c r="X193" t="s">
        <v>1355</v>
      </c>
      <c r="Y193" t="s">
        <v>1355</v>
      </c>
      <c r="Z193">
        <v>0</v>
      </c>
      <c r="AA193">
        <v>0</v>
      </c>
      <c r="AB193">
        <v>0</v>
      </c>
      <c r="AC193" s="294">
        <v>41836</v>
      </c>
      <c r="AD193" s="294">
        <v>73050</v>
      </c>
      <c r="AE193" s="294">
        <v>41836</v>
      </c>
      <c r="AF193" t="s">
        <v>1367</v>
      </c>
      <c r="AG193">
        <v>0</v>
      </c>
      <c r="AH193" t="s">
        <v>1743</v>
      </c>
      <c r="AI193">
        <v>1</v>
      </c>
      <c r="AJ193">
        <v>1</v>
      </c>
      <c r="AK193">
        <v>0</v>
      </c>
      <c r="AL193">
        <v>1</v>
      </c>
      <c r="AM193" t="s">
        <v>1355</v>
      </c>
      <c r="AN193" t="s">
        <v>1357</v>
      </c>
      <c r="AO193">
        <v>11.87</v>
      </c>
      <c r="AP193">
        <v>3</v>
      </c>
      <c r="AQ193">
        <v>0</v>
      </c>
      <c r="AR193">
        <v>12.785209999999999</v>
      </c>
      <c r="AS193">
        <v>11.87</v>
      </c>
      <c r="AT193">
        <v>1</v>
      </c>
    </row>
    <row r="194" spans="1:46" hidden="1" x14ac:dyDescent="0.2">
      <c r="A194" t="s">
        <v>1649</v>
      </c>
      <c r="B194" t="s">
        <v>1650</v>
      </c>
      <c r="C194" t="s">
        <v>1649</v>
      </c>
      <c r="D194" t="s">
        <v>1355</v>
      </c>
      <c r="E194" t="s">
        <v>1356</v>
      </c>
      <c r="F194" t="s">
        <v>1357</v>
      </c>
      <c r="G194" t="s">
        <v>1355</v>
      </c>
      <c r="H194" t="s">
        <v>1367</v>
      </c>
      <c r="I194" t="s">
        <v>1631</v>
      </c>
      <c r="J194">
        <v>6</v>
      </c>
      <c r="K194">
        <v>60</v>
      </c>
      <c r="L194" t="s">
        <v>1649</v>
      </c>
      <c r="M194" t="s">
        <v>1649</v>
      </c>
      <c r="N194" t="s">
        <v>1355</v>
      </c>
      <c r="O194" t="s">
        <v>1359</v>
      </c>
      <c r="P194">
        <v>1</v>
      </c>
      <c r="Q194">
        <v>1</v>
      </c>
      <c r="R194">
        <v>0</v>
      </c>
      <c r="S194" t="s">
        <v>1355</v>
      </c>
      <c r="T194">
        <v>0</v>
      </c>
      <c r="U194">
        <v>0</v>
      </c>
      <c r="V194">
        <v>0</v>
      </c>
      <c r="W194" t="s">
        <v>1355</v>
      </c>
      <c r="X194" t="s">
        <v>1355</v>
      </c>
      <c r="Y194" t="s">
        <v>1355</v>
      </c>
      <c r="Z194">
        <v>0</v>
      </c>
      <c r="AA194">
        <v>0</v>
      </c>
      <c r="AB194">
        <v>0</v>
      </c>
      <c r="AC194" s="294">
        <v>41836</v>
      </c>
      <c r="AD194" s="294">
        <v>73050</v>
      </c>
      <c r="AE194" s="294">
        <v>41836</v>
      </c>
      <c r="AF194" t="s">
        <v>1367</v>
      </c>
      <c r="AG194">
        <v>0</v>
      </c>
      <c r="AH194" t="s">
        <v>1744</v>
      </c>
      <c r="AI194">
        <v>1</v>
      </c>
      <c r="AJ194">
        <v>1</v>
      </c>
      <c r="AK194">
        <v>0</v>
      </c>
      <c r="AL194">
        <v>1</v>
      </c>
      <c r="AM194" t="s">
        <v>1355</v>
      </c>
      <c r="AN194" t="s">
        <v>1357</v>
      </c>
      <c r="AO194">
        <v>28.796669999999999</v>
      </c>
      <c r="AP194">
        <v>3</v>
      </c>
      <c r="AQ194">
        <v>0</v>
      </c>
      <c r="AR194">
        <v>28.506070000000001</v>
      </c>
      <c r="AS194">
        <v>28.796669999999999</v>
      </c>
      <c r="AT194">
        <v>1</v>
      </c>
    </row>
    <row r="195" spans="1:46" hidden="1" x14ac:dyDescent="0.2">
      <c r="A195" t="s">
        <v>1652</v>
      </c>
      <c r="B195" t="s">
        <v>1653</v>
      </c>
      <c r="C195" t="s">
        <v>1652</v>
      </c>
      <c r="D195" t="s">
        <v>1355</v>
      </c>
      <c r="E195" t="s">
        <v>1356</v>
      </c>
      <c r="F195" t="s">
        <v>1357</v>
      </c>
      <c r="G195" t="s">
        <v>1355</v>
      </c>
      <c r="H195" t="s">
        <v>1367</v>
      </c>
      <c r="I195" t="s">
        <v>1631</v>
      </c>
      <c r="J195">
        <v>7</v>
      </c>
      <c r="K195">
        <v>70</v>
      </c>
      <c r="L195" t="s">
        <v>1652</v>
      </c>
      <c r="M195" t="s">
        <v>1652</v>
      </c>
      <c r="N195" t="s">
        <v>1355</v>
      </c>
      <c r="O195" t="s">
        <v>1359</v>
      </c>
      <c r="P195">
        <v>1</v>
      </c>
      <c r="Q195">
        <v>1</v>
      </c>
      <c r="R195">
        <v>0</v>
      </c>
      <c r="S195" t="s">
        <v>1355</v>
      </c>
      <c r="T195">
        <v>0</v>
      </c>
      <c r="U195">
        <v>0</v>
      </c>
      <c r="V195">
        <v>0</v>
      </c>
      <c r="W195" t="s">
        <v>1355</v>
      </c>
      <c r="X195" t="s">
        <v>1355</v>
      </c>
      <c r="Y195" t="s">
        <v>1355</v>
      </c>
      <c r="Z195">
        <v>0</v>
      </c>
      <c r="AA195">
        <v>0</v>
      </c>
      <c r="AB195">
        <v>0</v>
      </c>
      <c r="AC195" s="294">
        <v>41836</v>
      </c>
      <c r="AD195" s="294">
        <v>73050</v>
      </c>
      <c r="AE195" s="294">
        <v>41836</v>
      </c>
      <c r="AF195" t="s">
        <v>1367</v>
      </c>
      <c r="AG195">
        <v>0</v>
      </c>
      <c r="AH195" t="s">
        <v>1745</v>
      </c>
      <c r="AI195">
        <v>1</v>
      </c>
      <c r="AJ195">
        <v>1</v>
      </c>
      <c r="AK195">
        <v>0</v>
      </c>
      <c r="AL195">
        <v>1</v>
      </c>
      <c r="AM195" t="s">
        <v>1355</v>
      </c>
      <c r="AN195" t="s">
        <v>1357</v>
      </c>
      <c r="AO195">
        <v>156.25</v>
      </c>
      <c r="AP195">
        <v>3</v>
      </c>
      <c r="AQ195">
        <v>0</v>
      </c>
      <c r="AR195">
        <v>156.25</v>
      </c>
      <c r="AS195">
        <v>156.25</v>
      </c>
      <c r="AT195">
        <v>1</v>
      </c>
    </row>
    <row r="196" spans="1:46" hidden="1" x14ac:dyDescent="0.2">
      <c r="A196" t="s">
        <v>1655</v>
      </c>
      <c r="B196" t="s">
        <v>1656</v>
      </c>
      <c r="C196" t="s">
        <v>1655</v>
      </c>
      <c r="D196" t="s">
        <v>1355</v>
      </c>
      <c r="E196" t="s">
        <v>1356</v>
      </c>
      <c r="F196" t="s">
        <v>1357</v>
      </c>
      <c r="G196" t="s">
        <v>1355</v>
      </c>
      <c r="H196" t="s">
        <v>1367</v>
      </c>
      <c r="I196" t="s">
        <v>1631</v>
      </c>
      <c r="J196">
        <v>8</v>
      </c>
      <c r="K196">
        <v>80</v>
      </c>
      <c r="L196" t="s">
        <v>1655</v>
      </c>
      <c r="M196" t="s">
        <v>1655</v>
      </c>
      <c r="N196" t="s">
        <v>1355</v>
      </c>
      <c r="O196" t="s">
        <v>1359</v>
      </c>
      <c r="P196">
        <v>1</v>
      </c>
      <c r="Q196">
        <v>1</v>
      </c>
      <c r="R196">
        <v>0</v>
      </c>
      <c r="S196" t="s">
        <v>1355</v>
      </c>
      <c r="T196">
        <v>0</v>
      </c>
      <c r="U196">
        <v>0</v>
      </c>
      <c r="V196">
        <v>0</v>
      </c>
      <c r="W196" t="s">
        <v>1355</v>
      </c>
      <c r="X196" t="s">
        <v>1355</v>
      </c>
      <c r="Y196" t="s">
        <v>1355</v>
      </c>
      <c r="Z196">
        <v>0</v>
      </c>
      <c r="AA196">
        <v>0</v>
      </c>
      <c r="AB196">
        <v>0</v>
      </c>
      <c r="AC196" s="294">
        <v>41836</v>
      </c>
      <c r="AD196" s="294">
        <v>73050</v>
      </c>
      <c r="AE196" s="294">
        <v>41836</v>
      </c>
      <c r="AF196" t="s">
        <v>1367</v>
      </c>
      <c r="AG196">
        <v>0</v>
      </c>
      <c r="AH196" t="s">
        <v>1746</v>
      </c>
      <c r="AI196">
        <v>1</v>
      </c>
      <c r="AJ196">
        <v>1</v>
      </c>
      <c r="AK196">
        <v>0</v>
      </c>
      <c r="AL196">
        <v>1</v>
      </c>
      <c r="AM196" t="s">
        <v>1355</v>
      </c>
      <c r="AN196" t="s">
        <v>1357</v>
      </c>
      <c r="AO196">
        <v>1.94333</v>
      </c>
      <c r="AP196">
        <v>3</v>
      </c>
      <c r="AQ196">
        <v>0</v>
      </c>
      <c r="AR196">
        <v>1.94313</v>
      </c>
      <c r="AS196">
        <v>1.94333</v>
      </c>
      <c r="AT196">
        <v>1</v>
      </c>
    </row>
    <row r="197" spans="1:46" hidden="1" x14ac:dyDescent="0.2">
      <c r="A197" t="s">
        <v>1658</v>
      </c>
      <c r="B197" t="s">
        <v>1659</v>
      </c>
      <c r="C197" t="s">
        <v>1658</v>
      </c>
      <c r="D197" t="s">
        <v>1355</v>
      </c>
      <c r="E197" t="s">
        <v>1356</v>
      </c>
      <c r="F197" t="s">
        <v>1357</v>
      </c>
      <c r="G197" t="s">
        <v>1355</v>
      </c>
      <c r="H197" t="s">
        <v>1367</v>
      </c>
      <c r="I197" t="s">
        <v>1631</v>
      </c>
      <c r="J197">
        <v>9</v>
      </c>
      <c r="K197">
        <v>90</v>
      </c>
      <c r="L197" t="s">
        <v>1658</v>
      </c>
      <c r="M197" t="s">
        <v>1658</v>
      </c>
      <c r="N197" t="s">
        <v>1355</v>
      </c>
      <c r="O197" t="s">
        <v>1359</v>
      </c>
      <c r="P197">
        <v>1</v>
      </c>
      <c r="Q197">
        <v>1</v>
      </c>
      <c r="R197">
        <v>0</v>
      </c>
      <c r="S197" t="s">
        <v>1355</v>
      </c>
      <c r="T197">
        <v>0</v>
      </c>
      <c r="U197">
        <v>0</v>
      </c>
      <c r="V197">
        <v>0</v>
      </c>
      <c r="W197" t="s">
        <v>1355</v>
      </c>
      <c r="X197" t="s">
        <v>1355</v>
      </c>
      <c r="Y197" t="s">
        <v>1355</v>
      </c>
      <c r="Z197">
        <v>0</v>
      </c>
      <c r="AA197">
        <v>0</v>
      </c>
      <c r="AB197">
        <v>0</v>
      </c>
      <c r="AC197" s="294">
        <v>41836</v>
      </c>
      <c r="AD197" s="294">
        <v>73050</v>
      </c>
      <c r="AE197" s="294">
        <v>41836</v>
      </c>
      <c r="AF197" t="s">
        <v>1367</v>
      </c>
      <c r="AG197">
        <v>0</v>
      </c>
      <c r="AH197" t="s">
        <v>1747</v>
      </c>
      <c r="AI197">
        <v>1</v>
      </c>
      <c r="AJ197">
        <v>1</v>
      </c>
      <c r="AK197">
        <v>0</v>
      </c>
      <c r="AL197">
        <v>1</v>
      </c>
      <c r="AM197" t="s">
        <v>1355</v>
      </c>
      <c r="AN197" t="s">
        <v>1357</v>
      </c>
      <c r="AO197">
        <v>89.55</v>
      </c>
      <c r="AP197">
        <v>3</v>
      </c>
      <c r="AQ197">
        <v>0</v>
      </c>
      <c r="AR197">
        <v>89.55</v>
      </c>
      <c r="AS197">
        <v>89.55</v>
      </c>
      <c r="AT197">
        <v>1</v>
      </c>
    </row>
    <row r="198" spans="1:46" hidden="1" x14ac:dyDescent="0.2">
      <c r="A198" t="s">
        <v>1661</v>
      </c>
      <c r="B198" t="s">
        <v>1662</v>
      </c>
      <c r="C198" t="s">
        <v>1661</v>
      </c>
      <c r="D198" t="s">
        <v>1355</v>
      </c>
      <c r="E198" t="s">
        <v>1356</v>
      </c>
      <c r="F198" t="s">
        <v>1357</v>
      </c>
      <c r="G198" t="s">
        <v>1355</v>
      </c>
      <c r="H198" t="s">
        <v>1358</v>
      </c>
      <c r="I198" t="s">
        <v>1278</v>
      </c>
      <c r="J198">
        <v>3</v>
      </c>
      <c r="K198">
        <v>30</v>
      </c>
      <c r="L198" t="s">
        <v>1661</v>
      </c>
      <c r="M198" t="s">
        <v>1661</v>
      </c>
      <c r="N198" t="s">
        <v>1355</v>
      </c>
      <c r="O198" t="s">
        <v>1359</v>
      </c>
      <c r="P198">
        <v>1</v>
      </c>
      <c r="Q198">
        <v>1</v>
      </c>
      <c r="R198">
        <v>0</v>
      </c>
      <c r="S198" t="s">
        <v>1355</v>
      </c>
      <c r="T198">
        <v>0</v>
      </c>
      <c r="U198">
        <v>0</v>
      </c>
      <c r="V198">
        <v>0</v>
      </c>
      <c r="W198" t="s">
        <v>1355</v>
      </c>
      <c r="X198" t="s">
        <v>1355</v>
      </c>
      <c r="Y198" t="s">
        <v>1355</v>
      </c>
      <c r="Z198">
        <v>0</v>
      </c>
      <c r="AA198">
        <v>0</v>
      </c>
      <c r="AB198">
        <v>0</v>
      </c>
      <c r="AC198" s="294">
        <v>41841</v>
      </c>
      <c r="AD198" s="294">
        <v>73050</v>
      </c>
      <c r="AE198" s="294">
        <v>41841</v>
      </c>
      <c r="AF198" t="s">
        <v>1358</v>
      </c>
      <c r="AG198">
        <v>0</v>
      </c>
      <c r="AH198" t="s">
        <v>1748</v>
      </c>
      <c r="AI198">
        <v>1</v>
      </c>
      <c r="AJ198">
        <v>1</v>
      </c>
      <c r="AK198">
        <v>0</v>
      </c>
      <c r="AL198">
        <v>1</v>
      </c>
      <c r="AM198" t="s">
        <v>1362</v>
      </c>
      <c r="AN198" t="s">
        <v>1357</v>
      </c>
      <c r="AO198">
        <v>26.19725</v>
      </c>
      <c r="AP198">
        <v>2</v>
      </c>
      <c r="AQ198">
        <v>0</v>
      </c>
      <c r="AR198">
        <v>25.99905</v>
      </c>
      <c r="AS198">
        <v>26.19725</v>
      </c>
      <c r="AT198">
        <v>1</v>
      </c>
    </row>
    <row r="199" spans="1:46" hidden="1" x14ac:dyDescent="0.2">
      <c r="A199" t="s">
        <v>1499</v>
      </c>
      <c r="B199" t="s">
        <v>1500</v>
      </c>
      <c r="C199" t="s">
        <v>1499</v>
      </c>
      <c r="D199" t="s">
        <v>1355</v>
      </c>
      <c r="E199" t="s">
        <v>1356</v>
      </c>
      <c r="F199" t="s">
        <v>1357</v>
      </c>
      <c r="G199" t="s">
        <v>1355</v>
      </c>
      <c r="H199" t="s">
        <v>1367</v>
      </c>
      <c r="I199" t="s">
        <v>1661</v>
      </c>
      <c r="J199">
        <v>1</v>
      </c>
      <c r="K199">
        <v>10</v>
      </c>
      <c r="L199" t="s">
        <v>1499</v>
      </c>
      <c r="M199" t="s">
        <v>1499</v>
      </c>
      <c r="N199" t="s">
        <v>1355</v>
      </c>
      <c r="O199" t="s">
        <v>1359</v>
      </c>
      <c r="P199">
        <v>3</v>
      </c>
      <c r="Q199">
        <v>3</v>
      </c>
      <c r="R199">
        <v>0</v>
      </c>
      <c r="S199" t="s">
        <v>1355</v>
      </c>
      <c r="T199">
        <v>0</v>
      </c>
      <c r="U199">
        <v>0</v>
      </c>
      <c r="V199">
        <v>0</v>
      </c>
      <c r="W199" t="s">
        <v>1355</v>
      </c>
      <c r="X199" t="s">
        <v>1355</v>
      </c>
      <c r="Y199" t="s">
        <v>1355</v>
      </c>
      <c r="Z199">
        <v>0</v>
      </c>
      <c r="AA199">
        <v>0</v>
      </c>
      <c r="AB199">
        <v>0</v>
      </c>
      <c r="AC199" s="294">
        <v>41836</v>
      </c>
      <c r="AD199" s="294">
        <v>73050</v>
      </c>
      <c r="AE199" s="294">
        <v>41836</v>
      </c>
      <c r="AF199" t="s">
        <v>1367</v>
      </c>
      <c r="AG199">
        <v>0</v>
      </c>
      <c r="AH199" t="s">
        <v>1749</v>
      </c>
      <c r="AI199">
        <v>3</v>
      </c>
      <c r="AJ199">
        <v>3</v>
      </c>
      <c r="AK199">
        <v>0</v>
      </c>
      <c r="AL199">
        <v>3</v>
      </c>
      <c r="AM199" t="s">
        <v>1355</v>
      </c>
      <c r="AN199" t="s">
        <v>1357</v>
      </c>
      <c r="AO199">
        <v>2.3328000000000002</v>
      </c>
      <c r="AP199">
        <v>3</v>
      </c>
      <c r="AQ199">
        <v>0</v>
      </c>
      <c r="AR199">
        <v>2.3128799999999998</v>
      </c>
      <c r="AS199">
        <v>2.3328000000000002</v>
      </c>
      <c r="AT199">
        <v>1</v>
      </c>
    </row>
    <row r="200" spans="1:46" hidden="1" x14ac:dyDescent="0.2">
      <c r="A200" t="s">
        <v>1665</v>
      </c>
      <c r="B200" t="s">
        <v>1666</v>
      </c>
      <c r="C200" t="s">
        <v>1665</v>
      </c>
      <c r="D200" t="s">
        <v>1355</v>
      </c>
      <c r="E200" t="s">
        <v>1356</v>
      </c>
      <c r="F200" t="s">
        <v>1357</v>
      </c>
      <c r="G200" t="s">
        <v>1355</v>
      </c>
      <c r="H200" t="s">
        <v>1367</v>
      </c>
      <c r="I200" t="s">
        <v>1661</v>
      </c>
      <c r="J200">
        <v>2</v>
      </c>
      <c r="K200">
        <v>20</v>
      </c>
      <c r="L200" t="s">
        <v>1665</v>
      </c>
      <c r="M200" t="s">
        <v>1665</v>
      </c>
      <c r="N200" t="s">
        <v>1355</v>
      </c>
      <c r="O200" t="s">
        <v>1359</v>
      </c>
      <c r="P200">
        <v>2</v>
      </c>
      <c r="Q200">
        <v>2</v>
      </c>
      <c r="R200">
        <v>0</v>
      </c>
      <c r="S200" t="s">
        <v>1355</v>
      </c>
      <c r="T200">
        <v>0</v>
      </c>
      <c r="U200">
        <v>0</v>
      </c>
      <c r="V200">
        <v>0</v>
      </c>
      <c r="W200" t="s">
        <v>1355</v>
      </c>
      <c r="X200" t="s">
        <v>1355</v>
      </c>
      <c r="Y200" t="s">
        <v>1355</v>
      </c>
      <c r="Z200">
        <v>0</v>
      </c>
      <c r="AA200">
        <v>0</v>
      </c>
      <c r="AB200">
        <v>0</v>
      </c>
      <c r="AC200" s="294">
        <v>41836</v>
      </c>
      <c r="AD200" s="294">
        <v>73050</v>
      </c>
      <c r="AE200" s="294">
        <v>41836</v>
      </c>
      <c r="AF200" t="s">
        <v>1367</v>
      </c>
      <c r="AG200">
        <v>0</v>
      </c>
      <c r="AH200" t="s">
        <v>1750</v>
      </c>
      <c r="AI200">
        <v>2</v>
      </c>
      <c r="AJ200">
        <v>2</v>
      </c>
      <c r="AK200">
        <v>0</v>
      </c>
      <c r="AL200">
        <v>2</v>
      </c>
      <c r="AM200" t="s">
        <v>1355</v>
      </c>
      <c r="AN200" t="s">
        <v>1357</v>
      </c>
      <c r="AO200">
        <v>5.58</v>
      </c>
      <c r="AP200">
        <v>3</v>
      </c>
      <c r="AQ200">
        <v>0</v>
      </c>
      <c r="AR200">
        <v>5.5378600000000002</v>
      </c>
      <c r="AS200">
        <v>5.58</v>
      </c>
      <c r="AT200">
        <v>1</v>
      </c>
    </row>
    <row r="201" spans="1:46" hidden="1" x14ac:dyDescent="0.2">
      <c r="A201" t="s">
        <v>1668</v>
      </c>
      <c r="B201" t="s">
        <v>1669</v>
      </c>
      <c r="C201" t="s">
        <v>1668</v>
      </c>
      <c r="D201" t="s">
        <v>1355</v>
      </c>
      <c r="E201" t="s">
        <v>1356</v>
      </c>
      <c r="F201" t="s">
        <v>1357</v>
      </c>
      <c r="G201" t="s">
        <v>1355</v>
      </c>
      <c r="H201" t="s">
        <v>1367</v>
      </c>
      <c r="I201" t="s">
        <v>1661</v>
      </c>
      <c r="J201">
        <v>3</v>
      </c>
      <c r="K201">
        <v>30</v>
      </c>
      <c r="L201" t="s">
        <v>1668</v>
      </c>
      <c r="M201" t="s">
        <v>1668</v>
      </c>
      <c r="N201" t="s">
        <v>1355</v>
      </c>
      <c r="O201" t="s">
        <v>1359</v>
      </c>
      <c r="P201">
        <v>1</v>
      </c>
      <c r="Q201">
        <v>1</v>
      </c>
      <c r="R201">
        <v>0</v>
      </c>
      <c r="S201" t="s">
        <v>1355</v>
      </c>
      <c r="T201">
        <v>0</v>
      </c>
      <c r="U201">
        <v>0</v>
      </c>
      <c r="V201">
        <v>0</v>
      </c>
      <c r="W201" t="s">
        <v>1355</v>
      </c>
      <c r="X201" t="s">
        <v>1355</v>
      </c>
      <c r="Y201" t="s">
        <v>1355</v>
      </c>
      <c r="Z201">
        <v>0</v>
      </c>
      <c r="AA201">
        <v>0</v>
      </c>
      <c r="AB201">
        <v>0</v>
      </c>
      <c r="AC201" s="294">
        <v>41836</v>
      </c>
      <c r="AD201" s="294">
        <v>73050</v>
      </c>
      <c r="AE201" s="294">
        <v>41836</v>
      </c>
      <c r="AF201" t="s">
        <v>1367</v>
      </c>
      <c r="AG201">
        <v>0</v>
      </c>
      <c r="AH201" t="s">
        <v>1751</v>
      </c>
      <c r="AI201">
        <v>1</v>
      </c>
      <c r="AJ201">
        <v>1</v>
      </c>
      <c r="AK201">
        <v>0</v>
      </c>
      <c r="AL201">
        <v>1</v>
      </c>
      <c r="AM201" t="s">
        <v>1355</v>
      </c>
      <c r="AN201" t="s">
        <v>1357</v>
      </c>
      <c r="AO201">
        <v>1.796</v>
      </c>
      <c r="AP201">
        <v>3</v>
      </c>
      <c r="AQ201">
        <v>0</v>
      </c>
      <c r="AR201">
        <v>1.796</v>
      </c>
      <c r="AS201">
        <v>1.796</v>
      </c>
      <c r="AT201">
        <v>1</v>
      </c>
    </row>
    <row r="202" spans="1:46" hidden="1" x14ac:dyDescent="0.2">
      <c r="A202" t="s">
        <v>1671</v>
      </c>
      <c r="B202" t="s">
        <v>1672</v>
      </c>
      <c r="C202" t="s">
        <v>1671</v>
      </c>
      <c r="D202" t="s">
        <v>1355</v>
      </c>
      <c r="E202" t="s">
        <v>1356</v>
      </c>
      <c r="F202" t="s">
        <v>1357</v>
      </c>
      <c r="G202" t="s">
        <v>1355</v>
      </c>
      <c r="H202" t="s">
        <v>1367</v>
      </c>
      <c r="I202" t="s">
        <v>1661</v>
      </c>
      <c r="J202">
        <v>4</v>
      </c>
      <c r="K202">
        <v>40</v>
      </c>
      <c r="L202" t="s">
        <v>1671</v>
      </c>
      <c r="M202" t="s">
        <v>1671</v>
      </c>
      <c r="N202" t="s">
        <v>1355</v>
      </c>
      <c r="O202" t="s">
        <v>1359</v>
      </c>
      <c r="P202">
        <v>1</v>
      </c>
      <c r="Q202">
        <v>1</v>
      </c>
      <c r="R202">
        <v>0</v>
      </c>
      <c r="S202" t="s">
        <v>1355</v>
      </c>
      <c r="T202">
        <v>0</v>
      </c>
      <c r="U202">
        <v>0</v>
      </c>
      <c r="V202">
        <v>0</v>
      </c>
      <c r="W202" t="s">
        <v>1355</v>
      </c>
      <c r="X202" t="s">
        <v>1355</v>
      </c>
      <c r="Y202" t="s">
        <v>1355</v>
      </c>
      <c r="Z202">
        <v>0</v>
      </c>
      <c r="AA202">
        <v>0</v>
      </c>
      <c r="AB202">
        <v>0</v>
      </c>
      <c r="AC202" s="294">
        <v>41836</v>
      </c>
      <c r="AD202" s="294">
        <v>73050</v>
      </c>
      <c r="AE202" s="294">
        <v>41836</v>
      </c>
      <c r="AF202" t="s">
        <v>1367</v>
      </c>
      <c r="AG202">
        <v>0</v>
      </c>
      <c r="AH202" t="s">
        <v>1752</v>
      </c>
      <c r="AI202">
        <v>1</v>
      </c>
      <c r="AJ202">
        <v>1</v>
      </c>
      <c r="AK202">
        <v>0</v>
      </c>
      <c r="AL202">
        <v>1</v>
      </c>
      <c r="AM202" t="s">
        <v>1355</v>
      </c>
      <c r="AN202" t="s">
        <v>1357</v>
      </c>
      <c r="AO202">
        <v>1.6452500000000001</v>
      </c>
      <c r="AP202">
        <v>3</v>
      </c>
      <c r="AQ202">
        <v>0</v>
      </c>
      <c r="AR202">
        <v>1.63103</v>
      </c>
      <c r="AS202">
        <v>1.6452500000000001</v>
      </c>
      <c r="AT202">
        <v>1</v>
      </c>
    </row>
    <row r="203" spans="1:46" hidden="1" x14ac:dyDescent="0.2">
      <c r="A203" t="s">
        <v>1674</v>
      </c>
      <c r="B203" t="s">
        <v>1675</v>
      </c>
      <c r="C203" t="s">
        <v>1674</v>
      </c>
      <c r="D203" t="s">
        <v>1355</v>
      </c>
      <c r="E203" t="s">
        <v>1356</v>
      </c>
      <c r="F203" t="s">
        <v>1357</v>
      </c>
      <c r="G203" t="s">
        <v>1355</v>
      </c>
      <c r="H203" t="s">
        <v>1367</v>
      </c>
      <c r="I203" t="s">
        <v>1661</v>
      </c>
      <c r="J203">
        <v>5</v>
      </c>
      <c r="K203">
        <v>50</v>
      </c>
      <c r="L203" t="s">
        <v>1674</v>
      </c>
      <c r="M203" t="s">
        <v>1674</v>
      </c>
      <c r="N203" t="s">
        <v>1355</v>
      </c>
      <c r="O203" t="s">
        <v>1359</v>
      </c>
      <c r="P203">
        <v>1</v>
      </c>
      <c r="Q203">
        <v>1</v>
      </c>
      <c r="R203">
        <v>0</v>
      </c>
      <c r="S203" t="s">
        <v>1355</v>
      </c>
      <c r="T203">
        <v>0</v>
      </c>
      <c r="U203">
        <v>0</v>
      </c>
      <c r="V203">
        <v>0</v>
      </c>
      <c r="W203" t="s">
        <v>1355</v>
      </c>
      <c r="X203" t="s">
        <v>1355</v>
      </c>
      <c r="Y203" t="s">
        <v>1355</v>
      </c>
      <c r="Z203">
        <v>0</v>
      </c>
      <c r="AA203">
        <v>0</v>
      </c>
      <c r="AB203">
        <v>0</v>
      </c>
      <c r="AC203" s="294">
        <v>41836</v>
      </c>
      <c r="AD203" s="294">
        <v>73050</v>
      </c>
      <c r="AE203" s="294">
        <v>41836</v>
      </c>
      <c r="AF203" t="s">
        <v>1367</v>
      </c>
      <c r="AG203">
        <v>0</v>
      </c>
      <c r="AH203" t="s">
        <v>1753</v>
      </c>
      <c r="AI203">
        <v>1</v>
      </c>
      <c r="AJ203">
        <v>1</v>
      </c>
      <c r="AK203">
        <v>0</v>
      </c>
      <c r="AL203">
        <v>1</v>
      </c>
      <c r="AM203" t="s">
        <v>1355</v>
      </c>
      <c r="AN203" t="s">
        <v>1357</v>
      </c>
      <c r="AO203">
        <v>2.5670000000000002</v>
      </c>
      <c r="AP203">
        <v>3</v>
      </c>
      <c r="AQ203">
        <v>0</v>
      </c>
      <c r="AR203">
        <v>2.5670000000000002</v>
      </c>
      <c r="AS203">
        <v>2.5670000000000002</v>
      </c>
      <c r="AT203">
        <v>1</v>
      </c>
    </row>
    <row r="204" spans="1:46" hidden="1" x14ac:dyDescent="0.2">
      <c r="A204" t="s">
        <v>1502</v>
      </c>
      <c r="B204" t="s">
        <v>1503</v>
      </c>
      <c r="C204" t="s">
        <v>1502</v>
      </c>
      <c r="D204" t="s">
        <v>1355</v>
      </c>
      <c r="E204" t="s">
        <v>1356</v>
      </c>
      <c r="F204" t="s">
        <v>1357</v>
      </c>
      <c r="G204" t="s">
        <v>1355</v>
      </c>
      <c r="H204" t="s">
        <v>1367</v>
      </c>
      <c r="I204" t="s">
        <v>1661</v>
      </c>
      <c r="J204">
        <v>6</v>
      </c>
      <c r="K204">
        <v>60</v>
      </c>
      <c r="L204" t="s">
        <v>1502</v>
      </c>
      <c r="M204" t="s">
        <v>1502</v>
      </c>
      <c r="N204" t="s">
        <v>1355</v>
      </c>
      <c r="O204" t="s">
        <v>1359</v>
      </c>
      <c r="P204">
        <v>1</v>
      </c>
      <c r="Q204">
        <v>1</v>
      </c>
      <c r="R204">
        <v>0</v>
      </c>
      <c r="S204" t="s">
        <v>1355</v>
      </c>
      <c r="T204">
        <v>0</v>
      </c>
      <c r="U204">
        <v>0</v>
      </c>
      <c r="V204">
        <v>0</v>
      </c>
      <c r="W204" t="s">
        <v>1355</v>
      </c>
      <c r="X204" t="s">
        <v>1355</v>
      </c>
      <c r="Y204" t="s">
        <v>1355</v>
      </c>
      <c r="Z204">
        <v>0</v>
      </c>
      <c r="AA204">
        <v>0</v>
      </c>
      <c r="AB204">
        <v>0</v>
      </c>
      <c r="AC204" s="294">
        <v>41836</v>
      </c>
      <c r="AD204" s="294">
        <v>73050</v>
      </c>
      <c r="AE204" s="294">
        <v>41836</v>
      </c>
      <c r="AF204" t="s">
        <v>1367</v>
      </c>
      <c r="AG204">
        <v>0</v>
      </c>
      <c r="AH204" t="s">
        <v>1754</v>
      </c>
      <c r="AI204">
        <v>1</v>
      </c>
      <c r="AJ204">
        <v>1</v>
      </c>
      <c r="AK204">
        <v>0</v>
      </c>
      <c r="AL204">
        <v>1</v>
      </c>
      <c r="AM204" t="s">
        <v>1355</v>
      </c>
      <c r="AN204" t="s">
        <v>1357</v>
      </c>
      <c r="AO204">
        <v>1.6452</v>
      </c>
      <c r="AP204">
        <v>3</v>
      </c>
      <c r="AQ204">
        <v>0</v>
      </c>
      <c r="AR204">
        <v>1.63289</v>
      </c>
      <c r="AS204">
        <v>1.6452</v>
      </c>
      <c r="AT204">
        <v>1</v>
      </c>
    </row>
    <row r="205" spans="1:46" hidden="1" x14ac:dyDescent="0.2">
      <c r="A205" t="s">
        <v>1505</v>
      </c>
      <c r="B205" t="s">
        <v>1506</v>
      </c>
      <c r="C205" t="s">
        <v>1505</v>
      </c>
      <c r="D205" t="s">
        <v>1355</v>
      </c>
      <c r="E205" t="s">
        <v>1356</v>
      </c>
      <c r="F205" t="s">
        <v>1357</v>
      </c>
      <c r="G205" t="s">
        <v>1355</v>
      </c>
      <c r="H205" t="s">
        <v>1367</v>
      </c>
      <c r="I205" t="s">
        <v>1661</v>
      </c>
      <c r="J205">
        <v>7</v>
      </c>
      <c r="K205">
        <v>70</v>
      </c>
      <c r="L205" t="s">
        <v>1505</v>
      </c>
      <c r="M205" t="s">
        <v>1505</v>
      </c>
      <c r="N205" t="s">
        <v>1355</v>
      </c>
      <c r="O205" t="s">
        <v>1359</v>
      </c>
      <c r="P205">
        <v>1</v>
      </c>
      <c r="Q205">
        <v>1</v>
      </c>
      <c r="R205">
        <v>0</v>
      </c>
      <c r="S205" t="s">
        <v>1355</v>
      </c>
      <c r="T205">
        <v>0</v>
      </c>
      <c r="U205">
        <v>0</v>
      </c>
      <c r="V205">
        <v>0</v>
      </c>
      <c r="W205" t="s">
        <v>1355</v>
      </c>
      <c r="X205" t="s">
        <v>1355</v>
      </c>
      <c r="Y205" t="s">
        <v>1355</v>
      </c>
      <c r="Z205">
        <v>0</v>
      </c>
      <c r="AA205">
        <v>0</v>
      </c>
      <c r="AB205">
        <v>0</v>
      </c>
      <c r="AC205" s="294">
        <v>41836</v>
      </c>
      <c r="AD205" s="294">
        <v>73050</v>
      </c>
      <c r="AE205" s="294">
        <v>41836</v>
      </c>
      <c r="AF205" t="s">
        <v>1367</v>
      </c>
      <c r="AG205">
        <v>0</v>
      </c>
      <c r="AH205" t="s">
        <v>1755</v>
      </c>
      <c r="AI205">
        <v>1</v>
      </c>
      <c r="AJ205">
        <v>1</v>
      </c>
      <c r="AK205">
        <v>0</v>
      </c>
      <c r="AL205">
        <v>1</v>
      </c>
      <c r="AM205" t="s">
        <v>1355</v>
      </c>
      <c r="AN205" t="s">
        <v>1357</v>
      </c>
      <c r="AO205">
        <v>2.9340000000000002</v>
      </c>
      <c r="AP205">
        <v>3</v>
      </c>
      <c r="AQ205">
        <v>0</v>
      </c>
      <c r="AR205">
        <v>2.9064199999999998</v>
      </c>
      <c r="AS205">
        <v>2.9340000000000002</v>
      </c>
      <c r="AT205">
        <v>1</v>
      </c>
    </row>
    <row r="206" spans="1:46" hidden="1" x14ac:dyDescent="0.2">
      <c r="A206" t="s">
        <v>1508</v>
      </c>
      <c r="B206" t="s">
        <v>1509</v>
      </c>
      <c r="C206" t="s">
        <v>1508</v>
      </c>
      <c r="D206" t="s">
        <v>1355</v>
      </c>
      <c r="E206" t="s">
        <v>1356</v>
      </c>
      <c r="F206" t="s">
        <v>1357</v>
      </c>
      <c r="G206" t="s">
        <v>1355</v>
      </c>
      <c r="H206" t="s">
        <v>1367</v>
      </c>
      <c r="I206" t="s">
        <v>1661</v>
      </c>
      <c r="J206">
        <v>8</v>
      </c>
      <c r="K206">
        <v>80</v>
      </c>
      <c r="L206" t="s">
        <v>1508</v>
      </c>
      <c r="M206" t="s">
        <v>1508</v>
      </c>
      <c r="N206" t="s">
        <v>1355</v>
      </c>
      <c r="O206" t="s">
        <v>1359</v>
      </c>
      <c r="P206">
        <v>1</v>
      </c>
      <c r="Q206">
        <v>1</v>
      </c>
      <c r="R206">
        <v>0</v>
      </c>
      <c r="S206" t="s">
        <v>1355</v>
      </c>
      <c r="T206">
        <v>0</v>
      </c>
      <c r="U206">
        <v>0</v>
      </c>
      <c r="V206">
        <v>0</v>
      </c>
      <c r="W206" t="s">
        <v>1355</v>
      </c>
      <c r="X206" t="s">
        <v>1355</v>
      </c>
      <c r="Y206" t="s">
        <v>1355</v>
      </c>
      <c r="Z206">
        <v>0</v>
      </c>
      <c r="AA206">
        <v>0</v>
      </c>
      <c r="AB206">
        <v>0</v>
      </c>
      <c r="AC206" s="294">
        <v>41836</v>
      </c>
      <c r="AD206" s="294">
        <v>73050</v>
      </c>
      <c r="AE206" s="294">
        <v>41836</v>
      </c>
      <c r="AF206" t="s">
        <v>1367</v>
      </c>
      <c r="AG206">
        <v>0</v>
      </c>
      <c r="AH206" t="s">
        <v>1756</v>
      </c>
      <c r="AI206">
        <v>1</v>
      </c>
      <c r="AJ206">
        <v>1</v>
      </c>
      <c r="AK206">
        <v>0</v>
      </c>
      <c r="AL206">
        <v>1</v>
      </c>
      <c r="AM206" t="s">
        <v>1355</v>
      </c>
      <c r="AN206" t="s">
        <v>1357</v>
      </c>
      <c r="AO206">
        <v>7.6970000000000001</v>
      </c>
      <c r="AP206">
        <v>3</v>
      </c>
      <c r="AQ206">
        <v>0</v>
      </c>
      <c r="AR206">
        <v>7.6149699999999996</v>
      </c>
      <c r="AS206">
        <v>7.6970000000000001</v>
      </c>
      <c r="AT206">
        <v>1</v>
      </c>
    </row>
    <row r="207" spans="1:46" x14ac:dyDescent="0.2">
      <c r="A207" t="s">
        <v>1285</v>
      </c>
      <c r="B207" t="s">
        <v>1757</v>
      </c>
      <c r="C207" t="s">
        <v>1285</v>
      </c>
      <c r="D207" t="s">
        <v>1355</v>
      </c>
      <c r="E207" t="s">
        <v>1356</v>
      </c>
      <c r="F207" t="s">
        <v>1357</v>
      </c>
      <c r="G207" t="s">
        <v>1355</v>
      </c>
      <c r="H207" t="s">
        <v>1358</v>
      </c>
      <c r="I207" t="s">
        <v>1353</v>
      </c>
      <c r="J207">
        <v>27</v>
      </c>
      <c r="K207">
        <v>270</v>
      </c>
      <c r="L207" t="s">
        <v>1285</v>
      </c>
      <c r="M207" t="s">
        <v>1285</v>
      </c>
      <c r="N207" t="s">
        <v>1355</v>
      </c>
      <c r="O207" t="s">
        <v>1359</v>
      </c>
      <c r="P207">
        <v>1</v>
      </c>
      <c r="Q207">
        <v>1</v>
      </c>
      <c r="R207">
        <v>0</v>
      </c>
      <c r="S207" t="s">
        <v>1355</v>
      </c>
      <c r="T207">
        <v>0</v>
      </c>
      <c r="U207">
        <v>0</v>
      </c>
      <c r="V207">
        <v>0</v>
      </c>
      <c r="W207" t="s">
        <v>1355</v>
      </c>
      <c r="X207" t="s">
        <v>1355</v>
      </c>
      <c r="Y207" t="s">
        <v>1355</v>
      </c>
      <c r="Z207">
        <v>0</v>
      </c>
      <c r="AA207">
        <v>0</v>
      </c>
      <c r="AB207">
        <v>0</v>
      </c>
      <c r="AC207" s="294">
        <v>36161</v>
      </c>
      <c r="AD207" s="294">
        <v>73050</v>
      </c>
      <c r="AE207" s="294">
        <v>41844</v>
      </c>
      <c r="AF207" t="s">
        <v>1358</v>
      </c>
      <c r="AG207">
        <v>0</v>
      </c>
      <c r="AH207" t="s">
        <v>1758</v>
      </c>
      <c r="AI207">
        <v>1</v>
      </c>
      <c r="AJ207">
        <v>1</v>
      </c>
      <c r="AK207">
        <v>0</v>
      </c>
      <c r="AL207">
        <v>1</v>
      </c>
      <c r="AM207" t="s">
        <v>1362</v>
      </c>
      <c r="AN207" t="s">
        <v>1357</v>
      </c>
      <c r="AO207">
        <v>1390.3462500000001</v>
      </c>
      <c r="AP207">
        <v>1</v>
      </c>
      <c r="AQ207">
        <v>406.2</v>
      </c>
      <c r="AR207">
        <v>1390.33104</v>
      </c>
      <c r="AS207">
        <v>1390.3462500000001</v>
      </c>
      <c r="AT207">
        <v>1</v>
      </c>
    </row>
    <row r="208" spans="1:46" hidden="1" x14ac:dyDescent="0.2">
      <c r="A208" t="s">
        <v>1759</v>
      </c>
      <c r="B208" t="s">
        <v>1760</v>
      </c>
      <c r="C208" t="s">
        <v>1759</v>
      </c>
      <c r="D208" t="s">
        <v>1355</v>
      </c>
      <c r="E208" t="s">
        <v>1356</v>
      </c>
      <c r="F208" t="s">
        <v>1357</v>
      </c>
      <c r="G208" t="s">
        <v>1355</v>
      </c>
      <c r="H208" t="s">
        <v>1358</v>
      </c>
      <c r="I208" t="s">
        <v>1285</v>
      </c>
      <c r="J208">
        <v>1</v>
      </c>
      <c r="K208">
        <v>10</v>
      </c>
      <c r="L208" t="s">
        <v>1759</v>
      </c>
      <c r="M208" t="s">
        <v>1759</v>
      </c>
      <c r="N208" t="s">
        <v>1355</v>
      </c>
      <c r="O208" t="s">
        <v>1359</v>
      </c>
      <c r="P208">
        <v>1</v>
      </c>
      <c r="Q208">
        <v>1</v>
      </c>
      <c r="R208">
        <v>0</v>
      </c>
      <c r="S208" t="s">
        <v>1355</v>
      </c>
      <c r="T208">
        <v>0</v>
      </c>
      <c r="U208">
        <v>0</v>
      </c>
      <c r="V208">
        <v>0</v>
      </c>
      <c r="W208" t="s">
        <v>1355</v>
      </c>
      <c r="X208" t="s">
        <v>1355</v>
      </c>
      <c r="Y208" t="s">
        <v>1355</v>
      </c>
      <c r="Z208">
        <v>0</v>
      </c>
      <c r="AA208">
        <v>0</v>
      </c>
      <c r="AB208">
        <v>0</v>
      </c>
      <c r="AC208" s="294">
        <v>41841</v>
      </c>
      <c r="AD208" s="294">
        <v>73050</v>
      </c>
      <c r="AE208" s="294">
        <v>41841</v>
      </c>
      <c r="AF208" t="s">
        <v>1358</v>
      </c>
      <c r="AG208">
        <v>0</v>
      </c>
      <c r="AH208" t="s">
        <v>1761</v>
      </c>
      <c r="AI208">
        <v>1</v>
      </c>
      <c r="AJ208">
        <v>1</v>
      </c>
      <c r="AK208">
        <v>0</v>
      </c>
      <c r="AL208">
        <v>1</v>
      </c>
      <c r="AM208" t="s">
        <v>1362</v>
      </c>
      <c r="AN208" t="s">
        <v>1357</v>
      </c>
      <c r="AO208">
        <v>501</v>
      </c>
      <c r="AP208">
        <v>2</v>
      </c>
      <c r="AQ208">
        <v>0</v>
      </c>
      <c r="AR208">
        <v>501</v>
      </c>
      <c r="AS208">
        <v>501</v>
      </c>
      <c r="AT208">
        <v>1</v>
      </c>
    </row>
    <row r="209" spans="1:46" hidden="1" x14ac:dyDescent="0.2">
      <c r="A209" t="s">
        <v>1762</v>
      </c>
      <c r="B209" t="s">
        <v>1763</v>
      </c>
      <c r="C209" t="s">
        <v>1762</v>
      </c>
      <c r="D209" t="s">
        <v>1355</v>
      </c>
      <c r="E209" t="s">
        <v>1356</v>
      </c>
      <c r="F209" t="s">
        <v>1357</v>
      </c>
      <c r="G209" t="s">
        <v>1355</v>
      </c>
      <c r="H209" t="s">
        <v>1367</v>
      </c>
      <c r="I209" t="s">
        <v>1759</v>
      </c>
      <c r="J209">
        <v>1</v>
      </c>
      <c r="K209">
        <v>10</v>
      </c>
      <c r="L209" t="s">
        <v>1762</v>
      </c>
      <c r="M209" t="s">
        <v>1762</v>
      </c>
      <c r="N209" t="s">
        <v>1355</v>
      </c>
      <c r="O209" t="s">
        <v>1359</v>
      </c>
      <c r="P209">
        <v>1</v>
      </c>
      <c r="Q209">
        <v>1</v>
      </c>
      <c r="R209">
        <v>0</v>
      </c>
      <c r="S209" t="s">
        <v>1355</v>
      </c>
      <c r="T209">
        <v>0</v>
      </c>
      <c r="U209">
        <v>0</v>
      </c>
      <c r="V209">
        <v>0</v>
      </c>
      <c r="W209" t="s">
        <v>1355</v>
      </c>
      <c r="X209" t="s">
        <v>1355</v>
      </c>
      <c r="Y209" t="s">
        <v>1355</v>
      </c>
      <c r="Z209">
        <v>0</v>
      </c>
      <c r="AA209">
        <v>0</v>
      </c>
      <c r="AB209">
        <v>0</v>
      </c>
      <c r="AC209" s="294">
        <v>41836</v>
      </c>
      <c r="AD209" s="294">
        <v>73050</v>
      </c>
      <c r="AE209" s="294">
        <v>41836</v>
      </c>
      <c r="AF209" t="s">
        <v>1367</v>
      </c>
      <c r="AG209">
        <v>0</v>
      </c>
      <c r="AH209" t="s">
        <v>1764</v>
      </c>
      <c r="AI209">
        <v>1</v>
      </c>
      <c r="AJ209">
        <v>1</v>
      </c>
      <c r="AK209">
        <v>0</v>
      </c>
      <c r="AL209">
        <v>1</v>
      </c>
      <c r="AM209" t="s">
        <v>1355</v>
      </c>
      <c r="AN209" t="s">
        <v>1357</v>
      </c>
      <c r="AO209">
        <v>501</v>
      </c>
      <c r="AP209">
        <v>3</v>
      </c>
      <c r="AQ209">
        <v>0</v>
      </c>
      <c r="AR209">
        <v>501</v>
      </c>
      <c r="AS209">
        <v>501</v>
      </c>
      <c r="AT209">
        <v>1</v>
      </c>
    </row>
    <row r="210" spans="1:46" hidden="1" x14ac:dyDescent="0.2">
      <c r="A210" t="s">
        <v>1631</v>
      </c>
      <c r="B210" t="s">
        <v>1632</v>
      </c>
      <c r="C210" t="s">
        <v>1631</v>
      </c>
      <c r="D210" t="s">
        <v>1355</v>
      </c>
      <c r="E210" t="s">
        <v>1356</v>
      </c>
      <c r="F210" t="s">
        <v>1357</v>
      </c>
      <c r="G210" t="s">
        <v>1355</v>
      </c>
      <c r="H210" t="s">
        <v>1358</v>
      </c>
      <c r="I210" t="s">
        <v>1285</v>
      </c>
      <c r="J210">
        <v>2</v>
      </c>
      <c r="K210">
        <v>20</v>
      </c>
      <c r="L210" t="s">
        <v>1631</v>
      </c>
      <c r="M210" t="s">
        <v>1631</v>
      </c>
      <c r="N210" t="s">
        <v>1355</v>
      </c>
      <c r="O210" t="s">
        <v>1359</v>
      </c>
      <c r="P210">
        <v>1</v>
      </c>
      <c r="Q210">
        <v>1</v>
      </c>
      <c r="R210">
        <v>0</v>
      </c>
      <c r="S210" t="s">
        <v>1355</v>
      </c>
      <c r="T210">
        <v>0</v>
      </c>
      <c r="U210">
        <v>0</v>
      </c>
      <c r="V210">
        <v>0</v>
      </c>
      <c r="W210" t="s">
        <v>1355</v>
      </c>
      <c r="X210" t="s">
        <v>1355</v>
      </c>
      <c r="Y210" t="s">
        <v>1355</v>
      </c>
      <c r="Z210">
        <v>0</v>
      </c>
      <c r="AA210">
        <v>0</v>
      </c>
      <c r="AB210">
        <v>0</v>
      </c>
      <c r="AC210" s="294">
        <v>41841</v>
      </c>
      <c r="AD210" s="294">
        <v>73050</v>
      </c>
      <c r="AE210" s="294">
        <v>41841</v>
      </c>
      <c r="AF210" t="s">
        <v>1358</v>
      </c>
      <c r="AG210">
        <v>0</v>
      </c>
      <c r="AH210" t="s">
        <v>1765</v>
      </c>
      <c r="AI210">
        <v>1</v>
      </c>
      <c r="AJ210">
        <v>1</v>
      </c>
      <c r="AK210">
        <v>0</v>
      </c>
      <c r="AL210">
        <v>1</v>
      </c>
      <c r="AM210" t="s">
        <v>1362</v>
      </c>
      <c r="AN210" t="s">
        <v>1357</v>
      </c>
      <c r="AO210">
        <v>456.94900000000001</v>
      </c>
      <c r="AP210">
        <v>2</v>
      </c>
      <c r="AQ210">
        <v>0</v>
      </c>
      <c r="AR210">
        <v>457.13198999999997</v>
      </c>
      <c r="AS210">
        <v>456.94900000000001</v>
      </c>
      <c r="AT210">
        <v>1</v>
      </c>
    </row>
    <row r="211" spans="1:46" hidden="1" x14ac:dyDescent="0.2">
      <c r="A211" t="s">
        <v>1634</v>
      </c>
      <c r="B211" t="s">
        <v>1635</v>
      </c>
      <c r="C211" t="s">
        <v>1634</v>
      </c>
      <c r="D211" t="s">
        <v>1355</v>
      </c>
      <c r="E211" t="s">
        <v>1356</v>
      </c>
      <c r="F211" t="s">
        <v>1357</v>
      </c>
      <c r="G211" t="s">
        <v>1355</v>
      </c>
      <c r="H211" t="s">
        <v>1367</v>
      </c>
      <c r="I211" t="s">
        <v>1631</v>
      </c>
      <c r="J211">
        <v>1</v>
      </c>
      <c r="K211">
        <v>10</v>
      </c>
      <c r="L211" t="s">
        <v>1634</v>
      </c>
      <c r="M211" t="s">
        <v>1634</v>
      </c>
      <c r="N211" t="s">
        <v>1355</v>
      </c>
      <c r="O211" t="s">
        <v>1359</v>
      </c>
      <c r="P211">
        <v>2</v>
      </c>
      <c r="Q211">
        <v>2</v>
      </c>
      <c r="R211">
        <v>0</v>
      </c>
      <c r="S211" t="s">
        <v>1355</v>
      </c>
      <c r="T211">
        <v>0</v>
      </c>
      <c r="U211">
        <v>0</v>
      </c>
      <c r="V211">
        <v>0</v>
      </c>
      <c r="W211" t="s">
        <v>1355</v>
      </c>
      <c r="X211" t="s">
        <v>1355</v>
      </c>
      <c r="Y211" t="s">
        <v>1355</v>
      </c>
      <c r="Z211">
        <v>0</v>
      </c>
      <c r="AA211">
        <v>0</v>
      </c>
      <c r="AB211">
        <v>0</v>
      </c>
      <c r="AC211" s="294">
        <v>41836</v>
      </c>
      <c r="AD211" s="294">
        <v>73050</v>
      </c>
      <c r="AE211" s="294">
        <v>41836</v>
      </c>
      <c r="AF211" t="s">
        <v>1367</v>
      </c>
      <c r="AG211">
        <v>0</v>
      </c>
      <c r="AH211" t="s">
        <v>1766</v>
      </c>
      <c r="AI211">
        <v>2</v>
      </c>
      <c r="AJ211">
        <v>2</v>
      </c>
      <c r="AK211">
        <v>0</v>
      </c>
      <c r="AL211">
        <v>2</v>
      </c>
      <c r="AM211" t="s">
        <v>1355</v>
      </c>
      <c r="AN211" t="s">
        <v>1357</v>
      </c>
      <c r="AO211">
        <v>36.590000000000003</v>
      </c>
      <c r="AP211">
        <v>3</v>
      </c>
      <c r="AQ211">
        <v>0</v>
      </c>
      <c r="AR211">
        <v>36.148580000000003</v>
      </c>
      <c r="AS211">
        <v>36.590000000000003</v>
      </c>
      <c r="AT211">
        <v>1</v>
      </c>
    </row>
    <row r="212" spans="1:46" hidden="1" x14ac:dyDescent="0.2">
      <c r="A212" t="s">
        <v>1637</v>
      </c>
      <c r="B212" t="s">
        <v>1638</v>
      </c>
      <c r="C212" t="s">
        <v>1637</v>
      </c>
      <c r="D212" t="s">
        <v>1355</v>
      </c>
      <c r="E212" t="s">
        <v>1356</v>
      </c>
      <c r="F212" t="s">
        <v>1357</v>
      </c>
      <c r="G212" t="s">
        <v>1355</v>
      </c>
      <c r="H212" t="s">
        <v>1367</v>
      </c>
      <c r="I212" t="s">
        <v>1631</v>
      </c>
      <c r="J212">
        <v>2</v>
      </c>
      <c r="K212">
        <v>20</v>
      </c>
      <c r="L212" t="s">
        <v>1637</v>
      </c>
      <c r="M212" t="s">
        <v>1637</v>
      </c>
      <c r="N212" t="s">
        <v>1355</v>
      </c>
      <c r="O212" t="s">
        <v>1359</v>
      </c>
      <c r="P212">
        <v>1</v>
      </c>
      <c r="Q212">
        <v>1</v>
      </c>
      <c r="R212">
        <v>0</v>
      </c>
      <c r="S212" t="s">
        <v>1355</v>
      </c>
      <c r="T212">
        <v>0</v>
      </c>
      <c r="U212">
        <v>0</v>
      </c>
      <c r="V212">
        <v>0</v>
      </c>
      <c r="W212" t="s">
        <v>1355</v>
      </c>
      <c r="X212" t="s">
        <v>1355</v>
      </c>
      <c r="Y212" t="s">
        <v>1355</v>
      </c>
      <c r="Z212">
        <v>0</v>
      </c>
      <c r="AA212">
        <v>0</v>
      </c>
      <c r="AB212">
        <v>0</v>
      </c>
      <c r="AC212" s="294">
        <v>41836</v>
      </c>
      <c r="AD212" s="294">
        <v>73050</v>
      </c>
      <c r="AE212" s="294">
        <v>41836</v>
      </c>
      <c r="AF212" t="s">
        <v>1367</v>
      </c>
      <c r="AG212">
        <v>0</v>
      </c>
      <c r="AH212" t="s">
        <v>1767</v>
      </c>
      <c r="AI212">
        <v>1</v>
      </c>
      <c r="AJ212">
        <v>1</v>
      </c>
      <c r="AK212">
        <v>0</v>
      </c>
      <c r="AL212">
        <v>1</v>
      </c>
      <c r="AM212" t="s">
        <v>1355</v>
      </c>
      <c r="AN212" t="s">
        <v>1357</v>
      </c>
      <c r="AO212">
        <v>63.4</v>
      </c>
      <c r="AP212">
        <v>3</v>
      </c>
      <c r="AQ212">
        <v>0</v>
      </c>
      <c r="AR212">
        <v>63.4</v>
      </c>
      <c r="AS212">
        <v>63.4</v>
      </c>
      <c r="AT212">
        <v>1</v>
      </c>
    </row>
    <row r="213" spans="1:46" hidden="1" x14ac:dyDescent="0.2">
      <c r="A213" t="s">
        <v>1640</v>
      </c>
      <c r="B213" t="s">
        <v>1641</v>
      </c>
      <c r="C213" t="s">
        <v>1640</v>
      </c>
      <c r="D213" t="s">
        <v>1355</v>
      </c>
      <c r="E213" t="s">
        <v>1356</v>
      </c>
      <c r="F213" t="s">
        <v>1357</v>
      </c>
      <c r="G213" t="s">
        <v>1355</v>
      </c>
      <c r="H213" t="s">
        <v>1367</v>
      </c>
      <c r="I213" t="s">
        <v>1631</v>
      </c>
      <c r="J213">
        <v>3</v>
      </c>
      <c r="K213">
        <v>30</v>
      </c>
      <c r="L213" t="s">
        <v>1640</v>
      </c>
      <c r="M213" t="s">
        <v>1640</v>
      </c>
      <c r="N213" t="s">
        <v>1355</v>
      </c>
      <c r="O213" t="s">
        <v>1359</v>
      </c>
      <c r="P213">
        <v>3</v>
      </c>
      <c r="Q213">
        <v>3</v>
      </c>
      <c r="R213">
        <v>0</v>
      </c>
      <c r="S213" t="s">
        <v>1355</v>
      </c>
      <c r="T213">
        <v>0</v>
      </c>
      <c r="U213">
        <v>0</v>
      </c>
      <c r="V213">
        <v>0</v>
      </c>
      <c r="W213" t="s">
        <v>1355</v>
      </c>
      <c r="X213" t="s">
        <v>1355</v>
      </c>
      <c r="Y213" t="s">
        <v>1355</v>
      </c>
      <c r="Z213">
        <v>0</v>
      </c>
      <c r="AA213">
        <v>0</v>
      </c>
      <c r="AB213">
        <v>0</v>
      </c>
      <c r="AC213" s="294">
        <v>41836</v>
      </c>
      <c r="AD213" s="294">
        <v>73050</v>
      </c>
      <c r="AE213" s="294">
        <v>41836</v>
      </c>
      <c r="AF213" t="s">
        <v>1367</v>
      </c>
      <c r="AG213">
        <v>0</v>
      </c>
      <c r="AH213" t="s">
        <v>1768</v>
      </c>
      <c r="AI213">
        <v>3</v>
      </c>
      <c r="AJ213">
        <v>3</v>
      </c>
      <c r="AK213">
        <v>0</v>
      </c>
      <c r="AL213">
        <v>3</v>
      </c>
      <c r="AM213" t="s">
        <v>1355</v>
      </c>
      <c r="AN213" t="s">
        <v>1357</v>
      </c>
      <c r="AO213">
        <v>14.882999999999999</v>
      </c>
      <c r="AP213">
        <v>3</v>
      </c>
      <c r="AQ213">
        <v>0</v>
      </c>
      <c r="AR213">
        <v>14.882999999999999</v>
      </c>
      <c r="AS213">
        <v>14.882999999999999</v>
      </c>
      <c r="AT213">
        <v>1</v>
      </c>
    </row>
    <row r="214" spans="1:46" hidden="1" x14ac:dyDescent="0.2">
      <c r="A214" t="s">
        <v>1643</v>
      </c>
      <c r="B214" t="s">
        <v>1644</v>
      </c>
      <c r="C214" t="s">
        <v>1643</v>
      </c>
      <c r="D214" t="s">
        <v>1355</v>
      </c>
      <c r="E214" t="s">
        <v>1356</v>
      </c>
      <c r="F214" t="s">
        <v>1357</v>
      </c>
      <c r="G214" t="s">
        <v>1355</v>
      </c>
      <c r="H214" t="s">
        <v>1367</v>
      </c>
      <c r="I214" t="s">
        <v>1631</v>
      </c>
      <c r="J214">
        <v>4</v>
      </c>
      <c r="K214">
        <v>40</v>
      </c>
      <c r="L214" t="s">
        <v>1643</v>
      </c>
      <c r="M214" t="s">
        <v>1643</v>
      </c>
      <c r="N214" t="s">
        <v>1355</v>
      </c>
      <c r="O214" t="s">
        <v>1359</v>
      </c>
      <c r="P214">
        <v>1</v>
      </c>
      <c r="Q214">
        <v>1</v>
      </c>
      <c r="R214">
        <v>0</v>
      </c>
      <c r="S214" t="s">
        <v>1355</v>
      </c>
      <c r="T214">
        <v>0</v>
      </c>
      <c r="U214">
        <v>0</v>
      </c>
      <c r="V214">
        <v>0</v>
      </c>
      <c r="W214" t="s">
        <v>1355</v>
      </c>
      <c r="X214" t="s">
        <v>1355</v>
      </c>
      <c r="Y214" t="s">
        <v>1355</v>
      </c>
      <c r="Z214">
        <v>0</v>
      </c>
      <c r="AA214">
        <v>0</v>
      </c>
      <c r="AB214">
        <v>0</v>
      </c>
      <c r="AC214" s="294">
        <v>41836</v>
      </c>
      <c r="AD214" s="294">
        <v>73050</v>
      </c>
      <c r="AE214" s="294">
        <v>41836</v>
      </c>
      <c r="AF214" t="s">
        <v>1367</v>
      </c>
      <c r="AG214">
        <v>0</v>
      </c>
      <c r="AH214" t="s">
        <v>1769</v>
      </c>
      <c r="AI214">
        <v>1</v>
      </c>
      <c r="AJ214">
        <v>1</v>
      </c>
      <c r="AK214">
        <v>0</v>
      </c>
      <c r="AL214">
        <v>1</v>
      </c>
      <c r="AM214" t="s">
        <v>1355</v>
      </c>
      <c r="AN214" t="s">
        <v>1357</v>
      </c>
      <c r="AO214">
        <v>53.665999999999997</v>
      </c>
      <c r="AP214">
        <v>3</v>
      </c>
      <c r="AQ214">
        <v>0</v>
      </c>
      <c r="AR214">
        <v>53.665999999999997</v>
      </c>
      <c r="AS214">
        <v>53.665999999999997</v>
      </c>
      <c r="AT214">
        <v>1</v>
      </c>
    </row>
    <row r="215" spans="1:46" hidden="1" x14ac:dyDescent="0.2">
      <c r="A215" t="s">
        <v>1646</v>
      </c>
      <c r="B215" t="s">
        <v>1647</v>
      </c>
      <c r="C215" t="s">
        <v>1646</v>
      </c>
      <c r="D215" t="s">
        <v>1355</v>
      </c>
      <c r="E215" t="s">
        <v>1356</v>
      </c>
      <c r="F215" t="s">
        <v>1357</v>
      </c>
      <c r="G215" t="s">
        <v>1355</v>
      </c>
      <c r="H215" t="s">
        <v>1367</v>
      </c>
      <c r="I215" t="s">
        <v>1631</v>
      </c>
      <c r="J215">
        <v>5</v>
      </c>
      <c r="K215">
        <v>50</v>
      </c>
      <c r="L215" t="s">
        <v>1646</v>
      </c>
      <c r="M215" t="s">
        <v>1646</v>
      </c>
      <c r="N215" t="s">
        <v>1355</v>
      </c>
      <c r="O215" t="s">
        <v>1359</v>
      </c>
      <c r="P215">
        <v>1</v>
      </c>
      <c r="Q215">
        <v>1</v>
      </c>
      <c r="R215">
        <v>0</v>
      </c>
      <c r="S215" t="s">
        <v>1355</v>
      </c>
      <c r="T215">
        <v>0</v>
      </c>
      <c r="U215">
        <v>0</v>
      </c>
      <c r="V215">
        <v>0</v>
      </c>
      <c r="W215" t="s">
        <v>1355</v>
      </c>
      <c r="X215" t="s">
        <v>1355</v>
      </c>
      <c r="Y215" t="s">
        <v>1355</v>
      </c>
      <c r="Z215">
        <v>0</v>
      </c>
      <c r="AA215">
        <v>0</v>
      </c>
      <c r="AB215">
        <v>0</v>
      </c>
      <c r="AC215" s="294">
        <v>41836</v>
      </c>
      <c r="AD215" s="294">
        <v>73050</v>
      </c>
      <c r="AE215" s="294">
        <v>41836</v>
      </c>
      <c r="AF215" t="s">
        <v>1367</v>
      </c>
      <c r="AG215">
        <v>0</v>
      </c>
      <c r="AH215" t="s">
        <v>1770</v>
      </c>
      <c r="AI215">
        <v>1</v>
      </c>
      <c r="AJ215">
        <v>1</v>
      </c>
      <c r="AK215">
        <v>0</v>
      </c>
      <c r="AL215">
        <v>1</v>
      </c>
      <c r="AM215" t="s">
        <v>1355</v>
      </c>
      <c r="AN215" t="s">
        <v>1357</v>
      </c>
      <c r="AO215">
        <v>11.87</v>
      </c>
      <c r="AP215">
        <v>3</v>
      </c>
      <c r="AQ215">
        <v>0</v>
      </c>
      <c r="AR215">
        <v>12.785209999999999</v>
      </c>
      <c r="AS215">
        <v>11.87</v>
      </c>
      <c r="AT215">
        <v>1</v>
      </c>
    </row>
    <row r="216" spans="1:46" hidden="1" x14ac:dyDescent="0.2">
      <c r="A216" t="s">
        <v>1649</v>
      </c>
      <c r="B216" t="s">
        <v>1650</v>
      </c>
      <c r="C216" t="s">
        <v>1649</v>
      </c>
      <c r="D216" t="s">
        <v>1355</v>
      </c>
      <c r="E216" t="s">
        <v>1356</v>
      </c>
      <c r="F216" t="s">
        <v>1357</v>
      </c>
      <c r="G216" t="s">
        <v>1355</v>
      </c>
      <c r="H216" t="s">
        <v>1367</v>
      </c>
      <c r="I216" t="s">
        <v>1631</v>
      </c>
      <c r="J216">
        <v>6</v>
      </c>
      <c r="K216">
        <v>60</v>
      </c>
      <c r="L216" t="s">
        <v>1649</v>
      </c>
      <c r="M216" t="s">
        <v>1649</v>
      </c>
      <c r="N216" t="s">
        <v>1355</v>
      </c>
      <c r="O216" t="s">
        <v>1359</v>
      </c>
      <c r="P216">
        <v>1</v>
      </c>
      <c r="Q216">
        <v>1</v>
      </c>
      <c r="R216">
        <v>0</v>
      </c>
      <c r="S216" t="s">
        <v>1355</v>
      </c>
      <c r="T216">
        <v>0</v>
      </c>
      <c r="U216">
        <v>0</v>
      </c>
      <c r="V216">
        <v>0</v>
      </c>
      <c r="W216" t="s">
        <v>1355</v>
      </c>
      <c r="X216" t="s">
        <v>1355</v>
      </c>
      <c r="Y216" t="s">
        <v>1355</v>
      </c>
      <c r="Z216">
        <v>0</v>
      </c>
      <c r="AA216">
        <v>0</v>
      </c>
      <c r="AB216">
        <v>0</v>
      </c>
      <c r="AC216" s="294">
        <v>41836</v>
      </c>
      <c r="AD216" s="294">
        <v>73050</v>
      </c>
      <c r="AE216" s="294">
        <v>41836</v>
      </c>
      <c r="AF216" t="s">
        <v>1367</v>
      </c>
      <c r="AG216">
        <v>0</v>
      </c>
      <c r="AH216" t="s">
        <v>1771</v>
      </c>
      <c r="AI216">
        <v>1</v>
      </c>
      <c r="AJ216">
        <v>1</v>
      </c>
      <c r="AK216">
        <v>0</v>
      </c>
      <c r="AL216">
        <v>1</v>
      </c>
      <c r="AM216" t="s">
        <v>1355</v>
      </c>
      <c r="AN216" t="s">
        <v>1357</v>
      </c>
      <c r="AO216">
        <v>28.796669999999999</v>
      </c>
      <c r="AP216">
        <v>3</v>
      </c>
      <c r="AQ216">
        <v>0</v>
      </c>
      <c r="AR216">
        <v>28.506070000000001</v>
      </c>
      <c r="AS216">
        <v>28.796669999999999</v>
      </c>
      <c r="AT216">
        <v>1</v>
      </c>
    </row>
    <row r="217" spans="1:46" hidden="1" x14ac:dyDescent="0.2">
      <c r="A217" t="s">
        <v>1652</v>
      </c>
      <c r="B217" t="s">
        <v>1653</v>
      </c>
      <c r="C217" t="s">
        <v>1652</v>
      </c>
      <c r="D217" t="s">
        <v>1355</v>
      </c>
      <c r="E217" t="s">
        <v>1356</v>
      </c>
      <c r="F217" t="s">
        <v>1357</v>
      </c>
      <c r="G217" t="s">
        <v>1355</v>
      </c>
      <c r="H217" t="s">
        <v>1367</v>
      </c>
      <c r="I217" t="s">
        <v>1631</v>
      </c>
      <c r="J217">
        <v>7</v>
      </c>
      <c r="K217">
        <v>70</v>
      </c>
      <c r="L217" t="s">
        <v>1652</v>
      </c>
      <c r="M217" t="s">
        <v>1652</v>
      </c>
      <c r="N217" t="s">
        <v>1355</v>
      </c>
      <c r="O217" t="s">
        <v>1359</v>
      </c>
      <c r="P217">
        <v>1</v>
      </c>
      <c r="Q217">
        <v>1</v>
      </c>
      <c r="R217">
        <v>0</v>
      </c>
      <c r="S217" t="s">
        <v>1355</v>
      </c>
      <c r="T217">
        <v>0</v>
      </c>
      <c r="U217">
        <v>0</v>
      </c>
      <c r="V217">
        <v>0</v>
      </c>
      <c r="W217" t="s">
        <v>1355</v>
      </c>
      <c r="X217" t="s">
        <v>1355</v>
      </c>
      <c r="Y217" t="s">
        <v>1355</v>
      </c>
      <c r="Z217">
        <v>0</v>
      </c>
      <c r="AA217">
        <v>0</v>
      </c>
      <c r="AB217">
        <v>0</v>
      </c>
      <c r="AC217" s="294">
        <v>41836</v>
      </c>
      <c r="AD217" s="294">
        <v>73050</v>
      </c>
      <c r="AE217" s="294">
        <v>41836</v>
      </c>
      <c r="AF217" t="s">
        <v>1367</v>
      </c>
      <c r="AG217">
        <v>0</v>
      </c>
      <c r="AH217" t="s">
        <v>1772</v>
      </c>
      <c r="AI217">
        <v>1</v>
      </c>
      <c r="AJ217">
        <v>1</v>
      </c>
      <c r="AK217">
        <v>0</v>
      </c>
      <c r="AL217">
        <v>1</v>
      </c>
      <c r="AM217" t="s">
        <v>1355</v>
      </c>
      <c r="AN217" t="s">
        <v>1357</v>
      </c>
      <c r="AO217">
        <v>156.25</v>
      </c>
      <c r="AP217">
        <v>3</v>
      </c>
      <c r="AQ217">
        <v>0</v>
      </c>
      <c r="AR217">
        <v>156.25</v>
      </c>
      <c r="AS217">
        <v>156.25</v>
      </c>
      <c r="AT217">
        <v>1</v>
      </c>
    </row>
    <row r="218" spans="1:46" hidden="1" x14ac:dyDescent="0.2">
      <c r="A218" t="s">
        <v>1655</v>
      </c>
      <c r="B218" t="s">
        <v>1656</v>
      </c>
      <c r="C218" t="s">
        <v>1655</v>
      </c>
      <c r="D218" t="s">
        <v>1355</v>
      </c>
      <c r="E218" t="s">
        <v>1356</v>
      </c>
      <c r="F218" t="s">
        <v>1357</v>
      </c>
      <c r="G218" t="s">
        <v>1355</v>
      </c>
      <c r="H218" t="s">
        <v>1367</v>
      </c>
      <c r="I218" t="s">
        <v>1631</v>
      </c>
      <c r="J218">
        <v>8</v>
      </c>
      <c r="K218">
        <v>80</v>
      </c>
      <c r="L218" t="s">
        <v>1655</v>
      </c>
      <c r="M218" t="s">
        <v>1655</v>
      </c>
      <c r="N218" t="s">
        <v>1355</v>
      </c>
      <c r="O218" t="s">
        <v>1359</v>
      </c>
      <c r="P218">
        <v>1</v>
      </c>
      <c r="Q218">
        <v>1</v>
      </c>
      <c r="R218">
        <v>0</v>
      </c>
      <c r="S218" t="s">
        <v>1355</v>
      </c>
      <c r="T218">
        <v>0</v>
      </c>
      <c r="U218">
        <v>0</v>
      </c>
      <c r="V218">
        <v>0</v>
      </c>
      <c r="W218" t="s">
        <v>1355</v>
      </c>
      <c r="X218" t="s">
        <v>1355</v>
      </c>
      <c r="Y218" t="s">
        <v>1355</v>
      </c>
      <c r="Z218">
        <v>0</v>
      </c>
      <c r="AA218">
        <v>0</v>
      </c>
      <c r="AB218">
        <v>0</v>
      </c>
      <c r="AC218" s="294">
        <v>41836</v>
      </c>
      <c r="AD218" s="294">
        <v>73050</v>
      </c>
      <c r="AE218" s="294">
        <v>41836</v>
      </c>
      <c r="AF218" t="s">
        <v>1367</v>
      </c>
      <c r="AG218">
        <v>0</v>
      </c>
      <c r="AH218" t="s">
        <v>1773</v>
      </c>
      <c r="AI218">
        <v>1</v>
      </c>
      <c r="AJ218">
        <v>1</v>
      </c>
      <c r="AK218">
        <v>0</v>
      </c>
      <c r="AL218">
        <v>1</v>
      </c>
      <c r="AM218" t="s">
        <v>1355</v>
      </c>
      <c r="AN218" t="s">
        <v>1357</v>
      </c>
      <c r="AO218">
        <v>1.94333</v>
      </c>
      <c r="AP218">
        <v>3</v>
      </c>
      <c r="AQ218">
        <v>0</v>
      </c>
      <c r="AR218">
        <v>1.94313</v>
      </c>
      <c r="AS218">
        <v>1.94333</v>
      </c>
      <c r="AT218">
        <v>1</v>
      </c>
    </row>
    <row r="219" spans="1:46" hidden="1" x14ac:dyDescent="0.2">
      <c r="A219" t="s">
        <v>1658</v>
      </c>
      <c r="B219" t="s">
        <v>1659</v>
      </c>
      <c r="C219" t="s">
        <v>1658</v>
      </c>
      <c r="D219" t="s">
        <v>1355</v>
      </c>
      <c r="E219" t="s">
        <v>1356</v>
      </c>
      <c r="F219" t="s">
        <v>1357</v>
      </c>
      <c r="G219" t="s">
        <v>1355</v>
      </c>
      <c r="H219" t="s">
        <v>1367</v>
      </c>
      <c r="I219" t="s">
        <v>1631</v>
      </c>
      <c r="J219">
        <v>9</v>
      </c>
      <c r="K219">
        <v>90</v>
      </c>
      <c r="L219" t="s">
        <v>1658</v>
      </c>
      <c r="M219" t="s">
        <v>1658</v>
      </c>
      <c r="N219" t="s">
        <v>1355</v>
      </c>
      <c r="O219" t="s">
        <v>1359</v>
      </c>
      <c r="P219">
        <v>1</v>
      </c>
      <c r="Q219">
        <v>1</v>
      </c>
      <c r="R219">
        <v>0</v>
      </c>
      <c r="S219" t="s">
        <v>1355</v>
      </c>
      <c r="T219">
        <v>0</v>
      </c>
      <c r="U219">
        <v>0</v>
      </c>
      <c r="V219">
        <v>0</v>
      </c>
      <c r="W219" t="s">
        <v>1355</v>
      </c>
      <c r="X219" t="s">
        <v>1355</v>
      </c>
      <c r="Y219" t="s">
        <v>1355</v>
      </c>
      <c r="Z219">
        <v>0</v>
      </c>
      <c r="AA219">
        <v>0</v>
      </c>
      <c r="AB219">
        <v>0</v>
      </c>
      <c r="AC219" s="294">
        <v>41836</v>
      </c>
      <c r="AD219" s="294">
        <v>73050</v>
      </c>
      <c r="AE219" s="294">
        <v>41836</v>
      </c>
      <c r="AF219" t="s">
        <v>1367</v>
      </c>
      <c r="AG219">
        <v>0</v>
      </c>
      <c r="AH219" t="s">
        <v>1774</v>
      </c>
      <c r="AI219">
        <v>1</v>
      </c>
      <c r="AJ219">
        <v>1</v>
      </c>
      <c r="AK219">
        <v>0</v>
      </c>
      <c r="AL219">
        <v>1</v>
      </c>
      <c r="AM219" t="s">
        <v>1355</v>
      </c>
      <c r="AN219" t="s">
        <v>1357</v>
      </c>
      <c r="AO219">
        <v>89.55</v>
      </c>
      <c r="AP219">
        <v>3</v>
      </c>
      <c r="AQ219">
        <v>0</v>
      </c>
      <c r="AR219">
        <v>89.55</v>
      </c>
      <c r="AS219">
        <v>89.55</v>
      </c>
      <c r="AT219">
        <v>1</v>
      </c>
    </row>
    <row r="220" spans="1:46" hidden="1" x14ac:dyDescent="0.2">
      <c r="A220" t="s">
        <v>1661</v>
      </c>
      <c r="B220" t="s">
        <v>1662</v>
      </c>
      <c r="C220" t="s">
        <v>1661</v>
      </c>
      <c r="D220" t="s">
        <v>1355</v>
      </c>
      <c r="E220" t="s">
        <v>1356</v>
      </c>
      <c r="F220" t="s">
        <v>1357</v>
      </c>
      <c r="G220" t="s">
        <v>1355</v>
      </c>
      <c r="H220" t="s">
        <v>1358</v>
      </c>
      <c r="I220" t="s">
        <v>1285</v>
      </c>
      <c r="J220">
        <v>3</v>
      </c>
      <c r="K220">
        <v>30</v>
      </c>
      <c r="L220" t="s">
        <v>1661</v>
      </c>
      <c r="M220" t="s">
        <v>1661</v>
      </c>
      <c r="N220" t="s">
        <v>1355</v>
      </c>
      <c r="O220" t="s">
        <v>1359</v>
      </c>
      <c r="P220">
        <v>1</v>
      </c>
      <c r="Q220">
        <v>1</v>
      </c>
      <c r="R220">
        <v>0</v>
      </c>
      <c r="S220" t="s">
        <v>1355</v>
      </c>
      <c r="T220">
        <v>0</v>
      </c>
      <c r="U220">
        <v>0</v>
      </c>
      <c r="V220">
        <v>0</v>
      </c>
      <c r="W220" t="s">
        <v>1355</v>
      </c>
      <c r="X220" t="s">
        <v>1355</v>
      </c>
      <c r="Y220" t="s">
        <v>1355</v>
      </c>
      <c r="Z220">
        <v>0</v>
      </c>
      <c r="AA220">
        <v>0</v>
      </c>
      <c r="AB220">
        <v>0</v>
      </c>
      <c r="AC220" s="294">
        <v>41841</v>
      </c>
      <c r="AD220" s="294">
        <v>73050</v>
      </c>
      <c r="AE220" s="294">
        <v>41841</v>
      </c>
      <c r="AF220" t="s">
        <v>1358</v>
      </c>
      <c r="AG220">
        <v>0</v>
      </c>
      <c r="AH220" t="s">
        <v>1775</v>
      </c>
      <c r="AI220">
        <v>1</v>
      </c>
      <c r="AJ220">
        <v>1</v>
      </c>
      <c r="AK220">
        <v>0</v>
      </c>
      <c r="AL220">
        <v>1</v>
      </c>
      <c r="AM220" t="s">
        <v>1362</v>
      </c>
      <c r="AN220" t="s">
        <v>1357</v>
      </c>
      <c r="AO220">
        <v>26.19725</v>
      </c>
      <c r="AP220">
        <v>2</v>
      </c>
      <c r="AQ220">
        <v>0</v>
      </c>
      <c r="AR220">
        <v>25.99905</v>
      </c>
      <c r="AS220">
        <v>26.19725</v>
      </c>
      <c r="AT220">
        <v>1</v>
      </c>
    </row>
    <row r="221" spans="1:46" hidden="1" x14ac:dyDescent="0.2">
      <c r="A221" t="s">
        <v>1499</v>
      </c>
      <c r="B221" t="s">
        <v>1500</v>
      </c>
      <c r="C221" t="s">
        <v>1499</v>
      </c>
      <c r="D221" t="s">
        <v>1355</v>
      </c>
      <c r="E221" t="s">
        <v>1356</v>
      </c>
      <c r="F221" t="s">
        <v>1357</v>
      </c>
      <c r="G221" t="s">
        <v>1355</v>
      </c>
      <c r="H221" t="s">
        <v>1367</v>
      </c>
      <c r="I221" t="s">
        <v>1661</v>
      </c>
      <c r="J221">
        <v>1</v>
      </c>
      <c r="K221">
        <v>10</v>
      </c>
      <c r="L221" t="s">
        <v>1499</v>
      </c>
      <c r="M221" t="s">
        <v>1499</v>
      </c>
      <c r="N221" t="s">
        <v>1355</v>
      </c>
      <c r="O221" t="s">
        <v>1359</v>
      </c>
      <c r="P221">
        <v>3</v>
      </c>
      <c r="Q221">
        <v>3</v>
      </c>
      <c r="R221">
        <v>0</v>
      </c>
      <c r="S221" t="s">
        <v>1355</v>
      </c>
      <c r="T221">
        <v>0</v>
      </c>
      <c r="U221">
        <v>0</v>
      </c>
      <c r="V221">
        <v>0</v>
      </c>
      <c r="W221" t="s">
        <v>1355</v>
      </c>
      <c r="X221" t="s">
        <v>1355</v>
      </c>
      <c r="Y221" t="s">
        <v>1355</v>
      </c>
      <c r="Z221">
        <v>0</v>
      </c>
      <c r="AA221">
        <v>0</v>
      </c>
      <c r="AB221">
        <v>0</v>
      </c>
      <c r="AC221" s="294">
        <v>41836</v>
      </c>
      <c r="AD221" s="294">
        <v>73050</v>
      </c>
      <c r="AE221" s="294">
        <v>41836</v>
      </c>
      <c r="AF221" t="s">
        <v>1367</v>
      </c>
      <c r="AG221">
        <v>0</v>
      </c>
      <c r="AH221" t="s">
        <v>1776</v>
      </c>
      <c r="AI221">
        <v>3</v>
      </c>
      <c r="AJ221">
        <v>3</v>
      </c>
      <c r="AK221">
        <v>0</v>
      </c>
      <c r="AL221">
        <v>3</v>
      </c>
      <c r="AM221" t="s">
        <v>1355</v>
      </c>
      <c r="AN221" t="s">
        <v>1357</v>
      </c>
      <c r="AO221">
        <v>2.3328000000000002</v>
      </c>
      <c r="AP221">
        <v>3</v>
      </c>
      <c r="AQ221">
        <v>0</v>
      </c>
      <c r="AR221">
        <v>2.3128799999999998</v>
      </c>
      <c r="AS221">
        <v>2.3328000000000002</v>
      </c>
      <c r="AT221">
        <v>1</v>
      </c>
    </row>
    <row r="222" spans="1:46" hidden="1" x14ac:dyDescent="0.2">
      <c r="A222" t="s">
        <v>1665</v>
      </c>
      <c r="B222" t="s">
        <v>1666</v>
      </c>
      <c r="C222" t="s">
        <v>1665</v>
      </c>
      <c r="D222" t="s">
        <v>1355</v>
      </c>
      <c r="E222" t="s">
        <v>1356</v>
      </c>
      <c r="F222" t="s">
        <v>1357</v>
      </c>
      <c r="G222" t="s">
        <v>1355</v>
      </c>
      <c r="H222" t="s">
        <v>1367</v>
      </c>
      <c r="I222" t="s">
        <v>1661</v>
      </c>
      <c r="J222">
        <v>2</v>
      </c>
      <c r="K222">
        <v>20</v>
      </c>
      <c r="L222" t="s">
        <v>1665</v>
      </c>
      <c r="M222" t="s">
        <v>1665</v>
      </c>
      <c r="N222" t="s">
        <v>1355</v>
      </c>
      <c r="O222" t="s">
        <v>1359</v>
      </c>
      <c r="P222">
        <v>2</v>
      </c>
      <c r="Q222">
        <v>2</v>
      </c>
      <c r="R222">
        <v>0</v>
      </c>
      <c r="S222" t="s">
        <v>1355</v>
      </c>
      <c r="T222">
        <v>0</v>
      </c>
      <c r="U222">
        <v>0</v>
      </c>
      <c r="V222">
        <v>0</v>
      </c>
      <c r="W222" t="s">
        <v>1355</v>
      </c>
      <c r="X222" t="s">
        <v>1355</v>
      </c>
      <c r="Y222" t="s">
        <v>1355</v>
      </c>
      <c r="Z222">
        <v>0</v>
      </c>
      <c r="AA222">
        <v>0</v>
      </c>
      <c r="AB222">
        <v>0</v>
      </c>
      <c r="AC222" s="294">
        <v>41836</v>
      </c>
      <c r="AD222" s="294">
        <v>73050</v>
      </c>
      <c r="AE222" s="294">
        <v>41836</v>
      </c>
      <c r="AF222" t="s">
        <v>1367</v>
      </c>
      <c r="AG222">
        <v>0</v>
      </c>
      <c r="AH222" t="s">
        <v>1777</v>
      </c>
      <c r="AI222">
        <v>2</v>
      </c>
      <c r="AJ222">
        <v>2</v>
      </c>
      <c r="AK222">
        <v>0</v>
      </c>
      <c r="AL222">
        <v>2</v>
      </c>
      <c r="AM222" t="s">
        <v>1355</v>
      </c>
      <c r="AN222" t="s">
        <v>1357</v>
      </c>
      <c r="AO222">
        <v>5.58</v>
      </c>
      <c r="AP222">
        <v>3</v>
      </c>
      <c r="AQ222">
        <v>0</v>
      </c>
      <c r="AR222">
        <v>5.5378600000000002</v>
      </c>
      <c r="AS222">
        <v>5.58</v>
      </c>
      <c r="AT222">
        <v>1</v>
      </c>
    </row>
    <row r="223" spans="1:46" hidden="1" x14ac:dyDescent="0.2">
      <c r="A223" t="s">
        <v>1668</v>
      </c>
      <c r="B223" t="s">
        <v>1669</v>
      </c>
      <c r="C223" t="s">
        <v>1668</v>
      </c>
      <c r="D223" t="s">
        <v>1355</v>
      </c>
      <c r="E223" t="s">
        <v>1356</v>
      </c>
      <c r="F223" t="s">
        <v>1357</v>
      </c>
      <c r="G223" t="s">
        <v>1355</v>
      </c>
      <c r="H223" t="s">
        <v>1367</v>
      </c>
      <c r="I223" t="s">
        <v>1661</v>
      </c>
      <c r="J223">
        <v>3</v>
      </c>
      <c r="K223">
        <v>30</v>
      </c>
      <c r="L223" t="s">
        <v>1668</v>
      </c>
      <c r="M223" t="s">
        <v>1668</v>
      </c>
      <c r="N223" t="s">
        <v>1355</v>
      </c>
      <c r="O223" t="s">
        <v>1359</v>
      </c>
      <c r="P223">
        <v>1</v>
      </c>
      <c r="Q223">
        <v>1</v>
      </c>
      <c r="R223">
        <v>0</v>
      </c>
      <c r="S223" t="s">
        <v>1355</v>
      </c>
      <c r="T223">
        <v>0</v>
      </c>
      <c r="U223">
        <v>0</v>
      </c>
      <c r="V223">
        <v>0</v>
      </c>
      <c r="W223" t="s">
        <v>1355</v>
      </c>
      <c r="X223" t="s">
        <v>1355</v>
      </c>
      <c r="Y223" t="s">
        <v>1355</v>
      </c>
      <c r="Z223">
        <v>0</v>
      </c>
      <c r="AA223">
        <v>0</v>
      </c>
      <c r="AB223">
        <v>0</v>
      </c>
      <c r="AC223" s="294">
        <v>41836</v>
      </c>
      <c r="AD223" s="294">
        <v>73050</v>
      </c>
      <c r="AE223" s="294">
        <v>41836</v>
      </c>
      <c r="AF223" t="s">
        <v>1367</v>
      </c>
      <c r="AG223">
        <v>0</v>
      </c>
      <c r="AH223" t="s">
        <v>1778</v>
      </c>
      <c r="AI223">
        <v>1</v>
      </c>
      <c r="AJ223">
        <v>1</v>
      </c>
      <c r="AK223">
        <v>0</v>
      </c>
      <c r="AL223">
        <v>1</v>
      </c>
      <c r="AM223" t="s">
        <v>1355</v>
      </c>
      <c r="AN223" t="s">
        <v>1357</v>
      </c>
      <c r="AO223">
        <v>1.796</v>
      </c>
      <c r="AP223">
        <v>3</v>
      </c>
      <c r="AQ223">
        <v>0</v>
      </c>
      <c r="AR223">
        <v>1.796</v>
      </c>
      <c r="AS223">
        <v>1.796</v>
      </c>
      <c r="AT223">
        <v>1</v>
      </c>
    </row>
    <row r="224" spans="1:46" hidden="1" x14ac:dyDescent="0.2">
      <c r="A224" t="s">
        <v>1671</v>
      </c>
      <c r="B224" t="s">
        <v>1672</v>
      </c>
      <c r="C224" t="s">
        <v>1671</v>
      </c>
      <c r="D224" t="s">
        <v>1355</v>
      </c>
      <c r="E224" t="s">
        <v>1356</v>
      </c>
      <c r="F224" t="s">
        <v>1357</v>
      </c>
      <c r="G224" t="s">
        <v>1355</v>
      </c>
      <c r="H224" t="s">
        <v>1367</v>
      </c>
      <c r="I224" t="s">
        <v>1661</v>
      </c>
      <c r="J224">
        <v>4</v>
      </c>
      <c r="K224">
        <v>40</v>
      </c>
      <c r="L224" t="s">
        <v>1671</v>
      </c>
      <c r="M224" t="s">
        <v>1671</v>
      </c>
      <c r="N224" t="s">
        <v>1355</v>
      </c>
      <c r="O224" t="s">
        <v>1359</v>
      </c>
      <c r="P224">
        <v>1</v>
      </c>
      <c r="Q224">
        <v>1</v>
      </c>
      <c r="R224">
        <v>0</v>
      </c>
      <c r="S224" t="s">
        <v>1355</v>
      </c>
      <c r="T224">
        <v>0</v>
      </c>
      <c r="U224">
        <v>0</v>
      </c>
      <c r="V224">
        <v>0</v>
      </c>
      <c r="W224" t="s">
        <v>1355</v>
      </c>
      <c r="X224" t="s">
        <v>1355</v>
      </c>
      <c r="Y224" t="s">
        <v>1355</v>
      </c>
      <c r="Z224">
        <v>0</v>
      </c>
      <c r="AA224">
        <v>0</v>
      </c>
      <c r="AB224">
        <v>0</v>
      </c>
      <c r="AC224" s="294">
        <v>41836</v>
      </c>
      <c r="AD224" s="294">
        <v>73050</v>
      </c>
      <c r="AE224" s="294">
        <v>41836</v>
      </c>
      <c r="AF224" t="s">
        <v>1367</v>
      </c>
      <c r="AG224">
        <v>0</v>
      </c>
      <c r="AH224" t="s">
        <v>1779</v>
      </c>
      <c r="AI224">
        <v>1</v>
      </c>
      <c r="AJ224">
        <v>1</v>
      </c>
      <c r="AK224">
        <v>0</v>
      </c>
      <c r="AL224">
        <v>1</v>
      </c>
      <c r="AM224" t="s">
        <v>1355</v>
      </c>
      <c r="AN224" t="s">
        <v>1357</v>
      </c>
      <c r="AO224">
        <v>1.6452500000000001</v>
      </c>
      <c r="AP224">
        <v>3</v>
      </c>
      <c r="AQ224">
        <v>0</v>
      </c>
      <c r="AR224">
        <v>1.63103</v>
      </c>
      <c r="AS224">
        <v>1.6452500000000001</v>
      </c>
      <c r="AT224">
        <v>1</v>
      </c>
    </row>
    <row r="225" spans="1:46" hidden="1" x14ac:dyDescent="0.2">
      <c r="A225" t="s">
        <v>1674</v>
      </c>
      <c r="B225" t="s">
        <v>1675</v>
      </c>
      <c r="C225" t="s">
        <v>1674</v>
      </c>
      <c r="D225" t="s">
        <v>1355</v>
      </c>
      <c r="E225" t="s">
        <v>1356</v>
      </c>
      <c r="F225" t="s">
        <v>1357</v>
      </c>
      <c r="G225" t="s">
        <v>1355</v>
      </c>
      <c r="H225" t="s">
        <v>1367</v>
      </c>
      <c r="I225" t="s">
        <v>1661</v>
      </c>
      <c r="J225">
        <v>5</v>
      </c>
      <c r="K225">
        <v>50</v>
      </c>
      <c r="L225" t="s">
        <v>1674</v>
      </c>
      <c r="M225" t="s">
        <v>1674</v>
      </c>
      <c r="N225" t="s">
        <v>1355</v>
      </c>
      <c r="O225" t="s">
        <v>1359</v>
      </c>
      <c r="P225">
        <v>1</v>
      </c>
      <c r="Q225">
        <v>1</v>
      </c>
      <c r="R225">
        <v>0</v>
      </c>
      <c r="S225" t="s">
        <v>1355</v>
      </c>
      <c r="T225">
        <v>0</v>
      </c>
      <c r="U225">
        <v>0</v>
      </c>
      <c r="V225">
        <v>0</v>
      </c>
      <c r="W225" t="s">
        <v>1355</v>
      </c>
      <c r="X225" t="s">
        <v>1355</v>
      </c>
      <c r="Y225" t="s">
        <v>1355</v>
      </c>
      <c r="Z225">
        <v>0</v>
      </c>
      <c r="AA225">
        <v>0</v>
      </c>
      <c r="AB225">
        <v>0</v>
      </c>
      <c r="AC225" s="294">
        <v>41836</v>
      </c>
      <c r="AD225" s="294">
        <v>73050</v>
      </c>
      <c r="AE225" s="294">
        <v>41836</v>
      </c>
      <c r="AF225" t="s">
        <v>1367</v>
      </c>
      <c r="AG225">
        <v>0</v>
      </c>
      <c r="AH225" t="s">
        <v>1780</v>
      </c>
      <c r="AI225">
        <v>1</v>
      </c>
      <c r="AJ225">
        <v>1</v>
      </c>
      <c r="AK225">
        <v>0</v>
      </c>
      <c r="AL225">
        <v>1</v>
      </c>
      <c r="AM225" t="s">
        <v>1355</v>
      </c>
      <c r="AN225" t="s">
        <v>1357</v>
      </c>
      <c r="AO225">
        <v>2.5670000000000002</v>
      </c>
      <c r="AP225">
        <v>3</v>
      </c>
      <c r="AQ225">
        <v>0</v>
      </c>
      <c r="AR225">
        <v>2.5670000000000002</v>
      </c>
      <c r="AS225">
        <v>2.5670000000000002</v>
      </c>
      <c r="AT225">
        <v>1</v>
      </c>
    </row>
    <row r="226" spans="1:46" hidden="1" x14ac:dyDescent="0.2">
      <c r="A226" t="s">
        <v>1502</v>
      </c>
      <c r="B226" t="s">
        <v>1503</v>
      </c>
      <c r="C226" t="s">
        <v>1502</v>
      </c>
      <c r="D226" t="s">
        <v>1355</v>
      </c>
      <c r="E226" t="s">
        <v>1356</v>
      </c>
      <c r="F226" t="s">
        <v>1357</v>
      </c>
      <c r="G226" t="s">
        <v>1355</v>
      </c>
      <c r="H226" t="s">
        <v>1367</v>
      </c>
      <c r="I226" t="s">
        <v>1661</v>
      </c>
      <c r="J226">
        <v>6</v>
      </c>
      <c r="K226">
        <v>60</v>
      </c>
      <c r="L226" t="s">
        <v>1502</v>
      </c>
      <c r="M226" t="s">
        <v>1502</v>
      </c>
      <c r="N226" t="s">
        <v>1355</v>
      </c>
      <c r="O226" t="s">
        <v>1359</v>
      </c>
      <c r="P226">
        <v>1</v>
      </c>
      <c r="Q226">
        <v>1</v>
      </c>
      <c r="R226">
        <v>0</v>
      </c>
      <c r="S226" t="s">
        <v>1355</v>
      </c>
      <c r="T226">
        <v>0</v>
      </c>
      <c r="U226">
        <v>0</v>
      </c>
      <c r="V226">
        <v>0</v>
      </c>
      <c r="W226" t="s">
        <v>1355</v>
      </c>
      <c r="X226" t="s">
        <v>1355</v>
      </c>
      <c r="Y226" t="s">
        <v>1355</v>
      </c>
      <c r="Z226">
        <v>0</v>
      </c>
      <c r="AA226">
        <v>0</v>
      </c>
      <c r="AB226">
        <v>0</v>
      </c>
      <c r="AC226" s="294">
        <v>41836</v>
      </c>
      <c r="AD226" s="294">
        <v>73050</v>
      </c>
      <c r="AE226" s="294">
        <v>41836</v>
      </c>
      <c r="AF226" t="s">
        <v>1367</v>
      </c>
      <c r="AG226">
        <v>0</v>
      </c>
      <c r="AH226" t="s">
        <v>1781</v>
      </c>
      <c r="AI226">
        <v>1</v>
      </c>
      <c r="AJ226">
        <v>1</v>
      </c>
      <c r="AK226">
        <v>0</v>
      </c>
      <c r="AL226">
        <v>1</v>
      </c>
      <c r="AM226" t="s">
        <v>1355</v>
      </c>
      <c r="AN226" t="s">
        <v>1357</v>
      </c>
      <c r="AO226">
        <v>1.6452</v>
      </c>
      <c r="AP226">
        <v>3</v>
      </c>
      <c r="AQ226">
        <v>0</v>
      </c>
      <c r="AR226">
        <v>1.63289</v>
      </c>
      <c r="AS226">
        <v>1.6452</v>
      </c>
      <c r="AT226">
        <v>1</v>
      </c>
    </row>
    <row r="227" spans="1:46" hidden="1" x14ac:dyDescent="0.2">
      <c r="A227" t="s">
        <v>1505</v>
      </c>
      <c r="B227" t="s">
        <v>1506</v>
      </c>
      <c r="C227" t="s">
        <v>1505</v>
      </c>
      <c r="D227" t="s">
        <v>1355</v>
      </c>
      <c r="E227" t="s">
        <v>1356</v>
      </c>
      <c r="F227" t="s">
        <v>1357</v>
      </c>
      <c r="G227" t="s">
        <v>1355</v>
      </c>
      <c r="H227" t="s">
        <v>1367</v>
      </c>
      <c r="I227" t="s">
        <v>1661</v>
      </c>
      <c r="J227">
        <v>7</v>
      </c>
      <c r="K227">
        <v>70</v>
      </c>
      <c r="L227" t="s">
        <v>1505</v>
      </c>
      <c r="M227" t="s">
        <v>1505</v>
      </c>
      <c r="N227" t="s">
        <v>1355</v>
      </c>
      <c r="O227" t="s">
        <v>1359</v>
      </c>
      <c r="P227">
        <v>1</v>
      </c>
      <c r="Q227">
        <v>1</v>
      </c>
      <c r="R227">
        <v>0</v>
      </c>
      <c r="S227" t="s">
        <v>1355</v>
      </c>
      <c r="T227">
        <v>0</v>
      </c>
      <c r="U227">
        <v>0</v>
      </c>
      <c r="V227">
        <v>0</v>
      </c>
      <c r="W227" t="s">
        <v>1355</v>
      </c>
      <c r="X227" t="s">
        <v>1355</v>
      </c>
      <c r="Y227" t="s">
        <v>1355</v>
      </c>
      <c r="Z227">
        <v>0</v>
      </c>
      <c r="AA227">
        <v>0</v>
      </c>
      <c r="AB227">
        <v>0</v>
      </c>
      <c r="AC227" s="294">
        <v>41836</v>
      </c>
      <c r="AD227" s="294">
        <v>73050</v>
      </c>
      <c r="AE227" s="294">
        <v>41836</v>
      </c>
      <c r="AF227" t="s">
        <v>1367</v>
      </c>
      <c r="AG227">
        <v>0</v>
      </c>
      <c r="AH227" t="s">
        <v>1782</v>
      </c>
      <c r="AI227">
        <v>1</v>
      </c>
      <c r="AJ227">
        <v>1</v>
      </c>
      <c r="AK227">
        <v>0</v>
      </c>
      <c r="AL227">
        <v>1</v>
      </c>
      <c r="AM227" t="s">
        <v>1355</v>
      </c>
      <c r="AN227" t="s">
        <v>1357</v>
      </c>
      <c r="AO227">
        <v>2.9340000000000002</v>
      </c>
      <c r="AP227">
        <v>3</v>
      </c>
      <c r="AQ227">
        <v>0</v>
      </c>
      <c r="AR227">
        <v>2.9064199999999998</v>
      </c>
      <c r="AS227">
        <v>2.9340000000000002</v>
      </c>
      <c r="AT227">
        <v>1</v>
      </c>
    </row>
    <row r="228" spans="1:46" hidden="1" x14ac:dyDescent="0.2">
      <c r="A228" t="s">
        <v>1508</v>
      </c>
      <c r="B228" t="s">
        <v>1509</v>
      </c>
      <c r="C228" t="s">
        <v>1508</v>
      </c>
      <c r="D228" t="s">
        <v>1355</v>
      </c>
      <c r="E228" t="s">
        <v>1356</v>
      </c>
      <c r="F228" t="s">
        <v>1357</v>
      </c>
      <c r="G228" t="s">
        <v>1355</v>
      </c>
      <c r="H228" t="s">
        <v>1367</v>
      </c>
      <c r="I228" t="s">
        <v>1661</v>
      </c>
      <c r="J228">
        <v>8</v>
      </c>
      <c r="K228">
        <v>80</v>
      </c>
      <c r="L228" t="s">
        <v>1508</v>
      </c>
      <c r="M228" t="s">
        <v>1508</v>
      </c>
      <c r="N228" t="s">
        <v>1355</v>
      </c>
      <c r="O228" t="s">
        <v>1359</v>
      </c>
      <c r="P228">
        <v>1</v>
      </c>
      <c r="Q228">
        <v>1</v>
      </c>
      <c r="R228">
        <v>0</v>
      </c>
      <c r="S228" t="s">
        <v>1355</v>
      </c>
      <c r="T228">
        <v>0</v>
      </c>
      <c r="U228">
        <v>0</v>
      </c>
      <c r="V228">
        <v>0</v>
      </c>
      <c r="W228" t="s">
        <v>1355</v>
      </c>
      <c r="X228" t="s">
        <v>1355</v>
      </c>
      <c r="Y228" t="s">
        <v>1355</v>
      </c>
      <c r="Z228">
        <v>0</v>
      </c>
      <c r="AA228">
        <v>0</v>
      </c>
      <c r="AB228">
        <v>0</v>
      </c>
      <c r="AC228" s="294">
        <v>41836</v>
      </c>
      <c r="AD228" s="294">
        <v>73050</v>
      </c>
      <c r="AE228" s="294">
        <v>41836</v>
      </c>
      <c r="AF228" t="s">
        <v>1367</v>
      </c>
      <c r="AG228">
        <v>0</v>
      </c>
      <c r="AH228" t="s">
        <v>1783</v>
      </c>
      <c r="AI228">
        <v>1</v>
      </c>
      <c r="AJ228">
        <v>1</v>
      </c>
      <c r="AK228">
        <v>0</v>
      </c>
      <c r="AL228">
        <v>1</v>
      </c>
      <c r="AM228" t="s">
        <v>1355</v>
      </c>
      <c r="AN228" t="s">
        <v>1357</v>
      </c>
      <c r="AO228">
        <v>7.6970000000000001</v>
      </c>
      <c r="AP228">
        <v>3</v>
      </c>
      <c r="AQ228">
        <v>0</v>
      </c>
      <c r="AR228">
        <v>7.6149699999999996</v>
      </c>
      <c r="AS228">
        <v>7.6970000000000001</v>
      </c>
      <c r="AT228">
        <v>1</v>
      </c>
    </row>
    <row r="229" spans="1:46" x14ac:dyDescent="0.2">
      <c r="A229" t="s">
        <v>1231</v>
      </c>
      <c r="B229" t="s">
        <v>1784</v>
      </c>
      <c r="C229" t="s">
        <v>1231</v>
      </c>
      <c r="D229" t="s">
        <v>1355</v>
      </c>
      <c r="E229" t="s">
        <v>1356</v>
      </c>
      <c r="F229" t="s">
        <v>1357</v>
      </c>
      <c r="G229" t="s">
        <v>1355</v>
      </c>
      <c r="H229" t="s">
        <v>1358</v>
      </c>
      <c r="I229" t="s">
        <v>1353</v>
      </c>
      <c r="J229">
        <v>28</v>
      </c>
      <c r="K229">
        <v>280</v>
      </c>
      <c r="L229" t="s">
        <v>1231</v>
      </c>
      <c r="M229" t="s">
        <v>1231</v>
      </c>
      <c r="N229" t="s">
        <v>1355</v>
      </c>
      <c r="O229" t="s">
        <v>1359</v>
      </c>
      <c r="P229">
        <v>1</v>
      </c>
      <c r="Q229">
        <v>1</v>
      </c>
      <c r="R229">
        <v>0</v>
      </c>
      <c r="S229" t="s">
        <v>1355</v>
      </c>
      <c r="T229">
        <v>0</v>
      </c>
      <c r="U229">
        <v>0</v>
      </c>
      <c r="V229">
        <v>0</v>
      </c>
      <c r="W229" t="s">
        <v>1355</v>
      </c>
      <c r="X229" t="s">
        <v>1355</v>
      </c>
      <c r="Y229" t="s">
        <v>1355</v>
      </c>
      <c r="Z229">
        <v>0</v>
      </c>
      <c r="AA229">
        <v>0</v>
      </c>
      <c r="AB229">
        <v>0</v>
      </c>
      <c r="AC229" s="294">
        <v>36161</v>
      </c>
      <c r="AD229" s="294">
        <v>73050</v>
      </c>
      <c r="AE229" s="294">
        <v>41844</v>
      </c>
      <c r="AF229" t="s">
        <v>1358</v>
      </c>
      <c r="AG229">
        <v>0</v>
      </c>
      <c r="AH229" t="s">
        <v>1785</v>
      </c>
      <c r="AI229">
        <v>1</v>
      </c>
      <c r="AJ229">
        <v>1</v>
      </c>
      <c r="AK229">
        <v>0</v>
      </c>
      <c r="AL229">
        <v>1</v>
      </c>
      <c r="AM229" t="s">
        <v>1362</v>
      </c>
      <c r="AN229" t="s">
        <v>1357</v>
      </c>
      <c r="AO229">
        <v>1707.5081700000001</v>
      </c>
      <c r="AP229">
        <v>1</v>
      </c>
      <c r="AQ229">
        <v>0</v>
      </c>
      <c r="AR229">
        <v>1706.74189</v>
      </c>
      <c r="AS229">
        <v>1707.5081700000001</v>
      </c>
      <c r="AT229">
        <v>1</v>
      </c>
    </row>
    <row r="230" spans="1:46" hidden="1" x14ac:dyDescent="0.2">
      <c r="A230" t="s">
        <v>1786</v>
      </c>
      <c r="B230" t="s">
        <v>1787</v>
      </c>
      <c r="C230" t="s">
        <v>1786</v>
      </c>
      <c r="D230" t="s">
        <v>1355</v>
      </c>
      <c r="E230" t="s">
        <v>1356</v>
      </c>
      <c r="F230" t="s">
        <v>1357</v>
      </c>
      <c r="G230" t="s">
        <v>1355</v>
      </c>
      <c r="H230" t="s">
        <v>1367</v>
      </c>
      <c r="I230" t="s">
        <v>1231</v>
      </c>
      <c r="J230">
        <v>1</v>
      </c>
      <c r="K230">
        <v>10</v>
      </c>
      <c r="L230" t="s">
        <v>1786</v>
      </c>
      <c r="M230" t="s">
        <v>1786</v>
      </c>
      <c r="N230" t="s">
        <v>1355</v>
      </c>
      <c r="O230" t="s">
        <v>1359</v>
      </c>
      <c r="P230">
        <v>1</v>
      </c>
      <c r="Q230">
        <v>1</v>
      </c>
      <c r="R230">
        <v>0</v>
      </c>
      <c r="S230" t="s">
        <v>1355</v>
      </c>
      <c r="T230">
        <v>0</v>
      </c>
      <c r="U230">
        <v>0</v>
      </c>
      <c r="V230">
        <v>0</v>
      </c>
      <c r="W230" t="s">
        <v>1355</v>
      </c>
      <c r="X230" t="s">
        <v>1355</v>
      </c>
      <c r="Y230" t="s">
        <v>1355</v>
      </c>
      <c r="Z230">
        <v>0</v>
      </c>
      <c r="AA230">
        <v>0</v>
      </c>
      <c r="AB230">
        <v>0</v>
      </c>
      <c r="AC230" s="294">
        <v>41834</v>
      </c>
      <c r="AD230" s="294">
        <v>73050</v>
      </c>
      <c r="AE230" s="294">
        <v>41834</v>
      </c>
      <c r="AF230" t="s">
        <v>1367</v>
      </c>
      <c r="AG230">
        <v>0</v>
      </c>
      <c r="AH230" t="s">
        <v>1788</v>
      </c>
      <c r="AI230">
        <v>1</v>
      </c>
      <c r="AJ230">
        <v>1</v>
      </c>
      <c r="AK230">
        <v>0</v>
      </c>
      <c r="AL230">
        <v>1</v>
      </c>
      <c r="AM230" t="s">
        <v>1355</v>
      </c>
      <c r="AN230" t="s">
        <v>1357</v>
      </c>
      <c r="AO230">
        <v>1476.04</v>
      </c>
      <c r="AP230">
        <v>2</v>
      </c>
      <c r="AQ230">
        <v>0</v>
      </c>
      <c r="AR230">
        <v>1476.0316700000001</v>
      </c>
      <c r="AS230">
        <v>1476.04</v>
      </c>
      <c r="AT230">
        <v>1</v>
      </c>
    </row>
    <row r="231" spans="1:46" hidden="1" x14ac:dyDescent="0.2">
      <c r="A231" t="s">
        <v>1789</v>
      </c>
      <c r="B231" t="s">
        <v>1790</v>
      </c>
      <c r="C231" t="s">
        <v>1789</v>
      </c>
      <c r="D231" t="s">
        <v>1355</v>
      </c>
      <c r="E231" t="s">
        <v>1356</v>
      </c>
      <c r="F231" t="s">
        <v>1357</v>
      </c>
      <c r="G231" t="s">
        <v>1355</v>
      </c>
      <c r="H231" t="s">
        <v>1367</v>
      </c>
      <c r="I231" t="s">
        <v>1231</v>
      </c>
      <c r="J231">
        <v>2</v>
      </c>
      <c r="K231">
        <v>20</v>
      </c>
      <c r="L231" t="s">
        <v>1789</v>
      </c>
      <c r="M231" t="s">
        <v>1789</v>
      </c>
      <c r="N231" t="s">
        <v>1355</v>
      </c>
      <c r="O231" t="s">
        <v>1359</v>
      </c>
      <c r="P231">
        <v>1</v>
      </c>
      <c r="Q231">
        <v>1</v>
      </c>
      <c r="R231">
        <v>0</v>
      </c>
      <c r="S231" t="s">
        <v>1355</v>
      </c>
      <c r="T231">
        <v>0</v>
      </c>
      <c r="U231">
        <v>0</v>
      </c>
      <c r="V231">
        <v>0</v>
      </c>
      <c r="W231" t="s">
        <v>1355</v>
      </c>
      <c r="X231" t="s">
        <v>1355</v>
      </c>
      <c r="Y231" t="s">
        <v>1355</v>
      </c>
      <c r="Z231">
        <v>0</v>
      </c>
      <c r="AA231">
        <v>0</v>
      </c>
      <c r="AB231">
        <v>0</v>
      </c>
      <c r="AC231" s="294">
        <v>41834</v>
      </c>
      <c r="AD231" s="294">
        <v>73050</v>
      </c>
      <c r="AE231" s="294">
        <v>41834</v>
      </c>
      <c r="AF231" t="s">
        <v>1367</v>
      </c>
      <c r="AG231">
        <v>0</v>
      </c>
      <c r="AH231" t="s">
        <v>1791</v>
      </c>
      <c r="AI231">
        <v>1</v>
      </c>
      <c r="AJ231">
        <v>1</v>
      </c>
      <c r="AK231">
        <v>0</v>
      </c>
      <c r="AL231">
        <v>1</v>
      </c>
      <c r="AM231" t="s">
        <v>1355</v>
      </c>
      <c r="AN231" t="s">
        <v>1357</v>
      </c>
      <c r="AO231">
        <v>189.25</v>
      </c>
      <c r="AP231">
        <v>2</v>
      </c>
      <c r="AQ231">
        <v>0</v>
      </c>
      <c r="AR231">
        <v>188.49199999999999</v>
      </c>
      <c r="AS231">
        <v>189.25</v>
      </c>
      <c r="AT231">
        <v>1</v>
      </c>
    </row>
    <row r="232" spans="1:46" hidden="1" x14ac:dyDescent="0.2">
      <c r="A232" t="s">
        <v>1792</v>
      </c>
      <c r="B232" t="s">
        <v>1793</v>
      </c>
      <c r="C232" t="s">
        <v>1792</v>
      </c>
      <c r="D232" t="s">
        <v>1355</v>
      </c>
      <c r="E232" t="s">
        <v>1356</v>
      </c>
      <c r="F232" t="s">
        <v>1357</v>
      </c>
      <c r="G232" t="s">
        <v>1355</v>
      </c>
      <c r="H232" t="s">
        <v>1367</v>
      </c>
      <c r="I232" t="s">
        <v>1231</v>
      </c>
      <c r="J232">
        <v>3</v>
      </c>
      <c r="K232">
        <v>30</v>
      </c>
      <c r="L232" t="s">
        <v>1792</v>
      </c>
      <c r="M232" t="s">
        <v>1792</v>
      </c>
      <c r="N232" t="s">
        <v>1355</v>
      </c>
      <c r="O232" t="s">
        <v>1359</v>
      </c>
      <c r="P232">
        <v>1</v>
      </c>
      <c r="Q232">
        <v>1</v>
      </c>
      <c r="R232">
        <v>0</v>
      </c>
      <c r="S232" t="s">
        <v>1355</v>
      </c>
      <c r="T232">
        <v>0</v>
      </c>
      <c r="U232">
        <v>0</v>
      </c>
      <c r="V232">
        <v>0</v>
      </c>
      <c r="W232" t="s">
        <v>1355</v>
      </c>
      <c r="X232" t="s">
        <v>1355</v>
      </c>
      <c r="Y232" t="s">
        <v>1355</v>
      </c>
      <c r="Z232">
        <v>0</v>
      </c>
      <c r="AA232">
        <v>0</v>
      </c>
      <c r="AB232">
        <v>0</v>
      </c>
      <c r="AC232" s="294">
        <v>41834</v>
      </c>
      <c r="AD232" s="294">
        <v>73050</v>
      </c>
      <c r="AE232" s="294">
        <v>41834</v>
      </c>
      <c r="AF232" t="s">
        <v>1367</v>
      </c>
      <c r="AG232">
        <v>0</v>
      </c>
      <c r="AH232" t="s">
        <v>1794</v>
      </c>
      <c r="AI232">
        <v>1</v>
      </c>
      <c r="AJ232">
        <v>1</v>
      </c>
      <c r="AK232">
        <v>0</v>
      </c>
      <c r="AL232">
        <v>1</v>
      </c>
      <c r="AM232" t="s">
        <v>1355</v>
      </c>
      <c r="AN232" t="s">
        <v>1357</v>
      </c>
      <c r="AO232">
        <v>10.618499999999999</v>
      </c>
      <c r="AP232">
        <v>2</v>
      </c>
      <c r="AQ232">
        <v>0</v>
      </c>
      <c r="AR232">
        <v>10.61858</v>
      </c>
      <c r="AS232">
        <v>10.618499999999999</v>
      </c>
      <c r="AT232">
        <v>1</v>
      </c>
    </row>
    <row r="233" spans="1:46" hidden="1" x14ac:dyDescent="0.2">
      <c r="A233" t="s">
        <v>1795</v>
      </c>
      <c r="B233" t="s">
        <v>1796</v>
      </c>
      <c r="C233" t="s">
        <v>1795</v>
      </c>
      <c r="D233" t="s">
        <v>1355</v>
      </c>
      <c r="E233" t="s">
        <v>1356</v>
      </c>
      <c r="F233" t="s">
        <v>1357</v>
      </c>
      <c r="G233" t="s">
        <v>1355</v>
      </c>
      <c r="H233" t="s">
        <v>1367</v>
      </c>
      <c r="I233" t="s">
        <v>1231</v>
      </c>
      <c r="J233">
        <v>4</v>
      </c>
      <c r="K233">
        <v>40</v>
      </c>
      <c r="L233" t="s">
        <v>1795</v>
      </c>
      <c r="M233" t="s">
        <v>1795</v>
      </c>
      <c r="N233" t="s">
        <v>1355</v>
      </c>
      <c r="O233" t="s">
        <v>1359</v>
      </c>
      <c r="P233">
        <v>1</v>
      </c>
      <c r="Q233">
        <v>1</v>
      </c>
      <c r="R233">
        <v>0</v>
      </c>
      <c r="S233" t="s">
        <v>1355</v>
      </c>
      <c r="T233">
        <v>0</v>
      </c>
      <c r="U233">
        <v>0</v>
      </c>
      <c r="V233">
        <v>0</v>
      </c>
      <c r="W233" t="s">
        <v>1355</v>
      </c>
      <c r="X233" t="s">
        <v>1355</v>
      </c>
      <c r="Y233" t="s">
        <v>1355</v>
      </c>
      <c r="Z233">
        <v>0</v>
      </c>
      <c r="AA233">
        <v>0</v>
      </c>
      <c r="AB233">
        <v>0</v>
      </c>
      <c r="AC233" s="294">
        <v>41834</v>
      </c>
      <c r="AD233" s="294">
        <v>73050</v>
      </c>
      <c r="AE233" s="294">
        <v>41834</v>
      </c>
      <c r="AF233" t="s">
        <v>1367</v>
      </c>
      <c r="AG233">
        <v>0</v>
      </c>
      <c r="AH233" t="s">
        <v>1797</v>
      </c>
      <c r="AI233">
        <v>1</v>
      </c>
      <c r="AJ233">
        <v>1</v>
      </c>
      <c r="AK233">
        <v>0</v>
      </c>
      <c r="AL233">
        <v>1</v>
      </c>
      <c r="AM233" t="s">
        <v>1355</v>
      </c>
      <c r="AN233" t="s">
        <v>1357</v>
      </c>
      <c r="AO233">
        <v>31.59967</v>
      </c>
      <c r="AP233">
        <v>2</v>
      </c>
      <c r="AQ233">
        <v>0</v>
      </c>
      <c r="AR233">
        <v>31.599640000000001</v>
      </c>
      <c r="AS233">
        <v>31.59967</v>
      </c>
      <c r="AT233">
        <v>1</v>
      </c>
    </row>
    <row r="234" spans="1:46" x14ac:dyDescent="0.2">
      <c r="A234" t="s">
        <v>1232</v>
      </c>
      <c r="B234" t="s">
        <v>1798</v>
      </c>
      <c r="C234" t="s">
        <v>1232</v>
      </c>
      <c r="D234" t="s">
        <v>1355</v>
      </c>
      <c r="E234" t="s">
        <v>1356</v>
      </c>
      <c r="F234" t="s">
        <v>1357</v>
      </c>
      <c r="G234" t="s">
        <v>1355</v>
      </c>
      <c r="H234" t="s">
        <v>1358</v>
      </c>
      <c r="I234" t="s">
        <v>1353</v>
      </c>
      <c r="J234">
        <v>29</v>
      </c>
      <c r="K234">
        <v>290</v>
      </c>
      <c r="L234" t="s">
        <v>1232</v>
      </c>
      <c r="M234" t="s">
        <v>1232</v>
      </c>
      <c r="N234" t="s">
        <v>1355</v>
      </c>
      <c r="O234" t="s">
        <v>1359</v>
      </c>
      <c r="P234">
        <v>1</v>
      </c>
      <c r="Q234">
        <v>1</v>
      </c>
      <c r="R234">
        <v>0</v>
      </c>
      <c r="S234" t="s">
        <v>1355</v>
      </c>
      <c r="T234">
        <v>0</v>
      </c>
      <c r="U234">
        <v>0</v>
      </c>
      <c r="V234">
        <v>0</v>
      </c>
      <c r="W234" t="s">
        <v>1355</v>
      </c>
      <c r="X234" t="s">
        <v>1355</v>
      </c>
      <c r="Y234" t="s">
        <v>1355</v>
      </c>
      <c r="Z234">
        <v>0</v>
      </c>
      <c r="AA234">
        <v>0</v>
      </c>
      <c r="AB234">
        <v>0</v>
      </c>
      <c r="AC234" s="294">
        <v>36161</v>
      </c>
      <c r="AD234" s="294">
        <v>73050</v>
      </c>
      <c r="AE234" s="294">
        <v>41844</v>
      </c>
      <c r="AF234" t="s">
        <v>1358</v>
      </c>
      <c r="AG234">
        <v>0</v>
      </c>
      <c r="AH234" t="s">
        <v>1799</v>
      </c>
      <c r="AI234">
        <v>1</v>
      </c>
      <c r="AJ234">
        <v>1</v>
      </c>
      <c r="AK234">
        <v>0</v>
      </c>
      <c r="AL234">
        <v>1</v>
      </c>
      <c r="AM234" t="s">
        <v>1362</v>
      </c>
      <c r="AN234" t="s">
        <v>1357</v>
      </c>
      <c r="AO234">
        <v>2880.37817</v>
      </c>
      <c r="AP234">
        <v>1</v>
      </c>
      <c r="AQ234">
        <v>0</v>
      </c>
      <c r="AR234">
        <v>2880.38022</v>
      </c>
      <c r="AS234">
        <v>2880.37817</v>
      </c>
      <c r="AT234">
        <v>1</v>
      </c>
    </row>
    <row r="235" spans="1:46" hidden="1" x14ac:dyDescent="0.2">
      <c r="A235" t="s">
        <v>1800</v>
      </c>
      <c r="B235" t="s">
        <v>1801</v>
      </c>
      <c r="C235" t="s">
        <v>1800</v>
      </c>
      <c r="D235" t="s">
        <v>1355</v>
      </c>
      <c r="E235" t="s">
        <v>1356</v>
      </c>
      <c r="F235" t="s">
        <v>1357</v>
      </c>
      <c r="G235" t="s">
        <v>1355</v>
      </c>
      <c r="H235" t="s">
        <v>1367</v>
      </c>
      <c r="I235" t="s">
        <v>1232</v>
      </c>
      <c r="J235">
        <v>1</v>
      </c>
      <c r="K235">
        <v>10</v>
      </c>
      <c r="L235" t="s">
        <v>1800</v>
      </c>
      <c r="M235" t="s">
        <v>1800</v>
      </c>
      <c r="N235" t="s">
        <v>1355</v>
      </c>
      <c r="O235" t="s">
        <v>1359</v>
      </c>
      <c r="P235">
        <v>1</v>
      </c>
      <c r="Q235">
        <v>1</v>
      </c>
      <c r="R235">
        <v>0</v>
      </c>
      <c r="S235" t="s">
        <v>1355</v>
      </c>
      <c r="T235">
        <v>0</v>
      </c>
      <c r="U235">
        <v>0</v>
      </c>
      <c r="V235">
        <v>0</v>
      </c>
      <c r="W235" t="s">
        <v>1355</v>
      </c>
      <c r="X235" t="s">
        <v>1355</v>
      </c>
      <c r="Y235" t="s">
        <v>1355</v>
      </c>
      <c r="Z235">
        <v>0</v>
      </c>
      <c r="AA235">
        <v>0</v>
      </c>
      <c r="AB235">
        <v>0</v>
      </c>
      <c r="AC235" s="294">
        <v>41834</v>
      </c>
      <c r="AD235" s="294">
        <v>73050</v>
      </c>
      <c r="AF235" t="s">
        <v>1367</v>
      </c>
      <c r="AG235">
        <v>0</v>
      </c>
      <c r="AH235" t="s">
        <v>1802</v>
      </c>
      <c r="AI235">
        <v>1</v>
      </c>
      <c r="AJ235">
        <v>1</v>
      </c>
      <c r="AK235">
        <v>0</v>
      </c>
      <c r="AL235">
        <v>1</v>
      </c>
      <c r="AM235" t="s">
        <v>1355</v>
      </c>
      <c r="AN235" t="s">
        <v>1357</v>
      </c>
      <c r="AO235">
        <v>2608.1</v>
      </c>
      <c r="AP235">
        <v>2</v>
      </c>
      <c r="AQ235">
        <v>0</v>
      </c>
      <c r="AR235">
        <v>2608.1019999999999</v>
      </c>
      <c r="AS235">
        <v>2608.1</v>
      </c>
      <c r="AT235">
        <v>1</v>
      </c>
    </row>
    <row r="236" spans="1:46" hidden="1" x14ac:dyDescent="0.2">
      <c r="A236" t="s">
        <v>1803</v>
      </c>
      <c r="B236" t="s">
        <v>1804</v>
      </c>
      <c r="C236" t="s">
        <v>1803</v>
      </c>
      <c r="D236" t="s">
        <v>1355</v>
      </c>
      <c r="E236" t="s">
        <v>1356</v>
      </c>
      <c r="F236" t="s">
        <v>1357</v>
      </c>
      <c r="G236" t="s">
        <v>1355</v>
      </c>
      <c r="H236" t="s">
        <v>1367</v>
      </c>
      <c r="I236" t="s">
        <v>1232</v>
      </c>
      <c r="J236">
        <v>2</v>
      </c>
      <c r="K236">
        <v>20</v>
      </c>
      <c r="L236" t="s">
        <v>1803</v>
      </c>
      <c r="M236" t="s">
        <v>1803</v>
      </c>
      <c r="N236" t="s">
        <v>1355</v>
      </c>
      <c r="O236" t="s">
        <v>1359</v>
      </c>
      <c r="P236">
        <v>1</v>
      </c>
      <c r="Q236">
        <v>1</v>
      </c>
      <c r="R236">
        <v>0</v>
      </c>
      <c r="S236" t="s">
        <v>1355</v>
      </c>
      <c r="T236">
        <v>0</v>
      </c>
      <c r="U236">
        <v>0</v>
      </c>
      <c r="V236">
        <v>0</v>
      </c>
      <c r="W236" t="s">
        <v>1355</v>
      </c>
      <c r="X236" t="s">
        <v>1355</v>
      </c>
      <c r="Y236" t="s">
        <v>1355</v>
      </c>
      <c r="Z236">
        <v>0</v>
      </c>
      <c r="AA236">
        <v>0</v>
      </c>
      <c r="AB236">
        <v>0</v>
      </c>
      <c r="AC236" s="294">
        <v>41834</v>
      </c>
      <c r="AD236" s="294">
        <v>73050</v>
      </c>
      <c r="AF236" t="s">
        <v>1367</v>
      </c>
      <c r="AG236">
        <v>0</v>
      </c>
      <c r="AH236" t="s">
        <v>1805</v>
      </c>
      <c r="AI236">
        <v>1</v>
      </c>
      <c r="AJ236">
        <v>1</v>
      </c>
      <c r="AK236">
        <v>0</v>
      </c>
      <c r="AL236">
        <v>1</v>
      </c>
      <c r="AM236" t="s">
        <v>1355</v>
      </c>
      <c r="AN236" t="s">
        <v>1357</v>
      </c>
      <c r="AO236">
        <v>230.06</v>
      </c>
      <c r="AP236">
        <v>2</v>
      </c>
      <c r="AQ236">
        <v>0</v>
      </c>
      <c r="AR236">
        <v>230.06</v>
      </c>
      <c r="AS236">
        <v>230.06</v>
      </c>
      <c r="AT236">
        <v>1</v>
      </c>
    </row>
    <row r="237" spans="1:46" hidden="1" x14ac:dyDescent="0.2">
      <c r="A237" t="s">
        <v>1792</v>
      </c>
      <c r="B237" t="s">
        <v>1793</v>
      </c>
      <c r="C237" t="s">
        <v>1792</v>
      </c>
      <c r="D237" t="s">
        <v>1355</v>
      </c>
      <c r="E237" t="s">
        <v>1356</v>
      </c>
      <c r="F237" t="s">
        <v>1357</v>
      </c>
      <c r="G237" t="s">
        <v>1355</v>
      </c>
      <c r="H237" t="s">
        <v>1367</v>
      </c>
      <c r="I237" t="s">
        <v>1232</v>
      </c>
      <c r="J237">
        <v>3</v>
      </c>
      <c r="K237">
        <v>30</v>
      </c>
      <c r="L237" t="s">
        <v>1792</v>
      </c>
      <c r="M237" t="s">
        <v>1792</v>
      </c>
      <c r="N237" t="s">
        <v>1355</v>
      </c>
      <c r="O237" t="s">
        <v>1359</v>
      </c>
      <c r="P237">
        <v>1</v>
      </c>
      <c r="Q237">
        <v>1</v>
      </c>
      <c r="R237">
        <v>0</v>
      </c>
      <c r="S237" t="s">
        <v>1355</v>
      </c>
      <c r="T237">
        <v>0</v>
      </c>
      <c r="U237">
        <v>0</v>
      </c>
      <c r="V237">
        <v>0</v>
      </c>
      <c r="W237" t="s">
        <v>1355</v>
      </c>
      <c r="X237" t="s">
        <v>1355</v>
      </c>
      <c r="Y237" t="s">
        <v>1355</v>
      </c>
      <c r="Z237">
        <v>0</v>
      </c>
      <c r="AA237">
        <v>0</v>
      </c>
      <c r="AB237">
        <v>0</v>
      </c>
      <c r="AC237" s="294">
        <v>41834</v>
      </c>
      <c r="AD237" s="294">
        <v>73050</v>
      </c>
      <c r="AF237" t="s">
        <v>1367</v>
      </c>
      <c r="AG237">
        <v>0</v>
      </c>
      <c r="AH237" t="s">
        <v>1806</v>
      </c>
      <c r="AI237">
        <v>1</v>
      </c>
      <c r="AJ237">
        <v>1</v>
      </c>
      <c r="AK237">
        <v>0</v>
      </c>
      <c r="AL237">
        <v>1</v>
      </c>
      <c r="AM237" t="s">
        <v>1355</v>
      </c>
      <c r="AN237" t="s">
        <v>1357</v>
      </c>
      <c r="AO237">
        <v>10.618499999999999</v>
      </c>
      <c r="AP237">
        <v>2</v>
      </c>
      <c r="AQ237">
        <v>0</v>
      </c>
      <c r="AR237">
        <v>10.61858</v>
      </c>
      <c r="AS237">
        <v>10.618499999999999</v>
      </c>
      <c r="AT237">
        <v>1</v>
      </c>
    </row>
    <row r="238" spans="1:46" hidden="1" x14ac:dyDescent="0.2">
      <c r="A238" t="s">
        <v>1795</v>
      </c>
      <c r="B238" t="s">
        <v>1796</v>
      </c>
      <c r="C238" t="s">
        <v>1795</v>
      </c>
      <c r="D238" t="s">
        <v>1355</v>
      </c>
      <c r="E238" t="s">
        <v>1356</v>
      </c>
      <c r="F238" t="s">
        <v>1357</v>
      </c>
      <c r="G238" t="s">
        <v>1355</v>
      </c>
      <c r="H238" t="s">
        <v>1367</v>
      </c>
      <c r="I238" t="s">
        <v>1232</v>
      </c>
      <c r="J238">
        <v>4</v>
      </c>
      <c r="K238">
        <v>40</v>
      </c>
      <c r="L238" t="s">
        <v>1795</v>
      </c>
      <c r="M238" t="s">
        <v>1795</v>
      </c>
      <c r="N238" t="s">
        <v>1355</v>
      </c>
      <c r="O238" t="s">
        <v>1359</v>
      </c>
      <c r="P238">
        <v>1</v>
      </c>
      <c r="Q238">
        <v>1</v>
      </c>
      <c r="R238">
        <v>0</v>
      </c>
      <c r="S238" t="s">
        <v>1355</v>
      </c>
      <c r="T238">
        <v>0</v>
      </c>
      <c r="U238">
        <v>0</v>
      </c>
      <c r="V238">
        <v>0</v>
      </c>
      <c r="W238" t="s">
        <v>1355</v>
      </c>
      <c r="X238" t="s">
        <v>1355</v>
      </c>
      <c r="Y238" t="s">
        <v>1355</v>
      </c>
      <c r="Z238">
        <v>0</v>
      </c>
      <c r="AA238">
        <v>0</v>
      </c>
      <c r="AB238">
        <v>0</v>
      </c>
      <c r="AC238" s="294">
        <v>41834</v>
      </c>
      <c r="AD238" s="294">
        <v>73050</v>
      </c>
      <c r="AF238" t="s">
        <v>1367</v>
      </c>
      <c r="AG238">
        <v>0</v>
      </c>
      <c r="AH238" t="s">
        <v>1807</v>
      </c>
      <c r="AI238">
        <v>1</v>
      </c>
      <c r="AJ238">
        <v>1</v>
      </c>
      <c r="AK238">
        <v>0</v>
      </c>
      <c r="AL238">
        <v>1</v>
      </c>
      <c r="AM238" t="s">
        <v>1355</v>
      </c>
      <c r="AN238" t="s">
        <v>1357</v>
      </c>
      <c r="AO238">
        <v>31.59967</v>
      </c>
      <c r="AP238">
        <v>2</v>
      </c>
      <c r="AQ238">
        <v>0</v>
      </c>
      <c r="AR238">
        <v>31.599640000000001</v>
      </c>
      <c r="AS238">
        <v>31.59967</v>
      </c>
      <c r="AT238">
        <v>1</v>
      </c>
    </row>
    <row r="239" spans="1:46" x14ac:dyDescent="0.2">
      <c r="A239" t="s">
        <v>1233</v>
      </c>
      <c r="B239" t="s">
        <v>1808</v>
      </c>
      <c r="C239" t="s">
        <v>1233</v>
      </c>
      <c r="D239" t="s">
        <v>1355</v>
      </c>
      <c r="E239" t="s">
        <v>1356</v>
      </c>
      <c r="F239" t="s">
        <v>1357</v>
      </c>
      <c r="G239" t="s">
        <v>1355</v>
      </c>
      <c r="H239" t="s">
        <v>1358</v>
      </c>
      <c r="I239" t="s">
        <v>1353</v>
      </c>
      <c r="J239">
        <v>30</v>
      </c>
      <c r="K239">
        <v>300</v>
      </c>
      <c r="L239" t="s">
        <v>1233</v>
      </c>
      <c r="M239" t="s">
        <v>1233</v>
      </c>
      <c r="N239" t="s">
        <v>1355</v>
      </c>
      <c r="O239" t="s">
        <v>1359</v>
      </c>
      <c r="P239">
        <v>1</v>
      </c>
      <c r="Q239">
        <v>1</v>
      </c>
      <c r="R239">
        <v>0</v>
      </c>
      <c r="S239" t="s">
        <v>1355</v>
      </c>
      <c r="T239">
        <v>0</v>
      </c>
      <c r="U239">
        <v>0</v>
      </c>
      <c r="V239">
        <v>0</v>
      </c>
      <c r="W239" t="s">
        <v>1355</v>
      </c>
      <c r="X239" t="s">
        <v>1355</v>
      </c>
      <c r="Y239" t="s">
        <v>1355</v>
      </c>
      <c r="Z239">
        <v>0</v>
      </c>
      <c r="AA239">
        <v>0</v>
      </c>
      <c r="AB239">
        <v>0</v>
      </c>
      <c r="AC239" s="294">
        <v>36161</v>
      </c>
      <c r="AD239" s="294">
        <v>73050</v>
      </c>
      <c r="AE239" s="294">
        <v>41844</v>
      </c>
      <c r="AF239" t="s">
        <v>1358</v>
      </c>
      <c r="AG239">
        <v>0</v>
      </c>
      <c r="AH239" t="s">
        <v>1809</v>
      </c>
      <c r="AI239">
        <v>1</v>
      </c>
      <c r="AJ239">
        <v>1</v>
      </c>
      <c r="AK239">
        <v>0</v>
      </c>
      <c r="AL239">
        <v>1</v>
      </c>
      <c r="AM239" t="s">
        <v>1362</v>
      </c>
      <c r="AN239" t="s">
        <v>1357</v>
      </c>
      <c r="AO239">
        <v>3076.01784</v>
      </c>
      <c r="AP239">
        <v>1</v>
      </c>
      <c r="AQ239">
        <v>0</v>
      </c>
      <c r="AR239">
        <v>3076.0178599999999</v>
      </c>
      <c r="AS239">
        <v>3076.01784</v>
      </c>
      <c r="AT239">
        <v>1</v>
      </c>
    </row>
    <row r="240" spans="1:46" hidden="1" x14ac:dyDescent="0.2">
      <c r="A240" t="s">
        <v>1810</v>
      </c>
      <c r="B240" t="s">
        <v>1811</v>
      </c>
      <c r="C240" t="s">
        <v>1810</v>
      </c>
      <c r="D240" t="s">
        <v>1355</v>
      </c>
      <c r="E240" t="s">
        <v>1356</v>
      </c>
      <c r="F240" t="s">
        <v>1357</v>
      </c>
      <c r="G240" t="s">
        <v>1355</v>
      </c>
      <c r="H240" t="s">
        <v>1367</v>
      </c>
      <c r="I240" t="s">
        <v>1233</v>
      </c>
      <c r="J240">
        <v>1</v>
      </c>
      <c r="K240">
        <v>10</v>
      </c>
      <c r="L240" t="s">
        <v>1810</v>
      </c>
      <c r="M240" t="s">
        <v>1810</v>
      </c>
      <c r="N240" t="s">
        <v>1355</v>
      </c>
      <c r="O240" t="s">
        <v>1359</v>
      </c>
      <c r="P240">
        <v>1</v>
      </c>
      <c r="Q240">
        <v>1</v>
      </c>
      <c r="R240">
        <v>0</v>
      </c>
      <c r="S240" t="s">
        <v>1355</v>
      </c>
      <c r="T240">
        <v>0</v>
      </c>
      <c r="U240">
        <v>0</v>
      </c>
      <c r="V240">
        <v>0</v>
      </c>
      <c r="W240" t="s">
        <v>1355</v>
      </c>
      <c r="X240" t="s">
        <v>1355</v>
      </c>
      <c r="Y240" t="s">
        <v>1355</v>
      </c>
      <c r="Z240">
        <v>0</v>
      </c>
      <c r="AA240">
        <v>0</v>
      </c>
      <c r="AB240">
        <v>0</v>
      </c>
      <c r="AC240" s="294">
        <v>41834</v>
      </c>
      <c r="AD240" s="294">
        <v>73050</v>
      </c>
      <c r="AF240" t="s">
        <v>1367</v>
      </c>
      <c r="AG240">
        <v>0</v>
      </c>
      <c r="AH240" t="s">
        <v>1812</v>
      </c>
      <c r="AI240">
        <v>1</v>
      </c>
      <c r="AJ240">
        <v>1</v>
      </c>
      <c r="AK240">
        <v>0</v>
      </c>
      <c r="AL240">
        <v>1</v>
      </c>
      <c r="AM240" t="s">
        <v>1355</v>
      </c>
      <c r="AN240" t="s">
        <v>1357</v>
      </c>
      <c r="AO240">
        <v>2750.47</v>
      </c>
      <c r="AP240">
        <v>2</v>
      </c>
      <c r="AQ240">
        <v>0</v>
      </c>
      <c r="AR240">
        <v>2750.47</v>
      </c>
      <c r="AS240">
        <v>2750.47</v>
      </c>
      <c r="AT240">
        <v>1</v>
      </c>
    </row>
    <row r="241" spans="1:46" hidden="1" x14ac:dyDescent="0.2">
      <c r="A241" t="s">
        <v>1813</v>
      </c>
      <c r="B241" t="s">
        <v>1814</v>
      </c>
      <c r="C241" t="s">
        <v>1813</v>
      </c>
      <c r="D241" t="s">
        <v>1355</v>
      </c>
      <c r="E241" t="s">
        <v>1356</v>
      </c>
      <c r="F241" t="s">
        <v>1357</v>
      </c>
      <c r="G241" t="s">
        <v>1355</v>
      </c>
      <c r="H241" t="s">
        <v>1367</v>
      </c>
      <c r="I241" t="s">
        <v>1233</v>
      </c>
      <c r="J241">
        <v>2</v>
      </c>
      <c r="K241">
        <v>20</v>
      </c>
      <c r="L241" t="s">
        <v>1813</v>
      </c>
      <c r="M241" t="s">
        <v>1813</v>
      </c>
      <c r="N241" t="s">
        <v>1355</v>
      </c>
      <c r="O241" t="s">
        <v>1359</v>
      </c>
      <c r="P241">
        <v>1</v>
      </c>
      <c r="Q241">
        <v>1</v>
      </c>
      <c r="R241">
        <v>0</v>
      </c>
      <c r="S241" t="s">
        <v>1355</v>
      </c>
      <c r="T241">
        <v>0</v>
      </c>
      <c r="U241">
        <v>0</v>
      </c>
      <c r="V241">
        <v>0</v>
      </c>
      <c r="W241" t="s">
        <v>1355</v>
      </c>
      <c r="X241" t="s">
        <v>1355</v>
      </c>
      <c r="Y241" t="s">
        <v>1355</v>
      </c>
      <c r="Z241">
        <v>0</v>
      </c>
      <c r="AA241">
        <v>0</v>
      </c>
      <c r="AB241">
        <v>0</v>
      </c>
      <c r="AC241" s="294">
        <v>41834</v>
      </c>
      <c r="AD241" s="294">
        <v>73050</v>
      </c>
      <c r="AF241" t="s">
        <v>1367</v>
      </c>
      <c r="AG241">
        <v>0</v>
      </c>
      <c r="AH241" t="s">
        <v>1815</v>
      </c>
      <c r="AI241">
        <v>1</v>
      </c>
      <c r="AJ241">
        <v>1</v>
      </c>
      <c r="AK241">
        <v>0</v>
      </c>
      <c r="AL241">
        <v>1</v>
      </c>
      <c r="AM241" t="s">
        <v>1355</v>
      </c>
      <c r="AN241" t="s">
        <v>1357</v>
      </c>
      <c r="AO241">
        <v>251.73</v>
      </c>
      <c r="AP241">
        <v>2</v>
      </c>
      <c r="AQ241">
        <v>0</v>
      </c>
      <c r="AR241">
        <v>251.73</v>
      </c>
      <c r="AS241">
        <v>251.73</v>
      </c>
      <c r="AT241">
        <v>1</v>
      </c>
    </row>
    <row r="242" spans="1:46" hidden="1" x14ac:dyDescent="0.2">
      <c r="A242" t="s">
        <v>1795</v>
      </c>
      <c r="B242" t="s">
        <v>1796</v>
      </c>
      <c r="C242" t="s">
        <v>1795</v>
      </c>
      <c r="D242" t="s">
        <v>1355</v>
      </c>
      <c r="E242" t="s">
        <v>1356</v>
      </c>
      <c r="F242" t="s">
        <v>1357</v>
      </c>
      <c r="G242" t="s">
        <v>1355</v>
      </c>
      <c r="H242" t="s">
        <v>1367</v>
      </c>
      <c r="I242" t="s">
        <v>1233</v>
      </c>
      <c r="J242">
        <v>3</v>
      </c>
      <c r="K242">
        <v>30</v>
      </c>
      <c r="L242" t="s">
        <v>1795</v>
      </c>
      <c r="M242" t="s">
        <v>1795</v>
      </c>
      <c r="N242" t="s">
        <v>1355</v>
      </c>
      <c r="O242" t="s">
        <v>1359</v>
      </c>
      <c r="P242">
        <v>2</v>
      </c>
      <c r="Q242">
        <v>2</v>
      </c>
      <c r="R242">
        <v>0</v>
      </c>
      <c r="S242" t="s">
        <v>1355</v>
      </c>
      <c r="T242">
        <v>0</v>
      </c>
      <c r="U242">
        <v>0</v>
      </c>
      <c r="V242">
        <v>0</v>
      </c>
      <c r="W242" t="s">
        <v>1355</v>
      </c>
      <c r="X242" t="s">
        <v>1355</v>
      </c>
      <c r="Y242" t="s">
        <v>1355</v>
      </c>
      <c r="Z242">
        <v>0</v>
      </c>
      <c r="AA242">
        <v>0</v>
      </c>
      <c r="AB242">
        <v>0</v>
      </c>
      <c r="AC242" s="294">
        <v>41834</v>
      </c>
      <c r="AD242" s="294">
        <v>73050</v>
      </c>
      <c r="AF242" t="s">
        <v>1367</v>
      </c>
      <c r="AG242">
        <v>0</v>
      </c>
      <c r="AH242" t="s">
        <v>1816</v>
      </c>
      <c r="AI242">
        <v>2</v>
      </c>
      <c r="AJ242">
        <v>2</v>
      </c>
      <c r="AK242">
        <v>0</v>
      </c>
      <c r="AL242">
        <v>2</v>
      </c>
      <c r="AM242" t="s">
        <v>1355</v>
      </c>
      <c r="AN242" t="s">
        <v>1357</v>
      </c>
      <c r="AO242">
        <v>63.199339999999999</v>
      </c>
      <c r="AP242">
        <v>2</v>
      </c>
      <c r="AQ242">
        <v>0</v>
      </c>
      <c r="AR242">
        <v>63.199280000000002</v>
      </c>
      <c r="AS242">
        <v>63.199339999999999</v>
      </c>
      <c r="AT242">
        <v>1</v>
      </c>
    </row>
    <row r="243" spans="1:46" hidden="1" x14ac:dyDescent="0.2">
      <c r="A243" t="s">
        <v>1792</v>
      </c>
      <c r="B243" t="s">
        <v>1793</v>
      </c>
      <c r="C243" t="s">
        <v>1792</v>
      </c>
      <c r="D243" t="s">
        <v>1355</v>
      </c>
      <c r="E243" t="s">
        <v>1356</v>
      </c>
      <c r="F243" t="s">
        <v>1357</v>
      </c>
      <c r="G243" t="s">
        <v>1355</v>
      </c>
      <c r="H243" t="s">
        <v>1367</v>
      </c>
      <c r="I243" t="s">
        <v>1233</v>
      </c>
      <c r="J243">
        <v>4</v>
      </c>
      <c r="K243">
        <v>40</v>
      </c>
      <c r="L243" t="s">
        <v>1792</v>
      </c>
      <c r="M243" t="s">
        <v>1792</v>
      </c>
      <c r="N243" t="s">
        <v>1355</v>
      </c>
      <c r="O243" t="s">
        <v>1359</v>
      </c>
      <c r="P243">
        <v>1</v>
      </c>
      <c r="Q243">
        <v>1</v>
      </c>
      <c r="R243">
        <v>0</v>
      </c>
      <c r="S243" t="s">
        <v>1355</v>
      </c>
      <c r="T243">
        <v>0</v>
      </c>
      <c r="U243">
        <v>0</v>
      </c>
      <c r="V243">
        <v>0</v>
      </c>
      <c r="W243" t="s">
        <v>1355</v>
      </c>
      <c r="X243" t="s">
        <v>1355</v>
      </c>
      <c r="Y243" t="s">
        <v>1355</v>
      </c>
      <c r="Z243">
        <v>0</v>
      </c>
      <c r="AA243">
        <v>0</v>
      </c>
      <c r="AB243">
        <v>0</v>
      </c>
      <c r="AC243" s="294">
        <v>41834</v>
      </c>
      <c r="AD243" s="294">
        <v>73050</v>
      </c>
      <c r="AF243" t="s">
        <v>1367</v>
      </c>
      <c r="AG243">
        <v>0</v>
      </c>
      <c r="AH243" t="s">
        <v>1817</v>
      </c>
      <c r="AI243">
        <v>1</v>
      </c>
      <c r="AJ243">
        <v>1</v>
      </c>
      <c r="AK243">
        <v>0</v>
      </c>
      <c r="AL243">
        <v>1</v>
      </c>
      <c r="AM243" t="s">
        <v>1355</v>
      </c>
      <c r="AN243" t="s">
        <v>1357</v>
      </c>
      <c r="AO243">
        <v>10.618499999999999</v>
      </c>
      <c r="AP243">
        <v>2</v>
      </c>
      <c r="AQ243">
        <v>0</v>
      </c>
      <c r="AR243">
        <v>10.61858</v>
      </c>
      <c r="AS243">
        <v>10.618499999999999</v>
      </c>
      <c r="AT243">
        <v>1</v>
      </c>
    </row>
    <row r="244" spans="1:46" x14ac:dyDescent="0.2">
      <c r="A244" t="s">
        <v>1300</v>
      </c>
      <c r="B244" t="s">
        <v>1818</v>
      </c>
      <c r="C244" t="s">
        <v>1300</v>
      </c>
      <c r="D244" t="s">
        <v>1355</v>
      </c>
      <c r="E244" t="s">
        <v>1356</v>
      </c>
      <c r="F244" t="s">
        <v>1357</v>
      </c>
      <c r="G244" t="s">
        <v>1355</v>
      </c>
      <c r="H244" t="s">
        <v>1358</v>
      </c>
      <c r="I244" t="s">
        <v>1353</v>
      </c>
      <c r="J244">
        <v>58</v>
      </c>
      <c r="K244">
        <v>301</v>
      </c>
      <c r="L244" t="s">
        <v>1300</v>
      </c>
      <c r="M244" t="s">
        <v>1300</v>
      </c>
      <c r="N244" t="s">
        <v>1355</v>
      </c>
      <c r="O244" t="s">
        <v>1359</v>
      </c>
      <c r="P244">
        <v>1</v>
      </c>
      <c r="Q244">
        <v>1</v>
      </c>
      <c r="R244">
        <v>0</v>
      </c>
      <c r="S244" t="s">
        <v>1355</v>
      </c>
      <c r="T244">
        <v>0</v>
      </c>
      <c r="U244">
        <v>0</v>
      </c>
      <c r="V244">
        <v>0</v>
      </c>
      <c r="W244" t="s">
        <v>1355</v>
      </c>
      <c r="X244" t="s">
        <v>1355</v>
      </c>
      <c r="Y244" t="s">
        <v>1355</v>
      </c>
      <c r="Z244">
        <v>0</v>
      </c>
      <c r="AA244">
        <v>0</v>
      </c>
      <c r="AB244">
        <v>0</v>
      </c>
      <c r="AC244" s="294">
        <v>41845</v>
      </c>
      <c r="AD244" s="294">
        <v>73050</v>
      </c>
      <c r="AE244" s="294">
        <v>41845</v>
      </c>
      <c r="AF244" t="s">
        <v>1358</v>
      </c>
      <c r="AG244">
        <v>0</v>
      </c>
      <c r="AH244" t="s">
        <v>1819</v>
      </c>
      <c r="AI244">
        <v>1</v>
      </c>
      <c r="AJ244">
        <v>1</v>
      </c>
      <c r="AK244">
        <v>0</v>
      </c>
      <c r="AL244">
        <v>1</v>
      </c>
      <c r="AM244" t="s">
        <v>1362</v>
      </c>
      <c r="AN244" t="s">
        <v>1357</v>
      </c>
      <c r="AO244">
        <v>2.8748</v>
      </c>
      <c r="AP244">
        <v>1</v>
      </c>
      <c r="AQ244">
        <v>0</v>
      </c>
      <c r="AR244">
        <v>2.8748</v>
      </c>
      <c r="AS244">
        <v>2.8748</v>
      </c>
      <c r="AT244">
        <v>1</v>
      </c>
    </row>
    <row r="245" spans="1:46" hidden="1" x14ac:dyDescent="0.2">
      <c r="A245" t="s">
        <v>1511</v>
      </c>
      <c r="B245" t="s">
        <v>1512</v>
      </c>
      <c r="C245" t="s">
        <v>1511</v>
      </c>
      <c r="D245" t="s">
        <v>1355</v>
      </c>
      <c r="E245" t="s">
        <v>1356</v>
      </c>
      <c r="F245" t="s">
        <v>1357</v>
      </c>
      <c r="G245" t="s">
        <v>1355</v>
      </c>
      <c r="H245" t="s">
        <v>1367</v>
      </c>
      <c r="I245" t="s">
        <v>1300</v>
      </c>
      <c r="J245">
        <v>1</v>
      </c>
      <c r="K245">
        <v>10</v>
      </c>
      <c r="L245" t="s">
        <v>1511</v>
      </c>
      <c r="M245" t="s">
        <v>1511</v>
      </c>
      <c r="N245" t="s">
        <v>1355</v>
      </c>
      <c r="O245" t="s">
        <v>1359</v>
      </c>
      <c r="P245">
        <v>4</v>
      </c>
      <c r="Q245">
        <v>4</v>
      </c>
      <c r="R245">
        <v>0</v>
      </c>
      <c r="S245" t="s">
        <v>1355</v>
      </c>
      <c r="T245">
        <v>0</v>
      </c>
      <c r="U245">
        <v>0</v>
      </c>
      <c r="V245">
        <v>0</v>
      </c>
      <c r="W245" t="s">
        <v>1355</v>
      </c>
      <c r="X245" t="s">
        <v>1355</v>
      </c>
      <c r="Y245" t="s">
        <v>1355</v>
      </c>
      <c r="Z245">
        <v>0</v>
      </c>
      <c r="AA245">
        <v>0</v>
      </c>
      <c r="AB245">
        <v>0</v>
      </c>
      <c r="AC245" s="294">
        <v>41844</v>
      </c>
      <c r="AD245" s="294">
        <v>73050</v>
      </c>
      <c r="AE245" s="294">
        <v>41844</v>
      </c>
      <c r="AF245" t="s">
        <v>1367</v>
      </c>
      <c r="AG245">
        <v>0</v>
      </c>
      <c r="AH245" t="s">
        <v>1820</v>
      </c>
      <c r="AI245">
        <v>4</v>
      </c>
      <c r="AJ245">
        <v>4</v>
      </c>
      <c r="AK245">
        <v>0</v>
      </c>
      <c r="AL245">
        <v>4</v>
      </c>
      <c r="AM245" t="s">
        <v>1355</v>
      </c>
      <c r="AN245" t="s">
        <v>1357</v>
      </c>
      <c r="AO245">
        <v>2.8748</v>
      </c>
      <c r="AP245">
        <v>2</v>
      </c>
      <c r="AQ245">
        <v>0</v>
      </c>
      <c r="AR245">
        <v>2.8748</v>
      </c>
      <c r="AS245">
        <v>2.8748</v>
      </c>
      <c r="AT245">
        <v>1</v>
      </c>
    </row>
    <row r="246" spans="1:46" x14ac:dyDescent="0.2">
      <c r="A246" t="s">
        <v>1217</v>
      </c>
      <c r="B246" t="s">
        <v>1452</v>
      </c>
      <c r="C246" t="s">
        <v>1217</v>
      </c>
      <c r="D246" t="s">
        <v>1355</v>
      </c>
      <c r="E246" t="s">
        <v>1356</v>
      </c>
      <c r="F246" t="s">
        <v>1357</v>
      </c>
      <c r="G246" t="s">
        <v>1355</v>
      </c>
      <c r="H246" t="s">
        <v>1358</v>
      </c>
      <c r="I246" t="s">
        <v>1353</v>
      </c>
      <c r="J246">
        <v>59</v>
      </c>
      <c r="K246">
        <v>302</v>
      </c>
      <c r="L246" t="s">
        <v>1217</v>
      </c>
      <c r="M246" t="s">
        <v>1217</v>
      </c>
      <c r="N246" t="s">
        <v>1355</v>
      </c>
      <c r="O246" t="s">
        <v>1359</v>
      </c>
      <c r="P246">
        <v>1</v>
      </c>
      <c r="Q246">
        <v>1</v>
      </c>
      <c r="R246">
        <v>0</v>
      </c>
      <c r="S246" t="s">
        <v>1355</v>
      </c>
      <c r="T246">
        <v>0</v>
      </c>
      <c r="U246">
        <v>0</v>
      </c>
      <c r="V246">
        <v>0</v>
      </c>
      <c r="W246" t="s">
        <v>1355</v>
      </c>
      <c r="X246" t="s">
        <v>1355</v>
      </c>
      <c r="Y246" t="s">
        <v>1355</v>
      </c>
      <c r="Z246">
        <v>0</v>
      </c>
      <c r="AA246">
        <v>0</v>
      </c>
      <c r="AB246">
        <v>0</v>
      </c>
      <c r="AC246" s="294">
        <v>41845</v>
      </c>
      <c r="AD246" s="294">
        <v>73050</v>
      </c>
      <c r="AE246" s="294">
        <v>41845</v>
      </c>
      <c r="AF246" t="s">
        <v>1358</v>
      </c>
      <c r="AG246">
        <v>0</v>
      </c>
      <c r="AH246" t="s">
        <v>1821</v>
      </c>
      <c r="AI246">
        <v>1</v>
      </c>
      <c r="AJ246">
        <v>1</v>
      </c>
      <c r="AK246">
        <v>0</v>
      </c>
      <c r="AL246">
        <v>1</v>
      </c>
      <c r="AM246" t="s">
        <v>1362</v>
      </c>
      <c r="AN246" t="s">
        <v>1357</v>
      </c>
      <c r="AO246">
        <v>196.78800000000001</v>
      </c>
      <c r="AP246">
        <v>1</v>
      </c>
      <c r="AQ246">
        <v>0</v>
      </c>
      <c r="AR246">
        <v>196.78808000000001</v>
      </c>
      <c r="AS246">
        <v>196.78800000000001</v>
      </c>
      <c r="AT246">
        <v>1</v>
      </c>
    </row>
    <row r="247" spans="1:46" hidden="1" x14ac:dyDescent="0.2">
      <c r="A247" t="s">
        <v>1454</v>
      </c>
      <c r="B247" t="s">
        <v>1455</v>
      </c>
      <c r="C247" t="s">
        <v>1454</v>
      </c>
      <c r="D247" t="s">
        <v>1355</v>
      </c>
      <c r="E247" t="s">
        <v>1356</v>
      </c>
      <c r="F247" t="s">
        <v>1357</v>
      </c>
      <c r="G247" t="s">
        <v>1355</v>
      </c>
      <c r="H247" t="s">
        <v>1367</v>
      </c>
      <c r="I247" t="s">
        <v>1217</v>
      </c>
      <c r="J247">
        <v>1</v>
      </c>
      <c r="K247">
        <v>10</v>
      </c>
      <c r="L247" t="s">
        <v>1454</v>
      </c>
      <c r="M247" t="s">
        <v>1454</v>
      </c>
      <c r="N247" t="s">
        <v>1355</v>
      </c>
      <c r="O247" t="s">
        <v>1359</v>
      </c>
      <c r="P247">
        <v>1</v>
      </c>
      <c r="Q247">
        <v>1</v>
      </c>
      <c r="R247">
        <v>0</v>
      </c>
      <c r="S247" t="s">
        <v>1355</v>
      </c>
      <c r="T247">
        <v>0</v>
      </c>
      <c r="U247">
        <v>0</v>
      </c>
      <c r="V247">
        <v>0</v>
      </c>
      <c r="W247" t="s">
        <v>1355</v>
      </c>
      <c r="X247" t="s">
        <v>1355</v>
      </c>
      <c r="Y247" t="s">
        <v>1355</v>
      </c>
      <c r="Z247">
        <v>0</v>
      </c>
      <c r="AA247">
        <v>0</v>
      </c>
      <c r="AB247">
        <v>0</v>
      </c>
      <c r="AC247" s="294">
        <v>41834</v>
      </c>
      <c r="AD247" s="294">
        <v>73050</v>
      </c>
      <c r="AE247" s="294">
        <v>41834</v>
      </c>
      <c r="AF247" t="s">
        <v>1367</v>
      </c>
      <c r="AG247">
        <v>0</v>
      </c>
      <c r="AH247" t="s">
        <v>1822</v>
      </c>
      <c r="AI247">
        <v>1</v>
      </c>
      <c r="AJ247">
        <v>1</v>
      </c>
      <c r="AK247">
        <v>0</v>
      </c>
      <c r="AL247">
        <v>1</v>
      </c>
      <c r="AM247" t="s">
        <v>1355</v>
      </c>
      <c r="AN247" t="s">
        <v>1357</v>
      </c>
      <c r="AO247">
        <v>148.02799999999999</v>
      </c>
      <c r="AP247">
        <v>2</v>
      </c>
      <c r="AQ247">
        <v>0</v>
      </c>
      <c r="AR247">
        <v>148.02829</v>
      </c>
      <c r="AS247">
        <v>148.02799999999999</v>
      </c>
      <c r="AT247">
        <v>1</v>
      </c>
    </row>
    <row r="248" spans="1:46" hidden="1" x14ac:dyDescent="0.2">
      <c r="A248" t="s">
        <v>1457</v>
      </c>
      <c r="B248" t="s">
        <v>1458</v>
      </c>
      <c r="C248" t="s">
        <v>1457</v>
      </c>
      <c r="D248" t="s">
        <v>1355</v>
      </c>
      <c r="E248" t="s">
        <v>1356</v>
      </c>
      <c r="F248" t="s">
        <v>1357</v>
      </c>
      <c r="G248" t="s">
        <v>1355</v>
      </c>
      <c r="H248" t="s">
        <v>1367</v>
      </c>
      <c r="I248" t="s">
        <v>1217</v>
      </c>
      <c r="J248">
        <v>2</v>
      </c>
      <c r="K248">
        <v>20</v>
      </c>
      <c r="L248" t="s">
        <v>1457</v>
      </c>
      <c r="M248" t="s">
        <v>1457</v>
      </c>
      <c r="N248" t="s">
        <v>1355</v>
      </c>
      <c r="O248" t="s">
        <v>1359</v>
      </c>
      <c r="P248">
        <v>1</v>
      </c>
      <c r="Q248">
        <v>1</v>
      </c>
      <c r="R248">
        <v>0</v>
      </c>
      <c r="S248" t="s">
        <v>1355</v>
      </c>
      <c r="T248">
        <v>0</v>
      </c>
      <c r="U248">
        <v>0</v>
      </c>
      <c r="V248">
        <v>0</v>
      </c>
      <c r="W248" t="s">
        <v>1355</v>
      </c>
      <c r="X248" t="s">
        <v>1355</v>
      </c>
      <c r="Y248" t="s">
        <v>1355</v>
      </c>
      <c r="Z248">
        <v>0</v>
      </c>
      <c r="AA248">
        <v>0</v>
      </c>
      <c r="AB248">
        <v>0</v>
      </c>
      <c r="AC248" s="294">
        <v>41834</v>
      </c>
      <c r="AD248" s="294">
        <v>73050</v>
      </c>
      <c r="AE248" s="294">
        <v>41834</v>
      </c>
      <c r="AF248" t="s">
        <v>1367</v>
      </c>
      <c r="AG248">
        <v>0</v>
      </c>
      <c r="AH248" t="s">
        <v>1823</v>
      </c>
      <c r="AI248">
        <v>1</v>
      </c>
      <c r="AJ248">
        <v>1</v>
      </c>
      <c r="AK248">
        <v>0</v>
      </c>
      <c r="AL248">
        <v>1</v>
      </c>
      <c r="AM248" t="s">
        <v>1355</v>
      </c>
      <c r="AN248" t="s">
        <v>1357</v>
      </c>
      <c r="AO248">
        <v>24.208500000000001</v>
      </c>
      <c r="AP248">
        <v>2</v>
      </c>
      <c r="AQ248">
        <v>0</v>
      </c>
      <c r="AR248">
        <v>24.208300000000001</v>
      </c>
      <c r="AS248">
        <v>24.208500000000001</v>
      </c>
      <c r="AT248">
        <v>1</v>
      </c>
    </row>
    <row r="249" spans="1:46" hidden="1" x14ac:dyDescent="0.2">
      <c r="A249" t="s">
        <v>1460</v>
      </c>
      <c r="B249" t="s">
        <v>1461</v>
      </c>
      <c r="C249" t="s">
        <v>1460</v>
      </c>
      <c r="D249" t="s">
        <v>1355</v>
      </c>
      <c r="E249" t="s">
        <v>1356</v>
      </c>
      <c r="F249" t="s">
        <v>1357</v>
      </c>
      <c r="G249" t="s">
        <v>1355</v>
      </c>
      <c r="H249" t="s">
        <v>1367</v>
      </c>
      <c r="I249" t="s">
        <v>1217</v>
      </c>
      <c r="J249">
        <v>3</v>
      </c>
      <c r="K249">
        <v>30</v>
      </c>
      <c r="L249" t="s">
        <v>1460</v>
      </c>
      <c r="M249" t="s">
        <v>1460</v>
      </c>
      <c r="N249" t="s">
        <v>1355</v>
      </c>
      <c r="O249" t="s">
        <v>1359</v>
      </c>
      <c r="P249">
        <v>1</v>
      </c>
      <c r="Q249">
        <v>1</v>
      </c>
      <c r="R249">
        <v>0</v>
      </c>
      <c r="S249" t="s">
        <v>1355</v>
      </c>
      <c r="T249">
        <v>0</v>
      </c>
      <c r="U249">
        <v>0</v>
      </c>
      <c r="V249">
        <v>0</v>
      </c>
      <c r="W249" t="s">
        <v>1355</v>
      </c>
      <c r="X249" t="s">
        <v>1355</v>
      </c>
      <c r="Y249" t="s">
        <v>1355</v>
      </c>
      <c r="Z249">
        <v>0</v>
      </c>
      <c r="AA249">
        <v>0</v>
      </c>
      <c r="AB249">
        <v>0</v>
      </c>
      <c r="AC249" s="294">
        <v>41834</v>
      </c>
      <c r="AD249" s="294">
        <v>73050</v>
      </c>
      <c r="AE249" s="294">
        <v>41834</v>
      </c>
      <c r="AF249" t="s">
        <v>1367</v>
      </c>
      <c r="AG249">
        <v>0</v>
      </c>
      <c r="AH249" t="s">
        <v>1824</v>
      </c>
      <c r="AI249">
        <v>1</v>
      </c>
      <c r="AJ249">
        <v>1</v>
      </c>
      <c r="AK249">
        <v>0</v>
      </c>
      <c r="AL249">
        <v>1</v>
      </c>
      <c r="AM249" t="s">
        <v>1355</v>
      </c>
      <c r="AN249" t="s">
        <v>1357</v>
      </c>
      <c r="AO249">
        <v>20.447500000000002</v>
      </c>
      <c r="AP249">
        <v>2</v>
      </c>
      <c r="AQ249">
        <v>0</v>
      </c>
      <c r="AR249">
        <v>20.447420000000001</v>
      </c>
      <c r="AS249">
        <v>20.447500000000002</v>
      </c>
      <c r="AT249">
        <v>1</v>
      </c>
    </row>
    <row r="250" spans="1:46" hidden="1" x14ac:dyDescent="0.2">
      <c r="A250" t="s">
        <v>1463</v>
      </c>
      <c r="B250" t="s">
        <v>1417</v>
      </c>
      <c r="C250" t="s">
        <v>1463</v>
      </c>
      <c r="D250" t="s">
        <v>1355</v>
      </c>
      <c r="E250" t="s">
        <v>1356</v>
      </c>
      <c r="F250" t="s">
        <v>1357</v>
      </c>
      <c r="G250" t="s">
        <v>1355</v>
      </c>
      <c r="H250" t="s">
        <v>1367</v>
      </c>
      <c r="I250" t="s">
        <v>1217</v>
      </c>
      <c r="J250">
        <v>4</v>
      </c>
      <c r="K250">
        <v>40</v>
      </c>
      <c r="L250" t="s">
        <v>1463</v>
      </c>
      <c r="M250" t="s">
        <v>1463</v>
      </c>
      <c r="N250" t="s">
        <v>1355</v>
      </c>
      <c r="O250" t="s">
        <v>1359</v>
      </c>
      <c r="P250">
        <v>1</v>
      </c>
      <c r="Q250">
        <v>1</v>
      </c>
      <c r="R250">
        <v>0</v>
      </c>
      <c r="S250" t="s">
        <v>1355</v>
      </c>
      <c r="T250">
        <v>0</v>
      </c>
      <c r="U250">
        <v>0</v>
      </c>
      <c r="V250">
        <v>0</v>
      </c>
      <c r="W250" t="s">
        <v>1355</v>
      </c>
      <c r="X250" t="s">
        <v>1355</v>
      </c>
      <c r="Y250" t="s">
        <v>1355</v>
      </c>
      <c r="Z250">
        <v>0</v>
      </c>
      <c r="AA250">
        <v>0</v>
      </c>
      <c r="AB250">
        <v>0</v>
      </c>
      <c r="AC250" s="294">
        <v>41834</v>
      </c>
      <c r="AD250" s="294">
        <v>73050</v>
      </c>
      <c r="AE250" s="294">
        <v>41834</v>
      </c>
      <c r="AF250" t="s">
        <v>1367</v>
      </c>
      <c r="AG250">
        <v>0</v>
      </c>
      <c r="AH250" t="s">
        <v>1825</v>
      </c>
      <c r="AI250">
        <v>1</v>
      </c>
      <c r="AJ250">
        <v>1</v>
      </c>
      <c r="AK250">
        <v>0</v>
      </c>
      <c r="AL250">
        <v>1</v>
      </c>
      <c r="AM250" t="s">
        <v>1355</v>
      </c>
      <c r="AN250" t="s">
        <v>1357</v>
      </c>
      <c r="AO250">
        <v>4.1040000000000001</v>
      </c>
      <c r="AP250">
        <v>2</v>
      </c>
      <c r="AQ250">
        <v>0</v>
      </c>
      <c r="AR250">
        <v>4.1040700000000001</v>
      </c>
      <c r="AS250">
        <v>4.1040000000000001</v>
      </c>
      <c r="AT250">
        <v>1</v>
      </c>
    </row>
    <row r="251" spans="1:46" x14ac:dyDescent="0.2">
      <c r="A251" t="s">
        <v>1298</v>
      </c>
      <c r="B251" t="s">
        <v>1826</v>
      </c>
      <c r="C251" t="s">
        <v>1298</v>
      </c>
      <c r="D251" t="s">
        <v>1355</v>
      </c>
      <c r="E251" t="s">
        <v>1356</v>
      </c>
      <c r="F251" t="s">
        <v>1357</v>
      </c>
      <c r="G251" t="s">
        <v>1355</v>
      </c>
      <c r="H251" t="s">
        <v>1358</v>
      </c>
      <c r="I251" t="s">
        <v>1353</v>
      </c>
      <c r="J251">
        <v>60</v>
      </c>
      <c r="K251">
        <v>303</v>
      </c>
      <c r="L251" t="s">
        <v>1298</v>
      </c>
      <c r="M251" t="s">
        <v>1298</v>
      </c>
      <c r="N251" t="s">
        <v>1355</v>
      </c>
      <c r="O251" t="s">
        <v>1359</v>
      </c>
      <c r="P251">
        <v>1</v>
      </c>
      <c r="Q251">
        <v>1</v>
      </c>
      <c r="R251">
        <v>0</v>
      </c>
      <c r="S251" t="s">
        <v>1355</v>
      </c>
      <c r="T251">
        <v>0</v>
      </c>
      <c r="U251">
        <v>0</v>
      </c>
      <c r="V251">
        <v>0</v>
      </c>
      <c r="W251" t="s">
        <v>1355</v>
      </c>
      <c r="X251" t="s">
        <v>1355</v>
      </c>
      <c r="Y251" t="s">
        <v>1355</v>
      </c>
      <c r="Z251">
        <v>0</v>
      </c>
      <c r="AA251">
        <v>0</v>
      </c>
      <c r="AB251">
        <v>0</v>
      </c>
      <c r="AC251" s="294">
        <v>41845</v>
      </c>
      <c r="AD251" s="294">
        <v>73050</v>
      </c>
      <c r="AE251" s="294">
        <v>41845</v>
      </c>
      <c r="AF251" t="s">
        <v>1358</v>
      </c>
      <c r="AG251">
        <v>0</v>
      </c>
      <c r="AH251" t="s">
        <v>1827</v>
      </c>
      <c r="AI251">
        <v>1</v>
      </c>
      <c r="AJ251">
        <v>1</v>
      </c>
      <c r="AK251">
        <v>0</v>
      </c>
      <c r="AL251">
        <v>1</v>
      </c>
      <c r="AM251" t="s">
        <v>1362</v>
      </c>
      <c r="AN251" t="s">
        <v>1357</v>
      </c>
      <c r="AO251">
        <v>80.5</v>
      </c>
      <c r="AP251">
        <v>1</v>
      </c>
      <c r="AQ251">
        <v>0</v>
      </c>
      <c r="AR251">
        <v>80.5</v>
      </c>
      <c r="AS251">
        <v>80.5</v>
      </c>
      <c r="AT251">
        <v>1</v>
      </c>
    </row>
    <row r="252" spans="1:46" hidden="1" x14ac:dyDescent="0.2">
      <c r="A252" t="s">
        <v>1828</v>
      </c>
      <c r="B252" t="s">
        <v>1829</v>
      </c>
      <c r="C252" t="s">
        <v>1828</v>
      </c>
      <c r="D252" t="s">
        <v>1355</v>
      </c>
      <c r="E252" t="s">
        <v>1356</v>
      </c>
      <c r="F252" t="s">
        <v>1357</v>
      </c>
      <c r="G252" t="s">
        <v>1355</v>
      </c>
      <c r="H252" t="s">
        <v>1367</v>
      </c>
      <c r="I252" t="s">
        <v>1298</v>
      </c>
      <c r="J252">
        <v>1</v>
      </c>
      <c r="K252">
        <v>10</v>
      </c>
      <c r="L252" t="s">
        <v>1828</v>
      </c>
      <c r="M252" t="s">
        <v>1828</v>
      </c>
      <c r="N252" t="s">
        <v>1355</v>
      </c>
      <c r="O252" t="s">
        <v>1359</v>
      </c>
      <c r="P252">
        <v>1</v>
      </c>
      <c r="Q252">
        <v>1</v>
      </c>
      <c r="R252">
        <v>0</v>
      </c>
      <c r="S252" t="s">
        <v>1355</v>
      </c>
      <c r="T252">
        <v>0</v>
      </c>
      <c r="U252">
        <v>0</v>
      </c>
      <c r="V252">
        <v>0</v>
      </c>
      <c r="W252" t="s">
        <v>1355</v>
      </c>
      <c r="X252" t="s">
        <v>1355</v>
      </c>
      <c r="Y252" t="s">
        <v>1355</v>
      </c>
      <c r="Z252">
        <v>0</v>
      </c>
      <c r="AA252">
        <v>0</v>
      </c>
      <c r="AB252">
        <v>0</v>
      </c>
      <c r="AC252" s="294">
        <v>41844</v>
      </c>
      <c r="AD252" s="294">
        <v>73050</v>
      </c>
      <c r="AE252" s="294">
        <v>41844</v>
      </c>
      <c r="AF252" t="s">
        <v>1367</v>
      </c>
      <c r="AG252">
        <v>0</v>
      </c>
      <c r="AH252" t="s">
        <v>1830</v>
      </c>
      <c r="AI252">
        <v>1</v>
      </c>
      <c r="AJ252">
        <v>1</v>
      </c>
      <c r="AK252">
        <v>0</v>
      </c>
      <c r="AL252">
        <v>1</v>
      </c>
      <c r="AM252" t="s">
        <v>1355</v>
      </c>
      <c r="AN252" t="s">
        <v>1357</v>
      </c>
      <c r="AO252">
        <v>80.5</v>
      </c>
      <c r="AP252">
        <v>2</v>
      </c>
      <c r="AQ252">
        <v>0</v>
      </c>
      <c r="AR252">
        <v>80.5</v>
      </c>
      <c r="AS252">
        <v>80.5</v>
      </c>
      <c r="AT252">
        <v>1</v>
      </c>
    </row>
    <row r="253" spans="1:46" x14ac:dyDescent="0.2">
      <c r="A253" t="s">
        <v>1299</v>
      </c>
      <c r="B253" t="s">
        <v>1831</v>
      </c>
      <c r="C253" t="s">
        <v>1299</v>
      </c>
      <c r="D253" t="s">
        <v>1355</v>
      </c>
      <c r="E253" t="s">
        <v>1356</v>
      </c>
      <c r="F253" t="s">
        <v>1357</v>
      </c>
      <c r="G253" t="s">
        <v>1355</v>
      </c>
      <c r="H253" t="s">
        <v>1358</v>
      </c>
      <c r="I253" t="s">
        <v>1353</v>
      </c>
      <c r="J253">
        <v>61</v>
      </c>
      <c r="K253">
        <v>304</v>
      </c>
      <c r="L253" t="s">
        <v>1299</v>
      </c>
      <c r="M253" t="s">
        <v>1299</v>
      </c>
      <c r="N253" t="s">
        <v>1355</v>
      </c>
      <c r="O253" t="s">
        <v>1359</v>
      </c>
      <c r="P253">
        <v>1</v>
      </c>
      <c r="Q253">
        <v>1</v>
      </c>
      <c r="R253">
        <v>0</v>
      </c>
      <c r="S253" t="s">
        <v>1355</v>
      </c>
      <c r="T253">
        <v>0</v>
      </c>
      <c r="U253">
        <v>0</v>
      </c>
      <c r="V253">
        <v>0</v>
      </c>
      <c r="W253" t="s">
        <v>1355</v>
      </c>
      <c r="X253" t="s">
        <v>1355</v>
      </c>
      <c r="Y253" t="s">
        <v>1355</v>
      </c>
      <c r="Z253">
        <v>0</v>
      </c>
      <c r="AA253">
        <v>0</v>
      </c>
      <c r="AB253">
        <v>0</v>
      </c>
      <c r="AC253" s="294">
        <v>41845</v>
      </c>
      <c r="AD253" s="294">
        <v>73050</v>
      </c>
      <c r="AE253" s="294">
        <v>41845</v>
      </c>
      <c r="AF253" t="s">
        <v>1358</v>
      </c>
      <c r="AG253">
        <v>0</v>
      </c>
      <c r="AH253" t="s">
        <v>1832</v>
      </c>
      <c r="AI253">
        <v>1</v>
      </c>
      <c r="AJ253">
        <v>1</v>
      </c>
      <c r="AK253">
        <v>0</v>
      </c>
      <c r="AL253">
        <v>1</v>
      </c>
      <c r="AM253" t="s">
        <v>1362</v>
      </c>
      <c r="AN253" t="s">
        <v>1357</v>
      </c>
      <c r="AO253">
        <v>56.4</v>
      </c>
      <c r="AP253">
        <v>1</v>
      </c>
      <c r="AQ253">
        <v>0</v>
      </c>
      <c r="AR253">
        <v>56.4</v>
      </c>
      <c r="AS253">
        <v>56.4</v>
      </c>
      <c r="AT253">
        <v>1</v>
      </c>
    </row>
    <row r="254" spans="1:46" hidden="1" x14ac:dyDescent="0.2">
      <c r="A254" t="s">
        <v>1833</v>
      </c>
      <c r="B254" t="s">
        <v>1834</v>
      </c>
      <c r="C254" t="s">
        <v>1833</v>
      </c>
      <c r="D254" t="s">
        <v>1355</v>
      </c>
      <c r="E254" t="s">
        <v>1356</v>
      </c>
      <c r="F254" t="s">
        <v>1357</v>
      </c>
      <c r="G254" t="s">
        <v>1355</v>
      </c>
      <c r="H254" t="s">
        <v>1367</v>
      </c>
      <c r="I254" t="s">
        <v>1299</v>
      </c>
      <c r="J254">
        <v>1</v>
      </c>
      <c r="K254">
        <v>10</v>
      </c>
      <c r="L254" t="s">
        <v>1833</v>
      </c>
      <c r="M254" t="s">
        <v>1833</v>
      </c>
      <c r="N254" t="s">
        <v>1355</v>
      </c>
      <c r="O254" t="s">
        <v>1359</v>
      </c>
      <c r="P254">
        <v>1</v>
      </c>
      <c r="Q254">
        <v>1</v>
      </c>
      <c r="R254">
        <v>0</v>
      </c>
      <c r="S254" t="s">
        <v>1355</v>
      </c>
      <c r="T254">
        <v>0</v>
      </c>
      <c r="U254">
        <v>0</v>
      </c>
      <c r="V254">
        <v>0</v>
      </c>
      <c r="W254" t="s">
        <v>1355</v>
      </c>
      <c r="X254" t="s">
        <v>1355</v>
      </c>
      <c r="Y254" t="s">
        <v>1355</v>
      </c>
      <c r="Z254">
        <v>0</v>
      </c>
      <c r="AA254">
        <v>0</v>
      </c>
      <c r="AB254">
        <v>0</v>
      </c>
      <c r="AC254" s="294">
        <v>41844</v>
      </c>
      <c r="AD254" s="294">
        <v>73050</v>
      </c>
      <c r="AE254" s="294">
        <v>41844</v>
      </c>
      <c r="AF254" t="s">
        <v>1367</v>
      </c>
      <c r="AG254">
        <v>0</v>
      </c>
      <c r="AH254" t="s">
        <v>1835</v>
      </c>
      <c r="AI254">
        <v>1</v>
      </c>
      <c r="AJ254">
        <v>1</v>
      </c>
      <c r="AK254">
        <v>0</v>
      </c>
      <c r="AL254">
        <v>1</v>
      </c>
      <c r="AM254" t="s">
        <v>1355</v>
      </c>
      <c r="AN254" t="s">
        <v>1357</v>
      </c>
      <c r="AO254">
        <v>56.4</v>
      </c>
      <c r="AP254">
        <v>2</v>
      </c>
      <c r="AQ254">
        <v>0</v>
      </c>
      <c r="AR254">
        <v>56.4</v>
      </c>
      <c r="AS254">
        <v>56.4</v>
      </c>
      <c r="AT254">
        <v>1</v>
      </c>
    </row>
    <row r="255" spans="1:46" x14ac:dyDescent="0.2">
      <c r="A255" t="s">
        <v>1297</v>
      </c>
      <c r="B255" t="s">
        <v>1836</v>
      </c>
      <c r="C255" t="s">
        <v>1297</v>
      </c>
      <c r="D255" t="s">
        <v>1355</v>
      </c>
      <c r="E255" t="s">
        <v>1356</v>
      </c>
      <c r="F255" t="s">
        <v>1357</v>
      </c>
      <c r="G255" t="s">
        <v>1355</v>
      </c>
      <c r="H255" t="s">
        <v>1358</v>
      </c>
      <c r="I255" t="s">
        <v>1353</v>
      </c>
      <c r="J255">
        <v>62</v>
      </c>
      <c r="K255">
        <v>305</v>
      </c>
      <c r="L255" t="s">
        <v>1297</v>
      </c>
      <c r="M255" t="s">
        <v>1297</v>
      </c>
      <c r="N255" t="s">
        <v>1355</v>
      </c>
      <c r="O255" t="s">
        <v>1359</v>
      </c>
      <c r="P255">
        <v>1</v>
      </c>
      <c r="Q255">
        <v>1</v>
      </c>
      <c r="R255">
        <v>0</v>
      </c>
      <c r="S255" t="s">
        <v>1355</v>
      </c>
      <c r="T255">
        <v>0</v>
      </c>
      <c r="U255">
        <v>0</v>
      </c>
      <c r="V255">
        <v>0</v>
      </c>
      <c r="W255" t="s">
        <v>1355</v>
      </c>
      <c r="X255" t="s">
        <v>1355</v>
      </c>
      <c r="Y255" t="s">
        <v>1355</v>
      </c>
      <c r="Z255">
        <v>0</v>
      </c>
      <c r="AA255">
        <v>0</v>
      </c>
      <c r="AB255">
        <v>0</v>
      </c>
      <c r="AC255" s="294">
        <v>41845</v>
      </c>
      <c r="AD255" s="294">
        <v>73050</v>
      </c>
      <c r="AE255" s="294">
        <v>41845</v>
      </c>
      <c r="AF255" t="s">
        <v>1358</v>
      </c>
      <c r="AG255">
        <v>0</v>
      </c>
      <c r="AH255" t="s">
        <v>1837</v>
      </c>
      <c r="AI255">
        <v>1</v>
      </c>
      <c r="AJ255">
        <v>1</v>
      </c>
      <c r="AK255">
        <v>0</v>
      </c>
      <c r="AL255">
        <v>1</v>
      </c>
      <c r="AM255" t="s">
        <v>1362</v>
      </c>
      <c r="AN255" t="s">
        <v>1357</v>
      </c>
      <c r="AO255">
        <v>2.8748</v>
      </c>
      <c r="AP255">
        <v>1</v>
      </c>
      <c r="AQ255">
        <v>0</v>
      </c>
      <c r="AR255">
        <v>2.8748</v>
      </c>
      <c r="AS255">
        <v>2.8748</v>
      </c>
      <c r="AT255">
        <v>1</v>
      </c>
    </row>
    <row r="256" spans="1:46" hidden="1" x14ac:dyDescent="0.2">
      <c r="A256" t="s">
        <v>1511</v>
      </c>
      <c r="B256" t="s">
        <v>1512</v>
      </c>
      <c r="C256" t="s">
        <v>1511</v>
      </c>
      <c r="D256" t="s">
        <v>1355</v>
      </c>
      <c r="E256" t="s">
        <v>1356</v>
      </c>
      <c r="F256" t="s">
        <v>1357</v>
      </c>
      <c r="G256" t="s">
        <v>1355</v>
      </c>
      <c r="H256" t="s">
        <v>1367</v>
      </c>
      <c r="I256" t="s">
        <v>1297</v>
      </c>
      <c r="J256">
        <v>1</v>
      </c>
      <c r="K256">
        <v>10</v>
      </c>
      <c r="L256" t="s">
        <v>1511</v>
      </c>
      <c r="M256" t="s">
        <v>1511</v>
      </c>
      <c r="N256" t="s">
        <v>1355</v>
      </c>
      <c r="O256" t="s">
        <v>1359</v>
      </c>
      <c r="P256">
        <v>4</v>
      </c>
      <c r="Q256">
        <v>4</v>
      </c>
      <c r="R256">
        <v>0</v>
      </c>
      <c r="S256" t="s">
        <v>1355</v>
      </c>
      <c r="T256">
        <v>0</v>
      </c>
      <c r="U256">
        <v>0</v>
      </c>
      <c r="V256">
        <v>0</v>
      </c>
      <c r="W256" t="s">
        <v>1355</v>
      </c>
      <c r="X256" t="s">
        <v>1355</v>
      </c>
      <c r="Y256" t="s">
        <v>1355</v>
      </c>
      <c r="Z256">
        <v>0</v>
      </c>
      <c r="AA256">
        <v>0</v>
      </c>
      <c r="AB256">
        <v>0</v>
      </c>
      <c r="AC256" s="294">
        <v>41844</v>
      </c>
      <c r="AD256" s="294">
        <v>73050</v>
      </c>
      <c r="AE256" s="294">
        <v>41844</v>
      </c>
      <c r="AF256" t="s">
        <v>1367</v>
      </c>
      <c r="AG256">
        <v>0</v>
      </c>
      <c r="AH256" t="s">
        <v>1838</v>
      </c>
      <c r="AI256">
        <v>4</v>
      </c>
      <c r="AJ256">
        <v>4</v>
      </c>
      <c r="AK256">
        <v>0</v>
      </c>
      <c r="AL256">
        <v>4</v>
      </c>
      <c r="AM256" t="s">
        <v>1355</v>
      </c>
      <c r="AN256" t="s">
        <v>1357</v>
      </c>
      <c r="AO256">
        <v>2.8748</v>
      </c>
      <c r="AP256">
        <v>2</v>
      </c>
      <c r="AQ256">
        <v>0</v>
      </c>
      <c r="AR256">
        <v>2.8748</v>
      </c>
      <c r="AS256">
        <v>2.8748</v>
      </c>
      <c r="AT256">
        <v>1</v>
      </c>
    </row>
    <row r="257" spans="1:46" x14ac:dyDescent="0.2">
      <c r="A257" t="s">
        <v>1290</v>
      </c>
      <c r="B257" t="s">
        <v>1839</v>
      </c>
      <c r="C257" t="s">
        <v>1290</v>
      </c>
      <c r="D257" t="s">
        <v>1355</v>
      </c>
      <c r="E257" t="s">
        <v>1356</v>
      </c>
      <c r="F257" t="s">
        <v>1357</v>
      </c>
      <c r="G257" t="s">
        <v>1355</v>
      </c>
      <c r="H257" t="s">
        <v>1358</v>
      </c>
      <c r="I257" t="s">
        <v>1353</v>
      </c>
      <c r="J257">
        <v>31</v>
      </c>
      <c r="K257">
        <v>320</v>
      </c>
      <c r="L257" t="s">
        <v>1290</v>
      </c>
      <c r="M257" t="s">
        <v>1290</v>
      </c>
      <c r="N257" t="s">
        <v>1355</v>
      </c>
      <c r="O257" t="s">
        <v>1359</v>
      </c>
      <c r="P257">
        <v>1</v>
      </c>
      <c r="Q257">
        <v>1</v>
      </c>
      <c r="R257">
        <v>0</v>
      </c>
      <c r="S257" t="s">
        <v>1355</v>
      </c>
      <c r="T257">
        <v>0</v>
      </c>
      <c r="U257">
        <v>0</v>
      </c>
      <c r="V257">
        <v>0</v>
      </c>
      <c r="W257" t="s">
        <v>1355</v>
      </c>
      <c r="X257" t="s">
        <v>1355</v>
      </c>
      <c r="Y257" t="s">
        <v>1355</v>
      </c>
      <c r="Z257">
        <v>0</v>
      </c>
      <c r="AA257">
        <v>0</v>
      </c>
      <c r="AB257">
        <v>0</v>
      </c>
      <c r="AC257" s="294">
        <v>36161</v>
      </c>
      <c r="AD257" s="294">
        <v>73050</v>
      </c>
      <c r="AE257" s="294">
        <v>41844</v>
      </c>
      <c r="AF257" t="s">
        <v>1358</v>
      </c>
      <c r="AG257">
        <v>0</v>
      </c>
      <c r="AH257" t="s">
        <v>1840</v>
      </c>
      <c r="AI257">
        <v>1</v>
      </c>
      <c r="AJ257">
        <v>1</v>
      </c>
      <c r="AK257">
        <v>0</v>
      </c>
      <c r="AL257">
        <v>1</v>
      </c>
      <c r="AM257" t="s">
        <v>1362</v>
      </c>
      <c r="AN257" t="s">
        <v>1357</v>
      </c>
      <c r="AO257">
        <v>35.847999999999999</v>
      </c>
      <c r="AP257">
        <v>1</v>
      </c>
      <c r="AQ257">
        <v>0</v>
      </c>
      <c r="AR257">
        <v>35.847999999999999</v>
      </c>
      <c r="AS257">
        <v>35.847999999999999</v>
      </c>
      <c r="AT257">
        <v>1</v>
      </c>
    </row>
    <row r="258" spans="1:46" hidden="1" x14ac:dyDescent="0.2">
      <c r="A258" t="s">
        <v>1841</v>
      </c>
      <c r="B258" t="s">
        <v>1842</v>
      </c>
      <c r="C258" t="s">
        <v>1841</v>
      </c>
      <c r="D258" t="s">
        <v>1355</v>
      </c>
      <c r="E258" t="s">
        <v>1356</v>
      </c>
      <c r="F258" t="s">
        <v>1357</v>
      </c>
      <c r="G258" t="s">
        <v>1355</v>
      </c>
      <c r="H258" t="s">
        <v>1367</v>
      </c>
      <c r="I258" t="s">
        <v>1290</v>
      </c>
      <c r="J258">
        <v>1</v>
      </c>
      <c r="K258">
        <v>10</v>
      </c>
      <c r="L258" t="s">
        <v>1841</v>
      </c>
      <c r="M258" t="s">
        <v>1841</v>
      </c>
      <c r="N258" t="s">
        <v>1355</v>
      </c>
      <c r="O258" t="s">
        <v>1359</v>
      </c>
      <c r="P258">
        <v>1</v>
      </c>
      <c r="Q258">
        <v>1</v>
      </c>
      <c r="R258">
        <v>0</v>
      </c>
      <c r="S258" t="s">
        <v>1355</v>
      </c>
      <c r="T258">
        <v>0</v>
      </c>
      <c r="U258">
        <v>0</v>
      </c>
      <c r="V258">
        <v>0</v>
      </c>
      <c r="W258" t="s">
        <v>1355</v>
      </c>
      <c r="X258" t="s">
        <v>1355</v>
      </c>
      <c r="Y258" t="s">
        <v>1355</v>
      </c>
      <c r="Z258">
        <v>0</v>
      </c>
      <c r="AA258">
        <v>0</v>
      </c>
      <c r="AB258">
        <v>0</v>
      </c>
      <c r="AC258" s="294">
        <v>41835</v>
      </c>
      <c r="AD258" s="294">
        <v>73050</v>
      </c>
      <c r="AE258" s="294">
        <v>41835</v>
      </c>
      <c r="AF258" t="s">
        <v>1367</v>
      </c>
      <c r="AG258">
        <v>0</v>
      </c>
      <c r="AH258" t="s">
        <v>1843</v>
      </c>
      <c r="AI258">
        <v>1</v>
      </c>
      <c r="AJ258">
        <v>1</v>
      </c>
      <c r="AK258">
        <v>0</v>
      </c>
      <c r="AL258">
        <v>1</v>
      </c>
      <c r="AM258" t="s">
        <v>1355</v>
      </c>
      <c r="AN258" t="s">
        <v>1357</v>
      </c>
      <c r="AO258">
        <v>29.628</v>
      </c>
      <c r="AP258">
        <v>2</v>
      </c>
      <c r="AQ258">
        <v>0</v>
      </c>
      <c r="AR258">
        <v>29.628</v>
      </c>
      <c r="AS258">
        <v>29.628</v>
      </c>
      <c r="AT258">
        <v>1</v>
      </c>
    </row>
    <row r="259" spans="1:46" hidden="1" x14ac:dyDescent="0.2">
      <c r="A259" t="s">
        <v>1844</v>
      </c>
      <c r="B259" t="s">
        <v>1845</v>
      </c>
      <c r="C259" t="s">
        <v>1844</v>
      </c>
      <c r="D259" t="s">
        <v>1355</v>
      </c>
      <c r="E259" t="s">
        <v>1356</v>
      </c>
      <c r="F259" t="s">
        <v>1357</v>
      </c>
      <c r="G259" t="s">
        <v>1355</v>
      </c>
      <c r="H259" t="s">
        <v>1367</v>
      </c>
      <c r="I259" t="s">
        <v>1290</v>
      </c>
      <c r="J259">
        <v>2</v>
      </c>
      <c r="K259">
        <v>20</v>
      </c>
      <c r="L259" t="s">
        <v>1844</v>
      </c>
      <c r="M259" t="s">
        <v>1844</v>
      </c>
      <c r="N259" t="s">
        <v>1355</v>
      </c>
      <c r="O259" t="s">
        <v>1359</v>
      </c>
      <c r="P259">
        <v>1</v>
      </c>
      <c r="Q259">
        <v>1</v>
      </c>
      <c r="R259">
        <v>0</v>
      </c>
      <c r="S259" t="s">
        <v>1355</v>
      </c>
      <c r="T259">
        <v>0</v>
      </c>
      <c r="U259">
        <v>0</v>
      </c>
      <c r="V259">
        <v>0</v>
      </c>
      <c r="W259" t="s">
        <v>1355</v>
      </c>
      <c r="X259" t="s">
        <v>1355</v>
      </c>
      <c r="Y259" t="s">
        <v>1355</v>
      </c>
      <c r="Z259">
        <v>0</v>
      </c>
      <c r="AA259">
        <v>0</v>
      </c>
      <c r="AB259">
        <v>0</v>
      </c>
      <c r="AC259" s="294">
        <v>41835</v>
      </c>
      <c r="AD259" s="294">
        <v>73050</v>
      </c>
      <c r="AE259" s="294">
        <v>41835</v>
      </c>
      <c r="AF259" t="s">
        <v>1367</v>
      </c>
      <c r="AG259">
        <v>0</v>
      </c>
      <c r="AH259" t="s">
        <v>1846</v>
      </c>
      <c r="AI259">
        <v>1</v>
      </c>
      <c r="AJ259">
        <v>1</v>
      </c>
      <c r="AK259">
        <v>0</v>
      </c>
      <c r="AL259">
        <v>1</v>
      </c>
      <c r="AM259" t="s">
        <v>1355</v>
      </c>
      <c r="AN259" t="s">
        <v>1357</v>
      </c>
      <c r="AO259">
        <v>5.75</v>
      </c>
      <c r="AP259">
        <v>2</v>
      </c>
      <c r="AQ259">
        <v>0</v>
      </c>
      <c r="AR259">
        <v>5.75</v>
      </c>
      <c r="AS259">
        <v>5.75</v>
      </c>
      <c r="AT259">
        <v>1</v>
      </c>
    </row>
    <row r="260" spans="1:46" hidden="1" x14ac:dyDescent="0.2">
      <c r="A260" t="s">
        <v>1847</v>
      </c>
      <c r="B260" t="s">
        <v>1848</v>
      </c>
      <c r="C260" t="s">
        <v>1847</v>
      </c>
      <c r="D260" t="s">
        <v>1355</v>
      </c>
      <c r="E260" t="s">
        <v>1356</v>
      </c>
      <c r="F260" t="s">
        <v>1357</v>
      </c>
      <c r="G260" t="s">
        <v>1355</v>
      </c>
      <c r="H260" t="s">
        <v>1367</v>
      </c>
      <c r="I260" t="s">
        <v>1290</v>
      </c>
      <c r="J260">
        <v>3</v>
      </c>
      <c r="K260">
        <v>30</v>
      </c>
      <c r="L260" t="s">
        <v>1847</v>
      </c>
      <c r="M260" t="s">
        <v>1847</v>
      </c>
      <c r="N260" t="s">
        <v>1355</v>
      </c>
      <c r="O260" t="s">
        <v>1359</v>
      </c>
      <c r="P260">
        <v>1</v>
      </c>
      <c r="Q260">
        <v>1</v>
      </c>
      <c r="R260">
        <v>0</v>
      </c>
      <c r="S260" t="s">
        <v>1355</v>
      </c>
      <c r="T260">
        <v>0</v>
      </c>
      <c r="U260">
        <v>0</v>
      </c>
      <c r="V260">
        <v>0</v>
      </c>
      <c r="W260" t="s">
        <v>1355</v>
      </c>
      <c r="X260" t="s">
        <v>1355</v>
      </c>
      <c r="Y260" t="s">
        <v>1355</v>
      </c>
      <c r="Z260">
        <v>0</v>
      </c>
      <c r="AA260">
        <v>0</v>
      </c>
      <c r="AB260">
        <v>0</v>
      </c>
      <c r="AC260" s="294">
        <v>41835</v>
      </c>
      <c r="AD260" s="294">
        <v>73050</v>
      </c>
      <c r="AE260" s="294">
        <v>41835</v>
      </c>
      <c r="AF260" t="s">
        <v>1367</v>
      </c>
      <c r="AG260">
        <v>0</v>
      </c>
      <c r="AH260" t="s">
        <v>1849</v>
      </c>
      <c r="AI260">
        <v>1</v>
      </c>
      <c r="AJ260">
        <v>1</v>
      </c>
      <c r="AK260">
        <v>0</v>
      </c>
      <c r="AL260">
        <v>1</v>
      </c>
      <c r="AM260" t="s">
        <v>1355</v>
      </c>
      <c r="AN260" t="s">
        <v>1357</v>
      </c>
      <c r="AO260">
        <v>0.47</v>
      </c>
      <c r="AP260">
        <v>2</v>
      </c>
      <c r="AQ260">
        <v>0</v>
      </c>
      <c r="AR260">
        <v>0.47</v>
      </c>
      <c r="AS260">
        <v>0.47</v>
      </c>
      <c r="AT260">
        <v>1</v>
      </c>
    </row>
    <row r="261" spans="1:46" x14ac:dyDescent="0.2">
      <c r="A261" t="s">
        <v>1243</v>
      </c>
      <c r="B261" t="s">
        <v>1850</v>
      </c>
      <c r="C261" t="s">
        <v>1243</v>
      </c>
      <c r="D261" t="s">
        <v>1355</v>
      </c>
      <c r="E261" t="s">
        <v>1356</v>
      </c>
      <c r="F261" t="s">
        <v>1357</v>
      </c>
      <c r="G261" t="s">
        <v>1355</v>
      </c>
      <c r="H261" t="s">
        <v>1358</v>
      </c>
      <c r="I261" t="s">
        <v>1353</v>
      </c>
      <c r="J261">
        <v>32</v>
      </c>
      <c r="K261">
        <v>330</v>
      </c>
      <c r="L261" t="s">
        <v>1243</v>
      </c>
      <c r="M261" t="s">
        <v>1243</v>
      </c>
      <c r="N261" t="s">
        <v>1355</v>
      </c>
      <c r="O261" t="s">
        <v>1359</v>
      </c>
      <c r="P261">
        <v>1</v>
      </c>
      <c r="Q261">
        <v>1</v>
      </c>
      <c r="R261">
        <v>0</v>
      </c>
      <c r="S261" t="s">
        <v>1355</v>
      </c>
      <c r="T261">
        <v>0</v>
      </c>
      <c r="U261">
        <v>0</v>
      </c>
      <c r="V261">
        <v>0</v>
      </c>
      <c r="W261" t="s">
        <v>1355</v>
      </c>
      <c r="X261" t="s">
        <v>1355</v>
      </c>
      <c r="Y261" t="s">
        <v>1355</v>
      </c>
      <c r="Z261">
        <v>0</v>
      </c>
      <c r="AA261">
        <v>0</v>
      </c>
      <c r="AB261">
        <v>0</v>
      </c>
      <c r="AC261" s="294">
        <v>36161</v>
      </c>
      <c r="AD261" s="294">
        <v>73050</v>
      </c>
      <c r="AE261" s="294">
        <v>41844</v>
      </c>
      <c r="AF261" t="s">
        <v>1358</v>
      </c>
      <c r="AG261">
        <v>0</v>
      </c>
      <c r="AH261" t="s">
        <v>1851</v>
      </c>
      <c r="AI261">
        <v>1</v>
      </c>
      <c r="AJ261">
        <v>1</v>
      </c>
      <c r="AK261">
        <v>0</v>
      </c>
      <c r="AL261">
        <v>1</v>
      </c>
      <c r="AM261" t="s">
        <v>1362</v>
      </c>
      <c r="AN261" t="s">
        <v>1357</v>
      </c>
      <c r="AO261">
        <v>42.015169999999998</v>
      </c>
      <c r="AP261">
        <v>1</v>
      </c>
      <c r="AQ261">
        <v>0</v>
      </c>
      <c r="AR261">
        <v>42.016120000000001</v>
      </c>
      <c r="AS261">
        <v>42.015169999999998</v>
      </c>
      <c r="AT261">
        <v>1</v>
      </c>
    </row>
    <row r="262" spans="1:46" hidden="1" x14ac:dyDescent="0.2">
      <c r="A262" t="s">
        <v>1852</v>
      </c>
      <c r="B262" t="s">
        <v>1853</v>
      </c>
      <c r="C262" t="s">
        <v>1852</v>
      </c>
      <c r="D262" t="s">
        <v>1355</v>
      </c>
      <c r="E262" t="s">
        <v>1356</v>
      </c>
      <c r="F262" t="s">
        <v>1357</v>
      </c>
      <c r="G262" t="s">
        <v>1355</v>
      </c>
      <c r="H262" t="s">
        <v>1367</v>
      </c>
      <c r="I262" t="s">
        <v>1243</v>
      </c>
      <c r="J262">
        <v>1</v>
      </c>
      <c r="K262">
        <v>10</v>
      </c>
      <c r="L262" t="s">
        <v>1852</v>
      </c>
      <c r="M262" t="s">
        <v>1852</v>
      </c>
      <c r="N262" t="s">
        <v>1355</v>
      </c>
      <c r="O262" t="s">
        <v>1359</v>
      </c>
      <c r="P262">
        <v>1</v>
      </c>
      <c r="Q262">
        <v>1</v>
      </c>
      <c r="R262">
        <v>0</v>
      </c>
      <c r="S262" t="s">
        <v>1355</v>
      </c>
      <c r="T262">
        <v>0</v>
      </c>
      <c r="U262">
        <v>0</v>
      </c>
      <c r="V262">
        <v>0</v>
      </c>
      <c r="W262" t="s">
        <v>1355</v>
      </c>
      <c r="X262" t="s">
        <v>1355</v>
      </c>
      <c r="Y262" t="s">
        <v>1355</v>
      </c>
      <c r="Z262">
        <v>0</v>
      </c>
      <c r="AA262">
        <v>0</v>
      </c>
      <c r="AB262">
        <v>0</v>
      </c>
      <c r="AC262" s="294">
        <v>41835</v>
      </c>
      <c r="AD262" s="294">
        <v>73050</v>
      </c>
      <c r="AE262" s="294">
        <v>41835</v>
      </c>
      <c r="AF262" t="s">
        <v>1367</v>
      </c>
      <c r="AG262">
        <v>0</v>
      </c>
      <c r="AH262" t="s">
        <v>1854</v>
      </c>
      <c r="AI262">
        <v>1</v>
      </c>
      <c r="AJ262">
        <v>1</v>
      </c>
      <c r="AK262">
        <v>0</v>
      </c>
      <c r="AL262">
        <v>1</v>
      </c>
      <c r="AM262" t="s">
        <v>1355</v>
      </c>
      <c r="AN262" t="s">
        <v>1357</v>
      </c>
      <c r="AO262">
        <v>35.47</v>
      </c>
      <c r="AP262">
        <v>2</v>
      </c>
      <c r="AQ262">
        <v>0</v>
      </c>
      <c r="AR262">
        <v>35.470910000000003</v>
      </c>
      <c r="AS262">
        <v>35.47</v>
      </c>
      <c r="AT262">
        <v>1</v>
      </c>
    </row>
    <row r="263" spans="1:46" hidden="1" x14ac:dyDescent="0.2">
      <c r="A263" t="s">
        <v>1855</v>
      </c>
      <c r="B263" t="s">
        <v>1856</v>
      </c>
      <c r="C263" t="s">
        <v>1855</v>
      </c>
      <c r="D263" t="s">
        <v>1355</v>
      </c>
      <c r="E263" t="s">
        <v>1356</v>
      </c>
      <c r="F263" t="s">
        <v>1357</v>
      </c>
      <c r="G263" t="s">
        <v>1355</v>
      </c>
      <c r="H263" t="s">
        <v>1367</v>
      </c>
      <c r="I263" t="s">
        <v>1243</v>
      </c>
      <c r="J263">
        <v>2</v>
      </c>
      <c r="K263">
        <v>20</v>
      </c>
      <c r="L263" t="s">
        <v>1855</v>
      </c>
      <c r="M263" t="s">
        <v>1855</v>
      </c>
      <c r="N263" t="s">
        <v>1355</v>
      </c>
      <c r="O263" t="s">
        <v>1359</v>
      </c>
      <c r="P263">
        <v>1</v>
      </c>
      <c r="Q263">
        <v>1</v>
      </c>
      <c r="R263">
        <v>0</v>
      </c>
      <c r="S263" t="s">
        <v>1355</v>
      </c>
      <c r="T263">
        <v>0</v>
      </c>
      <c r="U263">
        <v>0</v>
      </c>
      <c r="V263">
        <v>0</v>
      </c>
      <c r="W263" t="s">
        <v>1355</v>
      </c>
      <c r="X263" t="s">
        <v>1355</v>
      </c>
      <c r="Y263" t="s">
        <v>1355</v>
      </c>
      <c r="Z263">
        <v>0</v>
      </c>
      <c r="AA263">
        <v>0</v>
      </c>
      <c r="AB263">
        <v>0</v>
      </c>
      <c r="AC263" s="294">
        <v>41835</v>
      </c>
      <c r="AD263" s="294">
        <v>73050</v>
      </c>
      <c r="AE263" s="294">
        <v>41835</v>
      </c>
      <c r="AF263" t="s">
        <v>1367</v>
      </c>
      <c r="AG263">
        <v>0</v>
      </c>
      <c r="AH263" t="s">
        <v>1857</v>
      </c>
      <c r="AI263">
        <v>1</v>
      </c>
      <c r="AJ263">
        <v>1</v>
      </c>
      <c r="AK263">
        <v>0</v>
      </c>
      <c r="AL263">
        <v>1</v>
      </c>
      <c r="AM263" t="s">
        <v>1355</v>
      </c>
      <c r="AN263" t="s">
        <v>1357</v>
      </c>
      <c r="AO263">
        <v>6.5385</v>
      </c>
      <c r="AP263">
        <v>2</v>
      </c>
      <c r="AQ263">
        <v>0</v>
      </c>
      <c r="AR263">
        <v>6.5385400000000002</v>
      </c>
      <c r="AS263">
        <v>6.5385</v>
      </c>
      <c r="AT263">
        <v>1</v>
      </c>
    </row>
    <row r="264" spans="1:46" hidden="1" x14ac:dyDescent="0.2">
      <c r="A264" t="s">
        <v>1858</v>
      </c>
      <c r="B264" t="s">
        <v>1859</v>
      </c>
      <c r="C264" t="s">
        <v>1858</v>
      </c>
      <c r="D264" t="s">
        <v>1355</v>
      </c>
      <c r="E264" t="s">
        <v>1356</v>
      </c>
      <c r="F264" t="s">
        <v>1357</v>
      </c>
      <c r="G264" t="s">
        <v>1355</v>
      </c>
      <c r="H264" t="s">
        <v>1367</v>
      </c>
      <c r="I264" t="s">
        <v>1243</v>
      </c>
      <c r="J264">
        <v>3</v>
      </c>
      <c r="K264">
        <v>30</v>
      </c>
      <c r="L264" t="s">
        <v>1858</v>
      </c>
      <c r="M264" t="s">
        <v>1858</v>
      </c>
      <c r="N264" t="s">
        <v>1355</v>
      </c>
      <c r="O264" t="s">
        <v>1359</v>
      </c>
      <c r="P264">
        <v>1</v>
      </c>
      <c r="Q264">
        <v>1</v>
      </c>
      <c r="R264">
        <v>0</v>
      </c>
      <c r="S264" t="s">
        <v>1355</v>
      </c>
      <c r="T264">
        <v>0</v>
      </c>
      <c r="U264">
        <v>0</v>
      </c>
      <c r="V264">
        <v>0</v>
      </c>
      <c r="W264" t="s">
        <v>1355</v>
      </c>
      <c r="X264" t="s">
        <v>1355</v>
      </c>
      <c r="Y264" t="s">
        <v>1355</v>
      </c>
      <c r="Z264">
        <v>0</v>
      </c>
      <c r="AA264">
        <v>0</v>
      </c>
      <c r="AB264">
        <v>0</v>
      </c>
      <c r="AC264" s="294">
        <v>41835</v>
      </c>
      <c r="AD264" s="294">
        <v>73050</v>
      </c>
      <c r="AE264" s="294">
        <v>41835</v>
      </c>
      <c r="AF264" t="s">
        <v>1367</v>
      </c>
      <c r="AG264">
        <v>0</v>
      </c>
      <c r="AH264" t="s">
        <v>1860</v>
      </c>
      <c r="AI264">
        <v>1</v>
      </c>
      <c r="AJ264">
        <v>1</v>
      </c>
      <c r="AK264">
        <v>0</v>
      </c>
      <c r="AL264">
        <v>1</v>
      </c>
      <c r="AM264" t="s">
        <v>1355</v>
      </c>
      <c r="AN264" t="s">
        <v>1357</v>
      </c>
      <c r="AO264">
        <v>6.6699999999999997E-3</v>
      </c>
      <c r="AP264">
        <v>2</v>
      </c>
      <c r="AQ264">
        <v>0</v>
      </c>
      <c r="AR264">
        <v>6.6699999999999997E-3</v>
      </c>
      <c r="AS264">
        <v>6.6699999999999997E-3</v>
      </c>
      <c r="AT264">
        <v>1</v>
      </c>
    </row>
    <row r="265" spans="1:46" x14ac:dyDescent="0.2">
      <c r="A265" t="s">
        <v>1242</v>
      </c>
      <c r="B265" t="s">
        <v>1861</v>
      </c>
      <c r="C265" t="s">
        <v>1242</v>
      </c>
      <c r="D265" t="s">
        <v>1355</v>
      </c>
      <c r="E265" t="s">
        <v>1356</v>
      </c>
      <c r="F265" t="s">
        <v>1357</v>
      </c>
      <c r="G265" t="s">
        <v>1355</v>
      </c>
      <c r="H265" t="s">
        <v>1358</v>
      </c>
      <c r="I265" t="s">
        <v>1353</v>
      </c>
      <c r="J265">
        <v>33</v>
      </c>
      <c r="K265">
        <v>340</v>
      </c>
      <c r="L265" t="s">
        <v>1242</v>
      </c>
      <c r="M265" t="s">
        <v>1242</v>
      </c>
      <c r="N265" t="s">
        <v>1355</v>
      </c>
      <c r="O265" t="s">
        <v>1359</v>
      </c>
      <c r="P265">
        <v>1</v>
      </c>
      <c r="Q265">
        <v>1</v>
      </c>
      <c r="R265">
        <v>0</v>
      </c>
      <c r="S265" t="s">
        <v>1355</v>
      </c>
      <c r="T265">
        <v>0</v>
      </c>
      <c r="U265">
        <v>0</v>
      </c>
      <c r="V265">
        <v>0</v>
      </c>
      <c r="W265" t="s">
        <v>1355</v>
      </c>
      <c r="X265" t="s">
        <v>1355</v>
      </c>
      <c r="Y265" t="s">
        <v>1355</v>
      </c>
      <c r="Z265">
        <v>0</v>
      </c>
      <c r="AA265">
        <v>0</v>
      </c>
      <c r="AB265">
        <v>0</v>
      </c>
      <c r="AC265" s="294">
        <v>36161</v>
      </c>
      <c r="AD265" s="294">
        <v>73050</v>
      </c>
      <c r="AE265" s="294">
        <v>41844</v>
      </c>
      <c r="AF265" t="s">
        <v>1358</v>
      </c>
      <c r="AG265">
        <v>0</v>
      </c>
      <c r="AH265" t="s">
        <v>1862</v>
      </c>
      <c r="AI265">
        <v>1</v>
      </c>
      <c r="AJ265">
        <v>1</v>
      </c>
      <c r="AK265">
        <v>0</v>
      </c>
      <c r="AL265">
        <v>1</v>
      </c>
      <c r="AM265" t="s">
        <v>1362</v>
      </c>
      <c r="AN265" t="s">
        <v>1357</v>
      </c>
      <c r="AO265">
        <v>70.693749999999994</v>
      </c>
      <c r="AP265">
        <v>1</v>
      </c>
      <c r="AQ265">
        <v>0</v>
      </c>
      <c r="AR265">
        <v>70.694239999999994</v>
      </c>
      <c r="AS265">
        <v>70.693749999999994</v>
      </c>
      <c r="AT265">
        <v>1</v>
      </c>
    </row>
    <row r="266" spans="1:46" hidden="1" x14ac:dyDescent="0.2">
      <c r="A266" t="s">
        <v>1863</v>
      </c>
      <c r="B266" t="s">
        <v>1864</v>
      </c>
      <c r="C266" t="s">
        <v>1863</v>
      </c>
      <c r="D266" t="s">
        <v>1355</v>
      </c>
      <c r="E266" t="s">
        <v>1356</v>
      </c>
      <c r="F266" t="s">
        <v>1357</v>
      </c>
      <c r="G266" t="s">
        <v>1355</v>
      </c>
      <c r="H266" t="s">
        <v>1367</v>
      </c>
      <c r="I266" t="s">
        <v>1242</v>
      </c>
      <c r="J266">
        <v>1</v>
      </c>
      <c r="K266">
        <v>10</v>
      </c>
      <c r="L266" t="s">
        <v>1863</v>
      </c>
      <c r="M266" t="s">
        <v>1863</v>
      </c>
      <c r="N266" t="s">
        <v>1355</v>
      </c>
      <c r="O266" t="s">
        <v>1359</v>
      </c>
      <c r="P266">
        <v>1</v>
      </c>
      <c r="Q266">
        <v>1</v>
      </c>
      <c r="R266">
        <v>0</v>
      </c>
      <c r="S266" t="s">
        <v>1355</v>
      </c>
      <c r="T266">
        <v>0</v>
      </c>
      <c r="U266">
        <v>0</v>
      </c>
      <c r="V266">
        <v>0</v>
      </c>
      <c r="W266" t="s">
        <v>1355</v>
      </c>
      <c r="X266" t="s">
        <v>1355</v>
      </c>
      <c r="Y266" t="s">
        <v>1355</v>
      </c>
      <c r="Z266">
        <v>0</v>
      </c>
      <c r="AA266">
        <v>0</v>
      </c>
      <c r="AB266">
        <v>0</v>
      </c>
      <c r="AC266" s="294">
        <v>41835</v>
      </c>
      <c r="AD266" s="294">
        <v>73050</v>
      </c>
      <c r="AE266" s="294">
        <v>41835</v>
      </c>
      <c r="AF266" t="s">
        <v>1367</v>
      </c>
      <c r="AG266">
        <v>0</v>
      </c>
      <c r="AH266" t="s">
        <v>1865</v>
      </c>
      <c r="AI266">
        <v>1</v>
      </c>
      <c r="AJ266">
        <v>1</v>
      </c>
      <c r="AK266">
        <v>0</v>
      </c>
      <c r="AL266">
        <v>1</v>
      </c>
      <c r="AM266" t="s">
        <v>1355</v>
      </c>
      <c r="AN266" t="s">
        <v>1357</v>
      </c>
      <c r="AO266">
        <v>58.56</v>
      </c>
      <c r="AP266">
        <v>2</v>
      </c>
      <c r="AQ266">
        <v>0</v>
      </c>
      <c r="AR266">
        <v>58.56091</v>
      </c>
      <c r="AS266">
        <v>58.56</v>
      </c>
      <c r="AT266">
        <v>1</v>
      </c>
    </row>
    <row r="267" spans="1:46" hidden="1" x14ac:dyDescent="0.2">
      <c r="A267" t="s">
        <v>1866</v>
      </c>
      <c r="B267" t="s">
        <v>1867</v>
      </c>
      <c r="C267" t="s">
        <v>1866</v>
      </c>
      <c r="D267" t="s">
        <v>1355</v>
      </c>
      <c r="E267" t="s">
        <v>1356</v>
      </c>
      <c r="F267" t="s">
        <v>1357</v>
      </c>
      <c r="G267" t="s">
        <v>1355</v>
      </c>
      <c r="H267" t="s">
        <v>1367</v>
      </c>
      <c r="I267" t="s">
        <v>1242</v>
      </c>
      <c r="J267">
        <v>2</v>
      </c>
      <c r="K267">
        <v>20</v>
      </c>
      <c r="L267" t="s">
        <v>1866</v>
      </c>
      <c r="M267" t="s">
        <v>1866</v>
      </c>
      <c r="N267" t="s">
        <v>1355</v>
      </c>
      <c r="O267" t="s">
        <v>1359</v>
      </c>
      <c r="P267">
        <v>1</v>
      </c>
      <c r="Q267">
        <v>1</v>
      </c>
      <c r="R267">
        <v>0</v>
      </c>
      <c r="S267" t="s">
        <v>1355</v>
      </c>
      <c r="T267">
        <v>0</v>
      </c>
      <c r="U267">
        <v>0</v>
      </c>
      <c r="V267">
        <v>0</v>
      </c>
      <c r="W267" t="s">
        <v>1355</v>
      </c>
      <c r="X267" t="s">
        <v>1355</v>
      </c>
      <c r="Y267" t="s">
        <v>1355</v>
      </c>
      <c r="Z267">
        <v>0</v>
      </c>
      <c r="AA267">
        <v>0</v>
      </c>
      <c r="AB267">
        <v>0</v>
      </c>
      <c r="AC267" s="294">
        <v>41835</v>
      </c>
      <c r="AD267" s="294">
        <v>73050</v>
      </c>
      <c r="AE267" s="294">
        <v>41835</v>
      </c>
      <c r="AF267" t="s">
        <v>1367</v>
      </c>
      <c r="AG267">
        <v>0</v>
      </c>
      <c r="AH267" t="s">
        <v>1868</v>
      </c>
      <c r="AI267">
        <v>1</v>
      </c>
      <c r="AJ267">
        <v>1</v>
      </c>
      <c r="AK267">
        <v>0</v>
      </c>
      <c r="AL267">
        <v>1</v>
      </c>
      <c r="AM267" t="s">
        <v>1355</v>
      </c>
      <c r="AN267" t="s">
        <v>1357</v>
      </c>
      <c r="AO267">
        <v>11.35</v>
      </c>
      <c r="AP267">
        <v>2</v>
      </c>
      <c r="AQ267">
        <v>0</v>
      </c>
      <c r="AR267">
        <v>11.35</v>
      </c>
      <c r="AS267">
        <v>11.35</v>
      </c>
      <c r="AT267">
        <v>1</v>
      </c>
    </row>
    <row r="268" spans="1:46" hidden="1" x14ac:dyDescent="0.2">
      <c r="A268" t="s">
        <v>1869</v>
      </c>
      <c r="B268" t="s">
        <v>1870</v>
      </c>
      <c r="C268" t="s">
        <v>1869</v>
      </c>
      <c r="D268" t="s">
        <v>1355</v>
      </c>
      <c r="E268" t="s">
        <v>1356</v>
      </c>
      <c r="F268" t="s">
        <v>1357</v>
      </c>
      <c r="G268" t="s">
        <v>1355</v>
      </c>
      <c r="H268" t="s">
        <v>1367</v>
      </c>
      <c r="I268" t="s">
        <v>1242</v>
      </c>
      <c r="J268">
        <v>3</v>
      </c>
      <c r="K268">
        <v>30</v>
      </c>
      <c r="L268" t="s">
        <v>1869</v>
      </c>
      <c r="M268" t="s">
        <v>1869</v>
      </c>
      <c r="N268" t="s">
        <v>1355</v>
      </c>
      <c r="O268" t="s">
        <v>1359</v>
      </c>
      <c r="P268">
        <v>1</v>
      </c>
      <c r="Q268">
        <v>1</v>
      </c>
      <c r="R268">
        <v>0</v>
      </c>
      <c r="S268" t="s">
        <v>1355</v>
      </c>
      <c r="T268">
        <v>0</v>
      </c>
      <c r="U268">
        <v>0</v>
      </c>
      <c r="V268">
        <v>0</v>
      </c>
      <c r="W268" t="s">
        <v>1355</v>
      </c>
      <c r="X268" t="s">
        <v>1355</v>
      </c>
      <c r="Y268" t="s">
        <v>1355</v>
      </c>
      <c r="Z268">
        <v>0</v>
      </c>
      <c r="AA268">
        <v>0</v>
      </c>
      <c r="AB268">
        <v>0</v>
      </c>
      <c r="AC268" s="294">
        <v>41835</v>
      </c>
      <c r="AD268" s="294">
        <v>73050</v>
      </c>
      <c r="AE268" s="294">
        <v>41835</v>
      </c>
      <c r="AF268" t="s">
        <v>1367</v>
      </c>
      <c r="AG268">
        <v>0</v>
      </c>
      <c r="AH268" t="s">
        <v>1871</v>
      </c>
      <c r="AI268">
        <v>1</v>
      </c>
      <c r="AJ268">
        <v>1</v>
      </c>
      <c r="AK268">
        <v>0</v>
      </c>
      <c r="AL268">
        <v>1</v>
      </c>
      <c r="AM268" t="s">
        <v>1355</v>
      </c>
      <c r="AN268" t="s">
        <v>1357</v>
      </c>
      <c r="AO268">
        <v>0.78374999999999995</v>
      </c>
      <c r="AP268">
        <v>2</v>
      </c>
      <c r="AQ268">
        <v>0</v>
      </c>
      <c r="AR268">
        <v>0.78332999999999997</v>
      </c>
      <c r="AS268">
        <v>0.78374999999999995</v>
      </c>
      <c r="AT268">
        <v>1</v>
      </c>
    </row>
    <row r="269" spans="1:46" x14ac:dyDescent="0.2">
      <c r="A269" t="s">
        <v>1244</v>
      </c>
      <c r="B269" t="s">
        <v>1872</v>
      </c>
      <c r="C269" t="s">
        <v>1244</v>
      </c>
      <c r="D269" t="s">
        <v>1355</v>
      </c>
      <c r="E269" t="s">
        <v>1356</v>
      </c>
      <c r="F269" t="s">
        <v>1357</v>
      </c>
      <c r="G269" t="s">
        <v>1355</v>
      </c>
      <c r="H269" t="s">
        <v>1358</v>
      </c>
      <c r="I269" t="s">
        <v>1353</v>
      </c>
      <c r="J269">
        <v>34</v>
      </c>
      <c r="K269">
        <v>350</v>
      </c>
      <c r="L269" t="s">
        <v>1244</v>
      </c>
      <c r="M269" t="s">
        <v>1244</v>
      </c>
      <c r="N269" t="s">
        <v>1355</v>
      </c>
      <c r="O269" t="s">
        <v>1359</v>
      </c>
      <c r="P269">
        <v>1</v>
      </c>
      <c r="Q269">
        <v>1</v>
      </c>
      <c r="R269">
        <v>0</v>
      </c>
      <c r="S269" t="s">
        <v>1355</v>
      </c>
      <c r="T269">
        <v>0</v>
      </c>
      <c r="U269">
        <v>0</v>
      </c>
      <c r="V269">
        <v>0</v>
      </c>
      <c r="W269" t="s">
        <v>1355</v>
      </c>
      <c r="X269" t="s">
        <v>1355</v>
      </c>
      <c r="Y269" t="s">
        <v>1355</v>
      </c>
      <c r="Z269">
        <v>0</v>
      </c>
      <c r="AA269">
        <v>0</v>
      </c>
      <c r="AB269">
        <v>0</v>
      </c>
      <c r="AC269" s="294">
        <v>36161</v>
      </c>
      <c r="AD269" s="294">
        <v>73050</v>
      </c>
      <c r="AE269" s="294">
        <v>41844</v>
      </c>
      <c r="AF269" t="s">
        <v>1358</v>
      </c>
      <c r="AG269">
        <v>0</v>
      </c>
      <c r="AH269" t="s">
        <v>1873</v>
      </c>
      <c r="AI269">
        <v>1</v>
      </c>
      <c r="AJ269">
        <v>1</v>
      </c>
      <c r="AK269">
        <v>0</v>
      </c>
      <c r="AL269">
        <v>1</v>
      </c>
      <c r="AM269" t="s">
        <v>1362</v>
      </c>
      <c r="AN269" t="s">
        <v>1357</v>
      </c>
      <c r="AO269">
        <v>106.24</v>
      </c>
      <c r="AP269">
        <v>1</v>
      </c>
      <c r="AQ269">
        <v>0</v>
      </c>
      <c r="AR269">
        <v>104.455</v>
      </c>
      <c r="AS269">
        <v>106.24</v>
      </c>
      <c r="AT269">
        <v>1</v>
      </c>
    </row>
    <row r="270" spans="1:46" hidden="1" x14ac:dyDescent="0.2">
      <c r="A270" t="s">
        <v>1874</v>
      </c>
      <c r="B270" t="s">
        <v>1875</v>
      </c>
      <c r="C270" t="s">
        <v>1874</v>
      </c>
      <c r="D270" t="s">
        <v>1355</v>
      </c>
      <c r="E270" t="s">
        <v>1356</v>
      </c>
      <c r="F270" t="s">
        <v>1357</v>
      </c>
      <c r="G270" t="s">
        <v>1355</v>
      </c>
      <c r="H270" t="s">
        <v>1367</v>
      </c>
      <c r="I270" t="s">
        <v>1244</v>
      </c>
      <c r="J270">
        <v>1</v>
      </c>
      <c r="K270">
        <v>10</v>
      </c>
      <c r="L270" t="s">
        <v>1874</v>
      </c>
      <c r="M270" t="s">
        <v>1874</v>
      </c>
      <c r="N270" t="s">
        <v>1355</v>
      </c>
      <c r="O270" t="s">
        <v>1359</v>
      </c>
      <c r="P270">
        <v>1</v>
      </c>
      <c r="Q270">
        <v>1</v>
      </c>
      <c r="R270">
        <v>0</v>
      </c>
      <c r="S270" t="s">
        <v>1355</v>
      </c>
      <c r="T270">
        <v>0</v>
      </c>
      <c r="U270">
        <v>0</v>
      </c>
      <c r="V270">
        <v>0</v>
      </c>
      <c r="W270" t="s">
        <v>1355</v>
      </c>
      <c r="X270" t="s">
        <v>1355</v>
      </c>
      <c r="Y270" t="s">
        <v>1355</v>
      </c>
      <c r="Z270">
        <v>0</v>
      </c>
      <c r="AA270">
        <v>0</v>
      </c>
      <c r="AB270">
        <v>0</v>
      </c>
      <c r="AC270" s="294">
        <v>41835</v>
      </c>
      <c r="AD270" s="294">
        <v>73050</v>
      </c>
      <c r="AE270" s="294">
        <v>41835</v>
      </c>
      <c r="AF270" t="s">
        <v>1367</v>
      </c>
      <c r="AG270">
        <v>0</v>
      </c>
      <c r="AH270" t="s">
        <v>1876</v>
      </c>
      <c r="AI270">
        <v>1</v>
      </c>
      <c r="AJ270">
        <v>1</v>
      </c>
      <c r="AK270">
        <v>0</v>
      </c>
      <c r="AL270">
        <v>1</v>
      </c>
      <c r="AM270" t="s">
        <v>1355</v>
      </c>
      <c r="AN270" t="s">
        <v>1357</v>
      </c>
      <c r="AO270">
        <v>67.52</v>
      </c>
      <c r="AP270">
        <v>2</v>
      </c>
      <c r="AQ270">
        <v>0</v>
      </c>
      <c r="AR270">
        <v>67.52</v>
      </c>
      <c r="AS270">
        <v>67.52</v>
      </c>
      <c r="AT270">
        <v>1</v>
      </c>
    </row>
    <row r="271" spans="1:46" hidden="1" x14ac:dyDescent="0.2">
      <c r="A271" t="s">
        <v>1877</v>
      </c>
      <c r="B271" t="s">
        <v>1878</v>
      </c>
      <c r="C271" t="s">
        <v>1877</v>
      </c>
      <c r="D271" t="s">
        <v>1355</v>
      </c>
      <c r="E271" t="s">
        <v>1356</v>
      </c>
      <c r="F271" t="s">
        <v>1357</v>
      </c>
      <c r="G271" t="s">
        <v>1355</v>
      </c>
      <c r="H271" t="s">
        <v>1367</v>
      </c>
      <c r="I271" t="s">
        <v>1244</v>
      </c>
      <c r="J271">
        <v>2</v>
      </c>
      <c r="K271">
        <v>20</v>
      </c>
      <c r="L271" t="s">
        <v>1877</v>
      </c>
      <c r="M271" t="s">
        <v>1877</v>
      </c>
      <c r="N271" t="s">
        <v>1355</v>
      </c>
      <c r="O271" t="s">
        <v>1359</v>
      </c>
      <c r="P271">
        <v>1</v>
      </c>
      <c r="Q271">
        <v>1</v>
      </c>
      <c r="R271">
        <v>0</v>
      </c>
      <c r="S271" t="s">
        <v>1355</v>
      </c>
      <c r="T271">
        <v>0</v>
      </c>
      <c r="U271">
        <v>0</v>
      </c>
      <c r="V271">
        <v>0</v>
      </c>
      <c r="W271" t="s">
        <v>1355</v>
      </c>
      <c r="X271" t="s">
        <v>1355</v>
      </c>
      <c r="Y271" t="s">
        <v>1355</v>
      </c>
      <c r="Z271">
        <v>0</v>
      </c>
      <c r="AA271">
        <v>0</v>
      </c>
      <c r="AB271">
        <v>0</v>
      </c>
      <c r="AC271" s="294">
        <v>41835</v>
      </c>
      <c r="AD271" s="294">
        <v>73050</v>
      </c>
      <c r="AE271" s="294">
        <v>41835</v>
      </c>
      <c r="AF271" t="s">
        <v>1367</v>
      </c>
      <c r="AG271">
        <v>0</v>
      </c>
      <c r="AH271" t="s">
        <v>1879</v>
      </c>
      <c r="AI271">
        <v>1</v>
      </c>
      <c r="AJ271">
        <v>1</v>
      </c>
      <c r="AK271">
        <v>0</v>
      </c>
      <c r="AL271">
        <v>1</v>
      </c>
      <c r="AM271" t="s">
        <v>1355</v>
      </c>
      <c r="AN271" t="s">
        <v>1357</v>
      </c>
      <c r="AO271">
        <v>30.4</v>
      </c>
      <c r="AP271">
        <v>2</v>
      </c>
      <c r="AQ271">
        <v>0</v>
      </c>
      <c r="AR271">
        <v>28.614999999999998</v>
      </c>
      <c r="AS271">
        <v>30.4</v>
      </c>
      <c r="AT271">
        <v>1</v>
      </c>
    </row>
    <row r="272" spans="1:46" hidden="1" x14ac:dyDescent="0.2">
      <c r="A272" t="s">
        <v>1880</v>
      </c>
      <c r="B272" t="s">
        <v>1881</v>
      </c>
      <c r="C272" t="s">
        <v>1880</v>
      </c>
      <c r="D272" t="s">
        <v>1355</v>
      </c>
      <c r="E272" t="s">
        <v>1356</v>
      </c>
      <c r="F272" t="s">
        <v>1357</v>
      </c>
      <c r="G272" t="s">
        <v>1355</v>
      </c>
      <c r="H272" t="s">
        <v>1367</v>
      </c>
      <c r="I272" t="s">
        <v>1244</v>
      </c>
      <c r="J272">
        <v>3</v>
      </c>
      <c r="K272">
        <v>30</v>
      </c>
      <c r="L272" t="s">
        <v>1880</v>
      </c>
      <c r="M272" t="s">
        <v>1880</v>
      </c>
      <c r="N272" t="s">
        <v>1355</v>
      </c>
      <c r="O272" t="s">
        <v>1359</v>
      </c>
      <c r="P272">
        <v>1</v>
      </c>
      <c r="Q272">
        <v>1</v>
      </c>
      <c r="R272">
        <v>0</v>
      </c>
      <c r="S272" t="s">
        <v>1355</v>
      </c>
      <c r="T272">
        <v>0</v>
      </c>
      <c r="U272">
        <v>0</v>
      </c>
      <c r="V272">
        <v>0</v>
      </c>
      <c r="W272" t="s">
        <v>1355</v>
      </c>
      <c r="X272" t="s">
        <v>1355</v>
      </c>
      <c r="Y272" t="s">
        <v>1355</v>
      </c>
      <c r="Z272">
        <v>0</v>
      </c>
      <c r="AA272">
        <v>0</v>
      </c>
      <c r="AB272">
        <v>0</v>
      </c>
      <c r="AC272" s="294">
        <v>41835</v>
      </c>
      <c r="AD272" s="294">
        <v>73050</v>
      </c>
      <c r="AE272" s="294">
        <v>41835</v>
      </c>
      <c r="AF272" t="s">
        <v>1367</v>
      </c>
      <c r="AG272">
        <v>0</v>
      </c>
      <c r="AH272" t="s">
        <v>1882</v>
      </c>
      <c r="AI272">
        <v>1</v>
      </c>
      <c r="AJ272">
        <v>1</v>
      </c>
      <c r="AK272">
        <v>0</v>
      </c>
      <c r="AL272">
        <v>1</v>
      </c>
      <c r="AM272" t="s">
        <v>1355</v>
      </c>
      <c r="AN272" t="s">
        <v>1357</v>
      </c>
      <c r="AO272">
        <v>8.32</v>
      </c>
      <c r="AP272">
        <v>2</v>
      </c>
      <c r="AQ272">
        <v>0</v>
      </c>
      <c r="AR272">
        <v>8.32</v>
      </c>
      <c r="AS272">
        <v>8.32</v>
      </c>
      <c r="AT272">
        <v>1</v>
      </c>
    </row>
    <row r="273" spans="1:46" x14ac:dyDescent="0.2">
      <c r="A273" t="s">
        <v>1245</v>
      </c>
      <c r="B273" t="s">
        <v>1883</v>
      </c>
      <c r="C273" t="s">
        <v>1245</v>
      </c>
      <c r="D273" t="s">
        <v>1355</v>
      </c>
      <c r="E273" t="s">
        <v>1356</v>
      </c>
      <c r="F273" t="s">
        <v>1357</v>
      </c>
      <c r="G273" t="s">
        <v>1355</v>
      </c>
      <c r="H273" t="s">
        <v>1358</v>
      </c>
      <c r="I273" t="s">
        <v>1353</v>
      </c>
      <c r="J273">
        <v>35</v>
      </c>
      <c r="K273">
        <v>360</v>
      </c>
      <c r="L273" t="s">
        <v>1245</v>
      </c>
      <c r="M273" t="s">
        <v>1245</v>
      </c>
      <c r="N273" t="s">
        <v>1355</v>
      </c>
      <c r="O273" t="s">
        <v>1359</v>
      </c>
      <c r="P273">
        <v>1</v>
      </c>
      <c r="Q273">
        <v>1</v>
      </c>
      <c r="R273">
        <v>0</v>
      </c>
      <c r="S273" t="s">
        <v>1355</v>
      </c>
      <c r="T273">
        <v>0</v>
      </c>
      <c r="U273">
        <v>0</v>
      </c>
      <c r="V273">
        <v>0</v>
      </c>
      <c r="W273" t="s">
        <v>1355</v>
      </c>
      <c r="X273" t="s">
        <v>1355</v>
      </c>
      <c r="Y273" t="s">
        <v>1355</v>
      </c>
      <c r="Z273">
        <v>0</v>
      </c>
      <c r="AA273">
        <v>0</v>
      </c>
      <c r="AB273">
        <v>0</v>
      </c>
      <c r="AC273" s="294">
        <v>36161</v>
      </c>
      <c r="AD273" s="294">
        <v>73050</v>
      </c>
      <c r="AE273" s="294">
        <v>41844</v>
      </c>
      <c r="AF273" t="s">
        <v>1358</v>
      </c>
      <c r="AG273">
        <v>0</v>
      </c>
      <c r="AH273" t="s">
        <v>1884</v>
      </c>
      <c r="AI273">
        <v>1</v>
      </c>
      <c r="AJ273">
        <v>1</v>
      </c>
      <c r="AK273">
        <v>0</v>
      </c>
      <c r="AL273">
        <v>1</v>
      </c>
      <c r="AM273" t="s">
        <v>1362</v>
      </c>
      <c r="AN273" t="s">
        <v>1357</v>
      </c>
      <c r="AO273">
        <v>121.6</v>
      </c>
      <c r="AP273">
        <v>1</v>
      </c>
      <c r="AQ273">
        <v>0</v>
      </c>
      <c r="AR273">
        <v>110.08</v>
      </c>
      <c r="AS273">
        <v>121.6</v>
      </c>
      <c r="AT273">
        <v>1</v>
      </c>
    </row>
    <row r="274" spans="1:46" hidden="1" x14ac:dyDescent="0.2">
      <c r="A274" t="s">
        <v>1885</v>
      </c>
      <c r="B274" t="s">
        <v>1886</v>
      </c>
      <c r="C274" t="s">
        <v>1885</v>
      </c>
      <c r="D274" t="s">
        <v>1355</v>
      </c>
      <c r="E274" t="s">
        <v>1356</v>
      </c>
      <c r="F274" t="s">
        <v>1357</v>
      </c>
      <c r="G274" t="s">
        <v>1355</v>
      </c>
      <c r="H274" t="s">
        <v>1367</v>
      </c>
      <c r="I274" t="s">
        <v>1245</v>
      </c>
      <c r="J274">
        <v>1</v>
      </c>
      <c r="K274">
        <v>10</v>
      </c>
      <c r="L274" t="s">
        <v>1885</v>
      </c>
      <c r="M274" t="s">
        <v>1885</v>
      </c>
      <c r="N274" t="s">
        <v>1355</v>
      </c>
      <c r="O274" t="s">
        <v>1359</v>
      </c>
      <c r="P274">
        <v>1</v>
      </c>
      <c r="Q274">
        <v>1</v>
      </c>
      <c r="R274">
        <v>0</v>
      </c>
      <c r="S274" t="s">
        <v>1355</v>
      </c>
      <c r="T274">
        <v>0</v>
      </c>
      <c r="U274">
        <v>0</v>
      </c>
      <c r="V274">
        <v>0</v>
      </c>
      <c r="W274" t="s">
        <v>1355</v>
      </c>
      <c r="X274" t="s">
        <v>1355</v>
      </c>
      <c r="Y274" t="s">
        <v>1355</v>
      </c>
      <c r="Z274">
        <v>0</v>
      </c>
      <c r="AA274">
        <v>0</v>
      </c>
      <c r="AB274">
        <v>0</v>
      </c>
      <c r="AC274" s="294">
        <v>41835</v>
      </c>
      <c r="AD274" s="294">
        <v>73050</v>
      </c>
      <c r="AE274" s="294">
        <v>41835</v>
      </c>
      <c r="AF274" t="s">
        <v>1367</v>
      </c>
      <c r="AG274">
        <v>0</v>
      </c>
      <c r="AH274" t="s">
        <v>1887</v>
      </c>
      <c r="AI274">
        <v>1</v>
      </c>
      <c r="AJ274">
        <v>1</v>
      </c>
      <c r="AK274">
        <v>0</v>
      </c>
      <c r="AL274">
        <v>1</v>
      </c>
      <c r="AM274" t="s">
        <v>1355</v>
      </c>
      <c r="AN274" t="s">
        <v>1357</v>
      </c>
      <c r="AO274">
        <v>82.88</v>
      </c>
      <c r="AP274">
        <v>2</v>
      </c>
      <c r="AQ274">
        <v>0</v>
      </c>
      <c r="AR274">
        <v>73.144999999999996</v>
      </c>
      <c r="AS274">
        <v>82.88</v>
      </c>
      <c r="AT274">
        <v>1</v>
      </c>
    </row>
    <row r="275" spans="1:46" hidden="1" x14ac:dyDescent="0.2">
      <c r="A275" t="s">
        <v>1877</v>
      </c>
      <c r="B275" t="s">
        <v>1878</v>
      </c>
      <c r="C275" t="s">
        <v>1877</v>
      </c>
      <c r="D275" t="s">
        <v>1355</v>
      </c>
      <c r="E275" t="s">
        <v>1356</v>
      </c>
      <c r="F275" t="s">
        <v>1357</v>
      </c>
      <c r="G275" t="s">
        <v>1355</v>
      </c>
      <c r="H275" t="s">
        <v>1367</v>
      </c>
      <c r="I275" t="s">
        <v>1245</v>
      </c>
      <c r="J275">
        <v>2</v>
      </c>
      <c r="K275">
        <v>20</v>
      </c>
      <c r="L275" t="s">
        <v>1877</v>
      </c>
      <c r="M275" t="s">
        <v>1877</v>
      </c>
      <c r="N275" t="s">
        <v>1355</v>
      </c>
      <c r="O275" t="s">
        <v>1359</v>
      </c>
      <c r="P275">
        <v>1</v>
      </c>
      <c r="Q275">
        <v>1</v>
      </c>
      <c r="R275">
        <v>0</v>
      </c>
      <c r="S275" t="s">
        <v>1355</v>
      </c>
      <c r="T275">
        <v>0</v>
      </c>
      <c r="U275">
        <v>0</v>
      </c>
      <c r="V275">
        <v>0</v>
      </c>
      <c r="W275" t="s">
        <v>1355</v>
      </c>
      <c r="X275" t="s">
        <v>1355</v>
      </c>
      <c r="Y275" t="s">
        <v>1355</v>
      </c>
      <c r="Z275">
        <v>0</v>
      </c>
      <c r="AA275">
        <v>0</v>
      </c>
      <c r="AB275">
        <v>0</v>
      </c>
      <c r="AC275" s="294">
        <v>41835</v>
      </c>
      <c r="AD275" s="294">
        <v>73050</v>
      </c>
      <c r="AE275" s="294">
        <v>41835</v>
      </c>
      <c r="AF275" t="s">
        <v>1367</v>
      </c>
      <c r="AG275">
        <v>0</v>
      </c>
      <c r="AH275" t="s">
        <v>1888</v>
      </c>
      <c r="AI275">
        <v>1</v>
      </c>
      <c r="AJ275">
        <v>1</v>
      </c>
      <c r="AK275">
        <v>0</v>
      </c>
      <c r="AL275">
        <v>1</v>
      </c>
      <c r="AM275" t="s">
        <v>1355</v>
      </c>
      <c r="AN275" t="s">
        <v>1357</v>
      </c>
      <c r="AO275">
        <v>30.4</v>
      </c>
      <c r="AP275">
        <v>2</v>
      </c>
      <c r="AQ275">
        <v>0</v>
      </c>
      <c r="AR275">
        <v>28.614999999999998</v>
      </c>
      <c r="AS275">
        <v>30.4</v>
      </c>
      <c r="AT275">
        <v>1</v>
      </c>
    </row>
    <row r="276" spans="1:46" hidden="1" x14ac:dyDescent="0.2">
      <c r="A276" t="s">
        <v>1880</v>
      </c>
      <c r="B276" t="s">
        <v>1881</v>
      </c>
      <c r="C276" t="s">
        <v>1880</v>
      </c>
      <c r="D276" t="s">
        <v>1355</v>
      </c>
      <c r="E276" t="s">
        <v>1356</v>
      </c>
      <c r="F276" t="s">
        <v>1357</v>
      </c>
      <c r="G276" t="s">
        <v>1355</v>
      </c>
      <c r="H276" t="s">
        <v>1367</v>
      </c>
      <c r="I276" t="s">
        <v>1245</v>
      </c>
      <c r="J276">
        <v>3</v>
      </c>
      <c r="K276">
        <v>30</v>
      </c>
      <c r="L276" t="s">
        <v>1880</v>
      </c>
      <c r="M276" t="s">
        <v>1880</v>
      </c>
      <c r="N276" t="s">
        <v>1355</v>
      </c>
      <c r="O276" t="s">
        <v>1359</v>
      </c>
      <c r="P276">
        <v>1</v>
      </c>
      <c r="Q276">
        <v>1</v>
      </c>
      <c r="R276">
        <v>0</v>
      </c>
      <c r="S276" t="s">
        <v>1355</v>
      </c>
      <c r="T276">
        <v>0</v>
      </c>
      <c r="U276">
        <v>0</v>
      </c>
      <c r="V276">
        <v>0</v>
      </c>
      <c r="W276" t="s">
        <v>1355</v>
      </c>
      <c r="X276" t="s">
        <v>1355</v>
      </c>
      <c r="Y276" t="s">
        <v>1355</v>
      </c>
      <c r="Z276">
        <v>0</v>
      </c>
      <c r="AA276">
        <v>0</v>
      </c>
      <c r="AB276">
        <v>0</v>
      </c>
      <c r="AC276" s="294">
        <v>41835</v>
      </c>
      <c r="AD276" s="294">
        <v>73050</v>
      </c>
      <c r="AE276" s="294">
        <v>41835</v>
      </c>
      <c r="AF276" t="s">
        <v>1367</v>
      </c>
      <c r="AG276">
        <v>0</v>
      </c>
      <c r="AH276" t="s">
        <v>1889</v>
      </c>
      <c r="AI276">
        <v>1</v>
      </c>
      <c r="AJ276">
        <v>1</v>
      </c>
      <c r="AK276">
        <v>0</v>
      </c>
      <c r="AL276">
        <v>1</v>
      </c>
      <c r="AM276" t="s">
        <v>1355</v>
      </c>
      <c r="AN276" t="s">
        <v>1357</v>
      </c>
      <c r="AO276">
        <v>8.32</v>
      </c>
      <c r="AP276">
        <v>2</v>
      </c>
      <c r="AQ276">
        <v>0</v>
      </c>
      <c r="AR276">
        <v>8.32</v>
      </c>
      <c r="AS276">
        <v>8.32</v>
      </c>
      <c r="AT276">
        <v>1</v>
      </c>
    </row>
    <row r="277" spans="1:46" x14ac:dyDescent="0.2">
      <c r="A277" t="s">
        <v>1246</v>
      </c>
      <c r="B277" t="s">
        <v>1890</v>
      </c>
      <c r="C277" t="s">
        <v>1246</v>
      </c>
      <c r="D277" t="s">
        <v>1355</v>
      </c>
      <c r="E277" t="s">
        <v>1356</v>
      </c>
      <c r="F277" t="s">
        <v>1357</v>
      </c>
      <c r="G277" t="s">
        <v>1355</v>
      </c>
      <c r="H277" t="s">
        <v>1358</v>
      </c>
      <c r="I277" t="s">
        <v>1353</v>
      </c>
      <c r="J277">
        <v>36</v>
      </c>
      <c r="K277">
        <v>370</v>
      </c>
      <c r="L277" t="s">
        <v>1246</v>
      </c>
      <c r="M277" t="s">
        <v>1246</v>
      </c>
      <c r="N277" t="s">
        <v>1355</v>
      </c>
      <c r="O277" t="s">
        <v>1359</v>
      </c>
      <c r="P277">
        <v>1</v>
      </c>
      <c r="Q277">
        <v>1</v>
      </c>
      <c r="R277">
        <v>0</v>
      </c>
      <c r="S277" t="s">
        <v>1355</v>
      </c>
      <c r="T277">
        <v>0</v>
      </c>
      <c r="U277">
        <v>0</v>
      </c>
      <c r="V277">
        <v>0</v>
      </c>
      <c r="W277" t="s">
        <v>1355</v>
      </c>
      <c r="X277" t="s">
        <v>1355</v>
      </c>
      <c r="Y277" t="s">
        <v>1355</v>
      </c>
      <c r="Z277">
        <v>0</v>
      </c>
      <c r="AA277">
        <v>0</v>
      </c>
      <c r="AB277">
        <v>0</v>
      </c>
      <c r="AC277" s="294">
        <v>36161</v>
      </c>
      <c r="AD277" s="294">
        <v>73050</v>
      </c>
      <c r="AE277" s="294">
        <v>41844</v>
      </c>
      <c r="AF277" t="s">
        <v>1358</v>
      </c>
      <c r="AG277">
        <v>0</v>
      </c>
      <c r="AH277" t="s">
        <v>1891</v>
      </c>
      <c r="AI277">
        <v>1</v>
      </c>
      <c r="AJ277">
        <v>1</v>
      </c>
      <c r="AK277">
        <v>0</v>
      </c>
      <c r="AL277">
        <v>1</v>
      </c>
      <c r="AM277" t="s">
        <v>1362</v>
      </c>
      <c r="AN277" t="s">
        <v>1357</v>
      </c>
      <c r="AO277">
        <v>147.14667</v>
      </c>
      <c r="AP277">
        <v>1</v>
      </c>
      <c r="AQ277">
        <v>0</v>
      </c>
      <c r="AR277">
        <v>168.57042000000001</v>
      </c>
      <c r="AS277">
        <v>147.14667</v>
      </c>
      <c r="AT277">
        <v>1</v>
      </c>
    </row>
    <row r="278" spans="1:46" hidden="1" x14ac:dyDescent="0.2">
      <c r="A278" t="s">
        <v>1892</v>
      </c>
      <c r="B278" t="s">
        <v>1893</v>
      </c>
      <c r="C278" t="s">
        <v>1892</v>
      </c>
      <c r="D278" t="s">
        <v>1355</v>
      </c>
      <c r="E278" t="s">
        <v>1356</v>
      </c>
      <c r="F278" t="s">
        <v>1357</v>
      </c>
      <c r="G278" t="s">
        <v>1355</v>
      </c>
      <c r="H278" t="s">
        <v>1367</v>
      </c>
      <c r="I278" t="s">
        <v>1246</v>
      </c>
      <c r="J278">
        <v>1</v>
      </c>
      <c r="K278">
        <v>10</v>
      </c>
      <c r="L278" t="s">
        <v>1892</v>
      </c>
      <c r="M278" t="s">
        <v>1892</v>
      </c>
      <c r="N278" t="s">
        <v>1355</v>
      </c>
      <c r="O278" t="s">
        <v>1359</v>
      </c>
      <c r="P278">
        <v>1</v>
      </c>
      <c r="Q278">
        <v>1</v>
      </c>
      <c r="R278">
        <v>0</v>
      </c>
      <c r="S278" t="s">
        <v>1355</v>
      </c>
      <c r="T278">
        <v>0</v>
      </c>
      <c r="U278">
        <v>0</v>
      </c>
      <c r="V278">
        <v>0</v>
      </c>
      <c r="W278" t="s">
        <v>1355</v>
      </c>
      <c r="X278" t="s">
        <v>1355</v>
      </c>
      <c r="Y278" t="s">
        <v>1355</v>
      </c>
      <c r="Z278">
        <v>0</v>
      </c>
      <c r="AA278">
        <v>0</v>
      </c>
      <c r="AB278">
        <v>0</v>
      </c>
      <c r="AC278" s="294">
        <v>41835</v>
      </c>
      <c r="AD278" s="294">
        <v>73050</v>
      </c>
      <c r="AE278" s="294">
        <v>41835</v>
      </c>
      <c r="AF278" t="s">
        <v>1367</v>
      </c>
      <c r="AG278">
        <v>0</v>
      </c>
      <c r="AH278" t="s">
        <v>1894</v>
      </c>
      <c r="AI278">
        <v>1</v>
      </c>
      <c r="AJ278">
        <v>1</v>
      </c>
      <c r="AK278">
        <v>0</v>
      </c>
      <c r="AL278">
        <v>1</v>
      </c>
      <c r="AM278" t="s">
        <v>1355</v>
      </c>
      <c r="AN278" t="s">
        <v>1357</v>
      </c>
      <c r="AO278">
        <v>99.65</v>
      </c>
      <c r="AP278">
        <v>2</v>
      </c>
      <c r="AQ278">
        <v>0</v>
      </c>
      <c r="AR278">
        <v>114.30374999999999</v>
      </c>
      <c r="AS278">
        <v>99.65</v>
      </c>
      <c r="AT278">
        <v>1</v>
      </c>
    </row>
    <row r="279" spans="1:46" hidden="1" x14ac:dyDescent="0.2">
      <c r="A279" t="s">
        <v>1895</v>
      </c>
      <c r="B279" t="s">
        <v>1896</v>
      </c>
      <c r="C279" t="s">
        <v>1895</v>
      </c>
      <c r="D279" t="s">
        <v>1355</v>
      </c>
      <c r="E279" t="s">
        <v>1356</v>
      </c>
      <c r="F279" t="s">
        <v>1357</v>
      </c>
      <c r="G279" t="s">
        <v>1355</v>
      </c>
      <c r="H279" t="s">
        <v>1367</v>
      </c>
      <c r="I279" t="s">
        <v>1246</v>
      </c>
      <c r="J279">
        <v>2</v>
      </c>
      <c r="K279">
        <v>20</v>
      </c>
      <c r="L279" t="s">
        <v>1895</v>
      </c>
      <c r="M279" t="s">
        <v>1895</v>
      </c>
      <c r="N279" t="s">
        <v>1355</v>
      </c>
      <c r="O279" t="s">
        <v>1359</v>
      </c>
      <c r="P279">
        <v>1</v>
      </c>
      <c r="Q279">
        <v>1</v>
      </c>
      <c r="R279">
        <v>0</v>
      </c>
      <c r="S279" t="s">
        <v>1355</v>
      </c>
      <c r="T279">
        <v>0</v>
      </c>
      <c r="U279">
        <v>0</v>
      </c>
      <c r="V279">
        <v>0</v>
      </c>
      <c r="W279" t="s">
        <v>1355</v>
      </c>
      <c r="X279" t="s">
        <v>1355</v>
      </c>
      <c r="Y279" t="s">
        <v>1355</v>
      </c>
      <c r="Z279">
        <v>0</v>
      </c>
      <c r="AA279">
        <v>0</v>
      </c>
      <c r="AB279">
        <v>0</v>
      </c>
      <c r="AC279" s="294">
        <v>41835</v>
      </c>
      <c r="AD279" s="294">
        <v>73050</v>
      </c>
      <c r="AE279" s="294">
        <v>41835</v>
      </c>
      <c r="AF279" t="s">
        <v>1367</v>
      </c>
      <c r="AG279">
        <v>0</v>
      </c>
      <c r="AH279" t="s">
        <v>1897</v>
      </c>
      <c r="AI279">
        <v>1</v>
      </c>
      <c r="AJ279">
        <v>1</v>
      </c>
      <c r="AK279">
        <v>0</v>
      </c>
      <c r="AL279">
        <v>1</v>
      </c>
      <c r="AM279" t="s">
        <v>1355</v>
      </c>
      <c r="AN279" t="s">
        <v>1357</v>
      </c>
      <c r="AO279">
        <v>27.42</v>
      </c>
      <c r="AP279">
        <v>2</v>
      </c>
      <c r="AQ279">
        <v>0</v>
      </c>
      <c r="AR279">
        <v>32.82</v>
      </c>
      <c r="AS279">
        <v>27.42</v>
      </c>
      <c r="AT279">
        <v>1</v>
      </c>
    </row>
    <row r="280" spans="1:46" hidden="1" x14ac:dyDescent="0.2">
      <c r="A280" t="s">
        <v>1898</v>
      </c>
      <c r="B280" t="s">
        <v>1899</v>
      </c>
      <c r="C280" t="s">
        <v>1898</v>
      </c>
      <c r="D280" t="s">
        <v>1355</v>
      </c>
      <c r="E280" t="s">
        <v>1356</v>
      </c>
      <c r="F280" t="s">
        <v>1357</v>
      </c>
      <c r="G280" t="s">
        <v>1355</v>
      </c>
      <c r="H280" t="s">
        <v>1367</v>
      </c>
      <c r="I280" t="s">
        <v>1246</v>
      </c>
      <c r="J280">
        <v>3</v>
      </c>
      <c r="K280">
        <v>30</v>
      </c>
      <c r="L280" t="s">
        <v>1898</v>
      </c>
      <c r="M280" t="s">
        <v>1898</v>
      </c>
      <c r="N280" t="s">
        <v>1355</v>
      </c>
      <c r="O280" t="s">
        <v>1359</v>
      </c>
      <c r="P280">
        <v>1</v>
      </c>
      <c r="Q280">
        <v>1</v>
      </c>
      <c r="R280">
        <v>0</v>
      </c>
      <c r="S280" t="s">
        <v>1355</v>
      </c>
      <c r="T280">
        <v>0</v>
      </c>
      <c r="U280">
        <v>0</v>
      </c>
      <c r="V280">
        <v>0</v>
      </c>
      <c r="W280" t="s">
        <v>1355</v>
      </c>
      <c r="X280" t="s">
        <v>1355</v>
      </c>
      <c r="Y280" t="s">
        <v>1355</v>
      </c>
      <c r="Z280">
        <v>0</v>
      </c>
      <c r="AA280">
        <v>0</v>
      </c>
      <c r="AB280">
        <v>0</v>
      </c>
      <c r="AC280" s="294">
        <v>41835</v>
      </c>
      <c r="AD280" s="294">
        <v>73050</v>
      </c>
      <c r="AE280" s="294">
        <v>41835</v>
      </c>
      <c r="AF280" t="s">
        <v>1367</v>
      </c>
      <c r="AG280">
        <v>0</v>
      </c>
      <c r="AH280" t="s">
        <v>1900</v>
      </c>
      <c r="AI280">
        <v>1</v>
      </c>
      <c r="AJ280">
        <v>1</v>
      </c>
      <c r="AK280">
        <v>0</v>
      </c>
      <c r="AL280">
        <v>1</v>
      </c>
      <c r="AM280" t="s">
        <v>1355</v>
      </c>
      <c r="AN280" t="s">
        <v>1357</v>
      </c>
      <c r="AO280">
        <v>20.07667</v>
      </c>
      <c r="AP280">
        <v>2</v>
      </c>
      <c r="AQ280">
        <v>0</v>
      </c>
      <c r="AR280">
        <v>21.446670000000001</v>
      </c>
      <c r="AS280">
        <v>20.07667</v>
      </c>
      <c r="AT280">
        <v>1</v>
      </c>
    </row>
    <row r="281" spans="1:46" x14ac:dyDescent="0.2">
      <c r="A281" t="s">
        <v>1247</v>
      </c>
      <c r="B281" t="s">
        <v>1901</v>
      </c>
      <c r="C281" t="s">
        <v>1247</v>
      </c>
      <c r="D281" t="s">
        <v>1355</v>
      </c>
      <c r="E281" t="s">
        <v>1356</v>
      </c>
      <c r="F281" t="s">
        <v>1357</v>
      </c>
      <c r="G281" t="s">
        <v>1355</v>
      </c>
      <c r="H281" t="s">
        <v>1358</v>
      </c>
      <c r="I281" t="s">
        <v>1353</v>
      </c>
      <c r="J281">
        <v>37</v>
      </c>
      <c r="K281">
        <v>380</v>
      </c>
      <c r="L281" t="s">
        <v>1247</v>
      </c>
      <c r="M281" t="s">
        <v>1247</v>
      </c>
      <c r="N281" t="s">
        <v>1355</v>
      </c>
      <c r="O281" t="s">
        <v>1359</v>
      </c>
      <c r="P281">
        <v>1</v>
      </c>
      <c r="Q281">
        <v>1</v>
      </c>
      <c r="R281">
        <v>0</v>
      </c>
      <c r="S281" t="s">
        <v>1355</v>
      </c>
      <c r="T281">
        <v>0</v>
      </c>
      <c r="U281">
        <v>0</v>
      </c>
      <c r="V281">
        <v>0</v>
      </c>
      <c r="W281" t="s">
        <v>1355</v>
      </c>
      <c r="X281" t="s">
        <v>1355</v>
      </c>
      <c r="Y281" t="s">
        <v>1355</v>
      </c>
      <c r="Z281">
        <v>0</v>
      </c>
      <c r="AA281">
        <v>0</v>
      </c>
      <c r="AB281">
        <v>0</v>
      </c>
      <c r="AC281" s="294">
        <v>36161</v>
      </c>
      <c r="AD281" s="294">
        <v>73050</v>
      </c>
      <c r="AE281" s="294">
        <v>41844</v>
      </c>
      <c r="AF281" t="s">
        <v>1358</v>
      </c>
      <c r="AG281">
        <v>0</v>
      </c>
      <c r="AH281" t="s">
        <v>1902</v>
      </c>
      <c r="AI281">
        <v>1</v>
      </c>
      <c r="AJ281">
        <v>1</v>
      </c>
      <c r="AK281">
        <v>0</v>
      </c>
      <c r="AL281">
        <v>1</v>
      </c>
      <c r="AM281" t="s">
        <v>1362</v>
      </c>
      <c r="AN281" t="s">
        <v>1357</v>
      </c>
      <c r="AO281">
        <v>212.755</v>
      </c>
      <c r="AP281">
        <v>1</v>
      </c>
      <c r="AQ281">
        <v>0</v>
      </c>
      <c r="AR281">
        <v>216.14500000000001</v>
      </c>
      <c r="AS281">
        <v>212.755</v>
      </c>
      <c r="AT281">
        <v>1</v>
      </c>
    </row>
    <row r="282" spans="1:46" hidden="1" x14ac:dyDescent="0.2">
      <c r="A282" t="s">
        <v>1903</v>
      </c>
      <c r="B282" t="s">
        <v>1904</v>
      </c>
      <c r="C282" t="s">
        <v>1903</v>
      </c>
      <c r="D282" t="s">
        <v>1355</v>
      </c>
      <c r="E282" t="s">
        <v>1356</v>
      </c>
      <c r="F282" t="s">
        <v>1357</v>
      </c>
      <c r="G282" t="s">
        <v>1355</v>
      </c>
      <c r="H282" t="s">
        <v>1367</v>
      </c>
      <c r="I282" t="s">
        <v>1247</v>
      </c>
      <c r="J282">
        <v>1</v>
      </c>
      <c r="K282">
        <v>10</v>
      </c>
      <c r="L282" t="s">
        <v>1903</v>
      </c>
      <c r="M282" t="s">
        <v>1903</v>
      </c>
      <c r="N282" t="s">
        <v>1355</v>
      </c>
      <c r="O282" t="s">
        <v>1359</v>
      </c>
      <c r="P282">
        <v>1</v>
      </c>
      <c r="Q282">
        <v>1</v>
      </c>
      <c r="R282">
        <v>0</v>
      </c>
      <c r="S282" t="s">
        <v>1355</v>
      </c>
      <c r="T282">
        <v>0</v>
      </c>
      <c r="U282">
        <v>0</v>
      </c>
      <c r="V282">
        <v>0</v>
      </c>
      <c r="W282" t="s">
        <v>1355</v>
      </c>
      <c r="X282" t="s">
        <v>1355</v>
      </c>
      <c r="Y282" t="s">
        <v>1355</v>
      </c>
      <c r="Z282">
        <v>0</v>
      </c>
      <c r="AA282">
        <v>0</v>
      </c>
      <c r="AB282">
        <v>0</v>
      </c>
      <c r="AC282" s="294">
        <v>41835</v>
      </c>
      <c r="AD282" s="294">
        <v>73050</v>
      </c>
      <c r="AE282" s="294">
        <v>41835</v>
      </c>
      <c r="AF282" t="s">
        <v>1367</v>
      </c>
      <c r="AG282">
        <v>0</v>
      </c>
      <c r="AH282" t="s">
        <v>1905</v>
      </c>
      <c r="AI282">
        <v>1</v>
      </c>
      <c r="AJ282">
        <v>1</v>
      </c>
      <c r="AK282">
        <v>0</v>
      </c>
      <c r="AL282">
        <v>1</v>
      </c>
      <c r="AM282" t="s">
        <v>1355</v>
      </c>
      <c r="AN282" t="s">
        <v>1357</v>
      </c>
      <c r="AO282">
        <v>160.85499999999999</v>
      </c>
      <c r="AP282">
        <v>2</v>
      </c>
      <c r="AQ282">
        <v>0</v>
      </c>
      <c r="AR282">
        <v>160.85499999999999</v>
      </c>
      <c r="AS282">
        <v>160.85499999999999</v>
      </c>
      <c r="AT282">
        <v>1</v>
      </c>
    </row>
    <row r="283" spans="1:46" hidden="1" x14ac:dyDescent="0.2">
      <c r="A283" t="s">
        <v>1906</v>
      </c>
      <c r="B283" t="s">
        <v>1907</v>
      </c>
      <c r="C283" t="s">
        <v>1906</v>
      </c>
      <c r="D283" t="s">
        <v>1355</v>
      </c>
      <c r="E283" t="s">
        <v>1356</v>
      </c>
      <c r="F283" t="s">
        <v>1357</v>
      </c>
      <c r="G283" t="s">
        <v>1355</v>
      </c>
      <c r="H283" t="s">
        <v>1367</v>
      </c>
      <c r="I283" t="s">
        <v>1247</v>
      </c>
      <c r="J283">
        <v>2</v>
      </c>
      <c r="K283">
        <v>20</v>
      </c>
      <c r="L283" t="s">
        <v>1906</v>
      </c>
      <c r="M283" t="s">
        <v>1906</v>
      </c>
      <c r="N283" t="s">
        <v>1355</v>
      </c>
      <c r="O283" t="s">
        <v>1359</v>
      </c>
      <c r="P283">
        <v>1</v>
      </c>
      <c r="Q283">
        <v>1</v>
      </c>
      <c r="R283">
        <v>0</v>
      </c>
      <c r="S283" t="s">
        <v>1355</v>
      </c>
      <c r="T283">
        <v>0</v>
      </c>
      <c r="U283">
        <v>0</v>
      </c>
      <c r="V283">
        <v>0</v>
      </c>
      <c r="W283" t="s">
        <v>1355</v>
      </c>
      <c r="X283" t="s">
        <v>1355</v>
      </c>
      <c r="Y283" t="s">
        <v>1355</v>
      </c>
      <c r="Z283">
        <v>0</v>
      </c>
      <c r="AA283">
        <v>0</v>
      </c>
      <c r="AB283">
        <v>0</v>
      </c>
      <c r="AC283" s="294">
        <v>41835</v>
      </c>
      <c r="AD283" s="294">
        <v>73050</v>
      </c>
      <c r="AE283" s="294">
        <v>41835</v>
      </c>
      <c r="AF283" t="s">
        <v>1367</v>
      </c>
      <c r="AG283">
        <v>0</v>
      </c>
      <c r="AH283" t="s">
        <v>1908</v>
      </c>
      <c r="AI283">
        <v>1</v>
      </c>
      <c r="AJ283">
        <v>1</v>
      </c>
      <c r="AK283">
        <v>0</v>
      </c>
      <c r="AL283">
        <v>1</v>
      </c>
      <c r="AM283" t="s">
        <v>1355</v>
      </c>
      <c r="AN283" t="s">
        <v>1357</v>
      </c>
      <c r="AO283">
        <v>36.229999999999997</v>
      </c>
      <c r="AP283">
        <v>2</v>
      </c>
      <c r="AQ283">
        <v>0</v>
      </c>
      <c r="AR283">
        <v>39.619999999999997</v>
      </c>
      <c r="AS283">
        <v>36.229999999999997</v>
      </c>
      <c r="AT283">
        <v>1</v>
      </c>
    </row>
    <row r="284" spans="1:46" hidden="1" x14ac:dyDescent="0.2">
      <c r="A284" t="s">
        <v>1909</v>
      </c>
      <c r="B284" t="s">
        <v>1910</v>
      </c>
      <c r="C284" t="s">
        <v>1909</v>
      </c>
      <c r="D284" t="s">
        <v>1355</v>
      </c>
      <c r="E284" t="s">
        <v>1356</v>
      </c>
      <c r="F284" t="s">
        <v>1357</v>
      </c>
      <c r="G284" t="s">
        <v>1355</v>
      </c>
      <c r="H284" t="s">
        <v>1367</v>
      </c>
      <c r="I284" t="s">
        <v>1247</v>
      </c>
      <c r="J284">
        <v>3</v>
      </c>
      <c r="K284">
        <v>30</v>
      </c>
      <c r="L284" t="s">
        <v>1909</v>
      </c>
      <c r="M284" t="s">
        <v>1909</v>
      </c>
      <c r="N284" t="s">
        <v>1355</v>
      </c>
      <c r="O284" t="s">
        <v>1359</v>
      </c>
      <c r="P284">
        <v>1</v>
      </c>
      <c r="Q284">
        <v>1</v>
      </c>
      <c r="R284">
        <v>0</v>
      </c>
      <c r="S284" t="s">
        <v>1355</v>
      </c>
      <c r="T284">
        <v>0</v>
      </c>
      <c r="U284">
        <v>0</v>
      </c>
      <c r="V284">
        <v>0</v>
      </c>
      <c r="W284" t="s">
        <v>1355</v>
      </c>
      <c r="X284" t="s">
        <v>1355</v>
      </c>
      <c r="Y284" t="s">
        <v>1355</v>
      </c>
      <c r="Z284">
        <v>0</v>
      </c>
      <c r="AA284">
        <v>0</v>
      </c>
      <c r="AB284">
        <v>0</v>
      </c>
      <c r="AC284" s="294">
        <v>41835</v>
      </c>
      <c r="AD284" s="294">
        <v>73050</v>
      </c>
      <c r="AE284" s="294">
        <v>41835</v>
      </c>
      <c r="AF284" t="s">
        <v>1367</v>
      </c>
      <c r="AG284">
        <v>0</v>
      </c>
      <c r="AH284" t="s">
        <v>1911</v>
      </c>
      <c r="AI284">
        <v>1</v>
      </c>
      <c r="AJ284">
        <v>1</v>
      </c>
      <c r="AK284">
        <v>0</v>
      </c>
      <c r="AL284">
        <v>1</v>
      </c>
      <c r="AM284" t="s">
        <v>1355</v>
      </c>
      <c r="AN284" t="s">
        <v>1357</v>
      </c>
      <c r="AO284">
        <v>15.67</v>
      </c>
      <c r="AP284">
        <v>2</v>
      </c>
      <c r="AQ284">
        <v>0</v>
      </c>
      <c r="AR284">
        <v>15.67</v>
      </c>
      <c r="AS284">
        <v>15.67</v>
      </c>
      <c r="AT284">
        <v>1</v>
      </c>
    </row>
    <row r="285" spans="1:46" x14ac:dyDescent="0.2">
      <c r="A285" t="s">
        <v>1248</v>
      </c>
      <c r="B285" t="s">
        <v>1912</v>
      </c>
      <c r="C285" t="s">
        <v>1248</v>
      </c>
      <c r="D285" t="s">
        <v>1355</v>
      </c>
      <c r="E285" t="s">
        <v>1356</v>
      </c>
      <c r="F285" t="s">
        <v>1357</v>
      </c>
      <c r="G285" t="s">
        <v>1355</v>
      </c>
      <c r="H285" t="s">
        <v>1358</v>
      </c>
      <c r="I285" t="s">
        <v>1353</v>
      </c>
      <c r="J285">
        <v>38</v>
      </c>
      <c r="K285">
        <v>390</v>
      </c>
      <c r="L285" t="s">
        <v>1248</v>
      </c>
      <c r="M285" t="s">
        <v>1248</v>
      </c>
      <c r="N285" t="s">
        <v>1355</v>
      </c>
      <c r="O285" t="s">
        <v>1359</v>
      </c>
      <c r="P285">
        <v>1</v>
      </c>
      <c r="Q285">
        <v>1</v>
      </c>
      <c r="R285">
        <v>0</v>
      </c>
      <c r="S285" t="s">
        <v>1355</v>
      </c>
      <c r="T285">
        <v>0</v>
      </c>
      <c r="U285">
        <v>0</v>
      </c>
      <c r="V285">
        <v>0</v>
      </c>
      <c r="W285" t="s">
        <v>1355</v>
      </c>
      <c r="X285" t="s">
        <v>1355</v>
      </c>
      <c r="Y285" t="s">
        <v>1355</v>
      </c>
      <c r="Z285">
        <v>0</v>
      </c>
      <c r="AA285">
        <v>0</v>
      </c>
      <c r="AB285">
        <v>0</v>
      </c>
      <c r="AC285" s="294">
        <v>36161</v>
      </c>
      <c r="AD285" s="294">
        <v>73050</v>
      </c>
      <c r="AE285" s="294">
        <v>41844</v>
      </c>
      <c r="AF285" t="s">
        <v>1358</v>
      </c>
      <c r="AG285">
        <v>0</v>
      </c>
      <c r="AH285" t="s">
        <v>1913</v>
      </c>
      <c r="AI285">
        <v>1</v>
      </c>
      <c r="AJ285">
        <v>1</v>
      </c>
      <c r="AK285">
        <v>0</v>
      </c>
      <c r="AL285">
        <v>1</v>
      </c>
      <c r="AM285" t="s">
        <v>1362</v>
      </c>
      <c r="AN285" t="s">
        <v>1357</v>
      </c>
      <c r="AO285">
        <v>115.985</v>
      </c>
      <c r="AP285">
        <v>1</v>
      </c>
      <c r="AQ285">
        <v>0</v>
      </c>
      <c r="AR285">
        <v>113.12817</v>
      </c>
      <c r="AS285">
        <v>115.985</v>
      </c>
      <c r="AT285">
        <v>1</v>
      </c>
    </row>
    <row r="286" spans="1:46" hidden="1" x14ac:dyDescent="0.2">
      <c r="A286" t="s">
        <v>1914</v>
      </c>
      <c r="B286" t="s">
        <v>1915</v>
      </c>
      <c r="C286" t="s">
        <v>1914</v>
      </c>
      <c r="D286" t="s">
        <v>1355</v>
      </c>
      <c r="E286" t="s">
        <v>1356</v>
      </c>
      <c r="F286" t="s">
        <v>1357</v>
      </c>
      <c r="G286" t="s">
        <v>1355</v>
      </c>
      <c r="H286" t="s">
        <v>1367</v>
      </c>
      <c r="I286" t="s">
        <v>1248</v>
      </c>
      <c r="J286">
        <v>1</v>
      </c>
      <c r="K286">
        <v>10</v>
      </c>
      <c r="L286" t="s">
        <v>1914</v>
      </c>
      <c r="M286" t="s">
        <v>1914</v>
      </c>
      <c r="N286" t="s">
        <v>1355</v>
      </c>
      <c r="O286" t="s">
        <v>1359</v>
      </c>
      <c r="P286">
        <v>1</v>
      </c>
      <c r="Q286">
        <v>1</v>
      </c>
      <c r="R286">
        <v>0</v>
      </c>
      <c r="S286" t="s">
        <v>1355</v>
      </c>
      <c r="T286">
        <v>0</v>
      </c>
      <c r="U286">
        <v>0</v>
      </c>
      <c r="V286">
        <v>0</v>
      </c>
      <c r="W286" t="s">
        <v>1355</v>
      </c>
      <c r="X286" t="s">
        <v>1355</v>
      </c>
      <c r="Y286" t="s">
        <v>1355</v>
      </c>
      <c r="Z286">
        <v>0</v>
      </c>
      <c r="AA286">
        <v>0</v>
      </c>
      <c r="AB286">
        <v>0</v>
      </c>
      <c r="AC286" s="294">
        <v>41835</v>
      </c>
      <c r="AD286" s="294">
        <v>73050</v>
      </c>
      <c r="AE286" s="294">
        <v>41835</v>
      </c>
      <c r="AF286" t="s">
        <v>1367</v>
      </c>
      <c r="AG286">
        <v>0</v>
      </c>
      <c r="AH286" t="s">
        <v>1916</v>
      </c>
      <c r="AI286">
        <v>1</v>
      </c>
      <c r="AJ286">
        <v>1</v>
      </c>
      <c r="AK286">
        <v>0</v>
      </c>
      <c r="AL286">
        <v>1</v>
      </c>
      <c r="AM286" t="s">
        <v>1355</v>
      </c>
      <c r="AN286" t="s">
        <v>1357</v>
      </c>
      <c r="AO286">
        <v>87.19</v>
      </c>
      <c r="AP286">
        <v>2</v>
      </c>
      <c r="AQ286">
        <v>0</v>
      </c>
      <c r="AR286">
        <v>84.332650000000001</v>
      </c>
      <c r="AS286">
        <v>87.19</v>
      </c>
      <c r="AT286">
        <v>1</v>
      </c>
    </row>
    <row r="287" spans="1:46" hidden="1" x14ac:dyDescent="0.2">
      <c r="A287" t="s">
        <v>1917</v>
      </c>
      <c r="B287" t="s">
        <v>1918</v>
      </c>
      <c r="C287" t="s">
        <v>1917</v>
      </c>
      <c r="D287" t="s">
        <v>1355</v>
      </c>
      <c r="E287" t="s">
        <v>1356</v>
      </c>
      <c r="F287" t="s">
        <v>1357</v>
      </c>
      <c r="G287" t="s">
        <v>1355</v>
      </c>
      <c r="H287" t="s">
        <v>1367</v>
      </c>
      <c r="I287" t="s">
        <v>1248</v>
      </c>
      <c r="J287">
        <v>2</v>
      </c>
      <c r="K287">
        <v>20</v>
      </c>
      <c r="L287" t="s">
        <v>1917</v>
      </c>
      <c r="M287" t="s">
        <v>1917</v>
      </c>
      <c r="N287" t="s">
        <v>1355</v>
      </c>
      <c r="O287" t="s">
        <v>1359</v>
      </c>
      <c r="P287">
        <v>1</v>
      </c>
      <c r="Q287">
        <v>1</v>
      </c>
      <c r="R287">
        <v>0</v>
      </c>
      <c r="S287" t="s">
        <v>1355</v>
      </c>
      <c r="T287">
        <v>0</v>
      </c>
      <c r="U287">
        <v>0</v>
      </c>
      <c r="V287">
        <v>0</v>
      </c>
      <c r="W287" t="s">
        <v>1355</v>
      </c>
      <c r="X287" t="s">
        <v>1355</v>
      </c>
      <c r="Y287" t="s">
        <v>1355</v>
      </c>
      <c r="Z287">
        <v>0</v>
      </c>
      <c r="AA287">
        <v>0</v>
      </c>
      <c r="AB287">
        <v>0</v>
      </c>
      <c r="AC287" s="294">
        <v>41835</v>
      </c>
      <c r="AD287" s="294">
        <v>73050</v>
      </c>
      <c r="AE287" s="294">
        <v>41835</v>
      </c>
      <c r="AF287" t="s">
        <v>1367</v>
      </c>
      <c r="AG287">
        <v>0</v>
      </c>
      <c r="AH287" t="s">
        <v>1919</v>
      </c>
      <c r="AI287">
        <v>1</v>
      </c>
      <c r="AJ287">
        <v>1</v>
      </c>
      <c r="AK287">
        <v>0</v>
      </c>
      <c r="AL287">
        <v>1</v>
      </c>
      <c r="AM287" t="s">
        <v>1355</v>
      </c>
      <c r="AN287" t="s">
        <v>1357</v>
      </c>
      <c r="AO287">
        <v>28.795000000000002</v>
      </c>
      <c r="AP287">
        <v>2</v>
      </c>
      <c r="AQ287">
        <v>0</v>
      </c>
      <c r="AR287">
        <v>28.79552</v>
      </c>
      <c r="AS287">
        <v>28.795000000000002</v>
      </c>
      <c r="AT287">
        <v>1</v>
      </c>
    </row>
    <row r="288" spans="1:46" x14ac:dyDescent="0.2">
      <c r="A288" t="s">
        <v>1249</v>
      </c>
      <c r="B288" t="s">
        <v>1920</v>
      </c>
      <c r="C288" t="s">
        <v>1249</v>
      </c>
      <c r="D288" t="s">
        <v>1355</v>
      </c>
      <c r="E288" t="s">
        <v>1356</v>
      </c>
      <c r="F288" t="s">
        <v>1357</v>
      </c>
      <c r="G288" t="s">
        <v>1355</v>
      </c>
      <c r="H288" t="s">
        <v>1358</v>
      </c>
      <c r="I288" t="s">
        <v>1353</v>
      </c>
      <c r="J288">
        <v>39</v>
      </c>
      <c r="K288">
        <v>400</v>
      </c>
      <c r="L288" t="s">
        <v>1249</v>
      </c>
      <c r="M288" t="s">
        <v>1249</v>
      </c>
      <c r="N288" t="s">
        <v>1355</v>
      </c>
      <c r="O288" t="s">
        <v>1359</v>
      </c>
      <c r="P288">
        <v>1</v>
      </c>
      <c r="Q288">
        <v>1</v>
      </c>
      <c r="R288">
        <v>0</v>
      </c>
      <c r="S288" t="s">
        <v>1355</v>
      </c>
      <c r="T288">
        <v>0</v>
      </c>
      <c r="U288">
        <v>0</v>
      </c>
      <c r="V288">
        <v>0</v>
      </c>
      <c r="W288" t="s">
        <v>1355</v>
      </c>
      <c r="X288" t="s">
        <v>1355</v>
      </c>
      <c r="Y288" t="s">
        <v>1355</v>
      </c>
      <c r="Z288">
        <v>0</v>
      </c>
      <c r="AA288">
        <v>0</v>
      </c>
      <c r="AB288">
        <v>0</v>
      </c>
      <c r="AC288" s="294">
        <v>36161</v>
      </c>
      <c r="AD288" s="294">
        <v>73050</v>
      </c>
      <c r="AE288" s="294">
        <v>41844</v>
      </c>
      <c r="AF288" t="s">
        <v>1358</v>
      </c>
      <c r="AG288">
        <v>0</v>
      </c>
      <c r="AH288" t="s">
        <v>1921</v>
      </c>
      <c r="AI288">
        <v>1</v>
      </c>
      <c r="AJ288">
        <v>1</v>
      </c>
      <c r="AK288">
        <v>0</v>
      </c>
      <c r="AL288">
        <v>1</v>
      </c>
      <c r="AM288" t="s">
        <v>1362</v>
      </c>
      <c r="AN288" t="s">
        <v>1357</v>
      </c>
      <c r="AO288">
        <v>134.37</v>
      </c>
      <c r="AP288">
        <v>1</v>
      </c>
      <c r="AQ288">
        <v>0</v>
      </c>
      <c r="AR288">
        <v>134.37</v>
      </c>
      <c r="AS288">
        <v>134.37</v>
      </c>
      <c r="AT288">
        <v>1</v>
      </c>
    </row>
    <row r="289" spans="1:46" hidden="1" x14ac:dyDescent="0.2">
      <c r="A289" t="s">
        <v>1922</v>
      </c>
      <c r="B289" t="s">
        <v>1923</v>
      </c>
      <c r="C289" t="s">
        <v>1922</v>
      </c>
      <c r="D289" t="s">
        <v>1355</v>
      </c>
      <c r="E289" t="s">
        <v>1356</v>
      </c>
      <c r="F289" t="s">
        <v>1357</v>
      </c>
      <c r="G289" t="s">
        <v>1355</v>
      </c>
      <c r="H289" t="s">
        <v>1367</v>
      </c>
      <c r="I289" t="s">
        <v>1249</v>
      </c>
      <c r="J289">
        <v>1</v>
      </c>
      <c r="K289">
        <v>10</v>
      </c>
      <c r="L289" t="s">
        <v>1922</v>
      </c>
      <c r="M289" t="s">
        <v>1922</v>
      </c>
      <c r="N289" t="s">
        <v>1355</v>
      </c>
      <c r="O289" t="s">
        <v>1359</v>
      </c>
      <c r="P289">
        <v>1</v>
      </c>
      <c r="Q289">
        <v>1</v>
      </c>
      <c r="R289">
        <v>0</v>
      </c>
      <c r="S289" t="s">
        <v>1355</v>
      </c>
      <c r="T289">
        <v>0</v>
      </c>
      <c r="U289">
        <v>0</v>
      </c>
      <c r="V289">
        <v>0</v>
      </c>
      <c r="W289" t="s">
        <v>1355</v>
      </c>
      <c r="X289" t="s">
        <v>1355</v>
      </c>
      <c r="Y289" t="s">
        <v>1355</v>
      </c>
      <c r="Z289">
        <v>0</v>
      </c>
      <c r="AA289">
        <v>0</v>
      </c>
      <c r="AB289">
        <v>0</v>
      </c>
      <c r="AC289" s="294">
        <v>41835</v>
      </c>
      <c r="AD289" s="294">
        <v>73050</v>
      </c>
      <c r="AE289" s="294">
        <v>41835</v>
      </c>
      <c r="AF289" t="s">
        <v>1367</v>
      </c>
      <c r="AG289">
        <v>0</v>
      </c>
      <c r="AH289" t="s">
        <v>1924</v>
      </c>
      <c r="AI289">
        <v>1</v>
      </c>
      <c r="AJ289">
        <v>1</v>
      </c>
      <c r="AK289">
        <v>0</v>
      </c>
      <c r="AL289">
        <v>1</v>
      </c>
      <c r="AM289" t="s">
        <v>1355</v>
      </c>
      <c r="AN289" t="s">
        <v>1357</v>
      </c>
      <c r="AO289">
        <v>101.8</v>
      </c>
      <c r="AP289">
        <v>2</v>
      </c>
      <c r="AQ289">
        <v>0</v>
      </c>
      <c r="AR289">
        <v>101.8</v>
      </c>
      <c r="AS289">
        <v>101.8</v>
      </c>
      <c r="AT289">
        <v>1</v>
      </c>
    </row>
    <row r="290" spans="1:46" hidden="1" x14ac:dyDescent="0.2">
      <c r="A290" t="s">
        <v>1925</v>
      </c>
      <c r="B290" t="s">
        <v>1926</v>
      </c>
      <c r="C290" t="s">
        <v>1925</v>
      </c>
      <c r="D290" t="s">
        <v>1355</v>
      </c>
      <c r="E290" t="s">
        <v>1356</v>
      </c>
      <c r="F290" t="s">
        <v>1357</v>
      </c>
      <c r="G290" t="s">
        <v>1355</v>
      </c>
      <c r="H290" t="s">
        <v>1367</v>
      </c>
      <c r="I290" t="s">
        <v>1249</v>
      </c>
      <c r="J290">
        <v>2</v>
      </c>
      <c r="K290">
        <v>20</v>
      </c>
      <c r="L290" t="s">
        <v>1925</v>
      </c>
      <c r="M290" t="s">
        <v>1925</v>
      </c>
      <c r="N290" t="s">
        <v>1355</v>
      </c>
      <c r="O290" t="s">
        <v>1359</v>
      </c>
      <c r="P290">
        <v>1</v>
      </c>
      <c r="Q290">
        <v>1</v>
      </c>
      <c r="R290">
        <v>0</v>
      </c>
      <c r="S290" t="s">
        <v>1355</v>
      </c>
      <c r="T290">
        <v>0</v>
      </c>
      <c r="U290">
        <v>0</v>
      </c>
      <c r="V290">
        <v>0</v>
      </c>
      <c r="W290" t="s">
        <v>1355</v>
      </c>
      <c r="X290" t="s">
        <v>1355</v>
      </c>
      <c r="Y290" t="s">
        <v>1355</v>
      </c>
      <c r="Z290">
        <v>0</v>
      </c>
      <c r="AA290">
        <v>0</v>
      </c>
      <c r="AB290">
        <v>0</v>
      </c>
      <c r="AC290" s="294">
        <v>41835</v>
      </c>
      <c r="AD290" s="294">
        <v>73050</v>
      </c>
      <c r="AE290" s="294">
        <v>41835</v>
      </c>
      <c r="AF290" t="s">
        <v>1367</v>
      </c>
      <c r="AG290">
        <v>0</v>
      </c>
      <c r="AH290" t="s">
        <v>1927</v>
      </c>
      <c r="AI290">
        <v>1</v>
      </c>
      <c r="AJ290">
        <v>1</v>
      </c>
      <c r="AK290">
        <v>0</v>
      </c>
      <c r="AL290">
        <v>1</v>
      </c>
      <c r="AM290" t="s">
        <v>1355</v>
      </c>
      <c r="AN290" t="s">
        <v>1357</v>
      </c>
      <c r="AO290">
        <v>32.57</v>
      </c>
      <c r="AP290">
        <v>2</v>
      </c>
      <c r="AQ290">
        <v>0</v>
      </c>
      <c r="AR290">
        <v>32.57</v>
      </c>
      <c r="AS290">
        <v>32.57</v>
      </c>
      <c r="AT290">
        <v>1</v>
      </c>
    </row>
    <row r="291" spans="1:46" x14ac:dyDescent="0.2">
      <c r="A291" t="s">
        <v>1291</v>
      </c>
      <c r="B291" t="s">
        <v>1928</v>
      </c>
      <c r="C291" t="s">
        <v>1291</v>
      </c>
      <c r="D291" t="s">
        <v>1355</v>
      </c>
      <c r="E291" t="s">
        <v>1356</v>
      </c>
      <c r="F291" t="s">
        <v>1357</v>
      </c>
      <c r="G291" t="s">
        <v>1355</v>
      </c>
      <c r="H291" t="s">
        <v>1358</v>
      </c>
      <c r="I291" t="s">
        <v>1353</v>
      </c>
      <c r="J291">
        <v>40</v>
      </c>
      <c r="K291">
        <v>410</v>
      </c>
      <c r="L291" t="s">
        <v>1291</v>
      </c>
      <c r="M291" t="s">
        <v>1291</v>
      </c>
      <c r="N291" t="s">
        <v>1355</v>
      </c>
      <c r="O291" t="s">
        <v>1359</v>
      </c>
      <c r="P291">
        <v>1</v>
      </c>
      <c r="Q291">
        <v>1</v>
      </c>
      <c r="R291">
        <v>0</v>
      </c>
      <c r="S291" t="s">
        <v>1355</v>
      </c>
      <c r="T291">
        <v>0</v>
      </c>
      <c r="U291">
        <v>0</v>
      </c>
      <c r="V291">
        <v>0</v>
      </c>
      <c r="W291" t="s">
        <v>1355</v>
      </c>
      <c r="X291" t="s">
        <v>1355</v>
      </c>
      <c r="Y291" t="s">
        <v>1355</v>
      </c>
      <c r="Z291">
        <v>0</v>
      </c>
      <c r="AA291">
        <v>0</v>
      </c>
      <c r="AB291">
        <v>0</v>
      </c>
      <c r="AC291" s="294">
        <v>36161</v>
      </c>
      <c r="AD291" s="294">
        <v>73050</v>
      </c>
      <c r="AE291" s="294">
        <v>41844</v>
      </c>
      <c r="AF291" t="s">
        <v>1358</v>
      </c>
      <c r="AG291">
        <v>0</v>
      </c>
      <c r="AH291" t="s">
        <v>1929</v>
      </c>
      <c r="AI291">
        <v>1</v>
      </c>
      <c r="AJ291">
        <v>1</v>
      </c>
      <c r="AK291">
        <v>0</v>
      </c>
      <c r="AL291">
        <v>1</v>
      </c>
      <c r="AM291" t="s">
        <v>1362</v>
      </c>
      <c r="AN291" t="s">
        <v>1357</v>
      </c>
      <c r="AO291">
        <v>265.82499999999999</v>
      </c>
      <c r="AP291">
        <v>1</v>
      </c>
      <c r="AQ291">
        <v>0</v>
      </c>
      <c r="AR291">
        <v>258.89431999999999</v>
      </c>
      <c r="AS291">
        <v>265.82499999999999</v>
      </c>
      <c r="AT291">
        <v>1</v>
      </c>
    </row>
    <row r="292" spans="1:46" hidden="1" x14ac:dyDescent="0.2">
      <c r="A292" t="s">
        <v>1930</v>
      </c>
      <c r="B292" t="s">
        <v>1931</v>
      </c>
      <c r="C292" t="s">
        <v>1930</v>
      </c>
      <c r="D292" t="s">
        <v>1355</v>
      </c>
      <c r="E292" t="s">
        <v>1356</v>
      </c>
      <c r="F292" t="s">
        <v>1357</v>
      </c>
      <c r="G292" t="s">
        <v>1355</v>
      </c>
      <c r="H292" t="s">
        <v>1367</v>
      </c>
      <c r="I292" t="s">
        <v>1291</v>
      </c>
      <c r="J292">
        <v>1</v>
      </c>
      <c r="K292">
        <v>10</v>
      </c>
      <c r="L292" t="s">
        <v>1930</v>
      </c>
      <c r="M292" t="s">
        <v>1930</v>
      </c>
      <c r="N292" t="s">
        <v>1355</v>
      </c>
      <c r="O292" t="s">
        <v>1359</v>
      </c>
      <c r="P292">
        <v>1</v>
      </c>
      <c r="Q292">
        <v>1</v>
      </c>
      <c r="R292">
        <v>0</v>
      </c>
      <c r="S292" t="s">
        <v>1355</v>
      </c>
      <c r="T292">
        <v>0</v>
      </c>
      <c r="U292">
        <v>0</v>
      </c>
      <c r="V292">
        <v>0</v>
      </c>
      <c r="W292" t="s">
        <v>1355</v>
      </c>
      <c r="X292" t="s">
        <v>1355</v>
      </c>
      <c r="Y292" t="s">
        <v>1355</v>
      </c>
      <c r="Z292">
        <v>0</v>
      </c>
      <c r="AA292">
        <v>0</v>
      </c>
      <c r="AB292">
        <v>0</v>
      </c>
      <c r="AC292" s="294">
        <v>41835</v>
      </c>
      <c r="AD292" s="294">
        <v>73050</v>
      </c>
      <c r="AE292" s="294">
        <v>41835</v>
      </c>
      <c r="AF292" t="s">
        <v>1367</v>
      </c>
      <c r="AG292">
        <v>0</v>
      </c>
      <c r="AH292" t="s">
        <v>1932</v>
      </c>
      <c r="AI292">
        <v>1</v>
      </c>
      <c r="AJ292">
        <v>1</v>
      </c>
      <c r="AK292">
        <v>0</v>
      </c>
      <c r="AL292">
        <v>1</v>
      </c>
      <c r="AM292" t="s">
        <v>1355</v>
      </c>
      <c r="AN292" t="s">
        <v>1357</v>
      </c>
      <c r="AO292">
        <v>237.03</v>
      </c>
      <c r="AP292">
        <v>2</v>
      </c>
      <c r="AQ292">
        <v>0</v>
      </c>
      <c r="AR292">
        <v>230.09880000000001</v>
      </c>
      <c r="AS292">
        <v>237.03</v>
      </c>
      <c r="AT292">
        <v>1</v>
      </c>
    </row>
    <row r="293" spans="1:46" hidden="1" x14ac:dyDescent="0.2">
      <c r="A293" t="s">
        <v>1917</v>
      </c>
      <c r="B293" t="s">
        <v>1918</v>
      </c>
      <c r="C293" t="s">
        <v>1917</v>
      </c>
      <c r="D293" t="s">
        <v>1355</v>
      </c>
      <c r="E293" t="s">
        <v>1356</v>
      </c>
      <c r="F293" t="s">
        <v>1357</v>
      </c>
      <c r="G293" t="s">
        <v>1355</v>
      </c>
      <c r="H293" t="s">
        <v>1367</v>
      </c>
      <c r="I293" t="s">
        <v>1291</v>
      </c>
      <c r="J293">
        <v>2</v>
      </c>
      <c r="K293">
        <v>20</v>
      </c>
      <c r="L293" t="s">
        <v>1917</v>
      </c>
      <c r="M293" t="s">
        <v>1917</v>
      </c>
      <c r="N293" t="s">
        <v>1355</v>
      </c>
      <c r="O293" t="s">
        <v>1359</v>
      </c>
      <c r="P293">
        <v>1</v>
      </c>
      <c r="Q293">
        <v>1</v>
      </c>
      <c r="R293">
        <v>0</v>
      </c>
      <c r="S293" t="s">
        <v>1355</v>
      </c>
      <c r="T293">
        <v>0</v>
      </c>
      <c r="U293">
        <v>0</v>
      </c>
      <c r="V293">
        <v>0</v>
      </c>
      <c r="W293" t="s">
        <v>1355</v>
      </c>
      <c r="X293" t="s">
        <v>1355</v>
      </c>
      <c r="Y293" t="s">
        <v>1355</v>
      </c>
      <c r="Z293">
        <v>0</v>
      </c>
      <c r="AA293">
        <v>0</v>
      </c>
      <c r="AB293">
        <v>0</v>
      </c>
      <c r="AC293" s="294">
        <v>41835</v>
      </c>
      <c r="AD293" s="294">
        <v>73050</v>
      </c>
      <c r="AE293" s="294">
        <v>41835</v>
      </c>
      <c r="AF293" t="s">
        <v>1367</v>
      </c>
      <c r="AG293">
        <v>0</v>
      </c>
      <c r="AH293" t="s">
        <v>1933</v>
      </c>
      <c r="AI293">
        <v>1</v>
      </c>
      <c r="AJ293">
        <v>1</v>
      </c>
      <c r="AK293">
        <v>0</v>
      </c>
      <c r="AL293">
        <v>1</v>
      </c>
      <c r="AM293" t="s">
        <v>1355</v>
      </c>
      <c r="AN293" t="s">
        <v>1357</v>
      </c>
      <c r="AO293">
        <v>28.795000000000002</v>
      </c>
      <c r="AP293">
        <v>2</v>
      </c>
      <c r="AQ293">
        <v>0</v>
      </c>
      <c r="AR293">
        <v>28.79552</v>
      </c>
      <c r="AS293">
        <v>28.795000000000002</v>
      </c>
      <c r="AT293">
        <v>1</v>
      </c>
    </row>
    <row r="294" spans="1:46" s="295" customFormat="1" x14ac:dyDescent="0.2">
      <c r="A294" s="295" t="s">
        <v>1296</v>
      </c>
      <c r="B294" s="295" t="s">
        <v>1934</v>
      </c>
      <c r="C294" t="s">
        <v>1296</v>
      </c>
      <c r="D294" t="s">
        <v>1355</v>
      </c>
      <c r="E294" t="s">
        <v>1356</v>
      </c>
      <c r="F294" t="s">
        <v>1357</v>
      </c>
      <c r="G294" t="s">
        <v>1355</v>
      </c>
      <c r="H294" t="s">
        <v>1358</v>
      </c>
      <c r="I294" t="s">
        <v>1353</v>
      </c>
      <c r="J294">
        <v>64</v>
      </c>
      <c r="K294" s="295">
        <v>411</v>
      </c>
      <c r="L294" t="s">
        <v>1296</v>
      </c>
      <c r="M294" t="s">
        <v>1296</v>
      </c>
      <c r="N294" t="s">
        <v>1355</v>
      </c>
      <c r="O294" t="s">
        <v>1359</v>
      </c>
      <c r="P294" s="295">
        <v>1</v>
      </c>
      <c r="Q294">
        <v>1</v>
      </c>
      <c r="R294">
        <v>0</v>
      </c>
      <c r="S294" t="s">
        <v>1355</v>
      </c>
      <c r="T294">
        <v>0</v>
      </c>
      <c r="U294">
        <v>0</v>
      </c>
      <c r="V294">
        <v>0</v>
      </c>
      <c r="W294" t="s">
        <v>1355</v>
      </c>
      <c r="X294" t="s">
        <v>1355</v>
      </c>
      <c r="Y294" t="s">
        <v>1355</v>
      </c>
      <c r="Z294">
        <v>0</v>
      </c>
      <c r="AA294">
        <v>0</v>
      </c>
      <c r="AB294">
        <v>0</v>
      </c>
      <c r="AC294" s="294">
        <v>41845</v>
      </c>
      <c r="AD294" s="294">
        <v>73050</v>
      </c>
      <c r="AE294" s="294">
        <v>41845</v>
      </c>
      <c r="AF294" t="s">
        <v>1358</v>
      </c>
      <c r="AG294">
        <v>0</v>
      </c>
      <c r="AH294" t="s">
        <v>1935</v>
      </c>
      <c r="AI294">
        <v>1</v>
      </c>
      <c r="AJ294">
        <v>1</v>
      </c>
      <c r="AK294">
        <v>0</v>
      </c>
      <c r="AL294" s="295">
        <v>1</v>
      </c>
      <c r="AM294" t="s">
        <v>1451</v>
      </c>
      <c r="AN294" t="s">
        <v>1357</v>
      </c>
      <c r="AO294" s="295">
        <v>0</v>
      </c>
      <c r="AP294" s="295">
        <v>1</v>
      </c>
      <c r="AQ294">
        <v>0</v>
      </c>
      <c r="AR294">
        <v>0</v>
      </c>
      <c r="AS294" s="295">
        <v>0</v>
      </c>
      <c r="AT294">
        <v>1</v>
      </c>
    </row>
    <row r="295" spans="1:46" x14ac:dyDescent="0.2">
      <c r="A295" t="s">
        <v>1250</v>
      </c>
      <c r="B295" t="s">
        <v>1936</v>
      </c>
      <c r="C295" t="s">
        <v>1250</v>
      </c>
      <c r="D295" t="s">
        <v>1355</v>
      </c>
      <c r="E295" t="s">
        <v>1356</v>
      </c>
      <c r="F295" t="s">
        <v>1357</v>
      </c>
      <c r="G295" t="s">
        <v>1355</v>
      </c>
      <c r="H295" t="s">
        <v>1358</v>
      </c>
      <c r="I295" t="s">
        <v>1353</v>
      </c>
      <c r="J295">
        <v>41</v>
      </c>
      <c r="K295">
        <v>420</v>
      </c>
      <c r="L295" t="s">
        <v>1250</v>
      </c>
      <c r="M295" t="s">
        <v>1250</v>
      </c>
      <c r="N295" t="s">
        <v>1355</v>
      </c>
      <c r="O295" t="s">
        <v>1359</v>
      </c>
      <c r="P295">
        <v>1</v>
      </c>
      <c r="Q295">
        <v>1</v>
      </c>
      <c r="R295">
        <v>0</v>
      </c>
      <c r="S295" t="s">
        <v>1355</v>
      </c>
      <c r="T295">
        <v>0</v>
      </c>
      <c r="U295">
        <v>0</v>
      </c>
      <c r="V295">
        <v>0</v>
      </c>
      <c r="W295" t="s">
        <v>1355</v>
      </c>
      <c r="X295" t="s">
        <v>1355</v>
      </c>
      <c r="Y295" t="s">
        <v>1355</v>
      </c>
      <c r="Z295">
        <v>0</v>
      </c>
      <c r="AA295">
        <v>0</v>
      </c>
      <c r="AB295">
        <v>0</v>
      </c>
      <c r="AC295" s="294">
        <v>36161</v>
      </c>
      <c r="AD295" s="294">
        <v>73050</v>
      </c>
      <c r="AE295" s="294">
        <v>41844</v>
      </c>
      <c r="AF295" t="s">
        <v>1358</v>
      </c>
      <c r="AG295">
        <v>0</v>
      </c>
      <c r="AH295" t="s">
        <v>1937</v>
      </c>
      <c r="AI295">
        <v>1</v>
      </c>
      <c r="AJ295">
        <v>1</v>
      </c>
      <c r="AK295">
        <v>0</v>
      </c>
      <c r="AL295">
        <v>1</v>
      </c>
      <c r="AM295" t="s">
        <v>1362</v>
      </c>
      <c r="AN295" t="s">
        <v>1357</v>
      </c>
      <c r="AO295">
        <v>249.91667000000001</v>
      </c>
      <c r="AP295">
        <v>1</v>
      </c>
      <c r="AQ295">
        <v>0</v>
      </c>
      <c r="AR295">
        <v>241.94864999999999</v>
      </c>
      <c r="AS295">
        <v>249.91667000000001</v>
      </c>
      <c r="AT295">
        <v>1</v>
      </c>
    </row>
    <row r="296" spans="1:46" hidden="1" x14ac:dyDescent="0.2">
      <c r="A296" t="s">
        <v>1938</v>
      </c>
      <c r="B296" t="s">
        <v>1939</v>
      </c>
      <c r="C296" t="s">
        <v>1938</v>
      </c>
      <c r="D296" t="s">
        <v>1355</v>
      </c>
      <c r="E296" t="s">
        <v>1356</v>
      </c>
      <c r="F296" t="s">
        <v>1357</v>
      </c>
      <c r="G296" t="s">
        <v>1355</v>
      </c>
      <c r="H296" t="s">
        <v>1367</v>
      </c>
      <c r="I296" t="s">
        <v>1250</v>
      </c>
      <c r="J296">
        <v>1</v>
      </c>
      <c r="K296">
        <v>10</v>
      </c>
      <c r="L296" t="s">
        <v>1938</v>
      </c>
      <c r="M296" t="s">
        <v>1938</v>
      </c>
      <c r="N296" t="s">
        <v>1355</v>
      </c>
      <c r="O296" t="s">
        <v>1359</v>
      </c>
      <c r="P296">
        <v>1</v>
      </c>
      <c r="Q296">
        <v>1</v>
      </c>
      <c r="R296">
        <v>0</v>
      </c>
      <c r="S296" t="s">
        <v>1355</v>
      </c>
      <c r="T296">
        <v>0</v>
      </c>
      <c r="U296">
        <v>0</v>
      </c>
      <c r="V296">
        <v>0</v>
      </c>
      <c r="W296" t="s">
        <v>1355</v>
      </c>
      <c r="X296" t="s">
        <v>1355</v>
      </c>
      <c r="Y296" t="s">
        <v>1355</v>
      </c>
      <c r="Z296">
        <v>0</v>
      </c>
      <c r="AA296">
        <v>0</v>
      </c>
      <c r="AB296">
        <v>0</v>
      </c>
      <c r="AC296" s="294">
        <v>41835</v>
      </c>
      <c r="AD296" s="294">
        <v>73050</v>
      </c>
      <c r="AE296" s="294">
        <v>41835</v>
      </c>
      <c r="AF296" t="s">
        <v>1367</v>
      </c>
      <c r="AG296">
        <v>0</v>
      </c>
      <c r="AH296" t="s">
        <v>1940</v>
      </c>
      <c r="AI296">
        <v>1</v>
      </c>
      <c r="AJ296">
        <v>1</v>
      </c>
      <c r="AK296">
        <v>0</v>
      </c>
      <c r="AL296">
        <v>1</v>
      </c>
      <c r="AM296" t="s">
        <v>1355</v>
      </c>
      <c r="AN296" t="s">
        <v>1357</v>
      </c>
      <c r="AO296">
        <v>221.12</v>
      </c>
      <c r="AP296">
        <v>2</v>
      </c>
      <c r="AQ296">
        <v>0</v>
      </c>
      <c r="AR296">
        <v>213.44257999999999</v>
      </c>
      <c r="AS296">
        <v>221.12</v>
      </c>
      <c r="AT296">
        <v>1</v>
      </c>
    </row>
    <row r="297" spans="1:46" hidden="1" x14ac:dyDescent="0.2">
      <c r="A297" t="s">
        <v>1649</v>
      </c>
      <c r="B297" t="s">
        <v>1650</v>
      </c>
      <c r="C297" t="s">
        <v>1649</v>
      </c>
      <c r="D297" t="s">
        <v>1355</v>
      </c>
      <c r="E297" t="s">
        <v>1356</v>
      </c>
      <c r="F297" t="s">
        <v>1357</v>
      </c>
      <c r="G297" t="s">
        <v>1355</v>
      </c>
      <c r="H297" t="s">
        <v>1367</v>
      </c>
      <c r="I297" t="s">
        <v>1250</v>
      </c>
      <c r="J297">
        <v>2</v>
      </c>
      <c r="K297">
        <v>20</v>
      </c>
      <c r="L297" t="s">
        <v>1649</v>
      </c>
      <c r="M297" t="s">
        <v>1649</v>
      </c>
      <c r="N297" t="s">
        <v>1355</v>
      </c>
      <c r="O297" t="s">
        <v>1359</v>
      </c>
      <c r="P297">
        <v>1</v>
      </c>
      <c r="Q297">
        <v>1</v>
      </c>
      <c r="R297">
        <v>0</v>
      </c>
      <c r="S297" t="s">
        <v>1355</v>
      </c>
      <c r="T297">
        <v>0</v>
      </c>
      <c r="U297">
        <v>0</v>
      </c>
      <c r="V297">
        <v>0</v>
      </c>
      <c r="W297" t="s">
        <v>1355</v>
      </c>
      <c r="X297" t="s">
        <v>1355</v>
      </c>
      <c r="Y297" t="s">
        <v>1355</v>
      </c>
      <c r="Z297">
        <v>0</v>
      </c>
      <c r="AA297">
        <v>0</v>
      </c>
      <c r="AB297">
        <v>0</v>
      </c>
      <c r="AC297" s="294">
        <v>41835</v>
      </c>
      <c r="AD297" s="294">
        <v>73050</v>
      </c>
      <c r="AE297" s="294">
        <v>41835</v>
      </c>
      <c r="AF297" t="s">
        <v>1367</v>
      </c>
      <c r="AG297">
        <v>0</v>
      </c>
      <c r="AH297" t="s">
        <v>1941</v>
      </c>
      <c r="AI297">
        <v>1</v>
      </c>
      <c r="AJ297">
        <v>1</v>
      </c>
      <c r="AK297">
        <v>0</v>
      </c>
      <c r="AL297">
        <v>1</v>
      </c>
      <c r="AM297" t="s">
        <v>1355</v>
      </c>
      <c r="AN297" t="s">
        <v>1357</v>
      </c>
      <c r="AO297">
        <v>28.796669999999999</v>
      </c>
      <c r="AP297">
        <v>2</v>
      </c>
      <c r="AQ297">
        <v>0</v>
      </c>
      <c r="AR297">
        <v>28.506070000000001</v>
      </c>
      <c r="AS297">
        <v>28.796669999999999</v>
      </c>
      <c r="AT297">
        <v>1</v>
      </c>
    </row>
    <row r="298" spans="1:46" x14ac:dyDescent="0.2">
      <c r="A298" t="s">
        <v>1251</v>
      </c>
      <c r="B298" t="s">
        <v>1942</v>
      </c>
      <c r="C298" t="s">
        <v>1251</v>
      </c>
      <c r="D298" t="s">
        <v>1355</v>
      </c>
      <c r="E298" t="s">
        <v>1356</v>
      </c>
      <c r="F298" t="s">
        <v>1357</v>
      </c>
      <c r="G298" t="s">
        <v>1355</v>
      </c>
      <c r="H298" t="s">
        <v>1358</v>
      </c>
      <c r="I298" t="s">
        <v>1353</v>
      </c>
      <c r="J298">
        <v>42</v>
      </c>
      <c r="K298">
        <v>430</v>
      </c>
      <c r="L298" t="s">
        <v>1251</v>
      </c>
      <c r="M298" t="s">
        <v>1251</v>
      </c>
      <c r="N298" t="s">
        <v>1355</v>
      </c>
      <c r="O298" t="s">
        <v>1359</v>
      </c>
      <c r="P298">
        <v>1</v>
      </c>
      <c r="Q298">
        <v>1</v>
      </c>
      <c r="R298">
        <v>0</v>
      </c>
      <c r="S298" t="s">
        <v>1355</v>
      </c>
      <c r="T298">
        <v>0</v>
      </c>
      <c r="U298">
        <v>0</v>
      </c>
      <c r="V298">
        <v>0</v>
      </c>
      <c r="W298" t="s">
        <v>1355</v>
      </c>
      <c r="X298" t="s">
        <v>1355</v>
      </c>
      <c r="Y298" t="s">
        <v>1355</v>
      </c>
      <c r="Z298">
        <v>0</v>
      </c>
      <c r="AA298">
        <v>0</v>
      </c>
      <c r="AB298">
        <v>0</v>
      </c>
      <c r="AC298" s="294">
        <v>36161</v>
      </c>
      <c r="AD298" s="294">
        <v>73050</v>
      </c>
      <c r="AE298" s="294">
        <v>41844</v>
      </c>
      <c r="AF298" t="s">
        <v>1358</v>
      </c>
      <c r="AG298">
        <v>0</v>
      </c>
      <c r="AH298" t="s">
        <v>1943</v>
      </c>
      <c r="AI298">
        <v>1</v>
      </c>
      <c r="AJ298">
        <v>1</v>
      </c>
      <c r="AK298">
        <v>0</v>
      </c>
      <c r="AL298">
        <v>1</v>
      </c>
      <c r="AM298" t="s">
        <v>1362</v>
      </c>
      <c r="AN298" t="s">
        <v>1357</v>
      </c>
      <c r="AO298">
        <v>46.296999999999997</v>
      </c>
      <c r="AP298">
        <v>1</v>
      </c>
      <c r="AQ298">
        <v>0</v>
      </c>
      <c r="AR298">
        <v>46.014780000000002</v>
      </c>
      <c r="AS298">
        <v>46.296999999999997</v>
      </c>
      <c r="AT298">
        <v>1</v>
      </c>
    </row>
    <row r="299" spans="1:46" hidden="1" x14ac:dyDescent="0.2">
      <c r="A299" t="s">
        <v>1944</v>
      </c>
      <c r="B299" t="s">
        <v>1945</v>
      </c>
      <c r="C299" t="s">
        <v>1944</v>
      </c>
      <c r="D299" t="s">
        <v>1355</v>
      </c>
      <c r="E299" t="s">
        <v>1356</v>
      </c>
      <c r="F299" t="s">
        <v>1357</v>
      </c>
      <c r="G299" t="s">
        <v>1355</v>
      </c>
      <c r="H299" t="s">
        <v>1367</v>
      </c>
      <c r="I299" t="s">
        <v>1251</v>
      </c>
      <c r="J299">
        <v>1</v>
      </c>
      <c r="K299">
        <v>10</v>
      </c>
      <c r="L299" t="s">
        <v>1944</v>
      </c>
      <c r="M299" t="s">
        <v>1944</v>
      </c>
      <c r="N299" t="s">
        <v>1355</v>
      </c>
      <c r="O299" t="s">
        <v>1359</v>
      </c>
      <c r="P299">
        <v>1</v>
      </c>
      <c r="Q299">
        <v>1</v>
      </c>
      <c r="R299">
        <v>0</v>
      </c>
      <c r="S299" t="s">
        <v>1355</v>
      </c>
      <c r="T299">
        <v>0</v>
      </c>
      <c r="U299">
        <v>0</v>
      </c>
      <c r="V299">
        <v>0</v>
      </c>
      <c r="W299" t="s">
        <v>1355</v>
      </c>
      <c r="X299" t="s">
        <v>1355</v>
      </c>
      <c r="Y299" t="s">
        <v>1355</v>
      </c>
      <c r="Z299">
        <v>0</v>
      </c>
      <c r="AA299">
        <v>0</v>
      </c>
      <c r="AB299">
        <v>0</v>
      </c>
      <c r="AC299" s="294">
        <v>41836</v>
      </c>
      <c r="AD299" s="294">
        <v>73050</v>
      </c>
      <c r="AE299" s="294">
        <v>41836</v>
      </c>
      <c r="AF299" t="s">
        <v>1367</v>
      </c>
      <c r="AG299">
        <v>0</v>
      </c>
      <c r="AH299" t="s">
        <v>1946</v>
      </c>
      <c r="AI299">
        <v>1</v>
      </c>
      <c r="AJ299">
        <v>1</v>
      </c>
      <c r="AK299">
        <v>0</v>
      </c>
      <c r="AL299">
        <v>1</v>
      </c>
      <c r="AM299" t="s">
        <v>1355</v>
      </c>
      <c r="AN299" t="s">
        <v>1357</v>
      </c>
      <c r="AO299">
        <v>13.223000000000001</v>
      </c>
      <c r="AP299">
        <v>2</v>
      </c>
      <c r="AQ299">
        <v>0</v>
      </c>
      <c r="AR299">
        <v>13.115740000000001</v>
      </c>
      <c r="AS299">
        <v>13.223000000000001</v>
      </c>
      <c r="AT299">
        <v>1</v>
      </c>
    </row>
    <row r="300" spans="1:46" hidden="1" x14ac:dyDescent="0.2">
      <c r="A300" t="s">
        <v>1947</v>
      </c>
      <c r="B300" t="s">
        <v>1948</v>
      </c>
      <c r="C300" t="s">
        <v>1947</v>
      </c>
      <c r="D300" t="s">
        <v>1355</v>
      </c>
      <c r="E300" t="s">
        <v>1356</v>
      </c>
      <c r="F300" t="s">
        <v>1357</v>
      </c>
      <c r="G300" t="s">
        <v>1355</v>
      </c>
      <c r="H300" t="s">
        <v>1367</v>
      </c>
      <c r="I300" t="s">
        <v>1251</v>
      </c>
      <c r="J300">
        <v>2</v>
      </c>
      <c r="K300">
        <v>20</v>
      </c>
      <c r="L300" t="s">
        <v>1947</v>
      </c>
      <c r="M300" t="s">
        <v>1947</v>
      </c>
      <c r="N300" t="s">
        <v>1355</v>
      </c>
      <c r="O300" t="s">
        <v>1359</v>
      </c>
      <c r="P300">
        <v>1</v>
      </c>
      <c r="Q300">
        <v>1</v>
      </c>
      <c r="R300">
        <v>0</v>
      </c>
      <c r="S300" t="s">
        <v>1355</v>
      </c>
      <c r="T300">
        <v>0</v>
      </c>
      <c r="U300">
        <v>0</v>
      </c>
      <c r="V300">
        <v>0</v>
      </c>
      <c r="W300" t="s">
        <v>1355</v>
      </c>
      <c r="X300" t="s">
        <v>1355</v>
      </c>
      <c r="Y300" t="s">
        <v>1355</v>
      </c>
      <c r="Z300">
        <v>0</v>
      </c>
      <c r="AA300">
        <v>0</v>
      </c>
      <c r="AB300">
        <v>0</v>
      </c>
      <c r="AC300" s="294">
        <v>41836</v>
      </c>
      <c r="AD300" s="294">
        <v>73050</v>
      </c>
      <c r="AE300" s="294">
        <v>41836</v>
      </c>
      <c r="AF300" t="s">
        <v>1367</v>
      </c>
      <c r="AG300">
        <v>0</v>
      </c>
      <c r="AH300" t="s">
        <v>1949</v>
      </c>
      <c r="AI300">
        <v>1</v>
      </c>
      <c r="AJ300">
        <v>1</v>
      </c>
      <c r="AK300">
        <v>0</v>
      </c>
      <c r="AL300">
        <v>1</v>
      </c>
      <c r="AM300" t="s">
        <v>1355</v>
      </c>
      <c r="AN300" t="s">
        <v>1357</v>
      </c>
      <c r="AO300">
        <v>26.212</v>
      </c>
      <c r="AP300">
        <v>2</v>
      </c>
      <c r="AQ300">
        <v>0</v>
      </c>
      <c r="AR300">
        <v>26.078189999999999</v>
      </c>
      <c r="AS300">
        <v>26.212</v>
      </c>
      <c r="AT300">
        <v>1</v>
      </c>
    </row>
    <row r="301" spans="1:46" hidden="1" x14ac:dyDescent="0.2">
      <c r="A301" t="s">
        <v>1950</v>
      </c>
      <c r="B301" t="s">
        <v>1951</v>
      </c>
      <c r="C301" t="s">
        <v>1950</v>
      </c>
      <c r="D301" t="s">
        <v>1355</v>
      </c>
      <c r="E301" t="s">
        <v>1356</v>
      </c>
      <c r="F301" t="s">
        <v>1357</v>
      </c>
      <c r="G301" t="s">
        <v>1355</v>
      </c>
      <c r="H301" t="s">
        <v>1367</v>
      </c>
      <c r="I301" t="s">
        <v>1251</v>
      </c>
      <c r="J301">
        <v>3</v>
      </c>
      <c r="K301">
        <v>30</v>
      </c>
      <c r="L301" t="s">
        <v>1950</v>
      </c>
      <c r="M301" t="s">
        <v>1950</v>
      </c>
      <c r="N301" t="s">
        <v>1355</v>
      </c>
      <c r="O301" t="s">
        <v>1359</v>
      </c>
      <c r="P301">
        <v>1</v>
      </c>
      <c r="Q301">
        <v>1</v>
      </c>
      <c r="R301">
        <v>0</v>
      </c>
      <c r="S301" t="s">
        <v>1355</v>
      </c>
      <c r="T301">
        <v>0</v>
      </c>
      <c r="U301">
        <v>0</v>
      </c>
      <c r="V301">
        <v>0</v>
      </c>
      <c r="W301" t="s">
        <v>1355</v>
      </c>
      <c r="X301" t="s">
        <v>1355</v>
      </c>
      <c r="Y301" t="s">
        <v>1355</v>
      </c>
      <c r="Z301">
        <v>0</v>
      </c>
      <c r="AA301">
        <v>0</v>
      </c>
      <c r="AB301">
        <v>0</v>
      </c>
      <c r="AC301" s="294">
        <v>41836</v>
      </c>
      <c r="AD301" s="294">
        <v>73050</v>
      </c>
      <c r="AE301" s="294">
        <v>41836</v>
      </c>
      <c r="AF301" t="s">
        <v>1367</v>
      </c>
      <c r="AG301">
        <v>0</v>
      </c>
      <c r="AH301" t="s">
        <v>1952</v>
      </c>
      <c r="AI301">
        <v>1</v>
      </c>
      <c r="AJ301">
        <v>1</v>
      </c>
      <c r="AK301">
        <v>0</v>
      </c>
      <c r="AL301">
        <v>1</v>
      </c>
      <c r="AM301" t="s">
        <v>1355</v>
      </c>
      <c r="AN301" t="s">
        <v>1357</v>
      </c>
      <c r="AO301">
        <v>4.1120000000000001</v>
      </c>
      <c r="AP301">
        <v>2</v>
      </c>
      <c r="AQ301">
        <v>0</v>
      </c>
      <c r="AR301">
        <v>4.0769099999999998</v>
      </c>
      <c r="AS301">
        <v>4.1120000000000001</v>
      </c>
      <c r="AT301">
        <v>1</v>
      </c>
    </row>
    <row r="302" spans="1:46" hidden="1" x14ac:dyDescent="0.2">
      <c r="A302" t="s">
        <v>1953</v>
      </c>
      <c r="B302" t="s">
        <v>1954</v>
      </c>
      <c r="C302" t="s">
        <v>1953</v>
      </c>
      <c r="D302" t="s">
        <v>1355</v>
      </c>
      <c r="E302" t="s">
        <v>1356</v>
      </c>
      <c r="F302" t="s">
        <v>1357</v>
      </c>
      <c r="G302" t="s">
        <v>1355</v>
      </c>
      <c r="H302" t="s">
        <v>1367</v>
      </c>
      <c r="I302" t="s">
        <v>1251</v>
      </c>
      <c r="J302">
        <v>4</v>
      </c>
      <c r="K302">
        <v>40</v>
      </c>
      <c r="L302" t="s">
        <v>1953</v>
      </c>
      <c r="M302" t="s">
        <v>1953</v>
      </c>
      <c r="N302" t="s">
        <v>1355</v>
      </c>
      <c r="O302" t="s">
        <v>1359</v>
      </c>
      <c r="P302">
        <v>1</v>
      </c>
      <c r="Q302">
        <v>1</v>
      </c>
      <c r="R302">
        <v>0</v>
      </c>
      <c r="S302" t="s">
        <v>1355</v>
      </c>
      <c r="T302">
        <v>0</v>
      </c>
      <c r="U302">
        <v>0</v>
      </c>
      <c r="V302">
        <v>0</v>
      </c>
      <c r="W302" t="s">
        <v>1355</v>
      </c>
      <c r="X302" t="s">
        <v>1355</v>
      </c>
      <c r="Y302" t="s">
        <v>1355</v>
      </c>
      <c r="Z302">
        <v>0</v>
      </c>
      <c r="AA302">
        <v>0</v>
      </c>
      <c r="AB302">
        <v>0</v>
      </c>
      <c r="AC302" s="294">
        <v>41836</v>
      </c>
      <c r="AD302" s="294">
        <v>73050</v>
      </c>
      <c r="AE302" s="294">
        <v>41836</v>
      </c>
      <c r="AF302" t="s">
        <v>1367</v>
      </c>
      <c r="AG302">
        <v>0</v>
      </c>
      <c r="AH302" t="s">
        <v>1955</v>
      </c>
      <c r="AI302">
        <v>1</v>
      </c>
      <c r="AJ302">
        <v>1</v>
      </c>
      <c r="AK302">
        <v>0</v>
      </c>
      <c r="AL302">
        <v>1</v>
      </c>
      <c r="AM302" t="s">
        <v>1355</v>
      </c>
      <c r="AN302" t="s">
        <v>1357</v>
      </c>
      <c r="AO302">
        <v>2.27</v>
      </c>
      <c r="AP302">
        <v>2</v>
      </c>
      <c r="AQ302">
        <v>0</v>
      </c>
      <c r="AR302">
        <v>2.2639399999999998</v>
      </c>
      <c r="AS302">
        <v>2.27</v>
      </c>
      <c r="AT302">
        <v>1</v>
      </c>
    </row>
    <row r="303" spans="1:46" hidden="1" x14ac:dyDescent="0.2">
      <c r="A303" t="s">
        <v>1956</v>
      </c>
      <c r="B303" t="s">
        <v>1957</v>
      </c>
      <c r="C303" t="s">
        <v>1956</v>
      </c>
      <c r="D303" t="s">
        <v>1355</v>
      </c>
      <c r="E303" t="s">
        <v>1356</v>
      </c>
      <c r="F303" t="s">
        <v>1357</v>
      </c>
      <c r="G303" t="s">
        <v>1355</v>
      </c>
      <c r="H303" t="s">
        <v>1367</v>
      </c>
      <c r="I303" t="s">
        <v>1251</v>
      </c>
      <c r="J303">
        <v>5</v>
      </c>
      <c r="K303">
        <v>50</v>
      </c>
      <c r="L303" t="s">
        <v>1956</v>
      </c>
      <c r="M303" t="s">
        <v>1956</v>
      </c>
      <c r="N303" t="s">
        <v>1355</v>
      </c>
      <c r="O303" t="s">
        <v>1359</v>
      </c>
      <c r="P303">
        <v>3</v>
      </c>
      <c r="Q303">
        <v>3</v>
      </c>
      <c r="R303">
        <v>0</v>
      </c>
      <c r="S303" t="s">
        <v>1355</v>
      </c>
      <c r="T303">
        <v>0</v>
      </c>
      <c r="U303">
        <v>0</v>
      </c>
      <c r="V303">
        <v>0</v>
      </c>
      <c r="W303" t="s">
        <v>1355</v>
      </c>
      <c r="X303" t="s">
        <v>1355</v>
      </c>
      <c r="Y303" t="s">
        <v>1355</v>
      </c>
      <c r="Z303">
        <v>0</v>
      </c>
      <c r="AA303">
        <v>0</v>
      </c>
      <c r="AB303">
        <v>0</v>
      </c>
      <c r="AC303" s="294">
        <v>41836</v>
      </c>
      <c r="AD303" s="294">
        <v>73050</v>
      </c>
      <c r="AE303" s="294">
        <v>41836</v>
      </c>
      <c r="AF303" t="s">
        <v>1367</v>
      </c>
      <c r="AG303">
        <v>0</v>
      </c>
      <c r="AH303" t="s">
        <v>1958</v>
      </c>
      <c r="AI303">
        <v>3</v>
      </c>
      <c r="AJ303">
        <v>3</v>
      </c>
      <c r="AK303">
        <v>0</v>
      </c>
      <c r="AL303">
        <v>3</v>
      </c>
      <c r="AM303" t="s">
        <v>1355</v>
      </c>
      <c r="AN303" t="s">
        <v>1357</v>
      </c>
      <c r="AO303">
        <v>0.48</v>
      </c>
      <c r="AP303">
        <v>2</v>
      </c>
      <c r="AQ303">
        <v>0</v>
      </c>
      <c r="AR303">
        <v>0.48</v>
      </c>
      <c r="AS303">
        <v>0.48</v>
      </c>
      <c r="AT303">
        <v>1</v>
      </c>
    </row>
    <row r="304" spans="1:46" x14ac:dyDescent="0.2">
      <c r="A304" t="s">
        <v>1252</v>
      </c>
      <c r="B304" t="s">
        <v>1959</v>
      </c>
      <c r="C304" t="s">
        <v>1252</v>
      </c>
      <c r="D304" t="s">
        <v>1355</v>
      </c>
      <c r="E304" t="s">
        <v>1356</v>
      </c>
      <c r="F304" t="s">
        <v>1357</v>
      </c>
      <c r="G304" t="s">
        <v>1355</v>
      </c>
      <c r="H304" t="s">
        <v>1358</v>
      </c>
      <c r="I304" t="s">
        <v>1353</v>
      </c>
      <c r="J304">
        <v>43</v>
      </c>
      <c r="K304">
        <v>440</v>
      </c>
      <c r="L304" t="s">
        <v>1252</v>
      </c>
      <c r="M304" t="s">
        <v>1252</v>
      </c>
      <c r="N304" t="s">
        <v>1355</v>
      </c>
      <c r="O304" t="s">
        <v>1359</v>
      </c>
      <c r="P304">
        <v>1</v>
      </c>
      <c r="Q304">
        <v>1</v>
      </c>
      <c r="R304">
        <v>0</v>
      </c>
      <c r="S304" t="s">
        <v>1355</v>
      </c>
      <c r="T304">
        <v>0</v>
      </c>
      <c r="U304">
        <v>0</v>
      </c>
      <c r="V304">
        <v>0</v>
      </c>
      <c r="W304" t="s">
        <v>1355</v>
      </c>
      <c r="X304" t="s">
        <v>1355</v>
      </c>
      <c r="Y304" t="s">
        <v>1355</v>
      </c>
      <c r="Z304">
        <v>0</v>
      </c>
      <c r="AA304">
        <v>0</v>
      </c>
      <c r="AB304">
        <v>0</v>
      </c>
      <c r="AC304" s="294">
        <v>36161</v>
      </c>
      <c r="AD304" s="294">
        <v>73050</v>
      </c>
      <c r="AE304" s="294">
        <v>41844</v>
      </c>
      <c r="AF304" t="s">
        <v>1358</v>
      </c>
      <c r="AG304">
        <v>0</v>
      </c>
      <c r="AH304" t="s">
        <v>1960</v>
      </c>
      <c r="AI304">
        <v>1</v>
      </c>
      <c r="AJ304">
        <v>1</v>
      </c>
      <c r="AK304">
        <v>0</v>
      </c>
      <c r="AL304">
        <v>1</v>
      </c>
      <c r="AM304" t="s">
        <v>1362</v>
      </c>
      <c r="AN304" t="s">
        <v>1357</v>
      </c>
      <c r="AO304">
        <v>52.137999999999998</v>
      </c>
      <c r="AP304">
        <v>1</v>
      </c>
      <c r="AQ304">
        <v>0</v>
      </c>
      <c r="AR304">
        <v>51.454329999999999</v>
      </c>
      <c r="AS304">
        <v>52.137999999999998</v>
      </c>
      <c r="AT304">
        <v>1</v>
      </c>
    </row>
    <row r="305" spans="1:46" hidden="1" x14ac:dyDescent="0.2">
      <c r="A305" t="s">
        <v>1961</v>
      </c>
      <c r="B305" t="s">
        <v>1962</v>
      </c>
      <c r="C305" t="s">
        <v>1961</v>
      </c>
      <c r="D305" t="s">
        <v>1355</v>
      </c>
      <c r="E305" t="s">
        <v>1356</v>
      </c>
      <c r="F305" t="s">
        <v>1357</v>
      </c>
      <c r="G305" t="s">
        <v>1355</v>
      </c>
      <c r="H305" t="s">
        <v>1367</v>
      </c>
      <c r="I305" t="s">
        <v>1252</v>
      </c>
      <c r="J305">
        <v>1</v>
      </c>
      <c r="K305">
        <v>10</v>
      </c>
      <c r="L305" t="s">
        <v>1961</v>
      </c>
      <c r="M305" t="s">
        <v>1961</v>
      </c>
      <c r="N305" t="s">
        <v>1355</v>
      </c>
      <c r="O305" t="s">
        <v>1359</v>
      </c>
      <c r="P305">
        <v>1</v>
      </c>
      <c r="Q305">
        <v>1</v>
      </c>
      <c r="R305">
        <v>0</v>
      </c>
      <c r="S305" t="s">
        <v>1355</v>
      </c>
      <c r="T305">
        <v>0</v>
      </c>
      <c r="U305">
        <v>0</v>
      </c>
      <c r="V305">
        <v>0</v>
      </c>
      <c r="W305" t="s">
        <v>1355</v>
      </c>
      <c r="X305" t="s">
        <v>1355</v>
      </c>
      <c r="Y305" t="s">
        <v>1355</v>
      </c>
      <c r="Z305">
        <v>0</v>
      </c>
      <c r="AA305">
        <v>0</v>
      </c>
      <c r="AB305">
        <v>0</v>
      </c>
      <c r="AC305" s="294">
        <v>41836</v>
      </c>
      <c r="AD305" s="294">
        <v>73050</v>
      </c>
      <c r="AE305" s="294">
        <v>41836</v>
      </c>
      <c r="AF305" t="s">
        <v>1367</v>
      </c>
      <c r="AG305">
        <v>0</v>
      </c>
      <c r="AH305" t="s">
        <v>1963</v>
      </c>
      <c r="AI305">
        <v>1</v>
      </c>
      <c r="AJ305">
        <v>1</v>
      </c>
      <c r="AK305">
        <v>0</v>
      </c>
      <c r="AL305">
        <v>1</v>
      </c>
      <c r="AM305" t="s">
        <v>1355</v>
      </c>
      <c r="AN305" t="s">
        <v>1357</v>
      </c>
      <c r="AO305">
        <v>13.53</v>
      </c>
      <c r="AP305">
        <v>2</v>
      </c>
      <c r="AQ305">
        <v>0</v>
      </c>
      <c r="AR305">
        <v>13.363479999999999</v>
      </c>
      <c r="AS305">
        <v>13.53</v>
      </c>
      <c r="AT305">
        <v>1</v>
      </c>
    </row>
    <row r="306" spans="1:46" hidden="1" x14ac:dyDescent="0.2">
      <c r="A306" t="s">
        <v>1964</v>
      </c>
      <c r="B306" t="s">
        <v>1965</v>
      </c>
      <c r="C306" t="s">
        <v>1964</v>
      </c>
      <c r="D306" t="s">
        <v>1355</v>
      </c>
      <c r="E306" t="s">
        <v>1356</v>
      </c>
      <c r="F306" t="s">
        <v>1357</v>
      </c>
      <c r="G306" t="s">
        <v>1355</v>
      </c>
      <c r="H306" t="s">
        <v>1367</v>
      </c>
      <c r="I306" t="s">
        <v>1252</v>
      </c>
      <c r="J306">
        <v>2</v>
      </c>
      <c r="K306">
        <v>20</v>
      </c>
      <c r="L306" t="s">
        <v>1964</v>
      </c>
      <c r="M306" t="s">
        <v>1964</v>
      </c>
      <c r="N306" t="s">
        <v>1355</v>
      </c>
      <c r="O306" t="s">
        <v>1359</v>
      </c>
      <c r="P306">
        <v>1</v>
      </c>
      <c r="Q306">
        <v>1</v>
      </c>
      <c r="R306">
        <v>0</v>
      </c>
      <c r="S306" t="s">
        <v>1355</v>
      </c>
      <c r="T306">
        <v>0</v>
      </c>
      <c r="U306">
        <v>0</v>
      </c>
      <c r="V306">
        <v>0</v>
      </c>
      <c r="W306" t="s">
        <v>1355</v>
      </c>
      <c r="X306" t="s">
        <v>1355</v>
      </c>
      <c r="Y306" t="s">
        <v>1355</v>
      </c>
      <c r="Z306">
        <v>0</v>
      </c>
      <c r="AA306">
        <v>0</v>
      </c>
      <c r="AB306">
        <v>0</v>
      </c>
      <c r="AC306" s="294">
        <v>41836</v>
      </c>
      <c r="AD306" s="294">
        <v>73050</v>
      </c>
      <c r="AE306" s="294">
        <v>41836</v>
      </c>
      <c r="AF306" t="s">
        <v>1367</v>
      </c>
      <c r="AG306">
        <v>0</v>
      </c>
      <c r="AH306" t="s">
        <v>1966</v>
      </c>
      <c r="AI306">
        <v>1</v>
      </c>
      <c r="AJ306">
        <v>1</v>
      </c>
      <c r="AK306">
        <v>0</v>
      </c>
      <c r="AL306">
        <v>1</v>
      </c>
      <c r="AM306" t="s">
        <v>1355</v>
      </c>
      <c r="AN306" t="s">
        <v>1357</v>
      </c>
      <c r="AO306">
        <v>31.565999999999999</v>
      </c>
      <c r="AP306">
        <v>2</v>
      </c>
      <c r="AQ306">
        <v>0</v>
      </c>
      <c r="AR306">
        <v>31.09</v>
      </c>
      <c r="AS306">
        <v>31.565999999999999</v>
      </c>
      <c r="AT306">
        <v>1</v>
      </c>
    </row>
    <row r="307" spans="1:46" hidden="1" x14ac:dyDescent="0.2">
      <c r="A307" t="s">
        <v>1950</v>
      </c>
      <c r="B307" t="s">
        <v>1951</v>
      </c>
      <c r="C307" t="s">
        <v>1950</v>
      </c>
      <c r="D307" t="s">
        <v>1355</v>
      </c>
      <c r="E307" t="s">
        <v>1356</v>
      </c>
      <c r="F307" t="s">
        <v>1357</v>
      </c>
      <c r="G307" t="s">
        <v>1355</v>
      </c>
      <c r="H307" t="s">
        <v>1367</v>
      </c>
      <c r="I307" t="s">
        <v>1252</v>
      </c>
      <c r="J307">
        <v>3</v>
      </c>
      <c r="K307">
        <v>30</v>
      </c>
      <c r="L307" t="s">
        <v>1950</v>
      </c>
      <c r="M307" t="s">
        <v>1950</v>
      </c>
      <c r="N307" t="s">
        <v>1355</v>
      </c>
      <c r="O307" t="s">
        <v>1359</v>
      </c>
      <c r="P307">
        <v>1</v>
      </c>
      <c r="Q307">
        <v>1</v>
      </c>
      <c r="R307">
        <v>0</v>
      </c>
      <c r="S307" t="s">
        <v>1355</v>
      </c>
      <c r="T307">
        <v>0</v>
      </c>
      <c r="U307">
        <v>0</v>
      </c>
      <c r="V307">
        <v>0</v>
      </c>
      <c r="W307" t="s">
        <v>1355</v>
      </c>
      <c r="X307" t="s">
        <v>1355</v>
      </c>
      <c r="Y307" t="s">
        <v>1355</v>
      </c>
      <c r="Z307">
        <v>0</v>
      </c>
      <c r="AA307">
        <v>0</v>
      </c>
      <c r="AB307">
        <v>0</v>
      </c>
      <c r="AC307" s="294">
        <v>41836</v>
      </c>
      <c r="AD307" s="294">
        <v>73050</v>
      </c>
      <c r="AE307" s="294">
        <v>41836</v>
      </c>
      <c r="AF307" t="s">
        <v>1367</v>
      </c>
      <c r="AG307">
        <v>0</v>
      </c>
      <c r="AH307" t="s">
        <v>1967</v>
      </c>
      <c r="AI307">
        <v>1</v>
      </c>
      <c r="AJ307">
        <v>1</v>
      </c>
      <c r="AK307">
        <v>0</v>
      </c>
      <c r="AL307">
        <v>1</v>
      </c>
      <c r="AM307" t="s">
        <v>1355</v>
      </c>
      <c r="AN307" t="s">
        <v>1357</v>
      </c>
      <c r="AO307">
        <v>4.1120000000000001</v>
      </c>
      <c r="AP307">
        <v>2</v>
      </c>
      <c r="AQ307">
        <v>0</v>
      </c>
      <c r="AR307">
        <v>4.0769099999999998</v>
      </c>
      <c r="AS307">
        <v>4.1120000000000001</v>
      </c>
      <c r="AT307">
        <v>1</v>
      </c>
    </row>
    <row r="308" spans="1:46" hidden="1" x14ac:dyDescent="0.2">
      <c r="A308" t="s">
        <v>1953</v>
      </c>
      <c r="B308" t="s">
        <v>1954</v>
      </c>
      <c r="C308" t="s">
        <v>1953</v>
      </c>
      <c r="D308" t="s">
        <v>1355</v>
      </c>
      <c r="E308" t="s">
        <v>1356</v>
      </c>
      <c r="F308" t="s">
        <v>1357</v>
      </c>
      <c r="G308" t="s">
        <v>1355</v>
      </c>
      <c r="H308" t="s">
        <v>1367</v>
      </c>
      <c r="I308" t="s">
        <v>1252</v>
      </c>
      <c r="J308">
        <v>4</v>
      </c>
      <c r="K308">
        <v>40</v>
      </c>
      <c r="L308" t="s">
        <v>1953</v>
      </c>
      <c r="M308" t="s">
        <v>1953</v>
      </c>
      <c r="N308" t="s">
        <v>1355</v>
      </c>
      <c r="O308" t="s">
        <v>1359</v>
      </c>
      <c r="P308">
        <v>1</v>
      </c>
      <c r="Q308">
        <v>1</v>
      </c>
      <c r="R308">
        <v>0</v>
      </c>
      <c r="S308" t="s">
        <v>1355</v>
      </c>
      <c r="T308">
        <v>0</v>
      </c>
      <c r="U308">
        <v>0</v>
      </c>
      <c r="V308">
        <v>0</v>
      </c>
      <c r="W308" t="s">
        <v>1355</v>
      </c>
      <c r="X308" t="s">
        <v>1355</v>
      </c>
      <c r="Y308" t="s">
        <v>1355</v>
      </c>
      <c r="Z308">
        <v>0</v>
      </c>
      <c r="AA308">
        <v>0</v>
      </c>
      <c r="AB308">
        <v>0</v>
      </c>
      <c r="AC308" s="294">
        <v>41836</v>
      </c>
      <c r="AD308" s="294">
        <v>73050</v>
      </c>
      <c r="AE308" s="294">
        <v>41836</v>
      </c>
      <c r="AF308" t="s">
        <v>1367</v>
      </c>
      <c r="AG308">
        <v>0</v>
      </c>
      <c r="AH308" t="s">
        <v>1968</v>
      </c>
      <c r="AI308">
        <v>1</v>
      </c>
      <c r="AJ308">
        <v>1</v>
      </c>
      <c r="AK308">
        <v>0</v>
      </c>
      <c r="AL308">
        <v>1</v>
      </c>
      <c r="AM308" t="s">
        <v>1355</v>
      </c>
      <c r="AN308" t="s">
        <v>1357</v>
      </c>
      <c r="AO308">
        <v>2.27</v>
      </c>
      <c r="AP308">
        <v>2</v>
      </c>
      <c r="AQ308">
        <v>0</v>
      </c>
      <c r="AR308">
        <v>2.2639399999999998</v>
      </c>
      <c r="AS308">
        <v>2.27</v>
      </c>
      <c r="AT308">
        <v>1</v>
      </c>
    </row>
    <row r="309" spans="1:46" hidden="1" x14ac:dyDescent="0.2">
      <c r="A309" t="s">
        <v>1969</v>
      </c>
      <c r="B309" t="s">
        <v>1970</v>
      </c>
      <c r="C309" t="s">
        <v>1969</v>
      </c>
      <c r="D309" t="s">
        <v>1355</v>
      </c>
      <c r="E309" t="s">
        <v>1356</v>
      </c>
      <c r="F309" t="s">
        <v>1357</v>
      </c>
      <c r="G309" t="s">
        <v>1355</v>
      </c>
      <c r="H309" t="s">
        <v>1367</v>
      </c>
      <c r="I309" t="s">
        <v>1252</v>
      </c>
      <c r="J309">
        <v>5</v>
      </c>
      <c r="K309">
        <v>50</v>
      </c>
      <c r="L309" t="s">
        <v>1969</v>
      </c>
      <c r="M309" t="s">
        <v>1969</v>
      </c>
      <c r="N309" t="s">
        <v>1355</v>
      </c>
      <c r="O309" t="s">
        <v>1359</v>
      </c>
      <c r="P309">
        <v>3</v>
      </c>
      <c r="Q309">
        <v>3</v>
      </c>
      <c r="R309">
        <v>0</v>
      </c>
      <c r="S309" t="s">
        <v>1355</v>
      </c>
      <c r="T309">
        <v>0</v>
      </c>
      <c r="U309">
        <v>0</v>
      </c>
      <c r="V309">
        <v>0</v>
      </c>
      <c r="W309" t="s">
        <v>1355</v>
      </c>
      <c r="X309" t="s">
        <v>1355</v>
      </c>
      <c r="Y309" t="s">
        <v>1355</v>
      </c>
      <c r="Z309">
        <v>0</v>
      </c>
      <c r="AA309">
        <v>0</v>
      </c>
      <c r="AB309">
        <v>0</v>
      </c>
      <c r="AC309" s="294">
        <v>41836</v>
      </c>
      <c r="AD309" s="294">
        <v>73050</v>
      </c>
      <c r="AE309" s="294">
        <v>41836</v>
      </c>
      <c r="AF309" t="s">
        <v>1367</v>
      </c>
      <c r="AG309">
        <v>0</v>
      </c>
      <c r="AH309" t="s">
        <v>1971</v>
      </c>
      <c r="AI309">
        <v>3</v>
      </c>
      <c r="AJ309">
        <v>3</v>
      </c>
      <c r="AK309">
        <v>0</v>
      </c>
      <c r="AL309">
        <v>3</v>
      </c>
      <c r="AM309" t="s">
        <v>1355</v>
      </c>
      <c r="AN309" t="s">
        <v>1357</v>
      </c>
      <c r="AO309">
        <v>0.66</v>
      </c>
      <c r="AP309">
        <v>2</v>
      </c>
      <c r="AQ309">
        <v>0</v>
      </c>
      <c r="AR309">
        <v>0.66</v>
      </c>
      <c r="AS309">
        <v>0.66</v>
      </c>
      <c r="AT309">
        <v>1</v>
      </c>
    </row>
    <row r="310" spans="1:46" x14ac:dyDescent="0.2">
      <c r="A310" t="s">
        <v>1253</v>
      </c>
      <c r="B310" t="s">
        <v>1972</v>
      </c>
      <c r="C310" t="s">
        <v>1253</v>
      </c>
      <c r="D310" t="s">
        <v>1355</v>
      </c>
      <c r="E310" t="s">
        <v>1356</v>
      </c>
      <c r="F310" t="s">
        <v>1357</v>
      </c>
      <c r="G310" t="s">
        <v>1355</v>
      </c>
      <c r="H310" t="s">
        <v>1358</v>
      </c>
      <c r="I310" t="s">
        <v>1353</v>
      </c>
      <c r="J310">
        <v>44</v>
      </c>
      <c r="K310">
        <v>450</v>
      </c>
      <c r="L310" t="s">
        <v>1253</v>
      </c>
      <c r="M310" t="s">
        <v>1253</v>
      </c>
      <c r="N310" t="s">
        <v>1355</v>
      </c>
      <c r="O310" t="s">
        <v>1359</v>
      </c>
      <c r="P310">
        <v>1</v>
      </c>
      <c r="Q310">
        <v>1</v>
      </c>
      <c r="R310">
        <v>0</v>
      </c>
      <c r="S310" t="s">
        <v>1355</v>
      </c>
      <c r="T310">
        <v>0</v>
      </c>
      <c r="U310">
        <v>0</v>
      </c>
      <c r="V310">
        <v>0</v>
      </c>
      <c r="W310" t="s">
        <v>1355</v>
      </c>
      <c r="X310" t="s">
        <v>1355</v>
      </c>
      <c r="Y310" t="s">
        <v>1355</v>
      </c>
      <c r="Z310">
        <v>0</v>
      </c>
      <c r="AA310">
        <v>0</v>
      </c>
      <c r="AB310">
        <v>0</v>
      </c>
      <c r="AC310" s="294">
        <v>36161</v>
      </c>
      <c r="AD310" s="294">
        <v>73050</v>
      </c>
      <c r="AE310" s="294">
        <v>41844</v>
      </c>
      <c r="AF310" t="s">
        <v>1358</v>
      </c>
      <c r="AG310">
        <v>0</v>
      </c>
      <c r="AH310" t="s">
        <v>1973</v>
      </c>
      <c r="AI310">
        <v>1</v>
      </c>
      <c r="AJ310">
        <v>1</v>
      </c>
      <c r="AK310">
        <v>0</v>
      </c>
      <c r="AL310">
        <v>1</v>
      </c>
      <c r="AM310" t="s">
        <v>1362</v>
      </c>
      <c r="AN310" t="s">
        <v>1357</v>
      </c>
      <c r="AO310">
        <v>56.903329999999997</v>
      </c>
      <c r="AP310">
        <v>1</v>
      </c>
      <c r="AQ310">
        <v>0</v>
      </c>
      <c r="AR310">
        <v>56.218139999999998</v>
      </c>
      <c r="AS310">
        <v>56.903329999999997</v>
      </c>
      <c r="AT310">
        <v>1</v>
      </c>
    </row>
    <row r="311" spans="1:46" hidden="1" x14ac:dyDescent="0.2">
      <c r="A311" t="s">
        <v>1974</v>
      </c>
      <c r="B311" t="s">
        <v>1975</v>
      </c>
      <c r="C311" t="s">
        <v>1974</v>
      </c>
      <c r="D311" t="s">
        <v>1355</v>
      </c>
      <c r="E311" t="s">
        <v>1356</v>
      </c>
      <c r="F311" t="s">
        <v>1357</v>
      </c>
      <c r="G311" t="s">
        <v>1355</v>
      </c>
      <c r="H311" t="s">
        <v>1367</v>
      </c>
      <c r="I311" t="s">
        <v>1253</v>
      </c>
      <c r="J311">
        <v>1</v>
      </c>
      <c r="K311">
        <v>10</v>
      </c>
      <c r="L311" t="s">
        <v>1974</v>
      </c>
      <c r="M311" t="s">
        <v>1974</v>
      </c>
      <c r="N311" t="s">
        <v>1355</v>
      </c>
      <c r="O311" t="s">
        <v>1359</v>
      </c>
      <c r="P311">
        <v>1</v>
      </c>
      <c r="Q311">
        <v>1</v>
      </c>
      <c r="R311">
        <v>0</v>
      </c>
      <c r="S311" t="s">
        <v>1355</v>
      </c>
      <c r="T311">
        <v>0</v>
      </c>
      <c r="U311">
        <v>0</v>
      </c>
      <c r="V311">
        <v>0</v>
      </c>
      <c r="W311" t="s">
        <v>1355</v>
      </c>
      <c r="X311" t="s">
        <v>1355</v>
      </c>
      <c r="Y311" t="s">
        <v>1355</v>
      </c>
      <c r="Z311">
        <v>0</v>
      </c>
      <c r="AA311">
        <v>0</v>
      </c>
      <c r="AB311">
        <v>0</v>
      </c>
      <c r="AC311" s="294">
        <v>41836</v>
      </c>
      <c r="AD311" s="294">
        <v>73050</v>
      </c>
      <c r="AE311" s="294">
        <v>41836</v>
      </c>
      <c r="AF311" t="s">
        <v>1367</v>
      </c>
      <c r="AG311">
        <v>0</v>
      </c>
      <c r="AH311" t="s">
        <v>1976</v>
      </c>
      <c r="AI311">
        <v>1</v>
      </c>
      <c r="AJ311">
        <v>1</v>
      </c>
      <c r="AK311">
        <v>0</v>
      </c>
      <c r="AL311">
        <v>1</v>
      </c>
      <c r="AM311" t="s">
        <v>1355</v>
      </c>
      <c r="AN311" t="s">
        <v>1357</v>
      </c>
      <c r="AO311">
        <v>18.29533</v>
      </c>
      <c r="AP311">
        <v>2</v>
      </c>
      <c r="AQ311">
        <v>0</v>
      </c>
      <c r="AR311">
        <v>18.127289999999999</v>
      </c>
      <c r="AS311">
        <v>18.29533</v>
      </c>
      <c r="AT311">
        <v>1</v>
      </c>
    </row>
    <row r="312" spans="1:46" hidden="1" x14ac:dyDescent="0.2">
      <c r="A312" t="s">
        <v>1964</v>
      </c>
      <c r="B312" t="s">
        <v>1965</v>
      </c>
      <c r="C312" t="s">
        <v>1964</v>
      </c>
      <c r="D312" t="s">
        <v>1355</v>
      </c>
      <c r="E312" t="s">
        <v>1356</v>
      </c>
      <c r="F312" t="s">
        <v>1357</v>
      </c>
      <c r="G312" t="s">
        <v>1355</v>
      </c>
      <c r="H312" t="s">
        <v>1367</v>
      </c>
      <c r="I312" t="s">
        <v>1253</v>
      </c>
      <c r="J312">
        <v>2</v>
      </c>
      <c r="K312">
        <v>20</v>
      </c>
      <c r="L312" t="s">
        <v>1964</v>
      </c>
      <c r="M312" t="s">
        <v>1964</v>
      </c>
      <c r="N312" t="s">
        <v>1355</v>
      </c>
      <c r="O312" t="s">
        <v>1359</v>
      </c>
      <c r="P312">
        <v>1</v>
      </c>
      <c r="Q312">
        <v>1</v>
      </c>
      <c r="R312">
        <v>0</v>
      </c>
      <c r="S312" t="s">
        <v>1355</v>
      </c>
      <c r="T312">
        <v>0</v>
      </c>
      <c r="U312">
        <v>0</v>
      </c>
      <c r="V312">
        <v>0</v>
      </c>
      <c r="W312" t="s">
        <v>1355</v>
      </c>
      <c r="X312" t="s">
        <v>1355</v>
      </c>
      <c r="Y312" t="s">
        <v>1355</v>
      </c>
      <c r="Z312">
        <v>0</v>
      </c>
      <c r="AA312">
        <v>0</v>
      </c>
      <c r="AB312">
        <v>0</v>
      </c>
      <c r="AC312" s="294">
        <v>41836</v>
      </c>
      <c r="AD312" s="294">
        <v>73050</v>
      </c>
      <c r="AE312" s="294">
        <v>41836</v>
      </c>
      <c r="AF312" t="s">
        <v>1367</v>
      </c>
      <c r="AG312">
        <v>0</v>
      </c>
      <c r="AH312" t="s">
        <v>1977</v>
      </c>
      <c r="AI312">
        <v>1</v>
      </c>
      <c r="AJ312">
        <v>1</v>
      </c>
      <c r="AK312">
        <v>0</v>
      </c>
      <c r="AL312">
        <v>1</v>
      </c>
      <c r="AM312" t="s">
        <v>1355</v>
      </c>
      <c r="AN312" t="s">
        <v>1357</v>
      </c>
      <c r="AO312">
        <v>31.565999999999999</v>
      </c>
      <c r="AP312">
        <v>2</v>
      </c>
      <c r="AQ312">
        <v>0</v>
      </c>
      <c r="AR312">
        <v>31.09</v>
      </c>
      <c r="AS312">
        <v>31.565999999999999</v>
      </c>
      <c r="AT312">
        <v>1</v>
      </c>
    </row>
    <row r="313" spans="1:46" hidden="1" x14ac:dyDescent="0.2">
      <c r="A313" t="s">
        <v>1950</v>
      </c>
      <c r="B313" t="s">
        <v>1951</v>
      </c>
      <c r="C313" t="s">
        <v>1950</v>
      </c>
      <c r="D313" t="s">
        <v>1355</v>
      </c>
      <c r="E313" t="s">
        <v>1356</v>
      </c>
      <c r="F313" t="s">
        <v>1357</v>
      </c>
      <c r="G313" t="s">
        <v>1355</v>
      </c>
      <c r="H313" t="s">
        <v>1367</v>
      </c>
      <c r="I313" t="s">
        <v>1253</v>
      </c>
      <c r="J313">
        <v>3</v>
      </c>
      <c r="K313">
        <v>30</v>
      </c>
      <c r="L313" t="s">
        <v>1950</v>
      </c>
      <c r="M313" t="s">
        <v>1950</v>
      </c>
      <c r="N313" t="s">
        <v>1355</v>
      </c>
      <c r="O313" t="s">
        <v>1359</v>
      </c>
      <c r="P313">
        <v>1</v>
      </c>
      <c r="Q313">
        <v>1</v>
      </c>
      <c r="R313">
        <v>0</v>
      </c>
      <c r="S313" t="s">
        <v>1355</v>
      </c>
      <c r="T313">
        <v>0</v>
      </c>
      <c r="U313">
        <v>0</v>
      </c>
      <c r="V313">
        <v>0</v>
      </c>
      <c r="W313" t="s">
        <v>1355</v>
      </c>
      <c r="X313" t="s">
        <v>1355</v>
      </c>
      <c r="Y313" t="s">
        <v>1355</v>
      </c>
      <c r="Z313">
        <v>0</v>
      </c>
      <c r="AA313">
        <v>0</v>
      </c>
      <c r="AB313">
        <v>0</v>
      </c>
      <c r="AC313" s="294">
        <v>41836</v>
      </c>
      <c r="AD313" s="294">
        <v>73050</v>
      </c>
      <c r="AE313" s="294">
        <v>41836</v>
      </c>
      <c r="AF313" t="s">
        <v>1367</v>
      </c>
      <c r="AG313">
        <v>0</v>
      </c>
      <c r="AH313" t="s">
        <v>1978</v>
      </c>
      <c r="AI313">
        <v>1</v>
      </c>
      <c r="AJ313">
        <v>1</v>
      </c>
      <c r="AK313">
        <v>0</v>
      </c>
      <c r="AL313">
        <v>1</v>
      </c>
      <c r="AM313" t="s">
        <v>1355</v>
      </c>
      <c r="AN313" t="s">
        <v>1357</v>
      </c>
      <c r="AO313">
        <v>4.1120000000000001</v>
      </c>
      <c r="AP313">
        <v>2</v>
      </c>
      <c r="AQ313">
        <v>0</v>
      </c>
      <c r="AR313">
        <v>4.0769099999999998</v>
      </c>
      <c r="AS313">
        <v>4.1120000000000001</v>
      </c>
      <c r="AT313">
        <v>1</v>
      </c>
    </row>
    <row r="314" spans="1:46" hidden="1" x14ac:dyDescent="0.2">
      <c r="A314" t="s">
        <v>1953</v>
      </c>
      <c r="B314" t="s">
        <v>1954</v>
      </c>
      <c r="C314" t="s">
        <v>1953</v>
      </c>
      <c r="D314" t="s">
        <v>1355</v>
      </c>
      <c r="E314" t="s">
        <v>1356</v>
      </c>
      <c r="F314" t="s">
        <v>1357</v>
      </c>
      <c r="G314" t="s">
        <v>1355</v>
      </c>
      <c r="H314" t="s">
        <v>1367</v>
      </c>
      <c r="I314" t="s">
        <v>1253</v>
      </c>
      <c r="J314">
        <v>4</v>
      </c>
      <c r="K314">
        <v>40</v>
      </c>
      <c r="L314" t="s">
        <v>1953</v>
      </c>
      <c r="M314" t="s">
        <v>1953</v>
      </c>
      <c r="N314" t="s">
        <v>1355</v>
      </c>
      <c r="O314" t="s">
        <v>1359</v>
      </c>
      <c r="P314">
        <v>1</v>
      </c>
      <c r="Q314">
        <v>1</v>
      </c>
      <c r="R314">
        <v>0</v>
      </c>
      <c r="S314" t="s">
        <v>1355</v>
      </c>
      <c r="T314">
        <v>0</v>
      </c>
      <c r="U314">
        <v>0</v>
      </c>
      <c r="V314">
        <v>0</v>
      </c>
      <c r="W314" t="s">
        <v>1355</v>
      </c>
      <c r="X314" t="s">
        <v>1355</v>
      </c>
      <c r="Y314" t="s">
        <v>1355</v>
      </c>
      <c r="Z314">
        <v>0</v>
      </c>
      <c r="AA314">
        <v>0</v>
      </c>
      <c r="AB314">
        <v>0</v>
      </c>
      <c r="AC314" s="294">
        <v>41836</v>
      </c>
      <c r="AD314" s="294">
        <v>73050</v>
      </c>
      <c r="AE314" s="294">
        <v>41836</v>
      </c>
      <c r="AF314" t="s">
        <v>1367</v>
      </c>
      <c r="AG314">
        <v>0</v>
      </c>
      <c r="AH314" t="s">
        <v>1979</v>
      </c>
      <c r="AI314">
        <v>1</v>
      </c>
      <c r="AJ314">
        <v>1</v>
      </c>
      <c r="AK314">
        <v>0</v>
      </c>
      <c r="AL314">
        <v>1</v>
      </c>
      <c r="AM314" t="s">
        <v>1355</v>
      </c>
      <c r="AN314" t="s">
        <v>1357</v>
      </c>
      <c r="AO314">
        <v>2.27</v>
      </c>
      <c r="AP314">
        <v>2</v>
      </c>
      <c r="AQ314">
        <v>0</v>
      </c>
      <c r="AR314">
        <v>2.2639399999999998</v>
      </c>
      <c r="AS314">
        <v>2.27</v>
      </c>
      <c r="AT314">
        <v>1</v>
      </c>
    </row>
    <row r="315" spans="1:46" hidden="1" x14ac:dyDescent="0.2">
      <c r="A315" t="s">
        <v>1969</v>
      </c>
      <c r="B315" t="s">
        <v>1970</v>
      </c>
      <c r="C315" t="s">
        <v>1969</v>
      </c>
      <c r="D315" t="s">
        <v>1355</v>
      </c>
      <c r="E315" t="s">
        <v>1356</v>
      </c>
      <c r="F315" t="s">
        <v>1357</v>
      </c>
      <c r="G315" t="s">
        <v>1355</v>
      </c>
      <c r="H315" t="s">
        <v>1367</v>
      </c>
      <c r="I315" t="s">
        <v>1253</v>
      </c>
      <c r="J315">
        <v>5</v>
      </c>
      <c r="K315">
        <v>50</v>
      </c>
      <c r="L315" t="s">
        <v>1969</v>
      </c>
      <c r="M315" t="s">
        <v>1969</v>
      </c>
      <c r="N315" t="s">
        <v>1355</v>
      </c>
      <c r="O315" t="s">
        <v>1359</v>
      </c>
      <c r="P315">
        <v>3</v>
      </c>
      <c r="Q315">
        <v>3</v>
      </c>
      <c r="R315">
        <v>0</v>
      </c>
      <c r="S315" t="s">
        <v>1355</v>
      </c>
      <c r="T315">
        <v>0</v>
      </c>
      <c r="U315">
        <v>0</v>
      </c>
      <c r="V315">
        <v>0</v>
      </c>
      <c r="W315" t="s">
        <v>1355</v>
      </c>
      <c r="X315" t="s">
        <v>1355</v>
      </c>
      <c r="Y315" t="s">
        <v>1355</v>
      </c>
      <c r="Z315">
        <v>0</v>
      </c>
      <c r="AA315">
        <v>0</v>
      </c>
      <c r="AB315">
        <v>0</v>
      </c>
      <c r="AC315" s="294">
        <v>41836</v>
      </c>
      <c r="AD315" s="294">
        <v>73050</v>
      </c>
      <c r="AE315" s="294">
        <v>41836</v>
      </c>
      <c r="AF315" t="s">
        <v>1367</v>
      </c>
      <c r="AG315">
        <v>0</v>
      </c>
      <c r="AH315" t="s">
        <v>1980</v>
      </c>
      <c r="AI315">
        <v>3</v>
      </c>
      <c r="AJ315">
        <v>3</v>
      </c>
      <c r="AK315">
        <v>0</v>
      </c>
      <c r="AL315">
        <v>3</v>
      </c>
      <c r="AM315" t="s">
        <v>1355</v>
      </c>
      <c r="AN315" t="s">
        <v>1357</v>
      </c>
      <c r="AO315">
        <v>0.66</v>
      </c>
      <c r="AP315">
        <v>2</v>
      </c>
      <c r="AQ315">
        <v>0</v>
      </c>
      <c r="AR315">
        <v>0.66</v>
      </c>
      <c r="AS315">
        <v>0.66</v>
      </c>
      <c r="AT315">
        <v>1</v>
      </c>
    </row>
    <row r="316" spans="1:46" x14ac:dyDescent="0.2">
      <c r="A316" t="s">
        <v>1254</v>
      </c>
      <c r="B316" t="s">
        <v>1981</v>
      </c>
      <c r="C316" t="s">
        <v>1254</v>
      </c>
      <c r="D316" t="s">
        <v>1355</v>
      </c>
      <c r="E316" t="s">
        <v>1356</v>
      </c>
      <c r="F316" t="s">
        <v>1357</v>
      </c>
      <c r="G316" t="s">
        <v>1355</v>
      </c>
      <c r="H316" t="s">
        <v>1358</v>
      </c>
      <c r="I316" t="s">
        <v>1353</v>
      </c>
      <c r="J316">
        <v>45</v>
      </c>
      <c r="K316">
        <v>460</v>
      </c>
      <c r="L316" t="s">
        <v>1254</v>
      </c>
      <c r="M316" t="s">
        <v>1254</v>
      </c>
      <c r="N316" t="s">
        <v>1355</v>
      </c>
      <c r="O316" t="s">
        <v>1359</v>
      </c>
      <c r="P316">
        <v>1</v>
      </c>
      <c r="Q316">
        <v>1</v>
      </c>
      <c r="R316">
        <v>0</v>
      </c>
      <c r="S316" t="s">
        <v>1355</v>
      </c>
      <c r="T316">
        <v>0</v>
      </c>
      <c r="U316">
        <v>0</v>
      </c>
      <c r="V316">
        <v>0</v>
      </c>
      <c r="W316" t="s">
        <v>1355</v>
      </c>
      <c r="X316" t="s">
        <v>1355</v>
      </c>
      <c r="Y316" t="s">
        <v>1355</v>
      </c>
      <c r="Z316">
        <v>0</v>
      </c>
      <c r="AA316">
        <v>0</v>
      </c>
      <c r="AB316">
        <v>0</v>
      </c>
      <c r="AC316" s="294">
        <v>36161</v>
      </c>
      <c r="AD316" s="294">
        <v>73050</v>
      </c>
      <c r="AE316" s="294">
        <v>41844</v>
      </c>
      <c r="AF316" t="s">
        <v>1358</v>
      </c>
      <c r="AG316">
        <v>0</v>
      </c>
      <c r="AH316" t="s">
        <v>1982</v>
      </c>
      <c r="AI316">
        <v>1</v>
      </c>
      <c r="AJ316">
        <v>1</v>
      </c>
      <c r="AK316">
        <v>0</v>
      </c>
      <c r="AL316">
        <v>1</v>
      </c>
      <c r="AM316" t="s">
        <v>1362</v>
      </c>
      <c r="AN316" t="s">
        <v>1357</v>
      </c>
      <c r="AO316">
        <v>70.153499999999994</v>
      </c>
      <c r="AP316">
        <v>1</v>
      </c>
      <c r="AQ316">
        <v>0</v>
      </c>
      <c r="AR316">
        <v>69.598780000000005</v>
      </c>
      <c r="AS316">
        <v>70.153499999999994</v>
      </c>
      <c r="AT316">
        <v>1</v>
      </c>
    </row>
    <row r="317" spans="1:46" hidden="1" x14ac:dyDescent="0.2">
      <c r="A317" t="s">
        <v>1983</v>
      </c>
      <c r="B317" t="s">
        <v>1984</v>
      </c>
      <c r="C317" t="s">
        <v>1983</v>
      </c>
      <c r="D317" t="s">
        <v>1355</v>
      </c>
      <c r="E317" t="s">
        <v>1356</v>
      </c>
      <c r="F317" t="s">
        <v>1357</v>
      </c>
      <c r="G317" t="s">
        <v>1355</v>
      </c>
      <c r="H317" t="s">
        <v>1367</v>
      </c>
      <c r="I317" t="s">
        <v>1254</v>
      </c>
      <c r="J317">
        <v>1</v>
      </c>
      <c r="K317">
        <v>10</v>
      </c>
      <c r="L317" t="s">
        <v>1983</v>
      </c>
      <c r="M317" t="s">
        <v>1983</v>
      </c>
      <c r="N317" t="s">
        <v>1355</v>
      </c>
      <c r="O317" t="s">
        <v>1359</v>
      </c>
      <c r="P317">
        <v>1</v>
      </c>
      <c r="Q317">
        <v>1</v>
      </c>
      <c r="R317">
        <v>0</v>
      </c>
      <c r="S317" t="s">
        <v>1355</v>
      </c>
      <c r="T317">
        <v>0</v>
      </c>
      <c r="U317">
        <v>0</v>
      </c>
      <c r="V317">
        <v>0</v>
      </c>
      <c r="W317" t="s">
        <v>1355</v>
      </c>
      <c r="X317" t="s">
        <v>1355</v>
      </c>
      <c r="Y317" t="s">
        <v>1355</v>
      </c>
      <c r="Z317">
        <v>0</v>
      </c>
      <c r="AA317">
        <v>0</v>
      </c>
      <c r="AB317">
        <v>0</v>
      </c>
      <c r="AC317" s="294">
        <v>41836</v>
      </c>
      <c r="AD317" s="294">
        <v>73050</v>
      </c>
      <c r="AE317" s="294">
        <v>41836</v>
      </c>
      <c r="AF317" t="s">
        <v>1367</v>
      </c>
      <c r="AG317">
        <v>0</v>
      </c>
      <c r="AH317" t="s">
        <v>1985</v>
      </c>
      <c r="AI317">
        <v>1</v>
      </c>
      <c r="AJ317">
        <v>1</v>
      </c>
      <c r="AK317">
        <v>0</v>
      </c>
      <c r="AL317">
        <v>1</v>
      </c>
      <c r="AM317" t="s">
        <v>1355</v>
      </c>
      <c r="AN317" t="s">
        <v>1357</v>
      </c>
      <c r="AO317">
        <v>33.813499999999998</v>
      </c>
      <c r="AP317">
        <v>2</v>
      </c>
      <c r="AQ317">
        <v>0</v>
      </c>
      <c r="AR317">
        <v>33.584699999999998</v>
      </c>
      <c r="AS317">
        <v>33.813499999999998</v>
      </c>
      <c r="AT317">
        <v>1</v>
      </c>
    </row>
    <row r="318" spans="1:46" hidden="1" x14ac:dyDescent="0.2">
      <c r="A318" t="s">
        <v>1986</v>
      </c>
      <c r="B318" t="s">
        <v>1987</v>
      </c>
      <c r="C318" t="s">
        <v>1986</v>
      </c>
      <c r="D318" t="s">
        <v>1355</v>
      </c>
      <c r="E318" t="s">
        <v>1356</v>
      </c>
      <c r="F318" t="s">
        <v>1357</v>
      </c>
      <c r="G318" t="s">
        <v>1355</v>
      </c>
      <c r="H318" t="s">
        <v>1367</v>
      </c>
      <c r="I318" t="s">
        <v>1254</v>
      </c>
      <c r="J318">
        <v>2</v>
      </c>
      <c r="K318">
        <v>20</v>
      </c>
      <c r="L318" t="s">
        <v>1986</v>
      </c>
      <c r="M318" t="s">
        <v>1986</v>
      </c>
      <c r="N318" t="s">
        <v>1355</v>
      </c>
      <c r="O318" t="s">
        <v>1359</v>
      </c>
      <c r="P318">
        <v>1</v>
      </c>
      <c r="Q318">
        <v>1</v>
      </c>
      <c r="R318">
        <v>0</v>
      </c>
      <c r="S318" t="s">
        <v>1355</v>
      </c>
      <c r="T318">
        <v>0</v>
      </c>
      <c r="U318">
        <v>0</v>
      </c>
      <c r="V318">
        <v>0</v>
      </c>
      <c r="W318" t="s">
        <v>1355</v>
      </c>
      <c r="X318" t="s">
        <v>1355</v>
      </c>
      <c r="Y318" t="s">
        <v>1355</v>
      </c>
      <c r="Z318">
        <v>0</v>
      </c>
      <c r="AA318">
        <v>0</v>
      </c>
      <c r="AB318">
        <v>0</v>
      </c>
      <c r="AC318" s="294">
        <v>41836</v>
      </c>
      <c r="AD318" s="294">
        <v>73050</v>
      </c>
      <c r="AE318" s="294">
        <v>41836</v>
      </c>
      <c r="AF318" t="s">
        <v>1367</v>
      </c>
      <c r="AG318">
        <v>0</v>
      </c>
      <c r="AH318" t="s">
        <v>1988</v>
      </c>
      <c r="AI318">
        <v>1</v>
      </c>
      <c r="AJ318">
        <v>1</v>
      </c>
      <c r="AK318">
        <v>0</v>
      </c>
      <c r="AL318">
        <v>1</v>
      </c>
      <c r="AM318" t="s">
        <v>1355</v>
      </c>
      <c r="AN318" t="s">
        <v>1357</v>
      </c>
      <c r="AO318">
        <v>31.568000000000001</v>
      </c>
      <c r="AP318">
        <v>2</v>
      </c>
      <c r="AQ318">
        <v>0</v>
      </c>
      <c r="AR318">
        <v>31.277170000000002</v>
      </c>
      <c r="AS318">
        <v>31.568000000000001</v>
      </c>
      <c r="AT318">
        <v>1</v>
      </c>
    </row>
    <row r="319" spans="1:46" hidden="1" x14ac:dyDescent="0.2">
      <c r="A319" t="s">
        <v>1950</v>
      </c>
      <c r="B319" t="s">
        <v>1951</v>
      </c>
      <c r="C319" t="s">
        <v>1950</v>
      </c>
      <c r="D319" t="s">
        <v>1355</v>
      </c>
      <c r="E319" t="s">
        <v>1356</v>
      </c>
      <c r="F319" t="s">
        <v>1357</v>
      </c>
      <c r="G319" t="s">
        <v>1355</v>
      </c>
      <c r="H319" t="s">
        <v>1367</v>
      </c>
      <c r="I319" t="s">
        <v>1254</v>
      </c>
      <c r="J319">
        <v>3</v>
      </c>
      <c r="K319">
        <v>30</v>
      </c>
      <c r="L319" t="s">
        <v>1950</v>
      </c>
      <c r="M319" t="s">
        <v>1950</v>
      </c>
      <c r="N319" t="s">
        <v>1355</v>
      </c>
      <c r="O319" t="s">
        <v>1359</v>
      </c>
      <c r="P319">
        <v>1</v>
      </c>
      <c r="Q319">
        <v>1</v>
      </c>
      <c r="R319">
        <v>0</v>
      </c>
      <c r="S319" t="s">
        <v>1355</v>
      </c>
      <c r="T319">
        <v>0</v>
      </c>
      <c r="U319">
        <v>0</v>
      </c>
      <c r="V319">
        <v>0</v>
      </c>
      <c r="W319" t="s">
        <v>1355</v>
      </c>
      <c r="X319" t="s">
        <v>1355</v>
      </c>
      <c r="Y319" t="s">
        <v>1355</v>
      </c>
      <c r="Z319">
        <v>0</v>
      </c>
      <c r="AA319">
        <v>0</v>
      </c>
      <c r="AB319">
        <v>0</v>
      </c>
      <c r="AC319" s="294">
        <v>41836</v>
      </c>
      <c r="AD319" s="294">
        <v>73050</v>
      </c>
      <c r="AE319" s="294">
        <v>41836</v>
      </c>
      <c r="AF319" t="s">
        <v>1367</v>
      </c>
      <c r="AG319">
        <v>0</v>
      </c>
      <c r="AH319" t="s">
        <v>1989</v>
      </c>
      <c r="AI319">
        <v>1</v>
      </c>
      <c r="AJ319">
        <v>1</v>
      </c>
      <c r="AK319">
        <v>0</v>
      </c>
      <c r="AL319">
        <v>1</v>
      </c>
      <c r="AM319" t="s">
        <v>1355</v>
      </c>
      <c r="AN319" t="s">
        <v>1357</v>
      </c>
      <c r="AO319">
        <v>4.1120000000000001</v>
      </c>
      <c r="AP319">
        <v>2</v>
      </c>
      <c r="AQ319">
        <v>0</v>
      </c>
      <c r="AR319">
        <v>4.0769099999999998</v>
      </c>
      <c r="AS319">
        <v>4.1120000000000001</v>
      </c>
      <c r="AT319">
        <v>1</v>
      </c>
    </row>
    <row r="320" spans="1:46" hidden="1" x14ac:dyDescent="0.2">
      <c r="A320" t="s">
        <v>1969</v>
      </c>
      <c r="B320" t="s">
        <v>1970</v>
      </c>
      <c r="C320" t="s">
        <v>1969</v>
      </c>
      <c r="D320" t="s">
        <v>1355</v>
      </c>
      <c r="E320" t="s">
        <v>1356</v>
      </c>
      <c r="F320" t="s">
        <v>1357</v>
      </c>
      <c r="G320" t="s">
        <v>1355</v>
      </c>
      <c r="H320" t="s">
        <v>1367</v>
      </c>
      <c r="I320" t="s">
        <v>1254</v>
      </c>
      <c r="J320">
        <v>4</v>
      </c>
      <c r="K320">
        <v>40</v>
      </c>
      <c r="L320" t="s">
        <v>1969</v>
      </c>
      <c r="M320" t="s">
        <v>1969</v>
      </c>
      <c r="N320" t="s">
        <v>1355</v>
      </c>
      <c r="O320" t="s">
        <v>1359</v>
      </c>
      <c r="P320">
        <v>3</v>
      </c>
      <c r="Q320">
        <v>3</v>
      </c>
      <c r="R320">
        <v>0</v>
      </c>
      <c r="S320" t="s">
        <v>1355</v>
      </c>
      <c r="T320">
        <v>0</v>
      </c>
      <c r="U320">
        <v>0</v>
      </c>
      <c r="V320">
        <v>0</v>
      </c>
      <c r="W320" t="s">
        <v>1355</v>
      </c>
      <c r="X320" t="s">
        <v>1355</v>
      </c>
      <c r="Y320" t="s">
        <v>1355</v>
      </c>
      <c r="Z320">
        <v>0</v>
      </c>
      <c r="AA320">
        <v>0</v>
      </c>
      <c r="AB320">
        <v>0</v>
      </c>
      <c r="AC320" s="294">
        <v>41836</v>
      </c>
      <c r="AD320" s="294">
        <v>73050</v>
      </c>
      <c r="AE320" s="294">
        <v>41836</v>
      </c>
      <c r="AF320" t="s">
        <v>1367</v>
      </c>
      <c r="AG320">
        <v>0</v>
      </c>
      <c r="AH320" t="s">
        <v>1990</v>
      </c>
      <c r="AI320">
        <v>3</v>
      </c>
      <c r="AJ320">
        <v>3</v>
      </c>
      <c r="AK320">
        <v>0</v>
      </c>
      <c r="AL320">
        <v>3</v>
      </c>
      <c r="AM320" t="s">
        <v>1355</v>
      </c>
      <c r="AN320" t="s">
        <v>1357</v>
      </c>
      <c r="AO320">
        <v>0.66</v>
      </c>
      <c r="AP320">
        <v>2</v>
      </c>
      <c r="AQ320">
        <v>0</v>
      </c>
      <c r="AR320">
        <v>0.66</v>
      </c>
      <c r="AS320">
        <v>0.66</v>
      </c>
      <c r="AT320">
        <v>1</v>
      </c>
    </row>
    <row r="321" spans="1:46" x14ac:dyDescent="0.2">
      <c r="A321" t="s">
        <v>1255</v>
      </c>
      <c r="B321" t="s">
        <v>1991</v>
      </c>
      <c r="C321" t="s">
        <v>1255</v>
      </c>
      <c r="D321" t="s">
        <v>1355</v>
      </c>
      <c r="E321" t="s">
        <v>1356</v>
      </c>
      <c r="F321" t="s">
        <v>1357</v>
      </c>
      <c r="G321" t="s">
        <v>1355</v>
      </c>
      <c r="H321" t="s">
        <v>1358</v>
      </c>
      <c r="I321" t="s">
        <v>1353</v>
      </c>
      <c r="J321">
        <v>46</v>
      </c>
      <c r="K321">
        <v>470</v>
      </c>
      <c r="L321" t="s">
        <v>1255</v>
      </c>
      <c r="M321" t="s">
        <v>1255</v>
      </c>
      <c r="N321" t="s">
        <v>1355</v>
      </c>
      <c r="O321" t="s">
        <v>1359</v>
      </c>
      <c r="P321">
        <v>1</v>
      </c>
      <c r="Q321">
        <v>1</v>
      </c>
      <c r="R321">
        <v>0</v>
      </c>
      <c r="S321" t="s">
        <v>1355</v>
      </c>
      <c r="T321">
        <v>0</v>
      </c>
      <c r="U321">
        <v>0</v>
      </c>
      <c r="V321">
        <v>0</v>
      </c>
      <c r="W321" t="s">
        <v>1355</v>
      </c>
      <c r="X321" t="s">
        <v>1355</v>
      </c>
      <c r="Y321" t="s">
        <v>1355</v>
      </c>
      <c r="Z321">
        <v>0</v>
      </c>
      <c r="AA321">
        <v>0</v>
      </c>
      <c r="AB321">
        <v>0</v>
      </c>
      <c r="AC321" s="294">
        <v>36161</v>
      </c>
      <c r="AD321" s="294">
        <v>73050</v>
      </c>
      <c r="AE321" s="294">
        <v>41844</v>
      </c>
      <c r="AF321" t="s">
        <v>1358</v>
      </c>
      <c r="AG321">
        <v>0</v>
      </c>
      <c r="AH321" t="s">
        <v>1992</v>
      </c>
      <c r="AI321">
        <v>1</v>
      </c>
      <c r="AJ321">
        <v>1</v>
      </c>
      <c r="AK321">
        <v>0</v>
      </c>
      <c r="AL321">
        <v>1</v>
      </c>
      <c r="AM321" t="s">
        <v>1362</v>
      </c>
      <c r="AN321" t="s">
        <v>1357</v>
      </c>
      <c r="AO321">
        <v>148.63516000000001</v>
      </c>
      <c r="AP321">
        <v>1</v>
      </c>
      <c r="AQ321">
        <v>0</v>
      </c>
      <c r="AR321">
        <v>149.59370000000001</v>
      </c>
      <c r="AS321">
        <v>148.63516000000001</v>
      </c>
      <c r="AT321">
        <v>1</v>
      </c>
    </row>
    <row r="322" spans="1:46" hidden="1" x14ac:dyDescent="0.2">
      <c r="A322" t="s">
        <v>1993</v>
      </c>
      <c r="B322" t="s">
        <v>1994</v>
      </c>
      <c r="C322" t="s">
        <v>1993</v>
      </c>
      <c r="D322" t="s">
        <v>1355</v>
      </c>
      <c r="E322" t="s">
        <v>1356</v>
      </c>
      <c r="F322" t="s">
        <v>1357</v>
      </c>
      <c r="G322" t="s">
        <v>1355</v>
      </c>
      <c r="H322" t="s">
        <v>1367</v>
      </c>
      <c r="I322" t="s">
        <v>1255</v>
      </c>
      <c r="J322">
        <v>1</v>
      </c>
      <c r="K322">
        <v>10</v>
      </c>
      <c r="L322" t="s">
        <v>1993</v>
      </c>
      <c r="M322" t="s">
        <v>1993</v>
      </c>
      <c r="N322" t="s">
        <v>1355</v>
      </c>
      <c r="O322" t="s">
        <v>1359</v>
      </c>
      <c r="P322">
        <v>1</v>
      </c>
      <c r="Q322">
        <v>1</v>
      </c>
      <c r="R322">
        <v>0</v>
      </c>
      <c r="S322" t="s">
        <v>1355</v>
      </c>
      <c r="T322">
        <v>0</v>
      </c>
      <c r="U322">
        <v>0</v>
      </c>
      <c r="V322">
        <v>0</v>
      </c>
      <c r="W322" t="s">
        <v>1355</v>
      </c>
      <c r="X322" t="s">
        <v>1355</v>
      </c>
      <c r="Y322" t="s">
        <v>1355</v>
      </c>
      <c r="Z322">
        <v>0</v>
      </c>
      <c r="AA322">
        <v>0</v>
      </c>
      <c r="AB322">
        <v>0</v>
      </c>
      <c r="AC322" s="294">
        <v>41836</v>
      </c>
      <c r="AD322" s="294">
        <v>73050</v>
      </c>
      <c r="AE322" s="294">
        <v>41836</v>
      </c>
      <c r="AF322" t="s">
        <v>1367</v>
      </c>
      <c r="AG322">
        <v>0</v>
      </c>
      <c r="AH322" t="s">
        <v>1995</v>
      </c>
      <c r="AI322">
        <v>1</v>
      </c>
      <c r="AJ322">
        <v>1</v>
      </c>
      <c r="AK322">
        <v>0</v>
      </c>
      <c r="AL322">
        <v>1</v>
      </c>
      <c r="AM322" t="s">
        <v>1355</v>
      </c>
      <c r="AN322" t="s">
        <v>1357</v>
      </c>
      <c r="AO322">
        <v>2.09</v>
      </c>
      <c r="AP322">
        <v>2</v>
      </c>
      <c r="AQ322">
        <v>0</v>
      </c>
      <c r="AR322">
        <v>2.68065</v>
      </c>
      <c r="AS322">
        <v>2.09</v>
      </c>
      <c r="AT322">
        <v>1</v>
      </c>
    </row>
    <row r="323" spans="1:46" hidden="1" x14ac:dyDescent="0.2">
      <c r="A323" t="s">
        <v>1996</v>
      </c>
      <c r="B323" t="s">
        <v>1997</v>
      </c>
      <c r="C323" t="s">
        <v>1996</v>
      </c>
      <c r="D323" t="s">
        <v>1355</v>
      </c>
      <c r="E323" t="s">
        <v>1356</v>
      </c>
      <c r="F323" t="s">
        <v>1357</v>
      </c>
      <c r="G323" t="s">
        <v>1355</v>
      </c>
      <c r="H323" t="s">
        <v>1367</v>
      </c>
      <c r="I323" t="s">
        <v>1255</v>
      </c>
      <c r="J323">
        <v>2</v>
      </c>
      <c r="K323">
        <v>20</v>
      </c>
      <c r="L323" t="s">
        <v>1996</v>
      </c>
      <c r="M323" t="s">
        <v>1996</v>
      </c>
      <c r="N323" t="s">
        <v>1355</v>
      </c>
      <c r="O323" t="s">
        <v>1359</v>
      </c>
      <c r="P323">
        <v>1</v>
      </c>
      <c r="Q323">
        <v>1</v>
      </c>
      <c r="R323">
        <v>0</v>
      </c>
      <c r="S323" t="s">
        <v>1355</v>
      </c>
      <c r="T323">
        <v>0</v>
      </c>
      <c r="U323">
        <v>0</v>
      </c>
      <c r="V323">
        <v>0</v>
      </c>
      <c r="W323" t="s">
        <v>1355</v>
      </c>
      <c r="X323" t="s">
        <v>1355</v>
      </c>
      <c r="Y323" t="s">
        <v>1355</v>
      </c>
      <c r="Z323">
        <v>0</v>
      </c>
      <c r="AA323">
        <v>0</v>
      </c>
      <c r="AB323">
        <v>0</v>
      </c>
      <c r="AC323" s="294">
        <v>41836</v>
      </c>
      <c r="AD323" s="294">
        <v>73050</v>
      </c>
      <c r="AE323" s="294">
        <v>41836</v>
      </c>
      <c r="AF323" t="s">
        <v>1367</v>
      </c>
      <c r="AG323">
        <v>0</v>
      </c>
      <c r="AH323" t="s">
        <v>1998</v>
      </c>
      <c r="AI323">
        <v>1</v>
      </c>
      <c r="AJ323">
        <v>1</v>
      </c>
      <c r="AK323">
        <v>0</v>
      </c>
      <c r="AL323">
        <v>1</v>
      </c>
      <c r="AM323" t="s">
        <v>1355</v>
      </c>
      <c r="AN323" t="s">
        <v>1357</v>
      </c>
      <c r="AO323">
        <v>2.69</v>
      </c>
      <c r="AP323">
        <v>2</v>
      </c>
      <c r="AQ323">
        <v>0</v>
      </c>
      <c r="AR323">
        <v>3.0338699999999998</v>
      </c>
      <c r="AS323">
        <v>2.69</v>
      </c>
      <c r="AT323">
        <v>1</v>
      </c>
    </row>
    <row r="324" spans="1:46" hidden="1" x14ac:dyDescent="0.2">
      <c r="A324" t="s">
        <v>1999</v>
      </c>
      <c r="B324" t="s">
        <v>2000</v>
      </c>
      <c r="C324" t="s">
        <v>1999</v>
      </c>
      <c r="D324" t="s">
        <v>1355</v>
      </c>
      <c r="E324" t="s">
        <v>1356</v>
      </c>
      <c r="F324" t="s">
        <v>1357</v>
      </c>
      <c r="G324" t="s">
        <v>1355</v>
      </c>
      <c r="H324" t="s">
        <v>1367</v>
      </c>
      <c r="I324" t="s">
        <v>1255</v>
      </c>
      <c r="J324">
        <v>3</v>
      </c>
      <c r="K324">
        <v>30</v>
      </c>
      <c r="L324" t="s">
        <v>1999</v>
      </c>
      <c r="M324" t="s">
        <v>1999</v>
      </c>
      <c r="N324" t="s">
        <v>1355</v>
      </c>
      <c r="O324" t="s">
        <v>1359</v>
      </c>
      <c r="P324">
        <v>1</v>
      </c>
      <c r="Q324">
        <v>1</v>
      </c>
      <c r="R324">
        <v>0</v>
      </c>
      <c r="S324" t="s">
        <v>1355</v>
      </c>
      <c r="T324">
        <v>0</v>
      </c>
      <c r="U324">
        <v>0</v>
      </c>
      <c r="V324">
        <v>0</v>
      </c>
      <c r="W324" t="s">
        <v>1355</v>
      </c>
      <c r="X324" t="s">
        <v>1355</v>
      </c>
      <c r="Y324" t="s">
        <v>1355</v>
      </c>
      <c r="Z324">
        <v>0</v>
      </c>
      <c r="AA324">
        <v>0</v>
      </c>
      <c r="AB324">
        <v>0</v>
      </c>
      <c r="AC324" s="294">
        <v>41836</v>
      </c>
      <c r="AD324" s="294">
        <v>73050</v>
      </c>
      <c r="AE324" s="294">
        <v>41836</v>
      </c>
      <c r="AF324" t="s">
        <v>1367</v>
      </c>
      <c r="AG324">
        <v>0</v>
      </c>
      <c r="AH324" t="s">
        <v>2001</v>
      </c>
      <c r="AI324">
        <v>1</v>
      </c>
      <c r="AJ324">
        <v>1</v>
      </c>
      <c r="AK324">
        <v>0</v>
      </c>
      <c r="AL324">
        <v>1</v>
      </c>
      <c r="AM324" t="s">
        <v>1355</v>
      </c>
      <c r="AN324" t="s">
        <v>1357</v>
      </c>
      <c r="AO324">
        <v>1.5</v>
      </c>
      <c r="AP324">
        <v>2</v>
      </c>
      <c r="AQ324">
        <v>0</v>
      </c>
      <c r="AR324">
        <v>2.11158</v>
      </c>
      <c r="AS324">
        <v>1.5</v>
      </c>
      <c r="AT324">
        <v>1</v>
      </c>
    </row>
    <row r="325" spans="1:46" hidden="1" x14ac:dyDescent="0.2">
      <c r="A325" t="s">
        <v>2002</v>
      </c>
      <c r="B325" t="s">
        <v>2003</v>
      </c>
      <c r="C325" t="s">
        <v>2002</v>
      </c>
      <c r="D325" t="s">
        <v>1355</v>
      </c>
      <c r="E325" t="s">
        <v>1356</v>
      </c>
      <c r="F325" t="s">
        <v>1357</v>
      </c>
      <c r="G325" t="s">
        <v>1355</v>
      </c>
      <c r="H325" t="s">
        <v>1367</v>
      </c>
      <c r="I325" t="s">
        <v>1255</v>
      </c>
      <c r="J325">
        <v>4</v>
      </c>
      <c r="K325">
        <v>40</v>
      </c>
      <c r="L325" t="s">
        <v>2002</v>
      </c>
      <c r="M325" t="s">
        <v>2002</v>
      </c>
      <c r="N325" t="s">
        <v>1355</v>
      </c>
      <c r="O325" t="s">
        <v>1359</v>
      </c>
      <c r="P325">
        <v>3</v>
      </c>
      <c r="Q325">
        <v>3</v>
      </c>
      <c r="R325">
        <v>0</v>
      </c>
      <c r="S325" t="s">
        <v>1355</v>
      </c>
      <c r="T325">
        <v>0</v>
      </c>
      <c r="U325">
        <v>0</v>
      </c>
      <c r="V325">
        <v>0</v>
      </c>
      <c r="W325" t="s">
        <v>1355</v>
      </c>
      <c r="X325" t="s">
        <v>1355</v>
      </c>
      <c r="Y325" t="s">
        <v>1355</v>
      </c>
      <c r="Z325">
        <v>0</v>
      </c>
      <c r="AA325">
        <v>0</v>
      </c>
      <c r="AB325">
        <v>0</v>
      </c>
      <c r="AC325" s="294">
        <v>41836</v>
      </c>
      <c r="AD325" s="294">
        <v>73050</v>
      </c>
      <c r="AE325" s="294">
        <v>41836</v>
      </c>
      <c r="AF325" t="s">
        <v>1367</v>
      </c>
      <c r="AG325">
        <v>0</v>
      </c>
      <c r="AH325" t="s">
        <v>2004</v>
      </c>
      <c r="AI325">
        <v>3</v>
      </c>
      <c r="AJ325">
        <v>3</v>
      </c>
      <c r="AK325">
        <v>0</v>
      </c>
      <c r="AL325">
        <v>3</v>
      </c>
      <c r="AM325" t="s">
        <v>1355</v>
      </c>
      <c r="AN325" t="s">
        <v>1357</v>
      </c>
      <c r="AO325">
        <v>8.9894999999999996</v>
      </c>
      <c r="AP325">
        <v>2</v>
      </c>
      <c r="AQ325">
        <v>0</v>
      </c>
      <c r="AR325">
        <v>8.9266799999999993</v>
      </c>
      <c r="AS325">
        <v>8.9894999999999996</v>
      </c>
      <c r="AT325">
        <v>1</v>
      </c>
    </row>
    <row r="326" spans="1:46" hidden="1" x14ac:dyDescent="0.2">
      <c r="A326" t="s">
        <v>1974</v>
      </c>
      <c r="B326" t="s">
        <v>1975</v>
      </c>
      <c r="C326" t="s">
        <v>1974</v>
      </c>
      <c r="D326" t="s">
        <v>1355</v>
      </c>
      <c r="E326" t="s">
        <v>1356</v>
      </c>
      <c r="F326" t="s">
        <v>1357</v>
      </c>
      <c r="G326" t="s">
        <v>1355</v>
      </c>
      <c r="H326" t="s">
        <v>1367</v>
      </c>
      <c r="I326" t="s">
        <v>1255</v>
      </c>
      <c r="J326">
        <v>5</v>
      </c>
      <c r="K326">
        <v>50</v>
      </c>
      <c r="L326" t="s">
        <v>1974</v>
      </c>
      <c r="M326" t="s">
        <v>1974</v>
      </c>
      <c r="N326" t="s">
        <v>1355</v>
      </c>
      <c r="O326" t="s">
        <v>1359</v>
      </c>
      <c r="P326">
        <v>2</v>
      </c>
      <c r="Q326">
        <v>2</v>
      </c>
      <c r="R326">
        <v>0</v>
      </c>
      <c r="S326" t="s">
        <v>1355</v>
      </c>
      <c r="T326">
        <v>0</v>
      </c>
      <c r="U326">
        <v>0</v>
      </c>
      <c r="V326">
        <v>0</v>
      </c>
      <c r="W326" t="s">
        <v>1355</v>
      </c>
      <c r="X326" t="s">
        <v>1355</v>
      </c>
      <c r="Y326" t="s">
        <v>1355</v>
      </c>
      <c r="Z326">
        <v>0</v>
      </c>
      <c r="AA326">
        <v>0</v>
      </c>
      <c r="AB326">
        <v>0</v>
      </c>
      <c r="AC326" s="294">
        <v>41836</v>
      </c>
      <c r="AD326" s="294">
        <v>73050</v>
      </c>
      <c r="AE326" s="294">
        <v>41836</v>
      </c>
      <c r="AF326" t="s">
        <v>1367</v>
      </c>
      <c r="AG326">
        <v>0</v>
      </c>
      <c r="AH326" t="s">
        <v>2005</v>
      </c>
      <c r="AI326">
        <v>2</v>
      </c>
      <c r="AJ326">
        <v>2</v>
      </c>
      <c r="AK326">
        <v>0</v>
      </c>
      <c r="AL326">
        <v>2</v>
      </c>
      <c r="AM326" t="s">
        <v>1355</v>
      </c>
      <c r="AN326" t="s">
        <v>1357</v>
      </c>
      <c r="AO326">
        <v>36.59066</v>
      </c>
      <c r="AP326">
        <v>2</v>
      </c>
      <c r="AQ326">
        <v>0</v>
      </c>
      <c r="AR326">
        <v>36.254579999999997</v>
      </c>
      <c r="AS326">
        <v>36.59066</v>
      </c>
      <c r="AT326">
        <v>1</v>
      </c>
    </row>
    <row r="327" spans="1:46" hidden="1" x14ac:dyDescent="0.2">
      <c r="A327" t="s">
        <v>1944</v>
      </c>
      <c r="B327" t="s">
        <v>1945</v>
      </c>
      <c r="C327" t="s">
        <v>1944</v>
      </c>
      <c r="D327" t="s">
        <v>1355</v>
      </c>
      <c r="E327" t="s">
        <v>1356</v>
      </c>
      <c r="F327" t="s">
        <v>1357</v>
      </c>
      <c r="G327" t="s">
        <v>1355</v>
      </c>
      <c r="H327" t="s">
        <v>1367</v>
      </c>
      <c r="I327" t="s">
        <v>1255</v>
      </c>
      <c r="J327">
        <v>6</v>
      </c>
      <c r="K327">
        <v>60</v>
      </c>
      <c r="L327" t="s">
        <v>1944</v>
      </c>
      <c r="M327" t="s">
        <v>1944</v>
      </c>
      <c r="N327" t="s">
        <v>1355</v>
      </c>
      <c r="O327" t="s">
        <v>1359</v>
      </c>
      <c r="P327">
        <v>1</v>
      </c>
      <c r="Q327">
        <v>1</v>
      </c>
      <c r="R327">
        <v>0</v>
      </c>
      <c r="S327" t="s">
        <v>1355</v>
      </c>
      <c r="T327">
        <v>0</v>
      </c>
      <c r="U327">
        <v>0</v>
      </c>
      <c r="V327">
        <v>0</v>
      </c>
      <c r="W327" t="s">
        <v>1355</v>
      </c>
      <c r="X327" t="s">
        <v>1355</v>
      </c>
      <c r="Y327" t="s">
        <v>1355</v>
      </c>
      <c r="Z327">
        <v>0</v>
      </c>
      <c r="AA327">
        <v>0</v>
      </c>
      <c r="AB327">
        <v>0</v>
      </c>
      <c r="AC327" s="294">
        <v>41836</v>
      </c>
      <c r="AD327" s="294">
        <v>73050</v>
      </c>
      <c r="AE327" s="294">
        <v>41836</v>
      </c>
      <c r="AF327" t="s">
        <v>1367</v>
      </c>
      <c r="AG327">
        <v>0</v>
      </c>
      <c r="AH327" t="s">
        <v>2006</v>
      </c>
      <c r="AI327">
        <v>1</v>
      </c>
      <c r="AJ327">
        <v>1</v>
      </c>
      <c r="AK327">
        <v>0</v>
      </c>
      <c r="AL327">
        <v>1</v>
      </c>
      <c r="AM327" t="s">
        <v>1355</v>
      </c>
      <c r="AN327" t="s">
        <v>1357</v>
      </c>
      <c r="AO327">
        <v>13.223000000000001</v>
      </c>
      <c r="AP327">
        <v>2</v>
      </c>
      <c r="AQ327">
        <v>0</v>
      </c>
      <c r="AR327">
        <v>13.115740000000001</v>
      </c>
      <c r="AS327">
        <v>13.223000000000001</v>
      </c>
      <c r="AT327">
        <v>1</v>
      </c>
    </row>
    <row r="328" spans="1:46" hidden="1" x14ac:dyDescent="0.2">
      <c r="A328" t="s">
        <v>2007</v>
      </c>
      <c r="B328" t="s">
        <v>2008</v>
      </c>
      <c r="C328" t="s">
        <v>2007</v>
      </c>
      <c r="D328" t="s">
        <v>1355</v>
      </c>
      <c r="E328" t="s">
        <v>1356</v>
      </c>
      <c r="F328" t="s">
        <v>1357</v>
      </c>
      <c r="G328" t="s">
        <v>1355</v>
      </c>
      <c r="H328" t="s">
        <v>1367</v>
      </c>
      <c r="I328" t="s">
        <v>1255</v>
      </c>
      <c r="J328">
        <v>7</v>
      </c>
      <c r="K328">
        <v>70</v>
      </c>
      <c r="L328" t="s">
        <v>2007</v>
      </c>
      <c r="M328" t="s">
        <v>2007</v>
      </c>
      <c r="N328" t="s">
        <v>1355</v>
      </c>
      <c r="O328" t="s">
        <v>1359</v>
      </c>
      <c r="P328">
        <v>1</v>
      </c>
      <c r="Q328">
        <v>1</v>
      </c>
      <c r="R328">
        <v>0</v>
      </c>
      <c r="S328" t="s">
        <v>1355</v>
      </c>
      <c r="T328">
        <v>0</v>
      </c>
      <c r="U328">
        <v>0</v>
      </c>
      <c r="V328">
        <v>0</v>
      </c>
      <c r="W328" t="s">
        <v>1355</v>
      </c>
      <c r="X328" t="s">
        <v>1355</v>
      </c>
      <c r="Y328" t="s">
        <v>1355</v>
      </c>
      <c r="Z328">
        <v>0</v>
      </c>
      <c r="AA328">
        <v>0</v>
      </c>
      <c r="AB328">
        <v>0</v>
      </c>
      <c r="AC328" s="294">
        <v>41836</v>
      </c>
      <c r="AD328" s="294">
        <v>73050</v>
      </c>
      <c r="AE328" s="294">
        <v>41836</v>
      </c>
      <c r="AF328" t="s">
        <v>1367</v>
      </c>
      <c r="AG328">
        <v>0</v>
      </c>
      <c r="AH328" t="s">
        <v>2009</v>
      </c>
      <c r="AI328">
        <v>1</v>
      </c>
      <c r="AJ328">
        <v>1</v>
      </c>
      <c r="AK328">
        <v>0</v>
      </c>
      <c r="AL328">
        <v>1</v>
      </c>
      <c r="AM328" t="s">
        <v>1355</v>
      </c>
      <c r="AN328" t="s">
        <v>1357</v>
      </c>
      <c r="AO328">
        <v>5.0999999999999996</v>
      </c>
      <c r="AP328">
        <v>2</v>
      </c>
      <c r="AQ328">
        <v>0</v>
      </c>
      <c r="AR328">
        <v>5.0533299999999999</v>
      </c>
      <c r="AS328">
        <v>5.0999999999999996</v>
      </c>
      <c r="AT328">
        <v>1</v>
      </c>
    </row>
    <row r="329" spans="1:46" hidden="1" x14ac:dyDescent="0.2">
      <c r="A329" t="s">
        <v>2010</v>
      </c>
      <c r="B329" t="s">
        <v>2011</v>
      </c>
      <c r="C329" t="s">
        <v>2010</v>
      </c>
      <c r="D329" t="s">
        <v>1355</v>
      </c>
      <c r="E329" t="s">
        <v>1356</v>
      </c>
      <c r="F329" t="s">
        <v>1357</v>
      </c>
      <c r="G329" t="s">
        <v>1355</v>
      </c>
      <c r="H329" t="s">
        <v>1367</v>
      </c>
      <c r="I329" t="s">
        <v>1255</v>
      </c>
      <c r="J329">
        <v>8</v>
      </c>
      <c r="K329">
        <v>80</v>
      </c>
      <c r="L329" t="s">
        <v>2010</v>
      </c>
      <c r="M329" t="s">
        <v>2010</v>
      </c>
      <c r="N329" t="s">
        <v>1355</v>
      </c>
      <c r="O329" t="s">
        <v>1359</v>
      </c>
      <c r="P329">
        <v>1</v>
      </c>
      <c r="Q329">
        <v>1</v>
      </c>
      <c r="R329">
        <v>0</v>
      </c>
      <c r="S329" t="s">
        <v>1355</v>
      </c>
      <c r="T329">
        <v>0</v>
      </c>
      <c r="U329">
        <v>0</v>
      </c>
      <c r="V329">
        <v>0</v>
      </c>
      <c r="W329" t="s">
        <v>1355</v>
      </c>
      <c r="X329" t="s">
        <v>1355</v>
      </c>
      <c r="Y329" t="s">
        <v>1355</v>
      </c>
      <c r="Z329">
        <v>0</v>
      </c>
      <c r="AA329">
        <v>0</v>
      </c>
      <c r="AB329">
        <v>0</v>
      </c>
      <c r="AC329" s="294">
        <v>41836</v>
      </c>
      <c r="AD329" s="294">
        <v>73050</v>
      </c>
      <c r="AE329" s="294">
        <v>41836</v>
      </c>
      <c r="AF329" t="s">
        <v>1367</v>
      </c>
      <c r="AG329">
        <v>0</v>
      </c>
      <c r="AH329" t="s">
        <v>2012</v>
      </c>
      <c r="AI329">
        <v>1</v>
      </c>
      <c r="AJ329">
        <v>1</v>
      </c>
      <c r="AK329">
        <v>0</v>
      </c>
      <c r="AL329">
        <v>1</v>
      </c>
      <c r="AM329" t="s">
        <v>1355</v>
      </c>
      <c r="AN329" t="s">
        <v>1357</v>
      </c>
      <c r="AO329">
        <v>38.963999999999999</v>
      </c>
      <c r="AP329">
        <v>2</v>
      </c>
      <c r="AQ329">
        <v>0</v>
      </c>
      <c r="AR329">
        <v>38.963999999999999</v>
      </c>
      <c r="AS329">
        <v>38.963999999999999</v>
      </c>
      <c r="AT329">
        <v>1</v>
      </c>
    </row>
    <row r="330" spans="1:46" hidden="1" x14ac:dyDescent="0.2">
      <c r="A330" t="s">
        <v>1950</v>
      </c>
      <c r="B330" t="s">
        <v>1951</v>
      </c>
      <c r="C330" t="s">
        <v>1950</v>
      </c>
      <c r="D330" t="s">
        <v>1355</v>
      </c>
      <c r="E330" t="s">
        <v>1356</v>
      </c>
      <c r="F330" t="s">
        <v>1357</v>
      </c>
      <c r="G330" t="s">
        <v>1355</v>
      </c>
      <c r="H330" t="s">
        <v>1367</v>
      </c>
      <c r="I330" t="s">
        <v>1255</v>
      </c>
      <c r="J330">
        <v>9</v>
      </c>
      <c r="K330">
        <v>90</v>
      </c>
      <c r="L330" t="s">
        <v>1950</v>
      </c>
      <c r="M330" t="s">
        <v>1950</v>
      </c>
      <c r="N330" t="s">
        <v>1355</v>
      </c>
      <c r="O330" t="s">
        <v>1359</v>
      </c>
      <c r="P330">
        <v>1</v>
      </c>
      <c r="Q330">
        <v>1</v>
      </c>
      <c r="R330">
        <v>0</v>
      </c>
      <c r="S330" t="s">
        <v>1355</v>
      </c>
      <c r="T330">
        <v>0</v>
      </c>
      <c r="U330">
        <v>0</v>
      </c>
      <c r="V330">
        <v>0</v>
      </c>
      <c r="W330" t="s">
        <v>1355</v>
      </c>
      <c r="X330" t="s">
        <v>1355</v>
      </c>
      <c r="Y330" t="s">
        <v>1355</v>
      </c>
      <c r="Z330">
        <v>0</v>
      </c>
      <c r="AA330">
        <v>0</v>
      </c>
      <c r="AB330">
        <v>0</v>
      </c>
      <c r="AC330" s="294">
        <v>41836</v>
      </c>
      <c r="AD330" s="294">
        <v>73050</v>
      </c>
      <c r="AE330" s="294">
        <v>41836</v>
      </c>
      <c r="AF330" t="s">
        <v>1367</v>
      </c>
      <c r="AG330">
        <v>0</v>
      </c>
      <c r="AH330" t="s">
        <v>2013</v>
      </c>
      <c r="AI330">
        <v>1</v>
      </c>
      <c r="AJ330">
        <v>1</v>
      </c>
      <c r="AK330">
        <v>0</v>
      </c>
      <c r="AL330">
        <v>1</v>
      </c>
      <c r="AM330" t="s">
        <v>1355</v>
      </c>
      <c r="AN330" t="s">
        <v>1357</v>
      </c>
      <c r="AO330">
        <v>4.1120000000000001</v>
      </c>
      <c r="AP330">
        <v>2</v>
      </c>
      <c r="AQ330">
        <v>0</v>
      </c>
      <c r="AR330">
        <v>4.0769099999999998</v>
      </c>
      <c r="AS330">
        <v>4.1120000000000001</v>
      </c>
      <c r="AT330">
        <v>1</v>
      </c>
    </row>
    <row r="331" spans="1:46" hidden="1" x14ac:dyDescent="0.2">
      <c r="A331" t="s">
        <v>2014</v>
      </c>
      <c r="B331" t="s">
        <v>2015</v>
      </c>
      <c r="C331" t="s">
        <v>2014</v>
      </c>
      <c r="D331" t="s">
        <v>1355</v>
      </c>
      <c r="E331" t="s">
        <v>1356</v>
      </c>
      <c r="F331" t="s">
        <v>1357</v>
      </c>
      <c r="G331" t="s">
        <v>1355</v>
      </c>
      <c r="H331" t="s">
        <v>1367</v>
      </c>
      <c r="I331" t="s">
        <v>1255</v>
      </c>
      <c r="J331">
        <v>10</v>
      </c>
      <c r="K331">
        <v>100</v>
      </c>
      <c r="L331" t="s">
        <v>2014</v>
      </c>
      <c r="M331" t="s">
        <v>2014</v>
      </c>
      <c r="N331" t="s">
        <v>1355</v>
      </c>
      <c r="O331" t="s">
        <v>1359</v>
      </c>
      <c r="P331">
        <v>1</v>
      </c>
      <c r="Q331">
        <v>1</v>
      </c>
      <c r="R331">
        <v>0</v>
      </c>
      <c r="S331" t="s">
        <v>1355</v>
      </c>
      <c r="T331">
        <v>0</v>
      </c>
      <c r="U331">
        <v>0</v>
      </c>
      <c r="V331">
        <v>0</v>
      </c>
      <c r="W331" t="s">
        <v>1355</v>
      </c>
      <c r="X331" t="s">
        <v>1355</v>
      </c>
      <c r="Y331" t="s">
        <v>1355</v>
      </c>
      <c r="Z331">
        <v>0</v>
      </c>
      <c r="AA331">
        <v>0</v>
      </c>
      <c r="AB331">
        <v>0</v>
      </c>
      <c r="AC331" s="294">
        <v>41836</v>
      </c>
      <c r="AD331" s="294">
        <v>73050</v>
      </c>
      <c r="AE331" s="294">
        <v>41836</v>
      </c>
      <c r="AF331" t="s">
        <v>1367</v>
      </c>
      <c r="AG331">
        <v>0</v>
      </c>
      <c r="AH331" t="s">
        <v>2016</v>
      </c>
      <c r="AI331">
        <v>1</v>
      </c>
      <c r="AJ331">
        <v>1</v>
      </c>
      <c r="AK331">
        <v>0</v>
      </c>
      <c r="AL331">
        <v>1</v>
      </c>
      <c r="AM331" t="s">
        <v>1355</v>
      </c>
      <c r="AN331" t="s">
        <v>1357</v>
      </c>
      <c r="AO331">
        <v>34.055999999999997</v>
      </c>
      <c r="AP331">
        <v>2</v>
      </c>
      <c r="AQ331">
        <v>0</v>
      </c>
      <c r="AR331">
        <v>34.056359999999998</v>
      </c>
      <c r="AS331">
        <v>34.055999999999997</v>
      </c>
      <c r="AT331">
        <v>1</v>
      </c>
    </row>
    <row r="332" spans="1:46" hidden="1" x14ac:dyDescent="0.2">
      <c r="A332" t="s">
        <v>1969</v>
      </c>
      <c r="B332" t="s">
        <v>1970</v>
      </c>
      <c r="C332" t="s">
        <v>1969</v>
      </c>
      <c r="D332" t="s">
        <v>1355</v>
      </c>
      <c r="E332" t="s">
        <v>1356</v>
      </c>
      <c r="F332" t="s">
        <v>1357</v>
      </c>
      <c r="G332" t="s">
        <v>1355</v>
      </c>
      <c r="H332" t="s">
        <v>1367</v>
      </c>
      <c r="I332" t="s">
        <v>1255</v>
      </c>
      <c r="J332">
        <v>11</v>
      </c>
      <c r="K332">
        <v>110</v>
      </c>
      <c r="L332" t="s">
        <v>1969</v>
      </c>
      <c r="M332" t="s">
        <v>1969</v>
      </c>
      <c r="N332" t="s">
        <v>1355</v>
      </c>
      <c r="O332" t="s">
        <v>1359</v>
      </c>
      <c r="P332">
        <v>6</v>
      </c>
      <c r="Q332">
        <v>6</v>
      </c>
      <c r="R332">
        <v>0</v>
      </c>
      <c r="S332" t="s">
        <v>1355</v>
      </c>
      <c r="T332">
        <v>0</v>
      </c>
      <c r="U332">
        <v>0</v>
      </c>
      <c r="V332">
        <v>0</v>
      </c>
      <c r="W332" t="s">
        <v>1355</v>
      </c>
      <c r="X332" t="s">
        <v>1355</v>
      </c>
      <c r="Y332" t="s">
        <v>1355</v>
      </c>
      <c r="Z332">
        <v>0</v>
      </c>
      <c r="AA332">
        <v>0</v>
      </c>
      <c r="AB332">
        <v>0</v>
      </c>
      <c r="AC332" s="294">
        <v>41836</v>
      </c>
      <c r="AD332" s="294">
        <v>73050</v>
      </c>
      <c r="AE332" s="294">
        <v>41836</v>
      </c>
      <c r="AF332" t="s">
        <v>1367</v>
      </c>
      <c r="AG332">
        <v>0</v>
      </c>
      <c r="AH332" t="s">
        <v>2017</v>
      </c>
      <c r="AI332">
        <v>6</v>
      </c>
      <c r="AJ332">
        <v>6</v>
      </c>
      <c r="AK332">
        <v>0</v>
      </c>
      <c r="AL332">
        <v>6</v>
      </c>
      <c r="AM332" t="s">
        <v>1355</v>
      </c>
      <c r="AN332" t="s">
        <v>1357</v>
      </c>
      <c r="AO332">
        <v>1.32</v>
      </c>
      <c r="AP332">
        <v>2</v>
      </c>
      <c r="AQ332">
        <v>0</v>
      </c>
      <c r="AR332">
        <v>1.32</v>
      </c>
      <c r="AS332">
        <v>1.32</v>
      </c>
      <c r="AT332">
        <v>1</v>
      </c>
    </row>
    <row r="333" spans="1:46" x14ac:dyDescent="0.2">
      <c r="A333" t="s">
        <v>1256</v>
      </c>
      <c r="B333" t="s">
        <v>2018</v>
      </c>
      <c r="C333" t="s">
        <v>1256</v>
      </c>
      <c r="D333" t="s">
        <v>1355</v>
      </c>
      <c r="E333" t="s">
        <v>1356</v>
      </c>
      <c r="F333" t="s">
        <v>1357</v>
      </c>
      <c r="G333" t="s">
        <v>1355</v>
      </c>
      <c r="H333" t="s">
        <v>1358</v>
      </c>
      <c r="I333" t="s">
        <v>1353</v>
      </c>
      <c r="J333">
        <v>47</v>
      </c>
      <c r="K333">
        <v>480</v>
      </c>
      <c r="L333" t="s">
        <v>1256</v>
      </c>
      <c r="M333" t="s">
        <v>1256</v>
      </c>
      <c r="N333" t="s">
        <v>1355</v>
      </c>
      <c r="O333" t="s">
        <v>1359</v>
      </c>
      <c r="P333">
        <v>1</v>
      </c>
      <c r="Q333">
        <v>1</v>
      </c>
      <c r="R333">
        <v>0</v>
      </c>
      <c r="S333" t="s">
        <v>1355</v>
      </c>
      <c r="T333">
        <v>0</v>
      </c>
      <c r="U333">
        <v>0</v>
      </c>
      <c r="V333">
        <v>0</v>
      </c>
      <c r="W333" t="s">
        <v>1355</v>
      </c>
      <c r="X333" t="s">
        <v>1355</v>
      </c>
      <c r="Y333" t="s">
        <v>1355</v>
      </c>
      <c r="Z333">
        <v>0</v>
      </c>
      <c r="AA333">
        <v>0</v>
      </c>
      <c r="AB333">
        <v>0</v>
      </c>
      <c r="AC333" s="294">
        <v>36161</v>
      </c>
      <c r="AD333" s="294">
        <v>73050</v>
      </c>
      <c r="AE333" s="294">
        <v>41844</v>
      </c>
      <c r="AF333" t="s">
        <v>1358</v>
      </c>
      <c r="AG333">
        <v>0</v>
      </c>
      <c r="AH333" t="s">
        <v>2019</v>
      </c>
      <c r="AI333">
        <v>1</v>
      </c>
      <c r="AJ333">
        <v>1</v>
      </c>
      <c r="AK333">
        <v>0</v>
      </c>
      <c r="AL333">
        <v>1</v>
      </c>
      <c r="AM333" t="s">
        <v>1362</v>
      </c>
      <c r="AN333" t="s">
        <v>1357</v>
      </c>
      <c r="AO333">
        <v>219.95699999999999</v>
      </c>
      <c r="AP333">
        <v>1</v>
      </c>
      <c r="AQ333">
        <v>0</v>
      </c>
      <c r="AR333">
        <v>220.42320000000001</v>
      </c>
      <c r="AS333">
        <v>219.95699999999999</v>
      </c>
      <c r="AT333">
        <v>1</v>
      </c>
    </row>
    <row r="334" spans="1:46" hidden="1" x14ac:dyDescent="0.2">
      <c r="A334" t="s">
        <v>1993</v>
      </c>
      <c r="B334" t="s">
        <v>1994</v>
      </c>
      <c r="C334" t="s">
        <v>1993</v>
      </c>
      <c r="D334" t="s">
        <v>1355</v>
      </c>
      <c r="E334" t="s">
        <v>1356</v>
      </c>
      <c r="F334" t="s">
        <v>1357</v>
      </c>
      <c r="G334" t="s">
        <v>1355</v>
      </c>
      <c r="H334" t="s">
        <v>1367</v>
      </c>
      <c r="I334" t="s">
        <v>1256</v>
      </c>
      <c r="J334">
        <v>1</v>
      </c>
      <c r="K334">
        <v>10</v>
      </c>
      <c r="L334" t="s">
        <v>1993</v>
      </c>
      <c r="M334" t="s">
        <v>1993</v>
      </c>
      <c r="N334" t="s">
        <v>1355</v>
      </c>
      <c r="O334" t="s">
        <v>1359</v>
      </c>
      <c r="P334">
        <v>1</v>
      </c>
      <c r="Q334">
        <v>1</v>
      </c>
      <c r="R334">
        <v>0</v>
      </c>
      <c r="S334" t="s">
        <v>1355</v>
      </c>
      <c r="T334">
        <v>0</v>
      </c>
      <c r="U334">
        <v>0</v>
      </c>
      <c r="V334">
        <v>0</v>
      </c>
      <c r="W334" t="s">
        <v>1355</v>
      </c>
      <c r="X334" t="s">
        <v>1355</v>
      </c>
      <c r="Y334" t="s">
        <v>1355</v>
      </c>
      <c r="Z334">
        <v>0</v>
      </c>
      <c r="AA334">
        <v>0</v>
      </c>
      <c r="AB334">
        <v>0</v>
      </c>
      <c r="AC334" s="294">
        <v>41836</v>
      </c>
      <c r="AD334" s="294">
        <v>73050</v>
      </c>
      <c r="AE334" s="294">
        <v>41836</v>
      </c>
      <c r="AF334" t="s">
        <v>1367</v>
      </c>
      <c r="AG334">
        <v>0</v>
      </c>
      <c r="AH334" t="s">
        <v>2020</v>
      </c>
      <c r="AI334">
        <v>1</v>
      </c>
      <c r="AJ334">
        <v>1</v>
      </c>
      <c r="AK334">
        <v>0</v>
      </c>
      <c r="AL334">
        <v>1</v>
      </c>
      <c r="AM334" t="s">
        <v>1355</v>
      </c>
      <c r="AN334" t="s">
        <v>1357</v>
      </c>
      <c r="AO334">
        <v>2.09</v>
      </c>
      <c r="AP334">
        <v>2</v>
      </c>
      <c r="AQ334">
        <v>0</v>
      </c>
      <c r="AR334">
        <v>2.68065</v>
      </c>
      <c r="AS334">
        <v>2.09</v>
      </c>
      <c r="AT334">
        <v>1</v>
      </c>
    </row>
    <row r="335" spans="1:46" hidden="1" x14ac:dyDescent="0.2">
      <c r="A335" t="s">
        <v>1996</v>
      </c>
      <c r="B335" t="s">
        <v>1997</v>
      </c>
      <c r="C335" t="s">
        <v>1996</v>
      </c>
      <c r="D335" t="s">
        <v>1355</v>
      </c>
      <c r="E335" t="s">
        <v>1356</v>
      </c>
      <c r="F335" t="s">
        <v>1357</v>
      </c>
      <c r="G335" t="s">
        <v>1355</v>
      </c>
      <c r="H335" t="s">
        <v>1367</v>
      </c>
      <c r="I335" t="s">
        <v>1256</v>
      </c>
      <c r="J335">
        <v>2</v>
      </c>
      <c r="K335">
        <v>20</v>
      </c>
      <c r="L335" t="s">
        <v>1996</v>
      </c>
      <c r="M335" t="s">
        <v>1996</v>
      </c>
      <c r="N335" t="s">
        <v>1355</v>
      </c>
      <c r="O335" t="s">
        <v>1359</v>
      </c>
      <c r="P335">
        <v>1</v>
      </c>
      <c r="Q335">
        <v>1</v>
      </c>
      <c r="R335">
        <v>0</v>
      </c>
      <c r="S335" t="s">
        <v>1355</v>
      </c>
      <c r="T335">
        <v>0</v>
      </c>
      <c r="U335">
        <v>0</v>
      </c>
      <c r="V335">
        <v>0</v>
      </c>
      <c r="W335" t="s">
        <v>1355</v>
      </c>
      <c r="X335" t="s">
        <v>1355</v>
      </c>
      <c r="Y335" t="s">
        <v>1355</v>
      </c>
      <c r="Z335">
        <v>0</v>
      </c>
      <c r="AA335">
        <v>0</v>
      </c>
      <c r="AB335">
        <v>0</v>
      </c>
      <c r="AC335" s="294">
        <v>41836</v>
      </c>
      <c r="AD335" s="294">
        <v>73050</v>
      </c>
      <c r="AE335" s="294">
        <v>41836</v>
      </c>
      <c r="AF335" t="s">
        <v>1367</v>
      </c>
      <c r="AG335">
        <v>0</v>
      </c>
      <c r="AH335" t="s">
        <v>2021</v>
      </c>
      <c r="AI335">
        <v>1</v>
      </c>
      <c r="AJ335">
        <v>1</v>
      </c>
      <c r="AK335">
        <v>0</v>
      </c>
      <c r="AL335">
        <v>1</v>
      </c>
      <c r="AM335" t="s">
        <v>1355</v>
      </c>
      <c r="AN335" t="s">
        <v>1357</v>
      </c>
      <c r="AO335">
        <v>2.69</v>
      </c>
      <c r="AP335">
        <v>2</v>
      </c>
      <c r="AQ335">
        <v>0</v>
      </c>
      <c r="AR335">
        <v>3.0338699999999998</v>
      </c>
      <c r="AS335">
        <v>2.69</v>
      </c>
      <c r="AT335">
        <v>1</v>
      </c>
    </row>
    <row r="336" spans="1:46" hidden="1" x14ac:dyDescent="0.2">
      <c r="A336" t="s">
        <v>1999</v>
      </c>
      <c r="B336" t="s">
        <v>2000</v>
      </c>
      <c r="C336" t="s">
        <v>1999</v>
      </c>
      <c r="D336" t="s">
        <v>1355</v>
      </c>
      <c r="E336" t="s">
        <v>1356</v>
      </c>
      <c r="F336" t="s">
        <v>1357</v>
      </c>
      <c r="G336" t="s">
        <v>1355</v>
      </c>
      <c r="H336" t="s">
        <v>1367</v>
      </c>
      <c r="I336" t="s">
        <v>1256</v>
      </c>
      <c r="J336">
        <v>3</v>
      </c>
      <c r="K336">
        <v>30</v>
      </c>
      <c r="L336" t="s">
        <v>1999</v>
      </c>
      <c r="M336" t="s">
        <v>1999</v>
      </c>
      <c r="N336" t="s">
        <v>1355</v>
      </c>
      <c r="O336" t="s">
        <v>1359</v>
      </c>
      <c r="P336">
        <v>1</v>
      </c>
      <c r="Q336">
        <v>1</v>
      </c>
      <c r="R336">
        <v>0</v>
      </c>
      <c r="S336" t="s">
        <v>1355</v>
      </c>
      <c r="T336">
        <v>0</v>
      </c>
      <c r="U336">
        <v>0</v>
      </c>
      <c r="V336">
        <v>0</v>
      </c>
      <c r="W336" t="s">
        <v>1355</v>
      </c>
      <c r="X336" t="s">
        <v>1355</v>
      </c>
      <c r="Y336" t="s">
        <v>1355</v>
      </c>
      <c r="Z336">
        <v>0</v>
      </c>
      <c r="AA336">
        <v>0</v>
      </c>
      <c r="AB336">
        <v>0</v>
      </c>
      <c r="AC336" s="294">
        <v>41836</v>
      </c>
      <c r="AD336" s="294">
        <v>73050</v>
      </c>
      <c r="AE336" s="294">
        <v>41836</v>
      </c>
      <c r="AF336" t="s">
        <v>1367</v>
      </c>
      <c r="AG336">
        <v>0</v>
      </c>
      <c r="AH336" t="s">
        <v>2022</v>
      </c>
      <c r="AI336">
        <v>1</v>
      </c>
      <c r="AJ336">
        <v>1</v>
      </c>
      <c r="AK336">
        <v>0</v>
      </c>
      <c r="AL336">
        <v>1</v>
      </c>
      <c r="AM336" t="s">
        <v>1355</v>
      </c>
      <c r="AN336" t="s">
        <v>1357</v>
      </c>
      <c r="AO336">
        <v>1.5</v>
      </c>
      <c r="AP336">
        <v>2</v>
      </c>
      <c r="AQ336">
        <v>0</v>
      </c>
      <c r="AR336">
        <v>2.11158</v>
      </c>
      <c r="AS336">
        <v>1.5</v>
      </c>
      <c r="AT336">
        <v>1</v>
      </c>
    </row>
    <row r="337" spans="1:46" hidden="1" x14ac:dyDescent="0.2">
      <c r="A337" t="s">
        <v>2002</v>
      </c>
      <c r="B337" t="s">
        <v>2003</v>
      </c>
      <c r="C337" t="s">
        <v>2002</v>
      </c>
      <c r="D337" t="s">
        <v>1355</v>
      </c>
      <c r="E337" t="s">
        <v>1356</v>
      </c>
      <c r="F337" t="s">
        <v>1357</v>
      </c>
      <c r="G337" t="s">
        <v>1355</v>
      </c>
      <c r="H337" t="s">
        <v>1367</v>
      </c>
      <c r="I337" t="s">
        <v>1256</v>
      </c>
      <c r="J337">
        <v>4</v>
      </c>
      <c r="K337">
        <v>40</v>
      </c>
      <c r="L337" t="s">
        <v>2002</v>
      </c>
      <c r="M337" t="s">
        <v>2002</v>
      </c>
      <c r="N337" t="s">
        <v>1355</v>
      </c>
      <c r="O337" t="s">
        <v>1359</v>
      </c>
      <c r="P337">
        <v>3</v>
      </c>
      <c r="Q337">
        <v>3</v>
      </c>
      <c r="R337">
        <v>0</v>
      </c>
      <c r="S337" t="s">
        <v>1355</v>
      </c>
      <c r="T337">
        <v>0</v>
      </c>
      <c r="U337">
        <v>0</v>
      </c>
      <c r="V337">
        <v>0</v>
      </c>
      <c r="W337" t="s">
        <v>1355</v>
      </c>
      <c r="X337" t="s">
        <v>1355</v>
      </c>
      <c r="Y337" t="s">
        <v>1355</v>
      </c>
      <c r="Z337">
        <v>0</v>
      </c>
      <c r="AA337">
        <v>0</v>
      </c>
      <c r="AB337">
        <v>0</v>
      </c>
      <c r="AC337" s="294">
        <v>41836</v>
      </c>
      <c r="AD337" s="294">
        <v>73050</v>
      </c>
      <c r="AE337" s="294">
        <v>41836</v>
      </c>
      <c r="AF337" t="s">
        <v>1367</v>
      </c>
      <c r="AG337">
        <v>0</v>
      </c>
      <c r="AH337" t="s">
        <v>2023</v>
      </c>
      <c r="AI337">
        <v>3</v>
      </c>
      <c r="AJ337">
        <v>3</v>
      </c>
      <c r="AK337">
        <v>0</v>
      </c>
      <c r="AL337">
        <v>3</v>
      </c>
      <c r="AM337" t="s">
        <v>1355</v>
      </c>
      <c r="AN337" t="s">
        <v>1357</v>
      </c>
      <c r="AO337">
        <v>8.9894999999999996</v>
      </c>
      <c r="AP337">
        <v>2</v>
      </c>
      <c r="AQ337">
        <v>0</v>
      </c>
      <c r="AR337">
        <v>8.9266799999999993</v>
      </c>
      <c r="AS337">
        <v>8.9894999999999996</v>
      </c>
      <c r="AT337">
        <v>1</v>
      </c>
    </row>
    <row r="338" spans="1:46" hidden="1" x14ac:dyDescent="0.2">
      <c r="A338" t="s">
        <v>1983</v>
      </c>
      <c r="B338" t="s">
        <v>1984</v>
      </c>
      <c r="C338" t="s">
        <v>1983</v>
      </c>
      <c r="D338" t="s">
        <v>1355</v>
      </c>
      <c r="E338" t="s">
        <v>1356</v>
      </c>
      <c r="F338" t="s">
        <v>1357</v>
      </c>
      <c r="G338" t="s">
        <v>1355</v>
      </c>
      <c r="H338" t="s">
        <v>1367</v>
      </c>
      <c r="I338" t="s">
        <v>1256</v>
      </c>
      <c r="J338">
        <v>5</v>
      </c>
      <c r="K338">
        <v>50</v>
      </c>
      <c r="L338" t="s">
        <v>1983</v>
      </c>
      <c r="M338" t="s">
        <v>1983</v>
      </c>
      <c r="N338" t="s">
        <v>1355</v>
      </c>
      <c r="O338" t="s">
        <v>1359</v>
      </c>
      <c r="P338">
        <v>3</v>
      </c>
      <c r="Q338">
        <v>3</v>
      </c>
      <c r="R338">
        <v>0</v>
      </c>
      <c r="S338" t="s">
        <v>1355</v>
      </c>
      <c r="T338">
        <v>0</v>
      </c>
      <c r="U338">
        <v>0</v>
      </c>
      <c r="V338">
        <v>0</v>
      </c>
      <c r="W338" t="s">
        <v>1355</v>
      </c>
      <c r="X338" t="s">
        <v>1355</v>
      </c>
      <c r="Y338" t="s">
        <v>1355</v>
      </c>
      <c r="Z338">
        <v>0</v>
      </c>
      <c r="AA338">
        <v>0</v>
      </c>
      <c r="AB338">
        <v>0</v>
      </c>
      <c r="AC338" s="294">
        <v>41836</v>
      </c>
      <c r="AD338" s="294">
        <v>73050</v>
      </c>
      <c r="AE338" s="294">
        <v>41836</v>
      </c>
      <c r="AF338" t="s">
        <v>1367</v>
      </c>
      <c r="AG338">
        <v>0</v>
      </c>
      <c r="AH338" t="s">
        <v>2024</v>
      </c>
      <c r="AI338">
        <v>3</v>
      </c>
      <c r="AJ338">
        <v>3</v>
      </c>
      <c r="AK338">
        <v>0</v>
      </c>
      <c r="AL338">
        <v>3</v>
      </c>
      <c r="AM338" t="s">
        <v>1355</v>
      </c>
      <c r="AN338" t="s">
        <v>1357</v>
      </c>
      <c r="AO338">
        <v>101.4405</v>
      </c>
      <c r="AP338">
        <v>2</v>
      </c>
      <c r="AQ338">
        <v>0</v>
      </c>
      <c r="AR338">
        <v>100.75409999999999</v>
      </c>
      <c r="AS338">
        <v>101.4405</v>
      </c>
      <c r="AT338">
        <v>1</v>
      </c>
    </row>
    <row r="339" spans="1:46" hidden="1" x14ac:dyDescent="0.2">
      <c r="A339" t="s">
        <v>2025</v>
      </c>
      <c r="B339" t="s">
        <v>2026</v>
      </c>
      <c r="C339" t="s">
        <v>2025</v>
      </c>
      <c r="D339" t="s">
        <v>1355</v>
      </c>
      <c r="E339" t="s">
        <v>1356</v>
      </c>
      <c r="F339" t="s">
        <v>1357</v>
      </c>
      <c r="G339" t="s">
        <v>1355</v>
      </c>
      <c r="H339" t="s">
        <v>1367</v>
      </c>
      <c r="I339" t="s">
        <v>1256</v>
      </c>
      <c r="J339">
        <v>6</v>
      </c>
      <c r="K339">
        <v>60</v>
      </c>
      <c r="L339" t="s">
        <v>2025</v>
      </c>
      <c r="M339" t="s">
        <v>2025</v>
      </c>
      <c r="N339" t="s">
        <v>1355</v>
      </c>
      <c r="O339" t="s">
        <v>1359</v>
      </c>
      <c r="P339">
        <v>1</v>
      </c>
      <c r="Q339">
        <v>1</v>
      </c>
      <c r="R339">
        <v>0</v>
      </c>
      <c r="S339" t="s">
        <v>1355</v>
      </c>
      <c r="T339">
        <v>0</v>
      </c>
      <c r="U339">
        <v>0</v>
      </c>
      <c r="V339">
        <v>0</v>
      </c>
      <c r="W339" t="s">
        <v>1355</v>
      </c>
      <c r="X339" t="s">
        <v>1355</v>
      </c>
      <c r="Y339" t="s">
        <v>1355</v>
      </c>
      <c r="Z339">
        <v>0</v>
      </c>
      <c r="AA339">
        <v>0</v>
      </c>
      <c r="AB339">
        <v>0</v>
      </c>
      <c r="AC339" s="294">
        <v>41836</v>
      </c>
      <c r="AD339" s="294">
        <v>73050</v>
      </c>
      <c r="AE339" s="294">
        <v>41836</v>
      </c>
      <c r="AF339" t="s">
        <v>1367</v>
      </c>
      <c r="AG339">
        <v>0</v>
      </c>
      <c r="AH339" t="s">
        <v>2027</v>
      </c>
      <c r="AI339">
        <v>1</v>
      </c>
      <c r="AJ339">
        <v>1</v>
      </c>
      <c r="AK339">
        <v>0</v>
      </c>
      <c r="AL339">
        <v>1</v>
      </c>
      <c r="AM339" t="s">
        <v>1355</v>
      </c>
      <c r="AN339" t="s">
        <v>1357</v>
      </c>
      <c r="AO339">
        <v>7.7359999999999998</v>
      </c>
      <c r="AP339">
        <v>2</v>
      </c>
      <c r="AQ339">
        <v>0</v>
      </c>
      <c r="AR339">
        <v>7.6436799999999998</v>
      </c>
      <c r="AS339">
        <v>7.7359999999999998</v>
      </c>
      <c r="AT339">
        <v>1</v>
      </c>
    </row>
    <row r="340" spans="1:46" hidden="1" x14ac:dyDescent="0.2">
      <c r="A340" t="s">
        <v>2010</v>
      </c>
      <c r="B340" t="s">
        <v>2011</v>
      </c>
      <c r="C340" t="s">
        <v>2010</v>
      </c>
      <c r="D340" t="s">
        <v>1355</v>
      </c>
      <c r="E340" t="s">
        <v>1356</v>
      </c>
      <c r="F340" t="s">
        <v>1357</v>
      </c>
      <c r="G340" t="s">
        <v>1355</v>
      </c>
      <c r="H340" t="s">
        <v>1367</v>
      </c>
      <c r="I340" t="s">
        <v>1256</v>
      </c>
      <c r="J340">
        <v>7</v>
      </c>
      <c r="K340">
        <v>70</v>
      </c>
      <c r="L340" t="s">
        <v>2010</v>
      </c>
      <c r="M340" t="s">
        <v>2010</v>
      </c>
      <c r="N340" t="s">
        <v>1355</v>
      </c>
      <c r="O340" t="s">
        <v>1359</v>
      </c>
      <c r="P340">
        <v>1</v>
      </c>
      <c r="Q340">
        <v>1</v>
      </c>
      <c r="R340">
        <v>0</v>
      </c>
      <c r="S340" t="s">
        <v>1355</v>
      </c>
      <c r="T340">
        <v>0</v>
      </c>
      <c r="U340">
        <v>0</v>
      </c>
      <c r="V340">
        <v>0</v>
      </c>
      <c r="W340" t="s">
        <v>1355</v>
      </c>
      <c r="X340" t="s">
        <v>1355</v>
      </c>
      <c r="Y340" t="s">
        <v>1355</v>
      </c>
      <c r="Z340">
        <v>0</v>
      </c>
      <c r="AA340">
        <v>0</v>
      </c>
      <c r="AB340">
        <v>0</v>
      </c>
      <c r="AC340" s="294">
        <v>41836</v>
      </c>
      <c r="AD340" s="294">
        <v>73050</v>
      </c>
      <c r="AE340" s="294">
        <v>41836</v>
      </c>
      <c r="AF340" t="s">
        <v>1367</v>
      </c>
      <c r="AG340">
        <v>0</v>
      </c>
      <c r="AH340" t="s">
        <v>2028</v>
      </c>
      <c r="AI340">
        <v>1</v>
      </c>
      <c r="AJ340">
        <v>1</v>
      </c>
      <c r="AK340">
        <v>0</v>
      </c>
      <c r="AL340">
        <v>1</v>
      </c>
      <c r="AM340" t="s">
        <v>1355</v>
      </c>
      <c r="AN340" t="s">
        <v>1357</v>
      </c>
      <c r="AO340">
        <v>38.963999999999999</v>
      </c>
      <c r="AP340">
        <v>2</v>
      </c>
      <c r="AQ340">
        <v>0</v>
      </c>
      <c r="AR340">
        <v>38.963999999999999</v>
      </c>
      <c r="AS340">
        <v>38.963999999999999</v>
      </c>
      <c r="AT340">
        <v>1</v>
      </c>
    </row>
    <row r="341" spans="1:46" hidden="1" x14ac:dyDescent="0.2">
      <c r="A341" t="s">
        <v>1950</v>
      </c>
      <c r="B341" t="s">
        <v>1951</v>
      </c>
      <c r="C341" t="s">
        <v>1950</v>
      </c>
      <c r="D341" t="s">
        <v>1355</v>
      </c>
      <c r="E341" t="s">
        <v>1356</v>
      </c>
      <c r="F341" t="s">
        <v>1357</v>
      </c>
      <c r="G341" t="s">
        <v>1355</v>
      </c>
      <c r="H341" t="s">
        <v>1367</v>
      </c>
      <c r="I341" t="s">
        <v>1256</v>
      </c>
      <c r="J341">
        <v>8</v>
      </c>
      <c r="K341">
        <v>80</v>
      </c>
      <c r="L341" t="s">
        <v>1950</v>
      </c>
      <c r="M341" t="s">
        <v>1950</v>
      </c>
      <c r="N341" t="s">
        <v>1355</v>
      </c>
      <c r="O341" t="s">
        <v>1359</v>
      </c>
      <c r="P341">
        <v>1</v>
      </c>
      <c r="Q341">
        <v>1</v>
      </c>
      <c r="R341">
        <v>0</v>
      </c>
      <c r="S341" t="s">
        <v>1355</v>
      </c>
      <c r="T341">
        <v>0</v>
      </c>
      <c r="U341">
        <v>0</v>
      </c>
      <c r="V341">
        <v>0</v>
      </c>
      <c r="W341" t="s">
        <v>1355</v>
      </c>
      <c r="X341" t="s">
        <v>1355</v>
      </c>
      <c r="Y341" t="s">
        <v>1355</v>
      </c>
      <c r="Z341">
        <v>0</v>
      </c>
      <c r="AA341">
        <v>0</v>
      </c>
      <c r="AB341">
        <v>0</v>
      </c>
      <c r="AC341" s="294">
        <v>41836</v>
      </c>
      <c r="AD341" s="294">
        <v>73050</v>
      </c>
      <c r="AE341" s="294">
        <v>41836</v>
      </c>
      <c r="AF341" t="s">
        <v>1367</v>
      </c>
      <c r="AG341">
        <v>0</v>
      </c>
      <c r="AH341" t="s">
        <v>2029</v>
      </c>
      <c r="AI341">
        <v>1</v>
      </c>
      <c r="AJ341">
        <v>1</v>
      </c>
      <c r="AK341">
        <v>0</v>
      </c>
      <c r="AL341">
        <v>1</v>
      </c>
      <c r="AM341" t="s">
        <v>1355</v>
      </c>
      <c r="AN341" t="s">
        <v>1357</v>
      </c>
      <c r="AO341">
        <v>4.1120000000000001</v>
      </c>
      <c r="AP341">
        <v>2</v>
      </c>
      <c r="AQ341">
        <v>0</v>
      </c>
      <c r="AR341">
        <v>4.0769099999999998</v>
      </c>
      <c r="AS341">
        <v>4.1120000000000001</v>
      </c>
      <c r="AT341">
        <v>1</v>
      </c>
    </row>
    <row r="342" spans="1:46" hidden="1" x14ac:dyDescent="0.2">
      <c r="A342" t="s">
        <v>2030</v>
      </c>
      <c r="B342" t="s">
        <v>2031</v>
      </c>
      <c r="C342" t="s">
        <v>2030</v>
      </c>
      <c r="D342" t="s">
        <v>1355</v>
      </c>
      <c r="E342" t="s">
        <v>1356</v>
      </c>
      <c r="F342" t="s">
        <v>1357</v>
      </c>
      <c r="G342" t="s">
        <v>1355</v>
      </c>
      <c r="H342" t="s">
        <v>1367</v>
      </c>
      <c r="I342" t="s">
        <v>1256</v>
      </c>
      <c r="J342">
        <v>9</v>
      </c>
      <c r="K342">
        <v>90</v>
      </c>
      <c r="L342" t="s">
        <v>2030</v>
      </c>
      <c r="M342" t="s">
        <v>2030</v>
      </c>
      <c r="N342" t="s">
        <v>1355</v>
      </c>
      <c r="O342" t="s">
        <v>1359</v>
      </c>
      <c r="P342">
        <v>1</v>
      </c>
      <c r="Q342">
        <v>1</v>
      </c>
      <c r="R342">
        <v>0</v>
      </c>
      <c r="S342" t="s">
        <v>1355</v>
      </c>
      <c r="T342">
        <v>0</v>
      </c>
      <c r="U342">
        <v>0</v>
      </c>
      <c r="V342">
        <v>0</v>
      </c>
      <c r="W342" t="s">
        <v>1355</v>
      </c>
      <c r="X342" t="s">
        <v>1355</v>
      </c>
      <c r="Y342" t="s">
        <v>1355</v>
      </c>
      <c r="Z342">
        <v>0</v>
      </c>
      <c r="AA342">
        <v>0</v>
      </c>
      <c r="AB342">
        <v>0</v>
      </c>
      <c r="AC342" s="294">
        <v>41836</v>
      </c>
      <c r="AD342" s="294">
        <v>73050</v>
      </c>
      <c r="AE342" s="294">
        <v>41836</v>
      </c>
      <c r="AF342" t="s">
        <v>1367</v>
      </c>
      <c r="AG342">
        <v>0</v>
      </c>
      <c r="AH342" t="s">
        <v>2032</v>
      </c>
      <c r="AI342">
        <v>1</v>
      </c>
      <c r="AJ342">
        <v>1</v>
      </c>
      <c r="AK342">
        <v>0</v>
      </c>
      <c r="AL342">
        <v>1</v>
      </c>
      <c r="AM342" t="s">
        <v>1355</v>
      </c>
      <c r="AN342" t="s">
        <v>1357</v>
      </c>
      <c r="AO342">
        <v>52.435000000000002</v>
      </c>
      <c r="AP342">
        <v>2</v>
      </c>
      <c r="AQ342">
        <v>0</v>
      </c>
      <c r="AR342">
        <v>52.231729999999999</v>
      </c>
      <c r="AS342">
        <v>52.435000000000002</v>
      </c>
      <c r="AT342">
        <v>1</v>
      </c>
    </row>
    <row r="343" spans="1:46" s="295" customFormat="1" x14ac:dyDescent="0.2">
      <c r="A343" s="295" t="s">
        <v>1257</v>
      </c>
      <c r="B343" s="295" t="s">
        <v>2033</v>
      </c>
      <c r="C343" t="s">
        <v>1257</v>
      </c>
      <c r="D343" t="s">
        <v>1355</v>
      </c>
      <c r="E343" t="s">
        <v>1356</v>
      </c>
      <c r="F343" t="s">
        <v>1357</v>
      </c>
      <c r="G343" t="s">
        <v>1355</v>
      </c>
      <c r="H343" t="s">
        <v>1358</v>
      </c>
      <c r="I343" t="s">
        <v>1353</v>
      </c>
      <c r="J343">
        <v>48</v>
      </c>
      <c r="K343" s="295">
        <v>490</v>
      </c>
      <c r="L343" t="s">
        <v>1257</v>
      </c>
      <c r="M343" t="s">
        <v>1257</v>
      </c>
      <c r="N343" t="s">
        <v>1355</v>
      </c>
      <c r="O343" t="s">
        <v>1359</v>
      </c>
      <c r="P343" s="295">
        <v>1</v>
      </c>
      <c r="Q343">
        <v>1</v>
      </c>
      <c r="R343">
        <v>0</v>
      </c>
      <c r="S343" t="s">
        <v>1355</v>
      </c>
      <c r="T343">
        <v>0</v>
      </c>
      <c r="U343">
        <v>0</v>
      </c>
      <c r="V343">
        <v>0</v>
      </c>
      <c r="W343" t="s">
        <v>1355</v>
      </c>
      <c r="X343" t="s">
        <v>1355</v>
      </c>
      <c r="Y343" t="s">
        <v>1355</v>
      </c>
      <c r="Z343">
        <v>0</v>
      </c>
      <c r="AA343">
        <v>0</v>
      </c>
      <c r="AB343">
        <v>0</v>
      </c>
      <c r="AC343" s="294">
        <v>36161</v>
      </c>
      <c r="AD343" s="294">
        <v>73050</v>
      </c>
      <c r="AE343" s="294">
        <v>41844</v>
      </c>
      <c r="AF343" t="s">
        <v>1358</v>
      </c>
      <c r="AG343">
        <v>0</v>
      </c>
      <c r="AH343" t="s">
        <v>2034</v>
      </c>
      <c r="AI343">
        <v>1</v>
      </c>
      <c r="AJ343">
        <v>1</v>
      </c>
      <c r="AK343">
        <v>0</v>
      </c>
      <c r="AL343" s="295">
        <v>1</v>
      </c>
      <c r="AM343" t="s">
        <v>1355</v>
      </c>
      <c r="AN343" t="s">
        <v>1357</v>
      </c>
      <c r="AO343" s="295">
        <v>0</v>
      </c>
      <c r="AP343" s="295">
        <v>1</v>
      </c>
      <c r="AQ343">
        <v>0</v>
      </c>
      <c r="AR343">
        <v>0</v>
      </c>
      <c r="AS343" s="295">
        <v>0</v>
      </c>
      <c r="AT343">
        <v>1</v>
      </c>
    </row>
    <row r="344" spans="1:46" s="295" customFormat="1" x14ac:dyDescent="0.2">
      <c r="A344" s="295" t="s">
        <v>1266</v>
      </c>
      <c r="B344" s="295" t="s">
        <v>2035</v>
      </c>
      <c r="C344" t="s">
        <v>1266</v>
      </c>
      <c r="D344" t="s">
        <v>1355</v>
      </c>
      <c r="E344" t="s">
        <v>1356</v>
      </c>
      <c r="F344" t="s">
        <v>1357</v>
      </c>
      <c r="G344" t="s">
        <v>1355</v>
      </c>
      <c r="H344" t="s">
        <v>1358</v>
      </c>
      <c r="I344" t="s">
        <v>1353</v>
      </c>
      <c r="J344">
        <v>49</v>
      </c>
      <c r="K344" s="295">
        <v>500</v>
      </c>
      <c r="L344" t="s">
        <v>1266</v>
      </c>
      <c r="M344" t="s">
        <v>1266</v>
      </c>
      <c r="N344" t="s">
        <v>1355</v>
      </c>
      <c r="O344" t="s">
        <v>1359</v>
      </c>
      <c r="P344" s="295">
        <v>1</v>
      </c>
      <c r="Q344">
        <v>1</v>
      </c>
      <c r="R344">
        <v>0</v>
      </c>
      <c r="S344" t="s">
        <v>1355</v>
      </c>
      <c r="T344">
        <v>0</v>
      </c>
      <c r="U344">
        <v>0</v>
      </c>
      <c r="V344">
        <v>0</v>
      </c>
      <c r="W344" t="s">
        <v>1355</v>
      </c>
      <c r="X344" t="s">
        <v>1355</v>
      </c>
      <c r="Y344" t="s">
        <v>1355</v>
      </c>
      <c r="Z344">
        <v>0</v>
      </c>
      <c r="AA344">
        <v>0</v>
      </c>
      <c r="AB344">
        <v>0</v>
      </c>
      <c r="AC344" s="294">
        <v>36161</v>
      </c>
      <c r="AD344" s="294">
        <v>73050</v>
      </c>
      <c r="AE344" s="294">
        <v>41844</v>
      </c>
      <c r="AF344" t="s">
        <v>1358</v>
      </c>
      <c r="AG344">
        <v>0</v>
      </c>
      <c r="AH344" t="s">
        <v>2036</v>
      </c>
      <c r="AI344">
        <v>1</v>
      </c>
      <c r="AJ344">
        <v>1</v>
      </c>
      <c r="AK344">
        <v>0</v>
      </c>
      <c r="AL344" s="295">
        <v>1</v>
      </c>
      <c r="AM344" t="s">
        <v>1355</v>
      </c>
      <c r="AN344" t="s">
        <v>1357</v>
      </c>
      <c r="AO344" s="295">
        <v>0</v>
      </c>
      <c r="AP344" s="295">
        <v>1</v>
      </c>
      <c r="AQ344">
        <v>0</v>
      </c>
      <c r="AR344">
        <v>0</v>
      </c>
      <c r="AS344" s="295">
        <v>0</v>
      </c>
      <c r="AT344">
        <v>1</v>
      </c>
    </row>
    <row r="345" spans="1:46" s="295" customFormat="1" x14ac:dyDescent="0.2">
      <c r="A345" s="295" t="s">
        <v>1267</v>
      </c>
      <c r="B345" s="295" t="s">
        <v>2037</v>
      </c>
      <c r="C345" t="s">
        <v>1267</v>
      </c>
      <c r="D345" t="s">
        <v>1355</v>
      </c>
      <c r="E345" t="s">
        <v>1356</v>
      </c>
      <c r="F345" t="s">
        <v>1357</v>
      </c>
      <c r="G345" t="s">
        <v>1355</v>
      </c>
      <c r="H345" t="s">
        <v>1358</v>
      </c>
      <c r="I345" t="s">
        <v>1353</v>
      </c>
      <c r="J345">
        <v>50</v>
      </c>
      <c r="K345" s="295">
        <v>510</v>
      </c>
      <c r="L345" t="s">
        <v>1267</v>
      </c>
      <c r="M345" t="s">
        <v>1267</v>
      </c>
      <c r="N345" t="s">
        <v>1355</v>
      </c>
      <c r="O345" t="s">
        <v>1359</v>
      </c>
      <c r="P345" s="295">
        <v>1</v>
      </c>
      <c r="Q345">
        <v>1</v>
      </c>
      <c r="R345">
        <v>0</v>
      </c>
      <c r="S345" t="s">
        <v>1355</v>
      </c>
      <c r="T345">
        <v>0</v>
      </c>
      <c r="U345">
        <v>0</v>
      </c>
      <c r="V345">
        <v>0</v>
      </c>
      <c r="W345" t="s">
        <v>1355</v>
      </c>
      <c r="X345" t="s">
        <v>1355</v>
      </c>
      <c r="Y345" t="s">
        <v>1355</v>
      </c>
      <c r="Z345">
        <v>0</v>
      </c>
      <c r="AA345">
        <v>0</v>
      </c>
      <c r="AB345">
        <v>0</v>
      </c>
      <c r="AC345" s="294">
        <v>36161</v>
      </c>
      <c r="AD345" s="294">
        <v>73050</v>
      </c>
      <c r="AE345" s="294">
        <v>41844</v>
      </c>
      <c r="AF345" t="s">
        <v>1358</v>
      </c>
      <c r="AG345">
        <v>0</v>
      </c>
      <c r="AH345" t="s">
        <v>2038</v>
      </c>
      <c r="AI345">
        <v>1</v>
      </c>
      <c r="AJ345">
        <v>1</v>
      </c>
      <c r="AK345">
        <v>0</v>
      </c>
      <c r="AL345" s="295">
        <v>1</v>
      </c>
      <c r="AM345" t="s">
        <v>1355</v>
      </c>
      <c r="AN345" t="s">
        <v>1357</v>
      </c>
      <c r="AO345" s="295">
        <v>0</v>
      </c>
      <c r="AP345" s="295">
        <v>1</v>
      </c>
      <c r="AQ345">
        <v>0</v>
      </c>
      <c r="AR345">
        <v>0</v>
      </c>
      <c r="AS345" s="295">
        <v>0</v>
      </c>
      <c r="AT345">
        <v>1</v>
      </c>
    </row>
    <row r="346" spans="1:46" x14ac:dyDescent="0.2">
      <c r="A346" t="s">
        <v>1132</v>
      </c>
      <c r="B346" t="s">
        <v>2039</v>
      </c>
      <c r="C346" t="s">
        <v>1132</v>
      </c>
      <c r="D346" t="s">
        <v>1355</v>
      </c>
      <c r="E346" t="s">
        <v>1356</v>
      </c>
      <c r="F346" t="s">
        <v>1357</v>
      </c>
      <c r="G346" t="s">
        <v>1355</v>
      </c>
      <c r="H346" t="s">
        <v>1358</v>
      </c>
      <c r="I346" t="s">
        <v>1353</v>
      </c>
      <c r="J346">
        <v>63</v>
      </c>
      <c r="K346">
        <v>520</v>
      </c>
      <c r="L346" t="s">
        <v>1132</v>
      </c>
      <c r="M346" t="s">
        <v>1132</v>
      </c>
      <c r="N346" t="s">
        <v>1355</v>
      </c>
      <c r="O346" t="s">
        <v>1359</v>
      </c>
      <c r="P346">
        <v>1</v>
      </c>
      <c r="Q346">
        <v>1</v>
      </c>
      <c r="R346">
        <v>0</v>
      </c>
      <c r="S346" t="s">
        <v>1355</v>
      </c>
      <c r="T346">
        <v>0</v>
      </c>
      <c r="U346">
        <v>0</v>
      </c>
      <c r="V346">
        <v>0</v>
      </c>
      <c r="W346" t="s">
        <v>1355</v>
      </c>
      <c r="X346" t="s">
        <v>1355</v>
      </c>
      <c r="Y346" t="s">
        <v>1355</v>
      </c>
      <c r="Z346">
        <v>0</v>
      </c>
      <c r="AA346">
        <v>0</v>
      </c>
      <c r="AB346">
        <v>0</v>
      </c>
      <c r="AC346" s="294">
        <v>41845</v>
      </c>
      <c r="AD346" s="294">
        <v>73050</v>
      </c>
      <c r="AE346" s="294">
        <v>41845</v>
      </c>
      <c r="AF346" t="s">
        <v>1358</v>
      </c>
      <c r="AG346">
        <v>0</v>
      </c>
      <c r="AH346" t="s">
        <v>2040</v>
      </c>
      <c r="AI346">
        <v>1</v>
      </c>
      <c r="AJ346">
        <v>1</v>
      </c>
      <c r="AK346">
        <v>0</v>
      </c>
      <c r="AL346">
        <v>1</v>
      </c>
      <c r="AM346" t="s">
        <v>1362</v>
      </c>
      <c r="AN346" t="s">
        <v>1357</v>
      </c>
      <c r="AO346">
        <v>6.28</v>
      </c>
      <c r="AP346">
        <v>1</v>
      </c>
      <c r="AQ346">
        <v>0</v>
      </c>
      <c r="AR346">
        <v>7.8261000000000003</v>
      </c>
      <c r="AS346">
        <v>6.28</v>
      </c>
      <c r="AT346">
        <v>1</v>
      </c>
    </row>
    <row r="347" spans="1:46" hidden="1" x14ac:dyDescent="0.2">
      <c r="A347" t="s">
        <v>1996</v>
      </c>
      <c r="B347" t="s">
        <v>1997</v>
      </c>
      <c r="C347" t="s">
        <v>1996</v>
      </c>
      <c r="D347" t="s">
        <v>1355</v>
      </c>
      <c r="E347" t="s">
        <v>1356</v>
      </c>
      <c r="F347" t="s">
        <v>1357</v>
      </c>
      <c r="G347" t="s">
        <v>1355</v>
      </c>
      <c r="H347" t="s">
        <v>1367</v>
      </c>
      <c r="I347" t="s">
        <v>1132</v>
      </c>
      <c r="J347">
        <v>1</v>
      </c>
      <c r="K347">
        <v>10</v>
      </c>
      <c r="L347" t="s">
        <v>1996</v>
      </c>
      <c r="M347" t="s">
        <v>1996</v>
      </c>
      <c r="N347" t="s">
        <v>1355</v>
      </c>
      <c r="O347" t="s">
        <v>1359</v>
      </c>
      <c r="P347">
        <v>1</v>
      </c>
      <c r="Q347">
        <v>1</v>
      </c>
      <c r="R347">
        <v>0</v>
      </c>
      <c r="S347" t="s">
        <v>1355</v>
      </c>
      <c r="T347">
        <v>0</v>
      </c>
      <c r="U347">
        <v>0</v>
      </c>
      <c r="V347">
        <v>0</v>
      </c>
      <c r="W347" t="s">
        <v>1355</v>
      </c>
      <c r="X347" t="s">
        <v>1355</v>
      </c>
      <c r="Y347" t="s">
        <v>1355</v>
      </c>
      <c r="Z347">
        <v>0</v>
      </c>
      <c r="AA347">
        <v>0</v>
      </c>
      <c r="AB347">
        <v>0</v>
      </c>
      <c r="AC347" s="294">
        <v>41837</v>
      </c>
      <c r="AD347" s="294">
        <v>73050</v>
      </c>
      <c r="AE347" s="294">
        <v>41837</v>
      </c>
      <c r="AF347" t="s">
        <v>1367</v>
      </c>
      <c r="AG347">
        <v>0</v>
      </c>
      <c r="AH347" t="s">
        <v>2041</v>
      </c>
      <c r="AI347">
        <v>1</v>
      </c>
      <c r="AJ347">
        <v>1</v>
      </c>
      <c r="AK347">
        <v>0</v>
      </c>
      <c r="AL347">
        <v>1</v>
      </c>
      <c r="AM347" t="s">
        <v>1355</v>
      </c>
      <c r="AN347" t="s">
        <v>1357</v>
      </c>
      <c r="AO347">
        <v>2.69</v>
      </c>
      <c r="AP347">
        <v>2</v>
      </c>
      <c r="AQ347">
        <v>0</v>
      </c>
      <c r="AR347">
        <v>3.0338699999999998</v>
      </c>
      <c r="AS347">
        <v>2.69</v>
      </c>
      <c r="AT347">
        <v>1</v>
      </c>
    </row>
    <row r="348" spans="1:46" hidden="1" x14ac:dyDescent="0.2">
      <c r="A348" t="s">
        <v>1993</v>
      </c>
      <c r="B348" t="s">
        <v>1994</v>
      </c>
      <c r="C348" t="s">
        <v>1993</v>
      </c>
      <c r="D348" t="s">
        <v>1355</v>
      </c>
      <c r="E348" t="s">
        <v>1356</v>
      </c>
      <c r="F348" t="s">
        <v>1357</v>
      </c>
      <c r="G348" t="s">
        <v>1355</v>
      </c>
      <c r="H348" t="s">
        <v>1367</v>
      </c>
      <c r="I348" t="s">
        <v>1132</v>
      </c>
      <c r="J348">
        <v>2</v>
      </c>
      <c r="K348">
        <v>20</v>
      </c>
      <c r="L348" t="s">
        <v>1993</v>
      </c>
      <c r="M348" t="s">
        <v>1993</v>
      </c>
      <c r="N348" t="s">
        <v>1355</v>
      </c>
      <c r="O348" t="s">
        <v>1359</v>
      </c>
      <c r="P348">
        <v>1</v>
      </c>
      <c r="Q348">
        <v>1</v>
      </c>
      <c r="R348">
        <v>0</v>
      </c>
      <c r="S348" t="s">
        <v>1355</v>
      </c>
      <c r="T348">
        <v>0</v>
      </c>
      <c r="U348">
        <v>0</v>
      </c>
      <c r="V348">
        <v>0</v>
      </c>
      <c r="W348" t="s">
        <v>1355</v>
      </c>
      <c r="X348" t="s">
        <v>1355</v>
      </c>
      <c r="Y348" t="s">
        <v>1355</v>
      </c>
      <c r="Z348">
        <v>0</v>
      </c>
      <c r="AA348">
        <v>0</v>
      </c>
      <c r="AB348">
        <v>0</v>
      </c>
      <c r="AC348" s="294">
        <v>41837</v>
      </c>
      <c r="AD348" s="294">
        <v>73050</v>
      </c>
      <c r="AE348" s="294">
        <v>41837</v>
      </c>
      <c r="AF348" t="s">
        <v>1367</v>
      </c>
      <c r="AG348">
        <v>0</v>
      </c>
      <c r="AH348" t="s">
        <v>2042</v>
      </c>
      <c r="AI348">
        <v>1</v>
      </c>
      <c r="AJ348">
        <v>1</v>
      </c>
      <c r="AK348">
        <v>0</v>
      </c>
      <c r="AL348">
        <v>1</v>
      </c>
      <c r="AM348" t="s">
        <v>1355</v>
      </c>
      <c r="AN348" t="s">
        <v>1357</v>
      </c>
      <c r="AO348">
        <v>2.09</v>
      </c>
      <c r="AP348">
        <v>2</v>
      </c>
      <c r="AQ348">
        <v>0</v>
      </c>
      <c r="AR348">
        <v>2.68065</v>
      </c>
      <c r="AS348">
        <v>2.09</v>
      </c>
      <c r="AT348">
        <v>1</v>
      </c>
    </row>
    <row r="349" spans="1:46" hidden="1" x14ac:dyDescent="0.2">
      <c r="A349" t="s">
        <v>1999</v>
      </c>
      <c r="B349" t="s">
        <v>2000</v>
      </c>
      <c r="C349" t="s">
        <v>1999</v>
      </c>
      <c r="D349" t="s">
        <v>1355</v>
      </c>
      <c r="E349" t="s">
        <v>1356</v>
      </c>
      <c r="F349" t="s">
        <v>1357</v>
      </c>
      <c r="G349" t="s">
        <v>1355</v>
      </c>
      <c r="H349" t="s">
        <v>1367</v>
      </c>
      <c r="I349" t="s">
        <v>1132</v>
      </c>
      <c r="J349">
        <v>3</v>
      </c>
      <c r="K349">
        <v>30</v>
      </c>
      <c r="L349" t="s">
        <v>1999</v>
      </c>
      <c r="M349" t="s">
        <v>1999</v>
      </c>
      <c r="N349" t="s">
        <v>1355</v>
      </c>
      <c r="O349" t="s">
        <v>1359</v>
      </c>
      <c r="P349">
        <v>1</v>
      </c>
      <c r="Q349">
        <v>1</v>
      </c>
      <c r="R349">
        <v>0</v>
      </c>
      <c r="S349" t="s">
        <v>1355</v>
      </c>
      <c r="T349">
        <v>0</v>
      </c>
      <c r="U349">
        <v>0</v>
      </c>
      <c r="V349">
        <v>0</v>
      </c>
      <c r="W349" t="s">
        <v>1355</v>
      </c>
      <c r="X349" t="s">
        <v>1355</v>
      </c>
      <c r="Y349" t="s">
        <v>1355</v>
      </c>
      <c r="Z349">
        <v>0</v>
      </c>
      <c r="AA349">
        <v>0</v>
      </c>
      <c r="AB349">
        <v>0</v>
      </c>
      <c r="AC349" s="294">
        <v>41837</v>
      </c>
      <c r="AD349" s="294">
        <v>73050</v>
      </c>
      <c r="AE349" s="294">
        <v>41837</v>
      </c>
      <c r="AF349" t="s">
        <v>1367</v>
      </c>
      <c r="AG349">
        <v>0</v>
      </c>
      <c r="AH349" t="s">
        <v>2043</v>
      </c>
      <c r="AI349">
        <v>1</v>
      </c>
      <c r="AJ349">
        <v>1</v>
      </c>
      <c r="AK349">
        <v>0</v>
      </c>
      <c r="AL349">
        <v>1</v>
      </c>
      <c r="AM349" t="s">
        <v>1355</v>
      </c>
      <c r="AN349" t="s">
        <v>1357</v>
      </c>
      <c r="AO349">
        <v>1.5</v>
      </c>
      <c r="AP349">
        <v>2</v>
      </c>
      <c r="AQ349">
        <v>0</v>
      </c>
      <c r="AR349">
        <v>2.11158</v>
      </c>
      <c r="AS349">
        <v>1.5</v>
      </c>
      <c r="AT349">
        <v>1</v>
      </c>
    </row>
    <row r="350" spans="1:46" x14ac:dyDescent="0.2">
      <c r="A350" t="s">
        <v>1135</v>
      </c>
      <c r="B350" t="s">
        <v>2044</v>
      </c>
      <c r="C350" t="s">
        <v>1135</v>
      </c>
      <c r="D350" t="s">
        <v>1355</v>
      </c>
      <c r="E350" t="s">
        <v>1356</v>
      </c>
      <c r="F350" t="s">
        <v>1357</v>
      </c>
      <c r="G350" t="s">
        <v>1355</v>
      </c>
      <c r="H350" t="s">
        <v>1358</v>
      </c>
      <c r="I350" t="s">
        <v>1353</v>
      </c>
      <c r="J350">
        <v>65</v>
      </c>
      <c r="K350">
        <v>530</v>
      </c>
      <c r="L350" t="s">
        <v>1135</v>
      </c>
      <c r="M350" t="s">
        <v>1135</v>
      </c>
      <c r="N350" t="s">
        <v>1355</v>
      </c>
      <c r="O350" t="s">
        <v>1359</v>
      </c>
      <c r="P350">
        <v>1</v>
      </c>
      <c r="Q350">
        <v>1</v>
      </c>
      <c r="R350">
        <v>0</v>
      </c>
      <c r="S350" t="s">
        <v>1355</v>
      </c>
      <c r="T350">
        <v>0</v>
      </c>
      <c r="U350">
        <v>0</v>
      </c>
      <c r="V350">
        <v>0</v>
      </c>
      <c r="W350" t="s">
        <v>1355</v>
      </c>
      <c r="X350" t="s">
        <v>1355</v>
      </c>
      <c r="Y350" t="s">
        <v>1355</v>
      </c>
      <c r="Z350">
        <v>0</v>
      </c>
      <c r="AA350">
        <v>0</v>
      </c>
      <c r="AB350">
        <v>0</v>
      </c>
      <c r="AC350" s="294">
        <v>41845</v>
      </c>
      <c r="AD350" s="294">
        <v>73050</v>
      </c>
      <c r="AE350" s="294">
        <v>41845</v>
      </c>
      <c r="AF350" t="s">
        <v>1358</v>
      </c>
      <c r="AG350">
        <v>0</v>
      </c>
      <c r="AH350" t="s">
        <v>2045</v>
      </c>
      <c r="AI350">
        <v>1</v>
      </c>
      <c r="AJ350">
        <v>1</v>
      </c>
      <c r="AK350">
        <v>0</v>
      </c>
      <c r="AL350">
        <v>1</v>
      </c>
      <c r="AM350" t="s">
        <v>1362</v>
      </c>
      <c r="AN350" t="s">
        <v>1357</v>
      </c>
      <c r="AO350">
        <v>6.2</v>
      </c>
      <c r="AP350">
        <v>1</v>
      </c>
      <c r="AQ350">
        <v>0</v>
      </c>
      <c r="AR350">
        <v>7.9203999999999999</v>
      </c>
      <c r="AS350">
        <v>6.2</v>
      </c>
      <c r="AT350">
        <v>1</v>
      </c>
    </row>
    <row r="351" spans="1:46" hidden="1" x14ac:dyDescent="0.2">
      <c r="A351" t="s">
        <v>2046</v>
      </c>
      <c r="B351" t="s">
        <v>2047</v>
      </c>
      <c r="C351" t="s">
        <v>2046</v>
      </c>
      <c r="D351" t="s">
        <v>1355</v>
      </c>
      <c r="E351" t="s">
        <v>1356</v>
      </c>
      <c r="F351" t="s">
        <v>1357</v>
      </c>
      <c r="G351" t="s">
        <v>1355</v>
      </c>
      <c r="H351" t="s">
        <v>1367</v>
      </c>
      <c r="I351" t="s">
        <v>1135</v>
      </c>
      <c r="J351">
        <v>1</v>
      </c>
      <c r="K351">
        <v>10</v>
      </c>
      <c r="L351" t="s">
        <v>2046</v>
      </c>
      <c r="M351" t="s">
        <v>2046</v>
      </c>
      <c r="N351" t="s">
        <v>1355</v>
      </c>
      <c r="O351" t="s">
        <v>1359</v>
      </c>
      <c r="P351">
        <v>1</v>
      </c>
      <c r="Q351">
        <v>1</v>
      </c>
      <c r="R351">
        <v>0</v>
      </c>
      <c r="S351" t="s">
        <v>1355</v>
      </c>
      <c r="T351">
        <v>0</v>
      </c>
      <c r="U351">
        <v>0</v>
      </c>
      <c r="V351">
        <v>0</v>
      </c>
      <c r="W351" t="s">
        <v>1355</v>
      </c>
      <c r="X351" t="s">
        <v>1355</v>
      </c>
      <c r="Y351" t="s">
        <v>1355</v>
      </c>
      <c r="Z351">
        <v>0</v>
      </c>
      <c r="AA351">
        <v>0</v>
      </c>
      <c r="AB351">
        <v>0</v>
      </c>
      <c r="AC351" s="294">
        <v>41837</v>
      </c>
      <c r="AD351" s="294">
        <v>73050</v>
      </c>
      <c r="AE351" s="294">
        <v>41837</v>
      </c>
      <c r="AF351" t="s">
        <v>1367</v>
      </c>
      <c r="AG351">
        <v>0</v>
      </c>
      <c r="AH351" t="s">
        <v>2048</v>
      </c>
      <c r="AI351">
        <v>1</v>
      </c>
      <c r="AJ351">
        <v>1</v>
      </c>
      <c r="AK351">
        <v>0</v>
      </c>
      <c r="AL351">
        <v>1</v>
      </c>
      <c r="AM351" t="s">
        <v>1355</v>
      </c>
      <c r="AN351" t="s">
        <v>1357</v>
      </c>
      <c r="AO351">
        <v>2.2999999999999998</v>
      </c>
      <c r="AP351">
        <v>2</v>
      </c>
      <c r="AQ351">
        <v>0</v>
      </c>
      <c r="AR351">
        <v>3.0341200000000002</v>
      </c>
      <c r="AS351">
        <v>2.2999999999999998</v>
      </c>
      <c r="AT351">
        <v>1</v>
      </c>
    </row>
    <row r="352" spans="1:46" hidden="1" x14ac:dyDescent="0.2">
      <c r="A352" t="s">
        <v>2049</v>
      </c>
      <c r="B352" t="s">
        <v>2050</v>
      </c>
      <c r="C352" t="s">
        <v>2049</v>
      </c>
      <c r="D352" t="s">
        <v>1355</v>
      </c>
      <c r="E352" t="s">
        <v>1356</v>
      </c>
      <c r="F352" t="s">
        <v>1357</v>
      </c>
      <c r="G352" t="s">
        <v>1355</v>
      </c>
      <c r="H352" t="s">
        <v>1367</v>
      </c>
      <c r="I352" t="s">
        <v>1135</v>
      </c>
      <c r="J352">
        <v>2</v>
      </c>
      <c r="K352">
        <v>20</v>
      </c>
      <c r="L352" t="s">
        <v>2049</v>
      </c>
      <c r="M352" t="s">
        <v>2049</v>
      </c>
      <c r="N352" t="s">
        <v>1355</v>
      </c>
      <c r="O352" t="s">
        <v>1359</v>
      </c>
      <c r="P352">
        <v>1</v>
      </c>
      <c r="Q352">
        <v>1</v>
      </c>
      <c r="R352">
        <v>0</v>
      </c>
      <c r="S352" t="s">
        <v>1355</v>
      </c>
      <c r="T352">
        <v>0</v>
      </c>
      <c r="U352">
        <v>0</v>
      </c>
      <c r="V352">
        <v>0</v>
      </c>
      <c r="W352" t="s">
        <v>1355</v>
      </c>
      <c r="X352" t="s">
        <v>1355</v>
      </c>
      <c r="Y352" t="s">
        <v>1355</v>
      </c>
      <c r="Z352">
        <v>0</v>
      </c>
      <c r="AA352">
        <v>0</v>
      </c>
      <c r="AB352">
        <v>0</v>
      </c>
      <c r="AC352" s="294">
        <v>41837</v>
      </c>
      <c r="AD352" s="294">
        <v>73050</v>
      </c>
      <c r="AE352" s="294">
        <v>41837</v>
      </c>
      <c r="AF352" t="s">
        <v>1367</v>
      </c>
      <c r="AG352">
        <v>0</v>
      </c>
      <c r="AH352" t="s">
        <v>2051</v>
      </c>
      <c r="AI352">
        <v>1</v>
      </c>
      <c r="AJ352">
        <v>1</v>
      </c>
      <c r="AK352">
        <v>0</v>
      </c>
      <c r="AL352">
        <v>1</v>
      </c>
      <c r="AM352" t="s">
        <v>1355</v>
      </c>
      <c r="AN352" t="s">
        <v>1357</v>
      </c>
      <c r="AO352">
        <v>3.9</v>
      </c>
      <c r="AP352">
        <v>2</v>
      </c>
      <c r="AQ352">
        <v>0</v>
      </c>
      <c r="AR352">
        <v>4.8862800000000002</v>
      </c>
      <c r="AS352">
        <v>3.9</v>
      </c>
      <c r="AT352">
        <v>1</v>
      </c>
    </row>
    <row r="353" spans="1:46" x14ac:dyDescent="0.2">
      <c r="A353" t="s">
        <v>1196</v>
      </c>
      <c r="B353" t="s">
        <v>2052</v>
      </c>
      <c r="C353" t="s">
        <v>1196</v>
      </c>
      <c r="D353" t="s">
        <v>1355</v>
      </c>
      <c r="E353" t="s">
        <v>1356</v>
      </c>
      <c r="F353" t="s">
        <v>1357</v>
      </c>
      <c r="G353" t="s">
        <v>1355</v>
      </c>
      <c r="H353" t="s">
        <v>1358</v>
      </c>
      <c r="I353" t="s">
        <v>1353</v>
      </c>
      <c r="J353">
        <v>66</v>
      </c>
      <c r="K353">
        <v>540</v>
      </c>
      <c r="L353" t="s">
        <v>1196</v>
      </c>
      <c r="M353" t="s">
        <v>1196</v>
      </c>
      <c r="N353" t="s">
        <v>1355</v>
      </c>
      <c r="O353" t="s">
        <v>1359</v>
      </c>
      <c r="P353">
        <v>1</v>
      </c>
      <c r="Q353">
        <v>1</v>
      </c>
      <c r="R353">
        <v>0</v>
      </c>
      <c r="S353" t="s">
        <v>1355</v>
      </c>
      <c r="T353">
        <v>0</v>
      </c>
      <c r="U353">
        <v>0</v>
      </c>
      <c r="V353">
        <v>0</v>
      </c>
      <c r="W353" t="s">
        <v>1355</v>
      </c>
      <c r="X353" t="s">
        <v>1355</v>
      </c>
      <c r="Y353" t="s">
        <v>1355</v>
      </c>
      <c r="Z353">
        <v>0</v>
      </c>
      <c r="AA353">
        <v>0</v>
      </c>
      <c r="AB353">
        <v>0</v>
      </c>
      <c r="AC353" s="294">
        <v>41845</v>
      </c>
      <c r="AD353" s="294">
        <v>73050</v>
      </c>
      <c r="AE353" s="294">
        <v>41845</v>
      </c>
      <c r="AF353" t="s">
        <v>1358</v>
      </c>
      <c r="AG353">
        <v>0</v>
      </c>
      <c r="AH353" t="s">
        <v>2053</v>
      </c>
      <c r="AI353">
        <v>1</v>
      </c>
      <c r="AJ353">
        <v>1</v>
      </c>
      <c r="AK353">
        <v>0</v>
      </c>
      <c r="AL353">
        <v>1</v>
      </c>
      <c r="AM353" t="s">
        <v>1362</v>
      </c>
      <c r="AN353" t="s">
        <v>1357</v>
      </c>
      <c r="AO353">
        <v>25.526499999999999</v>
      </c>
      <c r="AP353">
        <v>1</v>
      </c>
      <c r="AQ353">
        <v>0</v>
      </c>
      <c r="AR353">
        <v>25.52637</v>
      </c>
      <c r="AS353">
        <v>25.526499999999999</v>
      </c>
      <c r="AT353">
        <v>1</v>
      </c>
    </row>
    <row r="354" spans="1:46" hidden="1" x14ac:dyDescent="0.2">
      <c r="A354" t="s">
        <v>2054</v>
      </c>
      <c r="B354" t="s">
        <v>2055</v>
      </c>
      <c r="C354" t="s">
        <v>2054</v>
      </c>
      <c r="D354" t="s">
        <v>1355</v>
      </c>
      <c r="E354" t="s">
        <v>1356</v>
      </c>
      <c r="F354" t="s">
        <v>1357</v>
      </c>
      <c r="G354" t="s">
        <v>1355</v>
      </c>
      <c r="H354" t="s">
        <v>1367</v>
      </c>
      <c r="I354" t="s">
        <v>1196</v>
      </c>
      <c r="J354">
        <v>1</v>
      </c>
      <c r="K354">
        <v>10</v>
      </c>
      <c r="L354" t="s">
        <v>2054</v>
      </c>
      <c r="M354" t="s">
        <v>2054</v>
      </c>
      <c r="N354" t="s">
        <v>1355</v>
      </c>
      <c r="O354" t="s">
        <v>1359</v>
      </c>
      <c r="P354">
        <v>1</v>
      </c>
      <c r="Q354">
        <v>1</v>
      </c>
      <c r="R354">
        <v>0</v>
      </c>
      <c r="S354" t="s">
        <v>1355</v>
      </c>
      <c r="T354">
        <v>0</v>
      </c>
      <c r="U354">
        <v>0</v>
      </c>
      <c r="V354">
        <v>0</v>
      </c>
      <c r="W354" t="s">
        <v>1355</v>
      </c>
      <c r="X354" t="s">
        <v>1355</v>
      </c>
      <c r="Y354" t="s">
        <v>1355</v>
      </c>
      <c r="Z354">
        <v>0</v>
      </c>
      <c r="AA354">
        <v>0</v>
      </c>
      <c r="AB354">
        <v>0</v>
      </c>
      <c r="AC354" s="294">
        <v>41837</v>
      </c>
      <c r="AD354" s="294">
        <v>73050</v>
      </c>
      <c r="AE354" s="294">
        <v>41837</v>
      </c>
      <c r="AF354" t="s">
        <v>1367</v>
      </c>
      <c r="AG354">
        <v>0</v>
      </c>
      <c r="AH354" t="s">
        <v>2056</v>
      </c>
      <c r="AI354">
        <v>1</v>
      </c>
      <c r="AJ354">
        <v>1</v>
      </c>
      <c r="AK354">
        <v>0</v>
      </c>
      <c r="AL354">
        <v>1</v>
      </c>
      <c r="AM354" t="s">
        <v>1355</v>
      </c>
      <c r="AN354" t="s">
        <v>1357</v>
      </c>
      <c r="AO354">
        <v>25.526499999999999</v>
      </c>
      <c r="AP354">
        <v>2</v>
      </c>
      <c r="AQ354">
        <v>0</v>
      </c>
      <c r="AR354">
        <v>25.52637</v>
      </c>
      <c r="AS354">
        <v>25.526499999999999</v>
      </c>
      <c r="AT354">
        <v>1</v>
      </c>
    </row>
    <row r="355" spans="1:46" x14ac:dyDescent="0.2">
      <c r="A355" t="s">
        <v>1141</v>
      </c>
      <c r="B355" t="s">
        <v>2057</v>
      </c>
      <c r="C355" t="s">
        <v>1141</v>
      </c>
      <c r="D355" t="s">
        <v>1355</v>
      </c>
      <c r="E355" t="s">
        <v>1356</v>
      </c>
      <c r="F355" t="s">
        <v>1357</v>
      </c>
      <c r="G355" t="s">
        <v>1355</v>
      </c>
      <c r="H355" t="s">
        <v>1358</v>
      </c>
      <c r="I355" t="s">
        <v>1353</v>
      </c>
      <c r="J355">
        <v>67</v>
      </c>
      <c r="K355">
        <v>550</v>
      </c>
      <c r="L355" t="s">
        <v>1141</v>
      </c>
      <c r="M355" t="s">
        <v>1141</v>
      </c>
      <c r="N355" t="s">
        <v>1355</v>
      </c>
      <c r="O355" t="s">
        <v>1359</v>
      </c>
      <c r="P355">
        <v>1</v>
      </c>
      <c r="Q355">
        <v>1</v>
      </c>
      <c r="R355">
        <v>0</v>
      </c>
      <c r="S355" t="s">
        <v>1355</v>
      </c>
      <c r="T355">
        <v>0</v>
      </c>
      <c r="U355">
        <v>0</v>
      </c>
      <c r="V355">
        <v>0</v>
      </c>
      <c r="W355" t="s">
        <v>1355</v>
      </c>
      <c r="X355" t="s">
        <v>1355</v>
      </c>
      <c r="Y355" t="s">
        <v>1355</v>
      </c>
      <c r="Z355">
        <v>0</v>
      </c>
      <c r="AA355">
        <v>0</v>
      </c>
      <c r="AB355">
        <v>0</v>
      </c>
      <c r="AC355" s="294">
        <v>41845</v>
      </c>
      <c r="AD355" s="294">
        <v>73050</v>
      </c>
      <c r="AE355" s="294">
        <v>41845</v>
      </c>
      <c r="AF355" t="s">
        <v>1358</v>
      </c>
      <c r="AG355">
        <v>0</v>
      </c>
      <c r="AH355" t="s">
        <v>2058</v>
      </c>
      <c r="AI355">
        <v>1</v>
      </c>
      <c r="AJ355">
        <v>1</v>
      </c>
      <c r="AK355">
        <v>0</v>
      </c>
      <c r="AL355">
        <v>1</v>
      </c>
      <c r="AM355" t="s">
        <v>1362</v>
      </c>
      <c r="AN355" t="s">
        <v>1357</v>
      </c>
      <c r="AO355">
        <v>137.06229999999999</v>
      </c>
      <c r="AP355">
        <v>1</v>
      </c>
      <c r="AQ355">
        <v>0</v>
      </c>
      <c r="AR355">
        <v>137.06232</v>
      </c>
      <c r="AS355">
        <v>137.06229999999999</v>
      </c>
      <c r="AT355">
        <v>1</v>
      </c>
    </row>
    <row r="356" spans="1:46" hidden="1" x14ac:dyDescent="0.2">
      <c r="A356" t="s">
        <v>2059</v>
      </c>
      <c r="B356" t="s">
        <v>2060</v>
      </c>
      <c r="C356" t="s">
        <v>2059</v>
      </c>
      <c r="D356" t="s">
        <v>1355</v>
      </c>
      <c r="E356" t="s">
        <v>1356</v>
      </c>
      <c r="F356" t="s">
        <v>1357</v>
      </c>
      <c r="G356" t="s">
        <v>1355</v>
      </c>
      <c r="H356" t="s">
        <v>1358</v>
      </c>
      <c r="I356" t="s">
        <v>1141</v>
      </c>
      <c r="J356">
        <v>1</v>
      </c>
      <c r="K356">
        <v>10</v>
      </c>
      <c r="L356" t="s">
        <v>2059</v>
      </c>
      <c r="M356" t="s">
        <v>2059</v>
      </c>
      <c r="N356" t="s">
        <v>1355</v>
      </c>
      <c r="O356" t="s">
        <v>1359</v>
      </c>
      <c r="P356">
        <v>1</v>
      </c>
      <c r="Q356">
        <v>1</v>
      </c>
      <c r="R356">
        <v>0</v>
      </c>
      <c r="S356" t="s">
        <v>1355</v>
      </c>
      <c r="T356">
        <v>0</v>
      </c>
      <c r="U356">
        <v>0</v>
      </c>
      <c r="V356">
        <v>0</v>
      </c>
      <c r="W356" t="s">
        <v>1355</v>
      </c>
      <c r="X356" t="s">
        <v>1355</v>
      </c>
      <c r="Y356" t="s">
        <v>1355</v>
      </c>
      <c r="Z356">
        <v>0</v>
      </c>
      <c r="AA356">
        <v>0</v>
      </c>
      <c r="AB356">
        <v>0</v>
      </c>
      <c r="AC356" s="294">
        <v>41837</v>
      </c>
      <c r="AD356" s="294">
        <v>73050</v>
      </c>
      <c r="AE356" s="294">
        <v>41837</v>
      </c>
      <c r="AF356" t="s">
        <v>1358</v>
      </c>
      <c r="AG356">
        <v>0</v>
      </c>
      <c r="AH356" t="s">
        <v>2061</v>
      </c>
      <c r="AI356">
        <v>1</v>
      </c>
      <c r="AJ356">
        <v>1</v>
      </c>
      <c r="AK356">
        <v>0</v>
      </c>
      <c r="AL356">
        <v>1</v>
      </c>
      <c r="AM356" t="s">
        <v>1362</v>
      </c>
      <c r="AN356" t="s">
        <v>1357</v>
      </c>
      <c r="AO356">
        <v>137.06229999999999</v>
      </c>
      <c r="AP356">
        <v>2</v>
      </c>
      <c r="AQ356">
        <v>0</v>
      </c>
      <c r="AR356">
        <v>137.06232</v>
      </c>
      <c r="AS356">
        <v>137.06229999999999</v>
      </c>
      <c r="AT356">
        <v>1</v>
      </c>
    </row>
    <row r="357" spans="1:46" hidden="1" x14ac:dyDescent="0.2">
      <c r="A357" t="s">
        <v>2062</v>
      </c>
      <c r="B357" t="s">
        <v>2063</v>
      </c>
      <c r="C357" t="s">
        <v>2062</v>
      </c>
      <c r="D357" t="s">
        <v>1355</v>
      </c>
      <c r="E357" t="s">
        <v>1356</v>
      </c>
      <c r="F357" t="s">
        <v>1357</v>
      </c>
      <c r="G357" t="s">
        <v>1355</v>
      </c>
      <c r="H357" t="s">
        <v>1367</v>
      </c>
      <c r="I357" t="s">
        <v>2059</v>
      </c>
      <c r="J357">
        <v>1</v>
      </c>
      <c r="K357">
        <v>10</v>
      </c>
      <c r="L357" t="s">
        <v>2062</v>
      </c>
      <c r="M357" t="s">
        <v>2062</v>
      </c>
      <c r="N357" t="s">
        <v>1355</v>
      </c>
      <c r="O357" t="s">
        <v>1359</v>
      </c>
      <c r="P357">
        <v>1</v>
      </c>
      <c r="Q357">
        <v>1</v>
      </c>
      <c r="R357">
        <v>0</v>
      </c>
      <c r="S357" t="s">
        <v>1355</v>
      </c>
      <c r="T357">
        <v>0</v>
      </c>
      <c r="U357">
        <v>0</v>
      </c>
      <c r="V357">
        <v>0</v>
      </c>
      <c r="W357" t="s">
        <v>1355</v>
      </c>
      <c r="X357" t="s">
        <v>1355</v>
      </c>
      <c r="Y357" t="s">
        <v>1355</v>
      </c>
      <c r="Z357">
        <v>0</v>
      </c>
      <c r="AA357">
        <v>0</v>
      </c>
      <c r="AB357">
        <v>0</v>
      </c>
      <c r="AC357" s="294">
        <v>38729</v>
      </c>
      <c r="AD357" s="294">
        <v>73050</v>
      </c>
      <c r="AE357" s="294">
        <v>36526</v>
      </c>
      <c r="AF357" t="s">
        <v>1367</v>
      </c>
      <c r="AG357">
        <v>0</v>
      </c>
      <c r="AH357" t="s">
        <v>2064</v>
      </c>
      <c r="AI357">
        <v>1</v>
      </c>
      <c r="AJ357">
        <v>1</v>
      </c>
      <c r="AK357">
        <v>0</v>
      </c>
      <c r="AL357">
        <v>1</v>
      </c>
      <c r="AM357" t="s">
        <v>1355</v>
      </c>
      <c r="AN357" t="s">
        <v>1357</v>
      </c>
      <c r="AO357">
        <v>6.24</v>
      </c>
      <c r="AP357">
        <v>3</v>
      </c>
      <c r="AQ357">
        <v>0</v>
      </c>
      <c r="AR357">
        <v>6.24</v>
      </c>
      <c r="AS357">
        <v>6.24</v>
      </c>
      <c r="AT357">
        <v>1</v>
      </c>
    </row>
    <row r="358" spans="1:46" hidden="1" x14ac:dyDescent="0.2">
      <c r="A358" t="s">
        <v>2065</v>
      </c>
      <c r="B358" t="s">
        <v>2066</v>
      </c>
      <c r="C358" t="s">
        <v>2065</v>
      </c>
      <c r="D358" t="s">
        <v>1355</v>
      </c>
      <c r="E358" t="s">
        <v>1356</v>
      </c>
      <c r="F358" t="s">
        <v>1357</v>
      </c>
      <c r="G358" t="s">
        <v>1355</v>
      </c>
      <c r="H358" t="s">
        <v>1367</v>
      </c>
      <c r="I358" t="s">
        <v>2059</v>
      </c>
      <c r="J358">
        <v>2</v>
      </c>
      <c r="K358">
        <v>20</v>
      </c>
      <c r="L358" t="s">
        <v>2065</v>
      </c>
      <c r="M358" t="s">
        <v>2065</v>
      </c>
      <c r="N358" t="s">
        <v>1355</v>
      </c>
      <c r="O358" t="s">
        <v>1359</v>
      </c>
      <c r="P358">
        <v>1</v>
      </c>
      <c r="Q358">
        <v>1</v>
      </c>
      <c r="R358">
        <v>0</v>
      </c>
      <c r="S358" t="s">
        <v>1355</v>
      </c>
      <c r="T358">
        <v>0</v>
      </c>
      <c r="U358">
        <v>0</v>
      </c>
      <c r="V358">
        <v>0</v>
      </c>
      <c r="W358" t="s">
        <v>1355</v>
      </c>
      <c r="X358" t="s">
        <v>1355</v>
      </c>
      <c r="Y358" t="s">
        <v>1355</v>
      </c>
      <c r="Z358">
        <v>0</v>
      </c>
      <c r="AA358">
        <v>0</v>
      </c>
      <c r="AB358">
        <v>0</v>
      </c>
      <c r="AC358" s="294">
        <v>38729</v>
      </c>
      <c r="AD358" s="294">
        <v>73050</v>
      </c>
      <c r="AE358" s="294">
        <v>36526</v>
      </c>
      <c r="AF358" t="s">
        <v>1367</v>
      </c>
      <c r="AG358">
        <v>0</v>
      </c>
      <c r="AH358" t="s">
        <v>2067</v>
      </c>
      <c r="AI358">
        <v>1</v>
      </c>
      <c r="AJ358">
        <v>1</v>
      </c>
      <c r="AK358">
        <v>0</v>
      </c>
      <c r="AL358">
        <v>1</v>
      </c>
      <c r="AM358" t="s">
        <v>1355</v>
      </c>
      <c r="AN358" t="s">
        <v>1357</v>
      </c>
      <c r="AO358">
        <v>2.84</v>
      </c>
      <c r="AP358">
        <v>3</v>
      </c>
      <c r="AQ358">
        <v>0</v>
      </c>
      <c r="AR358">
        <v>2.84</v>
      </c>
      <c r="AS358">
        <v>2.84</v>
      </c>
      <c r="AT358">
        <v>1</v>
      </c>
    </row>
    <row r="359" spans="1:46" hidden="1" x14ac:dyDescent="0.2">
      <c r="A359" t="s">
        <v>2068</v>
      </c>
      <c r="B359" t="s">
        <v>2069</v>
      </c>
      <c r="C359" t="s">
        <v>2068</v>
      </c>
      <c r="D359" t="s">
        <v>1355</v>
      </c>
      <c r="E359" t="s">
        <v>1356</v>
      </c>
      <c r="F359" t="s">
        <v>1357</v>
      </c>
      <c r="G359" t="s">
        <v>1355</v>
      </c>
      <c r="H359" t="s">
        <v>1367</v>
      </c>
      <c r="I359" t="s">
        <v>2059</v>
      </c>
      <c r="J359">
        <v>3</v>
      </c>
      <c r="K359">
        <v>30</v>
      </c>
      <c r="L359" t="s">
        <v>2068</v>
      </c>
      <c r="M359" t="s">
        <v>2068</v>
      </c>
      <c r="N359" t="s">
        <v>1355</v>
      </c>
      <c r="O359" t="s">
        <v>1359</v>
      </c>
      <c r="P359">
        <v>1</v>
      </c>
      <c r="Q359">
        <v>1</v>
      </c>
      <c r="R359">
        <v>0</v>
      </c>
      <c r="S359" t="s">
        <v>1355</v>
      </c>
      <c r="T359">
        <v>0</v>
      </c>
      <c r="U359">
        <v>0</v>
      </c>
      <c r="V359">
        <v>0</v>
      </c>
      <c r="W359" t="s">
        <v>1355</v>
      </c>
      <c r="X359" t="s">
        <v>1355</v>
      </c>
      <c r="Y359" t="s">
        <v>1355</v>
      </c>
      <c r="Z359">
        <v>0</v>
      </c>
      <c r="AA359">
        <v>0</v>
      </c>
      <c r="AB359">
        <v>0</v>
      </c>
      <c r="AC359" s="294">
        <v>38729</v>
      </c>
      <c r="AD359" s="294">
        <v>73050</v>
      </c>
      <c r="AE359" s="294">
        <v>36526</v>
      </c>
      <c r="AF359" t="s">
        <v>1367</v>
      </c>
      <c r="AG359">
        <v>0</v>
      </c>
      <c r="AH359" t="s">
        <v>2070</v>
      </c>
      <c r="AI359">
        <v>1</v>
      </c>
      <c r="AJ359">
        <v>1</v>
      </c>
      <c r="AK359">
        <v>0</v>
      </c>
      <c r="AL359">
        <v>1</v>
      </c>
      <c r="AM359" t="s">
        <v>1355</v>
      </c>
      <c r="AN359" t="s">
        <v>1357</v>
      </c>
      <c r="AO359">
        <v>108</v>
      </c>
      <c r="AP359">
        <v>3</v>
      </c>
      <c r="AQ359">
        <v>0</v>
      </c>
      <c r="AR359">
        <v>108</v>
      </c>
      <c r="AS359">
        <v>108</v>
      </c>
      <c r="AT359">
        <v>1</v>
      </c>
    </row>
    <row r="360" spans="1:46" hidden="1" x14ac:dyDescent="0.2">
      <c r="A360" t="s">
        <v>2071</v>
      </c>
      <c r="B360" t="s">
        <v>2072</v>
      </c>
      <c r="C360" t="s">
        <v>2071</v>
      </c>
      <c r="D360" t="s">
        <v>1355</v>
      </c>
      <c r="E360" t="s">
        <v>1356</v>
      </c>
      <c r="F360" t="s">
        <v>1357</v>
      </c>
      <c r="G360" t="s">
        <v>1355</v>
      </c>
      <c r="H360" t="s">
        <v>1367</v>
      </c>
      <c r="I360" t="s">
        <v>2059</v>
      </c>
      <c r="J360">
        <v>4</v>
      </c>
      <c r="K360">
        <v>40</v>
      </c>
      <c r="L360" t="s">
        <v>2071</v>
      </c>
      <c r="M360" t="s">
        <v>2071</v>
      </c>
      <c r="N360" t="s">
        <v>1355</v>
      </c>
      <c r="O360" t="s">
        <v>1359</v>
      </c>
      <c r="P360">
        <v>1</v>
      </c>
      <c r="Q360">
        <v>1</v>
      </c>
      <c r="R360">
        <v>0</v>
      </c>
      <c r="S360" t="s">
        <v>1355</v>
      </c>
      <c r="T360">
        <v>0</v>
      </c>
      <c r="U360">
        <v>0</v>
      </c>
      <c r="V360">
        <v>0</v>
      </c>
      <c r="W360" t="s">
        <v>1355</v>
      </c>
      <c r="X360" t="s">
        <v>1355</v>
      </c>
      <c r="Y360" t="s">
        <v>1355</v>
      </c>
      <c r="Z360">
        <v>0</v>
      </c>
      <c r="AA360">
        <v>0</v>
      </c>
      <c r="AB360">
        <v>0</v>
      </c>
      <c r="AC360" s="294">
        <v>38729</v>
      </c>
      <c r="AD360" s="294">
        <v>73050</v>
      </c>
      <c r="AE360" s="294">
        <v>36526</v>
      </c>
      <c r="AF360" t="s">
        <v>1367</v>
      </c>
      <c r="AG360">
        <v>0</v>
      </c>
      <c r="AH360" t="s">
        <v>2073</v>
      </c>
      <c r="AI360">
        <v>1</v>
      </c>
      <c r="AJ360">
        <v>1</v>
      </c>
      <c r="AK360">
        <v>0</v>
      </c>
      <c r="AL360">
        <v>1</v>
      </c>
      <c r="AM360" t="s">
        <v>1355</v>
      </c>
      <c r="AN360" t="s">
        <v>1357</v>
      </c>
      <c r="AO360">
        <v>0.54</v>
      </c>
      <c r="AP360">
        <v>3</v>
      </c>
      <c r="AQ360">
        <v>0</v>
      </c>
      <c r="AR360">
        <v>0.54</v>
      </c>
      <c r="AS360">
        <v>0.54</v>
      </c>
      <c r="AT360">
        <v>1</v>
      </c>
    </row>
    <row r="361" spans="1:46" hidden="1" x14ac:dyDescent="0.2">
      <c r="A361" t="s">
        <v>2074</v>
      </c>
      <c r="B361" t="s">
        <v>2075</v>
      </c>
      <c r="C361" t="s">
        <v>2074</v>
      </c>
      <c r="D361" t="s">
        <v>1355</v>
      </c>
      <c r="E361" t="s">
        <v>1356</v>
      </c>
      <c r="F361" t="s">
        <v>1357</v>
      </c>
      <c r="G361" t="s">
        <v>1355</v>
      </c>
      <c r="H361" t="s">
        <v>1367</v>
      </c>
      <c r="I361" t="s">
        <v>2059</v>
      </c>
      <c r="J361">
        <v>5</v>
      </c>
      <c r="K361">
        <v>50</v>
      </c>
      <c r="L361" t="s">
        <v>2074</v>
      </c>
      <c r="M361" t="s">
        <v>2074</v>
      </c>
      <c r="N361" t="s">
        <v>1355</v>
      </c>
      <c r="O361" t="s">
        <v>1359</v>
      </c>
      <c r="P361">
        <v>1</v>
      </c>
      <c r="Q361">
        <v>1</v>
      </c>
      <c r="R361">
        <v>0</v>
      </c>
      <c r="S361" t="s">
        <v>1355</v>
      </c>
      <c r="T361">
        <v>0</v>
      </c>
      <c r="U361">
        <v>0</v>
      </c>
      <c r="V361">
        <v>0</v>
      </c>
      <c r="W361" t="s">
        <v>1355</v>
      </c>
      <c r="X361" t="s">
        <v>1355</v>
      </c>
      <c r="Y361" t="s">
        <v>1355</v>
      </c>
      <c r="Z361">
        <v>0</v>
      </c>
      <c r="AA361">
        <v>0</v>
      </c>
      <c r="AB361">
        <v>0</v>
      </c>
      <c r="AC361" s="294">
        <v>38729</v>
      </c>
      <c r="AD361" s="294">
        <v>73050</v>
      </c>
      <c r="AE361" s="294">
        <v>36526</v>
      </c>
      <c r="AF361" t="s">
        <v>1367</v>
      </c>
      <c r="AG361">
        <v>0</v>
      </c>
      <c r="AH361" t="s">
        <v>2076</v>
      </c>
      <c r="AI361">
        <v>1</v>
      </c>
      <c r="AJ361">
        <v>1</v>
      </c>
      <c r="AK361">
        <v>0</v>
      </c>
      <c r="AL361">
        <v>1</v>
      </c>
      <c r="AM361" t="s">
        <v>1355</v>
      </c>
      <c r="AN361" t="s">
        <v>1357</v>
      </c>
      <c r="AO361">
        <v>2.83</v>
      </c>
      <c r="AP361">
        <v>3</v>
      </c>
      <c r="AQ361">
        <v>0</v>
      </c>
      <c r="AR361">
        <v>2.83</v>
      </c>
      <c r="AS361">
        <v>2.83</v>
      </c>
      <c r="AT361">
        <v>1</v>
      </c>
    </row>
    <row r="362" spans="1:46" hidden="1" x14ac:dyDescent="0.2">
      <c r="A362" t="s">
        <v>2077</v>
      </c>
      <c r="B362" t="s">
        <v>2078</v>
      </c>
      <c r="C362" t="s">
        <v>2077</v>
      </c>
      <c r="D362" t="s">
        <v>1355</v>
      </c>
      <c r="E362" t="s">
        <v>1356</v>
      </c>
      <c r="F362" t="s">
        <v>1357</v>
      </c>
      <c r="G362" t="s">
        <v>1355</v>
      </c>
      <c r="H362" t="s">
        <v>1367</v>
      </c>
      <c r="I362" t="s">
        <v>2059</v>
      </c>
      <c r="J362">
        <v>6</v>
      </c>
      <c r="K362">
        <v>60</v>
      </c>
      <c r="L362" t="s">
        <v>2077</v>
      </c>
      <c r="M362" t="s">
        <v>2077</v>
      </c>
      <c r="N362" t="s">
        <v>1355</v>
      </c>
      <c r="O362" t="s">
        <v>1359</v>
      </c>
      <c r="P362">
        <v>1</v>
      </c>
      <c r="Q362">
        <v>1</v>
      </c>
      <c r="R362">
        <v>0</v>
      </c>
      <c r="S362" t="s">
        <v>1355</v>
      </c>
      <c r="T362">
        <v>0</v>
      </c>
      <c r="U362">
        <v>0</v>
      </c>
      <c r="V362">
        <v>0</v>
      </c>
      <c r="W362" t="s">
        <v>1355</v>
      </c>
      <c r="X362" t="s">
        <v>1355</v>
      </c>
      <c r="Y362" t="s">
        <v>1355</v>
      </c>
      <c r="Z362">
        <v>0</v>
      </c>
      <c r="AA362">
        <v>0</v>
      </c>
      <c r="AB362">
        <v>0</v>
      </c>
      <c r="AC362" s="294">
        <v>38729</v>
      </c>
      <c r="AD362" s="294">
        <v>73050</v>
      </c>
      <c r="AE362" s="294">
        <v>36526</v>
      </c>
      <c r="AF362" t="s">
        <v>1367</v>
      </c>
      <c r="AG362">
        <v>0</v>
      </c>
      <c r="AH362" t="s">
        <v>2079</v>
      </c>
      <c r="AI362">
        <v>1</v>
      </c>
      <c r="AJ362">
        <v>1</v>
      </c>
      <c r="AK362">
        <v>0</v>
      </c>
      <c r="AL362">
        <v>1</v>
      </c>
      <c r="AM362" t="s">
        <v>1355</v>
      </c>
      <c r="AN362" t="s">
        <v>1357</v>
      </c>
      <c r="AO362">
        <v>12.28</v>
      </c>
      <c r="AP362">
        <v>3</v>
      </c>
      <c r="AQ362">
        <v>0</v>
      </c>
      <c r="AR362">
        <v>12.28</v>
      </c>
      <c r="AS362">
        <v>12.28</v>
      </c>
      <c r="AT362">
        <v>1</v>
      </c>
    </row>
    <row r="363" spans="1:46" hidden="1" x14ac:dyDescent="0.2">
      <c r="A363" t="s">
        <v>2080</v>
      </c>
      <c r="B363" t="s">
        <v>2081</v>
      </c>
      <c r="C363" t="s">
        <v>2080</v>
      </c>
      <c r="D363" t="s">
        <v>1355</v>
      </c>
      <c r="E363" t="s">
        <v>1356</v>
      </c>
      <c r="F363" t="s">
        <v>1357</v>
      </c>
      <c r="G363" t="s">
        <v>1355</v>
      </c>
      <c r="H363" t="s">
        <v>1367</v>
      </c>
      <c r="I363" t="s">
        <v>2059</v>
      </c>
      <c r="J363">
        <v>8</v>
      </c>
      <c r="K363">
        <v>70</v>
      </c>
      <c r="L363" t="s">
        <v>2080</v>
      </c>
      <c r="M363" t="s">
        <v>2080</v>
      </c>
      <c r="N363" t="s">
        <v>1355</v>
      </c>
      <c r="O363" t="s">
        <v>1359</v>
      </c>
      <c r="P363">
        <v>2</v>
      </c>
      <c r="Q363">
        <v>2</v>
      </c>
      <c r="R363">
        <v>0</v>
      </c>
      <c r="S363" t="s">
        <v>1355</v>
      </c>
      <c r="T363">
        <v>0</v>
      </c>
      <c r="U363">
        <v>0</v>
      </c>
      <c r="V363">
        <v>0</v>
      </c>
      <c r="W363" t="s">
        <v>1355</v>
      </c>
      <c r="X363" t="s">
        <v>1355</v>
      </c>
      <c r="Y363" t="s">
        <v>1355</v>
      </c>
      <c r="Z363">
        <v>0</v>
      </c>
      <c r="AA363">
        <v>0</v>
      </c>
      <c r="AB363">
        <v>0</v>
      </c>
      <c r="AC363" s="294">
        <v>41776</v>
      </c>
      <c r="AD363" s="294">
        <v>73050</v>
      </c>
      <c r="AE363" s="294">
        <v>41776</v>
      </c>
      <c r="AF363" t="s">
        <v>1367</v>
      </c>
      <c r="AG363">
        <v>0</v>
      </c>
      <c r="AH363" t="s">
        <v>2082</v>
      </c>
      <c r="AI363">
        <v>2</v>
      </c>
      <c r="AJ363">
        <v>2</v>
      </c>
      <c r="AK363">
        <v>0</v>
      </c>
      <c r="AL363">
        <v>2</v>
      </c>
      <c r="AM363" t="s">
        <v>1355</v>
      </c>
      <c r="AN363" t="s">
        <v>1357</v>
      </c>
      <c r="AO363">
        <v>1.62</v>
      </c>
      <c r="AP363">
        <v>3</v>
      </c>
      <c r="AQ363">
        <v>0</v>
      </c>
      <c r="AR363">
        <v>1.62</v>
      </c>
      <c r="AS363">
        <v>1.62</v>
      </c>
      <c r="AT363">
        <v>1</v>
      </c>
    </row>
    <row r="364" spans="1:46" hidden="1" x14ac:dyDescent="0.2">
      <c r="A364" t="s">
        <v>2083</v>
      </c>
      <c r="B364" t="s">
        <v>2084</v>
      </c>
      <c r="C364" t="s">
        <v>2083</v>
      </c>
      <c r="D364" t="s">
        <v>1355</v>
      </c>
      <c r="E364" t="s">
        <v>1356</v>
      </c>
      <c r="F364" t="s">
        <v>1357</v>
      </c>
      <c r="G364" t="s">
        <v>1355</v>
      </c>
      <c r="H364" t="s">
        <v>1367</v>
      </c>
      <c r="I364" t="s">
        <v>2059</v>
      </c>
      <c r="J364">
        <v>9</v>
      </c>
      <c r="K364">
        <v>80</v>
      </c>
      <c r="L364" t="s">
        <v>2083</v>
      </c>
      <c r="M364" t="s">
        <v>2083</v>
      </c>
      <c r="N364" t="s">
        <v>1355</v>
      </c>
      <c r="O364" t="s">
        <v>1359</v>
      </c>
      <c r="P364">
        <v>2</v>
      </c>
      <c r="Q364">
        <v>2</v>
      </c>
      <c r="R364">
        <v>0</v>
      </c>
      <c r="S364" t="s">
        <v>1355</v>
      </c>
      <c r="T364">
        <v>0</v>
      </c>
      <c r="U364">
        <v>0</v>
      </c>
      <c r="V364">
        <v>0</v>
      </c>
      <c r="W364" t="s">
        <v>1355</v>
      </c>
      <c r="X364" t="s">
        <v>1355</v>
      </c>
      <c r="Y364" t="s">
        <v>1355</v>
      </c>
      <c r="Z364">
        <v>0</v>
      </c>
      <c r="AA364">
        <v>0</v>
      </c>
      <c r="AB364">
        <v>0</v>
      </c>
      <c r="AC364" s="294">
        <v>41776</v>
      </c>
      <c r="AD364" s="294">
        <v>73050</v>
      </c>
      <c r="AE364" s="294">
        <v>41776</v>
      </c>
      <c r="AF364" t="s">
        <v>1367</v>
      </c>
      <c r="AG364">
        <v>0</v>
      </c>
      <c r="AH364" t="s">
        <v>2085</v>
      </c>
      <c r="AI364">
        <v>2</v>
      </c>
      <c r="AJ364">
        <v>2</v>
      </c>
      <c r="AK364">
        <v>0</v>
      </c>
      <c r="AL364">
        <v>2</v>
      </c>
      <c r="AM364" t="s">
        <v>1355</v>
      </c>
      <c r="AN364" t="s">
        <v>1357</v>
      </c>
      <c r="AO364">
        <v>1.966</v>
      </c>
      <c r="AP364">
        <v>3</v>
      </c>
      <c r="AQ364">
        <v>0</v>
      </c>
      <c r="AR364">
        <v>1.966</v>
      </c>
      <c r="AS364">
        <v>1.966</v>
      </c>
      <c r="AT364">
        <v>1</v>
      </c>
    </row>
    <row r="365" spans="1:46" hidden="1" x14ac:dyDescent="0.2">
      <c r="A365" t="s">
        <v>2086</v>
      </c>
      <c r="B365" t="s">
        <v>2087</v>
      </c>
      <c r="C365" t="s">
        <v>2086</v>
      </c>
      <c r="D365" t="s">
        <v>1355</v>
      </c>
      <c r="E365" t="s">
        <v>1356</v>
      </c>
      <c r="F365" t="s">
        <v>1357</v>
      </c>
      <c r="G365" t="s">
        <v>1355</v>
      </c>
      <c r="H365" t="s">
        <v>1367</v>
      </c>
      <c r="I365" t="s">
        <v>2059</v>
      </c>
      <c r="J365">
        <v>10</v>
      </c>
      <c r="K365">
        <v>90</v>
      </c>
      <c r="L365" t="s">
        <v>2086</v>
      </c>
      <c r="M365" t="s">
        <v>2086</v>
      </c>
      <c r="N365" t="s">
        <v>1355</v>
      </c>
      <c r="O365" t="s">
        <v>1359</v>
      </c>
      <c r="P365">
        <v>2</v>
      </c>
      <c r="Q365">
        <v>2</v>
      </c>
      <c r="R365">
        <v>0</v>
      </c>
      <c r="S365" t="s">
        <v>1355</v>
      </c>
      <c r="T365">
        <v>0</v>
      </c>
      <c r="U365">
        <v>0</v>
      </c>
      <c r="V365">
        <v>0</v>
      </c>
      <c r="W365" t="s">
        <v>1355</v>
      </c>
      <c r="X365" t="s">
        <v>1355</v>
      </c>
      <c r="Y365" t="s">
        <v>1355</v>
      </c>
      <c r="Z365">
        <v>0</v>
      </c>
      <c r="AA365">
        <v>0</v>
      </c>
      <c r="AB365">
        <v>0</v>
      </c>
      <c r="AC365" s="294">
        <v>41776</v>
      </c>
      <c r="AD365" s="294">
        <v>73050</v>
      </c>
      <c r="AE365" s="294">
        <v>41776</v>
      </c>
      <c r="AF365" t="s">
        <v>1367</v>
      </c>
      <c r="AG365">
        <v>0</v>
      </c>
      <c r="AH365" t="s">
        <v>2088</v>
      </c>
      <c r="AI365">
        <v>2</v>
      </c>
      <c r="AJ365">
        <v>2</v>
      </c>
      <c r="AK365">
        <v>0</v>
      </c>
      <c r="AL365">
        <v>2</v>
      </c>
      <c r="AM365" t="s">
        <v>1355</v>
      </c>
      <c r="AN365" t="s">
        <v>1357</v>
      </c>
      <c r="AO365">
        <v>0.2223</v>
      </c>
      <c r="AP365">
        <v>3</v>
      </c>
      <c r="AQ365">
        <v>0</v>
      </c>
      <c r="AR365">
        <v>0.22231999999999999</v>
      </c>
      <c r="AS365">
        <v>0.2223</v>
      </c>
      <c r="AT365">
        <v>1</v>
      </c>
    </row>
    <row r="366" spans="1:46" hidden="1" x14ac:dyDescent="0.2">
      <c r="A366" t="s">
        <v>2089</v>
      </c>
      <c r="B366" t="s">
        <v>2090</v>
      </c>
      <c r="C366" t="s">
        <v>2089</v>
      </c>
      <c r="D366" t="s">
        <v>1355</v>
      </c>
      <c r="E366" t="s">
        <v>1356</v>
      </c>
      <c r="F366" t="s">
        <v>1357</v>
      </c>
      <c r="G366" t="s">
        <v>1355</v>
      </c>
      <c r="H366" t="s">
        <v>1367</v>
      </c>
      <c r="I366" t="s">
        <v>2059</v>
      </c>
      <c r="J366">
        <v>11</v>
      </c>
      <c r="K366">
        <v>100</v>
      </c>
      <c r="L366" t="s">
        <v>2089</v>
      </c>
      <c r="M366" t="s">
        <v>2089</v>
      </c>
      <c r="N366" t="s">
        <v>1355</v>
      </c>
      <c r="O366" t="s">
        <v>1359</v>
      </c>
      <c r="P366">
        <v>2</v>
      </c>
      <c r="Q366">
        <v>2</v>
      </c>
      <c r="R366">
        <v>0</v>
      </c>
      <c r="S366" t="s">
        <v>1355</v>
      </c>
      <c r="T366">
        <v>0</v>
      </c>
      <c r="U366">
        <v>0</v>
      </c>
      <c r="V366">
        <v>0</v>
      </c>
      <c r="W366" t="s">
        <v>1355</v>
      </c>
      <c r="X366" t="s">
        <v>1355</v>
      </c>
      <c r="Y366" t="s">
        <v>1355</v>
      </c>
      <c r="Z366">
        <v>0</v>
      </c>
      <c r="AA366">
        <v>0</v>
      </c>
      <c r="AB366">
        <v>0</v>
      </c>
      <c r="AC366" s="294">
        <v>41776</v>
      </c>
      <c r="AD366" s="294">
        <v>73050</v>
      </c>
      <c r="AE366" s="294">
        <v>41776</v>
      </c>
      <c r="AF366" t="s">
        <v>1367</v>
      </c>
      <c r="AG366">
        <v>0</v>
      </c>
      <c r="AH366" t="s">
        <v>2091</v>
      </c>
      <c r="AI366">
        <v>2</v>
      </c>
      <c r="AJ366">
        <v>2</v>
      </c>
      <c r="AK366">
        <v>0</v>
      </c>
      <c r="AL366">
        <v>2</v>
      </c>
      <c r="AM366" t="s">
        <v>1355</v>
      </c>
      <c r="AN366" t="s">
        <v>1357</v>
      </c>
      <c r="AO366">
        <v>0.52400000000000002</v>
      </c>
      <c r="AP366">
        <v>3</v>
      </c>
      <c r="AQ366">
        <v>0</v>
      </c>
      <c r="AR366">
        <v>0.52400000000000002</v>
      </c>
      <c r="AS366">
        <v>0.52400000000000002</v>
      </c>
      <c r="AT366">
        <v>1</v>
      </c>
    </row>
    <row r="367" spans="1:46" x14ac:dyDescent="0.2">
      <c r="A367" t="s">
        <v>1294</v>
      </c>
      <c r="B367" t="s">
        <v>2092</v>
      </c>
      <c r="C367" t="s">
        <v>1294</v>
      </c>
      <c r="D367" t="s">
        <v>1355</v>
      </c>
      <c r="E367" t="s">
        <v>1356</v>
      </c>
      <c r="F367" t="s">
        <v>1357</v>
      </c>
      <c r="G367" t="s">
        <v>1355</v>
      </c>
      <c r="H367" t="s">
        <v>1358</v>
      </c>
      <c r="I367" t="s">
        <v>1353</v>
      </c>
      <c r="J367">
        <v>68</v>
      </c>
      <c r="K367">
        <v>560</v>
      </c>
      <c r="L367" t="s">
        <v>1294</v>
      </c>
      <c r="M367" t="s">
        <v>1294</v>
      </c>
      <c r="N367" t="s">
        <v>1355</v>
      </c>
      <c r="O367" t="s">
        <v>1359</v>
      </c>
      <c r="P367">
        <v>1</v>
      </c>
      <c r="Q367">
        <v>1</v>
      </c>
      <c r="R367">
        <v>0</v>
      </c>
      <c r="S367" t="s">
        <v>1355</v>
      </c>
      <c r="T367">
        <v>0</v>
      </c>
      <c r="U367">
        <v>0</v>
      </c>
      <c r="V367">
        <v>0</v>
      </c>
      <c r="W367" t="s">
        <v>1355</v>
      </c>
      <c r="X367" t="s">
        <v>1355</v>
      </c>
      <c r="Y367" t="s">
        <v>1355</v>
      </c>
      <c r="Z367">
        <v>0</v>
      </c>
      <c r="AA367">
        <v>0</v>
      </c>
      <c r="AB367">
        <v>0</v>
      </c>
      <c r="AC367" s="294">
        <v>41845</v>
      </c>
      <c r="AD367" s="294">
        <v>73050</v>
      </c>
      <c r="AE367" s="294">
        <v>41845</v>
      </c>
      <c r="AF367" t="s">
        <v>1358</v>
      </c>
      <c r="AG367">
        <v>0</v>
      </c>
      <c r="AH367" t="s">
        <v>2093</v>
      </c>
      <c r="AI367">
        <v>1</v>
      </c>
      <c r="AJ367">
        <v>1</v>
      </c>
      <c r="AK367">
        <v>0</v>
      </c>
      <c r="AL367">
        <v>1</v>
      </c>
      <c r="AM367" t="s">
        <v>1362</v>
      </c>
      <c r="AN367" t="s">
        <v>1357</v>
      </c>
      <c r="AO367">
        <v>160.15</v>
      </c>
      <c r="AP367">
        <v>1</v>
      </c>
      <c r="AQ367">
        <v>0</v>
      </c>
      <c r="AR367">
        <v>160.15</v>
      </c>
      <c r="AS367">
        <v>160.15</v>
      </c>
      <c r="AT367">
        <v>1</v>
      </c>
    </row>
    <row r="368" spans="1:46" hidden="1" x14ac:dyDescent="0.2">
      <c r="A368" t="s">
        <v>2094</v>
      </c>
      <c r="B368" t="s">
        <v>2095</v>
      </c>
      <c r="C368" t="s">
        <v>2094</v>
      </c>
      <c r="D368" t="s">
        <v>1355</v>
      </c>
      <c r="E368" t="s">
        <v>1356</v>
      </c>
      <c r="F368" t="s">
        <v>1357</v>
      </c>
      <c r="G368" t="s">
        <v>1355</v>
      </c>
      <c r="H368" t="s">
        <v>1358</v>
      </c>
      <c r="I368" t="s">
        <v>1294</v>
      </c>
      <c r="J368">
        <v>1</v>
      </c>
      <c r="K368">
        <v>10</v>
      </c>
      <c r="L368" t="s">
        <v>2094</v>
      </c>
      <c r="M368" t="s">
        <v>2094</v>
      </c>
      <c r="N368" t="s">
        <v>1355</v>
      </c>
      <c r="O368" t="s">
        <v>1359</v>
      </c>
      <c r="P368">
        <v>1</v>
      </c>
      <c r="Q368">
        <v>1</v>
      </c>
      <c r="R368">
        <v>0</v>
      </c>
      <c r="S368" t="s">
        <v>1355</v>
      </c>
      <c r="T368">
        <v>0</v>
      </c>
      <c r="U368">
        <v>0</v>
      </c>
      <c r="V368">
        <v>0</v>
      </c>
      <c r="W368" t="s">
        <v>1355</v>
      </c>
      <c r="X368" t="s">
        <v>1355</v>
      </c>
      <c r="Y368" t="s">
        <v>1355</v>
      </c>
      <c r="Z368">
        <v>0</v>
      </c>
      <c r="AA368">
        <v>0</v>
      </c>
      <c r="AB368">
        <v>0</v>
      </c>
      <c r="AC368" s="294">
        <v>41844</v>
      </c>
      <c r="AD368" s="294">
        <v>73050</v>
      </c>
      <c r="AE368" s="294">
        <v>41844</v>
      </c>
      <c r="AF368" t="s">
        <v>1358</v>
      </c>
      <c r="AG368">
        <v>0</v>
      </c>
      <c r="AH368" t="s">
        <v>2096</v>
      </c>
      <c r="AI368">
        <v>1</v>
      </c>
      <c r="AJ368">
        <v>1</v>
      </c>
      <c r="AK368">
        <v>0</v>
      </c>
      <c r="AL368">
        <v>1</v>
      </c>
      <c r="AM368" t="s">
        <v>1362</v>
      </c>
      <c r="AN368" t="s">
        <v>1357</v>
      </c>
      <c r="AO368">
        <v>160.15</v>
      </c>
      <c r="AP368">
        <v>2</v>
      </c>
      <c r="AQ368">
        <v>0</v>
      </c>
      <c r="AR368">
        <v>160.15</v>
      </c>
      <c r="AS368">
        <v>160.15</v>
      </c>
      <c r="AT368">
        <v>1</v>
      </c>
    </row>
    <row r="369" spans="1:46" hidden="1" x14ac:dyDescent="0.2">
      <c r="A369" t="s">
        <v>2062</v>
      </c>
      <c r="B369" t="s">
        <v>2063</v>
      </c>
      <c r="C369" t="s">
        <v>2062</v>
      </c>
      <c r="D369" t="s">
        <v>1355</v>
      </c>
      <c r="E369" t="s">
        <v>1356</v>
      </c>
      <c r="F369" t="s">
        <v>1357</v>
      </c>
      <c r="G369" t="s">
        <v>1355</v>
      </c>
      <c r="H369" t="s">
        <v>1367</v>
      </c>
      <c r="I369" t="s">
        <v>2094</v>
      </c>
      <c r="J369">
        <v>1</v>
      </c>
      <c r="K369">
        <v>10</v>
      </c>
      <c r="L369" t="s">
        <v>2062</v>
      </c>
      <c r="M369" t="s">
        <v>2062</v>
      </c>
      <c r="N369" t="s">
        <v>1355</v>
      </c>
      <c r="O369" t="s">
        <v>1359</v>
      </c>
      <c r="P369">
        <v>1</v>
      </c>
      <c r="Q369">
        <v>1</v>
      </c>
      <c r="R369">
        <v>0</v>
      </c>
      <c r="S369" t="s">
        <v>1355</v>
      </c>
      <c r="T369">
        <v>0</v>
      </c>
      <c r="U369">
        <v>0</v>
      </c>
      <c r="V369">
        <v>0</v>
      </c>
      <c r="W369" t="s">
        <v>1355</v>
      </c>
      <c r="X369" t="s">
        <v>1355</v>
      </c>
      <c r="Y369" t="s">
        <v>1355</v>
      </c>
      <c r="Z369">
        <v>0</v>
      </c>
      <c r="AA369">
        <v>0</v>
      </c>
      <c r="AB369">
        <v>0</v>
      </c>
      <c r="AC369" s="294">
        <v>38817</v>
      </c>
      <c r="AD369" s="294">
        <v>73050</v>
      </c>
      <c r="AF369" t="s">
        <v>1367</v>
      </c>
      <c r="AG369">
        <v>0</v>
      </c>
      <c r="AH369" t="s">
        <v>2097</v>
      </c>
      <c r="AI369">
        <v>1</v>
      </c>
      <c r="AJ369">
        <v>1</v>
      </c>
      <c r="AK369">
        <v>0</v>
      </c>
      <c r="AL369">
        <v>1</v>
      </c>
      <c r="AM369" t="s">
        <v>1355</v>
      </c>
      <c r="AN369" t="s">
        <v>1357</v>
      </c>
      <c r="AO369">
        <v>6.24</v>
      </c>
      <c r="AP369">
        <v>3</v>
      </c>
      <c r="AQ369">
        <v>0</v>
      </c>
      <c r="AR369">
        <v>6.24</v>
      </c>
      <c r="AS369">
        <v>6.24</v>
      </c>
      <c r="AT369">
        <v>1</v>
      </c>
    </row>
    <row r="370" spans="1:46" hidden="1" x14ac:dyDescent="0.2">
      <c r="A370" t="s">
        <v>2065</v>
      </c>
      <c r="B370" t="s">
        <v>2066</v>
      </c>
      <c r="C370" t="s">
        <v>2065</v>
      </c>
      <c r="D370" t="s">
        <v>1355</v>
      </c>
      <c r="E370" t="s">
        <v>1356</v>
      </c>
      <c r="F370" t="s">
        <v>1357</v>
      </c>
      <c r="G370" t="s">
        <v>1355</v>
      </c>
      <c r="H370" t="s">
        <v>1367</v>
      </c>
      <c r="I370" t="s">
        <v>2094</v>
      </c>
      <c r="J370">
        <v>2</v>
      </c>
      <c r="K370">
        <v>20</v>
      </c>
      <c r="L370" t="s">
        <v>2065</v>
      </c>
      <c r="M370" t="s">
        <v>2065</v>
      </c>
      <c r="N370" t="s">
        <v>1355</v>
      </c>
      <c r="O370" t="s">
        <v>1359</v>
      </c>
      <c r="P370">
        <v>1</v>
      </c>
      <c r="Q370">
        <v>1</v>
      </c>
      <c r="R370">
        <v>0</v>
      </c>
      <c r="S370" t="s">
        <v>1355</v>
      </c>
      <c r="T370">
        <v>0</v>
      </c>
      <c r="U370">
        <v>0</v>
      </c>
      <c r="V370">
        <v>0</v>
      </c>
      <c r="W370" t="s">
        <v>1355</v>
      </c>
      <c r="X370" t="s">
        <v>1355</v>
      </c>
      <c r="Y370" t="s">
        <v>1355</v>
      </c>
      <c r="Z370">
        <v>0</v>
      </c>
      <c r="AA370">
        <v>0</v>
      </c>
      <c r="AB370">
        <v>0</v>
      </c>
      <c r="AC370" s="294">
        <v>38817</v>
      </c>
      <c r="AD370" s="294">
        <v>73050</v>
      </c>
      <c r="AF370" t="s">
        <v>1367</v>
      </c>
      <c r="AG370">
        <v>0</v>
      </c>
      <c r="AH370" t="s">
        <v>2098</v>
      </c>
      <c r="AI370">
        <v>1</v>
      </c>
      <c r="AJ370">
        <v>1</v>
      </c>
      <c r="AK370">
        <v>0</v>
      </c>
      <c r="AL370">
        <v>1</v>
      </c>
      <c r="AM370" t="s">
        <v>1355</v>
      </c>
      <c r="AN370" t="s">
        <v>1357</v>
      </c>
      <c r="AO370">
        <v>2.84</v>
      </c>
      <c r="AP370">
        <v>3</v>
      </c>
      <c r="AQ370">
        <v>0</v>
      </c>
      <c r="AR370">
        <v>2.84</v>
      </c>
      <c r="AS370">
        <v>2.84</v>
      </c>
      <c r="AT370">
        <v>1</v>
      </c>
    </row>
    <row r="371" spans="1:46" hidden="1" x14ac:dyDescent="0.2">
      <c r="A371" t="s">
        <v>2099</v>
      </c>
      <c r="B371" t="s">
        <v>2100</v>
      </c>
      <c r="C371" t="s">
        <v>2099</v>
      </c>
      <c r="D371" t="s">
        <v>1355</v>
      </c>
      <c r="E371" t="s">
        <v>1356</v>
      </c>
      <c r="F371" t="s">
        <v>1357</v>
      </c>
      <c r="G371" t="s">
        <v>1355</v>
      </c>
      <c r="H371" t="s">
        <v>1367</v>
      </c>
      <c r="I371" t="s">
        <v>2094</v>
      </c>
      <c r="J371">
        <v>3</v>
      </c>
      <c r="K371">
        <v>30</v>
      </c>
      <c r="L371" t="s">
        <v>2099</v>
      </c>
      <c r="M371" t="s">
        <v>2099</v>
      </c>
      <c r="N371" t="s">
        <v>1355</v>
      </c>
      <c r="O371" t="s">
        <v>1359</v>
      </c>
      <c r="P371">
        <v>1</v>
      </c>
      <c r="Q371">
        <v>1</v>
      </c>
      <c r="R371">
        <v>0</v>
      </c>
      <c r="S371" t="s">
        <v>1355</v>
      </c>
      <c r="T371">
        <v>0</v>
      </c>
      <c r="U371">
        <v>0</v>
      </c>
      <c r="V371">
        <v>0</v>
      </c>
      <c r="W371" t="s">
        <v>1355</v>
      </c>
      <c r="X371" t="s">
        <v>1355</v>
      </c>
      <c r="Y371" t="s">
        <v>1355</v>
      </c>
      <c r="Z371">
        <v>0</v>
      </c>
      <c r="AA371">
        <v>0</v>
      </c>
      <c r="AB371">
        <v>0</v>
      </c>
      <c r="AC371" s="294">
        <v>38817</v>
      </c>
      <c r="AD371" s="294">
        <v>73050</v>
      </c>
      <c r="AE371" s="294">
        <v>38817</v>
      </c>
      <c r="AF371" t="s">
        <v>1367</v>
      </c>
      <c r="AG371">
        <v>0</v>
      </c>
      <c r="AH371" t="s">
        <v>2101</v>
      </c>
      <c r="AI371">
        <v>1</v>
      </c>
      <c r="AJ371">
        <v>1</v>
      </c>
      <c r="AK371">
        <v>0</v>
      </c>
      <c r="AL371">
        <v>1</v>
      </c>
      <c r="AM371" t="s">
        <v>1355</v>
      </c>
      <c r="AN371" t="s">
        <v>1357</v>
      </c>
      <c r="AO371">
        <v>135</v>
      </c>
      <c r="AP371">
        <v>3</v>
      </c>
      <c r="AQ371">
        <v>0</v>
      </c>
      <c r="AR371">
        <v>135</v>
      </c>
      <c r="AS371">
        <v>135</v>
      </c>
      <c r="AT371">
        <v>1</v>
      </c>
    </row>
    <row r="372" spans="1:46" hidden="1" x14ac:dyDescent="0.2">
      <c r="A372" t="s">
        <v>2071</v>
      </c>
      <c r="B372" t="s">
        <v>2072</v>
      </c>
      <c r="C372" t="s">
        <v>2071</v>
      </c>
      <c r="D372" t="s">
        <v>1355</v>
      </c>
      <c r="E372" t="s">
        <v>1356</v>
      </c>
      <c r="F372" t="s">
        <v>1357</v>
      </c>
      <c r="G372" t="s">
        <v>1355</v>
      </c>
      <c r="H372" t="s">
        <v>1367</v>
      </c>
      <c r="I372" t="s">
        <v>2094</v>
      </c>
      <c r="J372">
        <v>4</v>
      </c>
      <c r="K372">
        <v>50</v>
      </c>
      <c r="L372" t="s">
        <v>2071</v>
      </c>
      <c r="M372" t="s">
        <v>2071</v>
      </c>
      <c r="N372" t="s">
        <v>1355</v>
      </c>
      <c r="O372" t="s">
        <v>1359</v>
      </c>
      <c r="P372">
        <v>1</v>
      </c>
      <c r="Q372">
        <v>1</v>
      </c>
      <c r="R372">
        <v>0</v>
      </c>
      <c r="S372" t="s">
        <v>1355</v>
      </c>
      <c r="T372">
        <v>0</v>
      </c>
      <c r="U372">
        <v>0</v>
      </c>
      <c r="V372">
        <v>0</v>
      </c>
      <c r="W372" t="s">
        <v>1355</v>
      </c>
      <c r="X372" t="s">
        <v>1355</v>
      </c>
      <c r="Y372" t="s">
        <v>1355</v>
      </c>
      <c r="Z372">
        <v>0</v>
      </c>
      <c r="AA372">
        <v>0</v>
      </c>
      <c r="AB372">
        <v>0</v>
      </c>
      <c r="AC372" s="294">
        <v>38817</v>
      </c>
      <c r="AD372" s="294">
        <v>73050</v>
      </c>
      <c r="AF372" t="s">
        <v>1367</v>
      </c>
      <c r="AG372">
        <v>0</v>
      </c>
      <c r="AH372" t="s">
        <v>2102</v>
      </c>
      <c r="AI372">
        <v>1</v>
      </c>
      <c r="AJ372">
        <v>1</v>
      </c>
      <c r="AK372">
        <v>0</v>
      </c>
      <c r="AL372">
        <v>1</v>
      </c>
      <c r="AM372" t="s">
        <v>1355</v>
      </c>
      <c r="AN372" t="s">
        <v>1357</v>
      </c>
      <c r="AO372">
        <v>0.54</v>
      </c>
      <c r="AP372">
        <v>3</v>
      </c>
      <c r="AQ372">
        <v>0</v>
      </c>
      <c r="AR372">
        <v>0.54</v>
      </c>
      <c r="AS372">
        <v>0.54</v>
      </c>
      <c r="AT372">
        <v>1</v>
      </c>
    </row>
    <row r="373" spans="1:46" hidden="1" x14ac:dyDescent="0.2">
      <c r="A373" t="s">
        <v>2074</v>
      </c>
      <c r="B373" t="s">
        <v>2075</v>
      </c>
      <c r="C373" t="s">
        <v>2074</v>
      </c>
      <c r="D373" t="s">
        <v>1355</v>
      </c>
      <c r="E373" t="s">
        <v>1356</v>
      </c>
      <c r="F373" t="s">
        <v>1357</v>
      </c>
      <c r="G373" t="s">
        <v>1355</v>
      </c>
      <c r="H373" t="s">
        <v>1367</v>
      </c>
      <c r="I373" t="s">
        <v>2094</v>
      </c>
      <c r="J373">
        <v>5</v>
      </c>
      <c r="K373">
        <v>60</v>
      </c>
      <c r="L373" t="s">
        <v>2074</v>
      </c>
      <c r="M373" t="s">
        <v>2074</v>
      </c>
      <c r="N373" t="s">
        <v>1355</v>
      </c>
      <c r="O373" t="s">
        <v>1359</v>
      </c>
      <c r="P373">
        <v>1</v>
      </c>
      <c r="Q373">
        <v>1</v>
      </c>
      <c r="R373">
        <v>0</v>
      </c>
      <c r="S373" t="s">
        <v>1355</v>
      </c>
      <c r="T373">
        <v>0</v>
      </c>
      <c r="U373">
        <v>0</v>
      </c>
      <c r="V373">
        <v>0</v>
      </c>
      <c r="W373" t="s">
        <v>1355</v>
      </c>
      <c r="X373" t="s">
        <v>1355</v>
      </c>
      <c r="Y373" t="s">
        <v>1355</v>
      </c>
      <c r="Z373">
        <v>0</v>
      </c>
      <c r="AA373">
        <v>0</v>
      </c>
      <c r="AB373">
        <v>0</v>
      </c>
      <c r="AC373" s="294">
        <v>38817</v>
      </c>
      <c r="AD373" s="294">
        <v>73050</v>
      </c>
      <c r="AF373" t="s">
        <v>1367</v>
      </c>
      <c r="AG373">
        <v>0</v>
      </c>
      <c r="AH373" t="s">
        <v>2103</v>
      </c>
      <c r="AI373">
        <v>1</v>
      </c>
      <c r="AJ373">
        <v>1</v>
      </c>
      <c r="AK373">
        <v>0</v>
      </c>
      <c r="AL373">
        <v>1</v>
      </c>
      <c r="AM373" t="s">
        <v>1355</v>
      </c>
      <c r="AN373" t="s">
        <v>1357</v>
      </c>
      <c r="AO373">
        <v>2.83</v>
      </c>
      <c r="AP373">
        <v>3</v>
      </c>
      <c r="AQ373">
        <v>0</v>
      </c>
      <c r="AR373">
        <v>2.83</v>
      </c>
      <c r="AS373">
        <v>2.83</v>
      </c>
      <c r="AT373">
        <v>1</v>
      </c>
    </row>
    <row r="374" spans="1:46" hidden="1" x14ac:dyDescent="0.2">
      <c r="A374" t="s">
        <v>2077</v>
      </c>
      <c r="B374" t="s">
        <v>2078</v>
      </c>
      <c r="C374" t="s">
        <v>2077</v>
      </c>
      <c r="D374" t="s">
        <v>1355</v>
      </c>
      <c r="E374" t="s">
        <v>1356</v>
      </c>
      <c r="F374" t="s">
        <v>1357</v>
      </c>
      <c r="G374" t="s">
        <v>1355</v>
      </c>
      <c r="H374" t="s">
        <v>1367</v>
      </c>
      <c r="I374" t="s">
        <v>2094</v>
      </c>
      <c r="J374">
        <v>6</v>
      </c>
      <c r="K374">
        <v>70</v>
      </c>
      <c r="L374" t="s">
        <v>2077</v>
      </c>
      <c r="M374" t="s">
        <v>2077</v>
      </c>
      <c r="N374" t="s">
        <v>1355</v>
      </c>
      <c r="O374" t="s">
        <v>1359</v>
      </c>
      <c r="P374">
        <v>1</v>
      </c>
      <c r="Q374">
        <v>1</v>
      </c>
      <c r="R374">
        <v>0</v>
      </c>
      <c r="S374" t="s">
        <v>1355</v>
      </c>
      <c r="T374">
        <v>0</v>
      </c>
      <c r="U374">
        <v>0</v>
      </c>
      <c r="V374">
        <v>0</v>
      </c>
      <c r="W374" t="s">
        <v>1355</v>
      </c>
      <c r="X374" t="s">
        <v>1355</v>
      </c>
      <c r="Y374" t="s">
        <v>1355</v>
      </c>
      <c r="Z374">
        <v>0</v>
      </c>
      <c r="AA374">
        <v>0</v>
      </c>
      <c r="AB374">
        <v>0</v>
      </c>
      <c r="AC374" s="294">
        <v>38817</v>
      </c>
      <c r="AD374" s="294">
        <v>73050</v>
      </c>
      <c r="AF374" t="s">
        <v>1367</v>
      </c>
      <c r="AG374">
        <v>0</v>
      </c>
      <c r="AH374" t="s">
        <v>2104</v>
      </c>
      <c r="AI374">
        <v>1</v>
      </c>
      <c r="AJ374">
        <v>1</v>
      </c>
      <c r="AK374">
        <v>0</v>
      </c>
      <c r="AL374">
        <v>1</v>
      </c>
      <c r="AM374" t="s">
        <v>1355</v>
      </c>
      <c r="AN374" t="s">
        <v>1357</v>
      </c>
      <c r="AO374">
        <v>12.28</v>
      </c>
      <c r="AP374">
        <v>3</v>
      </c>
      <c r="AQ374">
        <v>0</v>
      </c>
      <c r="AR374">
        <v>12.28</v>
      </c>
      <c r="AS374">
        <v>12.28</v>
      </c>
      <c r="AT374">
        <v>1</v>
      </c>
    </row>
    <row r="375" spans="1:46" hidden="1" x14ac:dyDescent="0.2">
      <c r="A375" t="s">
        <v>2105</v>
      </c>
      <c r="B375" t="s">
        <v>2106</v>
      </c>
      <c r="C375" t="s">
        <v>2105</v>
      </c>
      <c r="D375" t="s">
        <v>1355</v>
      </c>
      <c r="E375" t="s">
        <v>1356</v>
      </c>
      <c r="F375" t="s">
        <v>1357</v>
      </c>
      <c r="G375" t="s">
        <v>1355</v>
      </c>
      <c r="H375" t="s">
        <v>1367</v>
      </c>
      <c r="I375" t="s">
        <v>2094</v>
      </c>
      <c r="J375">
        <v>7</v>
      </c>
      <c r="K375">
        <v>90</v>
      </c>
      <c r="L375" t="s">
        <v>2105</v>
      </c>
      <c r="M375" t="s">
        <v>2105</v>
      </c>
      <c r="N375" t="s">
        <v>1355</v>
      </c>
      <c r="O375" t="s">
        <v>1359</v>
      </c>
      <c r="P375">
        <v>1</v>
      </c>
      <c r="Q375">
        <v>1</v>
      </c>
      <c r="R375">
        <v>0</v>
      </c>
      <c r="S375" t="s">
        <v>1355</v>
      </c>
      <c r="T375">
        <v>0</v>
      </c>
      <c r="U375">
        <v>0</v>
      </c>
      <c r="V375">
        <v>0</v>
      </c>
      <c r="W375" t="s">
        <v>1355</v>
      </c>
      <c r="X375" t="s">
        <v>1355</v>
      </c>
      <c r="Y375" t="s">
        <v>1355</v>
      </c>
      <c r="Z375">
        <v>0</v>
      </c>
      <c r="AA375">
        <v>0</v>
      </c>
      <c r="AB375">
        <v>0</v>
      </c>
      <c r="AC375" s="294">
        <v>38817</v>
      </c>
      <c r="AD375" s="294">
        <v>73050</v>
      </c>
      <c r="AF375" t="s">
        <v>1367</v>
      </c>
      <c r="AG375">
        <v>0</v>
      </c>
      <c r="AH375" t="s">
        <v>2107</v>
      </c>
      <c r="AI375">
        <v>1</v>
      </c>
      <c r="AJ375">
        <v>1</v>
      </c>
      <c r="AK375">
        <v>0</v>
      </c>
      <c r="AL375">
        <v>1</v>
      </c>
      <c r="AM375" t="s">
        <v>1355</v>
      </c>
      <c r="AN375" t="s">
        <v>1357</v>
      </c>
      <c r="AO375">
        <v>0.42</v>
      </c>
      <c r="AP375">
        <v>3</v>
      </c>
      <c r="AQ375">
        <v>0</v>
      </c>
      <c r="AR375">
        <v>0.42</v>
      </c>
      <c r="AS375">
        <v>0.42</v>
      </c>
      <c r="AT375">
        <v>1</v>
      </c>
    </row>
    <row r="376" spans="1:46" x14ac:dyDescent="0.2">
      <c r="A376" t="s">
        <v>1139</v>
      </c>
      <c r="B376" t="s">
        <v>2108</v>
      </c>
      <c r="C376" t="s">
        <v>1139</v>
      </c>
      <c r="D376" t="s">
        <v>1355</v>
      </c>
      <c r="E376" t="s">
        <v>1356</v>
      </c>
      <c r="F376" t="s">
        <v>1357</v>
      </c>
      <c r="G376" t="s">
        <v>1355</v>
      </c>
      <c r="H376" t="s">
        <v>1358</v>
      </c>
      <c r="I376" t="s">
        <v>1353</v>
      </c>
      <c r="J376">
        <v>69</v>
      </c>
      <c r="K376">
        <v>570</v>
      </c>
      <c r="L376" t="s">
        <v>1139</v>
      </c>
      <c r="M376" t="s">
        <v>1139</v>
      </c>
      <c r="N376" t="s">
        <v>1355</v>
      </c>
      <c r="O376" t="s">
        <v>1359</v>
      </c>
      <c r="P376">
        <v>1</v>
      </c>
      <c r="Q376">
        <v>1</v>
      </c>
      <c r="R376">
        <v>0</v>
      </c>
      <c r="S376" t="s">
        <v>1355</v>
      </c>
      <c r="T376">
        <v>0</v>
      </c>
      <c r="U376">
        <v>0</v>
      </c>
      <c r="V376">
        <v>0</v>
      </c>
      <c r="W376" t="s">
        <v>1355</v>
      </c>
      <c r="X376" t="s">
        <v>1355</v>
      </c>
      <c r="Y376" t="s">
        <v>1355</v>
      </c>
      <c r="Z376">
        <v>0</v>
      </c>
      <c r="AA376">
        <v>0</v>
      </c>
      <c r="AB376">
        <v>0</v>
      </c>
      <c r="AC376" s="294">
        <v>41845</v>
      </c>
      <c r="AD376" s="294">
        <v>73050</v>
      </c>
      <c r="AE376" s="294">
        <v>41845</v>
      </c>
      <c r="AF376" t="s">
        <v>1358</v>
      </c>
      <c r="AG376">
        <v>0</v>
      </c>
      <c r="AH376" t="s">
        <v>2109</v>
      </c>
      <c r="AI376">
        <v>1</v>
      </c>
      <c r="AJ376">
        <v>1</v>
      </c>
      <c r="AK376">
        <v>0</v>
      </c>
      <c r="AL376">
        <v>1</v>
      </c>
      <c r="AM376" t="s">
        <v>1362</v>
      </c>
      <c r="AN376" t="s">
        <v>1357</v>
      </c>
      <c r="AO376">
        <v>259.35849999999999</v>
      </c>
      <c r="AP376">
        <v>1</v>
      </c>
      <c r="AQ376">
        <v>0</v>
      </c>
      <c r="AR376">
        <v>259.35829999999999</v>
      </c>
      <c r="AS376">
        <v>259.35849999999999</v>
      </c>
      <c r="AT376">
        <v>1</v>
      </c>
    </row>
    <row r="377" spans="1:46" hidden="1" x14ac:dyDescent="0.2">
      <c r="A377" t="s">
        <v>2110</v>
      </c>
      <c r="B377" t="s">
        <v>2111</v>
      </c>
      <c r="C377" t="s">
        <v>2110</v>
      </c>
      <c r="D377" t="s">
        <v>1355</v>
      </c>
      <c r="E377" t="s">
        <v>1356</v>
      </c>
      <c r="F377" t="s">
        <v>1357</v>
      </c>
      <c r="G377" t="s">
        <v>1355</v>
      </c>
      <c r="H377" t="s">
        <v>1358</v>
      </c>
      <c r="I377" t="s">
        <v>1139</v>
      </c>
      <c r="J377">
        <v>1</v>
      </c>
      <c r="K377">
        <v>10</v>
      </c>
      <c r="L377" t="s">
        <v>2110</v>
      </c>
      <c r="M377" t="s">
        <v>2110</v>
      </c>
      <c r="N377" t="s">
        <v>1355</v>
      </c>
      <c r="O377" t="s">
        <v>1359</v>
      </c>
      <c r="P377">
        <v>1</v>
      </c>
      <c r="Q377">
        <v>1</v>
      </c>
      <c r="R377">
        <v>0</v>
      </c>
      <c r="S377" t="s">
        <v>1355</v>
      </c>
      <c r="T377">
        <v>0</v>
      </c>
      <c r="U377">
        <v>0</v>
      </c>
      <c r="V377">
        <v>0</v>
      </c>
      <c r="W377" t="s">
        <v>1355</v>
      </c>
      <c r="X377" t="s">
        <v>1355</v>
      </c>
      <c r="Y377" t="s">
        <v>1355</v>
      </c>
      <c r="Z377">
        <v>0</v>
      </c>
      <c r="AA377">
        <v>0</v>
      </c>
      <c r="AB377">
        <v>0</v>
      </c>
      <c r="AC377" s="294">
        <v>41837</v>
      </c>
      <c r="AD377" s="294">
        <v>73050</v>
      </c>
      <c r="AE377" s="294">
        <v>41837</v>
      </c>
      <c r="AF377" t="s">
        <v>1358</v>
      </c>
      <c r="AG377">
        <v>0</v>
      </c>
      <c r="AH377" t="s">
        <v>2112</v>
      </c>
      <c r="AI377">
        <v>1</v>
      </c>
      <c r="AJ377">
        <v>1</v>
      </c>
      <c r="AK377">
        <v>0</v>
      </c>
      <c r="AL377">
        <v>1</v>
      </c>
      <c r="AM377" t="s">
        <v>1362</v>
      </c>
      <c r="AN377" t="s">
        <v>1357</v>
      </c>
      <c r="AO377">
        <v>235.15</v>
      </c>
      <c r="AP377">
        <v>2</v>
      </c>
      <c r="AQ377">
        <v>0</v>
      </c>
      <c r="AR377">
        <v>235.15</v>
      </c>
      <c r="AS377">
        <v>235.15</v>
      </c>
      <c r="AT377">
        <v>1</v>
      </c>
    </row>
    <row r="378" spans="1:46" hidden="1" x14ac:dyDescent="0.2">
      <c r="A378" t="s">
        <v>2062</v>
      </c>
      <c r="B378" t="s">
        <v>2063</v>
      </c>
      <c r="C378" t="s">
        <v>2062</v>
      </c>
      <c r="D378" t="s">
        <v>1355</v>
      </c>
      <c r="E378" t="s">
        <v>1356</v>
      </c>
      <c r="F378" t="s">
        <v>1357</v>
      </c>
      <c r="G378" t="s">
        <v>1355</v>
      </c>
      <c r="H378" t="s">
        <v>1367</v>
      </c>
      <c r="I378" t="s">
        <v>2110</v>
      </c>
      <c r="J378">
        <v>1</v>
      </c>
      <c r="K378">
        <v>10</v>
      </c>
      <c r="L378" t="s">
        <v>2062</v>
      </c>
      <c r="M378" t="s">
        <v>2062</v>
      </c>
      <c r="N378" t="s">
        <v>1355</v>
      </c>
      <c r="O378" t="s">
        <v>1359</v>
      </c>
      <c r="P378">
        <v>1</v>
      </c>
      <c r="Q378">
        <v>1</v>
      </c>
      <c r="R378">
        <v>0</v>
      </c>
      <c r="S378" t="s">
        <v>1355</v>
      </c>
      <c r="T378">
        <v>0</v>
      </c>
      <c r="U378">
        <v>0</v>
      </c>
      <c r="V378">
        <v>0</v>
      </c>
      <c r="W378" t="s">
        <v>1355</v>
      </c>
      <c r="X378" t="s">
        <v>1355</v>
      </c>
      <c r="Y378" t="s">
        <v>1355</v>
      </c>
      <c r="Z378">
        <v>0</v>
      </c>
      <c r="AA378">
        <v>0</v>
      </c>
      <c r="AB378">
        <v>0</v>
      </c>
      <c r="AC378" s="294">
        <v>38729</v>
      </c>
      <c r="AD378" s="294">
        <v>73050</v>
      </c>
      <c r="AE378" s="294">
        <v>36526</v>
      </c>
      <c r="AF378" t="s">
        <v>1367</v>
      </c>
      <c r="AG378">
        <v>0</v>
      </c>
      <c r="AH378" t="s">
        <v>2113</v>
      </c>
      <c r="AI378">
        <v>1</v>
      </c>
      <c r="AJ378">
        <v>1</v>
      </c>
      <c r="AK378">
        <v>0</v>
      </c>
      <c r="AL378">
        <v>1</v>
      </c>
      <c r="AM378" t="s">
        <v>1355</v>
      </c>
      <c r="AN378" t="s">
        <v>1357</v>
      </c>
      <c r="AO378">
        <v>6.24</v>
      </c>
      <c r="AP378">
        <v>3</v>
      </c>
      <c r="AQ378">
        <v>0</v>
      </c>
      <c r="AR378">
        <v>6.24</v>
      </c>
      <c r="AS378">
        <v>6.24</v>
      </c>
      <c r="AT378">
        <v>1</v>
      </c>
    </row>
    <row r="379" spans="1:46" hidden="1" x14ac:dyDescent="0.2">
      <c r="A379" t="s">
        <v>2065</v>
      </c>
      <c r="B379" t="s">
        <v>2066</v>
      </c>
      <c r="C379" t="s">
        <v>2065</v>
      </c>
      <c r="D379" t="s">
        <v>1355</v>
      </c>
      <c r="E379" t="s">
        <v>1356</v>
      </c>
      <c r="F379" t="s">
        <v>1357</v>
      </c>
      <c r="G379" t="s">
        <v>1355</v>
      </c>
      <c r="H379" t="s">
        <v>1367</v>
      </c>
      <c r="I379" t="s">
        <v>2110</v>
      </c>
      <c r="J379">
        <v>2</v>
      </c>
      <c r="K379">
        <v>20</v>
      </c>
      <c r="L379" t="s">
        <v>2065</v>
      </c>
      <c r="M379" t="s">
        <v>2065</v>
      </c>
      <c r="N379" t="s">
        <v>1355</v>
      </c>
      <c r="O379" t="s">
        <v>1359</v>
      </c>
      <c r="P379">
        <v>1</v>
      </c>
      <c r="Q379">
        <v>1</v>
      </c>
      <c r="R379">
        <v>0</v>
      </c>
      <c r="S379" t="s">
        <v>1355</v>
      </c>
      <c r="T379">
        <v>0</v>
      </c>
      <c r="U379">
        <v>0</v>
      </c>
      <c r="V379">
        <v>0</v>
      </c>
      <c r="W379" t="s">
        <v>1355</v>
      </c>
      <c r="X379" t="s">
        <v>1355</v>
      </c>
      <c r="Y379" t="s">
        <v>1355</v>
      </c>
      <c r="Z379">
        <v>0</v>
      </c>
      <c r="AA379">
        <v>0</v>
      </c>
      <c r="AB379">
        <v>0</v>
      </c>
      <c r="AC379" s="294">
        <v>38729</v>
      </c>
      <c r="AD379" s="294">
        <v>73050</v>
      </c>
      <c r="AE379" s="294">
        <v>36526</v>
      </c>
      <c r="AF379" t="s">
        <v>1367</v>
      </c>
      <c r="AG379">
        <v>0</v>
      </c>
      <c r="AH379" t="s">
        <v>2114</v>
      </c>
      <c r="AI379">
        <v>1</v>
      </c>
      <c r="AJ379">
        <v>1</v>
      </c>
      <c r="AK379">
        <v>0</v>
      </c>
      <c r="AL379">
        <v>1</v>
      </c>
      <c r="AM379" t="s">
        <v>1355</v>
      </c>
      <c r="AN379" t="s">
        <v>1357</v>
      </c>
      <c r="AO379">
        <v>2.84</v>
      </c>
      <c r="AP379">
        <v>3</v>
      </c>
      <c r="AQ379">
        <v>0</v>
      </c>
      <c r="AR379">
        <v>2.84</v>
      </c>
      <c r="AS379">
        <v>2.84</v>
      </c>
      <c r="AT379">
        <v>1</v>
      </c>
    </row>
    <row r="380" spans="1:46" hidden="1" x14ac:dyDescent="0.2">
      <c r="A380" t="s">
        <v>2115</v>
      </c>
      <c r="B380" t="s">
        <v>2116</v>
      </c>
      <c r="C380" t="s">
        <v>2115</v>
      </c>
      <c r="D380" t="s">
        <v>1355</v>
      </c>
      <c r="E380" t="s">
        <v>1356</v>
      </c>
      <c r="F380" t="s">
        <v>1357</v>
      </c>
      <c r="G380" t="s">
        <v>1355</v>
      </c>
      <c r="H380" t="s">
        <v>1367</v>
      </c>
      <c r="I380" t="s">
        <v>2110</v>
      </c>
      <c r="J380">
        <v>9</v>
      </c>
      <c r="K380">
        <v>30</v>
      </c>
      <c r="L380" t="s">
        <v>2115</v>
      </c>
      <c r="M380" t="s">
        <v>2115</v>
      </c>
      <c r="N380" t="s">
        <v>1355</v>
      </c>
      <c r="O380" t="s">
        <v>1359</v>
      </c>
      <c r="P380">
        <v>1</v>
      </c>
      <c r="Q380">
        <v>1</v>
      </c>
      <c r="R380">
        <v>0</v>
      </c>
      <c r="S380" t="s">
        <v>1355</v>
      </c>
      <c r="T380">
        <v>0</v>
      </c>
      <c r="U380">
        <v>0</v>
      </c>
      <c r="V380">
        <v>0</v>
      </c>
      <c r="W380" t="s">
        <v>1355</v>
      </c>
      <c r="X380" t="s">
        <v>1355</v>
      </c>
      <c r="Y380" t="s">
        <v>1355</v>
      </c>
      <c r="Z380">
        <v>0</v>
      </c>
      <c r="AA380">
        <v>0</v>
      </c>
      <c r="AB380">
        <v>0</v>
      </c>
      <c r="AC380" s="294">
        <v>38869</v>
      </c>
      <c r="AD380" s="294">
        <v>73050</v>
      </c>
      <c r="AE380" s="294">
        <v>38869</v>
      </c>
      <c r="AF380" t="s">
        <v>1367</v>
      </c>
      <c r="AG380">
        <v>0</v>
      </c>
      <c r="AH380" t="s">
        <v>2117</v>
      </c>
      <c r="AI380">
        <v>1</v>
      </c>
      <c r="AJ380">
        <v>1</v>
      </c>
      <c r="AK380">
        <v>0</v>
      </c>
      <c r="AL380">
        <v>1</v>
      </c>
      <c r="AM380" t="s">
        <v>1355</v>
      </c>
      <c r="AN380" t="s">
        <v>1357</v>
      </c>
      <c r="AO380">
        <v>210</v>
      </c>
      <c r="AP380">
        <v>3</v>
      </c>
      <c r="AQ380">
        <v>0</v>
      </c>
      <c r="AR380">
        <v>210</v>
      </c>
      <c r="AS380">
        <v>210</v>
      </c>
      <c r="AT380">
        <v>1</v>
      </c>
    </row>
    <row r="381" spans="1:46" hidden="1" x14ac:dyDescent="0.2">
      <c r="A381" t="s">
        <v>2071</v>
      </c>
      <c r="B381" t="s">
        <v>2072</v>
      </c>
      <c r="C381" t="s">
        <v>2071</v>
      </c>
      <c r="D381" t="s">
        <v>1355</v>
      </c>
      <c r="E381" t="s">
        <v>1356</v>
      </c>
      <c r="F381" t="s">
        <v>1357</v>
      </c>
      <c r="G381" t="s">
        <v>1355</v>
      </c>
      <c r="H381" t="s">
        <v>1367</v>
      </c>
      <c r="I381" t="s">
        <v>2110</v>
      </c>
      <c r="J381">
        <v>5</v>
      </c>
      <c r="K381">
        <v>50</v>
      </c>
      <c r="L381" t="s">
        <v>2071</v>
      </c>
      <c r="M381" t="s">
        <v>2071</v>
      </c>
      <c r="N381" t="s">
        <v>1355</v>
      </c>
      <c r="O381" t="s">
        <v>1359</v>
      </c>
      <c r="P381">
        <v>1</v>
      </c>
      <c r="Q381">
        <v>1</v>
      </c>
      <c r="R381">
        <v>0</v>
      </c>
      <c r="S381" t="s">
        <v>1355</v>
      </c>
      <c r="T381">
        <v>0</v>
      </c>
      <c r="U381">
        <v>0</v>
      </c>
      <c r="V381">
        <v>0</v>
      </c>
      <c r="W381" t="s">
        <v>1355</v>
      </c>
      <c r="X381" t="s">
        <v>1355</v>
      </c>
      <c r="Y381" t="s">
        <v>1355</v>
      </c>
      <c r="Z381">
        <v>0</v>
      </c>
      <c r="AA381">
        <v>0</v>
      </c>
      <c r="AB381">
        <v>0</v>
      </c>
      <c r="AC381" s="294">
        <v>38729</v>
      </c>
      <c r="AD381" s="294">
        <v>73050</v>
      </c>
      <c r="AE381" s="294">
        <v>36526</v>
      </c>
      <c r="AF381" t="s">
        <v>1367</v>
      </c>
      <c r="AG381">
        <v>0</v>
      </c>
      <c r="AH381" t="s">
        <v>2118</v>
      </c>
      <c r="AI381">
        <v>1</v>
      </c>
      <c r="AJ381">
        <v>1</v>
      </c>
      <c r="AK381">
        <v>0</v>
      </c>
      <c r="AL381">
        <v>1</v>
      </c>
      <c r="AM381" t="s">
        <v>1355</v>
      </c>
      <c r="AN381" t="s">
        <v>1357</v>
      </c>
      <c r="AO381">
        <v>0.54</v>
      </c>
      <c r="AP381">
        <v>3</v>
      </c>
      <c r="AQ381">
        <v>0</v>
      </c>
      <c r="AR381">
        <v>0.54</v>
      </c>
      <c r="AS381">
        <v>0.54</v>
      </c>
      <c r="AT381">
        <v>1</v>
      </c>
    </row>
    <row r="382" spans="1:46" hidden="1" x14ac:dyDescent="0.2">
      <c r="A382" t="s">
        <v>2074</v>
      </c>
      <c r="B382" t="s">
        <v>2075</v>
      </c>
      <c r="C382" t="s">
        <v>2074</v>
      </c>
      <c r="D382" t="s">
        <v>1355</v>
      </c>
      <c r="E382" t="s">
        <v>1356</v>
      </c>
      <c r="F382" t="s">
        <v>1357</v>
      </c>
      <c r="G382" t="s">
        <v>1355</v>
      </c>
      <c r="H382" t="s">
        <v>1367</v>
      </c>
      <c r="I382" t="s">
        <v>2110</v>
      </c>
      <c r="J382">
        <v>6</v>
      </c>
      <c r="K382">
        <v>60</v>
      </c>
      <c r="L382" t="s">
        <v>2074</v>
      </c>
      <c r="M382" t="s">
        <v>2074</v>
      </c>
      <c r="N382" t="s">
        <v>1355</v>
      </c>
      <c r="O382" t="s">
        <v>1359</v>
      </c>
      <c r="P382">
        <v>1</v>
      </c>
      <c r="Q382">
        <v>1</v>
      </c>
      <c r="R382">
        <v>0</v>
      </c>
      <c r="S382" t="s">
        <v>1355</v>
      </c>
      <c r="T382">
        <v>0</v>
      </c>
      <c r="U382">
        <v>0</v>
      </c>
      <c r="V382">
        <v>0</v>
      </c>
      <c r="W382" t="s">
        <v>1355</v>
      </c>
      <c r="X382" t="s">
        <v>1355</v>
      </c>
      <c r="Y382" t="s">
        <v>1355</v>
      </c>
      <c r="Z382">
        <v>0</v>
      </c>
      <c r="AA382">
        <v>0</v>
      </c>
      <c r="AB382">
        <v>0</v>
      </c>
      <c r="AC382" s="294">
        <v>38729</v>
      </c>
      <c r="AD382" s="294">
        <v>73050</v>
      </c>
      <c r="AE382" s="294">
        <v>36526</v>
      </c>
      <c r="AF382" t="s">
        <v>1367</v>
      </c>
      <c r="AG382">
        <v>0</v>
      </c>
      <c r="AH382" t="s">
        <v>2119</v>
      </c>
      <c r="AI382">
        <v>1</v>
      </c>
      <c r="AJ382">
        <v>1</v>
      </c>
      <c r="AK382">
        <v>0</v>
      </c>
      <c r="AL382">
        <v>1</v>
      </c>
      <c r="AM382" t="s">
        <v>1355</v>
      </c>
      <c r="AN382" t="s">
        <v>1357</v>
      </c>
      <c r="AO382">
        <v>2.83</v>
      </c>
      <c r="AP382">
        <v>3</v>
      </c>
      <c r="AQ382">
        <v>0</v>
      </c>
      <c r="AR382">
        <v>2.83</v>
      </c>
      <c r="AS382">
        <v>2.83</v>
      </c>
      <c r="AT382">
        <v>1</v>
      </c>
    </row>
    <row r="383" spans="1:46" hidden="1" x14ac:dyDescent="0.2">
      <c r="A383" t="s">
        <v>2077</v>
      </c>
      <c r="B383" t="s">
        <v>2078</v>
      </c>
      <c r="C383" t="s">
        <v>2077</v>
      </c>
      <c r="D383" t="s">
        <v>1355</v>
      </c>
      <c r="E383" t="s">
        <v>1356</v>
      </c>
      <c r="F383" t="s">
        <v>1357</v>
      </c>
      <c r="G383" t="s">
        <v>1355</v>
      </c>
      <c r="H383" t="s">
        <v>1367</v>
      </c>
      <c r="I383" t="s">
        <v>2110</v>
      </c>
      <c r="J383">
        <v>7</v>
      </c>
      <c r="K383">
        <v>70</v>
      </c>
      <c r="L383" t="s">
        <v>2077</v>
      </c>
      <c r="M383" t="s">
        <v>2077</v>
      </c>
      <c r="N383" t="s">
        <v>1355</v>
      </c>
      <c r="O383" t="s">
        <v>1359</v>
      </c>
      <c r="P383">
        <v>1</v>
      </c>
      <c r="Q383">
        <v>1</v>
      </c>
      <c r="R383">
        <v>0</v>
      </c>
      <c r="S383" t="s">
        <v>1355</v>
      </c>
      <c r="T383">
        <v>0</v>
      </c>
      <c r="U383">
        <v>0</v>
      </c>
      <c r="V383">
        <v>0</v>
      </c>
      <c r="W383" t="s">
        <v>1355</v>
      </c>
      <c r="X383" t="s">
        <v>1355</v>
      </c>
      <c r="Y383" t="s">
        <v>1355</v>
      </c>
      <c r="Z383">
        <v>0</v>
      </c>
      <c r="AA383">
        <v>0</v>
      </c>
      <c r="AB383">
        <v>0</v>
      </c>
      <c r="AC383" s="294">
        <v>38729</v>
      </c>
      <c r="AD383" s="294">
        <v>73050</v>
      </c>
      <c r="AE383" s="294">
        <v>36526</v>
      </c>
      <c r="AF383" t="s">
        <v>1367</v>
      </c>
      <c r="AG383">
        <v>0</v>
      </c>
      <c r="AH383" t="s">
        <v>2120</v>
      </c>
      <c r="AI383">
        <v>1</v>
      </c>
      <c r="AJ383">
        <v>1</v>
      </c>
      <c r="AK383">
        <v>0</v>
      </c>
      <c r="AL383">
        <v>1</v>
      </c>
      <c r="AM383" t="s">
        <v>1355</v>
      </c>
      <c r="AN383" t="s">
        <v>1357</v>
      </c>
      <c r="AO383">
        <v>12.28</v>
      </c>
      <c r="AP383">
        <v>3</v>
      </c>
      <c r="AQ383">
        <v>0</v>
      </c>
      <c r="AR383">
        <v>12.28</v>
      </c>
      <c r="AS383">
        <v>12.28</v>
      </c>
      <c r="AT383">
        <v>1</v>
      </c>
    </row>
    <row r="384" spans="1:46" hidden="1" x14ac:dyDescent="0.2">
      <c r="A384" t="s">
        <v>2105</v>
      </c>
      <c r="B384" t="s">
        <v>2106</v>
      </c>
      <c r="C384" t="s">
        <v>2105</v>
      </c>
      <c r="D384" t="s">
        <v>1355</v>
      </c>
      <c r="E384" t="s">
        <v>1356</v>
      </c>
      <c r="F384" t="s">
        <v>1357</v>
      </c>
      <c r="G384" t="s">
        <v>1355</v>
      </c>
      <c r="H384" t="s">
        <v>1367</v>
      </c>
      <c r="I384" t="s">
        <v>2110</v>
      </c>
      <c r="J384">
        <v>8</v>
      </c>
      <c r="K384">
        <v>90</v>
      </c>
      <c r="L384" t="s">
        <v>2105</v>
      </c>
      <c r="M384" t="s">
        <v>2105</v>
      </c>
      <c r="N384" t="s">
        <v>1355</v>
      </c>
      <c r="O384" t="s">
        <v>1359</v>
      </c>
      <c r="P384">
        <v>1</v>
      </c>
      <c r="Q384">
        <v>1</v>
      </c>
      <c r="R384">
        <v>0</v>
      </c>
      <c r="S384" t="s">
        <v>1355</v>
      </c>
      <c r="T384">
        <v>0</v>
      </c>
      <c r="U384">
        <v>0</v>
      </c>
      <c r="V384">
        <v>0</v>
      </c>
      <c r="W384" t="s">
        <v>1355</v>
      </c>
      <c r="X384" t="s">
        <v>1355</v>
      </c>
      <c r="Y384" t="s">
        <v>1355</v>
      </c>
      <c r="Z384">
        <v>0</v>
      </c>
      <c r="AA384">
        <v>0</v>
      </c>
      <c r="AB384">
        <v>0</v>
      </c>
      <c r="AC384" s="294">
        <v>38729</v>
      </c>
      <c r="AD384" s="294">
        <v>73050</v>
      </c>
      <c r="AE384" s="294">
        <v>38721</v>
      </c>
      <c r="AF384" t="s">
        <v>1367</v>
      </c>
      <c r="AG384">
        <v>0</v>
      </c>
      <c r="AH384" t="s">
        <v>2121</v>
      </c>
      <c r="AI384">
        <v>1</v>
      </c>
      <c r="AJ384">
        <v>1</v>
      </c>
      <c r="AK384">
        <v>0</v>
      </c>
      <c r="AL384">
        <v>1</v>
      </c>
      <c r="AM384" t="s">
        <v>1355</v>
      </c>
      <c r="AN384" t="s">
        <v>1357</v>
      </c>
      <c r="AO384">
        <v>0.42</v>
      </c>
      <c r="AP384">
        <v>3</v>
      </c>
      <c r="AQ384">
        <v>0</v>
      </c>
      <c r="AR384">
        <v>0.42</v>
      </c>
      <c r="AS384">
        <v>0.42</v>
      </c>
      <c r="AT384">
        <v>1</v>
      </c>
    </row>
    <row r="385" spans="1:46" hidden="1" x14ac:dyDescent="0.2">
      <c r="A385" t="s">
        <v>1457</v>
      </c>
      <c r="B385" t="s">
        <v>1458</v>
      </c>
      <c r="C385" t="s">
        <v>1457</v>
      </c>
      <c r="D385" t="s">
        <v>1355</v>
      </c>
      <c r="E385" t="s">
        <v>1356</v>
      </c>
      <c r="F385" t="s">
        <v>1357</v>
      </c>
      <c r="G385" t="s">
        <v>1355</v>
      </c>
      <c r="H385" t="s">
        <v>1367</v>
      </c>
      <c r="I385" t="s">
        <v>1139</v>
      </c>
      <c r="J385">
        <v>2</v>
      </c>
      <c r="K385">
        <v>20</v>
      </c>
      <c r="L385" t="s">
        <v>1457</v>
      </c>
      <c r="M385" t="s">
        <v>1457</v>
      </c>
      <c r="N385" t="s">
        <v>1355</v>
      </c>
      <c r="O385" t="s">
        <v>1359</v>
      </c>
      <c r="P385">
        <v>1</v>
      </c>
      <c r="Q385">
        <v>1</v>
      </c>
      <c r="R385">
        <v>0</v>
      </c>
      <c r="S385" t="s">
        <v>1355</v>
      </c>
      <c r="T385">
        <v>0</v>
      </c>
      <c r="U385">
        <v>0</v>
      </c>
      <c r="V385">
        <v>0</v>
      </c>
      <c r="W385" t="s">
        <v>1355</v>
      </c>
      <c r="X385" t="s">
        <v>1355</v>
      </c>
      <c r="Y385" t="s">
        <v>1355</v>
      </c>
      <c r="Z385">
        <v>0</v>
      </c>
      <c r="AA385">
        <v>0</v>
      </c>
      <c r="AB385">
        <v>0</v>
      </c>
      <c r="AC385" s="294">
        <v>41837</v>
      </c>
      <c r="AD385" s="294">
        <v>73050</v>
      </c>
      <c r="AE385" s="294">
        <v>41837</v>
      </c>
      <c r="AF385" t="s">
        <v>1367</v>
      </c>
      <c r="AG385">
        <v>0</v>
      </c>
      <c r="AH385" t="s">
        <v>2122</v>
      </c>
      <c r="AI385">
        <v>1</v>
      </c>
      <c r="AJ385">
        <v>1</v>
      </c>
      <c r="AK385">
        <v>0</v>
      </c>
      <c r="AL385">
        <v>1</v>
      </c>
      <c r="AM385" t="s">
        <v>1355</v>
      </c>
      <c r="AN385" t="s">
        <v>1357</v>
      </c>
      <c r="AO385">
        <v>24.208500000000001</v>
      </c>
      <c r="AP385">
        <v>2</v>
      </c>
      <c r="AQ385">
        <v>0</v>
      </c>
      <c r="AR385">
        <v>24.208300000000001</v>
      </c>
      <c r="AS385">
        <v>24.208500000000001</v>
      </c>
      <c r="AT385">
        <v>1</v>
      </c>
    </row>
    <row r="386" spans="1:46" x14ac:dyDescent="0.2">
      <c r="A386" t="s">
        <v>1141</v>
      </c>
      <c r="B386" t="s">
        <v>2057</v>
      </c>
      <c r="C386" t="s">
        <v>1141</v>
      </c>
      <c r="D386" t="s">
        <v>1355</v>
      </c>
      <c r="E386" t="s">
        <v>1356</v>
      </c>
      <c r="F386" t="s">
        <v>1357</v>
      </c>
      <c r="G386" t="s">
        <v>1355</v>
      </c>
      <c r="H386" t="s">
        <v>1358</v>
      </c>
      <c r="I386" t="s">
        <v>1353</v>
      </c>
      <c r="J386">
        <v>70</v>
      </c>
      <c r="K386">
        <v>580</v>
      </c>
      <c r="L386" t="s">
        <v>1141</v>
      </c>
      <c r="M386" t="s">
        <v>1141</v>
      </c>
      <c r="N386" t="s">
        <v>1355</v>
      </c>
      <c r="O386" t="s">
        <v>1359</v>
      </c>
      <c r="P386">
        <v>1</v>
      </c>
      <c r="Q386">
        <v>1</v>
      </c>
      <c r="R386">
        <v>0</v>
      </c>
      <c r="S386" t="s">
        <v>1355</v>
      </c>
      <c r="T386">
        <v>0</v>
      </c>
      <c r="U386">
        <v>0</v>
      </c>
      <c r="V386">
        <v>0</v>
      </c>
      <c r="W386" t="s">
        <v>1355</v>
      </c>
      <c r="X386" t="s">
        <v>1355</v>
      </c>
      <c r="Y386" t="s">
        <v>1355</v>
      </c>
      <c r="Z386">
        <v>0</v>
      </c>
      <c r="AA386">
        <v>0</v>
      </c>
      <c r="AB386">
        <v>0</v>
      </c>
      <c r="AC386" s="294">
        <v>41845</v>
      </c>
      <c r="AD386" s="294">
        <v>73050</v>
      </c>
      <c r="AE386" s="294">
        <v>41845</v>
      </c>
      <c r="AF386" t="s">
        <v>1358</v>
      </c>
      <c r="AG386">
        <v>0</v>
      </c>
      <c r="AH386" t="s">
        <v>2123</v>
      </c>
      <c r="AI386">
        <v>1</v>
      </c>
      <c r="AJ386">
        <v>1</v>
      </c>
      <c r="AK386">
        <v>0</v>
      </c>
      <c r="AL386">
        <v>1</v>
      </c>
      <c r="AM386" t="s">
        <v>1362</v>
      </c>
      <c r="AN386" t="s">
        <v>1357</v>
      </c>
      <c r="AO386">
        <v>137.06229999999999</v>
      </c>
      <c r="AP386">
        <v>1</v>
      </c>
      <c r="AQ386">
        <v>0</v>
      </c>
      <c r="AR386">
        <v>137.06232</v>
      </c>
      <c r="AS386">
        <v>137.06229999999999</v>
      </c>
      <c r="AT386">
        <v>1</v>
      </c>
    </row>
    <row r="387" spans="1:46" hidden="1" x14ac:dyDescent="0.2">
      <c r="A387" t="s">
        <v>2059</v>
      </c>
      <c r="B387" t="s">
        <v>2060</v>
      </c>
      <c r="C387" t="s">
        <v>2059</v>
      </c>
      <c r="D387" t="s">
        <v>1355</v>
      </c>
      <c r="E387" t="s">
        <v>1356</v>
      </c>
      <c r="F387" t="s">
        <v>1357</v>
      </c>
      <c r="G387" t="s">
        <v>1355</v>
      </c>
      <c r="H387" t="s">
        <v>1358</v>
      </c>
      <c r="I387" t="s">
        <v>1141</v>
      </c>
      <c r="J387">
        <v>1</v>
      </c>
      <c r="K387">
        <v>10</v>
      </c>
      <c r="L387" t="s">
        <v>2059</v>
      </c>
      <c r="M387" t="s">
        <v>2059</v>
      </c>
      <c r="N387" t="s">
        <v>1355</v>
      </c>
      <c r="O387" t="s">
        <v>1359</v>
      </c>
      <c r="P387">
        <v>1</v>
      </c>
      <c r="Q387">
        <v>1</v>
      </c>
      <c r="R387">
        <v>0</v>
      </c>
      <c r="S387" t="s">
        <v>1355</v>
      </c>
      <c r="T387">
        <v>0</v>
      </c>
      <c r="U387">
        <v>0</v>
      </c>
      <c r="V387">
        <v>0</v>
      </c>
      <c r="W387" t="s">
        <v>1355</v>
      </c>
      <c r="X387" t="s">
        <v>1355</v>
      </c>
      <c r="Y387" t="s">
        <v>1355</v>
      </c>
      <c r="Z387">
        <v>0</v>
      </c>
      <c r="AA387">
        <v>0</v>
      </c>
      <c r="AB387">
        <v>0</v>
      </c>
      <c r="AC387" s="294">
        <v>41837</v>
      </c>
      <c r="AD387" s="294">
        <v>73050</v>
      </c>
      <c r="AE387" s="294">
        <v>41837</v>
      </c>
      <c r="AF387" t="s">
        <v>1358</v>
      </c>
      <c r="AG387">
        <v>0</v>
      </c>
      <c r="AH387" t="s">
        <v>2124</v>
      </c>
      <c r="AI387">
        <v>1</v>
      </c>
      <c r="AJ387">
        <v>1</v>
      </c>
      <c r="AK387">
        <v>0</v>
      </c>
      <c r="AL387">
        <v>1</v>
      </c>
      <c r="AM387" t="s">
        <v>1362</v>
      </c>
      <c r="AN387" t="s">
        <v>1357</v>
      </c>
      <c r="AO387">
        <v>137.06229999999999</v>
      </c>
      <c r="AP387">
        <v>2</v>
      </c>
      <c r="AQ387">
        <v>0</v>
      </c>
      <c r="AR387">
        <v>137.06232</v>
      </c>
      <c r="AS387">
        <v>137.06229999999999</v>
      </c>
      <c r="AT387">
        <v>1</v>
      </c>
    </row>
    <row r="388" spans="1:46" hidden="1" x14ac:dyDescent="0.2">
      <c r="A388" t="s">
        <v>2062</v>
      </c>
      <c r="B388" t="s">
        <v>2063</v>
      </c>
      <c r="C388" t="s">
        <v>2062</v>
      </c>
      <c r="D388" t="s">
        <v>1355</v>
      </c>
      <c r="E388" t="s">
        <v>1356</v>
      </c>
      <c r="F388" t="s">
        <v>1357</v>
      </c>
      <c r="G388" t="s">
        <v>1355</v>
      </c>
      <c r="H388" t="s">
        <v>1367</v>
      </c>
      <c r="I388" t="s">
        <v>2059</v>
      </c>
      <c r="J388">
        <v>1</v>
      </c>
      <c r="K388">
        <v>10</v>
      </c>
      <c r="L388" t="s">
        <v>2062</v>
      </c>
      <c r="M388" t="s">
        <v>2062</v>
      </c>
      <c r="N388" t="s">
        <v>1355</v>
      </c>
      <c r="O388" t="s">
        <v>1359</v>
      </c>
      <c r="P388">
        <v>1</v>
      </c>
      <c r="Q388">
        <v>1</v>
      </c>
      <c r="R388">
        <v>0</v>
      </c>
      <c r="S388" t="s">
        <v>1355</v>
      </c>
      <c r="T388">
        <v>0</v>
      </c>
      <c r="U388">
        <v>0</v>
      </c>
      <c r="V388">
        <v>0</v>
      </c>
      <c r="W388" t="s">
        <v>1355</v>
      </c>
      <c r="X388" t="s">
        <v>1355</v>
      </c>
      <c r="Y388" t="s">
        <v>1355</v>
      </c>
      <c r="Z388">
        <v>0</v>
      </c>
      <c r="AA388">
        <v>0</v>
      </c>
      <c r="AB388">
        <v>0</v>
      </c>
      <c r="AC388" s="294">
        <v>38729</v>
      </c>
      <c r="AD388" s="294">
        <v>73050</v>
      </c>
      <c r="AE388" s="294">
        <v>36526</v>
      </c>
      <c r="AF388" t="s">
        <v>1367</v>
      </c>
      <c r="AG388">
        <v>0</v>
      </c>
      <c r="AH388" t="s">
        <v>2125</v>
      </c>
      <c r="AI388">
        <v>1</v>
      </c>
      <c r="AJ388">
        <v>1</v>
      </c>
      <c r="AK388">
        <v>0</v>
      </c>
      <c r="AL388">
        <v>1</v>
      </c>
      <c r="AM388" t="s">
        <v>1355</v>
      </c>
      <c r="AN388" t="s">
        <v>1357</v>
      </c>
      <c r="AO388">
        <v>6.24</v>
      </c>
      <c r="AP388">
        <v>3</v>
      </c>
      <c r="AQ388">
        <v>0</v>
      </c>
      <c r="AR388">
        <v>6.24</v>
      </c>
      <c r="AS388">
        <v>6.24</v>
      </c>
      <c r="AT388">
        <v>1</v>
      </c>
    </row>
    <row r="389" spans="1:46" hidden="1" x14ac:dyDescent="0.2">
      <c r="A389" t="s">
        <v>2065</v>
      </c>
      <c r="B389" t="s">
        <v>2066</v>
      </c>
      <c r="C389" t="s">
        <v>2065</v>
      </c>
      <c r="D389" t="s">
        <v>1355</v>
      </c>
      <c r="E389" t="s">
        <v>1356</v>
      </c>
      <c r="F389" t="s">
        <v>1357</v>
      </c>
      <c r="G389" t="s">
        <v>1355</v>
      </c>
      <c r="H389" t="s">
        <v>1367</v>
      </c>
      <c r="I389" t="s">
        <v>2059</v>
      </c>
      <c r="J389">
        <v>2</v>
      </c>
      <c r="K389">
        <v>20</v>
      </c>
      <c r="L389" t="s">
        <v>2065</v>
      </c>
      <c r="M389" t="s">
        <v>2065</v>
      </c>
      <c r="N389" t="s">
        <v>1355</v>
      </c>
      <c r="O389" t="s">
        <v>1359</v>
      </c>
      <c r="P389">
        <v>1</v>
      </c>
      <c r="Q389">
        <v>1</v>
      </c>
      <c r="R389">
        <v>0</v>
      </c>
      <c r="S389" t="s">
        <v>1355</v>
      </c>
      <c r="T389">
        <v>0</v>
      </c>
      <c r="U389">
        <v>0</v>
      </c>
      <c r="V389">
        <v>0</v>
      </c>
      <c r="W389" t="s">
        <v>1355</v>
      </c>
      <c r="X389" t="s">
        <v>1355</v>
      </c>
      <c r="Y389" t="s">
        <v>1355</v>
      </c>
      <c r="Z389">
        <v>0</v>
      </c>
      <c r="AA389">
        <v>0</v>
      </c>
      <c r="AB389">
        <v>0</v>
      </c>
      <c r="AC389" s="294">
        <v>38729</v>
      </c>
      <c r="AD389" s="294">
        <v>73050</v>
      </c>
      <c r="AE389" s="294">
        <v>36526</v>
      </c>
      <c r="AF389" t="s">
        <v>1367</v>
      </c>
      <c r="AG389">
        <v>0</v>
      </c>
      <c r="AH389" t="s">
        <v>2126</v>
      </c>
      <c r="AI389">
        <v>1</v>
      </c>
      <c r="AJ389">
        <v>1</v>
      </c>
      <c r="AK389">
        <v>0</v>
      </c>
      <c r="AL389">
        <v>1</v>
      </c>
      <c r="AM389" t="s">
        <v>1355</v>
      </c>
      <c r="AN389" t="s">
        <v>1357</v>
      </c>
      <c r="AO389">
        <v>2.84</v>
      </c>
      <c r="AP389">
        <v>3</v>
      </c>
      <c r="AQ389">
        <v>0</v>
      </c>
      <c r="AR389">
        <v>2.84</v>
      </c>
      <c r="AS389">
        <v>2.84</v>
      </c>
      <c r="AT389">
        <v>1</v>
      </c>
    </row>
    <row r="390" spans="1:46" hidden="1" x14ac:dyDescent="0.2">
      <c r="A390" t="s">
        <v>2068</v>
      </c>
      <c r="B390" t="s">
        <v>2069</v>
      </c>
      <c r="C390" t="s">
        <v>2068</v>
      </c>
      <c r="D390" t="s">
        <v>1355</v>
      </c>
      <c r="E390" t="s">
        <v>1356</v>
      </c>
      <c r="F390" t="s">
        <v>1357</v>
      </c>
      <c r="G390" t="s">
        <v>1355</v>
      </c>
      <c r="H390" t="s">
        <v>1367</v>
      </c>
      <c r="I390" t="s">
        <v>2059</v>
      </c>
      <c r="J390">
        <v>3</v>
      </c>
      <c r="K390">
        <v>30</v>
      </c>
      <c r="L390" t="s">
        <v>2068</v>
      </c>
      <c r="M390" t="s">
        <v>2068</v>
      </c>
      <c r="N390" t="s">
        <v>1355</v>
      </c>
      <c r="O390" t="s">
        <v>1359</v>
      </c>
      <c r="P390">
        <v>1</v>
      </c>
      <c r="Q390">
        <v>1</v>
      </c>
      <c r="R390">
        <v>0</v>
      </c>
      <c r="S390" t="s">
        <v>1355</v>
      </c>
      <c r="T390">
        <v>0</v>
      </c>
      <c r="U390">
        <v>0</v>
      </c>
      <c r="V390">
        <v>0</v>
      </c>
      <c r="W390" t="s">
        <v>1355</v>
      </c>
      <c r="X390" t="s">
        <v>1355</v>
      </c>
      <c r="Y390" t="s">
        <v>1355</v>
      </c>
      <c r="Z390">
        <v>0</v>
      </c>
      <c r="AA390">
        <v>0</v>
      </c>
      <c r="AB390">
        <v>0</v>
      </c>
      <c r="AC390" s="294">
        <v>38729</v>
      </c>
      <c r="AD390" s="294">
        <v>73050</v>
      </c>
      <c r="AE390" s="294">
        <v>36526</v>
      </c>
      <c r="AF390" t="s">
        <v>1367</v>
      </c>
      <c r="AG390">
        <v>0</v>
      </c>
      <c r="AH390" t="s">
        <v>2127</v>
      </c>
      <c r="AI390">
        <v>1</v>
      </c>
      <c r="AJ390">
        <v>1</v>
      </c>
      <c r="AK390">
        <v>0</v>
      </c>
      <c r="AL390">
        <v>1</v>
      </c>
      <c r="AM390" t="s">
        <v>1355</v>
      </c>
      <c r="AN390" t="s">
        <v>1357</v>
      </c>
      <c r="AO390">
        <v>108</v>
      </c>
      <c r="AP390">
        <v>3</v>
      </c>
      <c r="AQ390">
        <v>0</v>
      </c>
      <c r="AR390">
        <v>108</v>
      </c>
      <c r="AS390">
        <v>108</v>
      </c>
      <c r="AT390">
        <v>1</v>
      </c>
    </row>
    <row r="391" spans="1:46" hidden="1" x14ac:dyDescent="0.2">
      <c r="A391" t="s">
        <v>2071</v>
      </c>
      <c r="B391" t="s">
        <v>2072</v>
      </c>
      <c r="C391" t="s">
        <v>2071</v>
      </c>
      <c r="D391" t="s">
        <v>1355</v>
      </c>
      <c r="E391" t="s">
        <v>1356</v>
      </c>
      <c r="F391" t="s">
        <v>1357</v>
      </c>
      <c r="G391" t="s">
        <v>1355</v>
      </c>
      <c r="H391" t="s">
        <v>1367</v>
      </c>
      <c r="I391" t="s">
        <v>2059</v>
      </c>
      <c r="J391">
        <v>4</v>
      </c>
      <c r="K391">
        <v>40</v>
      </c>
      <c r="L391" t="s">
        <v>2071</v>
      </c>
      <c r="M391" t="s">
        <v>2071</v>
      </c>
      <c r="N391" t="s">
        <v>1355</v>
      </c>
      <c r="O391" t="s">
        <v>1359</v>
      </c>
      <c r="P391">
        <v>1</v>
      </c>
      <c r="Q391">
        <v>1</v>
      </c>
      <c r="R391">
        <v>0</v>
      </c>
      <c r="S391" t="s">
        <v>1355</v>
      </c>
      <c r="T391">
        <v>0</v>
      </c>
      <c r="U391">
        <v>0</v>
      </c>
      <c r="V391">
        <v>0</v>
      </c>
      <c r="W391" t="s">
        <v>1355</v>
      </c>
      <c r="X391" t="s">
        <v>1355</v>
      </c>
      <c r="Y391" t="s">
        <v>1355</v>
      </c>
      <c r="Z391">
        <v>0</v>
      </c>
      <c r="AA391">
        <v>0</v>
      </c>
      <c r="AB391">
        <v>0</v>
      </c>
      <c r="AC391" s="294">
        <v>38729</v>
      </c>
      <c r="AD391" s="294">
        <v>73050</v>
      </c>
      <c r="AE391" s="294">
        <v>36526</v>
      </c>
      <c r="AF391" t="s">
        <v>1367</v>
      </c>
      <c r="AG391">
        <v>0</v>
      </c>
      <c r="AH391" t="s">
        <v>2128</v>
      </c>
      <c r="AI391">
        <v>1</v>
      </c>
      <c r="AJ391">
        <v>1</v>
      </c>
      <c r="AK391">
        <v>0</v>
      </c>
      <c r="AL391">
        <v>1</v>
      </c>
      <c r="AM391" t="s">
        <v>1355</v>
      </c>
      <c r="AN391" t="s">
        <v>1357</v>
      </c>
      <c r="AO391">
        <v>0.54</v>
      </c>
      <c r="AP391">
        <v>3</v>
      </c>
      <c r="AQ391">
        <v>0</v>
      </c>
      <c r="AR391">
        <v>0.54</v>
      </c>
      <c r="AS391">
        <v>0.54</v>
      </c>
      <c r="AT391">
        <v>1</v>
      </c>
    </row>
    <row r="392" spans="1:46" hidden="1" x14ac:dyDescent="0.2">
      <c r="A392" t="s">
        <v>2074</v>
      </c>
      <c r="B392" t="s">
        <v>2075</v>
      </c>
      <c r="C392" t="s">
        <v>2074</v>
      </c>
      <c r="D392" t="s">
        <v>1355</v>
      </c>
      <c r="E392" t="s">
        <v>1356</v>
      </c>
      <c r="F392" t="s">
        <v>1357</v>
      </c>
      <c r="G392" t="s">
        <v>1355</v>
      </c>
      <c r="H392" t="s">
        <v>1367</v>
      </c>
      <c r="I392" t="s">
        <v>2059</v>
      </c>
      <c r="J392">
        <v>5</v>
      </c>
      <c r="K392">
        <v>50</v>
      </c>
      <c r="L392" t="s">
        <v>2074</v>
      </c>
      <c r="M392" t="s">
        <v>2074</v>
      </c>
      <c r="N392" t="s">
        <v>1355</v>
      </c>
      <c r="O392" t="s">
        <v>1359</v>
      </c>
      <c r="P392">
        <v>1</v>
      </c>
      <c r="Q392">
        <v>1</v>
      </c>
      <c r="R392">
        <v>0</v>
      </c>
      <c r="S392" t="s">
        <v>1355</v>
      </c>
      <c r="T392">
        <v>0</v>
      </c>
      <c r="U392">
        <v>0</v>
      </c>
      <c r="V392">
        <v>0</v>
      </c>
      <c r="W392" t="s">
        <v>1355</v>
      </c>
      <c r="X392" t="s">
        <v>1355</v>
      </c>
      <c r="Y392" t="s">
        <v>1355</v>
      </c>
      <c r="Z392">
        <v>0</v>
      </c>
      <c r="AA392">
        <v>0</v>
      </c>
      <c r="AB392">
        <v>0</v>
      </c>
      <c r="AC392" s="294">
        <v>38729</v>
      </c>
      <c r="AD392" s="294">
        <v>73050</v>
      </c>
      <c r="AE392" s="294">
        <v>36526</v>
      </c>
      <c r="AF392" t="s">
        <v>1367</v>
      </c>
      <c r="AG392">
        <v>0</v>
      </c>
      <c r="AH392" t="s">
        <v>2129</v>
      </c>
      <c r="AI392">
        <v>1</v>
      </c>
      <c r="AJ392">
        <v>1</v>
      </c>
      <c r="AK392">
        <v>0</v>
      </c>
      <c r="AL392">
        <v>1</v>
      </c>
      <c r="AM392" t="s">
        <v>1355</v>
      </c>
      <c r="AN392" t="s">
        <v>1357</v>
      </c>
      <c r="AO392">
        <v>2.83</v>
      </c>
      <c r="AP392">
        <v>3</v>
      </c>
      <c r="AQ392">
        <v>0</v>
      </c>
      <c r="AR392">
        <v>2.83</v>
      </c>
      <c r="AS392">
        <v>2.83</v>
      </c>
      <c r="AT392">
        <v>1</v>
      </c>
    </row>
    <row r="393" spans="1:46" hidden="1" x14ac:dyDescent="0.2">
      <c r="A393" t="s">
        <v>2077</v>
      </c>
      <c r="B393" t="s">
        <v>2078</v>
      </c>
      <c r="C393" t="s">
        <v>2077</v>
      </c>
      <c r="D393" t="s">
        <v>1355</v>
      </c>
      <c r="E393" t="s">
        <v>1356</v>
      </c>
      <c r="F393" t="s">
        <v>1357</v>
      </c>
      <c r="G393" t="s">
        <v>1355</v>
      </c>
      <c r="H393" t="s">
        <v>1367</v>
      </c>
      <c r="I393" t="s">
        <v>2059</v>
      </c>
      <c r="J393">
        <v>6</v>
      </c>
      <c r="K393">
        <v>60</v>
      </c>
      <c r="L393" t="s">
        <v>2077</v>
      </c>
      <c r="M393" t="s">
        <v>2077</v>
      </c>
      <c r="N393" t="s">
        <v>1355</v>
      </c>
      <c r="O393" t="s">
        <v>1359</v>
      </c>
      <c r="P393">
        <v>1</v>
      </c>
      <c r="Q393">
        <v>1</v>
      </c>
      <c r="R393">
        <v>0</v>
      </c>
      <c r="S393" t="s">
        <v>1355</v>
      </c>
      <c r="T393">
        <v>0</v>
      </c>
      <c r="U393">
        <v>0</v>
      </c>
      <c r="V393">
        <v>0</v>
      </c>
      <c r="W393" t="s">
        <v>1355</v>
      </c>
      <c r="X393" t="s">
        <v>1355</v>
      </c>
      <c r="Y393" t="s">
        <v>1355</v>
      </c>
      <c r="Z393">
        <v>0</v>
      </c>
      <c r="AA393">
        <v>0</v>
      </c>
      <c r="AB393">
        <v>0</v>
      </c>
      <c r="AC393" s="294">
        <v>38729</v>
      </c>
      <c r="AD393" s="294">
        <v>73050</v>
      </c>
      <c r="AE393" s="294">
        <v>36526</v>
      </c>
      <c r="AF393" t="s">
        <v>1367</v>
      </c>
      <c r="AG393">
        <v>0</v>
      </c>
      <c r="AH393" t="s">
        <v>2130</v>
      </c>
      <c r="AI393">
        <v>1</v>
      </c>
      <c r="AJ393">
        <v>1</v>
      </c>
      <c r="AK393">
        <v>0</v>
      </c>
      <c r="AL393">
        <v>1</v>
      </c>
      <c r="AM393" t="s">
        <v>1355</v>
      </c>
      <c r="AN393" t="s">
        <v>1357</v>
      </c>
      <c r="AO393">
        <v>12.28</v>
      </c>
      <c r="AP393">
        <v>3</v>
      </c>
      <c r="AQ393">
        <v>0</v>
      </c>
      <c r="AR393">
        <v>12.28</v>
      </c>
      <c r="AS393">
        <v>12.28</v>
      </c>
      <c r="AT393">
        <v>1</v>
      </c>
    </row>
    <row r="394" spans="1:46" hidden="1" x14ac:dyDescent="0.2">
      <c r="A394" t="s">
        <v>2080</v>
      </c>
      <c r="B394" t="s">
        <v>2081</v>
      </c>
      <c r="C394" t="s">
        <v>2080</v>
      </c>
      <c r="D394" t="s">
        <v>1355</v>
      </c>
      <c r="E394" t="s">
        <v>1356</v>
      </c>
      <c r="F394" t="s">
        <v>1357</v>
      </c>
      <c r="G394" t="s">
        <v>1355</v>
      </c>
      <c r="H394" t="s">
        <v>1367</v>
      </c>
      <c r="I394" t="s">
        <v>2059</v>
      </c>
      <c r="J394">
        <v>8</v>
      </c>
      <c r="K394">
        <v>70</v>
      </c>
      <c r="L394" t="s">
        <v>2080</v>
      </c>
      <c r="M394" t="s">
        <v>2080</v>
      </c>
      <c r="N394" t="s">
        <v>1355</v>
      </c>
      <c r="O394" t="s">
        <v>1359</v>
      </c>
      <c r="P394">
        <v>2</v>
      </c>
      <c r="Q394">
        <v>2</v>
      </c>
      <c r="R394">
        <v>0</v>
      </c>
      <c r="S394" t="s">
        <v>1355</v>
      </c>
      <c r="T394">
        <v>0</v>
      </c>
      <c r="U394">
        <v>0</v>
      </c>
      <c r="V394">
        <v>0</v>
      </c>
      <c r="W394" t="s">
        <v>1355</v>
      </c>
      <c r="X394" t="s">
        <v>1355</v>
      </c>
      <c r="Y394" t="s">
        <v>1355</v>
      </c>
      <c r="Z394">
        <v>0</v>
      </c>
      <c r="AA394">
        <v>0</v>
      </c>
      <c r="AB394">
        <v>0</v>
      </c>
      <c r="AC394" s="294">
        <v>41776</v>
      </c>
      <c r="AD394" s="294">
        <v>73050</v>
      </c>
      <c r="AE394" s="294">
        <v>41776</v>
      </c>
      <c r="AF394" t="s">
        <v>1367</v>
      </c>
      <c r="AG394">
        <v>0</v>
      </c>
      <c r="AH394" t="s">
        <v>2131</v>
      </c>
      <c r="AI394">
        <v>2</v>
      </c>
      <c r="AJ394">
        <v>2</v>
      </c>
      <c r="AK394">
        <v>0</v>
      </c>
      <c r="AL394">
        <v>2</v>
      </c>
      <c r="AM394" t="s">
        <v>1355</v>
      </c>
      <c r="AN394" t="s">
        <v>1357</v>
      </c>
      <c r="AO394">
        <v>1.62</v>
      </c>
      <c r="AP394">
        <v>3</v>
      </c>
      <c r="AQ394">
        <v>0</v>
      </c>
      <c r="AR394">
        <v>1.62</v>
      </c>
      <c r="AS394">
        <v>1.62</v>
      </c>
      <c r="AT394">
        <v>1</v>
      </c>
    </row>
    <row r="395" spans="1:46" hidden="1" x14ac:dyDescent="0.2">
      <c r="A395" t="s">
        <v>2083</v>
      </c>
      <c r="B395" t="s">
        <v>2084</v>
      </c>
      <c r="C395" t="s">
        <v>2083</v>
      </c>
      <c r="D395" t="s">
        <v>1355</v>
      </c>
      <c r="E395" t="s">
        <v>1356</v>
      </c>
      <c r="F395" t="s">
        <v>1357</v>
      </c>
      <c r="G395" t="s">
        <v>1355</v>
      </c>
      <c r="H395" t="s">
        <v>1367</v>
      </c>
      <c r="I395" t="s">
        <v>2059</v>
      </c>
      <c r="J395">
        <v>9</v>
      </c>
      <c r="K395">
        <v>80</v>
      </c>
      <c r="L395" t="s">
        <v>2083</v>
      </c>
      <c r="M395" t="s">
        <v>2083</v>
      </c>
      <c r="N395" t="s">
        <v>1355</v>
      </c>
      <c r="O395" t="s">
        <v>1359</v>
      </c>
      <c r="P395">
        <v>2</v>
      </c>
      <c r="Q395">
        <v>2</v>
      </c>
      <c r="R395">
        <v>0</v>
      </c>
      <c r="S395" t="s">
        <v>1355</v>
      </c>
      <c r="T395">
        <v>0</v>
      </c>
      <c r="U395">
        <v>0</v>
      </c>
      <c r="V395">
        <v>0</v>
      </c>
      <c r="W395" t="s">
        <v>1355</v>
      </c>
      <c r="X395" t="s">
        <v>1355</v>
      </c>
      <c r="Y395" t="s">
        <v>1355</v>
      </c>
      <c r="Z395">
        <v>0</v>
      </c>
      <c r="AA395">
        <v>0</v>
      </c>
      <c r="AB395">
        <v>0</v>
      </c>
      <c r="AC395" s="294">
        <v>41776</v>
      </c>
      <c r="AD395" s="294">
        <v>73050</v>
      </c>
      <c r="AE395" s="294">
        <v>41776</v>
      </c>
      <c r="AF395" t="s">
        <v>1367</v>
      </c>
      <c r="AG395">
        <v>0</v>
      </c>
      <c r="AH395" t="s">
        <v>2132</v>
      </c>
      <c r="AI395">
        <v>2</v>
      </c>
      <c r="AJ395">
        <v>2</v>
      </c>
      <c r="AK395">
        <v>0</v>
      </c>
      <c r="AL395">
        <v>2</v>
      </c>
      <c r="AM395" t="s">
        <v>1355</v>
      </c>
      <c r="AN395" t="s">
        <v>1357</v>
      </c>
      <c r="AO395">
        <v>1.966</v>
      </c>
      <c r="AP395">
        <v>3</v>
      </c>
      <c r="AQ395">
        <v>0</v>
      </c>
      <c r="AR395">
        <v>1.966</v>
      </c>
      <c r="AS395">
        <v>1.966</v>
      </c>
      <c r="AT395">
        <v>1</v>
      </c>
    </row>
    <row r="396" spans="1:46" hidden="1" x14ac:dyDescent="0.2">
      <c r="A396" t="s">
        <v>2086</v>
      </c>
      <c r="B396" t="s">
        <v>2087</v>
      </c>
      <c r="C396" t="s">
        <v>2086</v>
      </c>
      <c r="D396" t="s">
        <v>1355</v>
      </c>
      <c r="E396" t="s">
        <v>1356</v>
      </c>
      <c r="F396" t="s">
        <v>1357</v>
      </c>
      <c r="G396" t="s">
        <v>1355</v>
      </c>
      <c r="H396" t="s">
        <v>1367</v>
      </c>
      <c r="I396" t="s">
        <v>2059</v>
      </c>
      <c r="J396">
        <v>10</v>
      </c>
      <c r="K396">
        <v>90</v>
      </c>
      <c r="L396" t="s">
        <v>2086</v>
      </c>
      <c r="M396" t="s">
        <v>2086</v>
      </c>
      <c r="N396" t="s">
        <v>1355</v>
      </c>
      <c r="O396" t="s">
        <v>1359</v>
      </c>
      <c r="P396">
        <v>2</v>
      </c>
      <c r="Q396">
        <v>2</v>
      </c>
      <c r="R396">
        <v>0</v>
      </c>
      <c r="S396" t="s">
        <v>1355</v>
      </c>
      <c r="T396">
        <v>0</v>
      </c>
      <c r="U396">
        <v>0</v>
      </c>
      <c r="V396">
        <v>0</v>
      </c>
      <c r="W396" t="s">
        <v>1355</v>
      </c>
      <c r="X396" t="s">
        <v>1355</v>
      </c>
      <c r="Y396" t="s">
        <v>1355</v>
      </c>
      <c r="Z396">
        <v>0</v>
      </c>
      <c r="AA396">
        <v>0</v>
      </c>
      <c r="AB396">
        <v>0</v>
      </c>
      <c r="AC396" s="294">
        <v>41776</v>
      </c>
      <c r="AD396" s="294">
        <v>73050</v>
      </c>
      <c r="AE396" s="294">
        <v>41776</v>
      </c>
      <c r="AF396" t="s">
        <v>1367</v>
      </c>
      <c r="AG396">
        <v>0</v>
      </c>
      <c r="AH396" t="s">
        <v>2133</v>
      </c>
      <c r="AI396">
        <v>2</v>
      </c>
      <c r="AJ396">
        <v>2</v>
      </c>
      <c r="AK396">
        <v>0</v>
      </c>
      <c r="AL396">
        <v>2</v>
      </c>
      <c r="AM396" t="s">
        <v>1355</v>
      </c>
      <c r="AN396" t="s">
        <v>1357</v>
      </c>
      <c r="AO396">
        <v>0.2223</v>
      </c>
      <c r="AP396">
        <v>3</v>
      </c>
      <c r="AQ396">
        <v>0</v>
      </c>
      <c r="AR396">
        <v>0.22231999999999999</v>
      </c>
      <c r="AS396">
        <v>0.2223</v>
      </c>
      <c r="AT396">
        <v>1</v>
      </c>
    </row>
    <row r="397" spans="1:46" hidden="1" x14ac:dyDescent="0.2">
      <c r="A397" t="s">
        <v>2089</v>
      </c>
      <c r="B397" t="s">
        <v>2090</v>
      </c>
      <c r="C397" t="s">
        <v>2089</v>
      </c>
      <c r="D397" t="s">
        <v>1355</v>
      </c>
      <c r="E397" t="s">
        <v>1356</v>
      </c>
      <c r="F397" t="s">
        <v>1357</v>
      </c>
      <c r="G397" t="s">
        <v>1355</v>
      </c>
      <c r="H397" t="s">
        <v>1367</v>
      </c>
      <c r="I397" t="s">
        <v>2059</v>
      </c>
      <c r="J397">
        <v>11</v>
      </c>
      <c r="K397">
        <v>100</v>
      </c>
      <c r="L397" t="s">
        <v>2089</v>
      </c>
      <c r="M397" t="s">
        <v>2089</v>
      </c>
      <c r="N397" t="s">
        <v>1355</v>
      </c>
      <c r="O397" t="s">
        <v>1359</v>
      </c>
      <c r="P397">
        <v>2</v>
      </c>
      <c r="Q397">
        <v>2</v>
      </c>
      <c r="R397">
        <v>0</v>
      </c>
      <c r="S397" t="s">
        <v>1355</v>
      </c>
      <c r="T397">
        <v>0</v>
      </c>
      <c r="U397">
        <v>0</v>
      </c>
      <c r="V397">
        <v>0</v>
      </c>
      <c r="W397" t="s">
        <v>1355</v>
      </c>
      <c r="X397" t="s">
        <v>1355</v>
      </c>
      <c r="Y397" t="s">
        <v>1355</v>
      </c>
      <c r="Z397">
        <v>0</v>
      </c>
      <c r="AA397">
        <v>0</v>
      </c>
      <c r="AB397">
        <v>0</v>
      </c>
      <c r="AC397" s="294">
        <v>41776</v>
      </c>
      <c r="AD397" s="294">
        <v>73050</v>
      </c>
      <c r="AE397" s="294">
        <v>41776</v>
      </c>
      <c r="AF397" t="s">
        <v>1367</v>
      </c>
      <c r="AG397">
        <v>0</v>
      </c>
      <c r="AH397" t="s">
        <v>2134</v>
      </c>
      <c r="AI397">
        <v>2</v>
      </c>
      <c r="AJ397">
        <v>2</v>
      </c>
      <c r="AK397">
        <v>0</v>
      </c>
      <c r="AL397">
        <v>2</v>
      </c>
      <c r="AM397" t="s">
        <v>1355</v>
      </c>
      <c r="AN397" t="s">
        <v>1357</v>
      </c>
      <c r="AO397">
        <v>0.52400000000000002</v>
      </c>
      <c r="AP397">
        <v>3</v>
      </c>
      <c r="AQ397">
        <v>0</v>
      </c>
      <c r="AR397">
        <v>0.52400000000000002</v>
      </c>
      <c r="AS397">
        <v>0.52400000000000002</v>
      </c>
      <c r="AT397">
        <v>1</v>
      </c>
    </row>
    <row r="398" spans="1:46" x14ac:dyDescent="0.2">
      <c r="A398" t="s">
        <v>1201</v>
      </c>
      <c r="B398" t="s">
        <v>2135</v>
      </c>
      <c r="C398" t="s">
        <v>1201</v>
      </c>
      <c r="D398" t="s">
        <v>1355</v>
      </c>
      <c r="E398" t="s">
        <v>1356</v>
      </c>
      <c r="F398" t="s">
        <v>1357</v>
      </c>
      <c r="G398" t="s">
        <v>1355</v>
      </c>
      <c r="H398" t="s">
        <v>1358</v>
      </c>
      <c r="I398" t="s">
        <v>1353</v>
      </c>
      <c r="J398">
        <v>71</v>
      </c>
      <c r="K398">
        <v>590</v>
      </c>
      <c r="L398" t="s">
        <v>1201</v>
      </c>
      <c r="M398" t="s">
        <v>1201</v>
      </c>
      <c r="N398" t="s">
        <v>1355</v>
      </c>
      <c r="O398" t="s">
        <v>1359</v>
      </c>
      <c r="P398">
        <v>1</v>
      </c>
      <c r="Q398">
        <v>1</v>
      </c>
      <c r="R398">
        <v>0</v>
      </c>
      <c r="S398" t="s">
        <v>1355</v>
      </c>
      <c r="T398">
        <v>0</v>
      </c>
      <c r="U398">
        <v>0</v>
      </c>
      <c r="V398">
        <v>0</v>
      </c>
      <c r="W398" t="s">
        <v>1355</v>
      </c>
      <c r="X398" t="s">
        <v>1355</v>
      </c>
      <c r="Y398" t="s">
        <v>1355</v>
      </c>
      <c r="Z398">
        <v>0</v>
      </c>
      <c r="AA398">
        <v>0</v>
      </c>
      <c r="AB398">
        <v>0</v>
      </c>
      <c r="AC398" s="294">
        <v>41845</v>
      </c>
      <c r="AD398" s="294">
        <v>73050</v>
      </c>
      <c r="AE398" s="294">
        <v>41845</v>
      </c>
      <c r="AF398" t="s">
        <v>1358</v>
      </c>
      <c r="AG398">
        <v>0</v>
      </c>
      <c r="AH398" t="s">
        <v>2136</v>
      </c>
      <c r="AI398">
        <v>1</v>
      </c>
      <c r="AJ398">
        <v>1</v>
      </c>
      <c r="AK398">
        <v>0</v>
      </c>
      <c r="AL398">
        <v>1</v>
      </c>
      <c r="AM398" t="s">
        <v>1362</v>
      </c>
      <c r="AN398" t="s">
        <v>1357</v>
      </c>
      <c r="AO398">
        <v>420.5</v>
      </c>
      <c r="AP398">
        <v>1</v>
      </c>
      <c r="AQ398">
        <v>0</v>
      </c>
      <c r="AR398">
        <v>420.5</v>
      </c>
      <c r="AS398">
        <v>420.5</v>
      </c>
      <c r="AT398">
        <v>1</v>
      </c>
    </row>
    <row r="399" spans="1:46" hidden="1" x14ac:dyDescent="0.2">
      <c r="A399" t="s">
        <v>2137</v>
      </c>
      <c r="B399" t="s">
        <v>2138</v>
      </c>
      <c r="C399" t="s">
        <v>2137</v>
      </c>
      <c r="D399" t="s">
        <v>1355</v>
      </c>
      <c r="E399" t="s">
        <v>1356</v>
      </c>
      <c r="F399" t="s">
        <v>1357</v>
      </c>
      <c r="G399" t="s">
        <v>1355</v>
      </c>
      <c r="H399" t="s">
        <v>1367</v>
      </c>
      <c r="I399" t="s">
        <v>1201</v>
      </c>
      <c r="J399">
        <v>1</v>
      </c>
      <c r="K399">
        <v>10</v>
      </c>
      <c r="L399" t="s">
        <v>2137</v>
      </c>
      <c r="M399" t="s">
        <v>2137</v>
      </c>
      <c r="N399" t="s">
        <v>1355</v>
      </c>
      <c r="O399" t="s">
        <v>1359</v>
      </c>
      <c r="P399">
        <v>1</v>
      </c>
      <c r="Q399">
        <v>1</v>
      </c>
      <c r="R399">
        <v>0</v>
      </c>
      <c r="S399" t="s">
        <v>1355</v>
      </c>
      <c r="T399">
        <v>0</v>
      </c>
      <c r="U399">
        <v>0</v>
      </c>
      <c r="V399">
        <v>0</v>
      </c>
      <c r="W399" t="s">
        <v>1355</v>
      </c>
      <c r="X399" t="s">
        <v>1355</v>
      </c>
      <c r="Y399" t="s">
        <v>1355</v>
      </c>
      <c r="Z399">
        <v>0</v>
      </c>
      <c r="AA399">
        <v>0</v>
      </c>
      <c r="AB399">
        <v>0</v>
      </c>
      <c r="AC399" s="294">
        <v>41836</v>
      </c>
      <c r="AD399" s="294">
        <v>73050</v>
      </c>
      <c r="AE399" s="294">
        <v>41836</v>
      </c>
      <c r="AF399" t="s">
        <v>1367</v>
      </c>
      <c r="AG399">
        <v>0</v>
      </c>
      <c r="AH399" t="s">
        <v>2139</v>
      </c>
      <c r="AI399">
        <v>1</v>
      </c>
      <c r="AJ399">
        <v>1</v>
      </c>
      <c r="AK399">
        <v>0</v>
      </c>
      <c r="AL399">
        <v>1</v>
      </c>
      <c r="AM399" t="s">
        <v>1355</v>
      </c>
      <c r="AN399" t="s">
        <v>1357</v>
      </c>
      <c r="AO399">
        <v>238</v>
      </c>
      <c r="AP399">
        <v>2</v>
      </c>
      <c r="AQ399">
        <v>0</v>
      </c>
      <c r="AR399">
        <v>238</v>
      </c>
      <c r="AS399">
        <v>238</v>
      </c>
      <c r="AT399">
        <v>1</v>
      </c>
    </row>
    <row r="400" spans="1:46" hidden="1" x14ac:dyDescent="0.2">
      <c r="A400" t="s">
        <v>2140</v>
      </c>
      <c r="B400" t="s">
        <v>2141</v>
      </c>
      <c r="C400" t="s">
        <v>2140</v>
      </c>
      <c r="D400" t="s">
        <v>1355</v>
      </c>
      <c r="E400" t="s">
        <v>1356</v>
      </c>
      <c r="F400" t="s">
        <v>1357</v>
      </c>
      <c r="G400" t="s">
        <v>1355</v>
      </c>
      <c r="H400" t="s">
        <v>1367</v>
      </c>
      <c r="I400" t="s">
        <v>1201</v>
      </c>
      <c r="J400">
        <v>2</v>
      </c>
      <c r="K400">
        <v>20</v>
      </c>
      <c r="L400" t="s">
        <v>2140</v>
      </c>
      <c r="M400" t="s">
        <v>2140</v>
      </c>
      <c r="N400" t="s">
        <v>1355</v>
      </c>
      <c r="O400" t="s">
        <v>1359</v>
      </c>
      <c r="P400">
        <v>1</v>
      </c>
      <c r="Q400">
        <v>1</v>
      </c>
      <c r="R400">
        <v>0</v>
      </c>
      <c r="S400" t="s">
        <v>1355</v>
      </c>
      <c r="T400">
        <v>0</v>
      </c>
      <c r="U400">
        <v>0</v>
      </c>
      <c r="V400">
        <v>0</v>
      </c>
      <c r="W400" t="s">
        <v>1355</v>
      </c>
      <c r="X400" t="s">
        <v>1355</v>
      </c>
      <c r="Y400" t="s">
        <v>1355</v>
      </c>
      <c r="Z400">
        <v>0</v>
      </c>
      <c r="AA400">
        <v>0</v>
      </c>
      <c r="AB400">
        <v>0</v>
      </c>
      <c r="AC400" s="294">
        <v>41836</v>
      </c>
      <c r="AD400" s="294">
        <v>73050</v>
      </c>
      <c r="AE400" s="294">
        <v>41836</v>
      </c>
      <c r="AF400" t="s">
        <v>1367</v>
      </c>
      <c r="AG400">
        <v>0</v>
      </c>
      <c r="AH400" t="s">
        <v>2142</v>
      </c>
      <c r="AI400">
        <v>1</v>
      </c>
      <c r="AJ400">
        <v>1</v>
      </c>
      <c r="AK400">
        <v>0</v>
      </c>
      <c r="AL400">
        <v>1</v>
      </c>
      <c r="AM400" t="s">
        <v>1355</v>
      </c>
      <c r="AN400" t="s">
        <v>1357</v>
      </c>
      <c r="AO400">
        <v>50</v>
      </c>
      <c r="AP400">
        <v>2</v>
      </c>
      <c r="AQ400">
        <v>0</v>
      </c>
      <c r="AR400">
        <v>50</v>
      </c>
      <c r="AS400">
        <v>50</v>
      </c>
      <c r="AT400">
        <v>1</v>
      </c>
    </row>
    <row r="401" spans="1:46" hidden="1" x14ac:dyDescent="0.2">
      <c r="A401" t="s">
        <v>2143</v>
      </c>
      <c r="B401" t="s">
        <v>2144</v>
      </c>
      <c r="C401" t="s">
        <v>2143</v>
      </c>
      <c r="D401" t="s">
        <v>1355</v>
      </c>
      <c r="E401" t="s">
        <v>1356</v>
      </c>
      <c r="F401" t="s">
        <v>1357</v>
      </c>
      <c r="G401" t="s">
        <v>1355</v>
      </c>
      <c r="H401" t="s">
        <v>1367</v>
      </c>
      <c r="I401" t="s">
        <v>1201</v>
      </c>
      <c r="J401">
        <v>3</v>
      </c>
      <c r="K401">
        <v>30</v>
      </c>
      <c r="L401" t="s">
        <v>2143</v>
      </c>
      <c r="M401" t="s">
        <v>2143</v>
      </c>
      <c r="N401" t="s">
        <v>1355</v>
      </c>
      <c r="O401" t="s">
        <v>1359</v>
      </c>
      <c r="P401">
        <v>1</v>
      </c>
      <c r="Q401">
        <v>1</v>
      </c>
      <c r="R401">
        <v>0</v>
      </c>
      <c r="S401" t="s">
        <v>1355</v>
      </c>
      <c r="T401">
        <v>0</v>
      </c>
      <c r="U401">
        <v>0</v>
      </c>
      <c r="V401">
        <v>0</v>
      </c>
      <c r="W401" t="s">
        <v>1355</v>
      </c>
      <c r="X401" t="s">
        <v>1355</v>
      </c>
      <c r="Y401" t="s">
        <v>1355</v>
      </c>
      <c r="Z401">
        <v>0</v>
      </c>
      <c r="AA401">
        <v>0</v>
      </c>
      <c r="AB401">
        <v>0</v>
      </c>
      <c r="AC401" s="294">
        <v>41836</v>
      </c>
      <c r="AD401" s="294">
        <v>73050</v>
      </c>
      <c r="AE401" s="294">
        <v>41836</v>
      </c>
      <c r="AF401" t="s">
        <v>1367</v>
      </c>
      <c r="AG401">
        <v>0</v>
      </c>
      <c r="AH401" t="s">
        <v>2145</v>
      </c>
      <c r="AI401">
        <v>1</v>
      </c>
      <c r="AJ401">
        <v>1</v>
      </c>
      <c r="AK401">
        <v>0</v>
      </c>
      <c r="AL401">
        <v>1</v>
      </c>
      <c r="AM401" t="s">
        <v>1355</v>
      </c>
      <c r="AN401" t="s">
        <v>1357</v>
      </c>
      <c r="AO401">
        <v>100</v>
      </c>
      <c r="AP401">
        <v>2</v>
      </c>
      <c r="AQ401">
        <v>0</v>
      </c>
      <c r="AR401">
        <v>100</v>
      </c>
      <c r="AS401">
        <v>100</v>
      </c>
      <c r="AT401">
        <v>1</v>
      </c>
    </row>
    <row r="402" spans="1:46" hidden="1" x14ac:dyDescent="0.2">
      <c r="A402" t="s">
        <v>2146</v>
      </c>
      <c r="B402" t="s">
        <v>2147</v>
      </c>
      <c r="C402" t="s">
        <v>2146</v>
      </c>
      <c r="D402" t="s">
        <v>1355</v>
      </c>
      <c r="E402" t="s">
        <v>1356</v>
      </c>
      <c r="F402" t="s">
        <v>1357</v>
      </c>
      <c r="G402" t="s">
        <v>1355</v>
      </c>
      <c r="H402" t="s">
        <v>1367</v>
      </c>
      <c r="I402" t="s">
        <v>1201</v>
      </c>
      <c r="J402">
        <v>4</v>
      </c>
      <c r="K402">
        <v>40</v>
      </c>
      <c r="L402" t="s">
        <v>2146</v>
      </c>
      <c r="M402" t="s">
        <v>2146</v>
      </c>
      <c r="N402" t="s">
        <v>1355</v>
      </c>
      <c r="O402" t="s">
        <v>1359</v>
      </c>
      <c r="P402">
        <v>1</v>
      </c>
      <c r="Q402">
        <v>1</v>
      </c>
      <c r="R402">
        <v>0</v>
      </c>
      <c r="S402" t="s">
        <v>1355</v>
      </c>
      <c r="T402">
        <v>0</v>
      </c>
      <c r="U402">
        <v>0</v>
      </c>
      <c r="V402">
        <v>0</v>
      </c>
      <c r="W402" t="s">
        <v>1355</v>
      </c>
      <c r="X402" t="s">
        <v>1355</v>
      </c>
      <c r="Y402" t="s">
        <v>1355</v>
      </c>
      <c r="Z402">
        <v>0</v>
      </c>
      <c r="AA402">
        <v>0</v>
      </c>
      <c r="AB402">
        <v>0</v>
      </c>
      <c r="AC402" s="294">
        <v>41836</v>
      </c>
      <c r="AD402" s="294">
        <v>73050</v>
      </c>
      <c r="AE402" s="294">
        <v>41836</v>
      </c>
      <c r="AF402" t="s">
        <v>1367</v>
      </c>
      <c r="AG402">
        <v>0</v>
      </c>
      <c r="AH402" t="s">
        <v>2148</v>
      </c>
      <c r="AI402">
        <v>1</v>
      </c>
      <c r="AJ402">
        <v>1</v>
      </c>
      <c r="AK402">
        <v>0</v>
      </c>
      <c r="AL402">
        <v>1</v>
      </c>
      <c r="AM402" t="s">
        <v>1355</v>
      </c>
      <c r="AN402" t="s">
        <v>1357</v>
      </c>
      <c r="AO402">
        <v>30</v>
      </c>
      <c r="AP402">
        <v>2</v>
      </c>
      <c r="AQ402">
        <v>0</v>
      </c>
      <c r="AR402">
        <v>30</v>
      </c>
      <c r="AS402">
        <v>30</v>
      </c>
      <c r="AT402">
        <v>1</v>
      </c>
    </row>
    <row r="403" spans="1:46" hidden="1" x14ac:dyDescent="0.2">
      <c r="A403" t="s">
        <v>2149</v>
      </c>
      <c r="B403" t="s">
        <v>2150</v>
      </c>
      <c r="C403" t="s">
        <v>2149</v>
      </c>
      <c r="D403" t="s">
        <v>1355</v>
      </c>
      <c r="E403" t="s">
        <v>1356</v>
      </c>
      <c r="F403" t="s">
        <v>1357</v>
      </c>
      <c r="G403" t="s">
        <v>1355</v>
      </c>
      <c r="H403" t="s">
        <v>1367</v>
      </c>
      <c r="I403" t="s">
        <v>1201</v>
      </c>
      <c r="J403">
        <v>5</v>
      </c>
      <c r="K403">
        <v>50</v>
      </c>
      <c r="L403" t="s">
        <v>2149</v>
      </c>
      <c r="M403" t="s">
        <v>2149</v>
      </c>
      <c r="N403" t="s">
        <v>1355</v>
      </c>
      <c r="O403" t="s">
        <v>1359</v>
      </c>
      <c r="P403">
        <v>1</v>
      </c>
      <c r="Q403">
        <v>1</v>
      </c>
      <c r="R403">
        <v>0</v>
      </c>
      <c r="S403" t="s">
        <v>1355</v>
      </c>
      <c r="T403">
        <v>0</v>
      </c>
      <c r="U403">
        <v>0</v>
      </c>
      <c r="V403">
        <v>0</v>
      </c>
      <c r="W403" t="s">
        <v>1355</v>
      </c>
      <c r="X403" t="s">
        <v>1355</v>
      </c>
      <c r="Y403" t="s">
        <v>1355</v>
      </c>
      <c r="Z403">
        <v>0</v>
      </c>
      <c r="AA403">
        <v>0</v>
      </c>
      <c r="AB403">
        <v>0</v>
      </c>
      <c r="AC403" s="294">
        <v>41836</v>
      </c>
      <c r="AD403" s="294">
        <v>73050</v>
      </c>
      <c r="AE403" s="294">
        <v>41836</v>
      </c>
      <c r="AF403" t="s">
        <v>1367</v>
      </c>
      <c r="AG403">
        <v>0</v>
      </c>
      <c r="AH403" t="s">
        <v>2151</v>
      </c>
      <c r="AI403">
        <v>1</v>
      </c>
      <c r="AJ403">
        <v>1</v>
      </c>
      <c r="AK403">
        <v>0</v>
      </c>
      <c r="AL403">
        <v>1</v>
      </c>
      <c r="AM403" t="s">
        <v>1355</v>
      </c>
      <c r="AN403" t="s">
        <v>1357</v>
      </c>
      <c r="AO403">
        <v>2.5</v>
      </c>
      <c r="AP403">
        <v>2</v>
      </c>
      <c r="AQ403">
        <v>0</v>
      </c>
      <c r="AR403">
        <v>2.5</v>
      </c>
      <c r="AS403">
        <v>2.5</v>
      </c>
      <c r="AT403">
        <v>1</v>
      </c>
    </row>
    <row r="404" spans="1:46" x14ac:dyDescent="0.2">
      <c r="A404" t="s">
        <v>1295</v>
      </c>
      <c r="B404" t="s">
        <v>2152</v>
      </c>
      <c r="C404" t="s">
        <v>1295</v>
      </c>
      <c r="D404" t="s">
        <v>1355</v>
      </c>
      <c r="E404" t="s">
        <v>1356</v>
      </c>
      <c r="F404" t="s">
        <v>1357</v>
      </c>
      <c r="G404" t="s">
        <v>1355</v>
      </c>
      <c r="H404" t="s">
        <v>1358</v>
      </c>
      <c r="I404" t="s">
        <v>1353</v>
      </c>
      <c r="J404">
        <v>72</v>
      </c>
      <c r="K404">
        <v>600</v>
      </c>
      <c r="L404" t="s">
        <v>1295</v>
      </c>
      <c r="M404" t="s">
        <v>1295</v>
      </c>
      <c r="N404" t="s">
        <v>1355</v>
      </c>
      <c r="O404" t="s">
        <v>1359</v>
      </c>
      <c r="P404">
        <v>1</v>
      </c>
      <c r="Q404">
        <v>1</v>
      </c>
      <c r="R404">
        <v>0</v>
      </c>
      <c r="S404" t="s">
        <v>1355</v>
      </c>
      <c r="T404">
        <v>0</v>
      </c>
      <c r="U404">
        <v>0</v>
      </c>
      <c r="V404">
        <v>0</v>
      </c>
      <c r="W404" t="s">
        <v>1355</v>
      </c>
      <c r="X404" t="s">
        <v>1355</v>
      </c>
      <c r="Y404" t="s">
        <v>1355</v>
      </c>
      <c r="Z404">
        <v>0</v>
      </c>
      <c r="AA404">
        <v>0</v>
      </c>
      <c r="AB404">
        <v>0</v>
      </c>
      <c r="AC404" s="294">
        <v>41845</v>
      </c>
      <c r="AD404" s="294">
        <v>73050</v>
      </c>
      <c r="AE404" s="294">
        <v>41845</v>
      </c>
      <c r="AF404" t="s">
        <v>1358</v>
      </c>
      <c r="AG404">
        <v>0</v>
      </c>
      <c r="AH404" t="s">
        <v>2153</v>
      </c>
      <c r="AI404">
        <v>1</v>
      </c>
      <c r="AJ404">
        <v>1</v>
      </c>
      <c r="AK404">
        <v>0</v>
      </c>
      <c r="AL404">
        <v>1</v>
      </c>
      <c r="AM404" t="s">
        <v>1362</v>
      </c>
      <c r="AN404" t="s">
        <v>1357</v>
      </c>
      <c r="AO404">
        <v>27.429849999999998</v>
      </c>
      <c r="AP404">
        <v>1</v>
      </c>
      <c r="AQ404">
        <v>0</v>
      </c>
      <c r="AR404">
        <v>27.387920000000001</v>
      </c>
      <c r="AS404">
        <v>27.429849999999998</v>
      </c>
      <c r="AT404">
        <v>1</v>
      </c>
    </row>
    <row r="405" spans="1:46" hidden="1" x14ac:dyDescent="0.2">
      <c r="A405" t="s">
        <v>2154</v>
      </c>
      <c r="B405" t="s">
        <v>2155</v>
      </c>
      <c r="C405" t="s">
        <v>2154</v>
      </c>
      <c r="D405" t="s">
        <v>1355</v>
      </c>
      <c r="E405" t="s">
        <v>1356</v>
      </c>
      <c r="F405" t="s">
        <v>1357</v>
      </c>
      <c r="G405" t="s">
        <v>1355</v>
      </c>
      <c r="H405" t="s">
        <v>1367</v>
      </c>
      <c r="I405" t="s">
        <v>1295</v>
      </c>
      <c r="J405">
        <v>1</v>
      </c>
      <c r="K405">
        <v>10</v>
      </c>
      <c r="L405" t="s">
        <v>2154</v>
      </c>
      <c r="M405" t="s">
        <v>2154</v>
      </c>
      <c r="N405" t="s">
        <v>1355</v>
      </c>
      <c r="O405" t="s">
        <v>1359</v>
      </c>
      <c r="P405">
        <v>1</v>
      </c>
      <c r="Q405">
        <v>1</v>
      </c>
      <c r="R405">
        <v>0</v>
      </c>
      <c r="S405" t="s">
        <v>1355</v>
      </c>
      <c r="T405">
        <v>0</v>
      </c>
      <c r="U405">
        <v>0</v>
      </c>
      <c r="V405">
        <v>0</v>
      </c>
      <c r="W405" t="s">
        <v>1355</v>
      </c>
      <c r="X405" t="s">
        <v>1355</v>
      </c>
      <c r="Y405" t="s">
        <v>1355</v>
      </c>
      <c r="Z405">
        <v>0</v>
      </c>
      <c r="AA405">
        <v>0</v>
      </c>
      <c r="AB405">
        <v>0</v>
      </c>
      <c r="AC405" s="294">
        <v>41844</v>
      </c>
      <c r="AD405" s="294">
        <v>73050</v>
      </c>
      <c r="AE405" s="294">
        <v>41844</v>
      </c>
      <c r="AF405" t="s">
        <v>1367</v>
      </c>
      <c r="AG405">
        <v>0</v>
      </c>
      <c r="AH405" t="s">
        <v>2156</v>
      </c>
      <c r="AI405">
        <v>1</v>
      </c>
      <c r="AJ405">
        <v>1</v>
      </c>
      <c r="AK405">
        <v>0</v>
      </c>
      <c r="AL405">
        <v>1</v>
      </c>
      <c r="AM405" t="s">
        <v>1355</v>
      </c>
      <c r="AN405" t="s">
        <v>1357</v>
      </c>
      <c r="AO405">
        <v>19.649999999999999</v>
      </c>
      <c r="AP405">
        <v>2</v>
      </c>
      <c r="AQ405">
        <v>0</v>
      </c>
      <c r="AR405">
        <v>19.649999999999999</v>
      </c>
      <c r="AS405">
        <v>19.649999999999999</v>
      </c>
      <c r="AT405">
        <v>1</v>
      </c>
    </row>
    <row r="406" spans="1:46" hidden="1" x14ac:dyDescent="0.2">
      <c r="A406" t="s">
        <v>1499</v>
      </c>
      <c r="B406" t="s">
        <v>1500</v>
      </c>
      <c r="C406" t="s">
        <v>1499</v>
      </c>
      <c r="D406" t="s">
        <v>1355</v>
      </c>
      <c r="E406" t="s">
        <v>1356</v>
      </c>
      <c r="F406" t="s">
        <v>1357</v>
      </c>
      <c r="G406" t="s">
        <v>1355</v>
      </c>
      <c r="H406" t="s">
        <v>1367</v>
      </c>
      <c r="I406" t="s">
        <v>1295</v>
      </c>
      <c r="J406">
        <v>2</v>
      </c>
      <c r="K406">
        <v>20</v>
      </c>
      <c r="L406" t="s">
        <v>1499</v>
      </c>
      <c r="M406" t="s">
        <v>1499</v>
      </c>
      <c r="N406" t="s">
        <v>1355</v>
      </c>
      <c r="O406" t="s">
        <v>1359</v>
      </c>
      <c r="P406">
        <v>1</v>
      </c>
      <c r="Q406">
        <v>1</v>
      </c>
      <c r="R406">
        <v>0</v>
      </c>
      <c r="S406" t="s">
        <v>1355</v>
      </c>
      <c r="T406">
        <v>0</v>
      </c>
      <c r="U406">
        <v>0</v>
      </c>
      <c r="V406">
        <v>0</v>
      </c>
      <c r="W406" t="s">
        <v>1355</v>
      </c>
      <c r="X406" t="s">
        <v>1355</v>
      </c>
      <c r="Y406" t="s">
        <v>1355</v>
      </c>
      <c r="Z406">
        <v>0</v>
      </c>
      <c r="AA406">
        <v>0</v>
      </c>
      <c r="AB406">
        <v>0</v>
      </c>
      <c r="AC406" s="294">
        <v>41844</v>
      </c>
      <c r="AD406" s="294">
        <v>73050</v>
      </c>
      <c r="AE406" s="294">
        <v>41844</v>
      </c>
      <c r="AF406" t="s">
        <v>1367</v>
      </c>
      <c r="AG406">
        <v>0</v>
      </c>
      <c r="AH406" t="s">
        <v>2157</v>
      </c>
      <c r="AI406">
        <v>1</v>
      </c>
      <c r="AJ406">
        <v>1</v>
      </c>
      <c r="AK406">
        <v>0</v>
      </c>
      <c r="AL406">
        <v>1</v>
      </c>
      <c r="AM406" t="s">
        <v>1355</v>
      </c>
      <c r="AN406" t="s">
        <v>1357</v>
      </c>
      <c r="AO406">
        <v>0.77759999999999996</v>
      </c>
      <c r="AP406">
        <v>2</v>
      </c>
      <c r="AQ406">
        <v>0</v>
      </c>
      <c r="AR406">
        <v>0.77095999999999998</v>
      </c>
      <c r="AS406">
        <v>0.77759999999999996</v>
      </c>
      <c r="AT406">
        <v>1</v>
      </c>
    </row>
    <row r="407" spans="1:46" hidden="1" x14ac:dyDescent="0.2">
      <c r="A407" t="s">
        <v>1671</v>
      </c>
      <c r="B407" t="s">
        <v>1672</v>
      </c>
      <c r="C407" t="s">
        <v>1671</v>
      </c>
      <c r="D407" t="s">
        <v>1355</v>
      </c>
      <c r="E407" t="s">
        <v>1356</v>
      </c>
      <c r="F407" t="s">
        <v>1357</v>
      </c>
      <c r="G407" t="s">
        <v>1355</v>
      </c>
      <c r="H407" t="s">
        <v>1367</v>
      </c>
      <c r="I407" t="s">
        <v>1295</v>
      </c>
      <c r="J407">
        <v>3</v>
      </c>
      <c r="K407">
        <v>30</v>
      </c>
      <c r="L407" t="s">
        <v>1671</v>
      </c>
      <c r="M407" t="s">
        <v>1671</v>
      </c>
      <c r="N407" t="s">
        <v>1355</v>
      </c>
      <c r="O407" t="s">
        <v>1359</v>
      </c>
      <c r="P407">
        <v>1</v>
      </c>
      <c r="Q407">
        <v>1</v>
      </c>
      <c r="R407">
        <v>0</v>
      </c>
      <c r="S407" t="s">
        <v>1355</v>
      </c>
      <c r="T407">
        <v>0</v>
      </c>
      <c r="U407">
        <v>0</v>
      </c>
      <c r="V407">
        <v>0</v>
      </c>
      <c r="W407" t="s">
        <v>1355</v>
      </c>
      <c r="X407" t="s">
        <v>1355</v>
      </c>
      <c r="Y407" t="s">
        <v>1355</v>
      </c>
      <c r="Z407">
        <v>0</v>
      </c>
      <c r="AA407">
        <v>0</v>
      </c>
      <c r="AB407">
        <v>0</v>
      </c>
      <c r="AC407" s="294">
        <v>41844</v>
      </c>
      <c r="AD407" s="294">
        <v>73050</v>
      </c>
      <c r="AE407" s="294">
        <v>41844</v>
      </c>
      <c r="AF407" t="s">
        <v>1367</v>
      </c>
      <c r="AG407">
        <v>0</v>
      </c>
      <c r="AH407" t="s">
        <v>2158</v>
      </c>
      <c r="AI407">
        <v>1</v>
      </c>
      <c r="AJ407">
        <v>1</v>
      </c>
      <c r="AK407">
        <v>0</v>
      </c>
      <c r="AL407">
        <v>1</v>
      </c>
      <c r="AM407" t="s">
        <v>1355</v>
      </c>
      <c r="AN407" t="s">
        <v>1357</v>
      </c>
      <c r="AO407">
        <v>1.6452500000000001</v>
      </c>
      <c r="AP407">
        <v>2</v>
      </c>
      <c r="AQ407">
        <v>0</v>
      </c>
      <c r="AR407">
        <v>1.63103</v>
      </c>
      <c r="AS407">
        <v>1.6452500000000001</v>
      </c>
      <c r="AT407">
        <v>1</v>
      </c>
    </row>
    <row r="408" spans="1:46" hidden="1" x14ac:dyDescent="0.2">
      <c r="A408" t="s">
        <v>1674</v>
      </c>
      <c r="B408" t="s">
        <v>1675</v>
      </c>
      <c r="C408" t="s">
        <v>1674</v>
      </c>
      <c r="D408" t="s">
        <v>1355</v>
      </c>
      <c r="E408" t="s">
        <v>1356</v>
      </c>
      <c r="F408" t="s">
        <v>1357</v>
      </c>
      <c r="G408" t="s">
        <v>1355</v>
      </c>
      <c r="H408" t="s">
        <v>1367</v>
      </c>
      <c r="I408" t="s">
        <v>1295</v>
      </c>
      <c r="J408">
        <v>4</v>
      </c>
      <c r="K408">
        <v>40</v>
      </c>
      <c r="L408" t="s">
        <v>1674</v>
      </c>
      <c r="M408" t="s">
        <v>1674</v>
      </c>
      <c r="N408" t="s">
        <v>1355</v>
      </c>
      <c r="O408" t="s">
        <v>1359</v>
      </c>
      <c r="P408">
        <v>1</v>
      </c>
      <c r="Q408">
        <v>1</v>
      </c>
      <c r="R408">
        <v>0</v>
      </c>
      <c r="S408" t="s">
        <v>1355</v>
      </c>
      <c r="T408">
        <v>0</v>
      </c>
      <c r="U408">
        <v>0</v>
      </c>
      <c r="V408">
        <v>0</v>
      </c>
      <c r="W408" t="s">
        <v>1355</v>
      </c>
      <c r="X408" t="s">
        <v>1355</v>
      </c>
      <c r="Y408" t="s">
        <v>1355</v>
      </c>
      <c r="Z408">
        <v>0</v>
      </c>
      <c r="AA408">
        <v>0</v>
      </c>
      <c r="AB408">
        <v>0</v>
      </c>
      <c r="AC408" s="294">
        <v>41844</v>
      </c>
      <c r="AD408" s="294">
        <v>73050</v>
      </c>
      <c r="AE408" s="294">
        <v>41844</v>
      </c>
      <c r="AF408" t="s">
        <v>1367</v>
      </c>
      <c r="AG408">
        <v>0</v>
      </c>
      <c r="AH408" t="s">
        <v>2159</v>
      </c>
      <c r="AI408">
        <v>1</v>
      </c>
      <c r="AJ408">
        <v>1</v>
      </c>
      <c r="AK408">
        <v>0</v>
      </c>
      <c r="AL408">
        <v>1</v>
      </c>
      <c r="AM408" t="s">
        <v>1355</v>
      </c>
      <c r="AN408" t="s">
        <v>1357</v>
      </c>
      <c r="AO408">
        <v>2.5670000000000002</v>
      </c>
      <c r="AP408">
        <v>2</v>
      </c>
      <c r="AQ408">
        <v>0</v>
      </c>
      <c r="AR408">
        <v>2.5670000000000002</v>
      </c>
      <c r="AS408">
        <v>2.5670000000000002</v>
      </c>
      <c r="AT408">
        <v>1</v>
      </c>
    </row>
    <row r="409" spans="1:46" hidden="1" x14ac:dyDescent="0.2">
      <c r="A409" t="s">
        <v>1665</v>
      </c>
      <c r="B409" t="s">
        <v>1666</v>
      </c>
      <c r="C409" t="s">
        <v>1665</v>
      </c>
      <c r="D409" t="s">
        <v>1355</v>
      </c>
      <c r="E409" t="s">
        <v>1356</v>
      </c>
      <c r="F409" t="s">
        <v>1357</v>
      </c>
      <c r="G409" t="s">
        <v>1355</v>
      </c>
      <c r="H409" t="s">
        <v>1367</v>
      </c>
      <c r="I409" t="s">
        <v>1295</v>
      </c>
      <c r="J409">
        <v>5</v>
      </c>
      <c r="K409">
        <v>50</v>
      </c>
      <c r="L409" t="s">
        <v>1665</v>
      </c>
      <c r="M409" t="s">
        <v>1665</v>
      </c>
      <c r="N409" t="s">
        <v>1355</v>
      </c>
      <c r="O409" t="s">
        <v>1359</v>
      </c>
      <c r="P409">
        <v>1</v>
      </c>
      <c r="Q409">
        <v>1</v>
      </c>
      <c r="R409">
        <v>0</v>
      </c>
      <c r="S409" t="s">
        <v>1355</v>
      </c>
      <c r="T409">
        <v>0</v>
      </c>
      <c r="U409">
        <v>0</v>
      </c>
      <c r="V409">
        <v>0</v>
      </c>
      <c r="W409" t="s">
        <v>1355</v>
      </c>
      <c r="X409" t="s">
        <v>1355</v>
      </c>
      <c r="Y409" t="s">
        <v>1355</v>
      </c>
      <c r="Z409">
        <v>0</v>
      </c>
      <c r="AA409">
        <v>0</v>
      </c>
      <c r="AB409">
        <v>0</v>
      </c>
      <c r="AC409" s="294">
        <v>41844</v>
      </c>
      <c r="AD409" s="294">
        <v>73050</v>
      </c>
      <c r="AE409" s="294">
        <v>41844</v>
      </c>
      <c r="AF409" t="s">
        <v>1367</v>
      </c>
      <c r="AG409">
        <v>0</v>
      </c>
      <c r="AH409" t="s">
        <v>2160</v>
      </c>
      <c r="AI409">
        <v>1</v>
      </c>
      <c r="AJ409">
        <v>1</v>
      </c>
      <c r="AK409">
        <v>0</v>
      </c>
      <c r="AL409">
        <v>1</v>
      </c>
      <c r="AM409" t="s">
        <v>1355</v>
      </c>
      <c r="AN409" t="s">
        <v>1357</v>
      </c>
      <c r="AO409">
        <v>2.79</v>
      </c>
      <c r="AP409">
        <v>2</v>
      </c>
      <c r="AQ409">
        <v>0</v>
      </c>
      <c r="AR409">
        <v>2.7689300000000001</v>
      </c>
      <c r="AS409">
        <v>2.79</v>
      </c>
      <c r="AT409">
        <v>1</v>
      </c>
    </row>
    <row r="410" spans="1:46" x14ac:dyDescent="0.2">
      <c r="A410" t="s">
        <v>1263</v>
      </c>
      <c r="B410" t="s">
        <v>2161</v>
      </c>
      <c r="C410" t="s">
        <v>1263</v>
      </c>
      <c r="D410" t="s">
        <v>1355</v>
      </c>
      <c r="E410" t="s">
        <v>1356</v>
      </c>
      <c r="F410" t="s">
        <v>1357</v>
      </c>
      <c r="G410" t="s">
        <v>1355</v>
      </c>
      <c r="H410" t="s">
        <v>1358</v>
      </c>
      <c r="I410" t="s">
        <v>1353</v>
      </c>
      <c r="J410">
        <v>73</v>
      </c>
      <c r="K410">
        <v>610</v>
      </c>
      <c r="L410" t="s">
        <v>1263</v>
      </c>
      <c r="M410" t="s">
        <v>1263</v>
      </c>
      <c r="N410" t="s">
        <v>1355</v>
      </c>
      <c r="O410" t="s">
        <v>1359</v>
      </c>
      <c r="P410">
        <v>1</v>
      </c>
      <c r="Q410">
        <v>1</v>
      </c>
      <c r="R410">
        <v>0</v>
      </c>
      <c r="S410" t="s">
        <v>1355</v>
      </c>
      <c r="T410">
        <v>0</v>
      </c>
      <c r="U410">
        <v>0</v>
      </c>
      <c r="V410">
        <v>0</v>
      </c>
      <c r="W410" t="s">
        <v>1355</v>
      </c>
      <c r="X410" t="s">
        <v>1355</v>
      </c>
      <c r="Y410" t="s">
        <v>1355</v>
      </c>
      <c r="Z410">
        <v>0</v>
      </c>
      <c r="AA410">
        <v>0</v>
      </c>
      <c r="AB410">
        <v>0</v>
      </c>
      <c r="AC410" s="294">
        <v>41845</v>
      </c>
      <c r="AD410" s="294">
        <v>73050</v>
      </c>
      <c r="AE410" s="294">
        <v>41845</v>
      </c>
      <c r="AF410" t="s">
        <v>1358</v>
      </c>
      <c r="AG410">
        <v>0</v>
      </c>
      <c r="AH410" t="s">
        <v>2162</v>
      </c>
      <c r="AI410">
        <v>1</v>
      </c>
      <c r="AJ410">
        <v>1</v>
      </c>
      <c r="AK410">
        <v>0</v>
      </c>
      <c r="AL410">
        <v>1</v>
      </c>
      <c r="AM410" t="s">
        <v>1362</v>
      </c>
      <c r="AN410" t="s">
        <v>1357</v>
      </c>
      <c r="AO410">
        <v>147.35429999999999</v>
      </c>
      <c r="AP410">
        <v>1</v>
      </c>
      <c r="AQ410">
        <v>0</v>
      </c>
      <c r="AR410">
        <v>147.22957</v>
      </c>
      <c r="AS410">
        <v>147.35429999999999</v>
      </c>
      <c r="AT410">
        <v>1</v>
      </c>
    </row>
    <row r="411" spans="1:46" hidden="1" x14ac:dyDescent="0.2">
      <c r="A411" t="s">
        <v>2163</v>
      </c>
      <c r="B411" t="s">
        <v>2164</v>
      </c>
      <c r="C411" t="s">
        <v>2163</v>
      </c>
      <c r="D411" t="s">
        <v>1355</v>
      </c>
      <c r="E411" t="s">
        <v>1356</v>
      </c>
      <c r="F411" t="s">
        <v>1357</v>
      </c>
      <c r="G411" t="s">
        <v>1355</v>
      </c>
      <c r="H411" t="s">
        <v>1367</v>
      </c>
      <c r="I411" t="s">
        <v>1263</v>
      </c>
      <c r="J411">
        <v>1</v>
      </c>
      <c r="K411">
        <v>10</v>
      </c>
      <c r="L411" t="s">
        <v>2163</v>
      </c>
      <c r="M411" t="s">
        <v>2163</v>
      </c>
      <c r="N411" t="s">
        <v>1355</v>
      </c>
      <c r="O411" t="s">
        <v>1359</v>
      </c>
      <c r="P411">
        <v>1</v>
      </c>
      <c r="Q411">
        <v>1</v>
      </c>
      <c r="R411">
        <v>0</v>
      </c>
      <c r="S411" t="s">
        <v>1355</v>
      </c>
      <c r="T411">
        <v>0</v>
      </c>
      <c r="U411">
        <v>0</v>
      </c>
      <c r="V411">
        <v>0</v>
      </c>
      <c r="W411" t="s">
        <v>1355</v>
      </c>
      <c r="X411" t="s">
        <v>1355</v>
      </c>
      <c r="Y411" t="s">
        <v>1355</v>
      </c>
      <c r="Z411">
        <v>0</v>
      </c>
      <c r="AA411">
        <v>0</v>
      </c>
      <c r="AB411">
        <v>0</v>
      </c>
      <c r="AC411" s="294">
        <v>41835</v>
      </c>
      <c r="AD411" s="294">
        <v>73050</v>
      </c>
      <c r="AE411" s="294">
        <v>41835</v>
      </c>
      <c r="AF411" t="s">
        <v>1367</v>
      </c>
      <c r="AG411">
        <v>0</v>
      </c>
      <c r="AH411" t="s">
        <v>2165</v>
      </c>
      <c r="AI411">
        <v>1</v>
      </c>
      <c r="AJ411">
        <v>1</v>
      </c>
      <c r="AK411">
        <v>0</v>
      </c>
      <c r="AL411">
        <v>1</v>
      </c>
      <c r="AM411" t="s">
        <v>1355</v>
      </c>
      <c r="AN411" t="s">
        <v>1357</v>
      </c>
      <c r="AO411">
        <v>18.41</v>
      </c>
      <c r="AP411">
        <v>2</v>
      </c>
      <c r="AQ411">
        <v>0</v>
      </c>
      <c r="AR411">
        <v>18.41</v>
      </c>
      <c r="AS411">
        <v>18.41</v>
      </c>
      <c r="AT411">
        <v>1</v>
      </c>
    </row>
    <row r="412" spans="1:46" hidden="1" x14ac:dyDescent="0.2">
      <c r="A412" t="s">
        <v>1499</v>
      </c>
      <c r="B412" t="s">
        <v>1500</v>
      </c>
      <c r="C412" t="s">
        <v>1499</v>
      </c>
      <c r="D412" t="s">
        <v>1355</v>
      </c>
      <c r="E412" t="s">
        <v>1356</v>
      </c>
      <c r="F412" t="s">
        <v>1357</v>
      </c>
      <c r="G412" t="s">
        <v>1355</v>
      </c>
      <c r="H412" t="s">
        <v>1367</v>
      </c>
      <c r="I412" t="s">
        <v>1263</v>
      </c>
      <c r="J412">
        <v>2</v>
      </c>
      <c r="K412">
        <v>20</v>
      </c>
      <c r="L412" t="s">
        <v>1499</v>
      </c>
      <c r="M412" t="s">
        <v>1499</v>
      </c>
      <c r="N412" t="s">
        <v>1355</v>
      </c>
      <c r="O412" t="s">
        <v>1359</v>
      </c>
      <c r="P412">
        <v>1</v>
      </c>
      <c r="Q412">
        <v>1</v>
      </c>
      <c r="R412">
        <v>0</v>
      </c>
      <c r="S412" t="s">
        <v>1355</v>
      </c>
      <c r="T412">
        <v>0</v>
      </c>
      <c r="U412">
        <v>0</v>
      </c>
      <c r="V412">
        <v>0</v>
      </c>
      <c r="W412" t="s">
        <v>1355</v>
      </c>
      <c r="X412" t="s">
        <v>1355</v>
      </c>
      <c r="Y412" t="s">
        <v>1355</v>
      </c>
      <c r="Z412">
        <v>0</v>
      </c>
      <c r="AA412">
        <v>0</v>
      </c>
      <c r="AB412">
        <v>0</v>
      </c>
      <c r="AC412" s="294">
        <v>41835</v>
      </c>
      <c r="AD412" s="294">
        <v>73050</v>
      </c>
      <c r="AE412" s="294">
        <v>41835</v>
      </c>
      <c r="AF412" t="s">
        <v>1367</v>
      </c>
      <c r="AG412">
        <v>0</v>
      </c>
      <c r="AH412" t="s">
        <v>2166</v>
      </c>
      <c r="AI412">
        <v>1</v>
      </c>
      <c r="AJ412">
        <v>1</v>
      </c>
      <c r="AK412">
        <v>0</v>
      </c>
      <c r="AL412">
        <v>1</v>
      </c>
      <c r="AM412" t="s">
        <v>1355</v>
      </c>
      <c r="AN412" t="s">
        <v>1357</v>
      </c>
      <c r="AO412">
        <v>0.77759999999999996</v>
      </c>
      <c r="AP412">
        <v>2</v>
      </c>
      <c r="AQ412">
        <v>0</v>
      </c>
      <c r="AR412">
        <v>0.77095999999999998</v>
      </c>
      <c r="AS412">
        <v>0.77759999999999996</v>
      </c>
      <c r="AT412">
        <v>1</v>
      </c>
    </row>
    <row r="413" spans="1:46" hidden="1" x14ac:dyDescent="0.2">
      <c r="A413" t="s">
        <v>1671</v>
      </c>
      <c r="B413" t="s">
        <v>1672</v>
      </c>
      <c r="C413" t="s">
        <v>1671</v>
      </c>
      <c r="D413" t="s">
        <v>1355</v>
      </c>
      <c r="E413" t="s">
        <v>1356</v>
      </c>
      <c r="F413" t="s">
        <v>1357</v>
      </c>
      <c r="G413" t="s">
        <v>1355</v>
      </c>
      <c r="H413" t="s">
        <v>1367</v>
      </c>
      <c r="I413" t="s">
        <v>1263</v>
      </c>
      <c r="J413">
        <v>3</v>
      </c>
      <c r="K413">
        <v>30</v>
      </c>
      <c r="L413" t="s">
        <v>1671</v>
      </c>
      <c r="M413" t="s">
        <v>1671</v>
      </c>
      <c r="N413" t="s">
        <v>1355</v>
      </c>
      <c r="O413" t="s">
        <v>1359</v>
      </c>
      <c r="P413">
        <v>2</v>
      </c>
      <c r="Q413">
        <v>2</v>
      </c>
      <c r="R413">
        <v>0</v>
      </c>
      <c r="S413" t="s">
        <v>1355</v>
      </c>
      <c r="T413">
        <v>0</v>
      </c>
      <c r="U413">
        <v>0</v>
      </c>
      <c r="V413">
        <v>0</v>
      </c>
      <c r="W413" t="s">
        <v>1355</v>
      </c>
      <c r="X413" t="s">
        <v>1355</v>
      </c>
      <c r="Y413" t="s">
        <v>1355</v>
      </c>
      <c r="Z413">
        <v>0</v>
      </c>
      <c r="AA413">
        <v>0</v>
      </c>
      <c r="AB413">
        <v>0</v>
      </c>
      <c r="AC413" s="294">
        <v>41835</v>
      </c>
      <c r="AD413" s="294">
        <v>73050</v>
      </c>
      <c r="AE413" s="294">
        <v>41835</v>
      </c>
      <c r="AF413" t="s">
        <v>1367</v>
      </c>
      <c r="AG413">
        <v>0</v>
      </c>
      <c r="AH413" t="s">
        <v>2167</v>
      </c>
      <c r="AI413">
        <v>2</v>
      </c>
      <c r="AJ413">
        <v>2</v>
      </c>
      <c r="AK413">
        <v>0</v>
      </c>
      <c r="AL413">
        <v>2</v>
      </c>
      <c r="AM413" t="s">
        <v>1355</v>
      </c>
      <c r="AN413" t="s">
        <v>1357</v>
      </c>
      <c r="AO413">
        <v>3.2905000000000002</v>
      </c>
      <c r="AP413">
        <v>2</v>
      </c>
      <c r="AQ413">
        <v>0</v>
      </c>
      <c r="AR413">
        <v>3.26206</v>
      </c>
      <c r="AS413">
        <v>3.2905000000000002</v>
      </c>
      <c r="AT413">
        <v>1</v>
      </c>
    </row>
    <row r="414" spans="1:46" hidden="1" x14ac:dyDescent="0.2">
      <c r="A414" t="s">
        <v>2168</v>
      </c>
      <c r="B414" t="s">
        <v>2169</v>
      </c>
      <c r="C414" t="s">
        <v>2168</v>
      </c>
      <c r="D414" t="s">
        <v>1355</v>
      </c>
      <c r="E414" t="s">
        <v>1356</v>
      </c>
      <c r="F414" t="s">
        <v>1357</v>
      </c>
      <c r="G414" t="s">
        <v>1355</v>
      </c>
      <c r="H414" t="s">
        <v>1367</v>
      </c>
      <c r="I414" t="s">
        <v>1263</v>
      </c>
      <c r="J414">
        <v>4</v>
      </c>
      <c r="K414">
        <v>40</v>
      </c>
      <c r="L414" t="s">
        <v>2168</v>
      </c>
      <c r="M414" t="s">
        <v>2168</v>
      </c>
      <c r="N414" t="s">
        <v>1355</v>
      </c>
      <c r="O414" t="s">
        <v>1359</v>
      </c>
      <c r="P414">
        <v>2</v>
      </c>
      <c r="Q414">
        <v>2</v>
      </c>
      <c r="R414">
        <v>0</v>
      </c>
      <c r="S414" t="s">
        <v>1355</v>
      </c>
      <c r="T414">
        <v>0</v>
      </c>
      <c r="U414">
        <v>0</v>
      </c>
      <c r="V414">
        <v>0</v>
      </c>
      <c r="W414" t="s">
        <v>1355</v>
      </c>
      <c r="X414" t="s">
        <v>1355</v>
      </c>
      <c r="Y414" t="s">
        <v>1355</v>
      </c>
      <c r="Z414">
        <v>0</v>
      </c>
      <c r="AA414">
        <v>0</v>
      </c>
      <c r="AB414">
        <v>0</v>
      </c>
      <c r="AC414" s="294">
        <v>41835</v>
      </c>
      <c r="AD414" s="294">
        <v>73050</v>
      </c>
      <c r="AE414" s="294">
        <v>41835</v>
      </c>
      <c r="AF414" t="s">
        <v>1367</v>
      </c>
      <c r="AG414">
        <v>0</v>
      </c>
      <c r="AH414" t="s">
        <v>2170</v>
      </c>
      <c r="AI414">
        <v>2</v>
      </c>
      <c r="AJ414">
        <v>2</v>
      </c>
      <c r="AK414">
        <v>0</v>
      </c>
      <c r="AL414">
        <v>2</v>
      </c>
      <c r="AM414" t="s">
        <v>1355</v>
      </c>
      <c r="AN414" t="s">
        <v>1357</v>
      </c>
      <c r="AO414">
        <v>5.58</v>
      </c>
      <c r="AP414">
        <v>2</v>
      </c>
      <c r="AQ414">
        <v>0</v>
      </c>
      <c r="AR414">
        <v>5.5483000000000002</v>
      </c>
      <c r="AS414">
        <v>5.58</v>
      </c>
      <c r="AT414">
        <v>1</v>
      </c>
    </row>
    <row r="415" spans="1:46" hidden="1" x14ac:dyDescent="0.2">
      <c r="A415" t="s">
        <v>2171</v>
      </c>
      <c r="B415" t="s">
        <v>2172</v>
      </c>
      <c r="C415" t="s">
        <v>2171</v>
      </c>
      <c r="D415" t="s">
        <v>1355</v>
      </c>
      <c r="E415" t="s">
        <v>1356</v>
      </c>
      <c r="F415" t="s">
        <v>1357</v>
      </c>
      <c r="G415" t="s">
        <v>1355</v>
      </c>
      <c r="H415" t="s">
        <v>1367</v>
      </c>
      <c r="I415" t="s">
        <v>1263</v>
      </c>
      <c r="J415">
        <v>5</v>
      </c>
      <c r="K415">
        <v>50</v>
      </c>
      <c r="L415" t="s">
        <v>2171</v>
      </c>
      <c r="M415" t="s">
        <v>2171</v>
      </c>
      <c r="N415" t="s">
        <v>1355</v>
      </c>
      <c r="O415" t="s">
        <v>1359</v>
      </c>
      <c r="P415">
        <v>1</v>
      </c>
      <c r="Q415">
        <v>1</v>
      </c>
      <c r="R415">
        <v>0</v>
      </c>
      <c r="S415" t="s">
        <v>1355</v>
      </c>
      <c r="T415">
        <v>0</v>
      </c>
      <c r="U415">
        <v>0</v>
      </c>
      <c r="V415">
        <v>0</v>
      </c>
      <c r="W415" t="s">
        <v>1355</v>
      </c>
      <c r="X415" t="s">
        <v>1355</v>
      </c>
      <c r="Y415" t="s">
        <v>1355</v>
      </c>
      <c r="Z415">
        <v>0</v>
      </c>
      <c r="AA415">
        <v>0</v>
      </c>
      <c r="AB415">
        <v>0</v>
      </c>
      <c r="AC415" s="294">
        <v>41835</v>
      </c>
      <c r="AD415" s="294">
        <v>73050</v>
      </c>
      <c r="AE415" s="294">
        <v>41835</v>
      </c>
      <c r="AF415" t="s">
        <v>1367</v>
      </c>
      <c r="AG415">
        <v>0</v>
      </c>
      <c r="AH415" t="s">
        <v>2173</v>
      </c>
      <c r="AI415">
        <v>1</v>
      </c>
      <c r="AJ415">
        <v>1</v>
      </c>
      <c r="AK415">
        <v>0</v>
      </c>
      <c r="AL415">
        <v>1</v>
      </c>
      <c r="AM415" t="s">
        <v>1355</v>
      </c>
      <c r="AN415" t="s">
        <v>1357</v>
      </c>
      <c r="AO415">
        <v>2.79</v>
      </c>
      <c r="AP415">
        <v>2</v>
      </c>
      <c r="AQ415">
        <v>0</v>
      </c>
      <c r="AR415">
        <v>2.77</v>
      </c>
      <c r="AS415">
        <v>2.79</v>
      </c>
      <c r="AT415">
        <v>1</v>
      </c>
    </row>
    <row r="416" spans="1:46" hidden="1" x14ac:dyDescent="0.2">
      <c r="A416" t="s">
        <v>1665</v>
      </c>
      <c r="B416" t="s">
        <v>1666</v>
      </c>
      <c r="C416" t="s">
        <v>1665</v>
      </c>
      <c r="D416" t="s">
        <v>1355</v>
      </c>
      <c r="E416" t="s">
        <v>1356</v>
      </c>
      <c r="F416" t="s">
        <v>1357</v>
      </c>
      <c r="G416" t="s">
        <v>1355</v>
      </c>
      <c r="H416" t="s">
        <v>1367</v>
      </c>
      <c r="I416" t="s">
        <v>1263</v>
      </c>
      <c r="J416">
        <v>6</v>
      </c>
      <c r="K416">
        <v>60</v>
      </c>
      <c r="L416" t="s">
        <v>1665</v>
      </c>
      <c r="M416" t="s">
        <v>1665</v>
      </c>
      <c r="N416" t="s">
        <v>1355</v>
      </c>
      <c r="O416" t="s">
        <v>1359</v>
      </c>
      <c r="P416">
        <v>1</v>
      </c>
      <c r="Q416">
        <v>1</v>
      </c>
      <c r="R416">
        <v>0</v>
      </c>
      <c r="S416" t="s">
        <v>1355</v>
      </c>
      <c r="T416">
        <v>0</v>
      </c>
      <c r="U416">
        <v>0</v>
      </c>
      <c r="V416">
        <v>0</v>
      </c>
      <c r="W416" t="s">
        <v>1355</v>
      </c>
      <c r="X416" t="s">
        <v>1355</v>
      </c>
      <c r="Y416" t="s">
        <v>1355</v>
      </c>
      <c r="Z416">
        <v>0</v>
      </c>
      <c r="AA416">
        <v>0</v>
      </c>
      <c r="AB416">
        <v>0</v>
      </c>
      <c r="AC416" s="294">
        <v>41835</v>
      </c>
      <c r="AD416" s="294">
        <v>73050</v>
      </c>
      <c r="AE416" s="294">
        <v>41835</v>
      </c>
      <c r="AF416" t="s">
        <v>1367</v>
      </c>
      <c r="AG416">
        <v>0</v>
      </c>
      <c r="AH416" t="s">
        <v>2174</v>
      </c>
      <c r="AI416">
        <v>1</v>
      </c>
      <c r="AJ416">
        <v>1</v>
      </c>
      <c r="AK416">
        <v>0</v>
      </c>
      <c r="AL416">
        <v>1</v>
      </c>
      <c r="AM416" t="s">
        <v>1355</v>
      </c>
      <c r="AN416" t="s">
        <v>1357</v>
      </c>
      <c r="AO416">
        <v>2.79</v>
      </c>
      <c r="AP416">
        <v>2</v>
      </c>
      <c r="AQ416">
        <v>0</v>
      </c>
      <c r="AR416">
        <v>2.7689300000000001</v>
      </c>
      <c r="AS416">
        <v>2.79</v>
      </c>
      <c r="AT416">
        <v>1</v>
      </c>
    </row>
    <row r="417" spans="1:46" hidden="1" x14ac:dyDescent="0.2">
      <c r="A417" t="s">
        <v>1674</v>
      </c>
      <c r="B417" t="s">
        <v>1675</v>
      </c>
      <c r="C417" t="s">
        <v>1674</v>
      </c>
      <c r="D417" t="s">
        <v>1355</v>
      </c>
      <c r="E417" t="s">
        <v>1356</v>
      </c>
      <c r="F417" t="s">
        <v>1357</v>
      </c>
      <c r="G417" t="s">
        <v>1355</v>
      </c>
      <c r="H417" t="s">
        <v>1367</v>
      </c>
      <c r="I417" t="s">
        <v>1263</v>
      </c>
      <c r="J417">
        <v>7</v>
      </c>
      <c r="K417">
        <v>70</v>
      </c>
      <c r="L417" t="s">
        <v>1674</v>
      </c>
      <c r="M417" t="s">
        <v>1674</v>
      </c>
      <c r="N417" t="s">
        <v>1355</v>
      </c>
      <c r="O417" t="s">
        <v>1359</v>
      </c>
      <c r="P417">
        <v>1</v>
      </c>
      <c r="Q417">
        <v>1</v>
      </c>
      <c r="R417">
        <v>0</v>
      </c>
      <c r="S417" t="s">
        <v>1355</v>
      </c>
      <c r="T417">
        <v>0</v>
      </c>
      <c r="U417">
        <v>0</v>
      </c>
      <c r="V417">
        <v>0</v>
      </c>
      <c r="W417" t="s">
        <v>1355</v>
      </c>
      <c r="X417" t="s">
        <v>1355</v>
      </c>
      <c r="Y417" t="s">
        <v>1355</v>
      </c>
      <c r="Z417">
        <v>0</v>
      </c>
      <c r="AA417">
        <v>0</v>
      </c>
      <c r="AB417">
        <v>0</v>
      </c>
      <c r="AC417" s="294">
        <v>41835</v>
      </c>
      <c r="AD417" s="294">
        <v>73050</v>
      </c>
      <c r="AE417" s="294">
        <v>41835</v>
      </c>
      <c r="AF417" t="s">
        <v>1367</v>
      </c>
      <c r="AG417">
        <v>0</v>
      </c>
      <c r="AH417" t="s">
        <v>2175</v>
      </c>
      <c r="AI417">
        <v>1</v>
      </c>
      <c r="AJ417">
        <v>1</v>
      </c>
      <c r="AK417">
        <v>0</v>
      </c>
      <c r="AL417">
        <v>1</v>
      </c>
      <c r="AM417" t="s">
        <v>1355</v>
      </c>
      <c r="AN417" t="s">
        <v>1357</v>
      </c>
      <c r="AO417">
        <v>2.5670000000000002</v>
      </c>
      <c r="AP417">
        <v>2</v>
      </c>
      <c r="AQ417">
        <v>0</v>
      </c>
      <c r="AR417">
        <v>2.5670000000000002</v>
      </c>
      <c r="AS417">
        <v>2.5670000000000002</v>
      </c>
      <c r="AT417">
        <v>1</v>
      </c>
    </row>
    <row r="418" spans="1:46" hidden="1" x14ac:dyDescent="0.2">
      <c r="A418" t="s">
        <v>2176</v>
      </c>
      <c r="B418" t="s">
        <v>2177</v>
      </c>
      <c r="C418" t="s">
        <v>2176</v>
      </c>
      <c r="D418" t="s">
        <v>1355</v>
      </c>
      <c r="E418" t="s">
        <v>1356</v>
      </c>
      <c r="F418" t="s">
        <v>1357</v>
      </c>
      <c r="G418" t="s">
        <v>1355</v>
      </c>
      <c r="H418" t="s">
        <v>1367</v>
      </c>
      <c r="I418" t="s">
        <v>1263</v>
      </c>
      <c r="J418">
        <v>8</v>
      </c>
      <c r="K418">
        <v>80</v>
      </c>
      <c r="L418" t="s">
        <v>2176</v>
      </c>
      <c r="M418" t="s">
        <v>2176</v>
      </c>
      <c r="N418" t="s">
        <v>1355</v>
      </c>
      <c r="O418" t="s">
        <v>1359</v>
      </c>
      <c r="P418">
        <v>1</v>
      </c>
      <c r="Q418">
        <v>1</v>
      </c>
      <c r="R418">
        <v>0</v>
      </c>
      <c r="S418" t="s">
        <v>1355</v>
      </c>
      <c r="T418">
        <v>0</v>
      </c>
      <c r="U418">
        <v>0</v>
      </c>
      <c r="V418">
        <v>0</v>
      </c>
      <c r="W418" t="s">
        <v>1355</v>
      </c>
      <c r="X418" t="s">
        <v>1355</v>
      </c>
      <c r="Y418" t="s">
        <v>1355</v>
      </c>
      <c r="Z418">
        <v>0</v>
      </c>
      <c r="AA418">
        <v>0</v>
      </c>
      <c r="AB418">
        <v>0</v>
      </c>
      <c r="AC418" s="294">
        <v>41835</v>
      </c>
      <c r="AD418" s="294">
        <v>73050</v>
      </c>
      <c r="AE418" s="294">
        <v>41835</v>
      </c>
      <c r="AF418" t="s">
        <v>1367</v>
      </c>
      <c r="AG418">
        <v>0</v>
      </c>
      <c r="AH418" t="s">
        <v>2178</v>
      </c>
      <c r="AI418">
        <v>1</v>
      </c>
      <c r="AJ418">
        <v>1</v>
      </c>
      <c r="AK418">
        <v>0</v>
      </c>
      <c r="AL418">
        <v>1</v>
      </c>
      <c r="AM418" t="s">
        <v>1355</v>
      </c>
      <c r="AN418" t="s">
        <v>1357</v>
      </c>
      <c r="AO418">
        <v>4.2220000000000004</v>
      </c>
      <c r="AP418">
        <v>2</v>
      </c>
      <c r="AQ418">
        <v>0</v>
      </c>
      <c r="AR418">
        <v>4.2226699999999999</v>
      </c>
      <c r="AS418">
        <v>4.2220000000000004</v>
      </c>
      <c r="AT418">
        <v>1</v>
      </c>
    </row>
    <row r="419" spans="1:46" hidden="1" x14ac:dyDescent="0.2">
      <c r="A419" t="s">
        <v>2179</v>
      </c>
      <c r="B419" t="s">
        <v>2180</v>
      </c>
      <c r="C419" t="s">
        <v>2179</v>
      </c>
      <c r="D419" t="s">
        <v>1355</v>
      </c>
      <c r="E419" t="s">
        <v>1356</v>
      </c>
      <c r="F419" t="s">
        <v>1357</v>
      </c>
      <c r="G419" t="s">
        <v>1355</v>
      </c>
      <c r="H419" t="s">
        <v>1367</v>
      </c>
      <c r="I419" t="s">
        <v>1263</v>
      </c>
      <c r="J419">
        <v>9</v>
      </c>
      <c r="K419">
        <v>90</v>
      </c>
      <c r="L419" t="s">
        <v>2179</v>
      </c>
      <c r="M419" t="s">
        <v>2179</v>
      </c>
      <c r="N419" t="s">
        <v>1355</v>
      </c>
      <c r="O419" t="s">
        <v>1359</v>
      </c>
      <c r="P419">
        <v>1</v>
      </c>
      <c r="Q419">
        <v>1</v>
      </c>
      <c r="R419">
        <v>0</v>
      </c>
      <c r="S419" t="s">
        <v>1355</v>
      </c>
      <c r="T419">
        <v>0</v>
      </c>
      <c r="U419">
        <v>0</v>
      </c>
      <c r="V419">
        <v>0</v>
      </c>
      <c r="W419" t="s">
        <v>1355</v>
      </c>
      <c r="X419" t="s">
        <v>1355</v>
      </c>
      <c r="Y419" t="s">
        <v>1355</v>
      </c>
      <c r="Z419">
        <v>0</v>
      </c>
      <c r="AA419">
        <v>0</v>
      </c>
      <c r="AB419">
        <v>0</v>
      </c>
      <c r="AC419" s="294">
        <v>41835</v>
      </c>
      <c r="AD419" s="294">
        <v>73050</v>
      </c>
      <c r="AE419" s="294">
        <v>41835</v>
      </c>
      <c r="AF419" t="s">
        <v>1367</v>
      </c>
      <c r="AG419">
        <v>0</v>
      </c>
      <c r="AH419" t="s">
        <v>2181</v>
      </c>
      <c r="AI419">
        <v>1</v>
      </c>
      <c r="AJ419">
        <v>1</v>
      </c>
      <c r="AK419">
        <v>0</v>
      </c>
      <c r="AL419">
        <v>1</v>
      </c>
      <c r="AM419" t="s">
        <v>1355</v>
      </c>
      <c r="AN419" t="s">
        <v>1357</v>
      </c>
      <c r="AO419">
        <v>1.796</v>
      </c>
      <c r="AP419">
        <v>2</v>
      </c>
      <c r="AQ419">
        <v>0</v>
      </c>
      <c r="AR419">
        <v>1.78918</v>
      </c>
      <c r="AS419">
        <v>1.796</v>
      </c>
      <c r="AT419">
        <v>1</v>
      </c>
    </row>
    <row r="420" spans="1:46" hidden="1" x14ac:dyDescent="0.2">
      <c r="A420" t="s">
        <v>2182</v>
      </c>
      <c r="B420" t="s">
        <v>2183</v>
      </c>
      <c r="C420" t="s">
        <v>2182</v>
      </c>
      <c r="D420" t="s">
        <v>1355</v>
      </c>
      <c r="E420" t="s">
        <v>1356</v>
      </c>
      <c r="F420" t="s">
        <v>1357</v>
      </c>
      <c r="G420" t="s">
        <v>1355</v>
      </c>
      <c r="H420" t="s">
        <v>1367</v>
      </c>
      <c r="I420" t="s">
        <v>1263</v>
      </c>
      <c r="J420">
        <v>10</v>
      </c>
      <c r="K420">
        <v>100</v>
      </c>
      <c r="L420" t="s">
        <v>2182</v>
      </c>
      <c r="M420" t="s">
        <v>2182</v>
      </c>
      <c r="N420" t="s">
        <v>1355</v>
      </c>
      <c r="O420" t="s">
        <v>1359</v>
      </c>
      <c r="P420">
        <v>1</v>
      </c>
      <c r="Q420">
        <v>1</v>
      </c>
      <c r="R420">
        <v>0</v>
      </c>
      <c r="S420" t="s">
        <v>1355</v>
      </c>
      <c r="T420">
        <v>0</v>
      </c>
      <c r="U420">
        <v>0</v>
      </c>
      <c r="V420">
        <v>0</v>
      </c>
      <c r="W420" t="s">
        <v>1355</v>
      </c>
      <c r="X420" t="s">
        <v>1355</v>
      </c>
      <c r="Y420" t="s">
        <v>1355</v>
      </c>
      <c r="Z420">
        <v>0</v>
      </c>
      <c r="AA420">
        <v>0</v>
      </c>
      <c r="AB420">
        <v>0</v>
      </c>
      <c r="AC420" s="294">
        <v>41835</v>
      </c>
      <c r="AD420" s="294">
        <v>73050</v>
      </c>
      <c r="AE420" s="294">
        <v>41835</v>
      </c>
      <c r="AF420" t="s">
        <v>1367</v>
      </c>
      <c r="AG420">
        <v>0</v>
      </c>
      <c r="AH420" t="s">
        <v>2184</v>
      </c>
      <c r="AI420">
        <v>1</v>
      </c>
      <c r="AJ420">
        <v>1</v>
      </c>
      <c r="AK420">
        <v>0</v>
      </c>
      <c r="AL420">
        <v>1</v>
      </c>
      <c r="AM420" t="s">
        <v>1355</v>
      </c>
      <c r="AN420" t="s">
        <v>1357</v>
      </c>
      <c r="AO420">
        <v>1.796</v>
      </c>
      <c r="AP420">
        <v>2</v>
      </c>
      <c r="AQ420">
        <v>0</v>
      </c>
      <c r="AR420">
        <v>1.796</v>
      </c>
      <c r="AS420">
        <v>1.796</v>
      </c>
      <c r="AT420">
        <v>1</v>
      </c>
    </row>
    <row r="421" spans="1:46" hidden="1" x14ac:dyDescent="0.2">
      <c r="A421" t="s">
        <v>2185</v>
      </c>
      <c r="B421" t="s">
        <v>2186</v>
      </c>
      <c r="C421" t="s">
        <v>2185</v>
      </c>
      <c r="D421" t="s">
        <v>1355</v>
      </c>
      <c r="E421" t="s">
        <v>1356</v>
      </c>
      <c r="F421" t="s">
        <v>1357</v>
      </c>
      <c r="G421" t="s">
        <v>1355</v>
      </c>
      <c r="H421" t="s">
        <v>1367</v>
      </c>
      <c r="I421" t="s">
        <v>1263</v>
      </c>
      <c r="J421">
        <v>11</v>
      </c>
      <c r="K421">
        <v>110</v>
      </c>
      <c r="L421" t="s">
        <v>2185</v>
      </c>
      <c r="M421" t="s">
        <v>2185</v>
      </c>
      <c r="N421" t="s">
        <v>1355</v>
      </c>
      <c r="O421" t="s">
        <v>1359</v>
      </c>
      <c r="P421">
        <v>1</v>
      </c>
      <c r="Q421">
        <v>1</v>
      </c>
      <c r="R421">
        <v>0</v>
      </c>
      <c r="S421" t="s">
        <v>1355</v>
      </c>
      <c r="T421">
        <v>0</v>
      </c>
      <c r="U421">
        <v>0</v>
      </c>
      <c r="V421">
        <v>0</v>
      </c>
      <c r="W421" t="s">
        <v>1355</v>
      </c>
      <c r="X421" t="s">
        <v>1355</v>
      </c>
      <c r="Y421" t="s">
        <v>1355</v>
      </c>
      <c r="Z421">
        <v>0</v>
      </c>
      <c r="AA421">
        <v>0</v>
      </c>
      <c r="AB421">
        <v>0</v>
      </c>
      <c r="AC421" s="294">
        <v>41835</v>
      </c>
      <c r="AD421" s="294">
        <v>73050</v>
      </c>
      <c r="AE421" s="294">
        <v>41835</v>
      </c>
      <c r="AF421" t="s">
        <v>1367</v>
      </c>
      <c r="AG421">
        <v>0</v>
      </c>
      <c r="AH421" t="s">
        <v>2187</v>
      </c>
      <c r="AI421">
        <v>1</v>
      </c>
      <c r="AJ421">
        <v>1</v>
      </c>
      <c r="AK421">
        <v>0</v>
      </c>
      <c r="AL421">
        <v>1</v>
      </c>
      <c r="AM421" t="s">
        <v>1355</v>
      </c>
      <c r="AN421" t="s">
        <v>1357</v>
      </c>
      <c r="AO421">
        <v>1.796</v>
      </c>
      <c r="AP421">
        <v>2</v>
      </c>
      <c r="AQ421">
        <v>0</v>
      </c>
      <c r="AR421">
        <v>1.7852699999999999</v>
      </c>
      <c r="AS421">
        <v>1.796</v>
      </c>
      <c r="AT421">
        <v>1</v>
      </c>
    </row>
    <row r="422" spans="1:46" hidden="1" x14ac:dyDescent="0.2">
      <c r="A422" t="s">
        <v>2188</v>
      </c>
      <c r="B422" t="s">
        <v>2189</v>
      </c>
      <c r="C422" t="s">
        <v>2188</v>
      </c>
      <c r="D422" t="s">
        <v>1355</v>
      </c>
      <c r="E422" t="s">
        <v>1356</v>
      </c>
      <c r="F422" t="s">
        <v>1357</v>
      </c>
      <c r="G422" t="s">
        <v>1355</v>
      </c>
      <c r="H422" t="s">
        <v>1367</v>
      </c>
      <c r="I422" t="s">
        <v>1263</v>
      </c>
      <c r="J422">
        <v>12</v>
      </c>
      <c r="K422">
        <v>120</v>
      </c>
      <c r="L422" t="s">
        <v>2188</v>
      </c>
      <c r="M422" t="s">
        <v>2188</v>
      </c>
      <c r="N422" t="s">
        <v>1355</v>
      </c>
      <c r="O422" t="s">
        <v>1359</v>
      </c>
      <c r="P422">
        <v>12</v>
      </c>
      <c r="Q422">
        <v>12</v>
      </c>
      <c r="R422">
        <v>0</v>
      </c>
      <c r="S422" t="s">
        <v>1355</v>
      </c>
      <c r="T422">
        <v>0</v>
      </c>
      <c r="U422">
        <v>0</v>
      </c>
      <c r="V422">
        <v>0</v>
      </c>
      <c r="W422" t="s">
        <v>1355</v>
      </c>
      <c r="X422" t="s">
        <v>1355</v>
      </c>
      <c r="Y422" t="s">
        <v>1355</v>
      </c>
      <c r="Z422">
        <v>0</v>
      </c>
      <c r="AA422">
        <v>0</v>
      </c>
      <c r="AB422">
        <v>0</v>
      </c>
      <c r="AC422" s="294">
        <v>41835</v>
      </c>
      <c r="AD422" s="294">
        <v>73050</v>
      </c>
      <c r="AE422" s="294">
        <v>41835</v>
      </c>
      <c r="AF422" t="s">
        <v>1367</v>
      </c>
      <c r="AG422">
        <v>0</v>
      </c>
      <c r="AH422" t="s">
        <v>2190</v>
      </c>
      <c r="AI422">
        <v>12</v>
      </c>
      <c r="AJ422">
        <v>12</v>
      </c>
      <c r="AK422">
        <v>0</v>
      </c>
      <c r="AL422">
        <v>12</v>
      </c>
      <c r="AM422" t="s">
        <v>1355</v>
      </c>
      <c r="AN422" t="s">
        <v>1357</v>
      </c>
      <c r="AO422">
        <v>3.3792</v>
      </c>
      <c r="AP422">
        <v>2</v>
      </c>
      <c r="AQ422">
        <v>0</v>
      </c>
      <c r="AR422">
        <v>3.3792</v>
      </c>
      <c r="AS422">
        <v>3.3792</v>
      </c>
      <c r="AT422">
        <v>1</v>
      </c>
    </row>
    <row r="423" spans="1:46" hidden="1" x14ac:dyDescent="0.2">
      <c r="A423" t="s">
        <v>2191</v>
      </c>
      <c r="B423" t="s">
        <v>2192</v>
      </c>
      <c r="C423" t="s">
        <v>2191</v>
      </c>
      <c r="D423" t="s">
        <v>1355</v>
      </c>
      <c r="E423" t="s">
        <v>1356</v>
      </c>
      <c r="F423" t="s">
        <v>1357</v>
      </c>
      <c r="G423" t="s">
        <v>1355</v>
      </c>
      <c r="H423" t="s">
        <v>1367</v>
      </c>
      <c r="I423" t="s">
        <v>1263</v>
      </c>
      <c r="J423">
        <v>13</v>
      </c>
      <c r="K423">
        <v>130</v>
      </c>
      <c r="L423" t="s">
        <v>2191</v>
      </c>
      <c r="M423" t="s">
        <v>2191</v>
      </c>
      <c r="N423" t="s">
        <v>1355</v>
      </c>
      <c r="O423" t="s">
        <v>1359</v>
      </c>
      <c r="P423">
        <v>1</v>
      </c>
      <c r="Q423">
        <v>1</v>
      </c>
      <c r="R423">
        <v>0</v>
      </c>
      <c r="S423" t="s">
        <v>1355</v>
      </c>
      <c r="T423">
        <v>0</v>
      </c>
      <c r="U423">
        <v>0</v>
      </c>
      <c r="V423">
        <v>0</v>
      </c>
      <c r="W423" t="s">
        <v>1355</v>
      </c>
      <c r="X423" t="s">
        <v>1355</v>
      </c>
      <c r="Y423" t="s">
        <v>1355</v>
      </c>
      <c r="Z423">
        <v>0</v>
      </c>
      <c r="AA423">
        <v>0</v>
      </c>
      <c r="AB423">
        <v>0</v>
      </c>
      <c r="AC423" s="294">
        <v>41835</v>
      </c>
      <c r="AD423" s="294">
        <v>73050</v>
      </c>
      <c r="AE423" s="294">
        <v>41835</v>
      </c>
      <c r="AF423" t="s">
        <v>1367</v>
      </c>
      <c r="AG423">
        <v>0</v>
      </c>
      <c r="AH423" t="s">
        <v>2193</v>
      </c>
      <c r="AI423">
        <v>1</v>
      </c>
      <c r="AJ423">
        <v>1</v>
      </c>
      <c r="AK423">
        <v>0</v>
      </c>
      <c r="AL423">
        <v>1</v>
      </c>
      <c r="AM423" t="s">
        <v>1355</v>
      </c>
      <c r="AN423" t="s">
        <v>1357</v>
      </c>
      <c r="AO423">
        <v>64.89</v>
      </c>
      <c r="AP423">
        <v>2</v>
      </c>
      <c r="AQ423">
        <v>0</v>
      </c>
      <c r="AR423">
        <v>64.89</v>
      </c>
      <c r="AS423">
        <v>64.89</v>
      </c>
      <c r="AT423">
        <v>1</v>
      </c>
    </row>
    <row r="424" spans="1:46" hidden="1" x14ac:dyDescent="0.2">
      <c r="A424" t="s">
        <v>2194</v>
      </c>
      <c r="B424" t="s">
        <v>2195</v>
      </c>
      <c r="C424" t="s">
        <v>2194</v>
      </c>
      <c r="D424" t="s">
        <v>1355</v>
      </c>
      <c r="E424" t="s">
        <v>1356</v>
      </c>
      <c r="F424" t="s">
        <v>1357</v>
      </c>
      <c r="G424" t="s">
        <v>1355</v>
      </c>
      <c r="H424" t="s">
        <v>1367</v>
      </c>
      <c r="I424" t="s">
        <v>1263</v>
      </c>
      <c r="J424">
        <v>14</v>
      </c>
      <c r="K424">
        <v>140</v>
      </c>
      <c r="L424" t="s">
        <v>2194</v>
      </c>
      <c r="M424" t="s">
        <v>2194</v>
      </c>
      <c r="N424" t="s">
        <v>1355</v>
      </c>
      <c r="O424" t="s">
        <v>1359</v>
      </c>
      <c r="P424">
        <v>4</v>
      </c>
      <c r="Q424">
        <v>4</v>
      </c>
      <c r="R424">
        <v>0</v>
      </c>
      <c r="S424" t="s">
        <v>1355</v>
      </c>
      <c r="T424">
        <v>0</v>
      </c>
      <c r="U424">
        <v>0</v>
      </c>
      <c r="V424">
        <v>0</v>
      </c>
      <c r="W424" t="s">
        <v>1355</v>
      </c>
      <c r="X424" t="s">
        <v>1355</v>
      </c>
      <c r="Y424" t="s">
        <v>1355</v>
      </c>
      <c r="Z424">
        <v>0</v>
      </c>
      <c r="AA424">
        <v>0</v>
      </c>
      <c r="AB424">
        <v>0</v>
      </c>
      <c r="AC424" s="294">
        <v>41835</v>
      </c>
      <c r="AD424" s="294">
        <v>73050</v>
      </c>
      <c r="AE424" s="294">
        <v>41835</v>
      </c>
      <c r="AF424" t="s">
        <v>1367</v>
      </c>
      <c r="AG424">
        <v>0</v>
      </c>
      <c r="AH424" t="s">
        <v>2196</v>
      </c>
      <c r="AI424">
        <v>4</v>
      </c>
      <c r="AJ424">
        <v>4</v>
      </c>
      <c r="AK424">
        <v>0</v>
      </c>
      <c r="AL424">
        <v>4</v>
      </c>
      <c r="AM424" t="s">
        <v>1355</v>
      </c>
      <c r="AN424" t="s">
        <v>1357</v>
      </c>
      <c r="AO424">
        <v>0.8</v>
      </c>
      <c r="AP424">
        <v>2</v>
      </c>
      <c r="AQ424">
        <v>0</v>
      </c>
      <c r="AR424">
        <v>0.8</v>
      </c>
      <c r="AS424">
        <v>0.8</v>
      </c>
      <c r="AT424">
        <v>1</v>
      </c>
    </row>
    <row r="425" spans="1:46" hidden="1" x14ac:dyDescent="0.2">
      <c r="A425" t="s">
        <v>2197</v>
      </c>
      <c r="B425" t="s">
        <v>2198</v>
      </c>
      <c r="C425" t="s">
        <v>2197</v>
      </c>
      <c r="D425" t="s">
        <v>1355</v>
      </c>
      <c r="E425" t="s">
        <v>1356</v>
      </c>
      <c r="F425" t="s">
        <v>1357</v>
      </c>
      <c r="G425" t="s">
        <v>1355</v>
      </c>
      <c r="H425" t="s">
        <v>1367</v>
      </c>
      <c r="I425" t="s">
        <v>1263</v>
      </c>
      <c r="J425">
        <v>15</v>
      </c>
      <c r="K425">
        <v>150</v>
      </c>
      <c r="L425" t="s">
        <v>2197</v>
      </c>
      <c r="M425" t="s">
        <v>2197</v>
      </c>
      <c r="N425" t="s">
        <v>1355</v>
      </c>
      <c r="O425" t="s">
        <v>1359</v>
      </c>
      <c r="P425">
        <v>1</v>
      </c>
      <c r="Q425">
        <v>1</v>
      </c>
      <c r="R425">
        <v>0</v>
      </c>
      <c r="S425" t="s">
        <v>1355</v>
      </c>
      <c r="T425">
        <v>0</v>
      </c>
      <c r="U425">
        <v>0</v>
      </c>
      <c r="V425">
        <v>0</v>
      </c>
      <c r="W425" t="s">
        <v>1355</v>
      </c>
      <c r="X425" t="s">
        <v>1355</v>
      </c>
      <c r="Y425" t="s">
        <v>1355</v>
      </c>
      <c r="Z425">
        <v>0</v>
      </c>
      <c r="AA425">
        <v>0</v>
      </c>
      <c r="AB425">
        <v>0</v>
      </c>
      <c r="AC425" s="294">
        <v>41835</v>
      </c>
      <c r="AD425" s="294">
        <v>73050</v>
      </c>
      <c r="AE425" s="294">
        <v>41835</v>
      </c>
      <c r="AF425" t="s">
        <v>1367</v>
      </c>
      <c r="AG425">
        <v>0</v>
      </c>
      <c r="AH425" t="s">
        <v>2199</v>
      </c>
      <c r="AI425">
        <v>1</v>
      </c>
      <c r="AJ425">
        <v>1</v>
      </c>
      <c r="AK425">
        <v>0</v>
      </c>
      <c r="AL425">
        <v>1</v>
      </c>
      <c r="AM425" t="s">
        <v>1355</v>
      </c>
      <c r="AN425" t="s">
        <v>1357</v>
      </c>
      <c r="AO425">
        <v>2.36</v>
      </c>
      <c r="AP425">
        <v>2</v>
      </c>
      <c r="AQ425">
        <v>0</v>
      </c>
      <c r="AR425">
        <v>2.36</v>
      </c>
      <c r="AS425">
        <v>2.36</v>
      </c>
      <c r="AT425">
        <v>1</v>
      </c>
    </row>
    <row r="426" spans="1:46" hidden="1" x14ac:dyDescent="0.2">
      <c r="A426" t="s">
        <v>2200</v>
      </c>
      <c r="B426" t="s">
        <v>2201</v>
      </c>
      <c r="C426" t="s">
        <v>2200</v>
      </c>
      <c r="D426" t="s">
        <v>1355</v>
      </c>
      <c r="E426" t="s">
        <v>1356</v>
      </c>
      <c r="F426" t="s">
        <v>1357</v>
      </c>
      <c r="G426" t="s">
        <v>1355</v>
      </c>
      <c r="H426" t="s">
        <v>1367</v>
      </c>
      <c r="I426" t="s">
        <v>1263</v>
      </c>
      <c r="J426">
        <v>16</v>
      </c>
      <c r="K426">
        <v>160</v>
      </c>
      <c r="L426" t="s">
        <v>2200</v>
      </c>
      <c r="M426" t="s">
        <v>2200</v>
      </c>
      <c r="N426" t="s">
        <v>1355</v>
      </c>
      <c r="O426" t="s">
        <v>1359</v>
      </c>
      <c r="P426">
        <v>1</v>
      </c>
      <c r="Q426">
        <v>1</v>
      </c>
      <c r="R426">
        <v>0</v>
      </c>
      <c r="S426" t="s">
        <v>1355</v>
      </c>
      <c r="T426">
        <v>0</v>
      </c>
      <c r="U426">
        <v>0</v>
      </c>
      <c r="V426">
        <v>0</v>
      </c>
      <c r="W426" t="s">
        <v>1355</v>
      </c>
      <c r="X426" t="s">
        <v>1355</v>
      </c>
      <c r="Y426" t="s">
        <v>1355</v>
      </c>
      <c r="Z426">
        <v>0</v>
      </c>
      <c r="AA426">
        <v>0</v>
      </c>
      <c r="AB426">
        <v>0</v>
      </c>
      <c r="AC426" s="294">
        <v>41835</v>
      </c>
      <c r="AD426" s="294">
        <v>73050</v>
      </c>
      <c r="AE426" s="294">
        <v>41835</v>
      </c>
      <c r="AF426" t="s">
        <v>1367</v>
      </c>
      <c r="AG426">
        <v>0</v>
      </c>
      <c r="AH426" t="s">
        <v>2202</v>
      </c>
      <c r="AI426">
        <v>1</v>
      </c>
      <c r="AJ426">
        <v>1</v>
      </c>
      <c r="AK426">
        <v>0</v>
      </c>
      <c r="AL426">
        <v>1</v>
      </c>
      <c r="AM426" t="s">
        <v>1355</v>
      </c>
      <c r="AN426" t="s">
        <v>1357</v>
      </c>
      <c r="AO426">
        <v>30.11</v>
      </c>
      <c r="AP426">
        <v>2</v>
      </c>
      <c r="AQ426">
        <v>0</v>
      </c>
      <c r="AR426">
        <v>30.11</v>
      </c>
      <c r="AS426">
        <v>30.11</v>
      </c>
      <c r="AT426">
        <v>1</v>
      </c>
    </row>
    <row r="427" spans="1:46" x14ac:dyDescent="0.2">
      <c r="A427" t="s">
        <v>1303</v>
      </c>
      <c r="B427" t="s">
        <v>2203</v>
      </c>
      <c r="C427" t="s">
        <v>1303</v>
      </c>
      <c r="D427" t="s">
        <v>1355</v>
      </c>
      <c r="E427" t="s">
        <v>1356</v>
      </c>
      <c r="F427" t="s">
        <v>1357</v>
      </c>
      <c r="G427" t="s">
        <v>1355</v>
      </c>
      <c r="H427" t="s">
        <v>1358</v>
      </c>
      <c r="I427" t="s">
        <v>1353</v>
      </c>
      <c r="J427">
        <v>74</v>
      </c>
      <c r="K427">
        <v>620</v>
      </c>
      <c r="L427" t="s">
        <v>1303</v>
      </c>
      <c r="M427" t="s">
        <v>1303</v>
      </c>
      <c r="N427" t="s">
        <v>1355</v>
      </c>
      <c r="O427" t="s">
        <v>1359</v>
      </c>
      <c r="P427">
        <v>1</v>
      </c>
      <c r="Q427">
        <v>1</v>
      </c>
      <c r="R427">
        <v>0</v>
      </c>
      <c r="S427" t="s">
        <v>1355</v>
      </c>
      <c r="T427">
        <v>0</v>
      </c>
      <c r="U427">
        <v>0</v>
      </c>
      <c r="V427">
        <v>0</v>
      </c>
      <c r="W427" t="s">
        <v>1355</v>
      </c>
      <c r="X427" t="s">
        <v>1355</v>
      </c>
      <c r="Y427" t="s">
        <v>1355</v>
      </c>
      <c r="Z427">
        <v>0</v>
      </c>
      <c r="AA427">
        <v>0</v>
      </c>
      <c r="AB427">
        <v>0</v>
      </c>
      <c r="AC427" s="294">
        <v>41845</v>
      </c>
      <c r="AD427" s="294">
        <v>73050</v>
      </c>
      <c r="AE427" s="294">
        <v>41845</v>
      </c>
      <c r="AF427" t="s">
        <v>1358</v>
      </c>
      <c r="AG427">
        <v>0</v>
      </c>
      <c r="AH427" t="s">
        <v>2204</v>
      </c>
      <c r="AI427">
        <v>1</v>
      </c>
      <c r="AJ427">
        <v>1</v>
      </c>
      <c r="AK427">
        <v>0</v>
      </c>
      <c r="AL427">
        <v>1</v>
      </c>
      <c r="AM427" t="s">
        <v>1362</v>
      </c>
      <c r="AN427" t="s">
        <v>1357</v>
      </c>
      <c r="AO427">
        <v>79.766249999999999</v>
      </c>
      <c r="AP427">
        <v>1</v>
      </c>
      <c r="AQ427">
        <v>0</v>
      </c>
      <c r="AR427">
        <v>79.767129999999995</v>
      </c>
      <c r="AS427">
        <v>79.766249999999999</v>
      </c>
      <c r="AT427">
        <v>1</v>
      </c>
    </row>
    <row r="428" spans="1:46" hidden="1" x14ac:dyDescent="0.2">
      <c r="A428" t="s">
        <v>2205</v>
      </c>
      <c r="B428" t="s">
        <v>2206</v>
      </c>
      <c r="C428" t="s">
        <v>2205</v>
      </c>
      <c r="D428" t="s">
        <v>1355</v>
      </c>
      <c r="E428" t="s">
        <v>1356</v>
      </c>
      <c r="F428" t="s">
        <v>1357</v>
      </c>
      <c r="G428" t="s">
        <v>1355</v>
      </c>
      <c r="H428" t="s">
        <v>1367</v>
      </c>
      <c r="I428" t="s">
        <v>1303</v>
      </c>
      <c r="J428">
        <v>1</v>
      </c>
      <c r="K428">
        <v>10</v>
      </c>
      <c r="L428" t="s">
        <v>2205</v>
      </c>
      <c r="M428" t="s">
        <v>2205</v>
      </c>
      <c r="N428" t="s">
        <v>1355</v>
      </c>
      <c r="O428" t="s">
        <v>1359</v>
      </c>
      <c r="P428">
        <v>1</v>
      </c>
      <c r="Q428">
        <v>1</v>
      </c>
      <c r="R428">
        <v>0</v>
      </c>
      <c r="S428" t="s">
        <v>1355</v>
      </c>
      <c r="T428">
        <v>0</v>
      </c>
      <c r="U428">
        <v>0</v>
      </c>
      <c r="V428">
        <v>0</v>
      </c>
      <c r="W428" t="s">
        <v>1355</v>
      </c>
      <c r="X428" t="s">
        <v>1355</v>
      </c>
      <c r="Y428" t="s">
        <v>1355</v>
      </c>
      <c r="Z428">
        <v>0</v>
      </c>
      <c r="AA428">
        <v>0</v>
      </c>
      <c r="AB428">
        <v>0</v>
      </c>
      <c r="AC428" s="294">
        <v>41844</v>
      </c>
      <c r="AD428" s="294">
        <v>73050</v>
      </c>
      <c r="AE428" s="294">
        <v>41844</v>
      </c>
      <c r="AF428" t="s">
        <v>1367</v>
      </c>
      <c r="AG428">
        <v>0</v>
      </c>
      <c r="AH428" t="s">
        <v>2207</v>
      </c>
      <c r="AI428">
        <v>1</v>
      </c>
      <c r="AJ428">
        <v>1</v>
      </c>
      <c r="AK428">
        <v>0</v>
      </c>
      <c r="AL428">
        <v>1</v>
      </c>
      <c r="AM428" t="s">
        <v>1355</v>
      </c>
      <c r="AN428" t="s">
        <v>1357</v>
      </c>
      <c r="AO428">
        <v>75.334000000000003</v>
      </c>
      <c r="AP428">
        <v>2</v>
      </c>
      <c r="AQ428">
        <v>0</v>
      </c>
      <c r="AR428">
        <v>75.334760000000003</v>
      </c>
      <c r="AS428">
        <v>75.334000000000003</v>
      </c>
      <c r="AT428">
        <v>1</v>
      </c>
    </row>
    <row r="429" spans="1:46" hidden="1" x14ac:dyDescent="0.2">
      <c r="A429" t="s">
        <v>1416</v>
      </c>
      <c r="B429" t="s">
        <v>1417</v>
      </c>
      <c r="C429" t="s">
        <v>1416</v>
      </c>
      <c r="D429" t="s">
        <v>1355</v>
      </c>
      <c r="E429" t="s">
        <v>1356</v>
      </c>
      <c r="F429" t="s">
        <v>1357</v>
      </c>
      <c r="G429" t="s">
        <v>1355</v>
      </c>
      <c r="H429" t="s">
        <v>1367</v>
      </c>
      <c r="I429" t="s">
        <v>1303</v>
      </c>
      <c r="J429">
        <v>2</v>
      </c>
      <c r="K429">
        <v>20</v>
      </c>
      <c r="L429" t="s">
        <v>1416</v>
      </c>
      <c r="M429" t="s">
        <v>1416</v>
      </c>
      <c r="N429" t="s">
        <v>1355</v>
      </c>
      <c r="O429" t="s">
        <v>1359</v>
      </c>
      <c r="P429">
        <v>1</v>
      </c>
      <c r="Q429">
        <v>1</v>
      </c>
      <c r="R429">
        <v>0</v>
      </c>
      <c r="S429" t="s">
        <v>1355</v>
      </c>
      <c r="T429">
        <v>0</v>
      </c>
      <c r="U429">
        <v>0</v>
      </c>
      <c r="V429">
        <v>0</v>
      </c>
      <c r="W429" t="s">
        <v>1355</v>
      </c>
      <c r="X429" t="s">
        <v>1355</v>
      </c>
      <c r="Y429" t="s">
        <v>1355</v>
      </c>
      <c r="Z429">
        <v>0</v>
      </c>
      <c r="AA429">
        <v>0</v>
      </c>
      <c r="AB429">
        <v>0</v>
      </c>
      <c r="AC429" s="294">
        <v>41844</v>
      </c>
      <c r="AD429" s="294">
        <v>73050</v>
      </c>
      <c r="AE429" s="294">
        <v>41844</v>
      </c>
      <c r="AF429" t="s">
        <v>1367</v>
      </c>
      <c r="AG429">
        <v>0</v>
      </c>
      <c r="AH429" t="s">
        <v>2208</v>
      </c>
      <c r="AI429">
        <v>1</v>
      </c>
      <c r="AJ429">
        <v>1</v>
      </c>
      <c r="AK429">
        <v>0</v>
      </c>
      <c r="AL429">
        <v>1</v>
      </c>
      <c r="AM429" t="s">
        <v>1355</v>
      </c>
      <c r="AN429" t="s">
        <v>1357</v>
      </c>
      <c r="AO429">
        <v>4.4322499999999998</v>
      </c>
      <c r="AP429">
        <v>2</v>
      </c>
      <c r="AQ429">
        <v>0</v>
      </c>
      <c r="AR429">
        <v>4.4323699999999997</v>
      </c>
      <c r="AS429">
        <v>4.4322499999999998</v>
      </c>
      <c r="AT429">
        <v>1</v>
      </c>
    </row>
    <row r="430" spans="1:46" x14ac:dyDescent="0.2">
      <c r="A430" t="s">
        <v>1304</v>
      </c>
      <c r="B430" t="s">
        <v>2209</v>
      </c>
      <c r="C430" t="s">
        <v>1304</v>
      </c>
      <c r="D430" t="s">
        <v>1355</v>
      </c>
      <c r="E430" t="s">
        <v>1356</v>
      </c>
      <c r="F430" t="s">
        <v>1357</v>
      </c>
      <c r="G430" t="s">
        <v>1355</v>
      </c>
      <c r="H430" t="s">
        <v>1358</v>
      </c>
      <c r="I430" t="s">
        <v>1353</v>
      </c>
      <c r="J430">
        <v>75</v>
      </c>
      <c r="K430">
        <v>630</v>
      </c>
      <c r="L430" t="s">
        <v>1304</v>
      </c>
      <c r="M430" t="s">
        <v>1304</v>
      </c>
      <c r="N430" t="s">
        <v>1355</v>
      </c>
      <c r="O430" t="s">
        <v>1359</v>
      </c>
      <c r="P430">
        <v>1</v>
      </c>
      <c r="Q430">
        <v>1</v>
      </c>
      <c r="R430">
        <v>0</v>
      </c>
      <c r="S430" t="s">
        <v>1355</v>
      </c>
      <c r="T430">
        <v>0</v>
      </c>
      <c r="U430">
        <v>0</v>
      </c>
      <c r="V430">
        <v>0</v>
      </c>
      <c r="W430" t="s">
        <v>1355</v>
      </c>
      <c r="X430" t="s">
        <v>1355</v>
      </c>
      <c r="Y430" t="s">
        <v>1355</v>
      </c>
      <c r="Z430">
        <v>0</v>
      </c>
      <c r="AA430">
        <v>0</v>
      </c>
      <c r="AB430">
        <v>0</v>
      </c>
      <c r="AC430" s="294">
        <v>41845</v>
      </c>
      <c r="AD430" s="294">
        <v>73050</v>
      </c>
      <c r="AE430" s="294">
        <v>41845</v>
      </c>
      <c r="AF430" t="s">
        <v>1358</v>
      </c>
      <c r="AG430">
        <v>0</v>
      </c>
      <c r="AH430" t="s">
        <v>2210</v>
      </c>
      <c r="AI430">
        <v>1</v>
      </c>
      <c r="AJ430">
        <v>1</v>
      </c>
      <c r="AK430">
        <v>0</v>
      </c>
      <c r="AL430">
        <v>1</v>
      </c>
      <c r="AM430" t="s">
        <v>1362</v>
      </c>
      <c r="AN430" t="s">
        <v>1357</v>
      </c>
      <c r="AO430">
        <v>150</v>
      </c>
      <c r="AP430">
        <v>1</v>
      </c>
      <c r="AQ430">
        <v>0</v>
      </c>
      <c r="AR430">
        <v>150</v>
      </c>
      <c r="AS430">
        <v>150</v>
      </c>
      <c r="AT430">
        <v>1</v>
      </c>
    </row>
    <row r="431" spans="1:46" hidden="1" x14ac:dyDescent="0.2">
      <c r="A431" t="s">
        <v>2211</v>
      </c>
      <c r="B431" t="s">
        <v>2212</v>
      </c>
      <c r="C431" t="s">
        <v>2211</v>
      </c>
      <c r="D431" t="s">
        <v>1355</v>
      </c>
      <c r="E431" t="s">
        <v>1356</v>
      </c>
      <c r="F431" t="s">
        <v>1357</v>
      </c>
      <c r="G431" t="s">
        <v>1355</v>
      </c>
      <c r="H431" t="s">
        <v>1367</v>
      </c>
      <c r="I431" t="s">
        <v>1304</v>
      </c>
      <c r="J431">
        <v>1</v>
      </c>
      <c r="K431">
        <v>10</v>
      </c>
      <c r="L431" t="s">
        <v>2211</v>
      </c>
      <c r="M431" t="s">
        <v>2211</v>
      </c>
      <c r="N431" t="s">
        <v>1355</v>
      </c>
      <c r="O431" t="s">
        <v>1359</v>
      </c>
      <c r="P431">
        <v>1</v>
      </c>
      <c r="Q431">
        <v>1</v>
      </c>
      <c r="R431">
        <v>0</v>
      </c>
      <c r="S431" t="s">
        <v>1355</v>
      </c>
      <c r="T431">
        <v>0</v>
      </c>
      <c r="U431">
        <v>0</v>
      </c>
      <c r="V431">
        <v>0</v>
      </c>
      <c r="W431" t="s">
        <v>1355</v>
      </c>
      <c r="X431" t="s">
        <v>1355</v>
      </c>
      <c r="Y431" t="s">
        <v>1355</v>
      </c>
      <c r="Z431">
        <v>0</v>
      </c>
      <c r="AA431">
        <v>0</v>
      </c>
      <c r="AB431">
        <v>0</v>
      </c>
      <c r="AC431" s="294">
        <v>41844</v>
      </c>
      <c r="AD431" s="294">
        <v>73050</v>
      </c>
      <c r="AE431" s="294">
        <v>41844</v>
      </c>
      <c r="AF431" t="s">
        <v>1367</v>
      </c>
      <c r="AG431">
        <v>0</v>
      </c>
      <c r="AH431" t="s">
        <v>2213</v>
      </c>
      <c r="AI431">
        <v>1</v>
      </c>
      <c r="AJ431">
        <v>1</v>
      </c>
      <c r="AK431">
        <v>0</v>
      </c>
      <c r="AL431">
        <v>1</v>
      </c>
      <c r="AM431" t="s">
        <v>1355</v>
      </c>
      <c r="AN431" t="s">
        <v>1357</v>
      </c>
      <c r="AO431">
        <v>150</v>
      </c>
      <c r="AP431">
        <v>2</v>
      </c>
      <c r="AQ431">
        <v>0</v>
      </c>
      <c r="AR431">
        <v>150</v>
      </c>
      <c r="AS431">
        <v>150</v>
      </c>
      <c r="AT431">
        <v>1</v>
      </c>
    </row>
    <row r="432" spans="1:46" x14ac:dyDescent="0.2">
      <c r="A432" t="s">
        <v>1305</v>
      </c>
      <c r="B432" t="s">
        <v>2214</v>
      </c>
      <c r="C432" t="s">
        <v>1305</v>
      </c>
      <c r="D432" t="s">
        <v>1355</v>
      </c>
      <c r="E432" t="s">
        <v>1356</v>
      </c>
      <c r="F432" t="s">
        <v>1357</v>
      </c>
      <c r="G432" t="s">
        <v>1355</v>
      </c>
      <c r="H432" t="s">
        <v>1358</v>
      </c>
      <c r="I432" t="s">
        <v>1353</v>
      </c>
      <c r="J432">
        <v>76</v>
      </c>
      <c r="K432">
        <v>640</v>
      </c>
      <c r="L432" t="s">
        <v>1305</v>
      </c>
      <c r="M432" t="s">
        <v>1305</v>
      </c>
      <c r="N432" t="s">
        <v>1355</v>
      </c>
      <c r="O432" t="s">
        <v>1359</v>
      </c>
      <c r="P432">
        <v>1</v>
      </c>
      <c r="Q432">
        <v>1</v>
      </c>
      <c r="R432">
        <v>0</v>
      </c>
      <c r="S432" t="s">
        <v>1355</v>
      </c>
      <c r="T432">
        <v>0</v>
      </c>
      <c r="U432">
        <v>0</v>
      </c>
      <c r="V432">
        <v>0</v>
      </c>
      <c r="W432" t="s">
        <v>1355</v>
      </c>
      <c r="X432" t="s">
        <v>1355</v>
      </c>
      <c r="Y432" t="s">
        <v>1355</v>
      </c>
      <c r="Z432">
        <v>0</v>
      </c>
      <c r="AA432">
        <v>0</v>
      </c>
      <c r="AB432">
        <v>0</v>
      </c>
      <c r="AC432" s="294">
        <v>41845</v>
      </c>
      <c r="AD432" s="294">
        <v>73050</v>
      </c>
      <c r="AE432" s="294">
        <v>41845</v>
      </c>
      <c r="AF432" t="s">
        <v>1358</v>
      </c>
      <c r="AG432">
        <v>0</v>
      </c>
      <c r="AH432" t="s">
        <v>2215</v>
      </c>
      <c r="AI432">
        <v>1</v>
      </c>
      <c r="AJ432">
        <v>1</v>
      </c>
      <c r="AK432">
        <v>0</v>
      </c>
      <c r="AL432">
        <v>1</v>
      </c>
      <c r="AM432" t="s">
        <v>1362</v>
      </c>
      <c r="AN432" t="s">
        <v>1357</v>
      </c>
      <c r="AO432">
        <v>76.981499999999997</v>
      </c>
      <c r="AP432">
        <v>1</v>
      </c>
      <c r="AQ432">
        <v>0</v>
      </c>
      <c r="AR432">
        <v>76.687650000000005</v>
      </c>
      <c r="AS432">
        <v>76.981499999999997</v>
      </c>
      <c r="AT432">
        <v>1</v>
      </c>
    </row>
    <row r="433" spans="1:46" hidden="1" x14ac:dyDescent="0.2">
      <c r="A433" t="s">
        <v>1514</v>
      </c>
      <c r="B433" t="s">
        <v>1515</v>
      </c>
      <c r="C433" t="s">
        <v>1514</v>
      </c>
      <c r="D433" t="s">
        <v>1355</v>
      </c>
      <c r="E433" t="s">
        <v>1356</v>
      </c>
      <c r="F433" t="s">
        <v>1357</v>
      </c>
      <c r="G433" t="s">
        <v>1355</v>
      </c>
      <c r="H433" t="s">
        <v>1367</v>
      </c>
      <c r="I433" t="s">
        <v>1305</v>
      </c>
      <c r="J433">
        <v>1</v>
      </c>
      <c r="K433">
        <v>10</v>
      </c>
      <c r="L433" t="s">
        <v>1514</v>
      </c>
      <c r="M433" t="s">
        <v>1514</v>
      </c>
      <c r="N433" t="s">
        <v>1355</v>
      </c>
      <c r="O433" t="s">
        <v>1359</v>
      </c>
      <c r="P433">
        <v>2</v>
      </c>
      <c r="Q433">
        <v>2</v>
      </c>
      <c r="R433">
        <v>0</v>
      </c>
      <c r="S433" t="s">
        <v>1355</v>
      </c>
      <c r="T433">
        <v>0</v>
      </c>
      <c r="U433">
        <v>0</v>
      </c>
      <c r="V433">
        <v>0</v>
      </c>
      <c r="W433" t="s">
        <v>1355</v>
      </c>
      <c r="X433" t="s">
        <v>1355</v>
      </c>
      <c r="Y433" t="s">
        <v>1355</v>
      </c>
      <c r="Z433">
        <v>0</v>
      </c>
      <c r="AA433">
        <v>0</v>
      </c>
      <c r="AB433">
        <v>0</v>
      </c>
      <c r="AC433" s="294">
        <v>41844</v>
      </c>
      <c r="AD433" s="294">
        <v>73050</v>
      </c>
      <c r="AE433" s="294">
        <v>41844</v>
      </c>
      <c r="AF433" t="s">
        <v>1367</v>
      </c>
      <c r="AG433">
        <v>0</v>
      </c>
      <c r="AH433" t="s">
        <v>2216</v>
      </c>
      <c r="AI433">
        <v>2</v>
      </c>
      <c r="AJ433">
        <v>2</v>
      </c>
      <c r="AK433">
        <v>0</v>
      </c>
      <c r="AL433">
        <v>2</v>
      </c>
      <c r="AM433" t="s">
        <v>1355</v>
      </c>
      <c r="AN433" t="s">
        <v>1357</v>
      </c>
      <c r="AO433">
        <v>4.3606600000000002</v>
      </c>
      <c r="AP433">
        <v>2</v>
      </c>
      <c r="AQ433">
        <v>0</v>
      </c>
      <c r="AR433">
        <v>4.36076</v>
      </c>
      <c r="AS433">
        <v>4.3606600000000002</v>
      </c>
      <c r="AT433">
        <v>1</v>
      </c>
    </row>
    <row r="434" spans="1:46" hidden="1" x14ac:dyDescent="0.2">
      <c r="A434" t="s">
        <v>1517</v>
      </c>
      <c r="B434" t="s">
        <v>686</v>
      </c>
      <c r="C434" t="s">
        <v>1517</v>
      </c>
      <c r="D434" t="s">
        <v>1355</v>
      </c>
      <c r="E434" t="s">
        <v>1356</v>
      </c>
      <c r="F434" t="s">
        <v>1357</v>
      </c>
      <c r="G434" t="s">
        <v>1355</v>
      </c>
      <c r="H434" t="s">
        <v>1367</v>
      </c>
      <c r="I434" t="s">
        <v>1305</v>
      </c>
      <c r="J434">
        <v>2</v>
      </c>
      <c r="K434">
        <v>20</v>
      </c>
      <c r="L434" t="s">
        <v>1517</v>
      </c>
      <c r="M434" t="s">
        <v>1517</v>
      </c>
      <c r="N434" t="s">
        <v>1355</v>
      </c>
      <c r="O434" t="s">
        <v>1359</v>
      </c>
      <c r="P434">
        <v>1</v>
      </c>
      <c r="Q434">
        <v>1</v>
      </c>
      <c r="R434">
        <v>0</v>
      </c>
      <c r="S434" t="s">
        <v>1355</v>
      </c>
      <c r="T434">
        <v>0</v>
      </c>
      <c r="U434">
        <v>0</v>
      </c>
      <c r="V434">
        <v>0</v>
      </c>
      <c r="W434" t="s">
        <v>1355</v>
      </c>
      <c r="X434" t="s">
        <v>1355</v>
      </c>
      <c r="Y434" t="s">
        <v>1355</v>
      </c>
      <c r="Z434">
        <v>0</v>
      </c>
      <c r="AA434">
        <v>0</v>
      </c>
      <c r="AB434">
        <v>0</v>
      </c>
      <c r="AC434" s="294">
        <v>41844</v>
      </c>
      <c r="AD434" s="294">
        <v>73050</v>
      </c>
      <c r="AE434" s="294">
        <v>41844</v>
      </c>
      <c r="AF434" t="s">
        <v>1367</v>
      </c>
      <c r="AG434">
        <v>0</v>
      </c>
      <c r="AH434" t="s">
        <v>2217</v>
      </c>
      <c r="AI434">
        <v>1</v>
      </c>
      <c r="AJ434">
        <v>1</v>
      </c>
      <c r="AK434">
        <v>0</v>
      </c>
      <c r="AL434">
        <v>1</v>
      </c>
      <c r="AM434" t="s">
        <v>1355</v>
      </c>
      <c r="AN434" t="s">
        <v>1357</v>
      </c>
      <c r="AO434">
        <v>11.583</v>
      </c>
      <c r="AP434">
        <v>2</v>
      </c>
      <c r="AQ434">
        <v>0</v>
      </c>
      <c r="AR434">
        <v>11.28937</v>
      </c>
      <c r="AS434">
        <v>11.583</v>
      </c>
      <c r="AT434">
        <v>1</v>
      </c>
    </row>
    <row r="435" spans="1:46" hidden="1" x14ac:dyDescent="0.2">
      <c r="A435" t="s">
        <v>1519</v>
      </c>
      <c r="B435" t="s">
        <v>1520</v>
      </c>
      <c r="C435" t="s">
        <v>1519</v>
      </c>
      <c r="D435" t="s">
        <v>1355</v>
      </c>
      <c r="E435" t="s">
        <v>1356</v>
      </c>
      <c r="F435" t="s">
        <v>1357</v>
      </c>
      <c r="G435" t="s">
        <v>1355</v>
      </c>
      <c r="H435" t="s">
        <v>1367</v>
      </c>
      <c r="I435" t="s">
        <v>1305</v>
      </c>
      <c r="J435">
        <v>3</v>
      </c>
      <c r="K435">
        <v>30</v>
      </c>
      <c r="L435" t="s">
        <v>1519</v>
      </c>
      <c r="M435" t="s">
        <v>1519</v>
      </c>
      <c r="N435" t="s">
        <v>1355</v>
      </c>
      <c r="O435" t="s">
        <v>1359</v>
      </c>
      <c r="P435">
        <v>1</v>
      </c>
      <c r="Q435">
        <v>1</v>
      </c>
      <c r="R435">
        <v>0</v>
      </c>
      <c r="S435" t="s">
        <v>1355</v>
      </c>
      <c r="T435">
        <v>0</v>
      </c>
      <c r="U435">
        <v>0</v>
      </c>
      <c r="V435">
        <v>0</v>
      </c>
      <c r="W435" t="s">
        <v>1355</v>
      </c>
      <c r="X435" t="s">
        <v>1355</v>
      </c>
      <c r="Y435" t="s">
        <v>1355</v>
      </c>
      <c r="Z435">
        <v>0</v>
      </c>
      <c r="AA435">
        <v>0</v>
      </c>
      <c r="AB435">
        <v>0</v>
      </c>
      <c r="AC435" s="294">
        <v>41844</v>
      </c>
      <c r="AD435" s="294">
        <v>73050</v>
      </c>
      <c r="AE435" s="294">
        <v>41844</v>
      </c>
      <c r="AF435" t="s">
        <v>1367</v>
      </c>
      <c r="AG435">
        <v>0</v>
      </c>
      <c r="AH435" t="s">
        <v>2218</v>
      </c>
      <c r="AI435">
        <v>1</v>
      </c>
      <c r="AJ435">
        <v>1</v>
      </c>
      <c r="AK435">
        <v>0</v>
      </c>
      <c r="AL435">
        <v>1</v>
      </c>
      <c r="AM435" t="s">
        <v>1355</v>
      </c>
      <c r="AN435" t="s">
        <v>1357</v>
      </c>
      <c r="AO435">
        <v>11.583500000000001</v>
      </c>
      <c r="AP435">
        <v>2</v>
      </c>
      <c r="AQ435">
        <v>0</v>
      </c>
      <c r="AR435">
        <v>11.5832</v>
      </c>
      <c r="AS435">
        <v>11.583500000000001</v>
      </c>
      <c r="AT435">
        <v>1</v>
      </c>
    </row>
    <row r="436" spans="1:46" hidden="1" x14ac:dyDescent="0.2">
      <c r="A436" t="s">
        <v>1522</v>
      </c>
      <c r="B436" t="s">
        <v>1523</v>
      </c>
      <c r="C436" t="s">
        <v>1522</v>
      </c>
      <c r="D436" t="s">
        <v>1355</v>
      </c>
      <c r="E436" t="s">
        <v>1356</v>
      </c>
      <c r="F436" t="s">
        <v>1357</v>
      </c>
      <c r="G436" t="s">
        <v>1355</v>
      </c>
      <c r="H436" t="s">
        <v>1367</v>
      </c>
      <c r="I436" t="s">
        <v>1305</v>
      </c>
      <c r="J436">
        <v>4</v>
      </c>
      <c r="K436">
        <v>40</v>
      </c>
      <c r="L436" t="s">
        <v>1522</v>
      </c>
      <c r="M436" t="s">
        <v>1522</v>
      </c>
      <c r="N436" t="s">
        <v>1355</v>
      </c>
      <c r="O436" t="s">
        <v>1359</v>
      </c>
      <c r="P436">
        <v>1</v>
      </c>
      <c r="Q436">
        <v>1</v>
      </c>
      <c r="R436">
        <v>0</v>
      </c>
      <c r="S436" t="s">
        <v>1355</v>
      </c>
      <c r="T436">
        <v>0</v>
      </c>
      <c r="U436">
        <v>0</v>
      </c>
      <c r="V436">
        <v>0</v>
      </c>
      <c r="W436" t="s">
        <v>1355</v>
      </c>
      <c r="X436" t="s">
        <v>1355</v>
      </c>
      <c r="Y436" t="s">
        <v>1355</v>
      </c>
      <c r="Z436">
        <v>0</v>
      </c>
      <c r="AA436">
        <v>0</v>
      </c>
      <c r="AB436">
        <v>0</v>
      </c>
      <c r="AC436" s="294">
        <v>41844</v>
      </c>
      <c r="AD436" s="294">
        <v>73050</v>
      </c>
      <c r="AE436" s="294">
        <v>41844</v>
      </c>
      <c r="AF436" t="s">
        <v>1367</v>
      </c>
      <c r="AG436">
        <v>0</v>
      </c>
      <c r="AH436" t="s">
        <v>2219</v>
      </c>
      <c r="AI436">
        <v>1</v>
      </c>
      <c r="AJ436">
        <v>1</v>
      </c>
      <c r="AK436">
        <v>0</v>
      </c>
      <c r="AL436">
        <v>1</v>
      </c>
      <c r="AM436" t="s">
        <v>1355</v>
      </c>
      <c r="AN436" t="s">
        <v>1357</v>
      </c>
      <c r="AO436">
        <v>15.61767</v>
      </c>
      <c r="AP436">
        <v>2</v>
      </c>
      <c r="AQ436">
        <v>0</v>
      </c>
      <c r="AR436">
        <v>15.617649999999999</v>
      </c>
      <c r="AS436">
        <v>15.61767</v>
      </c>
      <c r="AT436">
        <v>1</v>
      </c>
    </row>
    <row r="437" spans="1:46" hidden="1" x14ac:dyDescent="0.2">
      <c r="A437" t="s">
        <v>1525</v>
      </c>
      <c r="B437" t="s">
        <v>1526</v>
      </c>
      <c r="C437" t="s">
        <v>1525</v>
      </c>
      <c r="D437" t="s">
        <v>1355</v>
      </c>
      <c r="E437" t="s">
        <v>1356</v>
      </c>
      <c r="F437" t="s">
        <v>1357</v>
      </c>
      <c r="G437" t="s">
        <v>1355</v>
      </c>
      <c r="H437" t="s">
        <v>1367</v>
      </c>
      <c r="I437" t="s">
        <v>1305</v>
      </c>
      <c r="J437">
        <v>5</v>
      </c>
      <c r="K437">
        <v>50</v>
      </c>
      <c r="L437" t="s">
        <v>1525</v>
      </c>
      <c r="M437" t="s">
        <v>1525</v>
      </c>
      <c r="N437" t="s">
        <v>1355</v>
      </c>
      <c r="O437" t="s">
        <v>1359</v>
      </c>
      <c r="P437">
        <v>1</v>
      </c>
      <c r="Q437">
        <v>1</v>
      </c>
      <c r="R437">
        <v>0</v>
      </c>
      <c r="S437" t="s">
        <v>1355</v>
      </c>
      <c r="T437">
        <v>0</v>
      </c>
      <c r="U437">
        <v>0</v>
      </c>
      <c r="V437">
        <v>0</v>
      </c>
      <c r="W437" t="s">
        <v>1355</v>
      </c>
      <c r="X437" t="s">
        <v>1355</v>
      </c>
      <c r="Y437" t="s">
        <v>1355</v>
      </c>
      <c r="Z437">
        <v>0</v>
      </c>
      <c r="AA437">
        <v>0</v>
      </c>
      <c r="AB437">
        <v>0</v>
      </c>
      <c r="AC437" s="294">
        <v>41844</v>
      </c>
      <c r="AD437" s="294">
        <v>73050</v>
      </c>
      <c r="AE437" s="294">
        <v>41844</v>
      </c>
      <c r="AF437" t="s">
        <v>1367</v>
      </c>
      <c r="AG437">
        <v>0</v>
      </c>
      <c r="AH437" t="s">
        <v>2220</v>
      </c>
      <c r="AI437">
        <v>1</v>
      </c>
      <c r="AJ437">
        <v>1</v>
      </c>
      <c r="AK437">
        <v>0</v>
      </c>
      <c r="AL437">
        <v>1</v>
      </c>
      <c r="AM437" t="s">
        <v>1355</v>
      </c>
      <c r="AN437" t="s">
        <v>1357</v>
      </c>
      <c r="AO437">
        <v>33.836669999999998</v>
      </c>
      <c r="AP437">
        <v>2</v>
      </c>
      <c r="AQ437">
        <v>0</v>
      </c>
      <c r="AR437">
        <v>33.836669999999998</v>
      </c>
      <c r="AS437">
        <v>33.836669999999998</v>
      </c>
      <c r="AT437">
        <v>1</v>
      </c>
    </row>
    <row r="438" spans="1:46" x14ac:dyDescent="0.2">
      <c r="A438" t="s">
        <v>2221</v>
      </c>
      <c r="B438" t="s">
        <v>2222</v>
      </c>
      <c r="C438" t="s">
        <v>1285</v>
      </c>
      <c r="D438" t="s">
        <v>1355</v>
      </c>
      <c r="E438" t="s">
        <v>1357</v>
      </c>
      <c r="F438" t="s">
        <v>1357</v>
      </c>
      <c r="G438" t="s">
        <v>1355</v>
      </c>
      <c r="H438" t="s">
        <v>1358</v>
      </c>
      <c r="I438" t="s">
        <v>1285</v>
      </c>
      <c r="J438">
        <v>27</v>
      </c>
      <c r="K438">
        <v>270</v>
      </c>
      <c r="L438" t="s">
        <v>1757</v>
      </c>
      <c r="M438" t="s">
        <v>1285</v>
      </c>
      <c r="N438" t="s">
        <v>1355</v>
      </c>
      <c r="O438" t="s">
        <v>2223</v>
      </c>
      <c r="P438">
        <v>20</v>
      </c>
      <c r="Q438">
        <v>1</v>
      </c>
      <c r="R438">
        <v>0</v>
      </c>
      <c r="S438" t="s">
        <v>1355</v>
      </c>
      <c r="T438">
        <v>0</v>
      </c>
      <c r="U438">
        <v>0</v>
      </c>
      <c r="V438">
        <v>0</v>
      </c>
      <c r="W438" t="s">
        <v>1355</v>
      </c>
      <c r="X438" t="s">
        <v>1355</v>
      </c>
      <c r="Y438" t="s">
        <v>1355</v>
      </c>
      <c r="Z438">
        <v>10</v>
      </c>
      <c r="AA438">
        <v>0</v>
      </c>
      <c r="AB438">
        <v>0</v>
      </c>
      <c r="AC438" s="294">
        <v>36161</v>
      </c>
      <c r="AD438" s="294">
        <v>73050</v>
      </c>
      <c r="AE438" s="294">
        <v>41844</v>
      </c>
      <c r="AF438" t="s">
        <v>1358</v>
      </c>
      <c r="AG438">
        <v>1</v>
      </c>
      <c r="AH438" t="s">
        <v>2224</v>
      </c>
      <c r="AI438">
        <v>1</v>
      </c>
      <c r="AJ438">
        <v>1</v>
      </c>
      <c r="AK438">
        <v>0</v>
      </c>
      <c r="AL438">
        <v>1</v>
      </c>
      <c r="AM438" t="s">
        <v>1362</v>
      </c>
      <c r="AN438" t="s">
        <v>1357</v>
      </c>
      <c r="AO438">
        <v>20.309999999999999</v>
      </c>
      <c r="AP438">
        <v>1</v>
      </c>
      <c r="AQ438">
        <v>406.2</v>
      </c>
      <c r="AR438">
        <v>1390.33104</v>
      </c>
      <c r="AS438">
        <v>1390.3462500000001</v>
      </c>
      <c r="AT438">
        <v>2</v>
      </c>
    </row>
    <row r="439" spans="1:46" x14ac:dyDescent="0.2">
      <c r="A439" t="s">
        <v>2221</v>
      </c>
      <c r="B439" t="s">
        <v>2225</v>
      </c>
      <c r="C439" t="s">
        <v>1284</v>
      </c>
      <c r="D439" t="s">
        <v>1355</v>
      </c>
      <c r="E439" t="s">
        <v>1357</v>
      </c>
      <c r="F439" t="s">
        <v>1357</v>
      </c>
      <c r="G439" t="s">
        <v>1355</v>
      </c>
      <c r="H439" t="s">
        <v>1358</v>
      </c>
      <c r="I439" t="s">
        <v>1284</v>
      </c>
      <c r="J439">
        <v>25</v>
      </c>
      <c r="K439">
        <v>250</v>
      </c>
      <c r="L439" t="s">
        <v>1680</v>
      </c>
      <c r="M439" t="s">
        <v>1284</v>
      </c>
      <c r="N439" t="s">
        <v>1355</v>
      </c>
      <c r="O439" t="s">
        <v>2223</v>
      </c>
      <c r="P439">
        <v>24</v>
      </c>
      <c r="Q439">
        <v>1</v>
      </c>
      <c r="R439">
        <v>0</v>
      </c>
      <c r="S439" t="s">
        <v>1355</v>
      </c>
      <c r="T439">
        <v>0</v>
      </c>
      <c r="U439">
        <v>0</v>
      </c>
      <c r="V439">
        <v>0</v>
      </c>
      <c r="W439" t="s">
        <v>1355</v>
      </c>
      <c r="X439" t="s">
        <v>1355</v>
      </c>
      <c r="Y439" t="s">
        <v>1355</v>
      </c>
      <c r="Z439">
        <v>10</v>
      </c>
      <c r="AA439">
        <v>0</v>
      </c>
      <c r="AB439">
        <v>0</v>
      </c>
      <c r="AC439" s="294">
        <v>36161</v>
      </c>
      <c r="AD439" s="294">
        <v>73050</v>
      </c>
      <c r="AE439" s="294">
        <v>41844</v>
      </c>
      <c r="AF439" t="s">
        <v>1358</v>
      </c>
      <c r="AG439">
        <v>1</v>
      </c>
      <c r="AH439" t="s">
        <v>2226</v>
      </c>
      <c r="AI439">
        <v>1</v>
      </c>
      <c r="AJ439">
        <v>1</v>
      </c>
      <c r="AK439">
        <v>0</v>
      </c>
      <c r="AL439">
        <v>1</v>
      </c>
      <c r="AM439" t="s">
        <v>1362</v>
      </c>
      <c r="AN439" t="s">
        <v>1357</v>
      </c>
      <c r="AO439">
        <v>20.309999999999999</v>
      </c>
      <c r="AP439">
        <v>1</v>
      </c>
      <c r="AQ439">
        <v>487.44</v>
      </c>
      <c r="AR439">
        <v>2598.22543</v>
      </c>
      <c r="AS439">
        <v>2497.9962500000001</v>
      </c>
      <c r="AT439">
        <v>2</v>
      </c>
    </row>
    <row r="440" spans="1:46" x14ac:dyDescent="0.2">
      <c r="A440" t="s">
        <v>2221</v>
      </c>
      <c r="B440" t="s">
        <v>2222</v>
      </c>
      <c r="C440" t="s">
        <v>1278</v>
      </c>
      <c r="D440" t="s">
        <v>1355</v>
      </c>
      <c r="E440" t="s">
        <v>1357</v>
      </c>
      <c r="F440" t="s">
        <v>1357</v>
      </c>
      <c r="G440" t="s">
        <v>1355</v>
      </c>
      <c r="H440" t="s">
        <v>1358</v>
      </c>
      <c r="I440" t="s">
        <v>1278</v>
      </c>
      <c r="J440">
        <v>26</v>
      </c>
      <c r="K440">
        <v>260</v>
      </c>
      <c r="L440" t="s">
        <v>1730</v>
      </c>
      <c r="M440" t="s">
        <v>1278</v>
      </c>
      <c r="N440" t="s">
        <v>1355</v>
      </c>
      <c r="O440" t="s">
        <v>2223</v>
      </c>
      <c r="P440">
        <v>20</v>
      </c>
      <c r="Q440">
        <v>1</v>
      </c>
      <c r="R440">
        <v>0</v>
      </c>
      <c r="S440" t="s">
        <v>1355</v>
      </c>
      <c r="T440">
        <v>0</v>
      </c>
      <c r="U440">
        <v>0</v>
      </c>
      <c r="V440">
        <v>0</v>
      </c>
      <c r="W440" t="s">
        <v>1355</v>
      </c>
      <c r="X440" t="s">
        <v>1355</v>
      </c>
      <c r="Y440" t="s">
        <v>1355</v>
      </c>
      <c r="Z440">
        <v>10</v>
      </c>
      <c r="AA440">
        <v>0</v>
      </c>
      <c r="AB440">
        <v>0</v>
      </c>
      <c r="AC440" s="294">
        <v>36161</v>
      </c>
      <c r="AD440" s="294">
        <v>73050</v>
      </c>
      <c r="AE440" s="294">
        <v>41844</v>
      </c>
      <c r="AF440" t="s">
        <v>1358</v>
      </c>
      <c r="AG440">
        <v>1</v>
      </c>
      <c r="AH440" t="s">
        <v>2227</v>
      </c>
      <c r="AI440">
        <v>1</v>
      </c>
      <c r="AJ440">
        <v>1</v>
      </c>
      <c r="AK440">
        <v>0</v>
      </c>
      <c r="AL440">
        <v>1</v>
      </c>
      <c r="AM440" t="s">
        <v>1362</v>
      </c>
      <c r="AN440" t="s">
        <v>1357</v>
      </c>
      <c r="AO440">
        <v>20.309999999999999</v>
      </c>
      <c r="AP440">
        <v>1</v>
      </c>
      <c r="AQ440">
        <v>406.2</v>
      </c>
      <c r="AR440">
        <v>1081.85104</v>
      </c>
      <c r="AS440">
        <v>1081.86625</v>
      </c>
      <c r="AT440">
        <v>2</v>
      </c>
    </row>
    <row r="441" spans="1:46" x14ac:dyDescent="0.2">
      <c r="A441" t="s">
        <v>2221</v>
      </c>
      <c r="B441" t="s">
        <v>2225</v>
      </c>
      <c r="C441" t="s">
        <v>1280</v>
      </c>
      <c r="D441" t="s">
        <v>1355</v>
      </c>
      <c r="E441" t="s">
        <v>1357</v>
      </c>
      <c r="F441" t="s">
        <v>1357</v>
      </c>
      <c r="G441" t="s">
        <v>1355</v>
      </c>
      <c r="H441" t="s">
        <v>1358</v>
      </c>
      <c r="I441" t="s">
        <v>1280</v>
      </c>
      <c r="J441">
        <v>24</v>
      </c>
      <c r="K441">
        <v>240</v>
      </c>
      <c r="L441" t="s">
        <v>1593</v>
      </c>
      <c r="M441" t="s">
        <v>1280</v>
      </c>
      <c r="N441" t="s">
        <v>1355</v>
      </c>
      <c r="O441" t="s">
        <v>2223</v>
      </c>
      <c r="P441">
        <v>24</v>
      </c>
      <c r="Q441">
        <v>1</v>
      </c>
      <c r="R441">
        <v>0</v>
      </c>
      <c r="S441" t="s">
        <v>1355</v>
      </c>
      <c r="T441">
        <v>0</v>
      </c>
      <c r="U441">
        <v>0</v>
      </c>
      <c r="V441">
        <v>0</v>
      </c>
      <c r="W441" t="s">
        <v>1355</v>
      </c>
      <c r="X441" t="s">
        <v>1355</v>
      </c>
      <c r="Y441" t="s">
        <v>1355</v>
      </c>
      <c r="Z441">
        <v>10</v>
      </c>
      <c r="AA441">
        <v>0</v>
      </c>
      <c r="AB441">
        <v>0</v>
      </c>
      <c r="AC441" s="294">
        <v>36161</v>
      </c>
      <c r="AD441" s="294">
        <v>73050</v>
      </c>
      <c r="AE441" s="294">
        <v>41844</v>
      </c>
      <c r="AF441" t="s">
        <v>1358</v>
      </c>
      <c r="AG441">
        <v>1</v>
      </c>
      <c r="AH441" t="s">
        <v>2228</v>
      </c>
      <c r="AI441">
        <v>1</v>
      </c>
      <c r="AJ441">
        <v>1</v>
      </c>
      <c r="AK441">
        <v>0</v>
      </c>
      <c r="AL441">
        <v>1</v>
      </c>
      <c r="AM441" t="s">
        <v>1362</v>
      </c>
      <c r="AN441" t="s">
        <v>1357</v>
      </c>
      <c r="AO441">
        <v>20.309999999999999</v>
      </c>
      <c r="AP441">
        <v>1</v>
      </c>
      <c r="AQ441">
        <v>487.44</v>
      </c>
      <c r="AR441">
        <v>1723.6322700000001</v>
      </c>
      <c r="AS441">
        <v>1739.8029100000001</v>
      </c>
      <c r="AT441">
        <v>2</v>
      </c>
    </row>
    <row r="442" spans="1:46" hidden="1" x14ac:dyDescent="0.2">
      <c r="A442" t="s">
        <v>1353</v>
      </c>
      <c r="B442" t="s">
        <v>1354</v>
      </c>
      <c r="C442" t="s">
        <v>1353</v>
      </c>
      <c r="D442" t="s">
        <v>1355</v>
      </c>
      <c r="E442" t="s">
        <v>1356</v>
      </c>
      <c r="F442" t="s">
        <v>1357</v>
      </c>
      <c r="G442" t="s">
        <v>1355</v>
      </c>
      <c r="H442" t="s">
        <v>1358</v>
      </c>
      <c r="I442" t="s">
        <v>1355</v>
      </c>
      <c r="J442">
        <v>0</v>
      </c>
      <c r="K442">
        <v>0</v>
      </c>
      <c r="L442" t="s">
        <v>1355</v>
      </c>
      <c r="M442" t="s">
        <v>1355</v>
      </c>
      <c r="N442" t="s">
        <v>1355</v>
      </c>
      <c r="O442" t="s">
        <v>1359</v>
      </c>
      <c r="P442">
        <v>1</v>
      </c>
      <c r="Q442">
        <v>1</v>
      </c>
      <c r="R442">
        <v>0</v>
      </c>
      <c r="S442" t="s">
        <v>1355</v>
      </c>
      <c r="T442">
        <v>0</v>
      </c>
      <c r="U442">
        <v>0</v>
      </c>
      <c r="V442">
        <v>0</v>
      </c>
      <c r="W442" t="s">
        <v>1355</v>
      </c>
      <c r="X442" t="s">
        <v>1355</v>
      </c>
      <c r="Y442" t="s">
        <v>1355</v>
      </c>
      <c r="Z442">
        <v>0</v>
      </c>
      <c r="AA442">
        <v>0</v>
      </c>
      <c r="AB442">
        <v>0</v>
      </c>
      <c r="AC442" t="s">
        <v>1360</v>
      </c>
      <c r="AD442" t="s">
        <v>1360</v>
      </c>
      <c r="AE442" t="s">
        <v>1360</v>
      </c>
      <c r="AF442" t="s">
        <v>1358</v>
      </c>
      <c r="AG442">
        <v>0</v>
      </c>
      <c r="AH442" t="s">
        <v>2229</v>
      </c>
      <c r="AI442">
        <v>1</v>
      </c>
      <c r="AJ442">
        <v>1</v>
      </c>
      <c r="AK442">
        <v>0</v>
      </c>
      <c r="AL442">
        <v>1</v>
      </c>
      <c r="AM442" t="s">
        <v>1362</v>
      </c>
      <c r="AN442" t="s">
        <v>1357</v>
      </c>
      <c r="AO442">
        <v>24071.856489999998</v>
      </c>
      <c r="AP442">
        <v>-1</v>
      </c>
      <c r="AQ442">
        <v>0</v>
      </c>
      <c r="AR442">
        <v>25482.592369999998</v>
      </c>
      <c r="AS442">
        <v>24071.856489999998</v>
      </c>
      <c r="AT442">
        <v>7</v>
      </c>
    </row>
    <row r="443" spans="1:46" hidden="1" x14ac:dyDescent="0.2">
      <c r="A443" t="s">
        <v>1353</v>
      </c>
      <c r="B443" t="s">
        <v>1354</v>
      </c>
      <c r="C443" t="s">
        <v>1353</v>
      </c>
      <c r="D443" t="s">
        <v>1355</v>
      </c>
      <c r="E443" t="s">
        <v>1356</v>
      </c>
      <c r="F443" t="s">
        <v>1357</v>
      </c>
      <c r="G443" t="s">
        <v>1355</v>
      </c>
      <c r="H443" t="s">
        <v>1358</v>
      </c>
      <c r="I443" t="s">
        <v>1355</v>
      </c>
      <c r="J443">
        <v>0</v>
      </c>
      <c r="K443">
        <v>0</v>
      </c>
      <c r="L443" t="s">
        <v>1355</v>
      </c>
      <c r="M443" t="s">
        <v>1355</v>
      </c>
      <c r="N443" t="s">
        <v>1355</v>
      </c>
      <c r="O443" t="s">
        <v>1359</v>
      </c>
      <c r="P443">
        <v>1</v>
      </c>
      <c r="Q443">
        <v>1</v>
      </c>
      <c r="R443">
        <v>0</v>
      </c>
      <c r="S443" t="s">
        <v>1355</v>
      </c>
      <c r="T443">
        <v>0</v>
      </c>
      <c r="U443">
        <v>0</v>
      </c>
      <c r="V443">
        <v>0</v>
      </c>
      <c r="W443" t="s">
        <v>1355</v>
      </c>
      <c r="X443" t="s">
        <v>1355</v>
      </c>
      <c r="Y443" t="s">
        <v>1355</v>
      </c>
      <c r="Z443">
        <v>0</v>
      </c>
      <c r="AA443">
        <v>0</v>
      </c>
      <c r="AB443">
        <v>0</v>
      </c>
      <c r="AC443" t="s">
        <v>1360</v>
      </c>
      <c r="AD443" t="s">
        <v>1360</v>
      </c>
      <c r="AE443" t="s">
        <v>1360</v>
      </c>
      <c r="AF443" t="s">
        <v>1358</v>
      </c>
      <c r="AG443">
        <v>0</v>
      </c>
      <c r="AH443" t="s">
        <v>2230</v>
      </c>
      <c r="AI443">
        <v>1</v>
      </c>
      <c r="AJ443">
        <v>1</v>
      </c>
      <c r="AK443">
        <v>0</v>
      </c>
      <c r="AL443">
        <v>1</v>
      </c>
      <c r="AM443" t="s">
        <v>1362</v>
      </c>
      <c r="AN443" t="s">
        <v>1357</v>
      </c>
      <c r="AO443">
        <v>0</v>
      </c>
      <c r="AP443">
        <v>-1</v>
      </c>
      <c r="AQ443">
        <v>0</v>
      </c>
      <c r="AR443">
        <v>0</v>
      </c>
      <c r="AS443">
        <v>0</v>
      </c>
      <c r="AT443">
        <v>7</v>
      </c>
    </row>
    <row r="444" spans="1:46" hidden="1" x14ac:dyDescent="0.2">
      <c r="A444" t="s">
        <v>1353</v>
      </c>
      <c r="B444" t="s">
        <v>1354</v>
      </c>
      <c r="C444" t="s">
        <v>1353</v>
      </c>
      <c r="D444" t="s">
        <v>1355</v>
      </c>
      <c r="E444" t="s">
        <v>1356</v>
      </c>
      <c r="F444" t="s">
        <v>1357</v>
      </c>
      <c r="G444" t="s">
        <v>1355</v>
      </c>
      <c r="H444" t="s">
        <v>1358</v>
      </c>
      <c r="I444" t="s">
        <v>1355</v>
      </c>
      <c r="J444">
        <v>0</v>
      </c>
      <c r="K444">
        <v>0</v>
      </c>
      <c r="L444" t="s">
        <v>1355</v>
      </c>
      <c r="M444" t="s">
        <v>1355</v>
      </c>
      <c r="N444" t="s">
        <v>1355</v>
      </c>
      <c r="O444" t="s">
        <v>1359</v>
      </c>
      <c r="P444">
        <v>1</v>
      </c>
      <c r="Q444">
        <v>1</v>
      </c>
      <c r="R444">
        <v>0</v>
      </c>
      <c r="S444" t="s">
        <v>1355</v>
      </c>
      <c r="T444">
        <v>0</v>
      </c>
      <c r="U444">
        <v>0</v>
      </c>
      <c r="V444">
        <v>0</v>
      </c>
      <c r="W444" t="s">
        <v>1355</v>
      </c>
      <c r="X444" t="s">
        <v>1355</v>
      </c>
      <c r="Y444" t="s">
        <v>1355</v>
      </c>
      <c r="Z444">
        <v>0</v>
      </c>
      <c r="AA444">
        <v>0</v>
      </c>
      <c r="AB444">
        <v>0</v>
      </c>
      <c r="AC444" t="s">
        <v>1360</v>
      </c>
      <c r="AD444" t="s">
        <v>1360</v>
      </c>
      <c r="AE444" t="s">
        <v>1360</v>
      </c>
      <c r="AF444" t="s">
        <v>1358</v>
      </c>
      <c r="AG444">
        <v>0</v>
      </c>
      <c r="AH444" t="s">
        <v>2231</v>
      </c>
      <c r="AI444">
        <v>1</v>
      </c>
      <c r="AJ444">
        <v>1</v>
      </c>
      <c r="AK444">
        <v>0</v>
      </c>
      <c r="AL444">
        <v>1</v>
      </c>
      <c r="AM444" t="s">
        <v>1362</v>
      </c>
      <c r="AN444" t="s">
        <v>1357</v>
      </c>
      <c r="AO444">
        <v>0</v>
      </c>
      <c r="AP444">
        <v>-1</v>
      </c>
      <c r="AQ444">
        <v>0</v>
      </c>
      <c r="AR444">
        <v>0</v>
      </c>
      <c r="AS444">
        <v>0</v>
      </c>
      <c r="AT444">
        <v>7</v>
      </c>
    </row>
    <row r="445" spans="1:46" hidden="1" x14ac:dyDescent="0.2">
      <c r="A445" t="s">
        <v>1353</v>
      </c>
      <c r="B445" t="s">
        <v>1354</v>
      </c>
      <c r="C445" t="s">
        <v>1353</v>
      </c>
      <c r="D445" t="s">
        <v>1355</v>
      </c>
      <c r="E445" t="s">
        <v>1356</v>
      </c>
      <c r="F445" t="s">
        <v>1357</v>
      </c>
      <c r="G445" t="s">
        <v>1355</v>
      </c>
      <c r="H445" t="s">
        <v>1358</v>
      </c>
      <c r="I445" t="s">
        <v>1355</v>
      </c>
      <c r="J445">
        <v>0</v>
      </c>
      <c r="K445">
        <v>0</v>
      </c>
      <c r="L445" t="s">
        <v>1355</v>
      </c>
      <c r="M445" t="s">
        <v>1355</v>
      </c>
      <c r="N445" t="s">
        <v>1355</v>
      </c>
      <c r="O445" t="s">
        <v>1359</v>
      </c>
      <c r="P445">
        <v>1</v>
      </c>
      <c r="Q445">
        <v>1</v>
      </c>
      <c r="R445">
        <v>0</v>
      </c>
      <c r="S445" t="s">
        <v>1355</v>
      </c>
      <c r="T445">
        <v>0</v>
      </c>
      <c r="U445">
        <v>0</v>
      </c>
      <c r="V445">
        <v>0</v>
      </c>
      <c r="W445" t="s">
        <v>1355</v>
      </c>
      <c r="X445" t="s">
        <v>1355</v>
      </c>
      <c r="Y445" t="s">
        <v>1355</v>
      </c>
      <c r="Z445">
        <v>0</v>
      </c>
      <c r="AA445">
        <v>0</v>
      </c>
      <c r="AB445">
        <v>0</v>
      </c>
      <c r="AC445" t="s">
        <v>1360</v>
      </c>
      <c r="AD445" t="s">
        <v>1360</v>
      </c>
      <c r="AE445" t="s">
        <v>1360</v>
      </c>
      <c r="AF445" t="s">
        <v>1358</v>
      </c>
      <c r="AG445">
        <v>0</v>
      </c>
      <c r="AH445" t="s">
        <v>2232</v>
      </c>
      <c r="AI445">
        <v>1</v>
      </c>
      <c r="AJ445">
        <v>1</v>
      </c>
      <c r="AK445">
        <v>0</v>
      </c>
      <c r="AL445">
        <v>1</v>
      </c>
      <c r="AM445" t="s">
        <v>1362</v>
      </c>
      <c r="AN445" t="s">
        <v>1357</v>
      </c>
      <c r="AO445">
        <v>1787.28</v>
      </c>
      <c r="AP445">
        <v>-1</v>
      </c>
      <c r="AQ445">
        <v>1787.28</v>
      </c>
      <c r="AR445">
        <v>1787.28</v>
      </c>
      <c r="AS445">
        <v>1787.28</v>
      </c>
      <c r="AT445">
        <v>7</v>
      </c>
    </row>
    <row r="446" spans="1:46" hidden="1" x14ac:dyDescent="0.2">
      <c r="A446" t="s">
        <v>1353</v>
      </c>
      <c r="B446" t="s">
        <v>1354</v>
      </c>
      <c r="C446" t="s">
        <v>1353</v>
      </c>
      <c r="D446" t="s">
        <v>1355</v>
      </c>
      <c r="E446" t="s">
        <v>1356</v>
      </c>
      <c r="F446" t="s">
        <v>1357</v>
      </c>
      <c r="G446" t="s">
        <v>1355</v>
      </c>
      <c r="H446" t="s">
        <v>1358</v>
      </c>
      <c r="I446" t="s">
        <v>1355</v>
      </c>
      <c r="J446">
        <v>0</v>
      </c>
      <c r="K446">
        <v>0</v>
      </c>
      <c r="L446" t="s">
        <v>1355</v>
      </c>
      <c r="M446" t="s">
        <v>1355</v>
      </c>
      <c r="N446" t="s">
        <v>1355</v>
      </c>
      <c r="O446" t="s">
        <v>1359</v>
      </c>
      <c r="P446">
        <v>1</v>
      </c>
      <c r="Q446">
        <v>1</v>
      </c>
      <c r="R446">
        <v>0</v>
      </c>
      <c r="S446" t="s">
        <v>1355</v>
      </c>
      <c r="T446">
        <v>0</v>
      </c>
      <c r="U446">
        <v>0</v>
      </c>
      <c r="V446">
        <v>0</v>
      </c>
      <c r="W446" t="s">
        <v>1355</v>
      </c>
      <c r="X446" t="s">
        <v>1355</v>
      </c>
      <c r="Y446" t="s">
        <v>1355</v>
      </c>
      <c r="Z446">
        <v>0</v>
      </c>
      <c r="AA446">
        <v>0</v>
      </c>
      <c r="AB446">
        <v>0</v>
      </c>
      <c r="AC446" t="s">
        <v>1360</v>
      </c>
      <c r="AD446" t="s">
        <v>1360</v>
      </c>
      <c r="AE446" t="s">
        <v>1360</v>
      </c>
      <c r="AF446" t="s">
        <v>1358</v>
      </c>
      <c r="AG446">
        <v>0</v>
      </c>
      <c r="AH446" t="s">
        <v>2233</v>
      </c>
      <c r="AI446">
        <v>1</v>
      </c>
      <c r="AJ446">
        <v>1</v>
      </c>
      <c r="AK446">
        <v>0</v>
      </c>
      <c r="AL446">
        <v>1</v>
      </c>
      <c r="AM446" t="s">
        <v>1362</v>
      </c>
      <c r="AN446" t="s">
        <v>1357</v>
      </c>
      <c r="AO446">
        <v>0</v>
      </c>
      <c r="AP446">
        <v>-1</v>
      </c>
      <c r="AQ446">
        <v>0</v>
      </c>
      <c r="AR446">
        <v>0</v>
      </c>
      <c r="AS446">
        <v>0</v>
      </c>
      <c r="AT446">
        <v>7</v>
      </c>
    </row>
    <row r="447" spans="1:46" hidden="1" x14ac:dyDescent="0.2">
      <c r="A447" t="s">
        <v>1353</v>
      </c>
      <c r="B447" t="s">
        <v>1354</v>
      </c>
      <c r="C447" t="s">
        <v>1353</v>
      </c>
      <c r="D447" t="s">
        <v>1355</v>
      </c>
      <c r="E447" t="s">
        <v>1356</v>
      </c>
      <c r="F447" t="s">
        <v>1357</v>
      </c>
      <c r="G447" t="s">
        <v>1355</v>
      </c>
      <c r="H447" t="s">
        <v>1358</v>
      </c>
      <c r="I447" t="s">
        <v>1355</v>
      </c>
      <c r="J447">
        <v>0</v>
      </c>
      <c r="K447">
        <v>0</v>
      </c>
      <c r="L447" t="s">
        <v>1355</v>
      </c>
      <c r="M447" t="s">
        <v>1355</v>
      </c>
      <c r="N447" t="s">
        <v>1355</v>
      </c>
      <c r="O447" t="s">
        <v>1359</v>
      </c>
      <c r="P447">
        <v>1</v>
      </c>
      <c r="Q447">
        <v>1</v>
      </c>
      <c r="R447">
        <v>0</v>
      </c>
      <c r="S447" t="s">
        <v>1355</v>
      </c>
      <c r="T447">
        <v>0</v>
      </c>
      <c r="U447">
        <v>0</v>
      </c>
      <c r="V447">
        <v>0</v>
      </c>
      <c r="W447" t="s">
        <v>1355</v>
      </c>
      <c r="X447" t="s">
        <v>1355</v>
      </c>
      <c r="Y447" t="s">
        <v>1355</v>
      </c>
      <c r="Z447">
        <v>0</v>
      </c>
      <c r="AA447">
        <v>0</v>
      </c>
      <c r="AB447">
        <v>0</v>
      </c>
      <c r="AC447" t="s">
        <v>1360</v>
      </c>
      <c r="AD447" t="s">
        <v>1360</v>
      </c>
      <c r="AE447" t="s">
        <v>1360</v>
      </c>
      <c r="AF447" t="s">
        <v>1358</v>
      </c>
      <c r="AG447">
        <v>0</v>
      </c>
      <c r="AH447" t="s">
        <v>2234</v>
      </c>
      <c r="AI447">
        <v>1</v>
      </c>
      <c r="AJ447">
        <v>1</v>
      </c>
      <c r="AK447">
        <v>0</v>
      </c>
      <c r="AL447">
        <v>1</v>
      </c>
      <c r="AM447" t="s">
        <v>1362</v>
      </c>
      <c r="AN447" t="s">
        <v>1357</v>
      </c>
      <c r="AO447">
        <v>0</v>
      </c>
      <c r="AP447">
        <v>-1</v>
      </c>
      <c r="AQ447">
        <v>0</v>
      </c>
      <c r="AR447">
        <v>0</v>
      </c>
      <c r="AS447">
        <v>0</v>
      </c>
      <c r="AT447">
        <v>7</v>
      </c>
    </row>
    <row r="448" spans="1:46" hidden="1" x14ac:dyDescent="0.2">
      <c r="A448" t="s">
        <v>1353</v>
      </c>
      <c r="B448" t="s">
        <v>1354</v>
      </c>
      <c r="C448" t="s">
        <v>1353</v>
      </c>
      <c r="D448" t="s">
        <v>1355</v>
      </c>
      <c r="E448" t="s">
        <v>1356</v>
      </c>
      <c r="F448" t="s">
        <v>1357</v>
      </c>
      <c r="G448" t="s">
        <v>1355</v>
      </c>
      <c r="H448" t="s">
        <v>1358</v>
      </c>
      <c r="I448" t="s">
        <v>1355</v>
      </c>
      <c r="J448">
        <v>0</v>
      </c>
      <c r="K448">
        <v>0</v>
      </c>
      <c r="L448" t="s">
        <v>1355</v>
      </c>
      <c r="M448" t="s">
        <v>1355</v>
      </c>
      <c r="N448" t="s">
        <v>1355</v>
      </c>
      <c r="O448" t="s">
        <v>1359</v>
      </c>
      <c r="P448">
        <v>1</v>
      </c>
      <c r="Q448">
        <v>1</v>
      </c>
      <c r="R448">
        <v>0</v>
      </c>
      <c r="S448" t="s">
        <v>1355</v>
      </c>
      <c r="T448">
        <v>0</v>
      </c>
      <c r="U448">
        <v>0</v>
      </c>
      <c r="V448">
        <v>0</v>
      </c>
      <c r="W448" t="s">
        <v>1355</v>
      </c>
      <c r="X448" t="s">
        <v>1355</v>
      </c>
      <c r="Y448" t="s">
        <v>1355</v>
      </c>
      <c r="Z448">
        <v>0</v>
      </c>
      <c r="AA448">
        <v>0</v>
      </c>
      <c r="AB448">
        <v>0</v>
      </c>
      <c r="AC448" t="s">
        <v>1360</v>
      </c>
      <c r="AD448" t="s">
        <v>1360</v>
      </c>
      <c r="AE448" t="s">
        <v>1360</v>
      </c>
      <c r="AF448" t="s">
        <v>1358</v>
      </c>
      <c r="AG448">
        <v>0</v>
      </c>
      <c r="AH448" t="s">
        <v>2235</v>
      </c>
      <c r="AI448">
        <v>1</v>
      </c>
      <c r="AJ448">
        <v>1</v>
      </c>
      <c r="AK448">
        <v>0</v>
      </c>
      <c r="AL448">
        <v>1</v>
      </c>
      <c r="AM448" t="s">
        <v>1362</v>
      </c>
      <c r="AN448" t="s">
        <v>1357</v>
      </c>
      <c r="AO448">
        <v>0</v>
      </c>
      <c r="AP448">
        <v>-1</v>
      </c>
      <c r="AQ448">
        <v>0</v>
      </c>
      <c r="AR448">
        <v>0</v>
      </c>
      <c r="AS448">
        <v>0</v>
      </c>
      <c r="AT448">
        <v>7</v>
      </c>
    </row>
  </sheetData>
  <autoFilter ref="A1:AT448" xr:uid="{00000000-0009-0000-0000-00000B000000}">
    <filterColumn colId="41">
      <filters>
        <filter val="0"/>
        <filter val="1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5"/>
  <dimension ref="A1:AA83"/>
  <sheetViews>
    <sheetView workbookViewId="0">
      <selection activeCell="F5" sqref="F5"/>
    </sheetView>
  </sheetViews>
  <sheetFormatPr defaultRowHeight="12.75" x14ac:dyDescent="0.2"/>
  <cols>
    <col min="1" max="1" width="8.85546875"/>
    <col min="2" max="2" width="28.28515625" bestFit="1" customWidth="1"/>
    <col min="3" max="3" width="12" bestFit="1" customWidth="1"/>
    <col min="4" max="4" width="9.85546875" bestFit="1" customWidth="1"/>
    <col min="5" max="6" width="10.28515625" customWidth="1"/>
    <col min="7" max="7" width="9.42578125" bestFit="1" customWidth="1"/>
    <col min="8" max="8" width="7.7109375" bestFit="1" customWidth="1"/>
    <col min="9" max="9" width="9.85546875" bestFit="1" customWidth="1"/>
    <col min="10" max="10" width="11.140625" bestFit="1" customWidth="1"/>
    <col min="11" max="11" width="14.7109375" bestFit="1" customWidth="1"/>
    <col min="12" max="12" width="10.42578125" bestFit="1" customWidth="1"/>
    <col min="13" max="13" width="33.28515625" bestFit="1" customWidth="1"/>
    <col min="14" max="14" width="33.28515625" customWidth="1"/>
    <col min="15" max="15" width="28.42578125" bestFit="1" customWidth="1"/>
    <col min="16" max="16" width="37.7109375" bestFit="1" customWidth="1"/>
    <col min="17" max="17" width="26.7109375" bestFit="1" customWidth="1"/>
    <col min="18" max="19" width="26.7109375" customWidth="1"/>
    <col min="20" max="20" width="23.85546875" bestFit="1" customWidth="1"/>
    <col min="21" max="21" width="26.28515625" bestFit="1" customWidth="1"/>
  </cols>
  <sheetData>
    <row r="1" spans="1:27" x14ac:dyDescent="0.2">
      <c r="C1" s="460" t="s">
        <v>2410</v>
      </c>
      <c r="D1" s="461"/>
      <c r="E1" s="461"/>
      <c r="F1" s="462" t="s">
        <v>2411</v>
      </c>
      <c r="G1" s="463"/>
      <c r="H1" s="463"/>
      <c r="I1" s="463"/>
      <c r="J1" s="463"/>
      <c r="K1" s="463"/>
      <c r="L1" s="463"/>
      <c r="M1" s="589"/>
      <c r="N1" s="589"/>
      <c r="O1" s="589"/>
      <c r="P1" s="589"/>
      <c r="Q1" s="461"/>
      <c r="R1" s="461"/>
      <c r="S1" s="463"/>
      <c r="T1" s="463"/>
    </row>
    <row r="2" spans="1:27" ht="13.5" thickBot="1" x14ac:dyDescent="0.25">
      <c r="A2" s="583" t="s">
        <v>2407</v>
      </c>
      <c r="B2" s="562" t="s">
        <v>2269</v>
      </c>
      <c r="C2" s="563" t="s">
        <v>1177</v>
      </c>
      <c r="D2" s="564" t="s">
        <v>1178</v>
      </c>
      <c r="E2" s="565" t="s">
        <v>1186</v>
      </c>
      <c r="F2" s="566" t="s">
        <v>1187</v>
      </c>
      <c r="G2" s="567" t="s">
        <v>1188</v>
      </c>
      <c r="H2" s="566" t="s">
        <v>1189</v>
      </c>
      <c r="I2" s="566" t="s">
        <v>1190</v>
      </c>
      <c r="J2" s="566" t="s">
        <v>2412</v>
      </c>
      <c r="K2" s="566" t="s">
        <v>2413</v>
      </c>
      <c r="L2" s="566" t="s">
        <v>2414</v>
      </c>
      <c r="M2" s="590" t="s">
        <v>2444</v>
      </c>
      <c r="N2" s="590" t="s">
        <v>2447</v>
      </c>
      <c r="O2" s="590" t="s">
        <v>2443</v>
      </c>
      <c r="P2" s="590" t="s">
        <v>2448</v>
      </c>
      <c r="Q2" s="564" t="s">
        <v>2460</v>
      </c>
      <c r="R2" s="564" t="s">
        <v>2461</v>
      </c>
      <c r="S2" s="566" t="s">
        <v>2463</v>
      </c>
      <c r="T2" s="566" t="s">
        <v>2464</v>
      </c>
      <c r="V2" s="191"/>
      <c r="W2" s="191"/>
      <c r="X2" s="191"/>
      <c r="Y2" s="191"/>
      <c r="Z2" s="191"/>
      <c r="AA2" s="191"/>
    </row>
    <row r="3" spans="1:27" ht="13.5" thickTop="1" x14ac:dyDescent="0.2">
      <c r="A3" s="191">
        <v>1</v>
      </c>
      <c r="B3" s="269" t="s">
        <v>2271</v>
      </c>
      <c r="C3" s="568">
        <v>0.3</v>
      </c>
      <c r="D3" s="569">
        <f>IF(impianto!$C$12="NO",'Elenchi controllo_Parametri'!Q3,'Elenchi controllo_Parametri'!R3)</f>
        <v>20</v>
      </c>
      <c r="E3" s="570">
        <v>0</v>
      </c>
      <c r="F3" s="571">
        <v>0.05</v>
      </c>
      <c r="G3" s="572">
        <v>1.6</v>
      </c>
      <c r="H3" s="571">
        <v>1.5</v>
      </c>
      <c r="I3" s="571">
        <f>IF(impianto!$C$12="NO",S3,T3)</f>
        <v>26</v>
      </c>
      <c r="J3" s="571">
        <v>1.7</v>
      </c>
      <c r="K3" s="571">
        <v>5</v>
      </c>
      <c r="L3" s="571">
        <v>8</v>
      </c>
      <c r="M3" s="591" t="s">
        <v>2442</v>
      </c>
      <c r="N3" s="593" t="s">
        <v>2449</v>
      </c>
      <c r="O3" s="591" t="s">
        <v>2439</v>
      </c>
      <c r="P3" s="593" t="s">
        <v>1258</v>
      </c>
      <c r="Q3" s="569">
        <v>20</v>
      </c>
      <c r="R3" s="569">
        <v>4</v>
      </c>
      <c r="S3" s="571">
        <v>26</v>
      </c>
      <c r="T3" s="571">
        <v>4</v>
      </c>
      <c r="V3" s="191"/>
      <c r="W3" s="191"/>
      <c r="X3" s="191"/>
      <c r="Y3" s="191"/>
      <c r="Z3" s="191"/>
      <c r="AA3" s="191"/>
    </row>
    <row r="4" spans="1:27" x14ac:dyDescent="0.2">
      <c r="A4" s="191">
        <v>2</v>
      </c>
      <c r="B4" s="269" t="s">
        <v>2272</v>
      </c>
      <c r="C4" s="568">
        <v>0.35</v>
      </c>
      <c r="D4" s="569">
        <f>IF(impianto!$C$12="NO",'Elenchi controllo_Parametri'!Q4,'Elenchi controllo_Parametri'!R4)</f>
        <v>21</v>
      </c>
      <c r="E4" s="570">
        <v>0</v>
      </c>
      <c r="F4" s="571">
        <v>0.05</v>
      </c>
      <c r="G4" s="572">
        <v>1.6</v>
      </c>
      <c r="H4" s="571">
        <v>1.5</v>
      </c>
      <c r="I4" s="571">
        <f>IF(impianto!$C$12="NO",S4,T4)</f>
        <v>26</v>
      </c>
      <c r="J4" s="571">
        <v>1.7</v>
      </c>
      <c r="K4" s="571">
        <v>5</v>
      </c>
      <c r="L4" s="571">
        <v>10</v>
      </c>
      <c r="M4" s="591" t="s">
        <v>2440</v>
      </c>
      <c r="N4" s="593" t="s">
        <v>2451</v>
      </c>
      <c r="O4" s="591" t="s">
        <v>2440</v>
      </c>
      <c r="P4" s="593" t="s">
        <v>2451</v>
      </c>
      <c r="Q4" s="569">
        <v>21</v>
      </c>
      <c r="R4" s="569">
        <v>4</v>
      </c>
      <c r="S4" s="571">
        <v>26</v>
      </c>
      <c r="T4" s="571">
        <v>4</v>
      </c>
      <c r="V4" s="191"/>
      <c r="W4" s="191"/>
      <c r="X4" s="191"/>
      <c r="Y4" s="191"/>
      <c r="Z4" s="191"/>
      <c r="AA4" s="191"/>
    </row>
    <row r="5" spans="1:27" x14ac:dyDescent="0.2">
      <c r="A5" s="191">
        <v>3</v>
      </c>
      <c r="B5" s="269" t="s">
        <v>2298</v>
      </c>
      <c r="C5" s="568">
        <v>0.3</v>
      </c>
      <c r="D5" s="569">
        <f>IF(impianto!$C$12="NO",'Elenchi controllo_Parametri'!Q5,'Elenchi controllo_Parametri'!R5)</f>
        <v>20</v>
      </c>
      <c r="E5" s="570">
        <v>0</v>
      </c>
      <c r="F5" s="571">
        <v>5.0000000000000001E-3</v>
      </c>
      <c r="G5" s="572">
        <v>0.8</v>
      </c>
      <c r="H5" s="571">
        <v>0.15</v>
      </c>
      <c r="I5" s="571">
        <f>IF(impianto!$C$12="NO",S5,T5)</f>
        <v>2.6</v>
      </c>
      <c r="J5" s="571">
        <v>0.17</v>
      </c>
      <c r="K5" s="571">
        <v>0.5</v>
      </c>
      <c r="L5" s="571">
        <v>0</v>
      </c>
      <c r="M5" s="591" t="s">
        <v>2442</v>
      </c>
      <c r="N5" s="593" t="s">
        <v>2449</v>
      </c>
      <c r="O5" s="591" t="s">
        <v>2442</v>
      </c>
      <c r="P5" s="593" t="s">
        <v>2449</v>
      </c>
      <c r="Q5" s="569">
        <v>20</v>
      </c>
      <c r="R5" s="569">
        <v>4</v>
      </c>
      <c r="S5" s="571">
        <v>2.6</v>
      </c>
      <c r="T5" s="571">
        <v>0.5</v>
      </c>
      <c r="V5" s="191"/>
      <c r="W5" s="191"/>
      <c r="X5" s="191"/>
      <c r="Y5" s="191"/>
      <c r="Z5" s="191"/>
      <c r="AA5" s="191"/>
    </row>
    <row r="6" spans="1:27" x14ac:dyDescent="0.2">
      <c r="A6" s="191">
        <v>4</v>
      </c>
      <c r="B6" s="269" t="s">
        <v>2270</v>
      </c>
      <c r="C6" s="573">
        <v>0.4</v>
      </c>
      <c r="D6" s="569">
        <f>IF(impianto!$C$12="NO",'Elenchi controllo_Parametri'!Q6,'Elenchi controllo_Parametri'!R6)</f>
        <v>8</v>
      </c>
      <c r="E6" s="574">
        <v>1.6</v>
      </c>
      <c r="F6" s="572">
        <v>0</v>
      </c>
      <c r="G6" s="572">
        <v>0</v>
      </c>
      <c r="H6" s="572">
        <v>0</v>
      </c>
      <c r="I6" s="571">
        <f>IF(impianto!$C$12="NO",S6,T6)</f>
        <v>0</v>
      </c>
      <c r="J6" s="572">
        <v>0</v>
      </c>
      <c r="K6" s="572">
        <v>0</v>
      </c>
      <c r="L6" s="572">
        <v>0</v>
      </c>
      <c r="M6" s="591" t="s">
        <v>2441</v>
      </c>
      <c r="N6" s="593" t="s">
        <v>2445</v>
      </c>
      <c r="O6" s="591" t="s">
        <v>2441</v>
      </c>
      <c r="P6" s="593" t="s">
        <v>2446</v>
      </c>
      <c r="Q6" s="573">
        <v>8</v>
      </c>
      <c r="R6" s="573">
        <v>3</v>
      </c>
      <c r="S6" s="572">
        <v>0</v>
      </c>
      <c r="T6" s="572">
        <v>0</v>
      </c>
      <c r="V6" s="191"/>
      <c r="W6" s="191"/>
      <c r="X6" s="191"/>
      <c r="Y6" s="191"/>
      <c r="Z6" s="191"/>
      <c r="AA6" s="191"/>
    </row>
    <row r="7" spans="1:27" s="42" customFormat="1" x14ac:dyDescent="0.2">
      <c r="A7" s="605">
        <v>5</v>
      </c>
      <c r="B7" s="606" t="s">
        <v>1184</v>
      </c>
      <c r="C7" s="607">
        <v>0.4</v>
      </c>
      <c r="D7" s="722">
        <f>IF(impianto!$C$12="NO",'Elenchi controllo_Parametri'!Q7,'Elenchi controllo_Parametri'!R7)</f>
        <v>24</v>
      </c>
      <c r="E7" s="608">
        <v>1.6</v>
      </c>
      <c r="F7" s="609">
        <v>0</v>
      </c>
      <c r="G7" s="609">
        <v>0</v>
      </c>
      <c r="H7" s="609">
        <v>0</v>
      </c>
      <c r="I7" s="571">
        <f>IF(impianto!$C$12="NO",S7,T7)</f>
        <v>0</v>
      </c>
      <c r="J7" s="609">
        <v>0</v>
      </c>
      <c r="K7" s="609">
        <v>0</v>
      </c>
      <c r="L7" s="609">
        <v>0</v>
      </c>
      <c r="M7" s="610" t="s">
        <v>2442</v>
      </c>
      <c r="N7" s="611" t="s">
        <v>2449</v>
      </c>
      <c r="O7" s="610" t="s">
        <v>2442</v>
      </c>
      <c r="P7" s="611" t="s">
        <v>2449</v>
      </c>
      <c r="Q7" s="607">
        <v>24</v>
      </c>
      <c r="R7" s="607">
        <v>6</v>
      </c>
      <c r="S7" s="609">
        <v>0</v>
      </c>
      <c r="T7" s="609">
        <v>0</v>
      </c>
      <c r="U7" s="605"/>
      <c r="V7" s="605"/>
      <c r="W7" s="605"/>
      <c r="X7" s="605"/>
      <c r="Y7" s="605"/>
      <c r="Z7" s="605"/>
      <c r="AA7" s="605"/>
    </row>
    <row r="8" spans="1:27" x14ac:dyDescent="0.2">
      <c r="A8" s="191">
        <v>1</v>
      </c>
      <c r="B8" s="269">
        <f>A8+1</f>
        <v>2</v>
      </c>
      <c r="C8" s="269">
        <f t="shared" ref="C8:Q8" si="0">B8+1</f>
        <v>3</v>
      </c>
      <c r="D8" s="269">
        <f t="shared" si="0"/>
        <v>4</v>
      </c>
      <c r="E8" s="269">
        <f>D8+1</f>
        <v>5</v>
      </c>
      <c r="F8" s="269">
        <f t="shared" si="0"/>
        <v>6</v>
      </c>
      <c r="G8" s="269">
        <f t="shared" si="0"/>
        <v>7</v>
      </c>
      <c r="H8" s="269">
        <f t="shared" si="0"/>
        <v>8</v>
      </c>
      <c r="I8" s="269">
        <f t="shared" si="0"/>
        <v>9</v>
      </c>
      <c r="J8" s="269">
        <f t="shared" si="0"/>
        <v>10</v>
      </c>
      <c r="K8" s="269">
        <f t="shared" si="0"/>
        <v>11</v>
      </c>
      <c r="L8" s="269">
        <f t="shared" si="0"/>
        <v>12</v>
      </c>
      <c r="M8" s="269">
        <f t="shared" si="0"/>
        <v>13</v>
      </c>
      <c r="N8" s="269">
        <f t="shared" si="0"/>
        <v>14</v>
      </c>
      <c r="O8" s="269">
        <f t="shared" si="0"/>
        <v>15</v>
      </c>
      <c r="P8" s="269">
        <f t="shared" si="0"/>
        <v>16</v>
      </c>
      <c r="Q8" s="269">
        <f t="shared" si="0"/>
        <v>17</v>
      </c>
      <c r="R8" s="269"/>
      <c r="S8" s="269"/>
      <c r="T8" s="269">
        <f>Q8+1</f>
        <v>18</v>
      </c>
      <c r="U8" s="191"/>
      <c r="V8" s="191"/>
      <c r="W8" s="191"/>
      <c r="X8" s="191"/>
      <c r="Y8" s="191"/>
      <c r="Z8" s="191"/>
      <c r="AA8" s="191"/>
    </row>
    <row r="9" spans="1:27" x14ac:dyDescent="0.2">
      <c r="A9" s="191"/>
      <c r="B9" s="562" t="s">
        <v>2375</v>
      </c>
      <c r="C9" s="269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562" t="s">
        <v>2388</v>
      </c>
      <c r="R9" s="562"/>
      <c r="S9" s="562"/>
      <c r="T9" s="191"/>
      <c r="U9" s="191"/>
      <c r="V9" s="191"/>
      <c r="W9" s="191"/>
      <c r="X9" s="191"/>
      <c r="Y9" s="191"/>
      <c r="Z9" s="191"/>
      <c r="AA9" s="191"/>
    </row>
    <row r="10" spans="1:27" x14ac:dyDescent="0.2">
      <c r="A10" s="191"/>
      <c r="B10" s="269" t="s">
        <v>2376</v>
      </c>
      <c r="C10" s="269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>
        <v>1.3</v>
      </c>
      <c r="R10" s="191"/>
      <c r="S10" s="191"/>
      <c r="T10" s="191"/>
      <c r="U10" s="191"/>
      <c r="V10" s="191"/>
      <c r="W10" s="191"/>
      <c r="X10" s="191"/>
      <c r="Y10" s="191"/>
      <c r="Z10" s="191"/>
      <c r="AA10" s="191"/>
    </row>
    <row r="11" spans="1:27" x14ac:dyDescent="0.2">
      <c r="A11" s="191"/>
      <c r="B11" s="269" t="s">
        <v>2377</v>
      </c>
      <c r="C11" s="269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</row>
    <row r="12" spans="1:27" ht="13.5" thickBot="1" x14ac:dyDescent="0.25">
      <c r="A12" s="191"/>
      <c r="B12" s="269"/>
      <c r="C12" s="269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</row>
    <row r="13" spans="1:27" ht="13.5" thickBot="1" x14ac:dyDescent="0.25">
      <c r="A13" s="191"/>
      <c r="B13" s="562" t="s">
        <v>2388</v>
      </c>
      <c r="C13" s="761">
        <v>1.3</v>
      </c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</row>
    <row r="14" spans="1:27" ht="13.5" thickBot="1" x14ac:dyDescent="0.25">
      <c r="A14" s="191"/>
      <c r="B14" s="562" t="s">
        <v>2467</v>
      </c>
      <c r="C14" s="762">
        <f>E77/E83</f>
        <v>0.74239350912778901</v>
      </c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</row>
    <row r="15" spans="1:27" x14ac:dyDescent="0.2">
      <c r="A15" s="191"/>
      <c r="B15" s="269"/>
      <c r="C15" s="269"/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</row>
    <row r="16" spans="1:27" x14ac:dyDescent="0.2">
      <c r="A16" s="191"/>
      <c r="B16" s="269"/>
      <c r="C16" s="269"/>
      <c r="D16" s="191"/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</row>
    <row r="17" spans="1:27" x14ac:dyDescent="0.2">
      <c r="A17" s="191"/>
      <c r="B17" s="562" t="s">
        <v>2459</v>
      </c>
      <c r="C17" s="721" t="str">
        <f>impianto!A12</f>
        <v>NO</v>
      </c>
      <c r="D17" s="191"/>
      <c r="E17" s="191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</row>
    <row r="18" spans="1:27" x14ac:dyDescent="0.2">
      <c r="A18" s="191"/>
      <c r="B18" s="562"/>
      <c r="C18" s="719"/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</row>
    <row r="19" spans="1:27" x14ac:dyDescent="0.2">
      <c r="A19" s="191"/>
      <c r="B19" s="562" t="s">
        <v>2274</v>
      </c>
      <c r="C19" s="269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1"/>
      <c r="Q19" s="191"/>
      <c r="R19" s="191"/>
      <c r="S19" s="191"/>
      <c r="T19" s="191"/>
      <c r="V19" s="191"/>
      <c r="W19" s="191"/>
      <c r="X19" s="191"/>
      <c r="Y19" s="191"/>
      <c r="Z19" s="191"/>
      <c r="AA19" s="191"/>
    </row>
    <row r="20" spans="1:27" x14ac:dyDescent="0.2">
      <c r="A20" s="191"/>
      <c r="B20" s="269" t="s">
        <v>2275</v>
      </c>
      <c r="C20" s="269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O20" s="191"/>
      <c r="P20" s="191"/>
      <c r="Q20" s="191"/>
      <c r="R20" s="191"/>
      <c r="S20" s="191"/>
      <c r="T20" s="191"/>
      <c r="V20" s="191"/>
      <c r="W20" s="191"/>
      <c r="X20" s="191"/>
      <c r="Y20" s="191"/>
      <c r="Z20" s="191"/>
      <c r="AA20" s="191"/>
    </row>
    <row r="21" spans="1:27" x14ac:dyDescent="0.2">
      <c r="A21" s="191"/>
      <c r="B21" s="269" t="s">
        <v>2276</v>
      </c>
      <c r="C21" s="269"/>
      <c r="D21" s="191"/>
      <c r="E21" s="191"/>
      <c r="F21" s="191"/>
      <c r="G21" s="191"/>
      <c r="H21" s="191"/>
      <c r="I21" s="191"/>
      <c r="J21" s="191"/>
      <c r="L21" s="191"/>
      <c r="M21" s="191"/>
      <c r="O21" s="191"/>
      <c r="P21" s="191"/>
      <c r="R21" s="191"/>
      <c r="S21" s="191"/>
      <c r="T21" s="191"/>
      <c r="V21" s="191"/>
      <c r="W21" s="191"/>
      <c r="X21" s="191"/>
      <c r="Y21" s="191"/>
      <c r="Z21" s="191"/>
      <c r="AA21" s="191"/>
    </row>
    <row r="22" spans="1:27" x14ac:dyDescent="0.2">
      <c r="A22" s="191"/>
      <c r="B22" s="269" t="s">
        <v>2277</v>
      </c>
      <c r="C22" s="191"/>
      <c r="D22" s="191"/>
      <c r="E22" s="191"/>
      <c r="F22" s="191"/>
      <c r="G22" s="191"/>
      <c r="H22" s="191"/>
      <c r="I22" s="191"/>
      <c r="J22" s="191"/>
      <c r="L22" s="191"/>
      <c r="M22" s="191"/>
      <c r="O22" s="191"/>
      <c r="P22" s="191"/>
      <c r="R22" s="191"/>
      <c r="S22" s="191"/>
      <c r="T22" s="191"/>
      <c r="V22" s="191"/>
      <c r="W22" s="191"/>
      <c r="X22" s="191"/>
      <c r="Y22" s="191"/>
      <c r="Z22" s="191"/>
      <c r="AA22" s="191"/>
    </row>
    <row r="23" spans="1:27" x14ac:dyDescent="0.2">
      <c r="A23" s="191"/>
      <c r="B23" s="269" t="s">
        <v>2278</v>
      </c>
      <c r="C23" s="191"/>
      <c r="D23" s="191"/>
      <c r="E23" s="191"/>
      <c r="F23" s="191"/>
      <c r="G23" s="191"/>
      <c r="H23" s="191"/>
      <c r="I23" s="191"/>
      <c r="J23" s="191"/>
      <c r="L23" s="191"/>
      <c r="M23" s="191"/>
      <c r="O23" s="191"/>
      <c r="P23" s="191"/>
      <c r="R23" s="191"/>
      <c r="S23" s="191"/>
      <c r="T23" s="191"/>
      <c r="V23" s="191"/>
      <c r="W23" s="191"/>
      <c r="X23" s="191"/>
      <c r="Y23" s="191"/>
      <c r="Z23" s="191"/>
      <c r="AA23" s="191"/>
    </row>
    <row r="24" spans="1:27" x14ac:dyDescent="0.2">
      <c r="A24" s="191"/>
      <c r="B24" s="269"/>
      <c r="C24" s="191"/>
      <c r="D24" s="191"/>
      <c r="E24" s="191"/>
      <c r="F24" s="191"/>
      <c r="G24" s="191"/>
      <c r="H24" s="191"/>
      <c r="I24" s="191"/>
      <c r="J24" s="191"/>
      <c r="L24" s="191"/>
      <c r="M24" s="191"/>
      <c r="O24" s="191"/>
      <c r="P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</row>
    <row r="25" spans="1:27" x14ac:dyDescent="0.2">
      <c r="A25" s="583" t="s">
        <v>2407</v>
      </c>
      <c r="B25" s="562" t="s">
        <v>2389</v>
      </c>
      <c r="C25" s="191"/>
      <c r="D25" s="191"/>
      <c r="E25" s="191"/>
      <c r="F25" s="191"/>
      <c r="G25" s="191"/>
      <c r="H25" s="191"/>
      <c r="I25" s="191"/>
      <c r="J25" s="191"/>
      <c r="L25" s="191"/>
      <c r="M25" s="191"/>
      <c r="N25" s="191"/>
      <c r="O25" s="191"/>
      <c r="P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</row>
    <row r="26" spans="1:27" x14ac:dyDescent="0.2">
      <c r="A26" s="191">
        <v>1</v>
      </c>
      <c r="B26" s="269" t="s">
        <v>2275</v>
      </c>
      <c r="C26" s="191">
        <v>1</v>
      </c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</row>
    <row r="27" spans="1:27" x14ac:dyDescent="0.2">
      <c r="A27" s="191">
        <v>2</v>
      </c>
      <c r="B27" s="269" t="s">
        <v>2276</v>
      </c>
      <c r="C27" s="191">
        <v>1.3</v>
      </c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</row>
    <row r="28" spans="1:27" x14ac:dyDescent="0.2">
      <c r="A28" s="191">
        <v>3</v>
      </c>
      <c r="B28" s="269" t="s">
        <v>2277</v>
      </c>
      <c r="C28" s="191">
        <v>1.1499999999999999</v>
      </c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</row>
    <row r="29" spans="1:27" x14ac:dyDescent="0.2">
      <c r="A29" s="191">
        <v>4</v>
      </c>
      <c r="B29" s="269" t="s">
        <v>2278</v>
      </c>
      <c r="C29" s="191">
        <v>1.1000000000000001</v>
      </c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</row>
    <row r="30" spans="1:27" x14ac:dyDescent="0.2">
      <c r="A30" s="191"/>
      <c r="B30" s="269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</row>
    <row r="31" spans="1:27" x14ac:dyDescent="0.2">
      <c r="A31" s="191"/>
      <c r="B31" s="269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</row>
    <row r="32" spans="1:27" ht="13.5" thickBot="1" x14ac:dyDescent="0.25">
      <c r="A32" s="191"/>
      <c r="B32" s="575" t="s">
        <v>1173</v>
      </c>
      <c r="C32" s="576"/>
      <c r="D32" s="576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576"/>
      <c r="R32" s="579"/>
      <c r="S32" s="579"/>
      <c r="T32" s="191"/>
      <c r="U32" s="191"/>
      <c r="V32" s="191"/>
      <c r="W32" s="191"/>
      <c r="X32" s="191"/>
      <c r="Y32" s="191"/>
      <c r="Z32" s="191"/>
      <c r="AA32" s="191"/>
    </row>
    <row r="33" spans="1:27" ht="13.5" thickBot="1" x14ac:dyDescent="0.25">
      <c r="A33" s="191"/>
      <c r="B33" s="577" t="s">
        <v>744</v>
      </c>
      <c r="C33" s="364">
        <v>2.4</v>
      </c>
      <c r="D33" s="578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578"/>
      <c r="R33" s="578"/>
      <c r="S33" s="578"/>
      <c r="T33" s="191"/>
      <c r="U33" s="191"/>
      <c r="V33" s="191"/>
      <c r="W33" s="191"/>
      <c r="X33" s="191"/>
      <c r="Y33" s="191"/>
      <c r="Z33" s="191"/>
      <c r="AA33" s="191"/>
    </row>
    <row r="34" spans="1:27" ht="13.5" thickBot="1" x14ac:dyDescent="0.25">
      <c r="A34" s="191"/>
      <c r="B34" s="577" t="s">
        <v>739</v>
      </c>
      <c r="C34" s="278">
        <f>4/60</f>
        <v>6.6666666666666666E-2</v>
      </c>
      <c r="D34" s="578"/>
      <c r="E34" s="191"/>
      <c r="F34" s="191"/>
      <c r="G34" s="191"/>
      <c r="I34" s="191"/>
      <c r="J34" s="191"/>
      <c r="K34" s="191"/>
      <c r="L34" s="191"/>
      <c r="M34" s="191"/>
      <c r="N34" s="191"/>
      <c r="O34" s="191"/>
      <c r="P34" s="191"/>
      <c r="Q34" s="578"/>
      <c r="R34" s="578"/>
      <c r="S34" s="578"/>
      <c r="T34" s="191"/>
      <c r="U34" s="191"/>
      <c r="V34" s="191"/>
      <c r="W34" s="191"/>
      <c r="X34" s="191"/>
      <c r="Y34" s="191"/>
      <c r="Z34" s="191"/>
      <c r="AA34" s="191"/>
    </row>
    <row r="35" spans="1:27" ht="13.5" thickBot="1" x14ac:dyDescent="0.25">
      <c r="A35" s="191"/>
      <c r="B35" s="577" t="s">
        <v>2372</v>
      </c>
      <c r="C35" s="278">
        <v>26</v>
      </c>
      <c r="D35" s="578"/>
      <c r="E35" s="191"/>
      <c r="F35" s="191"/>
      <c r="G35" s="191"/>
      <c r="I35" s="191"/>
      <c r="J35" s="191"/>
      <c r="K35" s="191"/>
      <c r="L35" s="191"/>
      <c r="M35" s="191"/>
      <c r="N35" s="191"/>
      <c r="O35" s="191"/>
      <c r="P35" s="191"/>
      <c r="Q35" s="578"/>
      <c r="R35" s="578"/>
      <c r="S35" s="578"/>
      <c r="T35" s="191"/>
      <c r="U35" s="191"/>
      <c r="V35" s="191"/>
      <c r="W35" s="191"/>
      <c r="X35" s="191"/>
      <c r="Y35" s="191"/>
      <c r="Z35" s="191"/>
      <c r="AA35" s="191"/>
    </row>
    <row r="36" spans="1:27" ht="13.5" thickBot="1" x14ac:dyDescent="0.25">
      <c r="A36" s="191"/>
      <c r="B36" s="577" t="s">
        <v>2373</v>
      </c>
      <c r="C36" s="278">
        <v>10</v>
      </c>
      <c r="D36" s="578"/>
      <c r="E36" s="191"/>
      <c r="F36" s="191"/>
      <c r="G36" s="191"/>
      <c r="I36" s="191"/>
      <c r="J36" s="191"/>
      <c r="K36" s="191"/>
      <c r="L36" s="191"/>
      <c r="M36" s="191"/>
      <c r="N36" s="191"/>
      <c r="O36" s="191"/>
      <c r="P36" s="191"/>
      <c r="Q36" s="578"/>
      <c r="R36" s="578"/>
      <c r="S36" s="578"/>
      <c r="T36" s="191"/>
      <c r="U36" s="191"/>
      <c r="V36" s="191"/>
      <c r="W36" s="191"/>
      <c r="X36" s="191"/>
      <c r="Y36" s="191"/>
      <c r="Z36" s="191"/>
      <c r="AA36" s="191"/>
    </row>
    <row r="37" spans="1:27" ht="13.5" thickBot="1" x14ac:dyDescent="0.25">
      <c r="A37" s="191"/>
      <c r="B37" s="577" t="s">
        <v>2374</v>
      </c>
      <c r="C37" s="278">
        <v>5</v>
      </c>
      <c r="D37" s="578"/>
      <c r="E37" s="191"/>
      <c r="F37" s="191"/>
      <c r="G37" s="191"/>
      <c r="I37" s="191"/>
      <c r="J37" s="191"/>
      <c r="K37" s="191"/>
      <c r="L37" s="191"/>
      <c r="M37" s="191"/>
      <c r="N37" s="191"/>
      <c r="O37" s="191"/>
      <c r="P37" s="191"/>
      <c r="Q37" s="578"/>
      <c r="R37" s="578"/>
      <c r="S37" s="578"/>
      <c r="T37" s="191"/>
      <c r="U37" s="191"/>
      <c r="V37" s="191"/>
      <c r="W37" s="191"/>
      <c r="X37" s="191"/>
      <c r="Y37" s="191"/>
      <c r="Z37" s="191"/>
      <c r="AA37" s="191"/>
    </row>
    <row r="38" spans="1:27" x14ac:dyDescent="0.2">
      <c r="A38" s="191"/>
      <c r="B38" s="579"/>
      <c r="C38" s="579"/>
      <c r="D38" s="579"/>
      <c r="E38" s="191"/>
      <c r="F38" s="191"/>
      <c r="G38" s="191"/>
      <c r="I38" s="191"/>
      <c r="J38" s="191"/>
      <c r="K38" s="191"/>
      <c r="L38" s="191"/>
      <c r="M38" s="191"/>
      <c r="N38" s="191"/>
      <c r="O38" s="191"/>
      <c r="P38" s="191"/>
      <c r="Q38" s="579"/>
      <c r="R38" s="579"/>
      <c r="S38" s="579"/>
      <c r="T38" s="191"/>
      <c r="U38" s="191"/>
      <c r="V38" s="191"/>
      <c r="W38" s="191"/>
      <c r="X38" s="191"/>
      <c r="Y38" s="191"/>
      <c r="Z38" s="191"/>
      <c r="AA38" s="191"/>
    </row>
    <row r="39" spans="1:27" x14ac:dyDescent="0.2">
      <c r="A39" s="191"/>
      <c r="B39" s="575" t="s">
        <v>1173</v>
      </c>
      <c r="C39" s="580" t="s">
        <v>2381</v>
      </c>
      <c r="D39" s="581" t="s">
        <v>2298</v>
      </c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</row>
    <row r="40" spans="1:27" x14ac:dyDescent="0.2">
      <c r="A40" s="191"/>
      <c r="B40" s="723" t="s">
        <v>2465</v>
      </c>
      <c r="C40" s="724">
        <f>IF(impianto!E2&gt;=4,1,0)</f>
        <v>0</v>
      </c>
      <c r="D40" s="724">
        <f>IF(impianto!E2=3,1,0)</f>
        <v>1</v>
      </c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</row>
    <row r="41" spans="1:27" x14ac:dyDescent="0.2">
      <c r="A41" s="191"/>
      <c r="B41" s="725" t="s">
        <v>2466</v>
      </c>
      <c r="C41" s="726">
        <f>IF(impianto!E5&gt;=4,1,0)</f>
        <v>0</v>
      </c>
      <c r="D41" s="726">
        <f>IF(impianto!E5=3,1,0)</f>
        <v>0</v>
      </c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</row>
    <row r="42" spans="1:27" ht="13.5" thickBot="1" x14ac:dyDescent="0.25">
      <c r="A42" s="191"/>
      <c r="B42" s="575" t="s">
        <v>1173</v>
      </c>
      <c r="C42" s="580" t="s">
        <v>2381</v>
      </c>
      <c r="D42" s="581" t="s">
        <v>2298</v>
      </c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</row>
    <row r="43" spans="1:27" ht="13.5" thickBot="1" x14ac:dyDescent="0.25">
      <c r="A43" s="191"/>
      <c r="B43" s="577" t="s">
        <v>2384</v>
      </c>
      <c r="C43" s="278">
        <v>10</v>
      </c>
      <c r="D43" s="351">
        <v>5</v>
      </c>
      <c r="E43" s="191"/>
      <c r="F43" s="278">
        <v>20</v>
      </c>
      <c r="G43" s="191"/>
      <c r="H43" s="191"/>
      <c r="I43" s="191"/>
      <c r="J43" s="191"/>
      <c r="K43" s="191"/>
      <c r="L43" s="191"/>
      <c r="M43" s="191"/>
      <c r="N43" s="191"/>
      <c r="O43" s="191"/>
    </row>
    <row r="44" spans="1:27" ht="13.5" thickBot="1" x14ac:dyDescent="0.25">
      <c r="A44" s="191"/>
      <c r="B44" s="577" t="s">
        <v>2385</v>
      </c>
      <c r="C44" s="278">
        <v>5</v>
      </c>
      <c r="D44" s="351">
        <v>3</v>
      </c>
      <c r="E44" s="191"/>
      <c r="F44" s="278">
        <v>10</v>
      </c>
      <c r="G44" s="191"/>
      <c r="H44" s="191"/>
      <c r="I44" s="191"/>
      <c r="J44" s="191"/>
      <c r="K44" s="191"/>
      <c r="L44" s="191"/>
      <c r="M44" s="191"/>
      <c r="N44" s="191"/>
      <c r="O44" s="191"/>
    </row>
    <row r="45" spans="1:27" ht="13.5" thickBot="1" x14ac:dyDescent="0.25">
      <c r="A45" s="191"/>
      <c r="B45" s="577" t="s">
        <v>2386</v>
      </c>
      <c r="C45" s="278">
        <v>3</v>
      </c>
      <c r="D45" s="351">
        <v>2</v>
      </c>
      <c r="E45" s="191"/>
      <c r="F45" s="278">
        <v>5</v>
      </c>
      <c r="G45" s="191"/>
      <c r="H45" s="191"/>
      <c r="I45" s="191"/>
      <c r="J45" s="191"/>
      <c r="K45" s="191"/>
      <c r="L45" s="191"/>
      <c r="M45" s="191"/>
      <c r="N45" s="191"/>
      <c r="O45" s="191"/>
    </row>
    <row r="46" spans="1:27" ht="13.5" thickBot="1" x14ac:dyDescent="0.25">
      <c r="A46" s="191"/>
      <c r="B46" s="577" t="s">
        <v>1167</v>
      </c>
      <c r="C46" s="278">
        <v>3</v>
      </c>
      <c r="D46" s="351">
        <v>6</v>
      </c>
      <c r="E46" s="191"/>
      <c r="F46" s="278">
        <v>3</v>
      </c>
      <c r="G46" s="191"/>
      <c r="H46" s="191"/>
      <c r="I46" s="191"/>
      <c r="J46" s="191"/>
      <c r="K46" s="191"/>
      <c r="L46" s="191"/>
      <c r="M46" s="191"/>
      <c r="N46" s="191"/>
      <c r="O46" s="191"/>
    </row>
    <row r="47" spans="1:27" ht="13.5" thickBot="1" x14ac:dyDescent="0.25">
      <c r="A47" s="191"/>
      <c r="B47" s="577" t="s">
        <v>1168</v>
      </c>
      <c r="C47" s="278">
        <v>5</v>
      </c>
      <c r="D47" s="351">
        <v>10</v>
      </c>
      <c r="E47" s="191"/>
      <c r="F47" s="278">
        <v>5</v>
      </c>
      <c r="G47" s="191"/>
      <c r="H47" s="191"/>
      <c r="I47" s="191"/>
      <c r="J47" s="191"/>
      <c r="K47" s="191"/>
      <c r="L47" s="191"/>
      <c r="M47" s="191"/>
      <c r="N47" s="191"/>
      <c r="O47" s="191"/>
    </row>
    <row r="48" spans="1:27" ht="13.5" thickBot="1" x14ac:dyDescent="0.25">
      <c r="A48" s="191"/>
      <c r="B48" s="577" t="s">
        <v>1169</v>
      </c>
      <c r="C48" s="278">
        <v>5</v>
      </c>
      <c r="D48" s="351">
        <v>10</v>
      </c>
      <c r="E48" s="191"/>
      <c r="F48" s="278">
        <v>5</v>
      </c>
      <c r="G48" s="191"/>
      <c r="H48" s="191"/>
      <c r="I48" s="191"/>
      <c r="J48" s="191"/>
      <c r="K48" s="191"/>
      <c r="L48" s="191"/>
      <c r="M48" s="191"/>
      <c r="N48" s="191"/>
      <c r="O48" s="191"/>
    </row>
    <row r="49" spans="1:27" ht="13.5" thickBot="1" x14ac:dyDescent="0.25">
      <c r="A49" s="191"/>
      <c r="B49" s="577" t="s">
        <v>1170</v>
      </c>
      <c r="C49" s="278">
        <v>1</v>
      </c>
      <c r="D49" s="351">
        <v>2</v>
      </c>
      <c r="E49" s="191"/>
      <c r="F49" s="278">
        <v>1</v>
      </c>
      <c r="G49" s="191"/>
      <c r="H49" s="191"/>
      <c r="I49" s="191"/>
      <c r="J49" s="191"/>
      <c r="K49" s="191"/>
      <c r="L49" s="191"/>
      <c r="M49" s="191"/>
      <c r="N49" s="191"/>
      <c r="O49" s="191"/>
    </row>
    <row r="50" spans="1:27" ht="13.5" thickBot="1" x14ac:dyDescent="0.25">
      <c r="A50" s="191"/>
      <c r="B50" s="577" t="s">
        <v>1171</v>
      </c>
      <c r="C50" s="278">
        <v>3</v>
      </c>
      <c r="D50" s="351">
        <v>6</v>
      </c>
      <c r="E50" s="191"/>
      <c r="F50" s="278">
        <v>3</v>
      </c>
      <c r="G50" s="191"/>
      <c r="H50" s="191"/>
      <c r="I50" s="191"/>
      <c r="J50" s="191"/>
      <c r="K50" s="191"/>
      <c r="L50" s="191"/>
      <c r="M50" s="191"/>
      <c r="N50" s="191"/>
      <c r="O50" s="191"/>
    </row>
    <row r="51" spans="1:27" ht="13.5" thickBot="1" x14ac:dyDescent="0.25">
      <c r="A51" s="191"/>
      <c r="B51" s="577" t="s">
        <v>1172</v>
      </c>
      <c r="C51" s="278">
        <v>3</v>
      </c>
      <c r="D51" s="351">
        <v>6</v>
      </c>
      <c r="E51" s="191"/>
      <c r="F51" s="278">
        <v>3</v>
      </c>
      <c r="G51" s="191"/>
      <c r="H51" s="191"/>
      <c r="I51" s="191"/>
      <c r="J51" s="191"/>
      <c r="K51" s="191"/>
      <c r="L51" s="191"/>
      <c r="M51" s="191"/>
      <c r="N51" s="191"/>
      <c r="O51" s="191"/>
    </row>
    <row r="52" spans="1:27" x14ac:dyDescent="0.2">
      <c r="A52" s="191"/>
      <c r="B52" s="720"/>
      <c r="C52" s="272"/>
      <c r="D52" s="718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</row>
    <row r="53" spans="1:27" x14ac:dyDescent="0.2">
      <c r="A53" s="191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</row>
    <row r="54" spans="1:27" x14ac:dyDescent="0.2">
      <c r="A54" s="191"/>
      <c r="B54" s="191"/>
      <c r="C54" s="191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</row>
    <row r="55" spans="1:27" x14ac:dyDescent="0.2">
      <c r="A55" s="191"/>
      <c r="B55" s="191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</row>
    <row r="56" spans="1:27" x14ac:dyDescent="0.2">
      <c r="A56" s="191"/>
      <c r="B56" s="582" t="s">
        <v>2396</v>
      </c>
      <c r="C56" s="763">
        <v>3</v>
      </c>
      <c r="D56" s="764"/>
      <c r="E56" s="764">
        <f>C56+1</f>
        <v>4</v>
      </c>
      <c r="F56" s="764"/>
      <c r="G56" s="764">
        <f t="shared" ref="G56" si="1">E56+1</f>
        <v>5</v>
      </c>
      <c r="H56" s="764"/>
      <c r="I56" s="764">
        <f t="shared" ref="I56" si="2">G56+1</f>
        <v>6</v>
      </c>
      <c r="J56" s="764"/>
      <c r="K56" s="764">
        <f t="shared" ref="K56" si="3">I56+1</f>
        <v>7</v>
      </c>
      <c r="L56" s="764"/>
      <c r="M56" s="764">
        <f t="shared" ref="M56" si="4">K56+1</f>
        <v>8</v>
      </c>
      <c r="N56" s="764"/>
      <c r="O56" s="764">
        <f t="shared" ref="O56" si="5">M56+1</f>
        <v>9</v>
      </c>
      <c r="P56" s="764"/>
      <c r="Q56" s="764">
        <f t="shared" ref="Q56" si="6">O56+1</f>
        <v>10</v>
      </c>
      <c r="R56" s="764"/>
      <c r="S56" s="764">
        <f t="shared" ref="S56" si="7">Q56+1</f>
        <v>11</v>
      </c>
      <c r="T56" s="764"/>
      <c r="U56" s="764">
        <f t="shared" ref="U56" si="8">S56+1</f>
        <v>12</v>
      </c>
      <c r="V56" s="191"/>
      <c r="W56" s="191"/>
      <c r="X56" s="191"/>
      <c r="Y56" s="191"/>
      <c r="Z56" s="191"/>
      <c r="AA56" s="191"/>
    </row>
    <row r="57" spans="1:27" x14ac:dyDescent="0.2">
      <c r="A57" s="191"/>
      <c r="B57" s="191"/>
      <c r="C57" s="765"/>
      <c r="D57" s="765"/>
      <c r="E57" s="765"/>
      <c r="F57" s="765"/>
      <c r="G57" s="765"/>
      <c r="H57" s="765"/>
      <c r="I57" s="765"/>
      <c r="J57" s="765"/>
      <c r="K57" s="765"/>
      <c r="L57" s="765"/>
      <c r="M57" s="765"/>
      <c r="N57" s="765"/>
      <c r="O57" s="765"/>
      <c r="P57" s="765"/>
      <c r="Q57" s="765"/>
      <c r="R57" s="765"/>
      <c r="S57" s="765"/>
      <c r="T57" s="765"/>
      <c r="U57" s="765"/>
      <c r="V57" s="191"/>
      <c r="W57" s="191"/>
      <c r="X57" s="191"/>
      <c r="Y57" s="191"/>
      <c r="Z57" s="191"/>
      <c r="AA57" s="191"/>
    </row>
    <row r="58" spans="1:27" x14ac:dyDescent="0.2">
      <c r="A58" s="191"/>
      <c r="B58" s="582" t="s">
        <v>2400</v>
      </c>
      <c r="C58" s="763">
        <v>3</v>
      </c>
      <c r="D58" s="764"/>
      <c r="E58" s="764">
        <f>C58+2</f>
        <v>5</v>
      </c>
      <c r="F58" s="764"/>
      <c r="G58" s="764">
        <f t="shared" ref="G58" si="9">E58+2</f>
        <v>7</v>
      </c>
      <c r="H58" s="764"/>
      <c r="I58" s="764">
        <f t="shared" ref="I58" si="10">G58+2</f>
        <v>9</v>
      </c>
      <c r="J58" s="764"/>
      <c r="K58" s="764">
        <f t="shared" ref="K58" si="11">I58+2</f>
        <v>11</v>
      </c>
      <c r="L58" s="764"/>
      <c r="M58" s="764">
        <f t="shared" ref="M58" si="12">K58+2</f>
        <v>13</v>
      </c>
      <c r="N58" s="764"/>
      <c r="O58" s="764">
        <f t="shared" ref="O58" si="13">M58+2</f>
        <v>15</v>
      </c>
      <c r="P58" s="764"/>
      <c r="Q58" s="764">
        <f t="shared" ref="Q58" si="14">O58+2</f>
        <v>17</v>
      </c>
      <c r="R58" s="764"/>
      <c r="S58" s="764">
        <f t="shared" ref="S58" si="15">Q58+2</f>
        <v>19</v>
      </c>
      <c r="T58" s="764"/>
      <c r="U58" s="764">
        <f t="shared" ref="U58" si="16">S58+2</f>
        <v>21</v>
      </c>
      <c r="V58" s="191"/>
      <c r="W58" s="191"/>
      <c r="X58" s="191"/>
      <c r="Y58" s="191"/>
      <c r="Z58" s="191"/>
      <c r="AA58" s="191"/>
    </row>
    <row r="59" spans="1:27" x14ac:dyDescent="0.2">
      <c r="A59" s="191"/>
      <c r="B59" s="191"/>
      <c r="C59" s="191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</row>
    <row r="60" spans="1:27" x14ac:dyDescent="0.2">
      <c r="A60" s="191"/>
      <c r="B60" s="191"/>
      <c r="C60" s="191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</row>
    <row r="61" spans="1:27" x14ac:dyDescent="0.2">
      <c r="A61" s="191"/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</row>
    <row r="62" spans="1:27" x14ac:dyDescent="0.2">
      <c r="B62" s="562" t="s">
        <v>2462</v>
      </c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</row>
    <row r="63" spans="1:27" x14ac:dyDescent="0.2">
      <c r="B63" s="707" t="s">
        <v>659</v>
      </c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</row>
    <row r="64" spans="1:27" x14ac:dyDescent="0.2">
      <c r="B64" s="708" t="str">
        <f>P3</f>
        <v>peso wp104 rete PROFIBUS</v>
      </c>
    </row>
    <row r="65" spans="2:5" x14ac:dyDescent="0.2">
      <c r="B65" s="708" t="str">
        <f>P4</f>
        <v>peso wp104 rete ETHERNET IP</v>
      </c>
    </row>
    <row r="66" spans="2:5" x14ac:dyDescent="0.2">
      <c r="B66" s="708" t="str">
        <f>P5</f>
        <v>peso wp104 rete MODBUS RTU</v>
      </c>
    </row>
    <row r="67" spans="2:5" x14ac:dyDescent="0.2">
      <c r="B67" s="708" t="str">
        <f>P7</f>
        <v>peso wp104 rete MODBUS RTU</v>
      </c>
    </row>
    <row r="72" spans="2:5" x14ac:dyDescent="0.2">
      <c r="B72" s="757" t="s">
        <v>2473</v>
      </c>
      <c r="C72" s="757" t="s">
        <v>2469</v>
      </c>
      <c r="D72" s="757" t="s">
        <v>2478</v>
      </c>
      <c r="E72" s="758"/>
    </row>
    <row r="73" spans="2:5" x14ac:dyDescent="0.2">
      <c r="B73" s="44" t="s">
        <v>2468</v>
      </c>
      <c r="C73" s="751">
        <v>6.9</v>
      </c>
      <c r="D73" s="752">
        <v>0.1</v>
      </c>
      <c r="E73" s="753">
        <f>C73*D73</f>
        <v>0.69000000000000006</v>
      </c>
    </row>
    <row r="74" spans="2:5" x14ac:dyDescent="0.2">
      <c r="B74" s="44" t="s">
        <v>2470</v>
      </c>
      <c r="C74" s="751">
        <v>5.5</v>
      </c>
      <c r="D74" s="752">
        <v>0.45</v>
      </c>
      <c r="E74" s="753">
        <f>C74*D74</f>
        <v>2.4750000000000001</v>
      </c>
    </row>
    <row r="75" spans="2:5" x14ac:dyDescent="0.2">
      <c r="B75" s="44" t="s">
        <v>2471</v>
      </c>
      <c r="C75" s="751">
        <v>5.75</v>
      </c>
      <c r="D75" s="752">
        <v>0.1</v>
      </c>
      <c r="E75" s="753">
        <f>C75*D75</f>
        <v>0.57500000000000007</v>
      </c>
    </row>
    <row r="76" spans="2:5" ht="13.5" thickBot="1" x14ac:dyDescent="0.25">
      <c r="B76" s="44" t="s">
        <v>2472</v>
      </c>
      <c r="C76" s="754">
        <v>5</v>
      </c>
      <c r="D76" s="755">
        <v>0.35</v>
      </c>
      <c r="E76" s="756">
        <f>C76*D76</f>
        <v>1.75</v>
      </c>
    </row>
    <row r="77" spans="2:5" x14ac:dyDescent="0.2">
      <c r="D77" s="752">
        <f>SUM(D73:D76)</f>
        <v>1</v>
      </c>
      <c r="E77" s="753">
        <f>SUM(E73:E76)</f>
        <v>5.49</v>
      </c>
    </row>
    <row r="78" spans="2:5" x14ac:dyDescent="0.2">
      <c r="B78" s="759" t="s">
        <v>2278</v>
      </c>
      <c r="C78" s="759" t="s">
        <v>2469</v>
      </c>
      <c r="D78" s="759" t="s">
        <v>2478</v>
      </c>
      <c r="E78" s="760"/>
    </row>
    <row r="79" spans="2:5" x14ac:dyDescent="0.2">
      <c r="B79" s="44" t="s">
        <v>2474</v>
      </c>
      <c r="C79" s="751">
        <v>7.3</v>
      </c>
      <c r="D79" s="752">
        <v>0.1</v>
      </c>
      <c r="E79" s="753">
        <f>C79*D79</f>
        <v>0.73</v>
      </c>
    </row>
    <row r="80" spans="2:5" x14ac:dyDescent="0.2">
      <c r="B80" s="44" t="s">
        <v>2475</v>
      </c>
      <c r="C80" s="751">
        <v>6.2</v>
      </c>
      <c r="D80" s="752">
        <v>0.55000000000000004</v>
      </c>
      <c r="E80" s="753">
        <f t="shared" ref="E80:E82" si="17">C80*D80</f>
        <v>3.4100000000000006</v>
      </c>
    </row>
    <row r="81" spans="2:5" x14ac:dyDescent="0.2">
      <c r="B81" s="44" t="s">
        <v>2476</v>
      </c>
      <c r="C81" s="751">
        <v>9.3000000000000007</v>
      </c>
      <c r="D81" s="752">
        <v>0.1</v>
      </c>
      <c r="E81" s="753">
        <f t="shared" si="17"/>
        <v>0.93000000000000016</v>
      </c>
    </row>
    <row r="82" spans="2:5" ht="13.5" thickBot="1" x14ac:dyDescent="0.25">
      <c r="B82" s="44" t="s">
        <v>2477</v>
      </c>
      <c r="C82" s="754">
        <v>9.3000000000000007</v>
      </c>
      <c r="D82" s="755">
        <v>0.25</v>
      </c>
      <c r="E82" s="756">
        <f t="shared" si="17"/>
        <v>2.3250000000000002</v>
      </c>
    </row>
    <row r="83" spans="2:5" x14ac:dyDescent="0.2">
      <c r="D83" s="752">
        <f>SUM(D79:D82)</f>
        <v>1</v>
      </c>
      <c r="E83" s="751">
        <f>SUM(E79:E82)</f>
        <v>7.3950000000000005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7"/>
  <dimension ref="A1:C2"/>
  <sheetViews>
    <sheetView workbookViewId="0">
      <selection activeCell="B2" sqref="B2"/>
    </sheetView>
  </sheetViews>
  <sheetFormatPr defaultRowHeight="12.75" x14ac:dyDescent="0.2"/>
  <sheetData>
    <row r="1" spans="1:3" x14ac:dyDescent="0.2">
      <c r="A1">
        <v>1</v>
      </c>
      <c r="B1" s="44" t="s">
        <v>2480</v>
      </c>
      <c r="C1" s="44" t="s">
        <v>2481</v>
      </c>
    </row>
    <row r="2" spans="1:3" x14ac:dyDescent="0.2">
      <c r="A2">
        <v>2</v>
      </c>
      <c r="B2" s="44" t="s">
        <v>2482</v>
      </c>
      <c r="C2" s="44" t="s">
        <v>2483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9"/>
  <dimension ref="A1:A4"/>
  <sheetViews>
    <sheetView topLeftCell="B1" workbookViewId="0">
      <selection sqref="A1:A1048576"/>
    </sheetView>
  </sheetViews>
  <sheetFormatPr defaultRowHeight="12.75" x14ac:dyDescent="0.2"/>
  <cols>
    <col min="1" max="1" width="16.85546875" hidden="1" customWidth="1"/>
  </cols>
  <sheetData>
    <row r="1" spans="1:1" x14ac:dyDescent="0.2">
      <c r="A1">
        <v>1.25</v>
      </c>
    </row>
    <row r="2" spans="1:1" x14ac:dyDescent="0.2">
      <c r="A2" s="44" t="s">
        <v>2538</v>
      </c>
    </row>
    <row r="3" spans="1:1" x14ac:dyDescent="0.2">
      <c r="A3" s="44" t="s">
        <v>2539</v>
      </c>
    </row>
    <row r="4" spans="1:1" x14ac:dyDescent="0.2">
      <c r="A4" s="44" t="s">
        <v>2540</v>
      </c>
    </row>
  </sheetData>
  <sheetProtection algorithmName="SHA-512" hashValue="FMzwWxq6KcY2oNPk+qaEQQBGc6oIkyjETp7Xy/tj74d9JB+0SG+vJMm3C+KczRpEb211uawKEP7XztJAtz9lkg==" saltValue="rSQNxw4F2UT91boUFYNTIQ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1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53</vt:i4>
      </vt:variant>
    </vt:vector>
  </HeadingPairs>
  <TitlesOfParts>
    <vt:vector size="69" baseType="lpstr">
      <vt:lpstr>impianto</vt:lpstr>
      <vt:lpstr>manodopera</vt:lpstr>
      <vt:lpstr>quadro</vt:lpstr>
      <vt:lpstr>input_output</vt:lpstr>
      <vt:lpstr>database siemens</vt:lpstr>
      <vt:lpstr>mop</vt:lpstr>
      <vt:lpstr>confronto_ caratteristiche</vt:lpstr>
      <vt:lpstr>base prezzi</vt:lpstr>
      <vt:lpstr>configurazioni</vt:lpstr>
      <vt:lpstr>CategorieADHOC</vt:lpstr>
      <vt:lpstr>SimulazioneManodopera</vt:lpstr>
      <vt:lpstr>DIBA_ADHOC_PREZZI</vt:lpstr>
      <vt:lpstr>Elenchi controllo_Parametri</vt:lpstr>
      <vt:lpstr>Foglio1</vt:lpstr>
      <vt:lpstr>Foglio2</vt:lpstr>
      <vt:lpstr>Foglio3</vt:lpstr>
      <vt:lpstr>_DO2</vt:lpstr>
      <vt:lpstr>_WP300_config1</vt:lpstr>
      <vt:lpstr>_WP300_config2</vt:lpstr>
      <vt:lpstr>a</vt:lpstr>
      <vt:lpstr>AI</vt:lpstr>
      <vt:lpstr>AO</vt:lpstr>
      <vt:lpstr>configurazioni!Area_stampa</vt:lpstr>
      <vt:lpstr>impianto!Area_stampa</vt:lpstr>
      <vt:lpstr>quadro!Area_stampa</vt:lpstr>
      <vt:lpstr>b</vt:lpstr>
      <vt:lpstr>complessita</vt:lpstr>
      <vt:lpstr>controlloreParametri</vt:lpstr>
      <vt:lpstr>costo_posizione</vt:lpstr>
      <vt:lpstr>db_configurazione</vt:lpstr>
      <vt:lpstr>descrizione1</vt:lpstr>
      <vt:lpstr>descrizione2</vt:lpstr>
      <vt:lpstr>descrizione2_filtrata</vt:lpstr>
      <vt:lpstr>DI</vt:lpstr>
      <vt:lpstr>DIV</vt:lpstr>
      <vt:lpstr>DO</vt:lpstr>
      <vt:lpstr>euro</vt:lpstr>
      <vt:lpstr>GATEWAY_MODBUS</vt:lpstr>
      <vt:lpstr>i_o</vt:lpstr>
      <vt:lpstr>inverter_silo</vt:lpstr>
      <vt:lpstr>K</vt:lpstr>
      <vt:lpstr>k_EM_AB</vt:lpstr>
      <vt:lpstr>k_EM_MO</vt:lpstr>
      <vt:lpstr>k_EM_SC</vt:lpstr>
      <vt:lpstr>k_EM_SI</vt:lpstr>
      <vt:lpstr>k_plc_AB</vt:lpstr>
      <vt:lpstr>k_plc_Seneca</vt:lpstr>
      <vt:lpstr>Nr_linee</vt:lpstr>
      <vt:lpstr>nr_motori_armadio</vt:lpstr>
      <vt:lpstr>nr_motori_cassa1</vt:lpstr>
      <vt:lpstr>nr_motori_cassa2</vt:lpstr>
      <vt:lpstr>nr_wp</vt:lpstr>
      <vt:lpstr>nr_wp_medio</vt:lpstr>
      <vt:lpstr>ore_i_o</vt:lpstr>
      <vt:lpstr>ore_motore</vt:lpstr>
      <vt:lpstr>potenza</vt:lpstr>
      <vt:lpstr>prezzi</vt:lpstr>
      <vt:lpstr>punti_dosaggio</vt:lpstr>
      <vt:lpstr>pz</vt:lpstr>
      <vt:lpstr>settore</vt:lpstr>
      <vt:lpstr>SW</vt:lpstr>
      <vt:lpstr>tipo_configurazione1</vt:lpstr>
      <vt:lpstr>tipo_controllore1</vt:lpstr>
      <vt:lpstr>tipo_controllore2</vt:lpstr>
      <vt:lpstr>tipo_em1</vt:lpstr>
      <vt:lpstr>tipo_em2</vt:lpstr>
      <vt:lpstr>impianto!Titoli_stampa</vt:lpstr>
      <vt:lpstr>quadro!Titoli_stampa</vt:lpstr>
      <vt:lpstr>wp500_gateway</vt:lpstr>
    </vt:vector>
  </TitlesOfParts>
  <Company>CEPI SRL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Marino Montalti</dc:creator>
  <cp:lastModifiedBy>Sandra Ceccarelli</cp:lastModifiedBy>
  <cp:lastPrinted>2017-06-16T12:04:56Z</cp:lastPrinted>
  <dcterms:created xsi:type="dcterms:W3CDTF">2002-10-22T12:22:38Z</dcterms:created>
  <dcterms:modified xsi:type="dcterms:W3CDTF">2025-04-08T09:24:08Z</dcterms:modified>
</cp:coreProperties>
</file>