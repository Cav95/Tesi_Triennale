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CECCARELLI\Documents\Modelli di Office personalizzati\"/>
    </mc:Choice>
  </mc:AlternateContent>
  <xr:revisionPtr revIDLastSave="0" documentId="8_{3468106A-6832-4840-912C-33579552A63E}" xr6:coauthVersionLast="47" xr6:coauthVersionMax="47" xr10:uidLastSave="{00000000-0000-0000-0000-000000000000}"/>
  <workbookProtection workbookAlgorithmName="SHA-512" workbookHashValue="njotCW0Os3a1nqhObmKKQY0x1E8a4lwWu+VYXcGyD9k19jOME6LP9xh6Pe0oc0Jj6IuyICU6Ku2ik8oaQAz5KA==" workbookSaltValue="fPmqfU//Fwq60kLpM3elsw==" workbookSpinCount="100000" lockStructure="1"/>
  <bookViews>
    <workbookView xWindow="-120" yWindow="-120" windowWidth="24240" windowHeight="13020" xr2:uid="{00000000-000D-0000-FFFF-FFFF00000000}"/>
  </bookViews>
  <sheets>
    <sheet name="Calcolo" sheetId="1" r:id="rId1"/>
    <sheet name="Dati" sheetId="2" state="hidden" r:id="rId2"/>
  </sheets>
  <definedNames>
    <definedName name="_xlnm._FilterDatabase" localSheetId="0" hidden="1">Calcolo!$A$2:$AS$32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2" l="1"/>
  <c r="H19" i="2" s="1"/>
  <c r="B15" i="2"/>
  <c r="A13" i="2"/>
  <c r="A10" i="2"/>
  <c r="B12" i="1"/>
  <c r="A14" i="1" s="1"/>
  <c r="F22" i="2"/>
  <c r="F27" i="2" s="1"/>
  <c r="M2" i="2"/>
  <c r="K2" i="2"/>
  <c r="I2" i="2"/>
  <c r="I19" i="2"/>
  <c r="A20" i="2"/>
  <c r="A25" i="2"/>
  <c r="D19" i="2"/>
  <c r="C19" i="2"/>
  <c r="E19" i="2" s="1"/>
  <c r="G10" i="2"/>
  <c r="G9" i="2"/>
  <c r="J19" i="2" l="1"/>
  <c r="B22" i="2"/>
  <c r="D22" i="2" s="1"/>
  <c r="G22" i="2" s="1"/>
  <c r="B27" i="2"/>
  <c r="D27" i="2" s="1"/>
  <c r="G27" i="2" s="1"/>
  <c r="E20" i="2"/>
  <c r="G21" i="2" s="1"/>
  <c r="E25" i="2"/>
  <c r="G26" i="2" s="1"/>
  <c r="J25" i="2"/>
  <c r="J20" i="2"/>
  <c r="J26" i="2" l="1"/>
  <c r="J21" i="2"/>
  <c r="J22" i="2"/>
  <c r="J23" i="2" s="1"/>
  <c r="G23" i="2"/>
  <c r="G30" i="2" s="1"/>
  <c r="G31" i="2" s="1"/>
  <c r="G28" i="2"/>
  <c r="J27" i="2"/>
  <c r="J28" i="2" l="1"/>
  <c r="I5" i="1"/>
  <c r="J30" i="2"/>
  <c r="J31" i="2" s="1"/>
  <c r="I6" i="1" l="1"/>
</calcChain>
</file>

<file path=xl/sharedStrings.xml><?xml version="1.0" encoding="utf-8"?>
<sst xmlns="http://schemas.openxmlformats.org/spreadsheetml/2006/main" count="65" uniqueCount="60">
  <si>
    <t>80x80x3</t>
  </si>
  <si>
    <t>80x80x4</t>
  </si>
  <si>
    <t>100x100x3</t>
  </si>
  <si>
    <t>100x100x4</t>
  </si>
  <si>
    <t>kg/mt</t>
  </si>
  <si>
    <t>verniciatura</t>
  </si>
  <si>
    <t>€/kg</t>
  </si>
  <si>
    <t>Altezza Gambe (mm)</t>
  </si>
  <si>
    <t>(0) se senza gambe</t>
  </si>
  <si>
    <t>Larghezza struttura (mm)</t>
  </si>
  <si>
    <t>tubolare</t>
  </si>
  <si>
    <t>piatto</t>
  </si>
  <si>
    <t>80x8</t>
  </si>
  <si>
    <t>100x10</t>
  </si>
  <si>
    <t>150x8</t>
  </si>
  <si>
    <t>200x10</t>
  </si>
  <si>
    <t>totale kg</t>
  </si>
  <si>
    <t>Aumento costo per complessità della struttura</t>
  </si>
  <si>
    <t>grado di complessità</t>
  </si>
  <si>
    <t>semplice</t>
  </si>
  <si>
    <t>aggiunta staffe tubazione, supporto soffiante, supporto contalitri e cop.asp.fumi</t>
  </si>
  <si>
    <t>STIMA DEL COSTO DI UNA STRUTTURA TELAIO A 4 GAMBE</t>
  </si>
  <si>
    <t>Data:</t>
  </si>
  <si>
    <t>CLIENTE:</t>
  </si>
  <si>
    <t>Lunghezza struttura/telaio (mm)</t>
  </si>
  <si>
    <t>micropallinatura</t>
  </si>
  <si>
    <t>Costo ferro</t>
  </si>
  <si>
    <t>Costo inox</t>
  </si>
  <si>
    <t>Completare tutte le caselle evidenziate di giallo (le verdi sono facoltative)</t>
  </si>
  <si>
    <t>Peso struttura 80x80 (kg)</t>
  </si>
  <si>
    <t>Peso struttura100x100 (kg)</t>
  </si>
  <si>
    <t>Mano d'opera</t>
  </si>
  <si>
    <t>Prezzo vendita stimato struttura in €</t>
  </si>
  <si>
    <t>VERN</t>
  </si>
  <si>
    <t>INOX</t>
  </si>
  <si>
    <t>ferro</t>
  </si>
  <si>
    <t>Costo struttuta</t>
  </si>
  <si>
    <t>Ferro</t>
  </si>
  <si>
    <t>Verniciatura</t>
  </si>
  <si>
    <t>Tot</t>
  </si>
  <si>
    <t>Tot / Kg</t>
  </si>
  <si>
    <t>Pl vern 80*80</t>
  </si>
  <si>
    <t>PLV80</t>
  </si>
  <si>
    <t>Pl vern 100*100</t>
  </si>
  <si>
    <t>PLV100</t>
  </si>
  <si>
    <t>Inox</t>
  </si>
  <si>
    <t>Micropall</t>
  </si>
  <si>
    <t>Lunghezza</t>
  </si>
  <si>
    <t>Larghezza</t>
  </si>
  <si>
    <t>Altezza</t>
  </si>
  <si>
    <t>F14</t>
  </si>
  <si>
    <t>c17</t>
  </si>
  <si>
    <t>c22</t>
  </si>
  <si>
    <t>Complessita</t>
  </si>
  <si>
    <t>Caso di specie</t>
  </si>
  <si>
    <t>Arrotonda</t>
  </si>
  <si>
    <t>Offerta :</t>
  </si>
  <si>
    <t>AGG LISTINO</t>
  </si>
  <si>
    <t>(10% AGGIORNAMENTO AGOSTO 2025)</t>
  </si>
  <si>
    <t>3% aggiornamento gennaio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</si>
</sst>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1" fillId="0" borderId="0" xfId="0" applyFont="1"/>
    <xf numFmtId="0" fontId="1" fillId="3" borderId="2" xfId="0" applyFont="1" applyFill="1" applyBorder="1" applyAlignment="1" applyProtection="1">
      <alignment horizontal="center"/>
      <protection locked="0"/>
    </xf>
    <xf numFmtId="0" fontId="1" fillId="4" borderId="6" xfId="0" applyFont="1" applyFill="1" applyBorder="1" applyProtection="1">
      <protection locked="0"/>
    </xf>
    <xf numFmtId="0" fontId="1" fillId="4" borderId="7" xfId="0" applyFont="1" applyFill="1" applyBorder="1" applyProtection="1">
      <protection locked="0"/>
    </xf>
    <xf numFmtId="0" fontId="0" fillId="3" borderId="0" xfId="0" applyFill="1"/>
    <xf numFmtId="0" fontId="0" fillId="3" borderId="1" xfId="0" applyFill="1" applyBorder="1"/>
    <xf numFmtId="4" fontId="0" fillId="0" borderId="0" xfId="0" applyNumberFormat="1"/>
    <xf numFmtId="0" fontId="3" fillId="0" borderId="0" xfId="0" applyFont="1"/>
    <xf numFmtId="0" fontId="4" fillId="0" borderId="0" xfId="0" applyFont="1"/>
    <xf numFmtId="0" fontId="2" fillId="0" borderId="0" xfId="0" applyFont="1"/>
    <xf numFmtId="4" fontId="1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left"/>
    </xf>
    <xf numFmtId="0" fontId="0" fillId="2" borderId="1" xfId="0" applyFill="1" applyBorder="1" applyAlignment="1">
      <alignment horizontal="center"/>
    </xf>
    <xf numFmtId="0" fontId="5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1" fillId="4" borderId="3" xfId="0" applyFont="1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8</xdr:row>
      <xdr:rowOff>76200</xdr:rowOff>
    </xdr:from>
    <xdr:to>
      <xdr:col>9</xdr:col>
      <xdr:colOff>104775</xdr:colOff>
      <xdr:row>13</xdr:row>
      <xdr:rowOff>28575</xdr:rowOff>
    </xdr:to>
    <xdr:sp macro="" textlink="">
      <xdr:nvSpPr>
        <xdr:cNvPr id="5" name="Parallelogramm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76300" y="1600200"/>
          <a:ext cx="2276475" cy="904875"/>
        </a:xfrm>
        <a:prstGeom prst="parallelogram">
          <a:avLst/>
        </a:prstGeom>
        <a:scene3d>
          <a:camera prst="perspectiveRelaxed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it-IT" sz="1100"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5</xdr:col>
      <xdr:colOff>228600</xdr:colOff>
      <xdr:row>12</xdr:row>
      <xdr:rowOff>49530</xdr:rowOff>
    </xdr:from>
    <xdr:to>
      <xdr:col>5</xdr:col>
      <xdr:colOff>276225</xdr:colOff>
      <xdr:row>20</xdr:row>
      <xdr:rowOff>76219</xdr:rowOff>
    </xdr:to>
    <xdr:sp macro="" textlink="">
      <xdr:nvSpPr>
        <xdr:cNvPr id="8" name="Rettango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38200" y="2343150"/>
          <a:ext cx="47625" cy="1543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8</xdr:col>
      <xdr:colOff>457200</xdr:colOff>
      <xdr:row>12</xdr:row>
      <xdr:rowOff>59055</xdr:rowOff>
    </xdr:from>
    <xdr:to>
      <xdr:col>8</xdr:col>
      <xdr:colOff>504825</xdr:colOff>
      <xdr:row>20</xdr:row>
      <xdr:rowOff>85744</xdr:rowOff>
    </xdr:to>
    <xdr:sp macro="" textlink="">
      <xdr:nvSpPr>
        <xdr:cNvPr id="9" name="Rettango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895600" y="2352675"/>
          <a:ext cx="47625" cy="1543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9</xdr:col>
      <xdr:colOff>28575</xdr:colOff>
      <xdr:row>9</xdr:row>
      <xdr:rowOff>47625</xdr:rowOff>
    </xdr:from>
    <xdr:to>
      <xdr:col>9</xdr:col>
      <xdr:colOff>76200</xdr:colOff>
      <xdr:row>17</xdr:row>
      <xdr:rowOff>59074</xdr:rowOff>
    </xdr:to>
    <xdr:sp macro="" textlink="">
      <xdr:nvSpPr>
        <xdr:cNvPr id="10" name="Rettangol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076575" y="1762125"/>
          <a:ext cx="47625" cy="1543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5</xdr:col>
      <xdr:colOff>504825</xdr:colOff>
      <xdr:row>9</xdr:row>
      <xdr:rowOff>47625</xdr:rowOff>
    </xdr:from>
    <xdr:to>
      <xdr:col>5</xdr:col>
      <xdr:colOff>552450</xdr:colOff>
      <xdr:row>17</xdr:row>
      <xdr:rowOff>59074</xdr:rowOff>
    </xdr:to>
    <xdr:sp macro="" textlink="">
      <xdr:nvSpPr>
        <xdr:cNvPr id="11" name="Rettango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114425" y="1762125"/>
          <a:ext cx="47625" cy="1543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5</xdr:col>
      <xdr:colOff>257175</xdr:colOff>
      <xdr:row>12</xdr:row>
      <xdr:rowOff>47625</xdr:rowOff>
    </xdr:from>
    <xdr:to>
      <xdr:col>6</xdr:col>
      <xdr:colOff>209550</xdr:colOff>
      <xdr:row>15</xdr:row>
      <xdr:rowOff>0</xdr:rowOff>
    </xdr:to>
    <xdr:cxnSp macro="">
      <xdr:nvCxnSpPr>
        <xdr:cNvPr id="15" name="Connettore 1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866775" y="2333625"/>
          <a:ext cx="561975" cy="523875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577215</xdr:colOff>
      <xdr:row>12</xdr:row>
      <xdr:rowOff>41910</xdr:rowOff>
    </xdr:from>
    <xdr:to>
      <xdr:col>8</xdr:col>
      <xdr:colOff>501015</xdr:colOff>
      <xdr:row>14</xdr:row>
      <xdr:rowOff>186690</xdr:rowOff>
    </xdr:to>
    <xdr:cxnSp macro="">
      <xdr:nvCxnSpPr>
        <xdr:cNvPr id="17" name="Connettore 1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rot="16200000" flipH="1">
          <a:off x="3316605" y="3192780"/>
          <a:ext cx="510540" cy="53340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9</xdr:row>
      <xdr:rowOff>49531</xdr:rowOff>
    </xdr:from>
    <xdr:to>
      <xdr:col>6</xdr:col>
      <xdr:colOff>438150</xdr:colOff>
      <xdr:row>11</xdr:row>
      <xdr:rowOff>135256</xdr:rowOff>
    </xdr:to>
    <xdr:cxnSp macro="">
      <xdr:nvCxnSpPr>
        <xdr:cNvPr id="22" name="Connettore 1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rot="5400000" flipH="1" flipV="1">
          <a:off x="1619250" y="1790701"/>
          <a:ext cx="485775" cy="485775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85725</xdr:colOff>
      <xdr:row>9</xdr:row>
      <xdr:rowOff>47625</xdr:rowOff>
    </xdr:from>
    <xdr:to>
      <xdr:col>9</xdr:col>
      <xdr:colOff>9525</xdr:colOff>
      <xdr:row>11</xdr:row>
      <xdr:rowOff>123825</xdr:rowOff>
    </xdr:to>
    <xdr:cxnSp macro="">
      <xdr:nvCxnSpPr>
        <xdr:cNvPr id="24" name="Connettore 1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rot="10800000">
          <a:off x="2971800" y="1781175"/>
          <a:ext cx="533400" cy="47625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382192</xdr:colOff>
      <xdr:row>10</xdr:row>
      <xdr:rowOff>140018</xdr:rowOff>
    </xdr:from>
    <xdr:to>
      <xdr:col>5</xdr:col>
      <xdr:colOff>514351</xdr:colOff>
      <xdr:row>11</xdr:row>
      <xdr:rowOff>125730</xdr:rowOff>
    </xdr:to>
    <xdr:cxnSp macro="">
      <xdr:nvCxnSpPr>
        <xdr:cNvPr id="26" name="Connettore 1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>
          <a:endCxn id="5" idx="5"/>
        </xdr:cNvCxnSpPr>
      </xdr:nvCxnSpPr>
      <xdr:spPr>
        <a:xfrm rot="16200000" flipV="1">
          <a:off x="1412678" y="2108002"/>
          <a:ext cx="185737" cy="132159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276225</xdr:colOff>
      <xdr:row>10</xdr:row>
      <xdr:rowOff>140018</xdr:rowOff>
    </xdr:from>
    <xdr:to>
      <xdr:col>5</xdr:col>
      <xdr:colOff>382191</xdr:colOff>
      <xdr:row>14</xdr:row>
      <xdr:rowOff>173355</xdr:rowOff>
    </xdr:to>
    <xdr:cxnSp macro="">
      <xdr:nvCxnSpPr>
        <xdr:cNvPr id="28" name="Connettore 1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>
          <a:stCxn id="5" idx="5"/>
        </xdr:cNvCxnSpPr>
      </xdr:nvCxnSpPr>
      <xdr:spPr>
        <a:xfrm rot="10800000" flipV="1">
          <a:off x="1333500" y="2081213"/>
          <a:ext cx="105966" cy="804862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598885</xdr:colOff>
      <xdr:row>10</xdr:row>
      <xdr:rowOff>140018</xdr:rowOff>
    </xdr:from>
    <xdr:to>
      <xdr:col>9</xdr:col>
      <xdr:colOff>38101</xdr:colOff>
      <xdr:row>11</xdr:row>
      <xdr:rowOff>106680</xdr:rowOff>
    </xdr:to>
    <xdr:cxnSp macro="">
      <xdr:nvCxnSpPr>
        <xdr:cNvPr id="30" name="Connettore 1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>
          <a:endCxn id="5" idx="2"/>
        </xdr:cNvCxnSpPr>
      </xdr:nvCxnSpPr>
      <xdr:spPr>
        <a:xfrm rot="16200000" flipV="1">
          <a:off x="3426024" y="2140149"/>
          <a:ext cx="166687" cy="48816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504825</xdr:colOff>
      <xdr:row>10</xdr:row>
      <xdr:rowOff>140018</xdr:rowOff>
    </xdr:from>
    <xdr:to>
      <xdr:col>8</xdr:col>
      <xdr:colOff>598884</xdr:colOff>
      <xdr:row>15</xdr:row>
      <xdr:rowOff>47</xdr:rowOff>
    </xdr:to>
    <xdr:cxnSp macro="">
      <xdr:nvCxnSpPr>
        <xdr:cNvPr id="32" name="Connettore 1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>
          <a:stCxn id="5" idx="2"/>
        </xdr:cNvCxnSpPr>
      </xdr:nvCxnSpPr>
      <xdr:spPr>
        <a:xfrm flipH="1">
          <a:off x="3390900" y="2081213"/>
          <a:ext cx="94059" cy="823912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252413</xdr:colOff>
      <xdr:row>9</xdr:row>
      <xdr:rowOff>47626</xdr:rowOff>
    </xdr:from>
    <xdr:to>
      <xdr:col>5</xdr:col>
      <xdr:colOff>528638</xdr:colOff>
      <xdr:row>12</xdr:row>
      <xdr:rowOff>49606</xdr:rowOff>
    </xdr:to>
    <xdr:cxnSp macro="">
      <xdr:nvCxnSpPr>
        <xdr:cNvPr id="34" name="Connettore 1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>
          <a:stCxn id="8" idx="0"/>
          <a:endCxn id="11" idx="0"/>
        </xdr:cNvCxnSpPr>
      </xdr:nvCxnSpPr>
      <xdr:spPr>
        <a:xfrm rot="5400000" flipH="1" flipV="1">
          <a:off x="1147763" y="1943101"/>
          <a:ext cx="600075" cy="276225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252412</xdr:colOff>
      <xdr:row>12</xdr:row>
      <xdr:rowOff>42863</xdr:rowOff>
    </xdr:from>
    <xdr:to>
      <xdr:col>8</xdr:col>
      <xdr:colOff>461964</xdr:colOff>
      <xdr:row>12</xdr:row>
      <xdr:rowOff>49531</xdr:rowOff>
    </xdr:to>
    <xdr:cxnSp macro="">
      <xdr:nvCxnSpPr>
        <xdr:cNvPr id="36" name="Connettore 1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>
          <a:stCxn id="8" idx="0"/>
        </xdr:cNvCxnSpPr>
      </xdr:nvCxnSpPr>
      <xdr:spPr>
        <a:xfrm rot="5400000" flipH="1" flipV="1">
          <a:off x="4823461" y="1563052"/>
          <a:ext cx="6668" cy="2138365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481013</xdr:colOff>
      <xdr:row>9</xdr:row>
      <xdr:rowOff>47625</xdr:rowOff>
    </xdr:from>
    <xdr:to>
      <xdr:col>9</xdr:col>
      <xdr:colOff>52388</xdr:colOff>
      <xdr:row>12</xdr:row>
      <xdr:rowOff>59104</xdr:rowOff>
    </xdr:to>
    <xdr:cxnSp macro="">
      <xdr:nvCxnSpPr>
        <xdr:cNvPr id="39" name="Connettore 1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>
          <a:stCxn id="10" idx="0"/>
          <a:endCxn id="9" idx="0"/>
        </xdr:cNvCxnSpPr>
      </xdr:nvCxnSpPr>
      <xdr:spPr>
        <a:xfrm rot="16200000" flipH="1" flipV="1">
          <a:off x="3152776" y="1995487"/>
          <a:ext cx="609600" cy="180975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488636</xdr:colOff>
      <xdr:row>9</xdr:row>
      <xdr:rowOff>41910</xdr:rowOff>
    </xdr:from>
    <xdr:to>
      <xdr:col>9</xdr:col>
      <xdr:colOff>52389</xdr:colOff>
      <xdr:row>9</xdr:row>
      <xdr:rowOff>47625</xdr:rowOff>
    </xdr:to>
    <xdr:cxnSp macro="">
      <xdr:nvCxnSpPr>
        <xdr:cNvPr id="42" name="Connettore 1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>
          <a:stCxn id="10" idx="0"/>
        </xdr:cNvCxnSpPr>
      </xdr:nvCxnSpPr>
      <xdr:spPr>
        <a:xfrm rot="16200000" flipV="1">
          <a:off x="5068255" y="991554"/>
          <a:ext cx="5715" cy="2154553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20</xdr:row>
      <xdr:rowOff>76200</xdr:rowOff>
    </xdr:from>
    <xdr:to>
      <xdr:col>5</xdr:col>
      <xdr:colOff>360186</xdr:colOff>
      <xdr:row>20</xdr:row>
      <xdr:rowOff>121919</xdr:rowOff>
    </xdr:to>
    <xdr:sp macro="" textlink="">
      <xdr:nvSpPr>
        <xdr:cNvPr id="43" name="Parallelogramma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609725" y="5267325"/>
          <a:ext cx="209550" cy="45719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5</xdr:col>
      <xdr:colOff>419100</xdr:colOff>
      <xdr:row>17</xdr:row>
      <xdr:rowOff>59055</xdr:rowOff>
    </xdr:from>
    <xdr:to>
      <xdr:col>6</xdr:col>
      <xdr:colOff>19050</xdr:colOff>
      <xdr:row>17</xdr:row>
      <xdr:rowOff>104774</xdr:rowOff>
    </xdr:to>
    <xdr:sp macro="" textlink="">
      <xdr:nvSpPr>
        <xdr:cNvPr id="44" name="Parallelogramma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1885950" y="4686300"/>
          <a:ext cx="209550" cy="45719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8</xdr:col>
      <xdr:colOff>678180</xdr:colOff>
      <xdr:row>17</xdr:row>
      <xdr:rowOff>59055</xdr:rowOff>
    </xdr:from>
    <xdr:to>
      <xdr:col>9</xdr:col>
      <xdr:colOff>192546</xdr:colOff>
      <xdr:row>17</xdr:row>
      <xdr:rowOff>104774</xdr:rowOff>
    </xdr:to>
    <xdr:sp macro="" textlink="">
      <xdr:nvSpPr>
        <xdr:cNvPr id="45" name="Parallelogramma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6111240" y="3609975"/>
          <a:ext cx="261126" cy="45719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8</xdr:col>
      <xdr:colOff>371475</xdr:colOff>
      <xdr:row>20</xdr:row>
      <xdr:rowOff>85725</xdr:rowOff>
    </xdr:from>
    <xdr:to>
      <xdr:col>8</xdr:col>
      <xdr:colOff>588786</xdr:colOff>
      <xdr:row>20</xdr:row>
      <xdr:rowOff>124913</xdr:rowOff>
    </xdr:to>
    <xdr:sp macro="" textlink="">
      <xdr:nvSpPr>
        <xdr:cNvPr id="46" name="Parallelogramma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3667125" y="5276850"/>
          <a:ext cx="209550" cy="45719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it-IT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M31"/>
  <sheetViews>
    <sheetView tabSelected="1" zoomScaleNormal="100" zoomScaleSheetLayoutView="100" workbookViewId="0">
      <selection activeCell="H9" sqref="H9"/>
    </sheetView>
  </sheetViews>
  <sheetFormatPr defaultColWidth="8.85546875" defaultRowHeight="15" x14ac:dyDescent="0.25"/>
  <cols>
    <col min="1" max="1" width="14.140625" customWidth="1"/>
    <col min="2" max="2" width="9.28515625" customWidth="1"/>
    <col min="3" max="3" width="10" customWidth="1"/>
    <col min="4" max="7" width="8.85546875" customWidth="1"/>
    <col min="8" max="8" width="10.28515625" customWidth="1"/>
    <col min="9" max="9" width="10.85546875" customWidth="1"/>
    <col min="10" max="10" width="8.85546875" customWidth="1"/>
    <col min="12" max="12" width="8.5703125" customWidth="1"/>
    <col min="13" max="13" width="9.140625" customWidth="1"/>
    <col min="14" max="37" width="8.85546875" customWidth="1"/>
    <col min="39" max="41" width="8.85546875" customWidth="1"/>
    <col min="43" max="43" width="8.85546875" customWidth="1"/>
    <col min="46" max="46" width="8.85546875" customWidth="1"/>
  </cols>
  <sheetData>
    <row r="2" spans="1:13" ht="23.25" x14ac:dyDescent="0.35">
      <c r="B2" s="9" t="s">
        <v>21</v>
      </c>
    </row>
    <row r="3" spans="1:13" ht="32.25" customHeight="1" x14ac:dyDescent="0.35">
      <c r="A3" s="10" t="s">
        <v>28</v>
      </c>
      <c r="B3" s="9"/>
    </row>
    <row r="4" spans="1:13" ht="15.75" thickBot="1" x14ac:dyDescent="0.3"/>
    <row r="5" spans="1:13" ht="15.75" thickBot="1" x14ac:dyDescent="0.3">
      <c r="A5" s="11" t="s">
        <v>22</v>
      </c>
      <c r="B5" s="4"/>
      <c r="E5" s="2" t="s">
        <v>32</v>
      </c>
      <c r="I5" s="12">
        <f>IF(H9=0,0,IF(E11=0,0,IF(E11&gt;H9,"INVERT DIM",Dati!G31)))</f>
        <v>0</v>
      </c>
      <c r="J5" s="17" t="s">
        <v>33</v>
      </c>
    </row>
    <row r="6" spans="1:13" ht="15.75" thickBot="1" x14ac:dyDescent="0.3">
      <c r="A6" s="11" t="s">
        <v>23</v>
      </c>
      <c r="B6" s="18"/>
      <c r="C6" s="19"/>
      <c r="D6" s="20"/>
      <c r="I6" s="12">
        <f>IF(H9=0,0,IF(E11=0,0,IF(E11&gt;H9,"INVERT DIM",Dati!J31)))</f>
        <v>0</v>
      </c>
      <c r="J6" s="17" t="s">
        <v>34</v>
      </c>
    </row>
    <row r="7" spans="1:13" ht="15.75" thickBot="1" x14ac:dyDescent="0.3">
      <c r="A7" s="11" t="s">
        <v>56</v>
      </c>
      <c r="B7" s="5"/>
    </row>
    <row r="8" spans="1:13" ht="15.75" thickBot="1" x14ac:dyDescent="0.3">
      <c r="B8" s="11"/>
      <c r="C8" s="2"/>
      <c r="G8" s="13" t="s">
        <v>24</v>
      </c>
    </row>
    <row r="9" spans="1:13" ht="15.75" thickBot="1" x14ac:dyDescent="0.3">
      <c r="H9" s="3"/>
    </row>
    <row r="10" spans="1:13" ht="15.75" thickBot="1" x14ac:dyDescent="0.3">
      <c r="D10" s="11" t="s">
        <v>9</v>
      </c>
    </row>
    <row r="11" spans="1:13" ht="15.75" thickBot="1" x14ac:dyDescent="0.3">
      <c r="E11" s="3"/>
    </row>
    <row r="12" spans="1:13" x14ac:dyDescent="0.25">
      <c r="B12" s="14" t="b">
        <f>AND(H9&lt;=4000,E11&lt;=H9,E16&lt;=6000)</f>
        <v>1</v>
      </c>
      <c r="M12" s="2"/>
    </row>
    <row r="13" spans="1:13" ht="15.75" thickBot="1" x14ac:dyDescent="0.3"/>
    <row r="14" spans="1:13" ht="16.5" thickBot="1" x14ac:dyDescent="0.3">
      <c r="A14" s="21" t="str">
        <f>IF(B12=TRUE,"FATTIBILE","RICHIEDERE FATTIBILITA'")</f>
        <v>FATTIBILE</v>
      </c>
      <c r="B14" s="22"/>
      <c r="C14" s="23"/>
    </row>
    <row r="15" spans="1:13" ht="15.75" thickBot="1" x14ac:dyDescent="0.3">
      <c r="D15" s="11" t="s">
        <v>7</v>
      </c>
    </row>
    <row r="16" spans="1:13" ht="15.75" thickBot="1" x14ac:dyDescent="0.3">
      <c r="E16" s="3"/>
    </row>
    <row r="17" spans="1:4" x14ac:dyDescent="0.25">
      <c r="D17" s="15" t="s">
        <v>8</v>
      </c>
    </row>
    <row r="22" spans="1:4" ht="15.75" thickBot="1" x14ac:dyDescent="0.3">
      <c r="A22" s="11" t="s">
        <v>17</v>
      </c>
    </row>
    <row r="23" spans="1:4" ht="15.75" thickBot="1" x14ac:dyDescent="0.3">
      <c r="A23" s="11" t="s">
        <v>18</v>
      </c>
      <c r="D23" s="3"/>
    </row>
    <row r="24" spans="1:4" x14ac:dyDescent="0.25">
      <c r="A24" s="16">
        <v>0</v>
      </c>
      <c r="B24" t="s">
        <v>19</v>
      </c>
    </row>
    <row r="25" spans="1:4" x14ac:dyDescent="0.25">
      <c r="A25" s="16">
        <v>1</v>
      </c>
      <c r="B25" t="s">
        <v>20</v>
      </c>
    </row>
    <row r="30" spans="1:4" x14ac:dyDescent="0.25">
      <c r="C30" s="11"/>
    </row>
    <row r="31" spans="1:4" x14ac:dyDescent="0.25">
      <c r="C31" s="11"/>
    </row>
  </sheetData>
  <sheetProtection algorithmName="SHA-512" hashValue="qL7svMy2IdALiu2pm2aO/vbLzggVXHIuiIPHujDZht6Mudc25WBLoufdXL7a3jiQT9ZG+qFI8vL27t609YX3zg==" saltValue="kM3eamrAq2crqynkgfg07A==" spinCount="100000" sheet="1"/>
  <mergeCells count="2">
    <mergeCell ref="B6:D6"/>
    <mergeCell ref="A14:C14"/>
  </mergeCells>
  <printOptions horizontalCentered="1"/>
  <pageMargins left="0.31496062992125984" right="0.31496062992125984" top="0.35433070866141736" bottom="0.35433070866141736" header="0.31496062992125984" footer="0.31496062992125984"/>
  <pageSetup paperSize="9" scale="93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31"/>
  <sheetViews>
    <sheetView workbookViewId="0">
      <selection activeCell="M5" sqref="M5"/>
    </sheetView>
  </sheetViews>
  <sheetFormatPr defaultRowHeight="15" x14ac:dyDescent="0.25"/>
  <cols>
    <col min="1" max="1" width="14.42578125" customWidth="1"/>
    <col min="2" max="2" width="8.85546875" customWidth="1"/>
    <col min="3" max="3" width="13.42578125" customWidth="1"/>
    <col min="4" max="4" width="10.28515625" customWidth="1"/>
    <col min="5" max="13" width="8.85546875" customWidth="1"/>
    <col min="14" max="14" width="9.140625" customWidth="1"/>
  </cols>
  <sheetData>
    <row r="1" spans="1:14" x14ac:dyDescent="0.25">
      <c r="H1" t="s">
        <v>50</v>
      </c>
      <c r="J1" t="s">
        <v>51</v>
      </c>
      <c r="L1" t="s">
        <v>52</v>
      </c>
    </row>
    <row r="2" spans="1:14" x14ac:dyDescent="0.25">
      <c r="A2" t="s">
        <v>10</v>
      </c>
      <c r="B2" t="s">
        <v>4</v>
      </c>
      <c r="D2" t="s">
        <v>11</v>
      </c>
      <c r="E2" t="s">
        <v>4</v>
      </c>
      <c r="F2" t="s">
        <v>16</v>
      </c>
      <c r="H2" t="s">
        <v>47</v>
      </c>
      <c r="I2">
        <f>Calcolo!H9</f>
        <v>0</v>
      </c>
      <c r="J2" t="s">
        <v>48</v>
      </c>
      <c r="K2">
        <f>Calcolo!E11</f>
        <v>0</v>
      </c>
      <c r="L2" t="s">
        <v>49</v>
      </c>
      <c r="M2">
        <f>Calcolo!E16</f>
        <v>0</v>
      </c>
    </row>
    <row r="3" spans="1:14" x14ac:dyDescent="0.25">
      <c r="A3" t="s">
        <v>0</v>
      </c>
      <c r="B3">
        <v>7.43</v>
      </c>
      <c r="D3" t="s">
        <v>12</v>
      </c>
      <c r="E3">
        <v>5.024</v>
      </c>
      <c r="F3">
        <v>40</v>
      </c>
    </row>
    <row r="4" spans="1:14" x14ac:dyDescent="0.25">
      <c r="A4" t="s">
        <v>1</v>
      </c>
      <c r="B4">
        <v>9.8070000000000004</v>
      </c>
      <c r="D4" t="s">
        <v>14</v>
      </c>
      <c r="E4">
        <v>9.42</v>
      </c>
      <c r="F4">
        <v>9</v>
      </c>
      <c r="M4">
        <v>1.29</v>
      </c>
      <c r="N4" t="s">
        <v>58</v>
      </c>
    </row>
    <row r="5" spans="1:14" x14ac:dyDescent="0.25">
      <c r="M5" t="s">
        <v>57</v>
      </c>
      <c r="N5" t="s">
        <v>59</v>
      </c>
    </row>
    <row r="6" spans="1:14" x14ac:dyDescent="0.25">
      <c r="A6" t="s">
        <v>2</v>
      </c>
      <c r="B6">
        <v>9.343</v>
      </c>
      <c r="D6" t="s">
        <v>13</v>
      </c>
      <c r="E6">
        <v>7.85</v>
      </c>
      <c r="F6">
        <v>70</v>
      </c>
    </row>
    <row r="7" spans="1:14" x14ac:dyDescent="0.25">
      <c r="A7" t="s">
        <v>3</v>
      </c>
      <c r="B7">
        <v>12.358000000000001</v>
      </c>
      <c r="D7" t="s">
        <v>15</v>
      </c>
      <c r="E7">
        <v>15.7</v>
      </c>
      <c r="F7">
        <v>15</v>
      </c>
    </row>
    <row r="9" spans="1:14" x14ac:dyDescent="0.25">
      <c r="A9" t="s">
        <v>5</v>
      </c>
      <c r="D9" t="s">
        <v>29</v>
      </c>
      <c r="G9" s="1">
        <f>(Dati!B4/1000*(2*Calcolo!H9+4*Calcolo!E11))+(Dati!B3/1000*(4*Calcolo!E16+8*1000*(Calcolo!E16/(Calcolo!E16+1))))+Dati!F3+Dati!F4</f>
        <v>49</v>
      </c>
    </row>
    <row r="10" spans="1:14" x14ac:dyDescent="0.25">
      <c r="A10" s="6">
        <f>2.3*M4</f>
        <v>2.9669999999999996</v>
      </c>
      <c r="B10" t="s">
        <v>6</v>
      </c>
      <c r="D10" t="s">
        <v>30</v>
      </c>
      <c r="G10" s="1">
        <f>(B7/1000*(2*Calcolo!H9+3.5*Calcolo!E11))+(Dati!B6/1000*(4*Calcolo!E16+8*1000*(Calcolo!E16/(Calcolo!E16+1))))+Dati!F6+Dati!F7</f>
        <v>85</v>
      </c>
    </row>
    <row r="12" spans="1:14" x14ac:dyDescent="0.25">
      <c r="A12" t="s">
        <v>25</v>
      </c>
    </row>
    <row r="13" spans="1:14" x14ac:dyDescent="0.25">
      <c r="A13" s="6">
        <f>1.85*M4</f>
        <v>2.3865000000000003</v>
      </c>
      <c r="B13" t="s">
        <v>6</v>
      </c>
    </row>
    <row r="15" spans="1:14" x14ac:dyDescent="0.25">
      <c r="A15" t="s">
        <v>26</v>
      </c>
      <c r="B15" s="6">
        <f>2.7*M4</f>
        <v>3.4830000000000005</v>
      </c>
      <c r="C15" t="s">
        <v>6</v>
      </c>
    </row>
    <row r="16" spans="1:14" x14ac:dyDescent="0.25">
      <c r="A16" t="s">
        <v>27</v>
      </c>
      <c r="B16" s="6">
        <f>6*M4</f>
        <v>7.74</v>
      </c>
      <c r="C16" t="s">
        <v>6</v>
      </c>
    </row>
    <row r="18" spans="1:10" x14ac:dyDescent="0.25">
      <c r="C18" t="s">
        <v>37</v>
      </c>
      <c r="D18" t="s">
        <v>38</v>
      </c>
      <c r="E18" t="s">
        <v>40</v>
      </c>
      <c r="F18" t="s">
        <v>53</v>
      </c>
      <c r="H18" t="s">
        <v>45</v>
      </c>
      <c r="I18" t="s">
        <v>46</v>
      </c>
      <c r="J18" t="s">
        <v>39</v>
      </c>
    </row>
    <row r="19" spans="1:10" x14ac:dyDescent="0.25">
      <c r="A19" t="s">
        <v>36</v>
      </c>
      <c r="B19" t="s">
        <v>35</v>
      </c>
      <c r="C19" s="1">
        <f>B15</f>
        <v>3.4830000000000005</v>
      </c>
      <c r="D19" s="1">
        <f>A10</f>
        <v>2.9669999999999996</v>
      </c>
      <c r="E19" s="1">
        <f>C19+D19</f>
        <v>6.45</v>
      </c>
      <c r="H19">
        <f>B16</f>
        <v>7.74</v>
      </c>
      <c r="I19">
        <f>A13</f>
        <v>2.3865000000000003</v>
      </c>
      <c r="J19">
        <f>H19+I19</f>
        <v>10.1265</v>
      </c>
    </row>
    <row r="20" spans="1:10" x14ac:dyDescent="0.25">
      <c r="A20" t="str">
        <f>D9</f>
        <v>Peso struttura 80x80 (kg)</v>
      </c>
      <c r="E20">
        <f>G9</f>
        <v>49</v>
      </c>
      <c r="J20">
        <f>G9</f>
        <v>49</v>
      </c>
    </row>
    <row r="21" spans="1:10" x14ac:dyDescent="0.25">
      <c r="A21" t="s">
        <v>41</v>
      </c>
      <c r="B21" t="s">
        <v>42</v>
      </c>
      <c r="G21" s="7">
        <f>E19*E20</f>
        <v>316.05</v>
      </c>
      <c r="J21" s="6">
        <f>J19*J20</f>
        <v>496.19850000000002</v>
      </c>
    </row>
    <row r="22" spans="1:10" x14ac:dyDescent="0.25">
      <c r="A22" t="s">
        <v>31</v>
      </c>
      <c r="B22">
        <f>G10</f>
        <v>85</v>
      </c>
      <c r="C22">
        <v>20</v>
      </c>
      <c r="D22" s="6">
        <f>B22/C22</f>
        <v>4.25</v>
      </c>
      <c r="E22">
        <v>65</v>
      </c>
      <c r="F22">
        <f>IF(Calcolo!D23="",1,1.33)</f>
        <v>1</v>
      </c>
      <c r="G22" s="7">
        <f>D22*E22*F22</f>
        <v>276.25</v>
      </c>
      <c r="J22" s="6">
        <f>G22</f>
        <v>276.25</v>
      </c>
    </row>
    <row r="23" spans="1:10" x14ac:dyDescent="0.25">
      <c r="G23" s="7">
        <f>G21+G22</f>
        <v>592.29999999999995</v>
      </c>
      <c r="J23" s="7">
        <f>J21+J22</f>
        <v>772.44849999999997</v>
      </c>
    </row>
    <row r="25" spans="1:10" x14ac:dyDescent="0.25">
      <c r="A25" t="str">
        <f>D10</f>
        <v>Peso struttura100x100 (kg)</v>
      </c>
      <c r="E25">
        <f>G10</f>
        <v>85</v>
      </c>
      <c r="J25">
        <f>G10</f>
        <v>85</v>
      </c>
    </row>
    <row r="26" spans="1:10" x14ac:dyDescent="0.25">
      <c r="A26" t="s">
        <v>43</v>
      </c>
      <c r="B26" t="s">
        <v>44</v>
      </c>
      <c r="G26" s="6">
        <f>E19*E25</f>
        <v>548.25</v>
      </c>
      <c r="J26" s="6">
        <f>J19*J25</f>
        <v>860.75250000000005</v>
      </c>
    </row>
    <row r="27" spans="1:10" x14ac:dyDescent="0.25">
      <c r="A27" t="s">
        <v>31</v>
      </c>
      <c r="B27">
        <f>G10</f>
        <v>85</v>
      </c>
      <c r="C27">
        <v>19</v>
      </c>
      <c r="D27" s="6">
        <f>B27/C27</f>
        <v>4.4736842105263159</v>
      </c>
      <c r="E27">
        <v>65</v>
      </c>
      <c r="F27">
        <f>F22</f>
        <v>1</v>
      </c>
      <c r="G27" s="7">
        <f>D27*E27*F27</f>
        <v>290.78947368421052</v>
      </c>
      <c r="J27" s="6">
        <f>G27</f>
        <v>290.78947368421052</v>
      </c>
    </row>
    <row r="28" spans="1:10" x14ac:dyDescent="0.25">
      <c r="G28" s="7">
        <f>G26+G27</f>
        <v>839.03947368421052</v>
      </c>
      <c r="J28" s="7">
        <f>J26+J27</f>
        <v>1151.5419736842105</v>
      </c>
    </row>
    <row r="30" spans="1:10" x14ac:dyDescent="0.25">
      <c r="A30" t="s">
        <v>54</v>
      </c>
      <c r="B30">
        <v>2500</v>
      </c>
      <c r="G30">
        <f>IF($I$2&gt;$B$30,G28,G23)</f>
        <v>592.29999999999995</v>
      </c>
      <c r="J30">
        <f>IF($I$2&gt;$B$30,J28,J23)</f>
        <v>772.44849999999997</v>
      </c>
    </row>
    <row r="31" spans="1:10" x14ac:dyDescent="0.25">
      <c r="A31" t="s">
        <v>55</v>
      </c>
      <c r="G31" s="8">
        <f>ROUND((ROUNDUP(G30,-1))*M4,0)</f>
        <v>774</v>
      </c>
      <c r="J31" s="8">
        <f>ROUND((ROUNDUP(J30,-1))*M4,0)</f>
        <v>1006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Calcolo</vt:lpstr>
      <vt:lpstr>Dati</vt:lpstr>
    </vt:vector>
  </TitlesOfParts>
  <Company>CEPI SRL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Ceccarelli</dc:creator>
  <cp:lastModifiedBy>Sandra Ceccarelli</cp:lastModifiedBy>
  <cp:lastPrinted>2009-02-14T11:02:26Z</cp:lastPrinted>
  <dcterms:created xsi:type="dcterms:W3CDTF">2008-06-17T12:15:40Z</dcterms:created>
  <dcterms:modified xsi:type="dcterms:W3CDTF">2026-01-15T11:53:04Z</dcterms:modified>
</cp:coreProperties>
</file>