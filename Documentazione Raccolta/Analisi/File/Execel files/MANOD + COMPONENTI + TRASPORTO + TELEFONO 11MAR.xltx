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/>
  <workbookPr/>
  <mc:AlternateContent xmlns:mc="http://schemas.openxmlformats.org/markup-compatibility/2006">
    <mc:Choice Requires="x15">
      <x15ac:absPath xmlns:x15ac="http://schemas.microsoft.com/office/spreadsheetml/2010/11/ac" url="Q:\Excelmod\XLSTART\OLD\OLD 12.01.2026\"/>
    </mc:Choice>
  </mc:AlternateContent>
  <xr:revisionPtr revIDLastSave="0" documentId="13_ncr:1_{F1FD5E15-9B81-4F30-9C7F-66BF191F16F9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GENERALE" sheetId="1" r:id="rId1"/>
    <sheet name="COSTO TELEFONICO" sheetId="3" r:id="rId2"/>
    <sheet name="COSTO TRASPORTO VETTORE" sheetId="2" r:id="rId3"/>
    <sheet name="COMPONENTI" sheetId="4" r:id="rId4"/>
  </sheets>
  <definedNames>
    <definedName name="_xlnm._FilterDatabase" localSheetId="0" hidden="1">GENERALE!$F$1:$G$1</definedName>
    <definedName name="_xlnm.Print_Area" localSheetId="0">GENERALE!$A$1:$K$25</definedName>
    <definedName name="DHL_TIPO">'COSTO TRASPORTO VETTORE'!$C$22:$C$26</definedName>
    <definedName name="Lavorazione">GENERALE!$H$36:$H$45</definedName>
    <definedName name="TIPO_TECNICO">GENERALE!$H$29:$H$32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2" i="1" l="1"/>
  <c r="E6" i="4"/>
  <c r="F6" i="4"/>
  <c r="G6" i="4"/>
  <c r="E7" i="4"/>
  <c r="F7" i="4"/>
  <c r="G7" i="4"/>
  <c r="E8" i="4"/>
  <c r="F8" i="4"/>
  <c r="G8" i="4"/>
  <c r="E9" i="4"/>
  <c r="F9" i="4"/>
  <c r="G9" i="4"/>
  <c r="E10" i="4"/>
  <c r="F10" i="4"/>
  <c r="G10" i="4"/>
  <c r="F23" i="1"/>
  <c r="E11" i="4"/>
  <c r="F11" i="4"/>
  <c r="G11" i="4"/>
  <c r="F24" i="1"/>
  <c r="E5" i="4"/>
  <c r="F5" i="4"/>
  <c r="G5" i="4"/>
  <c r="E4" i="4"/>
  <c r="F4" i="4"/>
  <c r="G4" i="4"/>
  <c r="G13" i="4"/>
  <c r="C24" i="1"/>
  <c r="C23" i="1"/>
  <c r="C22" i="1"/>
  <c r="C21" i="1"/>
  <c r="C20" i="1"/>
  <c r="M17" i="1"/>
  <c r="Q18" i="1"/>
  <c r="Q19" i="1"/>
  <c r="L35" i="1"/>
  <c r="L42" i="1"/>
  <c r="K35" i="1"/>
  <c r="K42" i="1"/>
  <c r="J35" i="1"/>
  <c r="J44" i="1"/>
  <c r="I35" i="1"/>
  <c r="I42" i="1"/>
  <c r="B27" i="2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I32" i="1"/>
  <c r="J4" i="1"/>
  <c r="G31" i="1"/>
  <c r="G30" i="1"/>
  <c r="I30" i="1"/>
  <c r="H4" i="1"/>
  <c r="G29" i="1"/>
  <c r="F29" i="1"/>
  <c r="C19" i="1"/>
  <c r="C18" i="1"/>
  <c r="K44" i="1"/>
  <c r="J45" i="1"/>
  <c r="H7" i="1"/>
  <c r="J37" i="1"/>
  <c r="J38" i="1"/>
  <c r="J42" i="1"/>
  <c r="I45" i="1"/>
  <c r="G7" i="1"/>
  <c r="B4" i="1" s="1"/>
  <c r="I37" i="1"/>
  <c r="I38" i="1"/>
  <c r="L44" i="1"/>
  <c r="L40" i="1"/>
  <c r="L39" i="1"/>
  <c r="L43" i="1"/>
  <c r="L36" i="1"/>
  <c r="L41" i="1"/>
  <c r="E3" i="1"/>
  <c r="J3" i="1"/>
  <c r="D3" i="1"/>
  <c r="I3" i="1"/>
  <c r="K40" i="1"/>
  <c r="K39" i="1"/>
  <c r="K43" i="1"/>
  <c r="K36" i="1"/>
  <c r="K41" i="1"/>
  <c r="C3" i="1"/>
  <c r="H3" i="1"/>
  <c r="J40" i="1"/>
  <c r="J39" i="1"/>
  <c r="J43" i="1"/>
  <c r="J36" i="1"/>
  <c r="J41" i="1"/>
  <c r="B3" i="1"/>
  <c r="G3" i="1"/>
  <c r="I40" i="1"/>
  <c r="I39" i="1"/>
  <c r="I43" i="1"/>
  <c r="I36" i="1"/>
  <c r="I41" i="1"/>
  <c r="L45" i="1"/>
  <c r="J7" i="1"/>
  <c r="E4" i="1" s="1"/>
  <c r="Q11" i="1" s="1"/>
  <c r="E12" i="1" s="1"/>
  <c r="L37" i="1"/>
  <c r="L38" i="1"/>
  <c r="I44" i="1"/>
  <c r="K45" i="1"/>
  <c r="I7" i="1"/>
  <c r="D4" i="1" s="1"/>
  <c r="P11" i="1" s="1"/>
  <c r="K37" i="1"/>
  <c r="K38" i="1"/>
  <c r="F21" i="1"/>
  <c r="F22" i="1"/>
  <c r="F20" i="1"/>
  <c r="F19" i="1"/>
  <c r="F18" i="1"/>
  <c r="F17" i="1"/>
  <c r="I31" i="1"/>
  <c r="I4" i="1"/>
  <c r="H15" i="1"/>
  <c r="I2" i="2"/>
  <c r="C4" i="2"/>
  <c r="C5" i="2"/>
  <c r="C10" i="2"/>
  <c r="B26" i="2"/>
  <c r="B28" i="2"/>
  <c r="B30" i="2"/>
  <c r="C16" i="2"/>
  <c r="B8" i="1"/>
  <c r="H16" i="1" s="1"/>
  <c r="F14" i="1"/>
  <c r="H14" i="1" s="1"/>
  <c r="F25" i="1"/>
  <c r="H19" i="1"/>
  <c r="C7" i="2"/>
  <c r="J3" i="2"/>
  <c r="F30" i="1"/>
  <c r="J30" i="1"/>
  <c r="H5" i="1"/>
  <c r="J2" i="2"/>
  <c r="J4" i="2"/>
  <c r="C9" i="2"/>
  <c r="C11" i="2"/>
  <c r="C13" i="2"/>
  <c r="C20" i="2"/>
  <c r="F31" i="1"/>
  <c r="C17" i="1"/>
  <c r="G22" i="2"/>
  <c r="B17" i="1"/>
  <c r="G17" i="2"/>
  <c r="G18" i="2"/>
  <c r="F32" i="1"/>
  <c r="J32" i="1"/>
  <c r="J5" i="1"/>
  <c r="E5" i="1"/>
  <c r="F5" i="1" s="1"/>
  <c r="Q12" i="1"/>
  <c r="E13" i="1" s="1"/>
  <c r="B25" i="1"/>
  <c r="H18" i="1"/>
  <c r="F33" i="1"/>
  <c r="F34" i="1"/>
  <c r="F35" i="1"/>
  <c r="J31" i="1"/>
  <c r="P12" i="1"/>
  <c r="D13" i="1" s="1"/>
  <c r="F36" i="1"/>
  <c r="F37" i="1"/>
  <c r="F38" i="1"/>
  <c r="I29" i="1"/>
  <c r="G4" i="1"/>
  <c r="K4" i="1"/>
  <c r="F39" i="1"/>
  <c r="J29" i="1"/>
  <c r="K5" i="1"/>
  <c r="K6" i="1" s="1"/>
  <c r="H17" i="1"/>
  <c r="F40" i="1"/>
  <c r="N12" i="1"/>
  <c r="F41" i="1"/>
  <c r="B13" i="1"/>
  <c r="F42" i="1"/>
  <c r="F43" i="1"/>
  <c r="F45" i="1"/>
  <c r="F44" i="1"/>
  <c r="O11" i="1"/>
  <c r="N11" i="1" l="1"/>
  <c r="F4" i="1"/>
  <c r="F6" i="1" s="1"/>
  <c r="D12" i="1"/>
  <c r="P13" i="1"/>
  <c r="Q17" i="1"/>
  <c r="C12" i="1"/>
  <c r="R11" i="1"/>
  <c r="C13" i="1"/>
  <c r="R12" i="1"/>
  <c r="O13" i="1"/>
  <c r="B12" i="1" l="1"/>
  <c r="N13" i="1"/>
  <c r="H13" i="1"/>
  <c r="H25" i="1" s="1"/>
</calcChain>
</file>

<file path=xl/sharedStrings.xml><?xml version="1.0" encoding="utf-8"?>
<sst xmlns="http://schemas.openxmlformats.org/spreadsheetml/2006/main" count="139" uniqueCount="116">
  <si>
    <t>RA</t>
  </si>
  <si>
    <t>CLIENTE</t>
  </si>
  <si>
    <t>ORE</t>
  </si>
  <si>
    <t>GIORNI</t>
  </si>
  <si>
    <t>Standard</t>
  </si>
  <si>
    <t>Esterno</t>
  </si>
  <si>
    <t>Int</t>
  </si>
  <si>
    <t>Interno</t>
  </si>
  <si>
    <t>Est</t>
  </si>
  <si>
    <t>Km</t>
  </si>
  <si>
    <t>Coeff maggiorazione Km</t>
  </si>
  <si>
    <t>Autostrada</t>
  </si>
  <si>
    <t>Coefficiente al Km</t>
  </si>
  <si>
    <t>Vitto alloggio</t>
  </si>
  <si>
    <t>Indicare no se non è da conteggiare</t>
  </si>
  <si>
    <t>Costo Montaggio</t>
  </si>
  <si>
    <t>Rim km</t>
  </si>
  <si>
    <t>Hotel</t>
  </si>
  <si>
    <t>Colaz</t>
  </si>
  <si>
    <t xml:space="preserve">Pranzo </t>
  </si>
  <si>
    <t>Cena</t>
  </si>
  <si>
    <t>Tot gg</t>
  </si>
  <si>
    <t>TOTALE</t>
  </si>
  <si>
    <t>Totale gg</t>
  </si>
  <si>
    <t>Totale ore</t>
  </si>
  <si>
    <t>COSTI</t>
  </si>
  <si>
    <t>Totali</t>
  </si>
  <si>
    <t>Trasporti</t>
  </si>
  <si>
    <t>Componenti</t>
  </si>
  <si>
    <t>TRASPORTI</t>
  </si>
  <si>
    <t>COMPONENTI</t>
  </si>
  <si>
    <t>Tot Trasporti</t>
  </si>
  <si>
    <t>Tot comp</t>
  </si>
  <si>
    <t>VM</t>
  </si>
  <si>
    <t xml:space="preserve">Attenzione indicare tutti i costi </t>
  </si>
  <si>
    <t>Primo livello costo effttivo</t>
  </si>
  <si>
    <t>Maggiorazione</t>
  </si>
  <si>
    <t>Secondo livello</t>
  </si>
  <si>
    <t>Su Vm</t>
  </si>
  <si>
    <t>Magg</t>
  </si>
  <si>
    <t>Maggiorazione minima</t>
  </si>
  <si>
    <t>Vm da</t>
  </si>
  <si>
    <t>Fuel surcharge</t>
  </si>
  <si>
    <t>Ritorno doc dog</t>
  </si>
  <si>
    <t>Totale costo</t>
  </si>
  <si>
    <t>Su costo trasporto</t>
  </si>
  <si>
    <t>OFF/COMM</t>
  </si>
  <si>
    <t xml:space="preserve">Controllo vol/peso </t>
  </si>
  <si>
    <t>Cm</t>
  </si>
  <si>
    <t>Lato corto</t>
  </si>
  <si>
    <t>Lato lungo</t>
  </si>
  <si>
    <t>Altezza</t>
  </si>
  <si>
    <t>Volume geometrico</t>
  </si>
  <si>
    <t>Divisore</t>
  </si>
  <si>
    <t>Volume in peso tassabile</t>
  </si>
  <si>
    <t>Peso reale pacco</t>
  </si>
  <si>
    <t>Peso tassabile</t>
  </si>
  <si>
    <t>Costo telefono</t>
  </si>
  <si>
    <t>Ct effettivo</t>
  </si>
  <si>
    <t>MAGG</t>
  </si>
  <si>
    <t>COSTO COMPONENTI</t>
  </si>
  <si>
    <t>Descrizione</t>
  </si>
  <si>
    <t>Art</t>
  </si>
  <si>
    <t>Costo</t>
  </si>
  <si>
    <t>Coeff</t>
  </si>
  <si>
    <t>Tipo</t>
  </si>
  <si>
    <t>%</t>
  </si>
  <si>
    <t>Rip</t>
  </si>
  <si>
    <t>Arrotond</t>
  </si>
  <si>
    <t>Prez brutto</t>
  </si>
  <si>
    <t>Prezzo arrotondato</t>
  </si>
  <si>
    <t>Tipo tecnico</t>
  </si>
  <si>
    <t>GG</t>
  </si>
  <si>
    <t>N°tecnici</t>
  </si>
  <si>
    <t>Tipo lavorazione</t>
  </si>
  <si>
    <t>Riassunto</t>
  </si>
  <si>
    <t>Spe</t>
  </si>
  <si>
    <t>Std</t>
  </si>
  <si>
    <t>Spv</t>
  </si>
  <si>
    <t>Interni</t>
  </si>
  <si>
    <t>Tot Int</t>
  </si>
  <si>
    <t>Tot est</t>
  </si>
  <si>
    <t>EST</t>
  </si>
  <si>
    <t>INT</t>
  </si>
  <si>
    <t>DHL EXPRESS</t>
  </si>
  <si>
    <t>Corriere</t>
  </si>
  <si>
    <t>DHL EUROPLUS CAMIONISTIC</t>
  </si>
  <si>
    <t>Maggiorazione sovrappeso</t>
  </si>
  <si>
    <t>Kg</t>
  </si>
  <si>
    <t>Programmatore</t>
  </si>
  <si>
    <t>Supervisore</t>
  </si>
  <si>
    <t>Specializzata</t>
  </si>
  <si>
    <t>Prog</t>
  </si>
  <si>
    <t>Tempo viaggio</t>
  </si>
  <si>
    <t>Km/H media</t>
  </si>
  <si>
    <t>Ore mezzi pubblici</t>
  </si>
  <si>
    <t>totale ore viaggi</t>
  </si>
  <si>
    <t>Meccanico</t>
  </si>
  <si>
    <t>Elettrico</t>
  </si>
  <si>
    <t>Collaudo</t>
  </si>
  <si>
    <t>Programma</t>
  </si>
  <si>
    <t>Formazione</t>
  </si>
  <si>
    <t>Progetto</t>
  </si>
  <si>
    <t>Post Vendita</t>
  </si>
  <si>
    <t>Uscita / trasf</t>
  </si>
  <si>
    <t>Mezzi Pubblici</t>
  </si>
  <si>
    <t>Teleassistenza</t>
  </si>
  <si>
    <t>TRASFERTA</t>
  </si>
  <si>
    <t>STD</t>
  </si>
  <si>
    <t>scelto</t>
  </si>
  <si>
    <t>SPECIALE</t>
  </si>
  <si>
    <t>OLTRE</t>
  </si>
  <si>
    <t>1+5</t>
  </si>
  <si>
    <t>10 +10</t>
  </si>
  <si>
    <t>BIGLIETTI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</si>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</sst>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[$€-410]_-;\-* #,##0.00\ [$€-410]_-;_-* &quot;-&quot;??\ [$€-410]_-;_-@_-"/>
  </numFmts>
  <fonts count="20" x14ac:knownFonts="1">
    <font>
      <sz val="10"/>
      <name val="Times New Roman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1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i/>
      <sz val="10"/>
      <name val="Arial"/>
      <family val="2"/>
    </font>
    <font>
      <sz val="10"/>
      <name val="Times New Roman"/>
      <family val="1"/>
    </font>
    <font>
      <sz val="12"/>
      <name val="Arial"/>
      <family val="2"/>
    </font>
    <font>
      <sz val="10"/>
      <name val="MS Sans Serif"/>
      <family val="2"/>
    </font>
    <font>
      <sz val="9"/>
      <name val="Times New Roman"/>
      <family val="1"/>
    </font>
    <font>
      <sz val="9"/>
      <color theme="1"/>
      <name val="Calibri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9">
    <xf numFmtId="0" fontId="0" fillId="0" borderId="0"/>
    <xf numFmtId="38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2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5" fillId="0" borderId="0"/>
  </cellStyleXfs>
  <cellXfs count="121">
    <xf numFmtId="0" fontId="0" fillId="0" borderId="0" xfId="0"/>
    <xf numFmtId="0" fontId="3" fillId="0" borderId="0" xfId="0" applyFont="1"/>
    <xf numFmtId="0" fontId="4" fillId="0" borderId="1" xfId="0" applyFont="1" applyBorder="1"/>
    <xf numFmtId="3" fontId="4" fillId="2" borderId="1" xfId="0" applyNumberFormat="1" applyFont="1" applyFill="1" applyBorder="1" applyProtection="1">
      <protection locked="0"/>
    </xf>
    <xf numFmtId="3" fontId="4" fillId="3" borderId="1" xfId="0" applyNumberFormat="1" applyFont="1" applyFill="1" applyBorder="1" applyProtection="1">
      <protection locked="0"/>
    </xf>
    <xf numFmtId="0" fontId="4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wrapText="1"/>
    </xf>
    <xf numFmtId="0" fontId="4" fillId="4" borderId="1" xfId="0" applyFont="1" applyFill="1" applyBorder="1" applyAlignment="1" applyProtection="1">
      <alignment horizontal="center"/>
      <protection locked="0"/>
    </xf>
    <xf numFmtId="0" fontId="5" fillId="5" borderId="1" xfId="0" applyFont="1" applyFill="1" applyBorder="1"/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0" fontId="4" fillId="4" borderId="1" xfId="0" applyFont="1" applyFill="1" applyBorder="1" applyAlignment="1" applyProtection="1">
      <alignment horizontal="right"/>
      <protection locked="0"/>
    </xf>
    <xf numFmtId="0" fontId="4" fillId="0" borderId="1" xfId="0" applyFont="1" applyBorder="1" applyAlignment="1">
      <alignment wrapText="1"/>
    </xf>
    <xf numFmtId="0" fontId="4" fillId="6" borderId="1" xfId="0" applyFont="1" applyFill="1" applyBorder="1"/>
    <xf numFmtId="0" fontId="4" fillId="6" borderId="1" xfId="0" applyFont="1" applyFill="1" applyBorder="1" applyProtection="1">
      <protection locked="0"/>
    </xf>
    <xf numFmtId="2" fontId="4" fillId="5" borderId="1" xfId="0" applyNumberFormat="1" applyFont="1" applyFill="1" applyBorder="1" applyAlignment="1">
      <alignment horizontal="center"/>
    </xf>
    <xf numFmtId="40" fontId="4" fillId="3" borderId="1" xfId="1" applyNumberFormat="1" applyFont="1" applyFill="1" applyBorder="1" applyProtection="1"/>
    <xf numFmtId="0" fontId="6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40" fontId="4" fillId="2" borderId="1" xfId="1" applyNumberFormat="1" applyFont="1" applyFill="1" applyBorder="1" applyAlignment="1" applyProtection="1">
      <alignment horizontal="right" vertical="center"/>
    </xf>
    <xf numFmtId="40" fontId="4" fillId="0" borderId="1" xfId="1" applyNumberFormat="1" applyFont="1" applyBorder="1" applyAlignment="1" applyProtection="1">
      <alignment horizontal="right" vertical="center"/>
    </xf>
    <xf numFmtId="40" fontId="4" fillId="6" borderId="1" xfId="1" applyNumberFormat="1" applyFont="1" applyFill="1" applyBorder="1" applyAlignment="1" applyProtection="1">
      <alignment horizontal="right" vertical="center"/>
    </xf>
    <xf numFmtId="40" fontId="4" fillId="7" borderId="1" xfId="1" applyNumberFormat="1" applyFont="1" applyFill="1" applyBorder="1" applyAlignment="1" applyProtection="1">
      <alignment horizontal="right"/>
    </xf>
    <xf numFmtId="40" fontId="4" fillId="8" borderId="1" xfId="1" applyNumberFormat="1" applyFont="1" applyFill="1" applyBorder="1" applyAlignment="1" applyProtection="1">
      <alignment horizontal="center" vertical="center"/>
    </xf>
    <xf numFmtId="0" fontId="3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left" wrapText="1"/>
    </xf>
    <xf numFmtId="0" fontId="4" fillId="0" borderId="1" xfId="0" applyFont="1" applyBorder="1" applyAlignment="1">
      <alignment horizontal="right"/>
    </xf>
    <xf numFmtId="0" fontId="8" fillId="2" borderId="1" xfId="0" applyFont="1" applyFill="1" applyBorder="1"/>
    <xf numFmtId="0" fontId="4" fillId="9" borderId="3" xfId="0" applyFont="1" applyFill="1" applyBorder="1" applyAlignment="1">
      <alignment horizontal="left" vertical="center"/>
    </xf>
    <xf numFmtId="0" fontId="4" fillId="6" borderId="3" xfId="0" applyFont="1" applyFill="1" applyBorder="1" applyAlignment="1">
      <alignment horizontal="left" vertical="center"/>
    </xf>
    <xf numFmtId="0" fontId="4" fillId="7" borderId="3" xfId="0" applyFont="1" applyFill="1" applyBorder="1" applyAlignment="1">
      <alignment horizontal="left" vertical="center"/>
    </xf>
    <xf numFmtId="0" fontId="4" fillId="5" borderId="1" xfId="0" applyFont="1" applyFill="1" applyBorder="1" applyProtection="1">
      <protection locked="0"/>
    </xf>
    <xf numFmtId="0" fontId="4" fillId="0" borderId="0" xfId="0" applyFont="1" applyProtection="1">
      <protection locked="0"/>
    </xf>
    <xf numFmtId="0" fontId="4" fillId="0" borderId="4" xfId="0" applyFont="1" applyBorder="1"/>
    <xf numFmtId="0" fontId="10" fillId="0" borderId="1" xfId="3" applyFont="1" applyBorder="1"/>
    <xf numFmtId="0" fontId="10" fillId="0" borderId="0" xfId="3" applyFont="1"/>
    <xf numFmtId="9" fontId="10" fillId="0" borderId="0" xfId="3" applyNumberFormat="1" applyFont="1"/>
    <xf numFmtId="9" fontId="10" fillId="5" borderId="5" xfId="3" applyNumberFormat="1" applyFont="1" applyFill="1" applyBorder="1"/>
    <xf numFmtId="43" fontId="10" fillId="0" borderId="0" xfId="3" applyNumberFormat="1" applyFont="1"/>
    <xf numFmtId="9" fontId="10" fillId="0" borderId="1" xfId="3" applyNumberFormat="1" applyFont="1" applyBorder="1"/>
    <xf numFmtId="43" fontId="10" fillId="0" borderId="1" xfId="2" applyFont="1" applyBorder="1" applyProtection="1"/>
    <xf numFmtId="2" fontId="10" fillId="0" borderId="0" xfId="3" applyNumberFormat="1" applyFont="1"/>
    <xf numFmtId="10" fontId="10" fillId="0" borderId="1" xfId="4" applyNumberFormat="1" applyFont="1" applyBorder="1" applyProtection="1"/>
    <xf numFmtId="43" fontId="10" fillId="10" borderId="1" xfId="2" applyFont="1" applyFill="1" applyBorder="1" applyProtection="1"/>
    <xf numFmtId="43" fontId="10" fillId="0" borderId="1" xfId="3" applyNumberFormat="1" applyFont="1" applyBorder="1"/>
    <xf numFmtId="10" fontId="10" fillId="4" borderId="1" xfId="4" applyNumberFormat="1" applyFont="1" applyFill="1" applyBorder="1" applyProtection="1"/>
    <xf numFmtId="0" fontId="9" fillId="0" borderId="0" xfId="3"/>
    <xf numFmtId="0" fontId="11" fillId="0" borderId="0" xfId="3" applyFont="1"/>
    <xf numFmtId="0" fontId="11" fillId="0" borderId="1" xfId="3" applyFont="1" applyBorder="1"/>
    <xf numFmtId="43" fontId="11" fillId="5" borderId="1" xfId="2" applyFont="1" applyFill="1" applyBorder="1" applyProtection="1">
      <protection locked="0"/>
    </xf>
    <xf numFmtId="43" fontId="11" fillId="5" borderId="0" xfId="3" applyNumberFormat="1" applyFont="1" applyFill="1"/>
    <xf numFmtId="43" fontId="10" fillId="10" borderId="1" xfId="2" applyFont="1" applyFill="1" applyBorder="1" applyProtection="1">
      <protection locked="0"/>
    </xf>
    <xf numFmtId="0" fontId="10" fillId="0" borderId="3" xfId="3" applyFont="1" applyBorder="1"/>
    <xf numFmtId="43" fontId="10" fillId="10" borderId="1" xfId="3" applyNumberFormat="1" applyFont="1" applyFill="1" applyBorder="1"/>
    <xf numFmtId="43" fontId="11" fillId="2" borderId="5" xfId="3" applyNumberFormat="1" applyFont="1" applyFill="1" applyBorder="1"/>
    <xf numFmtId="0" fontId="10" fillId="10" borderId="6" xfId="3" applyFont="1" applyFill="1" applyBorder="1"/>
    <xf numFmtId="0" fontId="10" fillId="4" borderId="5" xfId="3" applyFont="1" applyFill="1" applyBorder="1" applyProtection="1">
      <protection locked="0"/>
    </xf>
    <xf numFmtId="2" fontId="6" fillId="4" borderId="5" xfId="3" applyNumberFormat="1" applyFont="1" applyFill="1" applyBorder="1"/>
    <xf numFmtId="0" fontId="0" fillId="0" borderId="1" xfId="0" applyBorder="1"/>
    <xf numFmtId="0" fontId="4" fillId="2" borderId="0" xfId="0" applyFont="1" applyFill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9" fontId="0" fillId="0" borderId="0" xfId="0" applyNumberFormat="1"/>
    <xf numFmtId="0" fontId="4" fillId="2" borderId="8" xfId="0" applyFont="1" applyFill="1" applyBorder="1" applyAlignment="1">
      <alignment horizontal="center" vertical="center"/>
    </xf>
    <xf numFmtId="43" fontId="4" fillId="5" borderId="1" xfId="0" applyNumberFormat="1" applyFont="1" applyFill="1" applyBorder="1" applyProtection="1">
      <protection locked="0"/>
    </xf>
    <xf numFmtId="0" fontId="4" fillId="11" borderId="1" xfId="0" applyFont="1" applyFill="1" applyBorder="1"/>
    <xf numFmtId="0" fontId="4" fillId="13" borderId="1" xfId="0" applyFont="1" applyFill="1" applyBorder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14" fillId="14" borderId="1" xfId="0" applyFont="1" applyFill="1" applyBorder="1"/>
    <xf numFmtId="0" fontId="14" fillId="14" borderId="1" xfId="0" applyFont="1" applyFill="1" applyBorder="1" applyAlignment="1">
      <alignment horizontal="center" vertical="center"/>
    </xf>
    <xf numFmtId="0" fontId="4" fillId="0" borderId="0" xfId="3" applyFont="1"/>
    <xf numFmtId="0" fontId="9" fillId="5" borderId="3" xfId="3" applyFill="1" applyBorder="1" applyProtection="1">
      <protection locked="0"/>
    </xf>
    <xf numFmtId="0" fontId="9" fillId="5" borderId="9" xfId="3" applyFill="1" applyBorder="1" applyProtection="1">
      <protection locked="0"/>
    </xf>
    <xf numFmtId="0" fontId="9" fillId="10" borderId="10" xfId="3" applyFill="1" applyBorder="1"/>
    <xf numFmtId="0" fontId="9" fillId="10" borderId="3" xfId="3" applyFill="1" applyBorder="1"/>
    <xf numFmtId="0" fontId="5" fillId="10" borderId="3" xfId="3" applyFont="1" applyFill="1" applyBorder="1"/>
    <xf numFmtId="0" fontId="12" fillId="5" borderId="9" xfId="3" applyFont="1" applyFill="1" applyBorder="1" applyProtection="1">
      <protection locked="0"/>
    </xf>
    <xf numFmtId="0" fontId="13" fillId="11" borderId="1" xfId="0" applyFont="1" applyFill="1" applyBorder="1" applyProtection="1">
      <protection locked="0"/>
    </xf>
    <xf numFmtId="0" fontId="4" fillId="11" borderId="1" xfId="3" applyFont="1" applyFill="1" applyBorder="1" applyProtection="1">
      <protection locked="0"/>
    </xf>
    <xf numFmtId="0" fontId="9" fillId="11" borderId="1" xfId="3" applyFill="1" applyBorder="1" applyProtection="1">
      <protection locked="0"/>
    </xf>
    <xf numFmtId="0" fontId="0" fillId="11" borderId="1" xfId="0" applyFill="1" applyBorder="1" applyProtection="1">
      <protection locked="0"/>
    </xf>
    <xf numFmtId="43" fontId="10" fillId="11" borderId="1" xfId="2" applyFont="1" applyFill="1" applyBorder="1" applyProtection="1">
      <protection locked="0"/>
    </xf>
    <xf numFmtId="10" fontId="10" fillId="15" borderId="1" xfId="3" applyNumberFormat="1" applyFont="1" applyFill="1" applyBorder="1" applyProtection="1">
      <protection locked="0"/>
    </xf>
    <xf numFmtId="0" fontId="10" fillId="15" borderId="1" xfId="3" applyFont="1" applyFill="1" applyBorder="1" applyProtection="1"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4" fillId="2" borderId="3" xfId="0" applyFont="1" applyFill="1" applyBorder="1" applyAlignment="1">
      <alignment horizontal="center" vertical="center"/>
    </xf>
    <xf numFmtId="10" fontId="10" fillId="4" borderId="0" xfId="4" applyNumberFormat="1" applyFont="1" applyFill="1" applyBorder="1" applyProtection="1"/>
    <xf numFmtId="0" fontId="4" fillId="0" borderId="1" xfId="3" applyFont="1" applyBorder="1"/>
    <xf numFmtId="2" fontId="10" fillId="0" borderId="1" xfId="4" applyNumberFormat="1" applyFont="1" applyBorder="1" applyProtection="1"/>
    <xf numFmtId="4" fontId="3" fillId="0" borderId="1" xfId="0" applyNumberFormat="1" applyFont="1" applyBorder="1" applyAlignment="1">
      <alignment horizontal="right"/>
    </xf>
    <xf numFmtId="0" fontId="4" fillId="9" borderId="0" xfId="0" applyFont="1" applyFill="1" applyAlignment="1">
      <alignment horizontal="left" vertical="center"/>
    </xf>
    <xf numFmtId="0" fontId="4" fillId="16" borderId="1" xfId="0" applyFont="1" applyFill="1" applyBorder="1"/>
    <xf numFmtId="0" fontId="4" fillId="0" borderId="0" xfId="0" applyFont="1" applyAlignment="1" applyProtection="1">
      <alignment wrapText="1"/>
      <protection locked="0"/>
    </xf>
    <xf numFmtId="0" fontId="4" fillId="11" borderId="0" xfId="0" applyFont="1" applyFill="1" applyProtection="1">
      <protection locked="0"/>
    </xf>
    <xf numFmtId="43" fontId="8" fillId="2" borderId="1" xfId="0" applyNumberFormat="1" applyFont="1" applyFill="1" applyBorder="1"/>
    <xf numFmtId="0" fontId="16" fillId="0" borderId="0" xfId="0" applyFont="1"/>
    <xf numFmtId="4" fontId="16" fillId="0" borderId="0" xfId="0" applyNumberFormat="1" applyFont="1"/>
    <xf numFmtId="0" fontId="16" fillId="0" borderId="1" xfId="0" applyFont="1" applyBorder="1" applyProtection="1">
      <protection locked="0"/>
    </xf>
    <xf numFmtId="0" fontId="16" fillId="12" borderId="1" xfId="0" applyFont="1" applyFill="1" applyBorder="1" applyProtection="1">
      <protection locked="0"/>
    </xf>
    <xf numFmtId="0" fontId="17" fillId="0" borderId="1" xfId="0" applyFont="1" applyBorder="1"/>
    <xf numFmtId="164" fontId="17" fillId="0" borderId="1" xfId="0" applyNumberFormat="1" applyFont="1" applyBorder="1"/>
    <xf numFmtId="43" fontId="18" fillId="11" borderId="1" xfId="5" applyFont="1" applyFill="1" applyBorder="1"/>
    <xf numFmtId="0" fontId="19" fillId="0" borderId="1" xfId="6" applyFont="1" applyBorder="1" applyProtection="1">
      <protection locked="0"/>
    </xf>
    <xf numFmtId="4" fontId="16" fillId="11" borderId="1" xfId="0" applyNumberFormat="1" applyFont="1" applyFill="1" applyBorder="1" applyProtection="1">
      <protection locked="0"/>
    </xf>
    <xf numFmtId="0" fontId="16" fillId="0" borderId="0" xfId="0" applyFont="1" applyProtection="1">
      <protection locked="0"/>
    </xf>
    <xf numFmtId="9" fontId="16" fillId="0" borderId="0" xfId="0" applyNumberFormat="1" applyFont="1"/>
    <xf numFmtId="43" fontId="16" fillId="0" borderId="0" xfId="0" applyNumberFormat="1" applyFont="1"/>
    <xf numFmtId="0" fontId="16" fillId="0" borderId="0" xfId="0" quotePrefix="1" applyFont="1"/>
    <xf numFmtId="0" fontId="5" fillId="0" borderId="1" xfId="0" applyFont="1" applyBorder="1" applyAlignment="1">
      <alignment horizontal="center"/>
    </xf>
    <xf numFmtId="3" fontId="5" fillId="3" borderId="1" xfId="0" applyNumberFormat="1" applyFont="1" applyFill="1" applyBorder="1" applyProtection="1">
      <protection locked="0"/>
    </xf>
    <xf numFmtId="0" fontId="7" fillId="0" borderId="1" xfId="0" applyFont="1" applyBorder="1"/>
    <xf numFmtId="0" fontId="4" fillId="2" borderId="3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4" fillId="0" borderId="1" xfId="0" applyFont="1" applyBorder="1" applyProtection="1">
      <protection locked="0"/>
    </xf>
    <xf numFmtId="0" fontId="0" fillId="0" borderId="1" xfId="0" applyBorder="1"/>
  </cellXfs>
  <cellStyles count="9">
    <cellStyle name="Migliaia" xfId="5" builtinId="3"/>
    <cellStyle name="Migliaia [0]" xfId="1" builtinId="6"/>
    <cellStyle name="Migliaia 2" xfId="7" xr:uid="{00000000-0005-0000-0000-000002000000}"/>
    <cellStyle name="Migliaia_Trasporto calcolo addebito in fattura 30gen061" xfId="2" xr:uid="{00000000-0005-0000-0000-000003000000}"/>
    <cellStyle name="Normale" xfId="0" builtinId="0"/>
    <cellStyle name="Normale 2" xfId="6" xr:uid="{00000000-0005-0000-0000-000005000000}"/>
    <cellStyle name="Normale 3" xfId="8" xr:uid="{00000000-0005-0000-0000-000006000000}"/>
    <cellStyle name="Normale_Trasporto calcolo addebito in fattura 30gen061" xfId="3" xr:uid="{00000000-0005-0000-0000-000007000000}"/>
    <cellStyle name="Percentuale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1247948</xdr:colOff>
      <xdr:row>5</xdr:row>
      <xdr:rowOff>72455</xdr:rowOff>
    </xdr:from>
    <xdr:to>
      <xdr:col>4</xdr:col>
      <xdr:colOff>1432560</xdr:colOff>
      <xdr:row>17</xdr:row>
      <xdr:rowOff>182881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/>
        </xdr:cNvSpPr>
      </xdr:nvSpPr>
      <xdr:spPr bwMode="auto">
        <a:xfrm>
          <a:off x="6018068" y="1550735"/>
          <a:ext cx="1746712" cy="994346"/>
        </a:xfrm>
        <a:prstGeom prst="accentBorderCallout2">
          <a:avLst>
            <a:gd name="adj1" fmla="val 16000"/>
            <a:gd name="adj2" fmla="val -4347"/>
            <a:gd name="adj3" fmla="val 16000"/>
            <a:gd name="adj4" fmla="val -97824"/>
            <a:gd name="adj5" fmla="val -26667"/>
            <a:gd name="adj6" fmla="val -19184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it-IT" sz="2000" b="1" i="0" strike="noStrike">
              <a:solidFill>
                <a:srgbClr val="000000"/>
              </a:solidFill>
              <a:latin typeface="Times New Roman"/>
              <a:cs typeface="Times New Roman"/>
            </a:rPr>
            <a:t>Se UE allora</a:t>
          </a:r>
          <a:r>
            <a:rPr lang="it-IT" sz="2000" b="0" i="0" strike="noStrike">
              <a:solidFill>
                <a:srgbClr val="000000"/>
              </a:solidFill>
              <a:latin typeface="Times New Roman"/>
              <a:cs typeface="Times New Roman"/>
            </a:rPr>
            <a:t> indicare - no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R45"/>
  <sheetViews>
    <sheetView showZeros="0" tabSelected="1" view="pageBreakPreview" topLeftCell="A2" zoomScale="85" zoomScaleNormal="85" zoomScaleSheetLayoutView="85" workbookViewId="0">
      <selection activeCell="C5" sqref="C5"/>
    </sheetView>
  </sheetViews>
  <sheetFormatPr defaultColWidth="9.33203125" defaultRowHeight="12.75" x14ac:dyDescent="0.2"/>
  <cols>
    <col min="1" max="1" width="15.6640625" style="5" bestFit="1" customWidth="1"/>
    <col min="2" max="5" width="11.83203125" style="5" customWidth="1"/>
    <col min="6" max="6" width="14.1640625" style="5" customWidth="1"/>
    <col min="7" max="7" width="15.33203125" style="5" customWidth="1"/>
    <col min="8" max="9" width="11.83203125" style="5" customWidth="1"/>
    <col min="10" max="10" width="9.83203125" style="5" customWidth="1"/>
    <col min="11" max="11" width="14" style="5" bestFit="1" customWidth="1"/>
    <col min="12" max="12" width="11.33203125" style="5" customWidth="1"/>
    <col min="13" max="16" width="9.83203125" style="5" customWidth="1"/>
    <col min="17" max="17" width="10.33203125" style="5" customWidth="1"/>
    <col min="18" max="18" width="7.5" style="5" customWidth="1"/>
    <col min="19" max="16384" width="9.33203125" style="5"/>
  </cols>
  <sheetData>
    <row r="1" spans="1:18" ht="23.25" customHeight="1" x14ac:dyDescent="0.2">
      <c r="A1" s="10" t="s">
        <v>46</v>
      </c>
      <c r="B1" s="3"/>
      <c r="C1" s="28" t="s">
        <v>0</v>
      </c>
      <c r="D1" s="4"/>
      <c r="E1" s="4"/>
      <c r="F1" s="2" t="s">
        <v>1</v>
      </c>
      <c r="G1" s="111"/>
      <c r="H1" s="112"/>
      <c r="I1" s="112"/>
      <c r="J1" s="112"/>
      <c r="K1" s="5" t="s">
        <v>107</v>
      </c>
      <c r="L1" s="95" t="s">
        <v>108</v>
      </c>
    </row>
    <row r="2" spans="1:18" ht="16.5" customHeight="1" x14ac:dyDescent="0.2">
      <c r="B2" s="116" t="s">
        <v>2</v>
      </c>
      <c r="C2" s="117"/>
      <c r="D2" s="118"/>
      <c r="E2" s="6"/>
      <c r="F2" s="69"/>
      <c r="G2" s="116" t="s">
        <v>3</v>
      </c>
      <c r="H2" s="117"/>
      <c r="I2" s="118"/>
      <c r="J2" s="6"/>
      <c r="N2" s="110" t="s">
        <v>25</v>
      </c>
      <c r="O2" s="110"/>
      <c r="P2" s="110"/>
    </row>
    <row r="3" spans="1:18" s="7" customFormat="1" ht="29.25" customHeight="1" x14ac:dyDescent="0.2">
      <c r="B3" s="25" t="str">
        <f>I35</f>
        <v>Std</v>
      </c>
      <c r="C3" s="25" t="str">
        <f t="shared" ref="C3:E3" si="0">J35</f>
        <v>Spe</v>
      </c>
      <c r="D3" s="25" t="str">
        <f t="shared" si="0"/>
        <v>Prog</v>
      </c>
      <c r="E3" s="25" t="str">
        <f t="shared" si="0"/>
        <v>Spv</v>
      </c>
      <c r="F3" s="26" t="s">
        <v>24</v>
      </c>
      <c r="G3" s="25" t="str">
        <f>B3</f>
        <v>Std</v>
      </c>
      <c r="H3" s="25" t="str">
        <f t="shared" ref="H3:J3" si="1">C3</f>
        <v>Spe</v>
      </c>
      <c r="I3" s="25" t="str">
        <f t="shared" si="1"/>
        <v>Prog</v>
      </c>
      <c r="J3" s="25" t="str">
        <f t="shared" si="1"/>
        <v>Spv</v>
      </c>
      <c r="K3" s="26" t="s">
        <v>23</v>
      </c>
      <c r="N3" s="25" t="s">
        <v>4</v>
      </c>
      <c r="O3" s="25" t="s">
        <v>91</v>
      </c>
      <c r="P3" s="26" t="s">
        <v>89</v>
      </c>
      <c r="Q3" s="26" t="s">
        <v>90</v>
      </c>
    </row>
    <row r="4" spans="1:18" ht="18" customHeight="1" x14ac:dyDescent="0.2">
      <c r="A4" s="1" t="s">
        <v>5</v>
      </c>
      <c r="B4" s="8">
        <f>G4*$F$2+G7</f>
        <v>0</v>
      </c>
      <c r="C4" s="8"/>
      <c r="D4" s="8">
        <f>I4*$F$2+I7</f>
        <v>0</v>
      </c>
      <c r="E4" s="8">
        <f>J4*$F$2+J7</f>
        <v>0</v>
      </c>
      <c r="F4" s="9">
        <f>SUM(B4:E4)</f>
        <v>0</v>
      </c>
      <c r="G4" s="8">
        <f>I29</f>
        <v>0</v>
      </c>
      <c r="H4" s="8">
        <f>I30</f>
        <v>0</v>
      </c>
      <c r="I4" s="8">
        <f>I31</f>
        <v>0</v>
      </c>
      <c r="J4" s="8">
        <f>I32</f>
        <v>0</v>
      </c>
      <c r="K4" s="9">
        <f>SUM(G4:J4)</f>
        <v>0</v>
      </c>
      <c r="M4" s="10" t="s">
        <v>8</v>
      </c>
      <c r="N4" s="91">
        <v>55</v>
      </c>
      <c r="O4" s="91">
        <v>70</v>
      </c>
      <c r="P4" s="91">
        <v>80</v>
      </c>
      <c r="Q4" s="91">
        <v>95</v>
      </c>
    </row>
    <row r="5" spans="1:18" ht="18" customHeight="1" x14ac:dyDescent="0.2">
      <c r="A5" s="1" t="s">
        <v>7</v>
      </c>
      <c r="B5" s="8"/>
      <c r="C5" s="8"/>
      <c r="D5" s="8"/>
      <c r="E5" s="8">
        <f t="shared" ref="E5" si="2">J5*$F$2</f>
        <v>0</v>
      </c>
      <c r="F5" s="9">
        <f>SUM(B5:E5)</f>
        <v>0</v>
      </c>
      <c r="G5" s="8"/>
      <c r="H5" s="8">
        <f>J30</f>
        <v>0</v>
      </c>
      <c r="I5" s="8"/>
      <c r="J5" s="8">
        <f>J32</f>
        <v>0</v>
      </c>
      <c r="K5" s="9">
        <f>SUM(G5:J5)</f>
        <v>0</v>
      </c>
      <c r="M5" s="10" t="s">
        <v>6</v>
      </c>
      <c r="N5" s="91">
        <v>50</v>
      </c>
      <c r="O5" s="91">
        <v>65</v>
      </c>
      <c r="P5" s="91">
        <v>75</v>
      </c>
      <c r="Q5" s="91">
        <v>90</v>
      </c>
    </row>
    <row r="6" spans="1:18" ht="15" customHeight="1" x14ac:dyDescent="0.2">
      <c r="F6" s="9">
        <f>SUM(F4:F5)</f>
        <v>0</v>
      </c>
      <c r="K6" s="9">
        <f>SUM(K4:K5)</f>
        <v>0</v>
      </c>
      <c r="N6"/>
      <c r="O6"/>
      <c r="P6"/>
    </row>
    <row r="7" spans="1:18" ht="28.5" customHeight="1" x14ac:dyDescent="0.2">
      <c r="A7" s="11" t="s">
        <v>9</v>
      </c>
      <c r="B7" s="12"/>
      <c r="C7" s="34">
        <v>1.2</v>
      </c>
      <c r="D7" s="5" t="s">
        <v>10</v>
      </c>
      <c r="E7" s="7" t="s">
        <v>94</v>
      </c>
      <c r="F7" s="5" t="s">
        <v>93</v>
      </c>
      <c r="G7" s="5">
        <f>ROUNDUP($B$7/$E$8*I45,0)</f>
        <v>0</v>
      </c>
      <c r="H7" s="5">
        <f>ROUNDUP($B$7/$E$8*J45,0)</f>
        <v>0</v>
      </c>
      <c r="I7" s="5">
        <f>ROUNDUP($B$7/$E$8*K45,0)</f>
        <v>0</v>
      </c>
      <c r="J7" s="5">
        <f>ROUNDUP($B$7/$E$8*L45,0)</f>
        <v>0</v>
      </c>
      <c r="M7"/>
      <c r="N7"/>
      <c r="O7"/>
      <c r="P7"/>
    </row>
    <row r="8" spans="1:18" s="7" customFormat="1" ht="18.75" customHeight="1" x14ac:dyDescent="0.2">
      <c r="A8" s="27" t="s">
        <v>11</v>
      </c>
      <c r="B8" s="13">
        <f>ROUNDUP(B7*C8,-1)</f>
        <v>0</v>
      </c>
      <c r="C8" s="94">
        <v>0.09</v>
      </c>
      <c r="D8" s="5" t="s">
        <v>12</v>
      </c>
      <c r="E8" s="95">
        <v>67.81</v>
      </c>
      <c r="F8" s="5" t="s">
        <v>95</v>
      </c>
    </row>
    <row r="9" spans="1:18" ht="16.5" customHeight="1" x14ac:dyDescent="0.2">
      <c r="A9" s="14" t="s">
        <v>13</v>
      </c>
      <c r="B9" s="15" t="s">
        <v>115</v>
      </c>
      <c r="C9" s="5" t="s">
        <v>14</v>
      </c>
      <c r="F9" s="5" t="s">
        <v>96</v>
      </c>
    </row>
    <row r="10" spans="1:18" ht="18" customHeight="1" x14ac:dyDescent="0.2">
      <c r="M10" s="7"/>
      <c r="N10" s="25" t="s">
        <v>4</v>
      </c>
      <c r="O10" s="25" t="s">
        <v>91</v>
      </c>
      <c r="P10" s="26" t="s">
        <v>89</v>
      </c>
      <c r="Q10" s="26" t="s">
        <v>90</v>
      </c>
      <c r="R10" s="25" t="s">
        <v>26</v>
      </c>
    </row>
    <row r="11" spans="1:18" ht="18" customHeight="1" x14ac:dyDescent="0.2">
      <c r="B11" s="25" t="s">
        <v>4</v>
      </c>
      <c r="C11" s="25" t="s">
        <v>91</v>
      </c>
      <c r="D11" s="26" t="s">
        <v>89</v>
      </c>
      <c r="E11" s="26" t="s">
        <v>90</v>
      </c>
      <c r="M11" s="10" t="s">
        <v>8</v>
      </c>
      <c r="N11" s="2">
        <f t="shared" ref="N11:Q12" si="3">B4*N4</f>
        <v>0</v>
      </c>
      <c r="O11" s="2">
        <f t="shared" si="3"/>
        <v>0</v>
      </c>
      <c r="P11" s="2">
        <f t="shared" si="3"/>
        <v>0</v>
      </c>
      <c r="Q11" s="2">
        <f t="shared" si="3"/>
        <v>0</v>
      </c>
      <c r="R11" s="5">
        <f>SUM(N11:Q11)</f>
        <v>0</v>
      </c>
    </row>
    <row r="12" spans="1:18" ht="18" customHeight="1" x14ac:dyDescent="0.2">
      <c r="A12" s="1" t="s">
        <v>5</v>
      </c>
      <c r="B12" s="16">
        <f t="shared" ref="B12:E13" si="4">N11</f>
        <v>0</v>
      </c>
      <c r="C12" s="16">
        <f t="shared" si="4"/>
        <v>0</v>
      </c>
      <c r="D12" s="16">
        <f t="shared" si="4"/>
        <v>0</v>
      </c>
      <c r="E12" s="16">
        <f t="shared" si="4"/>
        <v>0</v>
      </c>
      <c r="H12" s="5" t="s">
        <v>15</v>
      </c>
      <c r="M12" s="10" t="s">
        <v>6</v>
      </c>
      <c r="N12" s="2">
        <f t="shared" si="3"/>
        <v>0</v>
      </c>
      <c r="O12" s="2">
        <f>C5*O5</f>
        <v>0</v>
      </c>
      <c r="P12" s="2">
        <f t="shared" si="3"/>
        <v>0</v>
      </c>
      <c r="Q12" s="2">
        <f t="shared" si="3"/>
        <v>0</v>
      </c>
      <c r="R12" s="5">
        <f>SUM(N12:Q12)</f>
        <v>0</v>
      </c>
    </row>
    <row r="13" spans="1:18" ht="18" customHeight="1" x14ac:dyDescent="0.25">
      <c r="A13" s="1" t="s">
        <v>7</v>
      </c>
      <c r="B13" s="16">
        <f t="shared" si="4"/>
        <v>0</v>
      </c>
      <c r="C13" s="16">
        <f t="shared" si="4"/>
        <v>0</v>
      </c>
      <c r="D13" s="16">
        <f t="shared" si="4"/>
        <v>0</v>
      </c>
      <c r="E13" s="16">
        <f t="shared" si="4"/>
        <v>0</v>
      </c>
      <c r="H13" s="17">
        <f>SUM(B12:E13)</f>
        <v>0</v>
      </c>
      <c r="M13" s="18" t="s">
        <v>26</v>
      </c>
      <c r="N13" s="2">
        <f>SUM(N11:N12)</f>
        <v>0</v>
      </c>
      <c r="O13" s="2">
        <f>SUM(O11:O12)</f>
        <v>0</v>
      </c>
      <c r="P13" s="2">
        <f>SUM(P11:P12)</f>
        <v>0</v>
      </c>
    </row>
    <row r="14" spans="1:18" ht="18" customHeight="1" x14ac:dyDescent="0.2">
      <c r="A14" s="19" t="s">
        <v>16</v>
      </c>
      <c r="B14" s="113">
        <v>1.1000000000000001</v>
      </c>
      <c r="C14" s="114"/>
      <c r="D14" s="19" t="s">
        <v>9</v>
      </c>
      <c r="E14" s="87"/>
      <c r="F14" s="113">
        <f>ROUNDUP(B7*C7,-1)</f>
        <v>0</v>
      </c>
      <c r="G14" s="115"/>
      <c r="H14" s="20">
        <f>F14*B14</f>
        <v>0</v>
      </c>
    </row>
    <row r="15" spans="1:18" ht="18" customHeight="1" x14ac:dyDescent="0.2">
      <c r="A15" s="19" t="s">
        <v>57</v>
      </c>
      <c r="B15" s="19"/>
      <c r="C15" s="62"/>
      <c r="D15" s="61"/>
      <c r="E15" s="61"/>
      <c r="F15" s="65"/>
      <c r="G15" s="63"/>
      <c r="H15" s="20">
        <f>'COSTO TELEFONICO'!B1+'COSTO TELEFONICO'!B1*'COSTO TELEFONICO'!B2</f>
        <v>0</v>
      </c>
    </row>
    <row r="16" spans="1:18" ht="18" customHeight="1" x14ac:dyDescent="0.2">
      <c r="A16" s="2" t="s">
        <v>27</v>
      </c>
      <c r="B16" s="2"/>
      <c r="C16" s="35" t="s">
        <v>28</v>
      </c>
      <c r="D16" s="2"/>
      <c r="E16" s="2"/>
      <c r="F16" s="60"/>
      <c r="G16" s="30" t="s">
        <v>11</v>
      </c>
      <c r="H16" s="21">
        <f>B8</f>
        <v>0</v>
      </c>
      <c r="K16"/>
      <c r="M16" s="14" t="s">
        <v>17</v>
      </c>
      <c r="N16" s="14" t="s">
        <v>18</v>
      </c>
      <c r="O16" s="14" t="s">
        <v>19</v>
      </c>
      <c r="P16" s="14" t="s">
        <v>20</v>
      </c>
      <c r="Q16" s="14" t="s">
        <v>21</v>
      </c>
    </row>
    <row r="17" spans="1:17" ht="18" customHeight="1" x14ac:dyDescent="0.2">
      <c r="A17" s="34"/>
      <c r="B17" s="33">
        <f>IF('COSTO TRASPORTO VETTORE'!C20=0,0,'COSTO TRASPORTO VETTORE'!C20)</f>
        <v>0</v>
      </c>
      <c r="C17" s="119">
        <f>COMPONENTI!C4</f>
        <v>0</v>
      </c>
      <c r="D17" s="120"/>
      <c r="E17" s="60"/>
      <c r="F17" s="66">
        <f>COMPONENTI!G4</f>
        <v>0</v>
      </c>
      <c r="G17" s="31" t="s">
        <v>13</v>
      </c>
      <c r="H17" s="22">
        <f>IF(B9="no",0,IF(K6=0,30*(SUM(I45:L45)),K6*Q17))</f>
        <v>0</v>
      </c>
      <c r="K17"/>
      <c r="L17" s="5" t="s">
        <v>109</v>
      </c>
      <c r="M17" s="14">
        <f>VLOOKUP($L$1,$L$18:$Q$19,2,0)</f>
        <v>100</v>
      </c>
      <c r="N17" s="14">
        <v>6</v>
      </c>
      <c r="O17" s="14">
        <v>19</v>
      </c>
      <c r="P17" s="14">
        <v>30</v>
      </c>
      <c r="Q17" s="14">
        <f>SUM(M17:P17)</f>
        <v>155</v>
      </c>
    </row>
    <row r="18" spans="1:17" ht="18" customHeight="1" x14ac:dyDescent="0.2">
      <c r="A18" s="34"/>
      <c r="B18" s="33"/>
      <c r="C18" s="119">
        <f>COMPONENTI!C5</f>
        <v>0</v>
      </c>
      <c r="D18" s="120"/>
      <c r="E18" s="60"/>
      <c r="F18" s="66">
        <f>COMPONENTI!G5</f>
        <v>0</v>
      </c>
      <c r="G18" s="31" t="s">
        <v>29</v>
      </c>
      <c r="H18" s="22">
        <f>B25</f>
        <v>0</v>
      </c>
      <c r="K18"/>
      <c r="L18" s="5" t="s">
        <v>108</v>
      </c>
      <c r="M18" s="14">
        <v>100</v>
      </c>
      <c r="N18" s="14">
        <v>6</v>
      </c>
      <c r="O18" s="14">
        <v>19</v>
      </c>
      <c r="P18" s="14">
        <v>30</v>
      </c>
      <c r="Q18" s="14">
        <f>SUM(M18:P18)</f>
        <v>155</v>
      </c>
    </row>
    <row r="19" spans="1:17" ht="18" customHeight="1" x14ac:dyDescent="0.2">
      <c r="A19" s="34"/>
      <c r="B19" s="33"/>
      <c r="C19" s="119">
        <f>COMPONENTI!C6</f>
        <v>0</v>
      </c>
      <c r="D19" s="120"/>
      <c r="E19" s="60"/>
      <c r="F19" s="66">
        <f>COMPONENTI!G6</f>
        <v>0</v>
      </c>
      <c r="G19" s="31" t="s">
        <v>30</v>
      </c>
      <c r="H19" s="22">
        <f>F25</f>
        <v>0</v>
      </c>
      <c r="K19"/>
      <c r="L19" s="5" t="s">
        <v>110</v>
      </c>
      <c r="M19" s="15">
        <v>150</v>
      </c>
      <c r="N19" s="15">
        <v>10</v>
      </c>
      <c r="O19" s="15">
        <v>25</v>
      </c>
      <c r="P19" s="15">
        <v>35</v>
      </c>
      <c r="Q19" s="14">
        <f>SUM(M19:P19)</f>
        <v>220</v>
      </c>
    </row>
    <row r="20" spans="1:17" ht="18" customHeight="1" x14ac:dyDescent="0.2">
      <c r="A20" s="34"/>
      <c r="B20" s="33"/>
      <c r="C20" s="119">
        <f>COMPONENTI!C7</f>
        <v>0</v>
      </c>
      <c r="D20" s="120"/>
      <c r="E20" s="60"/>
      <c r="F20" s="66">
        <f>COMPONENTI!G7</f>
        <v>0</v>
      </c>
      <c r="G20" s="31" t="s">
        <v>114</v>
      </c>
      <c r="H20" s="22"/>
    </row>
    <row r="21" spans="1:17" ht="18" customHeight="1" x14ac:dyDescent="0.2">
      <c r="A21" s="34"/>
      <c r="B21" s="33"/>
      <c r="C21" s="119">
        <f>COMPONENTI!C8</f>
        <v>0</v>
      </c>
      <c r="D21" s="120"/>
      <c r="E21" s="60"/>
      <c r="F21" s="66">
        <f>COMPONENTI!G8</f>
        <v>0</v>
      </c>
      <c r="G21" s="32"/>
      <c r="H21" s="23"/>
    </row>
    <row r="22" spans="1:17" ht="18" customHeight="1" x14ac:dyDescent="0.2">
      <c r="A22" s="34"/>
      <c r="B22" s="33"/>
      <c r="C22" s="119">
        <f>COMPONENTI!C9</f>
        <v>0</v>
      </c>
      <c r="D22" s="120"/>
      <c r="E22" s="60"/>
      <c r="F22" s="66">
        <f>COMPONENTI!G9</f>
        <v>0</v>
      </c>
      <c r="G22" s="32"/>
      <c r="H22" s="23"/>
    </row>
    <row r="23" spans="1:17" ht="18" customHeight="1" x14ac:dyDescent="0.2">
      <c r="A23" s="34"/>
      <c r="B23" s="33"/>
      <c r="C23" s="119">
        <f>COMPONENTI!C10</f>
        <v>0</v>
      </c>
      <c r="D23" s="120"/>
      <c r="E23" s="60"/>
      <c r="F23" s="66">
        <f>COMPONENTI!G10</f>
        <v>0</v>
      </c>
      <c r="G23" s="32"/>
      <c r="H23" s="23"/>
    </row>
    <row r="24" spans="1:17" ht="18" customHeight="1" x14ac:dyDescent="0.2">
      <c r="A24" s="34"/>
      <c r="B24" s="33"/>
      <c r="C24" s="119">
        <f>COMPONENTI!C11</f>
        <v>0</v>
      </c>
      <c r="D24" s="120"/>
      <c r="E24" s="60"/>
      <c r="F24" s="66">
        <f>COMPONENTI!G11</f>
        <v>0</v>
      </c>
      <c r="G24" s="32"/>
      <c r="H24" s="23"/>
    </row>
    <row r="25" spans="1:17" ht="18" customHeight="1" x14ac:dyDescent="0.25">
      <c r="A25" s="5" t="s">
        <v>31</v>
      </c>
      <c r="B25" s="29">
        <f>SUM(B17:B24)</f>
        <v>0</v>
      </c>
      <c r="C25" s="119" t="s">
        <v>32</v>
      </c>
      <c r="D25" s="120"/>
      <c r="E25" s="60"/>
      <c r="F25" s="96">
        <f>SUM(F17:F24)</f>
        <v>0</v>
      </c>
      <c r="G25" s="30" t="s">
        <v>22</v>
      </c>
      <c r="H25" s="24">
        <f>SUM(H13:H24)</f>
        <v>0</v>
      </c>
    </row>
    <row r="26" spans="1:17" ht="18" customHeight="1" x14ac:dyDescent="0.2">
      <c r="B26"/>
      <c r="C26" s="34"/>
      <c r="D26"/>
      <c r="E26"/>
      <c r="F26"/>
      <c r="G26" s="92"/>
      <c r="H26"/>
    </row>
    <row r="27" spans="1:17" x14ac:dyDescent="0.2">
      <c r="B27"/>
      <c r="D27"/>
      <c r="E27"/>
      <c r="G27" s="5" t="s">
        <v>75</v>
      </c>
    </row>
    <row r="28" spans="1:17" ht="15" x14ac:dyDescent="0.2">
      <c r="A28" s="5" t="s">
        <v>74</v>
      </c>
      <c r="B28" s="5" t="s">
        <v>71</v>
      </c>
      <c r="C28" s="5" t="s">
        <v>72</v>
      </c>
      <c r="D28" s="5" t="s">
        <v>73</v>
      </c>
      <c r="E28" s="5" t="s">
        <v>79</v>
      </c>
      <c r="F28" s="5" t="s">
        <v>80</v>
      </c>
      <c r="G28" s="5" t="s">
        <v>81</v>
      </c>
      <c r="H28" s="70"/>
      <c r="I28" s="70" t="s">
        <v>82</v>
      </c>
      <c r="J28" s="70" t="s">
        <v>83</v>
      </c>
    </row>
    <row r="29" spans="1:17" ht="15" x14ac:dyDescent="0.2">
      <c r="A29" s="68"/>
      <c r="B29" s="68"/>
      <c r="C29" s="68"/>
      <c r="D29" s="68"/>
      <c r="E29" s="34"/>
      <c r="F29" s="67">
        <f t="shared" ref="F29:F45" si="5">IF(G29&gt;0,0,C29*D29)</f>
        <v>0</v>
      </c>
      <c r="G29" s="5">
        <f t="shared" ref="G29:G45" si="6">IF(E29=0,C29*D29,0)</f>
        <v>0</v>
      </c>
      <c r="H29" s="71" t="s">
        <v>77</v>
      </c>
      <c r="I29" s="70">
        <f>SUMIF($B$29:$B$45,H29,$G$29:G$45)</f>
        <v>0</v>
      </c>
      <c r="J29" s="70">
        <f>SUMIF($B$29:$B$45,H29,$F$29:F$45)</f>
        <v>0</v>
      </c>
    </row>
    <row r="30" spans="1:17" ht="15" x14ac:dyDescent="0.2">
      <c r="A30" s="68"/>
      <c r="B30" s="68"/>
      <c r="C30" s="68"/>
      <c r="D30" s="68"/>
      <c r="E30" s="34"/>
      <c r="F30" s="67">
        <f t="shared" si="5"/>
        <v>0</v>
      </c>
      <c r="G30" s="5">
        <f t="shared" si="6"/>
        <v>0</v>
      </c>
      <c r="H30" s="71" t="s">
        <v>76</v>
      </c>
      <c r="I30" s="70">
        <f>SUMIF($B$29:$B$45,H30,$G$29:G$45)</f>
        <v>0</v>
      </c>
      <c r="J30" s="70">
        <f>SUMIF($B$29:$B$45,H30,$F$29:F$45)</f>
        <v>0</v>
      </c>
    </row>
    <row r="31" spans="1:17" ht="15" x14ac:dyDescent="0.2">
      <c r="A31" s="68"/>
      <c r="B31" s="68"/>
      <c r="C31" s="68"/>
      <c r="D31" s="68"/>
      <c r="E31" s="34"/>
      <c r="F31" s="67">
        <f t="shared" si="5"/>
        <v>0</v>
      </c>
      <c r="G31" s="5">
        <f t="shared" si="6"/>
        <v>0</v>
      </c>
      <c r="H31" s="71" t="s">
        <v>92</v>
      </c>
      <c r="I31" s="70">
        <f>SUMIF($B$29:$B$45,H31,$G$29:G$45)</f>
        <v>0</v>
      </c>
      <c r="J31" s="70">
        <f>SUMIF($B$29:$B$45,H31,$F$29:F$45)</f>
        <v>0</v>
      </c>
    </row>
    <row r="32" spans="1:17" ht="15" x14ac:dyDescent="0.2">
      <c r="A32" s="68"/>
      <c r="B32" s="68"/>
      <c r="C32" s="68"/>
      <c r="D32" s="68"/>
      <c r="E32" s="34"/>
      <c r="F32" s="67">
        <f t="shared" si="5"/>
        <v>0</v>
      </c>
      <c r="G32" s="5">
        <f t="shared" si="6"/>
        <v>0</v>
      </c>
      <c r="H32" s="71" t="s">
        <v>78</v>
      </c>
      <c r="I32" s="70">
        <f>SUMIF($B$29:$B$45,H32,$G$29:G$45)</f>
        <v>0</v>
      </c>
      <c r="J32" s="70">
        <f>SUMIF($B$29:$B$45,H32,$F$29:F$45)</f>
        <v>0</v>
      </c>
      <c r="L32"/>
      <c r="M32"/>
      <c r="N32"/>
    </row>
    <row r="33" spans="1:12" x14ac:dyDescent="0.2">
      <c r="A33" s="68"/>
      <c r="B33" s="68"/>
      <c r="C33" s="68"/>
      <c r="D33" s="68"/>
      <c r="E33" s="34"/>
      <c r="F33" s="67">
        <f t="shared" si="5"/>
        <v>0</v>
      </c>
      <c r="G33" s="5">
        <f t="shared" si="6"/>
        <v>0</v>
      </c>
    </row>
    <row r="34" spans="1:12" x14ac:dyDescent="0.2">
      <c r="A34" s="68"/>
      <c r="B34" s="68"/>
      <c r="C34" s="68"/>
      <c r="D34" s="68"/>
      <c r="E34" s="34"/>
      <c r="F34" s="67">
        <f t="shared" si="5"/>
        <v>0</v>
      </c>
      <c r="G34" s="5">
        <f t="shared" si="6"/>
        <v>0</v>
      </c>
    </row>
    <row r="35" spans="1:12" x14ac:dyDescent="0.2">
      <c r="A35" s="68"/>
      <c r="B35" s="68"/>
      <c r="C35" s="68"/>
      <c r="D35" s="68"/>
      <c r="E35" s="34"/>
      <c r="F35" s="67">
        <f t="shared" si="5"/>
        <v>0</v>
      </c>
      <c r="G35" s="5">
        <f t="shared" si="6"/>
        <v>0</v>
      </c>
      <c r="H35" s="93"/>
      <c r="I35" s="93" t="str">
        <f>H29</f>
        <v>Std</v>
      </c>
      <c r="J35" s="93" t="str">
        <f>H30</f>
        <v>Spe</v>
      </c>
      <c r="K35" s="93" t="str">
        <f>H31</f>
        <v>Prog</v>
      </c>
      <c r="L35" s="93" t="str">
        <f>H32</f>
        <v>Spv</v>
      </c>
    </row>
    <row r="36" spans="1:12" x14ac:dyDescent="0.2">
      <c r="A36" s="68"/>
      <c r="B36" s="68"/>
      <c r="C36" s="68"/>
      <c r="D36" s="68"/>
      <c r="E36" s="34"/>
      <c r="F36" s="67">
        <f t="shared" si="5"/>
        <v>0</v>
      </c>
      <c r="G36" s="5">
        <f t="shared" si="6"/>
        <v>0</v>
      </c>
      <c r="H36" s="93" t="s">
        <v>99</v>
      </c>
      <c r="I36" s="93">
        <f t="shared" ref="I36:L45" si="7">SUMIFS($D$29:$D$45,$A$29:$A$45,$H36,$B$29:$B$45,I$35)</f>
        <v>0</v>
      </c>
      <c r="J36" s="93">
        <f t="shared" si="7"/>
        <v>0</v>
      </c>
      <c r="K36" s="93">
        <f t="shared" si="7"/>
        <v>0</v>
      </c>
      <c r="L36" s="93">
        <f t="shared" si="7"/>
        <v>0</v>
      </c>
    </row>
    <row r="37" spans="1:12" x14ac:dyDescent="0.2">
      <c r="A37" s="68"/>
      <c r="B37" s="68"/>
      <c r="C37" s="68"/>
      <c r="D37" s="68"/>
      <c r="E37" s="34"/>
      <c r="F37" s="67">
        <f t="shared" si="5"/>
        <v>0</v>
      </c>
      <c r="G37" s="5">
        <f t="shared" si="6"/>
        <v>0</v>
      </c>
      <c r="H37" s="93" t="s">
        <v>98</v>
      </c>
      <c r="I37" s="93">
        <f t="shared" si="7"/>
        <v>0</v>
      </c>
      <c r="J37" s="93">
        <f t="shared" si="7"/>
        <v>0</v>
      </c>
      <c r="K37" s="93">
        <f t="shared" si="7"/>
        <v>0</v>
      </c>
      <c r="L37" s="93">
        <f t="shared" si="7"/>
        <v>0</v>
      </c>
    </row>
    <row r="38" spans="1:12" x14ac:dyDescent="0.2">
      <c r="A38" s="68"/>
      <c r="B38" s="68"/>
      <c r="C38" s="68"/>
      <c r="D38" s="68"/>
      <c r="E38" s="34"/>
      <c r="F38" s="67">
        <f t="shared" si="5"/>
        <v>0</v>
      </c>
      <c r="G38" s="5">
        <f t="shared" si="6"/>
        <v>0</v>
      </c>
      <c r="H38" s="93" t="s">
        <v>101</v>
      </c>
      <c r="I38" s="93">
        <f t="shared" si="7"/>
        <v>0</v>
      </c>
      <c r="J38" s="93">
        <f t="shared" si="7"/>
        <v>0</v>
      </c>
      <c r="K38" s="93">
        <f t="shared" si="7"/>
        <v>0</v>
      </c>
      <c r="L38" s="93">
        <f t="shared" si="7"/>
        <v>0</v>
      </c>
    </row>
    <row r="39" spans="1:12" x14ac:dyDescent="0.2">
      <c r="A39" s="68"/>
      <c r="B39" s="68"/>
      <c r="C39" s="68"/>
      <c r="D39" s="68"/>
      <c r="E39" s="34"/>
      <c r="F39" s="67">
        <f t="shared" si="5"/>
        <v>0</v>
      </c>
      <c r="G39" s="5">
        <f t="shared" si="6"/>
        <v>0</v>
      </c>
      <c r="H39" s="93" t="s">
        <v>97</v>
      </c>
      <c r="I39" s="93">
        <f t="shared" si="7"/>
        <v>0</v>
      </c>
      <c r="J39" s="93">
        <f t="shared" si="7"/>
        <v>0</v>
      </c>
      <c r="K39" s="93">
        <f t="shared" si="7"/>
        <v>0</v>
      </c>
      <c r="L39" s="93">
        <f t="shared" si="7"/>
        <v>0</v>
      </c>
    </row>
    <row r="40" spans="1:12" x14ac:dyDescent="0.2">
      <c r="A40" s="68"/>
      <c r="B40" s="68"/>
      <c r="C40" s="68"/>
      <c r="D40" s="68"/>
      <c r="E40" s="34"/>
      <c r="F40" s="67">
        <f t="shared" si="5"/>
        <v>0</v>
      </c>
      <c r="G40" s="5">
        <f t="shared" si="6"/>
        <v>0</v>
      </c>
      <c r="H40" s="93" t="s">
        <v>105</v>
      </c>
      <c r="I40" s="93">
        <f t="shared" si="7"/>
        <v>0</v>
      </c>
      <c r="J40" s="93">
        <f t="shared" si="7"/>
        <v>0</v>
      </c>
      <c r="K40" s="93">
        <f t="shared" si="7"/>
        <v>0</v>
      </c>
      <c r="L40" s="93">
        <f t="shared" si="7"/>
        <v>0</v>
      </c>
    </row>
    <row r="41" spans="1:12" x14ac:dyDescent="0.2">
      <c r="A41" s="68"/>
      <c r="B41" s="68"/>
      <c r="C41" s="68"/>
      <c r="D41" s="68"/>
      <c r="E41" s="34"/>
      <c r="F41" s="67">
        <f t="shared" si="5"/>
        <v>0</v>
      </c>
      <c r="G41" s="5">
        <f t="shared" si="6"/>
        <v>0</v>
      </c>
      <c r="H41" s="93" t="s">
        <v>103</v>
      </c>
      <c r="I41" s="93">
        <f t="shared" si="7"/>
        <v>0</v>
      </c>
      <c r="J41" s="93">
        <f t="shared" si="7"/>
        <v>0</v>
      </c>
      <c r="K41" s="93">
        <f t="shared" si="7"/>
        <v>0</v>
      </c>
      <c r="L41" s="93">
        <f t="shared" si="7"/>
        <v>0</v>
      </c>
    </row>
    <row r="42" spans="1:12" x14ac:dyDescent="0.2">
      <c r="A42" s="68"/>
      <c r="B42" s="68"/>
      <c r="C42" s="68"/>
      <c r="D42" s="68"/>
      <c r="E42" s="34"/>
      <c r="F42" s="67">
        <f t="shared" si="5"/>
        <v>0</v>
      </c>
      <c r="G42" s="5">
        <f t="shared" si="6"/>
        <v>0</v>
      </c>
      <c r="H42" s="93" t="s">
        <v>102</v>
      </c>
      <c r="I42" s="93">
        <f t="shared" si="7"/>
        <v>0</v>
      </c>
      <c r="J42" s="93">
        <f t="shared" si="7"/>
        <v>0</v>
      </c>
      <c r="K42" s="93">
        <f t="shared" si="7"/>
        <v>0</v>
      </c>
      <c r="L42" s="93">
        <f t="shared" si="7"/>
        <v>0</v>
      </c>
    </row>
    <row r="43" spans="1:12" x14ac:dyDescent="0.2">
      <c r="A43" s="68"/>
      <c r="B43" s="68"/>
      <c r="C43" s="68"/>
      <c r="D43" s="68"/>
      <c r="E43" s="34"/>
      <c r="F43" s="67">
        <f t="shared" si="5"/>
        <v>0</v>
      </c>
      <c r="G43" s="5">
        <f t="shared" si="6"/>
        <v>0</v>
      </c>
      <c r="H43" s="93" t="s">
        <v>100</v>
      </c>
      <c r="I43" s="93">
        <f t="shared" si="7"/>
        <v>0</v>
      </c>
      <c r="J43" s="93">
        <f t="shared" si="7"/>
        <v>0</v>
      </c>
      <c r="K43" s="93">
        <f t="shared" si="7"/>
        <v>0</v>
      </c>
      <c r="L43" s="93">
        <f t="shared" si="7"/>
        <v>0</v>
      </c>
    </row>
    <row r="44" spans="1:12" x14ac:dyDescent="0.2">
      <c r="A44" s="68"/>
      <c r="B44" s="68"/>
      <c r="C44" s="68"/>
      <c r="D44" s="68"/>
      <c r="E44" s="34"/>
      <c r="F44" s="67">
        <f t="shared" si="5"/>
        <v>0</v>
      </c>
      <c r="G44" s="5">
        <f t="shared" si="6"/>
        <v>0</v>
      </c>
      <c r="H44" s="93" t="s">
        <v>106</v>
      </c>
      <c r="I44" s="93">
        <f t="shared" si="7"/>
        <v>0</v>
      </c>
      <c r="J44" s="93">
        <f t="shared" si="7"/>
        <v>0</v>
      </c>
      <c r="K44" s="93">
        <f t="shared" si="7"/>
        <v>0</v>
      </c>
      <c r="L44" s="93">
        <f t="shared" si="7"/>
        <v>0</v>
      </c>
    </row>
    <row r="45" spans="1:12" x14ac:dyDescent="0.2">
      <c r="A45" s="68"/>
      <c r="B45" s="68"/>
      <c r="C45" s="68"/>
      <c r="D45" s="68"/>
      <c r="E45" s="34"/>
      <c r="F45" s="67">
        <f t="shared" si="5"/>
        <v>0</v>
      </c>
      <c r="G45" s="5">
        <f t="shared" si="6"/>
        <v>0</v>
      </c>
      <c r="H45" s="93" t="s">
        <v>104</v>
      </c>
      <c r="I45" s="93">
        <f t="shared" si="7"/>
        <v>0</v>
      </c>
      <c r="J45" s="93">
        <f t="shared" si="7"/>
        <v>0</v>
      </c>
      <c r="K45" s="93">
        <f t="shared" si="7"/>
        <v>0</v>
      </c>
      <c r="L45" s="93">
        <f t="shared" si="7"/>
        <v>0</v>
      </c>
    </row>
  </sheetData>
  <sortState xmlns:xlrd2="http://schemas.microsoft.com/office/spreadsheetml/2017/richdata2" ref="H32:L41">
    <sortCondition ref="H32:H41"/>
  </sortState>
  <dataConsolidate/>
  <mergeCells count="15">
    <mergeCell ref="C25:D25"/>
    <mergeCell ref="C17:D17"/>
    <mergeCell ref="C18:D18"/>
    <mergeCell ref="C19:D19"/>
    <mergeCell ref="C20:D20"/>
    <mergeCell ref="C21:D21"/>
    <mergeCell ref="C22:D22"/>
    <mergeCell ref="C23:D23"/>
    <mergeCell ref="C24:D24"/>
    <mergeCell ref="N2:P2"/>
    <mergeCell ref="G1:J1"/>
    <mergeCell ref="B14:C14"/>
    <mergeCell ref="F14:G14"/>
    <mergeCell ref="B2:D2"/>
    <mergeCell ref="G2:I2"/>
  </mergeCells>
  <phoneticPr fontId="0" type="noConversion"/>
  <dataValidations disablePrompts="1" count="3">
    <dataValidation type="list" allowBlank="1" showInputMessage="1" showErrorMessage="1" sqref="B29:B43" xr:uid="{00000000-0002-0000-0000-000000000000}">
      <formula1>TIPO_TECNICO</formula1>
    </dataValidation>
    <dataValidation type="list" allowBlank="1" showInputMessage="1" showErrorMessage="1" sqref="A29:A45" xr:uid="{00000000-0002-0000-0000-000001000000}">
      <formula1>Lavorazione</formula1>
    </dataValidation>
    <dataValidation type="list" allowBlank="1" showInputMessage="1" showErrorMessage="1" sqref="L1" xr:uid="{00000000-0002-0000-0000-000002000000}">
      <formula1>$L$18:$L$19</formula1>
    </dataValidation>
  </dataValidations>
  <pageMargins left="0.75" right="0.75" top="1" bottom="1" header="0.5" footer="0.5"/>
  <pageSetup paperSize="9" scale="96" orientation="landscape" r:id="rId1"/>
  <headerFooter alignWithMargins="0">
    <oddHeader>&amp;L&amp;A&amp;C&amp;F&amp;R&amp;D</oddHeader>
    <oddFooter>&amp;R&amp;P di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"/>
  <sheetViews>
    <sheetView workbookViewId="0">
      <selection activeCell="A32" sqref="A32"/>
    </sheetView>
  </sheetViews>
  <sheetFormatPr defaultRowHeight="12.75" x14ac:dyDescent="0.2"/>
  <cols>
    <col min="1" max="1" width="16.33203125" bestFit="1" customWidth="1"/>
    <col min="2" max="2" width="16.1640625" customWidth="1"/>
    <col min="3" max="3" width="17.5" customWidth="1"/>
  </cols>
  <sheetData>
    <row r="1" spans="1:2" ht="23.25" x14ac:dyDescent="0.35">
      <c r="A1" s="36" t="s">
        <v>58</v>
      </c>
      <c r="B1" s="53"/>
    </row>
    <row r="2" spans="1:2" hidden="1" x14ac:dyDescent="0.2">
      <c r="A2" t="s">
        <v>59</v>
      </c>
      <c r="B2" s="64">
        <v>0.2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J30"/>
  <sheetViews>
    <sheetView showZeros="0" view="pageBreakPreview" zoomScale="130" zoomScaleNormal="100" zoomScaleSheetLayoutView="130" workbookViewId="0">
      <selection activeCell="D5" sqref="D5"/>
    </sheetView>
  </sheetViews>
  <sheetFormatPr defaultColWidth="10.6640625" defaultRowHeight="12.75" x14ac:dyDescent="0.2"/>
  <cols>
    <col min="1" max="1" width="29.83203125" style="48" bestFit="1" customWidth="1"/>
    <col min="2" max="2" width="15" style="48" customWidth="1"/>
    <col min="3" max="3" width="24.83203125" style="48" bestFit="1" customWidth="1"/>
    <col min="4" max="4" width="22.83203125" style="48" bestFit="1" customWidth="1"/>
    <col min="5" max="5" width="49.1640625" style="48" bestFit="1" customWidth="1"/>
    <col min="6" max="6" width="58" style="48" hidden="1" customWidth="1"/>
    <col min="7" max="7" width="43.33203125" style="48" hidden="1" customWidth="1"/>
    <col min="8" max="8" width="28.5" style="48" hidden="1" customWidth="1"/>
    <col min="9" max="9" width="13.83203125" style="48" hidden="1" customWidth="1"/>
    <col min="10" max="10" width="15.83203125" style="48" hidden="1" customWidth="1"/>
    <col min="11" max="16384" width="10.6640625" style="48"/>
  </cols>
  <sheetData>
    <row r="1" spans="1:10" s="37" customFormat="1" ht="23.25" x14ac:dyDescent="0.35">
      <c r="A1" s="50" t="s">
        <v>33</v>
      </c>
      <c r="B1" s="50"/>
      <c r="C1" s="51"/>
      <c r="F1" s="37" t="s">
        <v>34</v>
      </c>
      <c r="I1" s="38">
        <v>0.33</v>
      </c>
    </row>
    <row r="2" spans="1:10" s="37" customFormat="1" ht="24" thickBot="1" x14ac:dyDescent="0.4">
      <c r="F2" s="37" t="s">
        <v>35</v>
      </c>
      <c r="G2" s="37">
        <v>20</v>
      </c>
      <c r="H2" s="37" t="s">
        <v>36</v>
      </c>
      <c r="I2" s="37">
        <f>G2*I1</f>
        <v>6.6000000000000005</v>
      </c>
      <c r="J2" s="37">
        <f>IF(C7&gt;G2,0,I2)</f>
        <v>6.6000000000000005</v>
      </c>
    </row>
    <row r="3" spans="1:10" s="37" customFormat="1" ht="24" thickBot="1" x14ac:dyDescent="0.4">
      <c r="A3" s="36" t="s">
        <v>58</v>
      </c>
      <c r="B3" s="54"/>
      <c r="C3" s="83"/>
      <c r="F3" s="37" t="s">
        <v>37</v>
      </c>
      <c r="G3" s="37">
        <v>20</v>
      </c>
      <c r="H3" s="37" t="s">
        <v>36</v>
      </c>
      <c r="I3" s="39">
        <v>0.15</v>
      </c>
      <c r="J3" s="40">
        <f>C7*I3</f>
        <v>2.0669999999999997</v>
      </c>
    </row>
    <row r="4" spans="1:10" s="37" customFormat="1" ht="24" thickBot="1" x14ac:dyDescent="0.4">
      <c r="A4" s="37" t="s">
        <v>42</v>
      </c>
      <c r="C4" s="55">
        <f>C3*D4</f>
        <v>0</v>
      </c>
      <c r="D4" s="84">
        <v>0.19</v>
      </c>
      <c r="E4" s="38"/>
      <c r="J4" s="43">
        <f>SUM(J2:J3)</f>
        <v>8.6669999999999998</v>
      </c>
    </row>
    <row r="5" spans="1:10" s="37" customFormat="1" ht="24" thickBot="1" x14ac:dyDescent="0.4">
      <c r="A5" s="37" t="s">
        <v>43</v>
      </c>
      <c r="B5" s="58"/>
      <c r="C5" s="57">
        <f>IF(B5="no",0,D5)</f>
        <v>13.78</v>
      </c>
      <c r="D5" s="85">
        <v>13.78</v>
      </c>
    </row>
    <row r="6" spans="1:10" s="37" customFormat="1" ht="23.25" x14ac:dyDescent="0.35"/>
    <row r="7" spans="1:10" s="37" customFormat="1" ht="23.25" hidden="1" x14ac:dyDescent="0.35">
      <c r="A7" s="49" t="s">
        <v>44</v>
      </c>
      <c r="B7" s="49"/>
      <c r="C7" s="52">
        <f>SUM(C3:C6)</f>
        <v>13.78</v>
      </c>
    </row>
    <row r="8" spans="1:10" s="37" customFormat="1" ht="23.25" hidden="1" x14ac:dyDescent="0.35"/>
    <row r="9" spans="1:10" s="37" customFormat="1" ht="23.25" hidden="1" x14ac:dyDescent="0.35">
      <c r="A9" s="41"/>
      <c r="B9" s="41"/>
      <c r="C9" s="42">
        <f>J4</f>
        <v>8.6669999999999998</v>
      </c>
    </row>
    <row r="10" spans="1:10" s="37" customFormat="1" ht="23.25" hidden="1" x14ac:dyDescent="0.35">
      <c r="A10" s="41">
        <v>0.2</v>
      </c>
      <c r="B10" s="41"/>
      <c r="C10" s="44">
        <f>IF(C1&gt;I12,A10,(C1/I12)*A10)</f>
        <v>0</v>
      </c>
    </row>
    <row r="11" spans="1:10" s="37" customFormat="1" ht="23.25" hidden="1" x14ac:dyDescent="0.35">
      <c r="A11" s="36"/>
      <c r="B11" s="36"/>
      <c r="C11" s="45">
        <f>C9*C10+C9</f>
        <v>8.6669999999999998</v>
      </c>
      <c r="G11" s="37" t="s">
        <v>40</v>
      </c>
      <c r="I11" s="37">
        <v>15</v>
      </c>
    </row>
    <row r="12" spans="1:10" s="37" customFormat="1" ht="23.25" hidden="1" x14ac:dyDescent="0.35">
      <c r="G12" s="37" t="s">
        <v>41</v>
      </c>
      <c r="H12" s="37">
        <v>0</v>
      </c>
      <c r="I12" s="37">
        <v>10000</v>
      </c>
    </row>
    <row r="13" spans="1:10" s="37" customFormat="1" ht="23.25" hidden="1" x14ac:dyDescent="0.35">
      <c r="C13" s="46">
        <f>C7+C11</f>
        <v>22.446999999999999</v>
      </c>
    </row>
    <row r="14" spans="1:10" ht="23.25" hidden="1" x14ac:dyDescent="0.35">
      <c r="A14" s="37"/>
      <c r="B14" s="37"/>
      <c r="C14" s="37"/>
      <c r="D14" s="37"/>
      <c r="E14" s="37"/>
    </row>
    <row r="15" spans="1:10" ht="24" hidden="1" thickBot="1" x14ac:dyDescent="0.4">
      <c r="B15" s="37"/>
      <c r="C15" s="37"/>
      <c r="E15" s="37"/>
      <c r="F15" s="37" t="s">
        <v>39</v>
      </c>
    </row>
    <row r="16" spans="1:10" ht="23.25" x14ac:dyDescent="0.35">
      <c r="A16" s="89" t="s">
        <v>87</v>
      </c>
      <c r="B16" s="36"/>
      <c r="C16" s="36">
        <f>IF(B22=C22,IF(B30&gt;B17,B18,0))</f>
        <v>0</v>
      </c>
      <c r="E16" s="37"/>
      <c r="F16" s="37"/>
    </row>
    <row r="17" spans="1:7" ht="23.25" x14ac:dyDescent="0.35">
      <c r="A17" s="89" t="s">
        <v>88</v>
      </c>
      <c r="B17" s="90">
        <v>70</v>
      </c>
      <c r="F17" s="40"/>
      <c r="G17" s="46">
        <f>C20-C7</f>
        <v>-13.78</v>
      </c>
    </row>
    <row r="18" spans="1:7" ht="23.25" x14ac:dyDescent="0.35">
      <c r="A18" s="89" t="s">
        <v>36</v>
      </c>
      <c r="B18" s="36">
        <v>20</v>
      </c>
      <c r="C18" s="37"/>
      <c r="F18" s="37" t="s">
        <v>45</v>
      </c>
      <c r="G18" s="47">
        <f>IF(C3=0,0,G17/C7)</f>
        <v>0</v>
      </c>
    </row>
    <row r="19" spans="1:7" ht="24" thickBot="1" x14ac:dyDescent="0.4">
      <c r="A19" s="72"/>
      <c r="B19" s="37"/>
      <c r="C19" s="37"/>
      <c r="F19" s="37"/>
      <c r="G19" s="88"/>
    </row>
    <row r="20" spans="1:7" ht="24" thickBot="1" x14ac:dyDescent="0.4">
      <c r="A20" s="72"/>
      <c r="B20" s="37"/>
      <c r="C20" s="56">
        <f>IF(C3=0,0,IF(C13&lt;50,ROUNDUP(C13,0)+C16,ROUNDUP(C13,-1)+C16))</f>
        <v>0</v>
      </c>
      <c r="F20" s="37"/>
      <c r="G20" s="88"/>
    </row>
    <row r="21" spans="1:7" x14ac:dyDescent="0.2">
      <c r="A21" s="48" t="s">
        <v>47</v>
      </c>
      <c r="B21" s="48" t="s">
        <v>48</v>
      </c>
    </row>
    <row r="22" spans="1:7" ht="23.25" x14ac:dyDescent="0.35">
      <c r="A22" s="72" t="s">
        <v>85</v>
      </c>
      <c r="B22" s="86" t="s">
        <v>84</v>
      </c>
      <c r="C22" s="79" t="s">
        <v>84</v>
      </c>
      <c r="D22" s="80">
        <v>5000</v>
      </c>
      <c r="F22" s="37" t="s">
        <v>38</v>
      </c>
      <c r="G22" s="47">
        <f>IF(C1=0,0,C20/C1)</f>
        <v>0</v>
      </c>
    </row>
    <row r="23" spans="1:7" x14ac:dyDescent="0.2">
      <c r="A23" s="48" t="s">
        <v>49</v>
      </c>
      <c r="B23" s="73"/>
      <c r="C23" s="79" t="s">
        <v>86</v>
      </c>
      <c r="D23" s="80">
        <v>4000</v>
      </c>
    </row>
    <row r="24" spans="1:7" x14ac:dyDescent="0.2">
      <c r="A24" s="48" t="s">
        <v>50</v>
      </c>
      <c r="B24" s="73"/>
      <c r="C24" s="79"/>
      <c r="D24" s="81"/>
    </row>
    <row r="25" spans="1:7" ht="13.5" thickBot="1" x14ac:dyDescent="0.25">
      <c r="A25" s="48" t="s">
        <v>51</v>
      </c>
      <c r="B25" s="74"/>
      <c r="C25" s="82"/>
      <c r="D25" s="81"/>
    </row>
    <row r="26" spans="1:7" x14ac:dyDescent="0.2">
      <c r="A26" s="48" t="s">
        <v>52</v>
      </c>
      <c r="B26" s="75">
        <f>B23*B24*B25</f>
        <v>0</v>
      </c>
      <c r="C26" s="82"/>
      <c r="D26" s="82"/>
    </row>
    <row r="27" spans="1:7" x14ac:dyDescent="0.2">
      <c r="A27" s="48" t="s">
        <v>53</v>
      </c>
      <c r="B27" s="76">
        <f>VLOOKUP(B22,C22:D30,2,0)</f>
        <v>5000</v>
      </c>
      <c r="C27" s="82"/>
      <c r="D27" s="81"/>
    </row>
    <row r="28" spans="1:7" x14ac:dyDescent="0.2">
      <c r="A28" s="48" t="s">
        <v>54</v>
      </c>
      <c r="B28" s="77">
        <f>B26/B27</f>
        <v>0</v>
      </c>
      <c r="C28" s="82"/>
      <c r="D28" s="81"/>
    </row>
    <row r="29" spans="1:7" ht="13.5" thickBot="1" x14ac:dyDescent="0.25">
      <c r="A29" s="48" t="s">
        <v>55</v>
      </c>
      <c r="B29" s="78"/>
      <c r="C29" s="82"/>
      <c r="D29" s="81"/>
    </row>
    <row r="30" spans="1:7" ht="16.5" thickBot="1" x14ac:dyDescent="0.3">
      <c r="A30" s="48" t="s">
        <v>56</v>
      </c>
      <c r="B30" s="59">
        <f>MAX(B28:B29)</f>
        <v>0</v>
      </c>
      <c r="C30"/>
    </row>
  </sheetData>
  <sheetProtection sheet="1" objects="1" scenarios="1"/>
  <phoneticPr fontId="9" type="noConversion"/>
  <dataValidations count="1">
    <dataValidation type="list" allowBlank="1" showInputMessage="1" showErrorMessage="1" sqref="B22" xr:uid="{00000000-0002-0000-0200-000000000000}">
      <formula1>DHL_TIPO</formula1>
    </dataValidation>
  </dataValidations>
  <pageMargins left="0.75" right="0.75" top="1" bottom="1" header="0.5" footer="0.5"/>
  <pageSetup paperSize="9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27"/>
  <sheetViews>
    <sheetView workbookViewId="0">
      <selection activeCell="B4" sqref="B4:D6"/>
    </sheetView>
  </sheetViews>
  <sheetFormatPr defaultColWidth="9.33203125" defaultRowHeight="12" x14ac:dyDescent="0.2"/>
  <cols>
    <col min="1" max="1" width="19" style="97" customWidth="1"/>
    <col min="2" max="2" width="10.5" style="97" customWidth="1"/>
    <col min="3" max="3" width="42.5" style="97" customWidth="1"/>
    <col min="4" max="4" width="15.6640625" style="98" customWidth="1"/>
    <col min="5" max="5" width="9.33203125" style="98" hidden="1" customWidth="1"/>
    <col min="6" max="6" width="15" style="97" hidden="1" customWidth="1"/>
    <col min="7" max="7" width="15.5" style="97" hidden="1" customWidth="1"/>
    <col min="8" max="8" width="4.83203125" style="97" hidden="1" customWidth="1"/>
    <col min="9" max="13" width="9.33203125" style="97" hidden="1" customWidth="1"/>
    <col min="14" max="14" width="0" style="97" hidden="1" customWidth="1"/>
    <col min="15" max="16384" width="9.33203125" style="97"/>
  </cols>
  <sheetData>
    <row r="1" spans="1:13" x14ac:dyDescent="0.2">
      <c r="A1" s="97" t="s">
        <v>60</v>
      </c>
      <c r="I1" s="97" t="s">
        <v>64</v>
      </c>
      <c r="J1" s="97">
        <v>3.6</v>
      </c>
      <c r="L1" s="97" t="s">
        <v>65</v>
      </c>
      <c r="M1" s="97" t="s">
        <v>66</v>
      </c>
    </row>
    <row r="2" spans="1:13" x14ac:dyDescent="0.2">
      <c r="I2" s="97">
        <v>5</v>
      </c>
      <c r="J2" s="97">
        <v>3.4</v>
      </c>
      <c r="L2" s="97">
        <v>1</v>
      </c>
      <c r="M2" s="97">
        <v>2.99</v>
      </c>
    </row>
    <row r="3" spans="1:13" x14ac:dyDescent="0.2">
      <c r="A3" s="97" t="s">
        <v>62</v>
      </c>
      <c r="B3" s="97" t="s">
        <v>67</v>
      </c>
      <c r="C3" s="97" t="s">
        <v>61</v>
      </c>
      <c r="D3" s="98" t="s">
        <v>63</v>
      </c>
      <c r="E3" s="98" t="s">
        <v>64</v>
      </c>
      <c r="F3" s="97" t="s">
        <v>69</v>
      </c>
      <c r="G3" s="97" t="s">
        <v>70</v>
      </c>
      <c r="I3" s="97">
        <v>15</v>
      </c>
      <c r="J3" s="97">
        <v>3.33</v>
      </c>
      <c r="L3" s="97">
        <v>2</v>
      </c>
      <c r="M3" s="97">
        <v>2.4900000000000002</v>
      </c>
    </row>
    <row r="4" spans="1:13" x14ac:dyDescent="0.2">
      <c r="A4" s="99"/>
      <c r="B4" s="100"/>
      <c r="C4" s="101"/>
      <c r="D4" s="102"/>
      <c r="E4" s="98">
        <f>IF(D4=0,0,IF(B4="rip",J$9,IF(D4&lt;=I$2,J$1,IF(D4&gt;=I$7,J$7,IF(AND(I$2&lt;D4,D4&lt;=I$3),J$2,IF(AND(I$3&lt;D4,D4&lt;=I$5),J$3,IF(AND(I$5&lt;D4,D4&lt;=I$6),J$5,IF(AND(I$6&lt;D4,D4&lt;=I$7),J$6,J$6))))))))</f>
        <v>0</v>
      </c>
      <c r="F4" s="97">
        <f>D4*E4</f>
        <v>0</v>
      </c>
      <c r="G4" s="103">
        <f t="shared" ref="G4:G8" si="0">IF(F4&lt;=I$17,ROUNDUP(F4,1),IF(AND(I$17&lt;F4,F4&lt;=I$18),ROUNDUP(F4,0),IF(AND(I$18&lt;F4,F4&lt;=I$19),ROUNDUP(F4,0)+5,IF(F4&gt;I$19,ROUNDUP(F4,-1)+10))))</f>
        <v>0</v>
      </c>
      <c r="L4" s="97">
        <v>3</v>
      </c>
    </row>
    <row r="5" spans="1:13" x14ac:dyDescent="0.2">
      <c r="A5" s="99"/>
      <c r="B5" s="100"/>
      <c r="C5" s="101"/>
      <c r="D5" s="102"/>
      <c r="E5" s="98">
        <f>IF(D5=0,0,IF(B5="rip",J$9,IF(D5&lt;=I$2,J$1,IF(D5&gt;=I$7,J$7,IF(AND(I$2&lt;D5,D5&lt;=I$3),J$2,IF(AND(I$3&lt;D5,D5&lt;=I$5),J$3,IF(AND(I$5&lt;D5,D5&lt;=I$6),J$5,IF(AND(I$6&lt;D5,D5&lt;=I$7),J$6,J$6))))))))</f>
        <v>0</v>
      </c>
      <c r="F5" s="97">
        <f t="shared" ref="F5:F11" si="1">D5*E5</f>
        <v>0</v>
      </c>
      <c r="G5" s="103">
        <f t="shared" si="0"/>
        <v>0</v>
      </c>
      <c r="I5" s="97">
        <v>50</v>
      </c>
      <c r="J5" s="97">
        <v>3.25</v>
      </c>
    </row>
    <row r="6" spans="1:13" x14ac:dyDescent="0.2">
      <c r="A6" s="99"/>
      <c r="B6" s="100"/>
      <c r="C6" s="101"/>
      <c r="D6" s="102"/>
      <c r="E6" s="98">
        <f t="shared" ref="E6:E11" si="2">IF(D6=0,0,IF(B6="rip",J$9,IF(D6&lt;=I$2,J$1,IF(D6&gt;=I$7,J$7,IF(AND(I$2&lt;D6,D6&lt;=I$3),J$2,IF(AND(I$3&lt;D6,D6&lt;=I$5),J$3,IF(AND(I$5&lt;D6,D6&lt;=I$6),J$5,IF(AND(I$6&lt;D6,D6&lt;=I$7),J$6,J$6))))))))</f>
        <v>0</v>
      </c>
      <c r="F6" s="97">
        <f t="shared" si="1"/>
        <v>0</v>
      </c>
      <c r="G6" s="103">
        <f t="shared" si="0"/>
        <v>0</v>
      </c>
      <c r="I6" s="97">
        <v>100</v>
      </c>
      <c r="J6" s="97">
        <v>3.15</v>
      </c>
    </row>
    <row r="7" spans="1:13" x14ac:dyDescent="0.2">
      <c r="A7" s="99"/>
      <c r="B7" s="100"/>
      <c r="C7" s="104"/>
      <c r="D7" s="105"/>
      <c r="E7" s="98">
        <f t="shared" si="2"/>
        <v>0</v>
      </c>
      <c r="F7" s="97">
        <f t="shared" si="1"/>
        <v>0</v>
      </c>
      <c r="G7" s="103">
        <f t="shared" si="0"/>
        <v>0</v>
      </c>
      <c r="I7" s="97">
        <v>1000</v>
      </c>
      <c r="J7" s="97">
        <v>3</v>
      </c>
    </row>
    <row r="8" spans="1:13" x14ac:dyDescent="0.2">
      <c r="A8" s="99"/>
      <c r="B8" s="100"/>
      <c r="C8" s="104"/>
      <c r="D8" s="105"/>
      <c r="E8" s="98">
        <f t="shared" si="2"/>
        <v>0</v>
      </c>
      <c r="F8" s="97">
        <f t="shared" si="1"/>
        <v>0</v>
      </c>
      <c r="G8" s="103">
        <f t="shared" si="0"/>
        <v>0</v>
      </c>
    </row>
    <row r="9" spans="1:13" x14ac:dyDescent="0.2">
      <c r="A9" s="99"/>
      <c r="B9" s="100"/>
      <c r="C9" s="104"/>
      <c r="D9" s="105"/>
      <c r="E9" s="98">
        <f t="shared" si="2"/>
        <v>0</v>
      </c>
      <c r="F9" s="97">
        <f t="shared" si="1"/>
        <v>0</v>
      </c>
      <c r="G9" s="103">
        <f>IF(F9&lt;=I$17,ROUNDUP(F9,1),IF(AND(I$17&lt;F9,F9&lt;=I$18),ROUNDUP(F9,0),IF(AND(I$18&lt;F9,F9&lt;=I$19),ROUNDUP(F9,0)+5,IF(F9&gt;I$19,ROUNDUP(F9,-1)+10))))</f>
        <v>0</v>
      </c>
      <c r="I9" s="97" t="s">
        <v>67</v>
      </c>
      <c r="J9" s="97">
        <v>2.2000000000000002</v>
      </c>
    </row>
    <row r="10" spans="1:13" x14ac:dyDescent="0.2">
      <c r="A10" s="99"/>
      <c r="B10" s="100"/>
      <c r="C10" s="104"/>
      <c r="D10" s="105"/>
      <c r="E10" s="98">
        <f t="shared" si="2"/>
        <v>0</v>
      </c>
      <c r="F10" s="97">
        <f t="shared" si="1"/>
        <v>0</v>
      </c>
      <c r="G10" s="103">
        <f t="shared" ref="G10:G11" si="3">IF(F10&lt;=I$17,ROUNDUP(F10,1),IF(AND(I$17&lt;F10,F10&lt;=I$18),ROUNDUP(F10,0),IF(AND(I$18&lt;F10,F10&lt;=I$19),ROUNDUP(F10,0)+5,IF(F10&gt;I$19,ROUNDUP(F10,-1)+10))))</f>
        <v>0</v>
      </c>
    </row>
    <row r="11" spans="1:13" x14ac:dyDescent="0.2">
      <c r="A11" s="99"/>
      <c r="B11" s="100"/>
      <c r="C11" s="99"/>
      <c r="D11" s="105"/>
      <c r="E11" s="98">
        <f t="shared" si="2"/>
        <v>0</v>
      </c>
      <c r="F11" s="97">
        <f t="shared" si="1"/>
        <v>0</v>
      </c>
      <c r="G11" s="103">
        <f t="shared" si="3"/>
        <v>0</v>
      </c>
    </row>
    <row r="12" spans="1:13" x14ac:dyDescent="0.2">
      <c r="C12" s="106"/>
    </row>
    <row r="13" spans="1:13" x14ac:dyDescent="0.2">
      <c r="C13" s="106"/>
      <c r="F13" s="107">
        <v>0.25</v>
      </c>
      <c r="G13" s="108">
        <f>G4-G4*F13</f>
        <v>0</v>
      </c>
    </row>
    <row r="14" spans="1:13" x14ac:dyDescent="0.2">
      <c r="C14" s="106"/>
    </row>
    <row r="15" spans="1:13" x14ac:dyDescent="0.2">
      <c r="C15" s="106"/>
      <c r="I15" s="97" t="s">
        <v>68</v>
      </c>
      <c r="J15" s="97" t="s">
        <v>111</v>
      </c>
    </row>
    <row r="16" spans="1:13" x14ac:dyDescent="0.2">
      <c r="C16" s="106"/>
      <c r="I16" s="97">
        <v>0</v>
      </c>
      <c r="J16" s="97">
        <v>0.1</v>
      </c>
    </row>
    <row r="17" spans="3:10" x14ac:dyDescent="0.2">
      <c r="C17" s="106"/>
      <c r="I17" s="97">
        <v>20</v>
      </c>
      <c r="J17" s="97">
        <v>1</v>
      </c>
    </row>
    <row r="18" spans="3:10" x14ac:dyDescent="0.2">
      <c r="C18" s="106"/>
      <c r="I18" s="97">
        <v>200</v>
      </c>
      <c r="J18" s="109" t="s">
        <v>112</v>
      </c>
    </row>
    <row r="19" spans="3:10" x14ac:dyDescent="0.2">
      <c r="C19" s="106"/>
      <c r="I19" s="97">
        <v>500</v>
      </c>
      <c r="J19" s="97" t="s">
        <v>113</v>
      </c>
    </row>
    <row r="20" spans="3:10" x14ac:dyDescent="0.2">
      <c r="C20" s="106"/>
    </row>
    <row r="21" spans="3:10" x14ac:dyDescent="0.2">
      <c r="C21" s="106"/>
    </row>
    <row r="22" spans="3:10" x14ac:dyDescent="0.2">
      <c r="C22" s="106"/>
    </row>
    <row r="23" spans="3:10" x14ac:dyDescent="0.2">
      <c r="C23" s="106"/>
    </row>
    <row r="24" spans="3:10" x14ac:dyDescent="0.2">
      <c r="C24" s="106"/>
    </row>
    <row r="25" spans="3:10" x14ac:dyDescent="0.2">
      <c r="C25" s="106"/>
    </row>
    <row r="26" spans="3:10" x14ac:dyDescent="0.2">
      <c r="C26" s="106"/>
    </row>
    <row r="27" spans="3:10" x14ac:dyDescent="0.2">
      <c r="C27" s="10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GENERALE</vt:lpstr>
      <vt:lpstr>COSTO TELEFONICO</vt:lpstr>
      <vt:lpstr>COSTO TRASPORTO VETTORE</vt:lpstr>
      <vt:lpstr>COMPONENTI</vt:lpstr>
      <vt:lpstr>GENERALE!Area_stampa</vt:lpstr>
      <vt:lpstr>DHL_TIPO</vt:lpstr>
      <vt:lpstr>Lavorazione</vt:lpstr>
      <vt:lpstr>TIPO_TECNICO</vt:lpstr>
    </vt:vector>
  </TitlesOfParts>
  <Company>CEPI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MMONTALTI</dc:creator>
  <cp:lastModifiedBy>Sandra Ceccarelli</cp:lastModifiedBy>
  <cp:lastPrinted>2020-03-09T13:14:25Z</cp:lastPrinted>
  <dcterms:created xsi:type="dcterms:W3CDTF">2004-02-05T19:29:22Z</dcterms:created>
  <dcterms:modified xsi:type="dcterms:W3CDTF">2026-01-15T11:44:53Z</dcterms:modified>
</cp:coreProperties>
</file>