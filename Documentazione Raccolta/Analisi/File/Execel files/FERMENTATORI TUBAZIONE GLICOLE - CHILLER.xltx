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5B37D047-0BDB-44C6-81F4-3012A8638B53}" xr6:coauthVersionLast="47" xr6:coauthVersionMax="47" xr10:uidLastSave="{00000000-0000-0000-0000-000000000000}"/>
  <workbookProtection workbookAlgorithmName="SHA-512" workbookHashValue="BCkultc/GTrXoS6gp9PqoVH6ZKFrznCEc5qxyXJNML0aKPG2Oe7L/DLA+oEnKltdvb7D4HayDaumPQOJu1S5hA==" workbookSaltValue="iqU3n2BAZkzM8bsoYKBdXA==" workbookSpinCount="100000" lockStructure="1"/>
  <bookViews>
    <workbookView xWindow="-120" yWindow="-120" windowWidth="24240" windowHeight="13020" xr2:uid="{00000000-000D-0000-FFFF-FFFF00000000}"/>
  </bookViews>
  <sheets>
    <sheet name="Foglio1" sheetId="1" r:id="rId1"/>
    <sheet name="Foglio2" sheetId="2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2" l="1"/>
  <c r="B2" i="2"/>
  <c r="C11" i="1" l="1"/>
</calcChain>
</file>

<file path=xl/sharedStrings.xml><?xml version="1.0" encoding="utf-8"?>
<sst xmlns="http://schemas.openxmlformats.org/spreadsheetml/2006/main" count="36" uniqueCount="36">
  <si>
    <t>TOTALE</t>
  </si>
  <si>
    <t>nome CLIENTE</t>
  </si>
  <si>
    <t>numero OFFERTA</t>
  </si>
  <si>
    <t>data</t>
  </si>
  <si>
    <t>CALCOLO TUBAZIONE CHILLER/FERMENTATORE</t>
  </si>
  <si>
    <t>DISTANZA CHILLER/FEMENTATORE</t>
  </si>
  <si>
    <t>Il materiale incluso oltre al costo della tubazione è:</t>
  </si>
  <si>
    <t>NUMERO DI FERMENTATORI</t>
  </si>
  <si>
    <t>COSTO VARIABILE PER FERMENTATORE</t>
  </si>
  <si>
    <t>COSTO AL METRO TUBAZIONE 2"</t>
  </si>
  <si>
    <t>scorpori per pesatura</t>
  </si>
  <si>
    <t>collettore a 3 uscite per alimentazione fascia refrigerazione</t>
  </si>
  <si>
    <t>il tubo è già calcolato Andata e Ritorno</t>
  </si>
  <si>
    <t>tubazione in acciaio inox coibentata</t>
  </si>
  <si>
    <t>valvola a sfera EPN su ogni utenza</t>
  </si>
  <si>
    <t xml:space="preserve">valvola di regolazione portata su ogni utenza </t>
  </si>
  <si>
    <t>valvola di sicurezza presisone nel circuito</t>
  </si>
  <si>
    <t>valvole a sfera manuali e manometro</t>
  </si>
  <si>
    <t>preso tubaliment dn40 con sostegni +10€ coibentazione</t>
  </si>
  <si>
    <t>DIMENSIONAMENTO E PREZZI CHILLER</t>
  </si>
  <si>
    <t>TIPO IMPIANTO</t>
  </si>
  <si>
    <t>PREZZO CHILLER</t>
  </si>
  <si>
    <t>ATTENZIONE calcolato sempre 1 tank raffreddato alla volta</t>
  </si>
  <si>
    <t>n°1x3000lt</t>
  </si>
  <si>
    <t>n°2x3000lt</t>
  </si>
  <si>
    <t>n°4x3000lt</t>
  </si>
  <si>
    <t>n°3x3000lt</t>
  </si>
  <si>
    <t>POTENZA FRIGORIFERA kWf</t>
  </si>
  <si>
    <t>n°1x2100lt</t>
  </si>
  <si>
    <t>n°1x4100lt</t>
  </si>
  <si>
    <t>n°2x2100lt</t>
  </si>
  <si>
    <t>n°2x4100lt</t>
  </si>
  <si>
    <t>n°3x2100lt</t>
  </si>
  <si>
    <t>n°3x4100lt</t>
  </si>
  <si>
    <t>n°4x2100lt</t>
  </si>
  <si>
    <t>n°4x4100lt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</si>
</sst>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3" borderId="0" xfId="0" applyFill="1"/>
    <xf numFmtId="8" fontId="0" fillId="0" borderId="0" xfId="0" applyNumberFormat="1"/>
    <xf numFmtId="0" fontId="0" fillId="2" borderId="0" xfId="0" applyFill="1" applyProtection="1">
      <protection locked="0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6"/>
  <sheetViews>
    <sheetView tabSelected="1" topLeftCell="A16" workbookViewId="0">
      <selection activeCell="D41" sqref="D41"/>
    </sheetView>
  </sheetViews>
  <sheetFormatPr defaultRowHeight="15" x14ac:dyDescent="0.25"/>
  <cols>
    <col min="1" max="1" width="54.85546875" bestFit="1" customWidth="1"/>
    <col min="2" max="2" width="26.140625" bestFit="1" customWidth="1"/>
    <col min="3" max="3" width="15.42578125" bestFit="1" customWidth="1"/>
    <col min="4" max="4" width="17.28515625" customWidth="1"/>
    <col min="6" max="7" width="10.5703125" bestFit="1" customWidth="1"/>
  </cols>
  <sheetData>
    <row r="1" spans="1:3" x14ac:dyDescent="0.25">
      <c r="A1" s="1" t="s">
        <v>4</v>
      </c>
    </row>
    <row r="3" spans="1:3" x14ac:dyDescent="0.25">
      <c r="A3" s="1" t="s">
        <v>1</v>
      </c>
    </row>
    <row r="4" spans="1:3" x14ac:dyDescent="0.25">
      <c r="A4" s="1" t="s">
        <v>2</v>
      </c>
    </row>
    <row r="5" spans="1:3" x14ac:dyDescent="0.25">
      <c r="A5" s="1" t="s">
        <v>3</v>
      </c>
    </row>
    <row r="6" spans="1:3" x14ac:dyDescent="0.25">
      <c r="A6" s="1"/>
    </row>
    <row r="7" spans="1:3" x14ac:dyDescent="0.25">
      <c r="A7" s="1" t="s">
        <v>7</v>
      </c>
      <c r="C7" s="6">
        <v>0</v>
      </c>
    </row>
    <row r="8" spans="1:3" x14ac:dyDescent="0.25">
      <c r="A8" s="1" t="s">
        <v>5</v>
      </c>
      <c r="C8" s="6">
        <v>0</v>
      </c>
    </row>
    <row r="9" spans="1:3" x14ac:dyDescent="0.25">
      <c r="A9" s="2" t="s">
        <v>12</v>
      </c>
    </row>
    <row r="11" spans="1:3" x14ac:dyDescent="0.25">
      <c r="A11" s="1" t="s">
        <v>0</v>
      </c>
      <c r="C11" s="4">
        <f>(C7*Foglio2!B3)+(C8*Foglio2!B2*2)</f>
        <v>0</v>
      </c>
    </row>
    <row r="12" spans="1:3" x14ac:dyDescent="0.25">
      <c r="A12" s="1" t="s">
        <v>13</v>
      </c>
    </row>
    <row r="13" spans="1:3" x14ac:dyDescent="0.25">
      <c r="A13" t="s">
        <v>6</v>
      </c>
    </row>
    <row r="14" spans="1:3" x14ac:dyDescent="0.25">
      <c r="A14" t="s">
        <v>14</v>
      </c>
    </row>
    <row r="15" spans="1:3" x14ac:dyDescent="0.25">
      <c r="A15" t="s">
        <v>15</v>
      </c>
    </row>
    <row r="16" spans="1:3" x14ac:dyDescent="0.25">
      <c r="A16" t="s">
        <v>16</v>
      </c>
    </row>
    <row r="17" spans="1:7" x14ac:dyDescent="0.25">
      <c r="A17" t="s">
        <v>17</v>
      </c>
    </row>
    <row r="18" spans="1:7" x14ac:dyDescent="0.25">
      <c r="A18" t="s">
        <v>11</v>
      </c>
    </row>
    <row r="19" spans="1:7" x14ac:dyDescent="0.25">
      <c r="A19" t="s">
        <v>10</v>
      </c>
    </row>
    <row r="22" spans="1:7" x14ac:dyDescent="0.25">
      <c r="A22" s="1" t="s">
        <v>19</v>
      </c>
    </row>
    <row r="23" spans="1:7" x14ac:dyDescent="0.25">
      <c r="A23" s="4" t="s">
        <v>22</v>
      </c>
    </row>
    <row r="24" spans="1:7" x14ac:dyDescent="0.25">
      <c r="A24" s="1" t="s">
        <v>20</v>
      </c>
      <c r="B24" s="1" t="s">
        <v>27</v>
      </c>
      <c r="D24" s="1" t="s">
        <v>21</v>
      </c>
    </row>
    <row r="25" spans="1:7" x14ac:dyDescent="0.25">
      <c r="A25" t="s">
        <v>28</v>
      </c>
      <c r="B25">
        <v>30</v>
      </c>
      <c r="D25" s="5">
        <v>22150</v>
      </c>
      <c r="F25" s="5"/>
      <c r="G25" s="5"/>
    </row>
    <row r="26" spans="1:7" x14ac:dyDescent="0.25">
      <c r="A26" t="s">
        <v>23</v>
      </c>
      <c r="B26">
        <v>50</v>
      </c>
      <c r="D26" s="5">
        <v>40150</v>
      </c>
      <c r="F26" s="5"/>
      <c r="G26" s="5"/>
    </row>
    <row r="27" spans="1:7" x14ac:dyDescent="0.25">
      <c r="A27" t="s">
        <v>29</v>
      </c>
      <c r="B27">
        <v>60</v>
      </c>
      <c r="D27" s="5">
        <v>47400</v>
      </c>
      <c r="F27" s="5"/>
      <c r="G27" s="5"/>
    </row>
    <row r="28" spans="1:7" x14ac:dyDescent="0.25">
      <c r="A28" t="s">
        <v>30</v>
      </c>
      <c r="B28">
        <v>40</v>
      </c>
      <c r="D28" s="5">
        <v>29850</v>
      </c>
      <c r="F28" s="5"/>
      <c r="G28" s="5"/>
    </row>
    <row r="29" spans="1:7" x14ac:dyDescent="0.25">
      <c r="A29" t="s">
        <v>24</v>
      </c>
      <c r="B29">
        <v>60</v>
      </c>
      <c r="D29" s="5">
        <v>47400</v>
      </c>
      <c r="F29" s="5"/>
      <c r="G29" s="5"/>
    </row>
    <row r="30" spans="1:7" x14ac:dyDescent="0.25">
      <c r="A30" t="s">
        <v>31</v>
      </c>
      <c r="B30">
        <v>70</v>
      </c>
      <c r="D30" s="5">
        <v>56150</v>
      </c>
      <c r="F30" s="5"/>
      <c r="G30" s="5"/>
    </row>
    <row r="31" spans="1:7" x14ac:dyDescent="0.25">
      <c r="A31" t="s">
        <v>32</v>
      </c>
      <c r="B31">
        <v>50</v>
      </c>
      <c r="D31" s="5">
        <v>40150</v>
      </c>
      <c r="F31" s="5"/>
      <c r="G31" s="5"/>
    </row>
    <row r="32" spans="1:7" x14ac:dyDescent="0.25">
      <c r="A32" t="s">
        <v>26</v>
      </c>
      <c r="B32">
        <v>70</v>
      </c>
      <c r="D32" s="5">
        <v>56150</v>
      </c>
      <c r="F32" s="5"/>
      <c r="G32" s="5"/>
    </row>
    <row r="33" spans="1:7" x14ac:dyDescent="0.25">
      <c r="A33" t="s">
        <v>33</v>
      </c>
      <c r="B33">
        <v>80</v>
      </c>
      <c r="D33" s="5">
        <v>61300</v>
      </c>
      <c r="F33" s="5"/>
      <c r="G33" s="5"/>
    </row>
    <row r="34" spans="1:7" x14ac:dyDescent="0.25">
      <c r="A34" t="s">
        <v>34</v>
      </c>
      <c r="B34">
        <v>60</v>
      </c>
      <c r="D34" s="5">
        <v>47400</v>
      </c>
      <c r="F34" s="5"/>
      <c r="G34" s="5"/>
    </row>
    <row r="35" spans="1:7" x14ac:dyDescent="0.25">
      <c r="A35" t="s">
        <v>25</v>
      </c>
      <c r="B35">
        <v>80</v>
      </c>
      <c r="D35" s="5">
        <v>61300</v>
      </c>
      <c r="F35" s="5"/>
      <c r="G35" s="5"/>
    </row>
    <row r="36" spans="1:7" x14ac:dyDescent="0.25">
      <c r="A36" t="s">
        <v>35</v>
      </c>
      <c r="B36">
        <v>90</v>
      </c>
      <c r="D36" s="5">
        <v>76200</v>
      </c>
      <c r="F36" s="5"/>
      <c r="G36" s="5"/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3"/>
  <sheetViews>
    <sheetView workbookViewId="0">
      <selection activeCell="J2" sqref="J2"/>
    </sheetView>
  </sheetViews>
  <sheetFormatPr defaultRowHeight="15" x14ac:dyDescent="0.25"/>
  <cols>
    <col min="1" max="1" width="33.85546875" bestFit="1" customWidth="1"/>
  </cols>
  <sheetData>
    <row r="1" spans="1:10" x14ac:dyDescent="0.25">
      <c r="J1">
        <v>1.1859999999999999</v>
      </c>
    </row>
    <row r="2" spans="1:10" x14ac:dyDescent="0.25">
      <c r="A2" s="3" t="s">
        <v>9</v>
      </c>
      <c r="B2" s="3">
        <f>CEILING(185*J1,1)</f>
        <v>220</v>
      </c>
      <c r="D2" t="s">
        <v>18</v>
      </c>
    </row>
    <row r="3" spans="1:10" x14ac:dyDescent="0.25">
      <c r="A3" s="3" t="s">
        <v>8</v>
      </c>
      <c r="B3" s="3">
        <f>CEILING(600*J1,1)</f>
        <v>712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Ceccarelli</dc:creator>
  <cp:lastModifiedBy>Sandra Ceccarelli</cp:lastModifiedBy>
  <dcterms:created xsi:type="dcterms:W3CDTF">2020-01-13T15:07:57Z</dcterms:created>
  <dcterms:modified xsi:type="dcterms:W3CDTF">2026-01-14T10:25:45Z</dcterms:modified>
</cp:coreProperties>
</file>