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71EED3BA-90B1-4BBF-A5A7-3D8D10CD2ACE}" xr6:coauthVersionLast="47" xr6:coauthVersionMax="47" xr10:uidLastSave="{00000000-0000-0000-0000-000000000000}"/>
  <workbookProtection workbookAlgorithmName="SHA-512" workbookHashValue="/NgtgCZpi5Wh0+t1tvNMo1DkIfVFiEQLYUbP4+oUT/frW8nMRJH7z3ZKLdaqo35Z+jPHJXznkw/xbHdAVimYZw==" workbookSaltValue="b1MER9w+KC2INq5XxSPbKA==" workbookSpinCount="100000" lockStructure="1"/>
  <bookViews>
    <workbookView xWindow="-120" yWindow="-120" windowWidth="24240" windowHeight="13020" xr2:uid="{00000000-000D-0000-FFFF-FFFF00000000}"/>
  </bookViews>
  <sheets>
    <sheet name="Foglio1" sheetId="1" r:id="rId1"/>
    <sheet name="Foglio2" sheetId="2" state="hidden" r:id="rId2"/>
    <sheet name="Foglio3" sheetId="3" r:id="rId3"/>
  </sheets>
  <definedNames>
    <definedName name="_xlnm.Print_Area" localSheetId="0">Foglio1!$A$1:$F$30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0" i="1" l="1"/>
  <c r="L30" i="1"/>
  <c r="M27" i="1"/>
  <c r="M26" i="1"/>
  <c r="L27" i="1"/>
  <c r="L26" i="1"/>
  <c r="K27" i="1"/>
  <c r="K26" i="1"/>
  <c r="J27" i="1"/>
  <c r="J26" i="1"/>
  <c r="I27" i="1"/>
  <c r="I26" i="1"/>
  <c r="C29" i="1"/>
  <c r="C28" i="1"/>
  <c r="C24" i="1"/>
  <c r="C23" i="1"/>
  <c r="C19" i="1"/>
  <c r="B19" i="1"/>
  <c r="C20" i="1" l="1"/>
  <c r="B20" i="1"/>
  <c r="Q41" i="1" l="1"/>
  <c r="P42" i="1" s="1"/>
  <c r="F29" i="1"/>
  <c r="J39" i="1"/>
  <c r="G11" i="2"/>
  <c r="J37" i="1" s="1"/>
  <c r="G3" i="2"/>
  <c r="E7" i="2"/>
  <c r="H7" i="2" s="1"/>
  <c r="E6" i="2"/>
  <c r="G6" i="2" s="1"/>
  <c r="G9" i="2" s="1"/>
  <c r="I33" i="1" s="1"/>
  <c r="H4" i="2"/>
  <c r="H9" i="2" s="1"/>
  <c r="J33" i="1" s="1"/>
  <c r="L6" i="1" l="1"/>
  <c r="F11" i="1"/>
  <c r="K14" i="1"/>
  <c r="L14" i="1" s="1"/>
  <c r="F7" i="1" s="1"/>
  <c r="F8" i="1" s="1"/>
  <c r="B23" i="1"/>
  <c r="D23" i="1" s="1"/>
  <c r="B28" i="1"/>
  <c r="D28" i="1" s="1"/>
  <c r="B29" i="1"/>
  <c r="D29" i="1" s="1"/>
  <c r="B24" i="1" l="1"/>
  <c r="D24" i="1" s="1"/>
  <c r="D25" i="1" s="1"/>
  <c r="F25" i="1" s="1"/>
  <c r="O30" i="1"/>
  <c r="P30" i="1" s="1"/>
  <c r="N26" i="1"/>
  <c r="O26" i="1" s="1"/>
  <c r="P26" i="1" s="1"/>
  <c r="D30" i="1"/>
  <c r="J35" i="1"/>
  <c r="E19" i="1" s="1"/>
  <c r="M22" i="1"/>
  <c r="B13" i="1" s="1"/>
  <c r="M21" i="1"/>
  <c r="B11" i="1" s="1"/>
  <c r="M6" i="1"/>
  <c r="F10" i="1" s="1"/>
  <c r="D37" i="1" l="1"/>
  <c r="F28" i="1"/>
  <c r="F30" i="1" s="1"/>
  <c r="F19" i="1"/>
  <c r="N27" i="1"/>
  <c r="O27" i="1" s="1"/>
  <c r="P27" i="1" l="1"/>
  <c r="E20" i="1" l="1"/>
  <c r="F37" i="1" s="1"/>
  <c r="F20" i="1" l="1"/>
</calcChain>
</file>

<file path=xl/sharedStrings.xml><?xml version="1.0" encoding="utf-8"?>
<sst xmlns="http://schemas.openxmlformats.org/spreadsheetml/2006/main" count="111" uniqueCount="86">
  <si>
    <t>COMPRESSORE ASP</t>
  </si>
  <si>
    <t>MM</t>
  </si>
  <si>
    <t>PRIMO TMX</t>
  </si>
  <si>
    <t>TMX SUCC</t>
  </si>
  <si>
    <t>Qtà</t>
  </si>
  <si>
    <t>TOTALE INGOMBRO IN LUNGHEZZA</t>
  </si>
  <si>
    <t xml:space="preserve">TOTALE INGOMBRO IN ALTEZZA - DA CALCOLARE </t>
  </si>
  <si>
    <t>TB</t>
  </si>
  <si>
    <t>CIL</t>
  </si>
  <si>
    <t>COP</t>
  </si>
  <si>
    <t>Descrizione</t>
  </si>
  <si>
    <t>Volume per ogni tmx con quel cilindro ( lit) ASP</t>
  </si>
  <si>
    <t>Volume per ogni tmx con quel cilindro ( lit) MAN</t>
  </si>
  <si>
    <t>TOTALE</t>
  </si>
  <si>
    <t>ASP</t>
  </si>
  <si>
    <t>MAN</t>
  </si>
  <si>
    <t>Primo</t>
  </si>
  <si>
    <t>Succ</t>
  </si>
  <si>
    <t>Totale €</t>
  </si>
  <si>
    <t>Valore cilindro</t>
  </si>
  <si>
    <t>Dettaglio prezzo inox totale</t>
  </si>
  <si>
    <t>Val Tmx</t>
  </si>
  <si>
    <t>Unit</t>
  </si>
  <si>
    <t>NUMERO TRIMIX</t>
  </si>
  <si>
    <t>ASPIRAZIONE  MICROCOMPACT</t>
  </si>
  <si>
    <t>Tmx successivi</t>
  </si>
  <si>
    <t>Totale</t>
  </si>
  <si>
    <t>ALTEZZA CILINDRO</t>
  </si>
  <si>
    <t xml:space="preserve">SALITA TUBO IN USCITA VERSO BILANCIA </t>
  </si>
  <si>
    <t>Litri</t>
  </si>
  <si>
    <t xml:space="preserve">Totale </t>
  </si>
  <si>
    <t>Singolo</t>
  </si>
  <si>
    <t>€</t>
  </si>
  <si>
    <t>CARICAMENTO  MAN OPPURE ASP</t>
  </si>
  <si>
    <t>CARRELLO MICROCOMPACT</t>
  </si>
  <si>
    <t>Primi 3  Tmx</t>
  </si>
  <si>
    <t>INOX</t>
  </si>
  <si>
    <t xml:space="preserve">MAGG STRUTTURA </t>
  </si>
  <si>
    <t>1° tmx</t>
  </si>
  <si>
    <t>Tmx succ</t>
  </si>
  <si>
    <t>STRUTTURA SE INOX INDICARE INOX</t>
  </si>
  <si>
    <t xml:space="preserve">Fino a due trimix </t>
  </si>
  <si>
    <t>Tmx successivi a due</t>
  </si>
  <si>
    <t>SINGOLO INGOMBRO IN LUNGHEZZA</t>
  </si>
  <si>
    <t>SINGOLO INGOMBRO IN PROFONDITA</t>
  </si>
  <si>
    <t>TOTALE INGOMBRO IN PROFONDITA</t>
  </si>
  <si>
    <t>CLIENTE</t>
  </si>
  <si>
    <t>OFFERTA</t>
  </si>
  <si>
    <t>Microcompact com Tmx da Ø 650</t>
  </si>
  <si>
    <t>Asp</t>
  </si>
  <si>
    <t>Man</t>
  </si>
  <si>
    <t>EPN</t>
  </si>
  <si>
    <t>CARICO</t>
  </si>
  <si>
    <t>Magg</t>
  </si>
  <si>
    <t>mcc + trr</t>
  </si>
  <si>
    <t>Successivo</t>
  </si>
  <si>
    <t>Bil mcc</t>
  </si>
  <si>
    <t>SI</t>
  </si>
  <si>
    <t>NO</t>
  </si>
  <si>
    <t>Tot magg</t>
  </si>
  <si>
    <t>TRB UNICA</t>
  </si>
  <si>
    <t>extra rialzo gambe</t>
  </si>
  <si>
    <t>successivo</t>
  </si>
  <si>
    <t>Maggiorazione</t>
  </si>
  <si>
    <t xml:space="preserve">Panelli </t>
  </si>
  <si>
    <t>Unita</t>
  </si>
  <si>
    <t>Carrello con scarico telescopico</t>
  </si>
  <si>
    <t>Aspfumi su carrello</t>
  </si>
  <si>
    <t>MODELLO CON MICROSOLIDI POLMONE</t>
  </si>
  <si>
    <t>totale raffronto</t>
  </si>
  <si>
    <t>TRB MICRO + MCS POLMONE</t>
  </si>
  <si>
    <t>Aumento altezza</t>
  </si>
  <si>
    <t>mcs</t>
  </si>
  <si>
    <t>ALTEZZA STANDARD</t>
  </si>
  <si>
    <t>ALTEZZA CON MCS</t>
  </si>
  <si>
    <t>MCS TRR POLMONE</t>
  </si>
  <si>
    <t>Bil Fisso asp fumi</t>
  </si>
  <si>
    <t>Microsolidi</t>
  </si>
  <si>
    <t>MICROSOLIDI</t>
  </si>
  <si>
    <t>CARR. TELESCOPICO</t>
  </si>
  <si>
    <t>TOT GRUPPO CARRELLO</t>
  </si>
  <si>
    <t>supp</t>
  </si>
  <si>
    <t>5% GIUGNO 2021</t>
  </si>
  <si>
    <t>10% FEBBRAIO 2022</t>
  </si>
  <si>
    <t>10% AGOSTO 2025</t>
  </si>
  <si>
    <t>3% gennaio 2026 vedi foglio scale per spiegazione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</si>
</sst>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_-* #,##0.00_-;\-* #,##0.00_-;_-* &quot;-&quot;_-;_-@_-"/>
  </numFmts>
  <fonts count="12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color rgb="FF7030A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97">
    <xf numFmtId="0" fontId="0" fillId="0" borderId="0" xfId="0"/>
    <xf numFmtId="41" fontId="0" fillId="2" borderId="1" xfId="1" applyFont="1" applyFill="1" applyBorder="1" applyProtection="1"/>
    <xf numFmtId="41" fontId="2" fillId="2" borderId="1" xfId="1" applyFont="1" applyFill="1" applyBorder="1" applyProtection="1">
      <protection locked="0"/>
    </xf>
    <xf numFmtId="0" fontId="2" fillId="0" borderId="0" xfId="0" applyFont="1"/>
    <xf numFmtId="41" fontId="0" fillId="0" borderId="0" xfId="1" applyFont="1" applyProtection="1"/>
    <xf numFmtId="0" fontId="0" fillId="0" borderId="2" xfId="0" applyBorder="1"/>
    <xf numFmtId="0" fontId="0" fillId="0" borderId="3" xfId="0" applyBorder="1"/>
    <xf numFmtId="41" fontId="0" fillId="0" borderId="3" xfId="1" applyFont="1" applyBorder="1" applyProtection="1"/>
    <xf numFmtId="41" fontId="0" fillId="0" borderId="4" xfId="1" applyFont="1" applyBorder="1" applyProtection="1"/>
    <xf numFmtId="41" fontId="2" fillId="0" borderId="1" xfId="1" applyFont="1" applyBorder="1" applyProtection="1"/>
    <xf numFmtId="0" fontId="0" fillId="0" borderId="5" xfId="0" applyBorder="1"/>
    <xf numFmtId="41" fontId="0" fillId="0" borderId="0" xfId="1" applyFont="1" applyBorder="1" applyProtection="1"/>
    <xf numFmtId="41" fontId="0" fillId="0" borderId="6" xfId="1" applyFont="1" applyBorder="1" applyProtection="1"/>
    <xf numFmtId="0" fontId="0" fillId="0" borderId="7" xfId="0" applyBorder="1"/>
    <xf numFmtId="41" fontId="0" fillId="0" borderId="8" xfId="1" applyFont="1" applyBorder="1" applyProtection="1"/>
    <xf numFmtId="0" fontId="0" fillId="0" borderId="8" xfId="0" applyBorder="1"/>
    <xf numFmtId="41" fontId="0" fillId="0" borderId="9" xfId="1" applyFont="1" applyBorder="1" applyProtection="1"/>
    <xf numFmtId="0" fontId="4" fillId="0" borderId="10" xfId="0" applyFont="1" applyBorder="1" applyAlignment="1">
      <alignment horizontal="center"/>
    </xf>
    <xf numFmtId="0" fontId="4" fillId="0" borderId="11" xfId="0" applyFont="1" applyBorder="1"/>
    <xf numFmtId="41" fontId="4" fillId="3" borderId="12" xfId="1" applyFont="1" applyFill="1" applyBorder="1" applyProtection="1"/>
    <xf numFmtId="0" fontId="0" fillId="0" borderId="4" xfId="0" applyBorder="1"/>
    <xf numFmtId="0" fontId="4" fillId="0" borderId="13" xfId="0" applyFont="1" applyBorder="1"/>
    <xf numFmtId="0" fontId="0" fillId="0" borderId="6" xfId="0" applyBorder="1"/>
    <xf numFmtId="0" fontId="4" fillId="0" borderId="14" xfId="0" applyFont="1" applyBorder="1"/>
    <xf numFmtId="0" fontId="0" fillId="0" borderId="9" xfId="0" applyBorder="1"/>
    <xf numFmtId="41" fontId="0" fillId="0" borderId="2" xfId="1" applyFont="1" applyBorder="1" applyProtection="1"/>
    <xf numFmtId="41" fontId="4" fillId="3" borderId="10" xfId="1" applyFont="1" applyFill="1" applyBorder="1" applyProtection="1"/>
    <xf numFmtId="41" fontId="0" fillId="0" borderId="5" xfId="1" applyFont="1" applyBorder="1" applyProtection="1"/>
    <xf numFmtId="0" fontId="4" fillId="0" borderId="15" xfId="0" applyFont="1" applyBorder="1"/>
    <xf numFmtId="0" fontId="3" fillId="4" borderId="1" xfId="0" applyFont="1" applyFill="1" applyBorder="1"/>
    <xf numFmtId="0" fontId="4" fillId="0" borderId="16" xfId="0" applyFont="1" applyBorder="1"/>
    <xf numFmtId="41" fontId="0" fillId="0" borderId="7" xfId="1" applyFont="1" applyBorder="1" applyProtection="1"/>
    <xf numFmtId="0" fontId="0" fillId="0" borderId="11" xfId="0" applyBorder="1"/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/>
    <xf numFmtId="0" fontId="4" fillId="0" borderId="1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164" fontId="4" fillId="3" borderId="12" xfId="1" applyNumberFormat="1" applyFont="1" applyFill="1" applyBorder="1" applyProtection="1"/>
    <xf numFmtId="164" fontId="3" fillId="5" borderId="1" xfId="0" applyNumberFormat="1" applyFont="1" applyFill="1" applyBorder="1"/>
    <xf numFmtId="0" fontId="4" fillId="0" borderId="21" xfId="0" applyFont="1" applyBorder="1"/>
    <xf numFmtId="0" fontId="4" fillId="0" borderId="22" xfId="0" applyFont="1" applyBorder="1"/>
    <xf numFmtId="41" fontId="4" fillId="0" borderId="22" xfId="1" applyFont="1" applyBorder="1" applyProtection="1"/>
    <xf numFmtId="41" fontId="4" fillId="0" borderId="23" xfId="1" applyFont="1" applyBorder="1" applyProtection="1"/>
    <xf numFmtId="41" fontId="4" fillId="5" borderId="1" xfId="1" applyFont="1" applyFill="1" applyBorder="1" applyAlignment="1" applyProtection="1">
      <alignment horizontal="center"/>
    </xf>
    <xf numFmtId="164" fontId="4" fillId="0" borderId="0" xfId="1" applyNumberFormat="1" applyFont="1" applyBorder="1" applyProtection="1"/>
    <xf numFmtId="164" fontId="4" fillId="0" borderId="20" xfId="1" applyNumberFormat="1" applyFont="1" applyBorder="1" applyProtection="1"/>
    <xf numFmtId="0" fontId="4" fillId="0" borderId="24" xfId="0" applyFont="1" applyBorder="1"/>
    <xf numFmtId="41" fontId="4" fillId="0" borderId="24" xfId="1" applyFont="1" applyBorder="1" applyProtection="1"/>
    <xf numFmtId="0" fontId="4" fillId="0" borderId="0" xfId="0" applyFont="1" applyAlignment="1">
      <alignment horizontal="center"/>
    </xf>
    <xf numFmtId="41" fontId="4" fillId="3" borderId="25" xfId="1" applyFont="1" applyFill="1" applyBorder="1" applyProtection="1"/>
    <xf numFmtId="41" fontId="4" fillId="3" borderId="26" xfId="1" applyFont="1" applyFill="1" applyBorder="1" applyProtection="1"/>
    <xf numFmtId="41" fontId="4" fillId="3" borderId="27" xfId="1" applyFont="1" applyFill="1" applyBorder="1" applyProtection="1"/>
    <xf numFmtId="0" fontId="4" fillId="0" borderId="1" xfId="0" applyFont="1" applyBorder="1"/>
    <xf numFmtId="0" fontId="0" fillId="0" borderId="1" xfId="0" applyBorder="1"/>
    <xf numFmtId="41" fontId="2" fillId="0" borderId="0" xfId="1" applyFont="1" applyBorder="1" applyProtection="1"/>
    <xf numFmtId="41" fontId="0" fillId="2" borderId="8" xfId="1" applyFont="1" applyFill="1" applyBorder="1" applyProtection="1"/>
    <xf numFmtId="41" fontId="0" fillId="0" borderId="0" xfId="0" applyNumberFormat="1"/>
    <xf numFmtId="41" fontId="2" fillId="2" borderId="1" xfId="1" applyFont="1" applyFill="1" applyBorder="1" applyAlignment="1" applyProtection="1">
      <alignment horizontal="center"/>
      <protection locked="0"/>
    </xf>
    <xf numFmtId="0" fontId="2" fillId="0" borderId="1" xfId="0" applyFont="1" applyBorder="1"/>
    <xf numFmtId="0" fontId="4" fillId="0" borderId="28" xfId="0" applyFont="1" applyBorder="1"/>
    <xf numFmtId="41" fontId="4" fillId="3" borderId="29" xfId="1" applyFont="1" applyFill="1" applyBorder="1" applyProtection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1" fontId="0" fillId="2" borderId="1" xfId="1" applyFont="1" applyFill="1" applyBorder="1" applyAlignment="1" applyProtection="1">
      <alignment horizontal="center"/>
    </xf>
    <xf numFmtId="164" fontId="3" fillId="2" borderId="1" xfId="0" applyNumberFormat="1" applyFont="1" applyFill="1" applyBorder="1"/>
    <xf numFmtId="164" fontId="0" fillId="2" borderId="1" xfId="0" applyNumberFormat="1" applyFill="1" applyBorder="1"/>
    <xf numFmtId="41" fontId="2" fillId="6" borderId="1" xfId="1" applyFont="1" applyFill="1" applyBorder="1" applyAlignment="1" applyProtection="1">
      <alignment horizontal="center"/>
    </xf>
    <xf numFmtId="41" fontId="5" fillId="2" borderId="1" xfId="1" applyFont="1" applyFill="1" applyBorder="1" applyProtection="1">
      <protection locked="0"/>
    </xf>
    <xf numFmtId="41" fontId="6" fillId="5" borderId="1" xfId="1" applyFont="1" applyFill="1" applyBorder="1" applyAlignment="1" applyProtection="1">
      <alignment horizontal="center"/>
    </xf>
    <xf numFmtId="0" fontId="4" fillId="0" borderId="0" xfId="0" applyFont="1"/>
    <xf numFmtId="41" fontId="4" fillId="3" borderId="30" xfId="1" applyFont="1" applyFill="1" applyBorder="1" applyProtection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164" fontId="4" fillId="7" borderId="1" xfId="1" applyNumberFormat="1" applyFont="1" applyFill="1" applyBorder="1" applyProtection="1"/>
    <xf numFmtId="14" fontId="0" fillId="0" borderId="0" xfId="0" applyNumberFormat="1"/>
    <xf numFmtId="9" fontId="0" fillId="0" borderId="0" xfId="0" applyNumberFormat="1"/>
    <xf numFmtId="0" fontId="8" fillId="0" borderId="0" xfId="0" applyFont="1"/>
    <xf numFmtId="41" fontId="2" fillId="9" borderId="10" xfId="1" applyFont="1" applyFill="1" applyBorder="1" applyProtection="1"/>
    <xf numFmtId="41" fontId="2" fillId="6" borderId="0" xfId="1" applyFont="1" applyFill="1" applyBorder="1" applyAlignment="1" applyProtection="1">
      <alignment horizontal="center"/>
      <protection locked="0"/>
    </xf>
    <xf numFmtId="41" fontId="2" fillId="7" borderId="1" xfId="1" applyFont="1" applyFill="1" applyBorder="1" applyAlignment="1" applyProtection="1">
      <alignment horizontal="center" vertical="center"/>
    </xf>
    <xf numFmtId="164" fontId="4" fillId="10" borderId="1" xfId="1" applyNumberFormat="1" applyFont="1" applyFill="1" applyBorder="1" applyProtection="1"/>
    <xf numFmtId="0" fontId="9" fillId="0" borderId="0" xfId="0" applyFont="1"/>
    <xf numFmtId="0" fontId="10" fillId="0" borderId="0" xfId="0" applyFont="1" applyProtection="1">
      <protection hidden="1"/>
    </xf>
    <xf numFmtId="41" fontId="10" fillId="0" borderId="0" xfId="0" applyNumberFormat="1" applyFont="1" applyProtection="1">
      <protection hidden="1"/>
    </xf>
    <xf numFmtId="0" fontId="11" fillId="0" borderId="0" xfId="0" applyFont="1" applyProtection="1">
      <protection hidden="1"/>
    </xf>
    <xf numFmtId="0" fontId="10" fillId="0" borderId="0" xfId="0" applyFont="1"/>
    <xf numFmtId="0" fontId="1" fillId="0" borderId="0" xfId="0" applyFont="1"/>
    <xf numFmtId="41" fontId="7" fillId="8" borderId="31" xfId="1" applyFont="1" applyFill="1" applyBorder="1" applyAlignment="1" applyProtection="1">
      <alignment horizontal="center" vertical="center"/>
    </xf>
    <xf numFmtId="41" fontId="7" fillId="8" borderId="32" xfId="1" applyFont="1" applyFill="1" applyBorder="1" applyAlignment="1" applyProtection="1">
      <alignment horizontal="center" vertical="center"/>
    </xf>
    <xf numFmtId="41" fontId="7" fillId="8" borderId="33" xfId="1" applyFont="1" applyFill="1" applyBorder="1" applyAlignment="1" applyProtection="1">
      <alignment horizontal="center" vertical="center"/>
    </xf>
    <xf numFmtId="41" fontId="0" fillId="5" borderId="1" xfId="1" applyFont="1" applyFill="1" applyBorder="1" applyAlignment="1" applyProtection="1">
      <alignment horizontal="center"/>
    </xf>
    <xf numFmtId="0" fontId="0" fillId="5" borderId="1" xfId="0" applyFill="1" applyBorder="1" applyAlignment="1">
      <alignment horizontal="center"/>
    </xf>
    <xf numFmtId="0" fontId="2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41" fontId="7" fillId="7" borderId="0" xfId="1" applyFont="1" applyFill="1" applyAlignment="1" applyProtection="1">
      <alignment horizontal="center" vertical="center"/>
    </xf>
  </cellXfs>
  <cellStyles count="2">
    <cellStyle name="Migliaia [0]" xfId="1" builtinId="6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48"/>
  <sheetViews>
    <sheetView tabSelected="1" zoomScale="85" zoomScaleNormal="85" zoomScaleSheetLayoutView="100" workbookViewId="0">
      <selection activeCell="C23" sqref="C23"/>
    </sheetView>
  </sheetViews>
  <sheetFormatPr defaultColWidth="9.140625" defaultRowHeight="12.75" x14ac:dyDescent="0.2"/>
  <cols>
    <col min="1" max="1" width="56" bestFit="1" customWidth="1"/>
    <col min="2" max="2" width="13.7109375" customWidth="1"/>
    <col min="3" max="3" width="13.85546875" style="4" customWidth="1"/>
    <col min="4" max="4" width="13.5703125" style="4" customWidth="1"/>
    <col min="5" max="5" width="34.42578125" style="4" customWidth="1"/>
    <col min="6" max="6" width="15.5703125" style="4" customWidth="1"/>
    <col min="7" max="7" width="6" customWidth="1"/>
    <col min="8" max="8" width="8" customWidth="1"/>
    <col min="9" max="9" width="7.7109375" customWidth="1"/>
    <col min="10" max="10" width="8.5703125" customWidth="1"/>
    <col min="12" max="12" width="10" customWidth="1"/>
    <col min="13" max="13" width="10.28515625" customWidth="1"/>
    <col min="15" max="15" width="11.28515625" customWidth="1"/>
    <col min="16" max="16" width="14" customWidth="1"/>
  </cols>
  <sheetData>
    <row r="1" spans="1:13" s="3" customFormat="1" ht="18" x14ac:dyDescent="0.25">
      <c r="A1" s="3" t="s">
        <v>48</v>
      </c>
      <c r="B1" s="59" t="s">
        <v>46</v>
      </c>
      <c r="C1" s="94"/>
      <c r="D1" s="95"/>
      <c r="E1" s="95"/>
    </row>
    <row r="2" spans="1:13" s="3" customFormat="1" ht="18" x14ac:dyDescent="0.25">
      <c r="B2" s="59" t="s">
        <v>47</v>
      </c>
      <c r="C2" s="94"/>
      <c r="D2" s="95"/>
      <c r="E2" s="95"/>
    </row>
    <row r="3" spans="1:13" ht="13.5" thickBot="1" x14ac:dyDescent="0.25">
      <c r="D3"/>
      <c r="E3"/>
      <c r="F3"/>
      <c r="I3" s="5" t="s">
        <v>10</v>
      </c>
      <c r="J3" s="6"/>
      <c r="K3" s="7" t="s">
        <v>1</v>
      </c>
      <c r="L3" s="7" t="s">
        <v>4</v>
      </c>
      <c r="M3" s="8" t="s">
        <v>1</v>
      </c>
    </row>
    <row r="4" spans="1:13" ht="18.75" thickBot="1" x14ac:dyDescent="0.3">
      <c r="A4" s="9" t="s">
        <v>23</v>
      </c>
      <c r="B4" s="2"/>
      <c r="C4" s="3"/>
      <c r="D4"/>
      <c r="E4"/>
      <c r="F4" s="17" t="s">
        <v>1</v>
      </c>
      <c r="I4" s="10" t="s">
        <v>0</v>
      </c>
      <c r="J4" s="11"/>
      <c r="K4" s="11"/>
      <c r="M4" s="12">
        <v>500</v>
      </c>
    </row>
    <row r="5" spans="1:13" ht="26.25" x14ac:dyDescent="0.4">
      <c r="A5" s="9" t="s">
        <v>27</v>
      </c>
      <c r="B5" s="68"/>
      <c r="C5"/>
      <c r="D5" s="53" t="s">
        <v>43</v>
      </c>
      <c r="E5" s="54"/>
      <c r="F5" s="50">
        <v>830</v>
      </c>
      <c r="I5" s="10" t="s">
        <v>2</v>
      </c>
      <c r="J5" s="11"/>
      <c r="L5" s="11">
        <v>1</v>
      </c>
      <c r="M5" s="12">
        <v>831</v>
      </c>
    </row>
    <row r="6" spans="1:13" ht="18" x14ac:dyDescent="0.25">
      <c r="A6" s="9" t="s">
        <v>33</v>
      </c>
      <c r="B6" s="58"/>
      <c r="D6" s="53" t="s">
        <v>44</v>
      </c>
      <c r="E6" s="54"/>
      <c r="F6" s="51">
        <v>870</v>
      </c>
      <c r="I6" s="10" t="s">
        <v>3</v>
      </c>
      <c r="K6" s="11">
        <v>731</v>
      </c>
      <c r="L6" s="1">
        <f>IF(B4=0,0,B4-L5)</f>
        <v>0</v>
      </c>
      <c r="M6" s="12">
        <f>L6*K6</f>
        <v>0</v>
      </c>
    </row>
    <row r="7" spans="1:13" ht="18.75" thickBot="1" x14ac:dyDescent="0.3">
      <c r="A7" s="55" t="s">
        <v>40</v>
      </c>
      <c r="B7" s="67" t="s">
        <v>36</v>
      </c>
      <c r="D7" s="53" t="s">
        <v>73</v>
      </c>
      <c r="E7" s="54"/>
      <c r="F7" s="52">
        <f>IF(B4=0,0,IF(B6="asp",SUM(K13:K17),SUM(L13:L17)))</f>
        <v>0</v>
      </c>
      <c r="I7" s="10"/>
      <c r="K7" s="11"/>
      <c r="L7" s="56"/>
      <c r="M7" s="12"/>
    </row>
    <row r="8" spans="1:13" ht="18.75" thickBot="1" x14ac:dyDescent="0.3">
      <c r="A8" s="55" t="s">
        <v>68</v>
      </c>
      <c r="B8" s="80"/>
      <c r="D8" s="70" t="s">
        <v>74</v>
      </c>
      <c r="E8"/>
      <c r="F8" s="71">
        <f>IF(B8="SI",F7+J41,0)</f>
        <v>0</v>
      </c>
      <c r="I8" s="10"/>
      <c r="K8" s="11"/>
      <c r="L8" s="56"/>
      <c r="M8" s="12"/>
    </row>
    <row r="9" spans="1:13" ht="12.75" customHeight="1" thickBot="1" x14ac:dyDescent="0.3">
      <c r="D9"/>
      <c r="E9"/>
      <c r="F9" s="17" t="s">
        <v>1</v>
      </c>
      <c r="I9" s="13" t="s">
        <v>28</v>
      </c>
      <c r="J9" s="14"/>
      <c r="K9" s="14"/>
      <c r="L9" s="15"/>
      <c r="M9" s="16">
        <v>900</v>
      </c>
    </row>
    <row r="10" spans="1:13" ht="16.5" thickBot="1" x14ac:dyDescent="0.3">
      <c r="B10" s="26" t="s">
        <v>29</v>
      </c>
      <c r="D10" s="53" t="s">
        <v>5</v>
      </c>
      <c r="E10" s="54"/>
      <c r="F10" s="50">
        <f>IF(B4=0,0,IF(B6="ASP",SUM(M4:M9),IF(B6="MAN",SUM(M5:M9),0)))</f>
        <v>0</v>
      </c>
      <c r="I10" s="4"/>
    </row>
    <row r="11" spans="1:13" ht="15.75" x14ac:dyDescent="0.25">
      <c r="A11" s="28" t="s">
        <v>11</v>
      </c>
      <c r="B11" s="19">
        <f>IF(B6="ASP",M21,0)</f>
        <v>0</v>
      </c>
      <c r="D11" s="53" t="s">
        <v>45</v>
      </c>
      <c r="E11" s="54"/>
      <c r="F11" s="51">
        <f>IF(B4=0,0,870)</f>
        <v>0</v>
      </c>
      <c r="I11" s="5" t="s">
        <v>6</v>
      </c>
      <c r="J11" s="6"/>
      <c r="K11" s="7"/>
      <c r="L11" s="6"/>
      <c r="M11" s="20"/>
    </row>
    <row r="12" spans="1:13" ht="15.75" x14ac:dyDescent="0.25">
      <c r="A12" s="60"/>
      <c r="B12" s="19"/>
      <c r="D12" s="53"/>
      <c r="E12" s="54"/>
      <c r="F12" s="61"/>
      <c r="I12" s="10"/>
      <c r="K12" s="11" t="s">
        <v>49</v>
      </c>
      <c r="L12" t="s">
        <v>50</v>
      </c>
      <c r="M12" s="22"/>
    </row>
    <row r="13" spans="1:13" ht="15.75" x14ac:dyDescent="0.25">
      <c r="A13" s="30" t="s">
        <v>12</v>
      </c>
      <c r="B13" s="19">
        <f>IF(B6="MAN",M22,0)</f>
        <v>0</v>
      </c>
      <c r="D13"/>
      <c r="E13"/>
      <c r="F13"/>
      <c r="I13" s="10" t="s">
        <v>7</v>
      </c>
      <c r="K13" s="11">
        <v>1560</v>
      </c>
      <c r="L13">
        <v>1560</v>
      </c>
      <c r="M13" s="22"/>
    </row>
    <row r="14" spans="1:13" ht="16.5" customHeight="1" thickBot="1" x14ac:dyDescent="0.25">
      <c r="E14"/>
      <c r="F14"/>
      <c r="I14" s="10" t="s">
        <v>8</v>
      </c>
      <c r="K14" s="1">
        <f>B5</f>
        <v>0</v>
      </c>
      <c r="L14" s="1">
        <f>K14</f>
        <v>0</v>
      </c>
      <c r="M14" s="22"/>
    </row>
    <row r="15" spans="1:13" ht="16.5" customHeight="1" thickBot="1" x14ac:dyDescent="0.25">
      <c r="A15" s="89" t="s">
        <v>60</v>
      </c>
      <c r="B15" s="90"/>
      <c r="C15" s="90"/>
      <c r="D15" s="91"/>
      <c r="E15" s="96" t="s">
        <v>70</v>
      </c>
      <c r="F15" s="96"/>
      <c r="I15" s="10"/>
      <c r="K15" s="56"/>
      <c r="L15" s="56"/>
      <c r="M15" s="22"/>
    </row>
    <row r="16" spans="1:13" ht="10.5" customHeight="1" thickBot="1" x14ac:dyDescent="0.25">
      <c r="E16"/>
      <c r="F16"/>
      <c r="I16" s="10"/>
      <c r="K16" s="56"/>
      <c r="L16" s="56"/>
      <c r="M16" s="22"/>
    </row>
    <row r="17" spans="1:19" ht="15.75" x14ac:dyDescent="0.25">
      <c r="A17" s="32"/>
      <c r="B17" s="33" t="s">
        <v>32</v>
      </c>
      <c r="C17" s="34" t="s">
        <v>32</v>
      </c>
      <c r="D17" s="49"/>
      <c r="E17" s="33" t="s">
        <v>32</v>
      </c>
      <c r="F17" s="34" t="s">
        <v>32</v>
      </c>
      <c r="I17" s="13" t="s">
        <v>9</v>
      </c>
      <c r="J17" s="15"/>
      <c r="K17" s="14">
        <v>200</v>
      </c>
      <c r="L17" s="15">
        <v>50</v>
      </c>
      <c r="M17" s="24"/>
    </row>
    <row r="18" spans="1:19" ht="15.75" x14ac:dyDescent="0.25">
      <c r="A18" s="35" t="s">
        <v>20</v>
      </c>
      <c r="B18" s="36" t="s">
        <v>30</v>
      </c>
      <c r="C18" s="37" t="s">
        <v>31</v>
      </c>
      <c r="D18" s="49"/>
      <c r="E18" s="36" t="s">
        <v>30</v>
      </c>
      <c r="F18" s="37" t="s">
        <v>31</v>
      </c>
      <c r="I18" s="4"/>
    </row>
    <row r="19" spans="1:19" ht="15.75" x14ac:dyDescent="0.25">
      <c r="A19" s="35" t="s">
        <v>14</v>
      </c>
      <c r="B19" s="38">
        <f>CEILING(IF(B6="ASP",IF(B4=0,0,O26+O30+(P42*B4)),0),1)</f>
        <v>0</v>
      </c>
      <c r="C19" s="38">
        <f>CEILING(IF(B6="ASP",IF(B4=0,0,P26+P30+(P42*B4)/B4),0),1)</f>
        <v>0</v>
      </c>
      <c r="D19"/>
      <c r="E19" s="75">
        <f>IF(B$6="asp",IF($B$8="si",B19+J$35,0),0)</f>
        <v>0</v>
      </c>
      <c r="F19" s="75">
        <f>IF(E19=0,0,ROUND(E19/B$4+P$30,-1))</f>
        <v>0</v>
      </c>
      <c r="I19" s="25"/>
      <c r="J19" s="92" t="s">
        <v>8</v>
      </c>
      <c r="K19" s="93"/>
      <c r="L19" s="93"/>
      <c r="M19" s="20"/>
    </row>
    <row r="20" spans="1:19" ht="18.75" thickBot="1" x14ac:dyDescent="0.3">
      <c r="A20" s="40" t="s">
        <v>15</v>
      </c>
      <c r="B20" s="38">
        <f>IF(B6="MAN",IF(B5=0,0,O27+O30+(P42*B4)),0)</f>
        <v>0</v>
      </c>
      <c r="C20" s="38">
        <f>IF(B6="MAN",IF(B4=0,0,P27+P30+(P42*B4)/B4),0)</f>
        <v>0</v>
      </c>
      <c r="D20"/>
      <c r="E20" s="75">
        <f>IF(B$6="man",IF($B$8="si",B20+J$35,0),0)</f>
        <v>0</v>
      </c>
      <c r="F20" s="75">
        <f>IF(E20=0,0,ROUND(E20/B$4+P$30,-1))</f>
        <v>0</v>
      </c>
      <c r="I20" s="27" t="s">
        <v>7</v>
      </c>
      <c r="J20" s="69">
        <v>300</v>
      </c>
      <c r="K20" s="69">
        <v>500</v>
      </c>
      <c r="L20" s="69">
        <v>900</v>
      </c>
      <c r="M20" s="22" t="s">
        <v>13</v>
      </c>
    </row>
    <row r="21" spans="1:19" ht="14.25" customHeight="1" thickBot="1" x14ac:dyDescent="0.25">
      <c r="F21"/>
      <c r="I21" s="27">
        <v>75</v>
      </c>
      <c r="J21" s="11">
        <v>50</v>
      </c>
      <c r="K21" s="11">
        <v>116</v>
      </c>
      <c r="L21" s="11">
        <v>247</v>
      </c>
      <c r="M21" s="29">
        <f>IF(K14=J20,I21+J21,IF(K14=K20,I21+K21,IF(K14=L20,I21+L21,IF(K14=0,I21,0))))</f>
        <v>75</v>
      </c>
    </row>
    <row r="22" spans="1:19" ht="15.75" x14ac:dyDescent="0.25">
      <c r="A22" s="18" t="s">
        <v>24</v>
      </c>
      <c r="B22" s="41"/>
      <c r="C22" s="42"/>
      <c r="D22" s="43"/>
      <c r="E22"/>
      <c r="F22"/>
      <c r="I22" s="31">
        <v>75</v>
      </c>
      <c r="J22" s="14">
        <v>83</v>
      </c>
      <c r="K22" s="14">
        <v>150</v>
      </c>
      <c r="L22" s="14">
        <v>280</v>
      </c>
      <c r="M22" s="29">
        <f>IF(K14=J20,I22+J22,IF(K14=K20,I22+K22,IF(K14=L20,I22+L22,IF(K14=0,I22,0))))</f>
        <v>75</v>
      </c>
    </row>
    <row r="23" spans="1:19" ht="15.75" x14ac:dyDescent="0.25">
      <c r="A23" s="21" t="s">
        <v>41</v>
      </c>
      <c r="B23" s="44">
        <f>IF(B4=0,0,1)</f>
        <v>0</v>
      </c>
      <c r="C23" s="45">
        <f>990*Foglio3!A1</f>
        <v>1286.01</v>
      </c>
      <c r="D23" s="46">
        <f>C23*B23</f>
        <v>0</v>
      </c>
      <c r="E23"/>
      <c r="F23"/>
      <c r="I23" s="4"/>
    </row>
    <row r="24" spans="1:19" ht="15.75" x14ac:dyDescent="0.25">
      <c r="A24" s="21" t="s">
        <v>42</v>
      </c>
      <c r="B24" s="44">
        <f>IF(B4&lt;3,0,L6)</f>
        <v>0</v>
      </c>
      <c r="C24" s="45">
        <f>189*Foglio3!A1</f>
        <v>245.511</v>
      </c>
      <c r="D24" s="46">
        <f>C24*B24</f>
        <v>0</v>
      </c>
      <c r="E24"/>
      <c r="F24"/>
      <c r="I24" s="5" t="s">
        <v>16</v>
      </c>
      <c r="J24" s="7" t="s">
        <v>17</v>
      </c>
      <c r="K24" s="63" t="s">
        <v>8</v>
      </c>
      <c r="L24" s="63" t="s">
        <v>8</v>
      </c>
      <c r="M24" s="63" t="s">
        <v>8</v>
      </c>
      <c r="N24" s="6" t="s">
        <v>19</v>
      </c>
      <c r="O24" s="6"/>
      <c r="P24" s="20" t="s">
        <v>21</v>
      </c>
    </row>
    <row r="25" spans="1:19" ht="16.5" thickBot="1" x14ac:dyDescent="0.3">
      <c r="A25" s="23" t="s">
        <v>26</v>
      </c>
      <c r="B25" s="47"/>
      <c r="C25" s="48"/>
      <c r="D25" s="38">
        <f>SUM(D23:D24)</f>
        <v>0</v>
      </c>
      <c r="E25"/>
      <c r="F25" s="75" t="str">
        <f>IF(B$8="si",D25+J$39,"")</f>
        <v/>
      </c>
      <c r="H25" t="s">
        <v>52</v>
      </c>
      <c r="I25" s="27" t="s">
        <v>7</v>
      </c>
      <c r="J25" s="11" t="s">
        <v>7</v>
      </c>
      <c r="K25" s="62">
        <v>300</v>
      </c>
      <c r="L25" s="62">
        <v>500</v>
      </c>
      <c r="M25" s="62">
        <v>900</v>
      </c>
      <c r="O25" t="s">
        <v>18</v>
      </c>
      <c r="P25" s="22" t="s">
        <v>22</v>
      </c>
    </row>
    <row r="26" spans="1:19" ht="14.25" customHeight="1" thickBot="1" x14ac:dyDescent="0.25">
      <c r="C26"/>
      <c r="D26"/>
      <c r="F26"/>
      <c r="H26" t="s">
        <v>51</v>
      </c>
      <c r="I26" s="1">
        <f>6104*Foglio3!A1</f>
        <v>7929.0959999999995</v>
      </c>
      <c r="J26" s="1">
        <f>5054*Foglio3!A1</f>
        <v>6565.1459999999997</v>
      </c>
      <c r="K26" s="1">
        <f>396*Foglio3!A1</f>
        <v>514.404</v>
      </c>
      <c r="L26" s="1">
        <f>564*Foglio3!A1</f>
        <v>732.63599999999997</v>
      </c>
      <c r="M26" s="1">
        <f>840*Foglio3!A1</f>
        <v>1091.1599999999999</v>
      </c>
      <c r="N26" s="64">
        <f>IF(K14=0,0,IF(K14=J20,K26,IF(K14=K20,L26,IF(K14=L20,M26))))</f>
        <v>0</v>
      </c>
      <c r="O26" s="66">
        <f>I26+(L6*J26)+(N26*(L6+1))</f>
        <v>7929.0959999999995</v>
      </c>
      <c r="P26" s="65">
        <f>ROUND(O26/(L6+1),-1)</f>
        <v>7930</v>
      </c>
    </row>
    <row r="27" spans="1:19" ht="15.75" x14ac:dyDescent="0.25">
      <c r="A27" s="18" t="s">
        <v>34</v>
      </c>
      <c r="B27" s="41"/>
      <c r="C27" s="42"/>
      <c r="D27" s="43"/>
      <c r="E27"/>
      <c r="F27"/>
      <c r="H27" t="s">
        <v>15</v>
      </c>
      <c r="I27" s="1">
        <f>5484*Foglio3!A1</f>
        <v>7123.7159999999994</v>
      </c>
      <c r="J27" s="1">
        <f>4434*Foglio3!A1</f>
        <v>5759.7659999999996</v>
      </c>
      <c r="K27" s="1">
        <f>396*Foglio3!A1</f>
        <v>514.404</v>
      </c>
      <c r="L27" s="1">
        <f>564*Foglio3!A1</f>
        <v>732.63599999999997</v>
      </c>
      <c r="M27" s="1">
        <f>840*Foglio3!A1</f>
        <v>1091.1599999999999</v>
      </c>
      <c r="N27" s="64">
        <f>N26</f>
        <v>0</v>
      </c>
      <c r="O27" s="66">
        <f>I27+(L6*J27)+(N27*(L6+1))</f>
        <v>7123.7159999999994</v>
      </c>
      <c r="P27" s="65">
        <f>ROUND(O27/(L6+1),-1)</f>
        <v>7120</v>
      </c>
    </row>
    <row r="28" spans="1:19" ht="18" x14ac:dyDescent="0.25">
      <c r="A28" s="21" t="s">
        <v>35</v>
      </c>
      <c r="B28" s="44">
        <f>IF(B4=0,0,1)</f>
        <v>0</v>
      </c>
      <c r="C28" s="45">
        <f>7260*Foglio3!A1</f>
        <v>9430.74</v>
      </c>
      <c r="D28" s="46">
        <f>C28*B28</f>
        <v>0</v>
      </c>
      <c r="E28" s="81" t="s">
        <v>79</v>
      </c>
      <c r="F28" s="82">
        <f>IF(B$8="si",D30+J$37,0)</f>
        <v>0</v>
      </c>
    </row>
    <row r="29" spans="1:19" ht="18" x14ac:dyDescent="0.25">
      <c r="A29" s="21" t="s">
        <v>25</v>
      </c>
      <c r="B29" s="44">
        <f>IF(B4&lt;3,0,B4-3)</f>
        <v>0</v>
      </c>
      <c r="C29" s="45">
        <f>380*Foglio3!A1</f>
        <v>493.61999999999995</v>
      </c>
      <c r="D29" s="46">
        <f>C29*B29</f>
        <v>0</v>
      </c>
      <c r="E29" s="81" t="s">
        <v>78</v>
      </c>
      <c r="F29" s="82">
        <f>IF(B8="SI",J44,0)</f>
        <v>0</v>
      </c>
      <c r="I29" s="57"/>
      <c r="J29" s="57"/>
      <c r="K29" s="57"/>
      <c r="L29" t="s">
        <v>38</v>
      </c>
      <c r="M29" t="s">
        <v>39</v>
      </c>
      <c r="O29" t="s">
        <v>26</v>
      </c>
      <c r="P29" t="s">
        <v>26</v>
      </c>
    </row>
    <row r="30" spans="1:19" ht="18.75" thickBot="1" x14ac:dyDescent="0.3">
      <c r="A30" s="23" t="s">
        <v>26</v>
      </c>
      <c r="B30" s="47"/>
      <c r="C30" s="48"/>
      <c r="D30" s="38">
        <f>SUM(D28:D29)</f>
        <v>0</v>
      </c>
      <c r="E30" s="81" t="s">
        <v>80</v>
      </c>
      <c r="F30" s="75">
        <f>F28+F29</f>
        <v>0</v>
      </c>
      <c r="I30" t="s">
        <v>37</v>
      </c>
      <c r="K30" t="s">
        <v>36</v>
      </c>
      <c r="L30">
        <f>513*Foglio3!A1</f>
        <v>666.38699999999994</v>
      </c>
      <c r="M30">
        <f>294*Foglio3!A1</f>
        <v>381.90600000000001</v>
      </c>
      <c r="O30" s="57">
        <f>IF(B7="INOX",L30*L5+M30*L6,0)</f>
        <v>666.38699999999994</v>
      </c>
      <c r="P30" s="39">
        <f>ROUND(O30/(L6+1),-1)</f>
        <v>670</v>
      </c>
      <c r="Q30" s="57"/>
    </row>
    <row r="31" spans="1:19" ht="17.25" customHeight="1" x14ac:dyDescent="0.2">
      <c r="C31"/>
      <c r="D31"/>
    </row>
    <row r="32" spans="1:19" ht="20.25" customHeight="1" thickBot="1" x14ac:dyDescent="0.25">
      <c r="C32"/>
      <c r="D32"/>
      <c r="H32" s="84"/>
      <c r="I32" s="84" t="s">
        <v>16</v>
      </c>
      <c r="J32" s="84" t="s">
        <v>55</v>
      </c>
      <c r="K32" s="84"/>
      <c r="L32" s="84"/>
      <c r="M32" s="84"/>
      <c r="N32" s="84"/>
      <c r="O32" s="84"/>
      <c r="P32" s="84"/>
      <c r="Q32" s="84"/>
      <c r="R32" s="84"/>
      <c r="S32" s="83"/>
    </row>
    <row r="33" spans="1:19" ht="18.75" thickBot="1" x14ac:dyDescent="0.3">
      <c r="A33" s="72" t="s">
        <v>75</v>
      </c>
      <c r="B33" s="73" t="s">
        <v>57</v>
      </c>
      <c r="C33" s="74" t="s">
        <v>58</v>
      </c>
      <c r="H33" s="84" t="s">
        <v>53</v>
      </c>
      <c r="I33" s="84">
        <f>Foglio2!G9</f>
        <v>666</v>
      </c>
      <c r="J33" s="84">
        <f>Foglio2!H9</f>
        <v>244</v>
      </c>
      <c r="K33" s="84"/>
      <c r="L33" s="84"/>
      <c r="M33" s="84"/>
      <c r="N33" s="84"/>
      <c r="O33" s="84"/>
      <c r="P33" s="84"/>
      <c r="Q33" s="84"/>
      <c r="R33" s="84"/>
      <c r="S33" s="83"/>
    </row>
    <row r="34" spans="1:19" x14ac:dyDescent="0.2">
      <c r="H34" s="84" t="s">
        <v>54</v>
      </c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3"/>
    </row>
    <row r="35" spans="1:19" x14ac:dyDescent="0.2">
      <c r="H35" s="84" t="s">
        <v>59</v>
      </c>
      <c r="I35" s="85"/>
      <c r="J35" s="85">
        <f>I33+J33*L6</f>
        <v>666</v>
      </c>
      <c r="K35" s="84"/>
      <c r="L35" s="84"/>
      <c r="M35" s="84"/>
      <c r="N35" s="85"/>
      <c r="O35" s="84"/>
      <c r="P35" s="84"/>
      <c r="Q35" s="84"/>
      <c r="R35" s="84"/>
      <c r="S35" s="83"/>
    </row>
    <row r="36" spans="1:19" ht="13.5" thickBot="1" x14ac:dyDescent="0.25"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3"/>
    </row>
    <row r="37" spans="1:19" ht="18.75" thickBot="1" x14ac:dyDescent="0.3">
      <c r="A37" s="72" t="s">
        <v>69</v>
      </c>
      <c r="D37" s="79">
        <f>D30+D25+B20+B19</f>
        <v>0</v>
      </c>
      <c r="F37" s="79">
        <f>IF(B8=0,0,F25+E20+E19+F30)</f>
        <v>0</v>
      </c>
      <c r="H37" s="84" t="s">
        <v>56</v>
      </c>
      <c r="I37" s="84"/>
      <c r="J37" s="84">
        <f>Foglio2!G11</f>
        <v>5385</v>
      </c>
      <c r="K37" s="84"/>
      <c r="L37" s="84"/>
      <c r="M37" s="84"/>
      <c r="N37" s="84"/>
      <c r="O37" s="84"/>
      <c r="P37" s="84"/>
      <c r="Q37" s="84"/>
      <c r="R37" s="84"/>
      <c r="S37" s="83"/>
    </row>
    <row r="38" spans="1:19" x14ac:dyDescent="0.2"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3"/>
    </row>
    <row r="39" spans="1:19" x14ac:dyDescent="0.2">
      <c r="H39" s="84" t="s">
        <v>76</v>
      </c>
      <c r="I39" s="84"/>
      <c r="J39" s="84">
        <f>Foglio2!G13</f>
        <v>360</v>
      </c>
      <c r="K39" s="84"/>
      <c r="L39" s="84"/>
      <c r="M39" s="84"/>
      <c r="N39" s="84"/>
      <c r="O39" s="84"/>
      <c r="P39" s="84"/>
      <c r="Q39" s="84"/>
      <c r="R39" s="84"/>
      <c r="S39" s="83"/>
    </row>
    <row r="40" spans="1:19" x14ac:dyDescent="0.2">
      <c r="H40" s="84"/>
      <c r="I40" s="84"/>
      <c r="J40" s="84"/>
      <c r="K40" s="84"/>
      <c r="L40" s="84"/>
      <c r="M40" s="84"/>
      <c r="N40" s="84"/>
      <c r="O40" s="84"/>
      <c r="P40" s="84">
        <v>3433</v>
      </c>
      <c r="Q40" s="84"/>
      <c r="R40" s="84"/>
      <c r="S40" s="83"/>
    </row>
    <row r="41" spans="1:19" x14ac:dyDescent="0.2">
      <c r="H41" s="84" t="s">
        <v>71</v>
      </c>
      <c r="I41" s="84"/>
      <c r="J41" s="84">
        <v>1000</v>
      </c>
      <c r="K41" s="84"/>
      <c r="L41" s="84"/>
      <c r="M41" s="84"/>
      <c r="N41" s="84"/>
      <c r="O41" s="84"/>
      <c r="P41" s="84">
        <v>3990</v>
      </c>
      <c r="Q41" s="84">
        <f>P41*1.035</f>
        <v>4129.6499999999996</v>
      </c>
      <c r="R41" s="84"/>
      <c r="S41" s="83"/>
    </row>
    <row r="42" spans="1:19" x14ac:dyDescent="0.2">
      <c r="H42" s="84" t="s">
        <v>72</v>
      </c>
      <c r="I42" s="84"/>
      <c r="J42" s="84"/>
      <c r="K42" s="84"/>
      <c r="L42" s="84"/>
      <c r="M42" s="84"/>
      <c r="N42" s="84"/>
      <c r="O42" s="84"/>
      <c r="P42" s="86">
        <f>Q41-P40</f>
        <v>696.64999999999964</v>
      </c>
      <c r="Q42" s="84" t="s">
        <v>81</v>
      </c>
      <c r="R42" s="84"/>
      <c r="S42" s="83"/>
    </row>
    <row r="43" spans="1:19" x14ac:dyDescent="0.2"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3"/>
    </row>
    <row r="44" spans="1:19" x14ac:dyDescent="0.2">
      <c r="H44" s="84" t="s">
        <v>77</v>
      </c>
      <c r="I44" s="84"/>
      <c r="J44" s="84">
        <v>3960</v>
      </c>
      <c r="K44" s="84"/>
      <c r="L44" s="84"/>
      <c r="M44" s="84"/>
      <c r="N44" s="84"/>
      <c r="O44" s="84"/>
      <c r="P44" s="84"/>
      <c r="Q44" s="84"/>
      <c r="R44" s="84"/>
      <c r="S44" s="83"/>
    </row>
    <row r="45" spans="1:19" x14ac:dyDescent="0.2"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3"/>
    </row>
    <row r="46" spans="1:19" x14ac:dyDescent="0.2"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3"/>
    </row>
    <row r="47" spans="1:19" x14ac:dyDescent="0.2"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</row>
    <row r="48" spans="1:19" x14ac:dyDescent="0.2"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</row>
  </sheetData>
  <mergeCells count="5">
    <mergeCell ref="A15:D15"/>
    <mergeCell ref="J19:L19"/>
    <mergeCell ref="C1:E1"/>
    <mergeCell ref="C2:E2"/>
    <mergeCell ref="E15:F15"/>
  </mergeCells>
  <phoneticPr fontId="0" type="noConversion"/>
  <dataValidations disablePrompts="1" count="3">
    <dataValidation type="list" allowBlank="1" showInputMessage="1" showErrorMessage="1" sqref="B5" xr:uid="{00000000-0002-0000-0000-000000000000}">
      <formula1>$J$20:$L$20</formula1>
    </dataValidation>
    <dataValidation type="list" allowBlank="1" showInputMessage="1" showErrorMessage="1" sqref="B6" xr:uid="{00000000-0002-0000-0000-000001000000}">
      <formula1>$K$12:$L$12</formula1>
    </dataValidation>
    <dataValidation type="list" allowBlank="1" showInputMessage="1" showErrorMessage="1" sqref="B8" xr:uid="{00000000-0002-0000-0000-000002000000}">
      <formula1>$B$33:$C$33</formula1>
    </dataValidation>
  </dataValidations>
  <pageMargins left="0.78740157480314965" right="0.78740157480314965" top="0.98425196850393704" bottom="0.98425196850393704" header="0.51181102362204722" footer="0.51181102362204722"/>
  <pageSetup paperSize="9" scale="89" orientation="landscape" r:id="rId1"/>
  <headerFooter alignWithMargins="0">
    <oddHeader>&amp;C&amp;F</oddHeader>
    <oddFooter>&amp;R&amp;D 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3"/>
  <sheetViews>
    <sheetView workbookViewId="0">
      <selection activeCell="G9" sqref="G9"/>
    </sheetView>
  </sheetViews>
  <sheetFormatPr defaultRowHeight="12.75" x14ac:dyDescent="0.2"/>
  <cols>
    <col min="1" max="1" width="16.42578125" bestFit="1" customWidth="1"/>
    <col min="2" max="2" width="16.42578125" customWidth="1"/>
    <col min="3" max="3" width="4.85546875" customWidth="1"/>
    <col min="4" max="4" width="5.5703125" customWidth="1"/>
    <col min="5" max="5" width="10.140625" bestFit="1" customWidth="1"/>
  </cols>
  <sheetData>
    <row r="1" spans="1:8" x14ac:dyDescent="0.2">
      <c r="A1" s="76">
        <v>42419</v>
      </c>
      <c r="B1" s="76"/>
      <c r="C1" s="76"/>
      <c r="D1" s="76"/>
    </row>
    <row r="2" spans="1:8" x14ac:dyDescent="0.2">
      <c r="A2" s="78" t="s">
        <v>63</v>
      </c>
      <c r="B2" s="78"/>
      <c r="C2" s="78"/>
      <c r="D2" s="78"/>
      <c r="E2" s="78" t="s">
        <v>65</v>
      </c>
      <c r="G2" s="78" t="s">
        <v>16</v>
      </c>
      <c r="H2" s="78" t="s">
        <v>62</v>
      </c>
    </row>
    <row r="3" spans="1:8" x14ac:dyDescent="0.2">
      <c r="A3" s="78" t="s">
        <v>61</v>
      </c>
      <c r="B3" s="78"/>
      <c r="C3" s="78"/>
      <c r="D3" s="78"/>
      <c r="E3">
        <v>150</v>
      </c>
      <c r="F3">
        <v>2</v>
      </c>
      <c r="G3">
        <f>F3*E3</f>
        <v>300</v>
      </c>
    </row>
    <row r="4" spans="1:8" x14ac:dyDescent="0.2">
      <c r="A4" t="s">
        <v>61</v>
      </c>
      <c r="E4">
        <v>100</v>
      </c>
      <c r="F4">
        <v>1</v>
      </c>
      <c r="H4">
        <f>F4*E4</f>
        <v>100</v>
      </c>
    </row>
    <row r="6" spans="1:8" x14ac:dyDescent="0.2">
      <c r="A6" s="78" t="s">
        <v>64</v>
      </c>
      <c r="C6">
        <v>111</v>
      </c>
      <c r="D6">
        <v>72</v>
      </c>
      <c r="E6">
        <f>D6+C6</f>
        <v>183</v>
      </c>
      <c r="F6">
        <v>2</v>
      </c>
      <c r="G6">
        <f>F6*E6</f>
        <v>366</v>
      </c>
    </row>
    <row r="7" spans="1:8" x14ac:dyDescent="0.2">
      <c r="A7" s="78" t="s">
        <v>64</v>
      </c>
      <c r="D7">
        <v>72</v>
      </c>
      <c r="E7">
        <f>D7+C7</f>
        <v>72</v>
      </c>
      <c r="F7">
        <v>2</v>
      </c>
      <c r="H7">
        <f>F7*E7</f>
        <v>144</v>
      </c>
    </row>
    <row r="9" spans="1:8" x14ac:dyDescent="0.2">
      <c r="A9" s="78" t="s">
        <v>30</v>
      </c>
      <c r="G9">
        <f>SUM(G3:G8)</f>
        <v>666</v>
      </c>
      <c r="H9">
        <f>SUM(H3:H8)</f>
        <v>244</v>
      </c>
    </row>
    <row r="11" spans="1:8" x14ac:dyDescent="0.2">
      <c r="A11" s="78" t="s">
        <v>66</v>
      </c>
      <c r="G11">
        <f>1795*3</f>
        <v>5385</v>
      </c>
      <c r="H11" s="77"/>
    </row>
    <row r="13" spans="1:8" x14ac:dyDescent="0.2">
      <c r="A13" s="78" t="s">
        <v>67</v>
      </c>
      <c r="G13">
        <v>360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5"/>
  <sheetViews>
    <sheetView topLeftCell="E1" workbookViewId="0">
      <selection sqref="A1:D1048576"/>
    </sheetView>
  </sheetViews>
  <sheetFormatPr defaultRowHeight="12.75" x14ac:dyDescent="0.2"/>
  <cols>
    <col min="1" max="1" width="18.85546875" hidden="1" customWidth="1"/>
    <col min="2" max="4" width="0" hidden="1" customWidth="1"/>
  </cols>
  <sheetData>
    <row r="1" spans="1:1" x14ac:dyDescent="0.2">
      <c r="A1">
        <v>1.2989999999999999</v>
      </c>
    </row>
    <row r="2" spans="1:1" x14ac:dyDescent="0.2">
      <c r="A2" s="88" t="s">
        <v>82</v>
      </c>
    </row>
    <row r="3" spans="1:1" x14ac:dyDescent="0.2">
      <c r="A3" s="88" t="s">
        <v>83</v>
      </c>
    </row>
    <row r="4" spans="1:1" x14ac:dyDescent="0.2">
      <c r="A4" s="88" t="s">
        <v>84</v>
      </c>
    </row>
    <row r="5" spans="1:1" x14ac:dyDescent="0.2">
      <c r="A5" s="88" t="s">
        <v>85</v>
      </c>
    </row>
  </sheetData>
  <sheetProtection algorithmName="SHA-512" hashValue="7sUwZJ6M+I6X/ZJaFtiCRj1tAtfn5iEn1ohYLOU40jaJUgOMZLqpS/Zr9h2XnbTg+yIOw4wirvpDa908x6yaYw==" saltValue="uG5bRGJPnVVgb68fIVqCkQ==" spinCount="100000" sheet="1" objects="1" scenario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Foglio1</vt:lpstr>
      <vt:lpstr>Foglio2</vt:lpstr>
      <vt:lpstr>Foglio3</vt:lpstr>
      <vt:lpstr>Foglio1!Area_stampa</vt:lpstr>
    </vt:vector>
  </TitlesOfParts>
  <Company>CEPI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Ceccarelli</dc:creator>
  <cp:lastModifiedBy>Sandra Ceccarelli</cp:lastModifiedBy>
  <cp:lastPrinted>2004-03-30T14:15:06Z</cp:lastPrinted>
  <dcterms:created xsi:type="dcterms:W3CDTF">2004-01-26T14:43:20Z</dcterms:created>
  <dcterms:modified xsi:type="dcterms:W3CDTF">2026-01-15T12:02:17Z</dcterms:modified>
</cp:coreProperties>
</file>