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DBC934BF-D9BF-4320-826F-A9D75F2E6A82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Foglio1" sheetId="1" r:id="rId1"/>
    <sheet name="Foglio2" sheetId="2" state="hidden" r:id="rId2"/>
    <sheet name="Foglio3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" i="2" l="1"/>
  <c r="B12" i="2"/>
  <c r="B11" i="2"/>
  <c r="D10" i="3"/>
  <c r="D11" i="3"/>
  <c r="D12" i="3"/>
  <c r="D9" i="3"/>
  <c r="A4" i="3"/>
  <c r="A3" i="3"/>
  <c r="A2" i="3"/>
  <c r="A1" i="3"/>
  <c r="B15" i="2" l="1"/>
  <c r="B16" i="2" s="1"/>
  <c r="C12" i="1" s="1"/>
  <c r="C11" i="1" l="1"/>
</calcChain>
</file>

<file path=xl/sharedStrings.xml><?xml version="1.0" encoding="utf-8"?>
<sst xmlns="http://schemas.openxmlformats.org/spreadsheetml/2006/main" count="39" uniqueCount="30">
  <si>
    <t>nome CLIENTE</t>
  </si>
  <si>
    <t>numero OFFERTA</t>
  </si>
  <si>
    <t>data</t>
  </si>
  <si>
    <t>NUMERO DI FERMENTATORI</t>
  </si>
  <si>
    <t>CAPACITA'</t>
  </si>
  <si>
    <t>sbarco scala</t>
  </si>
  <si>
    <t>distanza fra tank</t>
  </si>
  <si>
    <t xml:space="preserve">TIPO DI FERMENTATORE </t>
  </si>
  <si>
    <t>PREZZO TOTALE STRUTTURA</t>
  </si>
  <si>
    <t>CALCOLO STRUTTURA ACCESSO FERMENTATORI</t>
  </si>
  <si>
    <t>QUOTE FISSE STRUTTURA</t>
  </si>
  <si>
    <t>PREZZO TOTALE</t>
  </si>
  <si>
    <t>scala, supporto a terra e chiusura finale</t>
  </si>
  <si>
    <t>LUNGHEZZA totale passerella</t>
  </si>
  <si>
    <t>mt</t>
  </si>
  <si>
    <t>€</t>
  </si>
  <si>
    <t>prezzo al mt passerella</t>
  </si>
  <si>
    <t xml:space="preserve">DIAMETRO </t>
  </si>
  <si>
    <t>prezzo FISSO fino a 4mt</t>
  </si>
  <si>
    <t>prezzo FISSO oltre a 4mt</t>
  </si>
  <si>
    <t>attenzione deve scegliere in funzione dei metri della passerella b11 o b12</t>
  </si>
  <si>
    <t>variabile temporanea</t>
  </si>
  <si>
    <t>costo SCALA E TESTAT DI CHIUSURA</t>
  </si>
  <si>
    <t>COSTO AL MT LINEARE</t>
  </si>
  <si>
    <t>SOSTEGNO STRUTTURA FINO A 4MT</t>
  </si>
  <si>
    <t>SOSTEGNO STRUTTURA OLTRE 4MT</t>
  </si>
  <si>
    <t>variabiel temp pass</t>
  </si>
  <si>
    <t>2100LT</t>
  </si>
  <si>
    <t>5500LT</t>
  </si>
  <si>
    <t>4100LT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</si>
</sst>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[$€-1];[Red]\-#,##0\ [$€-1]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164" fontId="0" fillId="0" borderId="0" xfId="0" applyNumberFormat="1"/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11</xdr:col>
          <xdr:colOff>95250</xdr:colOff>
          <xdr:row>31</xdr:row>
          <xdr:rowOff>209550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2"/>
  <sheetViews>
    <sheetView tabSelected="1" workbookViewId="0">
      <selection activeCell="C12" sqref="C12"/>
    </sheetView>
  </sheetViews>
  <sheetFormatPr defaultRowHeight="15" x14ac:dyDescent="0.25"/>
  <cols>
    <col min="1" max="1" width="30.85546875" bestFit="1" customWidth="1"/>
    <col min="3" max="3" width="15.42578125" bestFit="1" customWidth="1"/>
  </cols>
  <sheetData>
    <row r="1" spans="1:5" x14ac:dyDescent="0.25">
      <c r="A1" s="2" t="s">
        <v>9</v>
      </c>
    </row>
    <row r="3" spans="1:5" x14ac:dyDescent="0.25">
      <c r="A3" s="2" t="s">
        <v>0</v>
      </c>
    </row>
    <row r="4" spans="1:5" x14ac:dyDescent="0.25">
      <c r="A4" s="2" t="s">
        <v>1</v>
      </c>
    </row>
    <row r="5" spans="1:5" x14ac:dyDescent="0.25">
      <c r="A5" s="2" t="s">
        <v>2</v>
      </c>
    </row>
    <row r="6" spans="1:5" x14ac:dyDescent="0.25">
      <c r="A6" s="2"/>
    </row>
    <row r="7" spans="1:5" x14ac:dyDescent="0.25">
      <c r="A7" s="2" t="s">
        <v>3</v>
      </c>
      <c r="C7" s="1"/>
    </row>
    <row r="8" spans="1:5" x14ac:dyDescent="0.25">
      <c r="A8" s="2" t="s">
        <v>7</v>
      </c>
      <c r="C8" s="1" t="s">
        <v>27</v>
      </c>
    </row>
    <row r="9" spans="1:5" x14ac:dyDescent="0.25">
      <c r="A9" s="3"/>
    </row>
    <row r="11" spans="1:5" x14ac:dyDescent="0.25">
      <c r="A11" s="2" t="s">
        <v>13</v>
      </c>
      <c r="C11" s="1">
        <f>((Foglio2!B15*(Foglio1!C7-1))+((Foglio2!B15/4)*3)+((Foglio2!B8*(Foglio1!C7-1)))+Foglio2!B7)</f>
        <v>7.4999999999999956E-2</v>
      </c>
      <c r="D11" t="s">
        <v>14</v>
      </c>
    </row>
    <row r="12" spans="1:5" x14ac:dyDescent="0.25">
      <c r="A12" s="2" t="s">
        <v>8</v>
      </c>
      <c r="C12">
        <f>(Foglio2!B13*Foglio2!B16)+(IF(Foglio2!B16&gt;=4,Foglio2!B12,Foglio2!B11))</f>
        <v>5428.15</v>
      </c>
      <c r="D12" t="s">
        <v>15</v>
      </c>
      <c r="E12" s="2" t="s">
        <v>20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AutoCAD.Drawing.20" shapeId="1026" r:id="rId4">
          <objectPr defaultSize="0" r:id="rId5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11</xdr:col>
                <xdr:colOff>95250</xdr:colOff>
                <xdr:row>31</xdr:row>
                <xdr:rowOff>209550</xdr:rowOff>
              </to>
            </anchor>
          </objectPr>
        </oleObject>
      </mc:Choice>
      <mc:Fallback>
        <oleObject progId="AutoCAD.Drawing.20" shapeId="1026" r:id="rId4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Foglio2!$A$2:$A$4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6"/>
  <sheetViews>
    <sheetView workbookViewId="0">
      <selection activeCell="B11" sqref="B11"/>
    </sheetView>
  </sheetViews>
  <sheetFormatPr defaultRowHeight="15" x14ac:dyDescent="0.25"/>
  <cols>
    <col min="1" max="1" width="22.28515625" bestFit="1" customWidth="1"/>
    <col min="2" max="2" width="13.28515625" bestFit="1" customWidth="1"/>
  </cols>
  <sheetData>
    <row r="1" spans="1:4" x14ac:dyDescent="0.25">
      <c r="A1" t="s">
        <v>4</v>
      </c>
      <c r="B1" t="s">
        <v>17</v>
      </c>
    </row>
    <row r="2" spans="1:4" x14ac:dyDescent="0.25">
      <c r="A2" t="s">
        <v>27</v>
      </c>
      <c r="B2">
        <v>1.5</v>
      </c>
      <c r="C2" t="s">
        <v>14</v>
      </c>
    </row>
    <row r="3" spans="1:4" x14ac:dyDescent="0.25">
      <c r="A3" t="s">
        <v>29</v>
      </c>
      <c r="B3">
        <v>1.9</v>
      </c>
      <c r="C3" t="s">
        <v>14</v>
      </c>
    </row>
    <row r="4" spans="1:4" x14ac:dyDescent="0.25">
      <c r="A4" t="s">
        <v>28</v>
      </c>
      <c r="B4">
        <v>2.2000000000000002</v>
      </c>
      <c r="C4" t="s">
        <v>14</v>
      </c>
    </row>
    <row r="6" spans="1:4" x14ac:dyDescent="0.25">
      <c r="A6" t="s">
        <v>10</v>
      </c>
    </row>
    <row r="7" spans="1:4" x14ac:dyDescent="0.25">
      <c r="A7" t="s">
        <v>5</v>
      </c>
      <c r="B7">
        <v>0.75</v>
      </c>
      <c r="C7" t="s">
        <v>14</v>
      </c>
    </row>
    <row r="8" spans="1:4" x14ac:dyDescent="0.25">
      <c r="A8" t="s">
        <v>6</v>
      </c>
      <c r="B8">
        <v>0.3</v>
      </c>
      <c r="C8" t="s">
        <v>14</v>
      </c>
    </row>
    <row r="10" spans="1:4" x14ac:dyDescent="0.25">
      <c r="A10" t="s">
        <v>11</v>
      </c>
    </row>
    <row r="11" spans="1:4" x14ac:dyDescent="0.25">
      <c r="A11" t="s">
        <v>18</v>
      </c>
      <c r="B11">
        <f>CEILING(5175*1.13,1)</f>
        <v>5848</v>
      </c>
      <c r="C11" t="s">
        <v>15</v>
      </c>
      <c r="D11" t="s">
        <v>12</v>
      </c>
    </row>
    <row r="12" spans="1:4" x14ac:dyDescent="0.25">
      <c r="A12" t="s">
        <v>19</v>
      </c>
      <c r="B12">
        <f>CEILING(6637*1.13,1)</f>
        <v>7500</v>
      </c>
      <c r="C12" t="s">
        <v>15</v>
      </c>
    </row>
    <row r="13" spans="1:4" x14ac:dyDescent="0.25">
      <c r="A13" t="s">
        <v>16</v>
      </c>
      <c r="B13">
        <f>CEILING(550*1.13,1)</f>
        <v>622</v>
      </c>
      <c r="C13" t="s">
        <v>15</v>
      </c>
    </row>
    <row r="15" spans="1:4" x14ac:dyDescent="0.25">
      <c r="A15" t="s">
        <v>21</v>
      </c>
      <c r="B15">
        <f>IF(Foglio1!C8=Foglio2!A2,Foglio2!B2,IF(Foglio1!C8=Foglio2!A3,Foglio2!B3,IF(Foglio1!C8=Foglio2!A4,Foglio2!B4)))</f>
        <v>1.5</v>
      </c>
    </row>
    <row r="16" spans="1:4" x14ac:dyDescent="0.25">
      <c r="A16" t="s">
        <v>26</v>
      </c>
      <c r="B16">
        <f>((Foglio2!B15*(Foglio1!C7-1))+((Foglio2!B15/4)*3)+((Foglio2!B8*(Foglio1!C7-1))))</f>
        <v>-0.67500000000000004</v>
      </c>
    </row>
  </sheetData>
  <dataValidations count="1">
    <dataValidation type="list" allowBlank="1" showInputMessage="1" showErrorMessage="1" sqref="D2" xr:uid="{00000000-0002-0000-0100-000000000000}">
      <formula1>$A$2:$A$4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2"/>
  <sheetViews>
    <sheetView workbookViewId="0">
      <selection activeCell="D23" sqref="D23"/>
    </sheetView>
  </sheetViews>
  <sheetFormatPr defaultRowHeight="15" x14ac:dyDescent="0.25"/>
  <sheetData>
    <row r="1" spans="1:7" x14ac:dyDescent="0.25">
      <c r="A1" s="4">
        <f>CEILING(1290*G1,1)</f>
        <v>1529</v>
      </c>
      <c r="B1" t="s">
        <v>22</v>
      </c>
      <c r="G1">
        <v>1.1850000000000001</v>
      </c>
    </row>
    <row r="2" spans="1:7" x14ac:dyDescent="0.25">
      <c r="A2" s="4">
        <f>CEILING(220*G1,1)</f>
        <v>261</v>
      </c>
      <c r="B2" t="s">
        <v>23</v>
      </c>
    </row>
    <row r="3" spans="1:7" x14ac:dyDescent="0.25">
      <c r="A3" s="4">
        <f>CEILING(780*G1,1)</f>
        <v>925</v>
      </c>
      <c r="B3" t="s">
        <v>24</v>
      </c>
    </row>
    <row r="4" spans="1:7" x14ac:dyDescent="0.25">
      <c r="A4" s="4">
        <f>CEILING(1365*G1,1)</f>
        <v>1618</v>
      </c>
      <c r="B4" t="s">
        <v>25</v>
      </c>
    </row>
    <row r="9" spans="1:7" x14ac:dyDescent="0.25">
      <c r="A9">
        <v>1484</v>
      </c>
      <c r="D9">
        <f>A9*1.03</f>
        <v>1528.52</v>
      </c>
    </row>
    <row r="10" spans="1:7" x14ac:dyDescent="0.25">
      <c r="A10">
        <v>253</v>
      </c>
      <c r="D10">
        <f t="shared" ref="D10:D12" si="0">A10*1.03</f>
        <v>260.59000000000003</v>
      </c>
    </row>
    <row r="11" spans="1:7" x14ac:dyDescent="0.25">
      <c r="A11">
        <v>897</v>
      </c>
      <c r="D11">
        <f t="shared" si="0"/>
        <v>923.91</v>
      </c>
    </row>
    <row r="12" spans="1:7" x14ac:dyDescent="0.25">
      <c r="A12">
        <v>1570</v>
      </c>
      <c r="D12">
        <f t="shared" si="0"/>
        <v>1617.1000000000001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Ceccarelli</dc:creator>
  <cp:lastModifiedBy>Sandra Ceccarelli</cp:lastModifiedBy>
  <dcterms:created xsi:type="dcterms:W3CDTF">2020-01-13T15:07:57Z</dcterms:created>
  <dcterms:modified xsi:type="dcterms:W3CDTF">2026-01-14T10:19:37Z</dcterms:modified>
</cp:coreProperties>
</file>